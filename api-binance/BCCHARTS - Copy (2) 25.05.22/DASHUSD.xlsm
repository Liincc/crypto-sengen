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B7E9DCA-C1FB-41EE-88EA-B59E9581336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41" i="1"/>
  <c r="Q1041" i="1" s="1"/>
  <c r="R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K3" i="6"/>
  <c r="C124" i="5"/>
  <c r="D124" i="5" s="1"/>
  <c r="D123" i="5"/>
  <c r="C123" i="5"/>
  <c r="D117" i="5"/>
  <c r="D118" i="5" s="1"/>
  <c r="C117" i="5"/>
  <c r="C115" i="5"/>
  <c r="D114" i="5"/>
  <c r="C114" i="5"/>
  <c r="D113" i="5"/>
  <c r="C113" i="5"/>
  <c r="D112" i="5"/>
  <c r="C112" i="5"/>
  <c r="D111" i="5"/>
  <c r="C111" i="5"/>
  <c r="D102" i="5"/>
  <c r="C102" i="5"/>
  <c r="C99" i="5"/>
  <c r="D77" i="5"/>
  <c r="C77" i="5"/>
  <c r="C74" i="5"/>
  <c r="D52" i="5"/>
  <c r="C52" i="5"/>
  <c r="C49" i="5"/>
  <c r="D26" i="5"/>
  <c r="C26" i="5"/>
  <c r="C23" i="5"/>
  <c r="D237" i="4"/>
  <c r="C237" i="4"/>
  <c r="D187" i="4"/>
  <c r="C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D81" i="4"/>
  <c r="C81" i="4"/>
  <c r="C78" i="4"/>
  <c r="D56" i="4"/>
  <c r="C56" i="4"/>
  <c r="C53" i="4"/>
  <c r="D31" i="4"/>
  <c r="C31" i="4"/>
  <c r="C28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38" i="2"/>
  <c r="D136" i="2"/>
  <c r="C136" i="2"/>
  <c r="C133" i="2"/>
  <c r="D124" i="2"/>
  <c r="C124" i="2"/>
  <c r="D123" i="2"/>
  <c r="C123" i="2"/>
  <c r="C122" i="2"/>
  <c r="D118" i="2"/>
  <c r="C118" i="2"/>
  <c r="D117" i="2"/>
  <c r="C117" i="2"/>
  <c r="C116" i="2"/>
  <c r="C115" i="2"/>
  <c r="D114" i="2"/>
  <c r="C114" i="2"/>
  <c r="D113" i="2"/>
  <c r="C113" i="2"/>
  <c r="D112" i="2"/>
  <c r="C112" i="2"/>
  <c r="D111" i="2"/>
  <c r="C111" i="2"/>
  <c r="M3" i="6"/>
  <c r="C122" i="5"/>
  <c r="C133" i="5" s="1"/>
  <c r="C116" i="5"/>
  <c r="C118" i="5"/>
  <c r="S1041" i="1"/>
  <c r="T1041" i="1" s="1"/>
  <c r="C2" i="1" l="1"/>
  <c r="D2" i="1"/>
  <c r="C118" i="4"/>
  <c r="C116" i="4"/>
  <c r="C118" i="3"/>
  <c r="C136" i="5"/>
  <c r="D136" i="5"/>
  <c r="C136" i="4"/>
  <c r="D136" i="4"/>
  <c r="C122" i="3"/>
  <c r="C133" i="3" s="1"/>
  <c r="D136" i="3" s="1"/>
  <c r="R1040" i="1"/>
  <c r="C138" i="5" l="1"/>
  <c r="C138" i="4"/>
  <c r="C136" i="3"/>
  <c r="C138" i="3" s="1"/>
  <c r="R1039" i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<sst xmlns="http://schemas.openxmlformats.org/spreadsheetml/2006/main" count="7919" uniqueCount="34">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</sst>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90.1</c:v>
                </c:pt>
                <c:pt idx="1">
                  <c:v>93</c:v>
                </c:pt>
                <c:pt idx="2">
                  <c:v>89.4</c:v>
                </c:pt>
                <c:pt idx="3">
                  <c:v>90.5</c:v>
                </c:pt>
                <c:pt idx="4">
                  <c:v>99.6</c:v>
                </c:pt>
                <c:pt idx="5">
                  <c:v>97</c:v>
                </c:pt>
                <c:pt idx="6">
                  <c:v>105.7</c:v>
                </c:pt>
                <c:pt idx="7">
                  <c:v>121.2</c:v>
                </c:pt>
                <c:pt idx="8">
                  <c:v>126.7</c:v>
                </c:pt>
                <c:pt idx="9">
                  <c:v>130.6</c:v>
                </c:pt>
                <c:pt idx="10">
                  <c:v>135.80000000000001</c:v>
                </c:pt>
                <c:pt idx="11">
                  <c:v>137.4</c:v>
                </c:pt>
                <c:pt idx="12">
                  <c:v>141.5</c:v>
                </c:pt>
                <c:pt idx="13">
                  <c:v>141.1</c:v>
                </c:pt>
                <c:pt idx="14">
                  <c:v>141.4</c:v>
                </c:pt>
                <c:pt idx="15">
                  <c:v>143.6</c:v>
                </c:pt>
                <c:pt idx="16">
                  <c:v>141.69999999999999</c:v>
                </c:pt>
                <c:pt idx="17">
                  <c:v>148</c:v>
                </c:pt>
                <c:pt idx="18">
                  <c:v>153.1</c:v>
                </c:pt>
                <c:pt idx="19">
                  <c:v>141.9</c:v>
                </c:pt>
                <c:pt idx="20">
                  <c:v>134.5</c:v>
                </c:pt>
                <c:pt idx="21">
                  <c:v>124.3</c:v>
                </c:pt>
                <c:pt idx="22">
                  <c:v>122.6</c:v>
                </c:pt>
                <c:pt idx="23">
                  <c:v>134.69999999999999</c:v>
                </c:pt>
                <c:pt idx="24">
                  <c:v>139.1</c:v>
                </c:pt>
                <c:pt idx="25">
                  <c:v>142</c:v>
                </c:pt>
                <c:pt idx="26">
                  <c:v>138.1</c:v>
                </c:pt>
                <c:pt idx="27">
                  <c:v>133.6</c:v>
                </c:pt>
                <c:pt idx="28">
                  <c:v>133.1</c:v>
                </c:pt>
                <c:pt idx="29">
                  <c:v>133.30000000000001</c:v>
                </c:pt>
                <c:pt idx="30">
                  <c:v>134.80000000000001</c:v>
                </c:pt>
                <c:pt idx="31">
                  <c:v>150.9</c:v>
                </c:pt>
                <c:pt idx="32">
                  <c:v>149.1</c:v>
                </c:pt>
                <c:pt idx="33">
                  <c:v>150</c:v>
                </c:pt>
                <c:pt idx="34">
                  <c:v>149.4</c:v>
                </c:pt>
                <c:pt idx="35">
                  <c:v>146.69999999999999</c:v>
                </c:pt>
                <c:pt idx="36">
                  <c:v>135.1</c:v>
                </c:pt>
                <c:pt idx="37">
                  <c:v>133.69999999999999</c:v>
                </c:pt>
                <c:pt idx="38">
                  <c:v>127.2</c:v>
                </c:pt>
                <c:pt idx="39">
                  <c:v>129.1</c:v>
                </c:pt>
                <c:pt idx="40">
                  <c:v>129.6</c:v>
                </c:pt>
                <c:pt idx="41">
                  <c:v>128.30000000000001</c:v>
                </c:pt>
                <c:pt idx="42">
                  <c:v>130.30000000000001</c:v>
                </c:pt>
                <c:pt idx="43">
                  <c:v>134.19999999999999</c:v>
                </c:pt>
                <c:pt idx="44">
                  <c:v>131.6</c:v>
                </c:pt>
                <c:pt idx="45">
                  <c:v>126.4</c:v>
                </c:pt>
                <c:pt idx="46">
                  <c:v>138.19999999999999</c:v>
                </c:pt>
                <c:pt idx="47">
                  <c:v>135.30000000000001</c:v>
                </c:pt>
                <c:pt idx="48">
                  <c:v>133</c:v>
                </c:pt>
                <c:pt idx="49">
                  <c:v>136</c:v>
                </c:pt>
                <c:pt idx="50">
                  <c:v>147.6</c:v>
                </c:pt>
                <c:pt idx="51">
                  <c:v>138.19999999999999</c:v>
                </c:pt>
                <c:pt idx="52">
                  <c:v>137.4</c:v>
                </c:pt>
                <c:pt idx="53">
                  <c:v>134.5</c:v>
                </c:pt>
                <c:pt idx="54">
                  <c:v>142.6</c:v>
                </c:pt>
                <c:pt idx="55">
                  <c:v>167.2</c:v>
                </c:pt>
                <c:pt idx="56">
                  <c:v>176</c:v>
                </c:pt>
                <c:pt idx="57">
                  <c:v>178.2</c:v>
                </c:pt>
                <c:pt idx="58">
                  <c:v>180</c:v>
                </c:pt>
                <c:pt idx="59">
                  <c:v>181.9</c:v>
                </c:pt>
                <c:pt idx="60">
                  <c:v>178.6</c:v>
                </c:pt>
                <c:pt idx="61">
                  <c:v>182.4</c:v>
                </c:pt>
                <c:pt idx="62">
                  <c:v>183.6</c:v>
                </c:pt>
                <c:pt idx="63">
                  <c:v>214.7</c:v>
                </c:pt>
                <c:pt idx="64">
                  <c:v>195.4</c:v>
                </c:pt>
                <c:pt idx="65">
                  <c:v>187.5</c:v>
                </c:pt>
                <c:pt idx="66">
                  <c:v>198</c:v>
                </c:pt>
                <c:pt idx="67">
                  <c:v>207.2</c:v>
                </c:pt>
                <c:pt idx="68">
                  <c:v>193.7</c:v>
                </c:pt>
                <c:pt idx="69">
                  <c:v>189.3</c:v>
                </c:pt>
                <c:pt idx="70">
                  <c:v>175.7</c:v>
                </c:pt>
                <c:pt idx="71">
                  <c:v>189.3</c:v>
                </c:pt>
                <c:pt idx="72">
                  <c:v>198.5</c:v>
                </c:pt>
                <c:pt idx="73">
                  <c:v>224.5</c:v>
                </c:pt>
                <c:pt idx="74">
                  <c:v>229</c:v>
                </c:pt>
                <c:pt idx="75">
                  <c:v>228.9</c:v>
                </c:pt>
                <c:pt idx="76">
                  <c:v>221.3</c:v>
                </c:pt>
                <c:pt idx="77">
                  <c:v>231.7</c:v>
                </c:pt>
                <c:pt idx="78">
                  <c:v>217</c:v>
                </c:pt>
                <c:pt idx="79">
                  <c:v>234.5</c:v>
                </c:pt>
                <c:pt idx="80">
                  <c:v>211.9</c:v>
                </c:pt>
                <c:pt idx="81">
                  <c:v>193.9</c:v>
                </c:pt>
                <c:pt idx="82">
                  <c:v>191.1</c:v>
                </c:pt>
                <c:pt idx="83">
                  <c:v>194.4</c:v>
                </c:pt>
                <c:pt idx="84">
                  <c:v>198.7</c:v>
                </c:pt>
                <c:pt idx="85">
                  <c:v>201.9</c:v>
                </c:pt>
                <c:pt idx="86">
                  <c:v>200.1</c:v>
                </c:pt>
                <c:pt idx="87">
                  <c:v>189.1</c:v>
                </c:pt>
                <c:pt idx="88">
                  <c:v>192.7</c:v>
                </c:pt>
                <c:pt idx="89">
                  <c:v>183.7</c:v>
                </c:pt>
                <c:pt idx="90">
                  <c:v>187.7</c:v>
                </c:pt>
                <c:pt idx="91">
                  <c:v>183.5</c:v>
                </c:pt>
                <c:pt idx="92">
                  <c:v>175.4</c:v>
                </c:pt>
                <c:pt idx="93">
                  <c:v>198.5</c:v>
                </c:pt>
                <c:pt idx="94">
                  <c:v>208.5</c:v>
                </c:pt>
                <c:pt idx="95">
                  <c:v>202.7</c:v>
                </c:pt>
                <c:pt idx="96">
                  <c:v>197.7</c:v>
                </c:pt>
                <c:pt idx="97">
                  <c:v>195.3</c:v>
                </c:pt>
                <c:pt idx="98">
                  <c:v>196.7</c:v>
                </c:pt>
                <c:pt idx="99">
                  <c:v>201.7</c:v>
                </c:pt>
                <c:pt idx="100">
                  <c:v>194.1</c:v>
                </c:pt>
                <c:pt idx="101">
                  <c:v>186.8</c:v>
                </c:pt>
                <c:pt idx="102">
                  <c:v>186.1</c:v>
                </c:pt>
                <c:pt idx="103">
                  <c:v>190.4</c:v>
                </c:pt>
                <c:pt idx="104">
                  <c:v>194</c:v>
                </c:pt>
                <c:pt idx="105">
                  <c:v>186.7</c:v>
                </c:pt>
                <c:pt idx="106">
                  <c:v>183.3</c:v>
                </c:pt>
                <c:pt idx="107">
                  <c:v>180.7</c:v>
                </c:pt>
                <c:pt idx="108">
                  <c:v>183</c:v>
                </c:pt>
                <c:pt idx="109">
                  <c:v>182.3</c:v>
                </c:pt>
                <c:pt idx="110">
                  <c:v>193.7</c:v>
                </c:pt>
                <c:pt idx="111">
                  <c:v>189.5</c:v>
                </c:pt>
                <c:pt idx="112">
                  <c:v>189.2</c:v>
                </c:pt>
                <c:pt idx="113">
                  <c:v>185.1</c:v>
                </c:pt>
                <c:pt idx="114">
                  <c:v>182.5</c:v>
                </c:pt>
                <c:pt idx="115">
                  <c:v>174.8</c:v>
                </c:pt>
                <c:pt idx="116">
                  <c:v>177.2</c:v>
                </c:pt>
                <c:pt idx="117">
                  <c:v>177.8</c:v>
                </c:pt>
                <c:pt idx="118">
                  <c:v>176.8</c:v>
                </c:pt>
                <c:pt idx="119">
                  <c:v>166</c:v>
                </c:pt>
                <c:pt idx="120">
                  <c:v>152.6</c:v>
                </c:pt>
                <c:pt idx="121">
                  <c:v>147.30000000000001</c:v>
                </c:pt>
                <c:pt idx="122">
                  <c:v>153.69999999999999</c:v>
                </c:pt>
                <c:pt idx="123">
                  <c:v>162</c:v>
                </c:pt>
                <c:pt idx="124">
                  <c:v>164.4</c:v>
                </c:pt>
                <c:pt idx="125">
                  <c:v>165.5</c:v>
                </c:pt>
                <c:pt idx="126">
                  <c:v>184.7</c:v>
                </c:pt>
                <c:pt idx="127">
                  <c:v>175.5</c:v>
                </c:pt>
                <c:pt idx="128">
                  <c:v>157.4</c:v>
                </c:pt>
                <c:pt idx="129">
                  <c:v>178.6</c:v>
                </c:pt>
                <c:pt idx="130">
                  <c:v>192.9</c:v>
                </c:pt>
                <c:pt idx="131">
                  <c:v>199.4</c:v>
                </c:pt>
                <c:pt idx="132">
                  <c:v>199.3</c:v>
                </c:pt>
                <c:pt idx="133">
                  <c:v>208.3</c:v>
                </c:pt>
                <c:pt idx="134">
                  <c:v>209</c:v>
                </c:pt>
                <c:pt idx="135">
                  <c:v>205.7</c:v>
                </c:pt>
                <c:pt idx="136">
                  <c:v>196.6</c:v>
                </c:pt>
                <c:pt idx="137">
                  <c:v>203.5</c:v>
                </c:pt>
                <c:pt idx="138">
                  <c:v>194.1</c:v>
                </c:pt>
                <c:pt idx="139">
                  <c:v>192.9</c:v>
                </c:pt>
                <c:pt idx="140">
                  <c:v>202.5</c:v>
                </c:pt>
                <c:pt idx="141">
                  <c:v>201.7</c:v>
                </c:pt>
                <c:pt idx="142">
                  <c:v>207.3</c:v>
                </c:pt>
                <c:pt idx="143">
                  <c:v>255.7</c:v>
                </c:pt>
                <c:pt idx="144">
                  <c:v>264.39999999999998</c:v>
                </c:pt>
                <c:pt idx="145">
                  <c:v>251.8</c:v>
                </c:pt>
                <c:pt idx="146">
                  <c:v>247.5</c:v>
                </c:pt>
                <c:pt idx="147">
                  <c:v>239</c:v>
                </c:pt>
                <c:pt idx="148">
                  <c:v>238.9</c:v>
                </c:pt>
                <c:pt idx="149">
                  <c:v>223.7</c:v>
                </c:pt>
                <c:pt idx="150">
                  <c:v>216.6</c:v>
                </c:pt>
                <c:pt idx="151">
                  <c:v>225.3</c:v>
                </c:pt>
                <c:pt idx="152">
                  <c:v>236.4</c:v>
                </c:pt>
                <c:pt idx="153">
                  <c:v>242.3</c:v>
                </c:pt>
                <c:pt idx="154">
                  <c:v>232.1</c:v>
                </c:pt>
                <c:pt idx="155">
                  <c:v>264.45999999999998</c:v>
                </c:pt>
                <c:pt idx="156">
                  <c:v>248.16</c:v>
                </c:pt>
                <c:pt idx="157">
                  <c:v>270.58</c:v>
                </c:pt>
                <c:pt idx="158">
                  <c:v>237.33</c:v>
                </c:pt>
                <c:pt idx="159">
                  <c:v>237.27</c:v>
                </c:pt>
                <c:pt idx="160">
                  <c:v>232.73</c:v>
                </c:pt>
                <c:pt idx="161">
                  <c:v>220.09</c:v>
                </c:pt>
                <c:pt idx="162">
                  <c:v>209.79</c:v>
                </c:pt>
                <c:pt idx="163">
                  <c:v>194.76</c:v>
                </c:pt>
                <c:pt idx="164">
                  <c:v>200.98</c:v>
                </c:pt>
                <c:pt idx="165">
                  <c:v>215.87</c:v>
                </c:pt>
                <c:pt idx="166">
                  <c:v>199.02</c:v>
                </c:pt>
                <c:pt idx="167">
                  <c:v>204.6</c:v>
                </c:pt>
                <c:pt idx="168">
                  <c:v>180.2</c:v>
                </c:pt>
                <c:pt idx="169">
                  <c:v>181.49</c:v>
                </c:pt>
                <c:pt idx="170">
                  <c:v>175.82</c:v>
                </c:pt>
                <c:pt idx="171">
                  <c:v>179.06</c:v>
                </c:pt>
                <c:pt idx="172">
                  <c:v>161.62</c:v>
                </c:pt>
                <c:pt idx="173">
                  <c:v>170.34</c:v>
                </c:pt>
                <c:pt idx="174">
                  <c:v>167.19</c:v>
                </c:pt>
                <c:pt idx="175">
                  <c:v>164.41</c:v>
                </c:pt>
                <c:pt idx="176">
                  <c:v>161.58000000000001</c:v>
                </c:pt>
                <c:pt idx="177">
                  <c:v>156.41</c:v>
                </c:pt>
                <c:pt idx="178">
                  <c:v>161.75</c:v>
                </c:pt>
                <c:pt idx="179">
                  <c:v>160.19</c:v>
                </c:pt>
                <c:pt idx="180">
                  <c:v>163.77000000000001</c:v>
                </c:pt>
                <c:pt idx="181">
                  <c:v>165.36</c:v>
                </c:pt>
                <c:pt idx="182">
                  <c:v>164.24</c:v>
                </c:pt>
                <c:pt idx="183">
                  <c:v>152.63</c:v>
                </c:pt>
                <c:pt idx="184">
                  <c:v>146.04</c:v>
                </c:pt>
                <c:pt idx="185">
                  <c:v>142.16999999999999</c:v>
                </c:pt>
                <c:pt idx="186">
                  <c:v>139.6</c:v>
                </c:pt>
                <c:pt idx="187">
                  <c:v>140.88999999999999</c:v>
                </c:pt>
                <c:pt idx="188">
                  <c:v>142.76</c:v>
                </c:pt>
                <c:pt idx="189">
                  <c:v>142.19999999999999</c:v>
                </c:pt>
                <c:pt idx="190">
                  <c:v>139.02000000000001</c:v>
                </c:pt>
                <c:pt idx="191">
                  <c:v>125.26</c:v>
                </c:pt>
                <c:pt idx="192">
                  <c:v>137.97999999999999</c:v>
                </c:pt>
                <c:pt idx="193">
                  <c:v>115.78</c:v>
                </c:pt>
                <c:pt idx="194">
                  <c:v>116.08</c:v>
                </c:pt>
                <c:pt idx="195">
                  <c:v>114.77</c:v>
                </c:pt>
                <c:pt idx="196">
                  <c:v>122.87</c:v>
                </c:pt>
                <c:pt idx="197">
                  <c:v>123.25</c:v>
                </c:pt>
                <c:pt idx="198">
                  <c:v>123.93</c:v>
                </c:pt>
                <c:pt idx="199">
                  <c:v>126.62</c:v>
                </c:pt>
                <c:pt idx="200">
                  <c:v>128.44</c:v>
                </c:pt>
                <c:pt idx="201">
                  <c:v>128.41999999999999</c:v>
                </c:pt>
                <c:pt idx="202">
                  <c:v>128.41</c:v>
                </c:pt>
                <c:pt idx="203">
                  <c:v>126.48</c:v>
                </c:pt>
                <c:pt idx="204">
                  <c:v>135.15</c:v>
                </c:pt>
                <c:pt idx="205">
                  <c:v>134.94</c:v>
                </c:pt>
                <c:pt idx="206">
                  <c:v>132.52000000000001</c:v>
                </c:pt>
                <c:pt idx="207">
                  <c:v>140.22</c:v>
                </c:pt>
                <c:pt idx="208">
                  <c:v>138.81</c:v>
                </c:pt>
                <c:pt idx="209">
                  <c:v>135.35</c:v>
                </c:pt>
                <c:pt idx="210">
                  <c:v>138.16</c:v>
                </c:pt>
                <c:pt idx="211">
                  <c:v>145.62</c:v>
                </c:pt>
                <c:pt idx="212">
                  <c:v>140.85</c:v>
                </c:pt>
                <c:pt idx="213">
                  <c:v>132.22999999999999</c:v>
                </c:pt>
                <c:pt idx="214">
                  <c:v>127.22</c:v>
                </c:pt>
                <c:pt idx="215">
                  <c:v>124.32</c:v>
                </c:pt>
                <c:pt idx="216">
                  <c:v>119.77</c:v>
                </c:pt>
                <c:pt idx="217">
                  <c:v>131.43</c:v>
                </c:pt>
                <c:pt idx="218">
                  <c:v>127.43</c:v>
                </c:pt>
                <c:pt idx="219">
                  <c:v>119.37</c:v>
                </c:pt>
                <c:pt idx="220">
                  <c:v>123.09</c:v>
                </c:pt>
                <c:pt idx="221">
                  <c:v>153.28</c:v>
                </c:pt>
                <c:pt idx="222">
                  <c:v>150.94</c:v>
                </c:pt>
                <c:pt idx="223">
                  <c:v>155.32</c:v>
                </c:pt>
                <c:pt idx="224">
                  <c:v>163.93</c:v>
                </c:pt>
                <c:pt idx="225">
                  <c:v>164.5</c:v>
                </c:pt>
                <c:pt idx="226">
                  <c:v>171.94</c:v>
                </c:pt>
                <c:pt idx="227">
                  <c:v>177.91</c:v>
                </c:pt>
                <c:pt idx="228">
                  <c:v>172.55</c:v>
                </c:pt>
                <c:pt idx="229">
                  <c:v>163.5</c:v>
                </c:pt>
                <c:pt idx="230">
                  <c:v>165.71</c:v>
                </c:pt>
                <c:pt idx="231">
                  <c:v>170.04</c:v>
                </c:pt>
                <c:pt idx="232">
                  <c:v>176.76</c:v>
                </c:pt>
                <c:pt idx="233">
                  <c:v>166.22</c:v>
                </c:pt>
                <c:pt idx="234">
                  <c:v>172.58</c:v>
                </c:pt>
                <c:pt idx="235">
                  <c:v>185.45</c:v>
                </c:pt>
                <c:pt idx="236">
                  <c:v>185.23</c:v>
                </c:pt>
                <c:pt idx="237">
                  <c:v>191.25</c:v>
                </c:pt>
                <c:pt idx="238">
                  <c:v>210.25</c:v>
                </c:pt>
                <c:pt idx="239">
                  <c:v>202.42</c:v>
                </c:pt>
                <c:pt idx="240">
                  <c:v>191.5</c:v>
                </c:pt>
                <c:pt idx="241">
                  <c:v>197.42</c:v>
                </c:pt>
                <c:pt idx="242">
                  <c:v>181.8</c:v>
                </c:pt>
                <c:pt idx="243">
                  <c:v>176.53</c:v>
                </c:pt>
                <c:pt idx="244">
                  <c:v>183.22</c:v>
                </c:pt>
                <c:pt idx="245">
                  <c:v>205.1</c:v>
                </c:pt>
                <c:pt idx="246">
                  <c:v>214.1</c:v>
                </c:pt>
                <c:pt idx="247">
                  <c:v>195</c:v>
                </c:pt>
                <c:pt idx="248">
                  <c:v>201.48</c:v>
                </c:pt>
                <c:pt idx="249">
                  <c:v>149.93</c:v>
                </c:pt>
                <c:pt idx="250">
                  <c:v>178.31</c:v>
                </c:pt>
                <c:pt idx="251">
                  <c:v>188.34</c:v>
                </c:pt>
                <c:pt idx="252">
                  <c:v>226.94</c:v>
                </c:pt>
                <c:pt idx="253">
                  <c:v>189.04</c:v>
                </c:pt>
                <c:pt idx="254">
                  <c:v>304.52</c:v>
                </c:pt>
                <c:pt idx="255">
                  <c:v>294.45</c:v>
                </c:pt>
                <c:pt idx="256">
                  <c:v>331.6</c:v>
                </c:pt>
                <c:pt idx="257">
                  <c:v>336.28</c:v>
                </c:pt>
                <c:pt idx="258">
                  <c:v>371.01</c:v>
                </c:pt>
                <c:pt idx="259">
                  <c:v>357.29</c:v>
                </c:pt>
                <c:pt idx="260">
                  <c:v>359</c:v>
                </c:pt>
                <c:pt idx="261">
                  <c:v>426.74</c:v>
                </c:pt>
                <c:pt idx="262">
                  <c:v>371.63</c:v>
                </c:pt>
                <c:pt idx="263">
                  <c:v>406.96</c:v>
                </c:pt>
                <c:pt idx="264">
                  <c:v>408.83</c:v>
                </c:pt>
                <c:pt idx="265">
                  <c:v>404.11</c:v>
                </c:pt>
                <c:pt idx="266">
                  <c:v>443.11</c:v>
                </c:pt>
                <c:pt idx="267">
                  <c:v>396.74</c:v>
                </c:pt>
                <c:pt idx="268">
                  <c:v>360.62</c:v>
                </c:pt>
                <c:pt idx="269">
                  <c:v>342.75</c:v>
                </c:pt>
                <c:pt idx="270">
                  <c:v>315.17</c:v>
                </c:pt>
                <c:pt idx="271">
                  <c:v>321.98</c:v>
                </c:pt>
                <c:pt idx="272">
                  <c:v>319.62</c:v>
                </c:pt>
                <c:pt idx="273">
                  <c:v>286.63</c:v>
                </c:pt>
                <c:pt idx="274">
                  <c:v>288.77999999999997</c:v>
                </c:pt>
                <c:pt idx="275">
                  <c:v>292.8</c:v>
                </c:pt>
                <c:pt idx="276">
                  <c:v>278.62</c:v>
                </c:pt>
                <c:pt idx="277">
                  <c:v>247.06</c:v>
                </c:pt>
                <c:pt idx="278">
                  <c:v>246.17</c:v>
                </c:pt>
                <c:pt idx="279">
                  <c:v>262.52</c:v>
                </c:pt>
                <c:pt idx="280">
                  <c:v>275.97000000000003</c:v>
                </c:pt>
                <c:pt idx="281">
                  <c:v>294.62</c:v>
                </c:pt>
                <c:pt idx="282">
                  <c:v>317.14999999999998</c:v>
                </c:pt>
                <c:pt idx="283">
                  <c:v>294.08999999999997</c:v>
                </c:pt>
                <c:pt idx="284">
                  <c:v>317.23</c:v>
                </c:pt>
                <c:pt idx="285">
                  <c:v>356.64</c:v>
                </c:pt>
                <c:pt idx="286">
                  <c:v>378.47</c:v>
                </c:pt>
                <c:pt idx="287">
                  <c:v>326.8</c:v>
                </c:pt>
                <c:pt idx="288">
                  <c:v>305.36</c:v>
                </c:pt>
                <c:pt idx="289">
                  <c:v>294.31</c:v>
                </c:pt>
                <c:pt idx="290">
                  <c:v>280.48</c:v>
                </c:pt>
                <c:pt idx="291">
                  <c:v>286.79000000000002</c:v>
                </c:pt>
                <c:pt idx="292">
                  <c:v>283.32</c:v>
                </c:pt>
                <c:pt idx="293">
                  <c:v>265.10000000000002</c:v>
                </c:pt>
                <c:pt idx="294">
                  <c:v>267.79000000000002</c:v>
                </c:pt>
                <c:pt idx="295">
                  <c:v>253.45</c:v>
                </c:pt>
                <c:pt idx="296">
                  <c:v>275.99</c:v>
                </c:pt>
                <c:pt idx="297">
                  <c:v>273.66000000000003</c:v>
                </c:pt>
                <c:pt idx="298">
                  <c:v>270.77999999999997</c:v>
                </c:pt>
                <c:pt idx="299">
                  <c:v>222.84</c:v>
                </c:pt>
                <c:pt idx="300">
                  <c:v>243.59</c:v>
                </c:pt>
                <c:pt idx="301">
                  <c:v>233.44</c:v>
                </c:pt>
                <c:pt idx="302">
                  <c:v>222.44</c:v>
                </c:pt>
                <c:pt idx="303">
                  <c:v>216.3</c:v>
                </c:pt>
                <c:pt idx="304">
                  <c:v>214.98</c:v>
                </c:pt>
                <c:pt idx="305">
                  <c:v>207.72</c:v>
                </c:pt>
                <c:pt idx="306">
                  <c:v>201.64</c:v>
                </c:pt>
                <c:pt idx="307">
                  <c:v>203.51</c:v>
                </c:pt>
                <c:pt idx="308">
                  <c:v>189.1</c:v>
                </c:pt>
                <c:pt idx="309">
                  <c:v>190.75</c:v>
                </c:pt>
                <c:pt idx="310">
                  <c:v>206.62</c:v>
                </c:pt>
                <c:pt idx="311">
                  <c:v>206.6</c:v>
                </c:pt>
                <c:pt idx="312">
                  <c:v>221.01</c:v>
                </c:pt>
                <c:pt idx="313">
                  <c:v>227.11</c:v>
                </c:pt>
                <c:pt idx="314">
                  <c:v>225.72</c:v>
                </c:pt>
                <c:pt idx="315">
                  <c:v>225.83</c:v>
                </c:pt>
                <c:pt idx="316">
                  <c:v>229.47</c:v>
                </c:pt>
                <c:pt idx="317">
                  <c:v>223.59</c:v>
                </c:pt>
                <c:pt idx="318">
                  <c:v>221.42</c:v>
                </c:pt>
                <c:pt idx="319">
                  <c:v>231.17</c:v>
                </c:pt>
                <c:pt idx="320">
                  <c:v>243.04</c:v>
                </c:pt>
                <c:pt idx="321">
                  <c:v>224.69</c:v>
                </c:pt>
                <c:pt idx="322">
                  <c:v>235.39</c:v>
                </c:pt>
                <c:pt idx="323">
                  <c:v>234.41</c:v>
                </c:pt>
                <c:pt idx="324">
                  <c:v>244.2</c:v>
                </c:pt>
                <c:pt idx="325">
                  <c:v>218.23</c:v>
                </c:pt>
                <c:pt idx="326">
                  <c:v>214.79</c:v>
                </c:pt>
                <c:pt idx="327">
                  <c:v>208.61</c:v>
                </c:pt>
                <c:pt idx="328">
                  <c:v>205.7</c:v>
                </c:pt>
                <c:pt idx="329">
                  <c:v>211.18</c:v>
                </c:pt>
                <c:pt idx="330">
                  <c:v>222.59</c:v>
                </c:pt>
                <c:pt idx="331">
                  <c:v>216.04</c:v>
                </c:pt>
                <c:pt idx="332">
                  <c:v>224.94</c:v>
                </c:pt>
                <c:pt idx="333">
                  <c:v>196.77</c:v>
                </c:pt>
                <c:pt idx="334">
                  <c:v>210.69</c:v>
                </c:pt>
                <c:pt idx="335">
                  <c:v>206.7</c:v>
                </c:pt>
                <c:pt idx="336">
                  <c:v>218.5</c:v>
                </c:pt>
                <c:pt idx="337">
                  <c:v>237.4</c:v>
                </c:pt>
                <c:pt idx="338">
                  <c:v>230.91</c:v>
                </c:pt>
                <c:pt idx="339">
                  <c:v>271.7</c:v>
                </c:pt>
                <c:pt idx="340">
                  <c:v>301.52</c:v>
                </c:pt>
                <c:pt idx="341">
                  <c:v>297.27999999999997</c:v>
                </c:pt>
                <c:pt idx="342">
                  <c:v>323.83999999999997</c:v>
                </c:pt>
                <c:pt idx="343">
                  <c:v>281.14999999999998</c:v>
                </c:pt>
                <c:pt idx="344">
                  <c:v>265.95999999999998</c:v>
                </c:pt>
                <c:pt idx="345">
                  <c:v>249.46</c:v>
                </c:pt>
                <c:pt idx="346">
                  <c:v>259.69</c:v>
                </c:pt>
                <c:pt idx="347">
                  <c:v>230.69</c:v>
                </c:pt>
                <c:pt idx="348">
                  <c:v>267.61</c:v>
                </c:pt>
                <c:pt idx="349">
                  <c:v>169.76</c:v>
                </c:pt>
                <c:pt idx="350">
                  <c:v>164.6</c:v>
                </c:pt>
                <c:pt idx="351">
                  <c:v>139.75</c:v>
                </c:pt>
                <c:pt idx="352">
                  <c:v>137.36000000000001</c:v>
                </c:pt>
                <c:pt idx="353">
                  <c:v>126.16</c:v>
                </c:pt>
                <c:pt idx="354">
                  <c:v>118.31</c:v>
                </c:pt>
                <c:pt idx="355">
                  <c:v>118.94</c:v>
                </c:pt>
                <c:pt idx="356">
                  <c:v>120.42</c:v>
                </c:pt>
                <c:pt idx="357">
                  <c:v>111</c:v>
                </c:pt>
                <c:pt idx="358">
                  <c:v>116.84</c:v>
                </c:pt>
                <c:pt idx="359">
                  <c:v>109.85</c:v>
                </c:pt>
                <c:pt idx="360">
                  <c:v>103.54</c:v>
                </c:pt>
                <c:pt idx="361">
                  <c:v>102.42</c:v>
                </c:pt>
                <c:pt idx="362">
                  <c:v>105.17</c:v>
                </c:pt>
                <c:pt idx="363">
                  <c:v>104.56</c:v>
                </c:pt>
                <c:pt idx="364">
                  <c:v>102.68</c:v>
                </c:pt>
                <c:pt idx="365">
                  <c:v>96.45</c:v>
                </c:pt>
                <c:pt idx="366">
                  <c:v>104.97</c:v>
                </c:pt>
                <c:pt idx="367">
                  <c:v>105</c:v>
                </c:pt>
                <c:pt idx="368">
                  <c:v>106.16</c:v>
                </c:pt>
                <c:pt idx="369">
                  <c:v>105.29</c:v>
                </c:pt>
                <c:pt idx="370">
                  <c:v>104.72</c:v>
                </c:pt>
                <c:pt idx="371">
                  <c:v>99.77</c:v>
                </c:pt>
                <c:pt idx="372">
                  <c:v>121.13</c:v>
                </c:pt>
                <c:pt idx="373">
                  <c:v>124.46</c:v>
                </c:pt>
                <c:pt idx="374">
                  <c:v>129.30000000000001</c:v>
                </c:pt>
                <c:pt idx="375">
                  <c:v>124.26</c:v>
                </c:pt>
                <c:pt idx="376">
                  <c:v>124.85</c:v>
                </c:pt>
                <c:pt idx="377">
                  <c:v>124.3</c:v>
                </c:pt>
                <c:pt idx="378">
                  <c:v>132.99</c:v>
                </c:pt>
                <c:pt idx="379">
                  <c:v>133.1</c:v>
                </c:pt>
                <c:pt idx="380">
                  <c:v>128.53</c:v>
                </c:pt>
                <c:pt idx="381">
                  <c:v>125.01</c:v>
                </c:pt>
                <c:pt idx="382">
                  <c:v>146.54</c:v>
                </c:pt>
                <c:pt idx="383">
                  <c:v>109.94</c:v>
                </c:pt>
                <c:pt idx="384">
                  <c:v>96.2</c:v>
                </c:pt>
                <c:pt idx="385">
                  <c:v>98.96</c:v>
                </c:pt>
                <c:pt idx="386">
                  <c:v>94.22</c:v>
                </c:pt>
                <c:pt idx="387">
                  <c:v>89.11</c:v>
                </c:pt>
                <c:pt idx="388">
                  <c:v>89.01</c:v>
                </c:pt>
                <c:pt idx="389">
                  <c:v>89.65</c:v>
                </c:pt>
                <c:pt idx="390">
                  <c:v>87.02</c:v>
                </c:pt>
                <c:pt idx="391">
                  <c:v>87.97</c:v>
                </c:pt>
                <c:pt idx="392">
                  <c:v>99.45</c:v>
                </c:pt>
                <c:pt idx="393">
                  <c:v>101.89</c:v>
                </c:pt>
                <c:pt idx="394">
                  <c:v>103.93</c:v>
                </c:pt>
                <c:pt idx="395">
                  <c:v>107.11</c:v>
                </c:pt>
                <c:pt idx="396">
                  <c:v>107.48</c:v>
                </c:pt>
                <c:pt idx="397">
                  <c:v>107.99</c:v>
                </c:pt>
                <c:pt idx="398">
                  <c:v>103.12</c:v>
                </c:pt>
                <c:pt idx="399">
                  <c:v>98.54</c:v>
                </c:pt>
                <c:pt idx="400">
                  <c:v>91.4</c:v>
                </c:pt>
                <c:pt idx="401">
                  <c:v>105.76</c:v>
                </c:pt>
                <c:pt idx="402">
                  <c:v>103.9</c:v>
                </c:pt>
                <c:pt idx="403">
                  <c:v>109.56</c:v>
                </c:pt>
                <c:pt idx="404">
                  <c:v>108.27</c:v>
                </c:pt>
                <c:pt idx="405">
                  <c:v>108.05</c:v>
                </c:pt>
                <c:pt idx="406">
                  <c:v>108.22</c:v>
                </c:pt>
                <c:pt idx="407">
                  <c:v>105.39</c:v>
                </c:pt>
                <c:pt idx="408">
                  <c:v>96.96</c:v>
                </c:pt>
                <c:pt idx="409">
                  <c:v>96.69</c:v>
                </c:pt>
                <c:pt idx="410">
                  <c:v>97.61</c:v>
                </c:pt>
                <c:pt idx="411">
                  <c:v>94.74</c:v>
                </c:pt>
                <c:pt idx="412">
                  <c:v>93.25</c:v>
                </c:pt>
                <c:pt idx="413">
                  <c:v>92.86</c:v>
                </c:pt>
                <c:pt idx="414">
                  <c:v>95.62</c:v>
                </c:pt>
                <c:pt idx="415">
                  <c:v>95.01</c:v>
                </c:pt>
                <c:pt idx="416">
                  <c:v>101.53</c:v>
                </c:pt>
                <c:pt idx="417">
                  <c:v>102.09</c:v>
                </c:pt>
                <c:pt idx="418">
                  <c:v>102.99</c:v>
                </c:pt>
                <c:pt idx="419">
                  <c:v>98.86</c:v>
                </c:pt>
                <c:pt idx="420">
                  <c:v>107.54</c:v>
                </c:pt>
                <c:pt idx="421">
                  <c:v>105.23</c:v>
                </c:pt>
                <c:pt idx="422">
                  <c:v>103.91</c:v>
                </c:pt>
                <c:pt idx="423">
                  <c:v>112.83</c:v>
                </c:pt>
                <c:pt idx="424">
                  <c:v>108.15</c:v>
                </c:pt>
                <c:pt idx="425">
                  <c:v>109.07</c:v>
                </c:pt>
                <c:pt idx="426">
                  <c:v>92.32</c:v>
                </c:pt>
                <c:pt idx="427">
                  <c:v>91.83</c:v>
                </c:pt>
                <c:pt idx="428">
                  <c:v>102.06</c:v>
                </c:pt>
                <c:pt idx="429">
                  <c:v>114.5</c:v>
                </c:pt>
                <c:pt idx="430">
                  <c:v>94.24</c:v>
                </c:pt>
                <c:pt idx="431">
                  <c:v>90.45</c:v>
                </c:pt>
                <c:pt idx="432">
                  <c:v>94.57</c:v>
                </c:pt>
                <c:pt idx="433">
                  <c:v>83.36</c:v>
                </c:pt>
                <c:pt idx="434">
                  <c:v>82.21</c:v>
                </c:pt>
                <c:pt idx="435">
                  <c:v>80.05</c:v>
                </c:pt>
                <c:pt idx="436">
                  <c:v>83.21</c:v>
                </c:pt>
                <c:pt idx="437">
                  <c:v>80.66</c:v>
                </c:pt>
                <c:pt idx="438">
                  <c:v>74.98</c:v>
                </c:pt>
                <c:pt idx="439">
                  <c:v>77.290000000000006</c:v>
                </c:pt>
                <c:pt idx="440">
                  <c:v>77.739999999999995</c:v>
                </c:pt>
                <c:pt idx="441">
                  <c:v>77.69</c:v>
                </c:pt>
                <c:pt idx="442">
                  <c:v>69.31</c:v>
                </c:pt>
                <c:pt idx="443">
                  <c:v>68.86</c:v>
                </c:pt>
                <c:pt idx="444">
                  <c:v>68.09</c:v>
                </c:pt>
                <c:pt idx="445">
                  <c:v>68.06</c:v>
                </c:pt>
                <c:pt idx="446">
                  <c:v>66.569999999999993</c:v>
                </c:pt>
                <c:pt idx="447">
                  <c:v>70.09</c:v>
                </c:pt>
                <c:pt idx="448">
                  <c:v>67.78</c:v>
                </c:pt>
                <c:pt idx="449">
                  <c:v>64.75</c:v>
                </c:pt>
                <c:pt idx="450">
                  <c:v>64.319999999999993</c:v>
                </c:pt>
                <c:pt idx="451">
                  <c:v>64.95</c:v>
                </c:pt>
                <c:pt idx="452">
                  <c:v>68.790000000000006</c:v>
                </c:pt>
                <c:pt idx="453">
                  <c:v>70.08</c:v>
                </c:pt>
                <c:pt idx="454">
                  <c:v>69.69</c:v>
                </c:pt>
                <c:pt idx="455">
                  <c:v>67.099999999999994</c:v>
                </c:pt>
                <c:pt idx="456">
                  <c:v>67.91</c:v>
                </c:pt>
                <c:pt idx="457">
                  <c:v>70.75</c:v>
                </c:pt>
                <c:pt idx="458">
                  <c:v>69.19</c:v>
                </c:pt>
                <c:pt idx="459">
                  <c:v>71.06</c:v>
                </c:pt>
                <c:pt idx="460">
                  <c:v>73.31</c:v>
                </c:pt>
                <c:pt idx="461">
                  <c:v>72.13</c:v>
                </c:pt>
                <c:pt idx="462">
                  <c:v>74.98</c:v>
                </c:pt>
                <c:pt idx="463">
                  <c:v>74.73</c:v>
                </c:pt>
                <c:pt idx="464">
                  <c:v>70.650000000000006</c:v>
                </c:pt>
                <c:pt idx="465">
                  <c:v>74.930000000000007</c:v>
                </c:pt>
                <c:pt idx="466">
                  <c:v>67.290000000000006</c:v>
                </c:pt>
                <c:pt idx="467">
                  <c:v>67.33</c:v>
                </c:pt>
                <c:pt idx="468">
                  <c:v>66.06</c:v>
                </c:pt>
                <c:pt idx="469">
                  <c:v>69.27</c:v>
                </c:pt>
                <c:pt idx="470">
                  <c:v>70.05</c:v>
                </c:pt>
                <c:pt idx="471">
                  <c:v>71.23</c:v>
                </c:pt>
                <c:pt idx="472">
                  <c:v>71.66</c:v>
                </c:pt>
                <c:pt idx="473">
                  <c:v>71.709999999999994</c:v>
                </c:pt>
                <c:pt idx="474">
                  <c:v>67.92</c:v>
                </c:pt>
                <c:pt idx="475">
                  <c:v>67.27</c:v>
                </c:pt>
                <c:pt idx="476">
                  <c:v>66.34</c:v>
                </c:pt>
                <c:pt idx="477">
                  <c:v>65.94</c:v>
                </c:pt>
                <c:pt idx="478">
                  <c:v>65.28</c:v>
                </c:pt>
                <c:pt idx="479">
                  <c:v>67.150000000000006</c:v>
                </c:pt>
                <c:pt idx="480">
                  <c:v>66.39</c:v>
                </c:pt>
                <c:pt idx="481">
                  <c:v>65.599999999999994</c:v>
                </c:pt>
                <c:pt idx="482">
                  <c:v>65.95</c:v>
                </c:pt>
                <c:pt idx="483">
                  <c:v>68.06</c:v>
                </c:pt>
                <c:pt idx="484">
                  <c:v>69.17</c:v>
                </c:pt>
                <c:pt idx="485">
                  <c:v>68.45</c:v>
                </c:pt>
                <c:pt idx="486">
                  <c:v>67.349999999999994</c:v>
                </c:pt>
                <c:pt idx="487">
                  <c:v>68.78</c:v>
                </c:pt>
                <c:pt idx="488">
                  <c:v>69.040000000000006</c:v>
                </c:pt>
                <c:pt idx="489">
                  <c:v>68.55</c:v>
                </c:pt>
                <c:pt idx="490">
                  <c:v>67.790000000000006</c:v>
                </c:pt>
                <c:pt idx="491">
                  <c:v>64.86</c:v>
                </c:pt>
                <c:pt idx="492">
                  <c:v>68.12</c:v>
                </c:pt>
                <c:pt idx="493">
                  <c:v>66.81</c:v>
                </c:pt>
                <c:pt idx="494">
                  <c:v>70.77</c:v>
                </c:pt>
                <c:pt idx="495">
                  <c:v>72.849999999999994</c:v>
                </c:pt>
                <c:pt idx="496">
                  <c:v>72.239999999999995</c:v>
                </c:pt>
                <c:pt idx="497">
                  <c:v>73.319999999999993</c:v>
                </c:pt>
                <c:pt idx="498">
                  <c:v>73.010000000000005</c:v>
                </c:pt>
                <c:pt idx="499">
                  <c:v>72.95</c:v>
                </c:pt>
                <c:pt idx="500">
                  <c:v>75.13</c:v>
                </c:pt>
                <c:pt idx="501">
                  <c:v>75.53</c:v>
                </c:pt>
                <c:pt idx="502">
                  <c:v>79.34</c:v>
                </c:pt>
                <c:pt idx="503">
                  <c:v>77.09</c:v>
                </c:pt>
                <c:pt idx="504">
                  <c:v>77.010000000000005</c:v>
                </c:pt>
                <c:pt idx="505">
                  <c:v>75.5</c:v>
                </c:pt>
                <c:pt idx="506">
                  <c:v>74.739999999999995</c:v>
                </c:pt>
                <c:pt idx="507">
                  <c:v>76.05</c:v>
                </c:pt>
                <c:pt idx="508">
                  <c:v>70.12</c:v>
                </c:pt>
                <c:pt idx="509">
                  <c:v>68.02</c:v>
                </c:pt>
                <c:pt idx="510">
                  <c:v>72.62</c:v>
                </c:pt>
                <c:pt idx="511">
                  <c:v>66.599999999999994</c:v>
                </c:pt>
                <c:pt idx="512">
                  <c:v>83.27</c:v>
                </c:pt>
                <c:pt idx="513">
                  <c:v>89.05</c:v>
                </c:pt>
                <c:pt idx="514">
                  <c:v>86.1</c:v>
                </c:pt>
                <c:pt idx="515">
                  <c:v>88.27</c:v>
                </c:pt>
                <c:pt idx="516">
                  <c:v>85</c:v>
                </c:pt>
                <c:pt idx="517">
                  <c:v>84.99</c:v>
                </c:pt>
                <c:pt idx="518">
                  <c:v>83.35</c:v>
                </c:pt>
                <c:pt idx="519">
                  <c:v>85.8</c:v>
                </c:pt>
                <c:pt idx="520">
                  <c:v>84.5</c:v>
                </c:pt>
                <c:pt idx="521">
                  <c:v>91.82</c:v>
                </c:pt>
                <c:pt idx="522">
                  <c:v>91.41</c:v>
                </c:pt>
                <c:pt idx="523">
                  <c:v>90.82</c:v>
                </c:pt>
                <c:pt idx="524">
                  <c:v>86.75</c:v>
                </c:pt>
                <c:pt idx="525">
                  <c:v>91.5</c:v>
                </c:pt>
                <c:pt idx="526">
                  <c:v>87.72</c:v>
                </c:pt>
                <c:pt idx="527">
                  <c:v>92.66</c:v>
                </c:pt>
                <c:pt idx="528">
                  <c:v>97.62</c:v>
                </c:pt>
                <c:pt idx="529">
                  <c:v>95.06</c:v>
                </c:pt>
                <c:pt idx="530">
                  <c:v>93.95</c:v>
                </c:pt>
                <c:pt idx="531">
                  <c:v>92</c:v>
                </c:pt>
                <c:pt idx="532">
                  <c:v>92.77</c:v>
                </c:pt>
                <c:pt idx="533">
                  <c:v>91.7</c:v>
                </c:pt>
                <c:pt idx="534">
                  <c:v>88.55</c:v>
                </c:pt>
                <c:pt idx="535">
                  <c:v>95.54</c:v>
                </c:pt>
                <c:pt idx="536">
                  <c:v>97.72</c:v>
                </c:pt>
                <c:pt idx="537">
                  <c:v>98.36</c:v>
                </c:pt>
                <c:pt idx="538">
                  <c:v>96.53</c:v>
                </c:pt>
                <c:pt idx="539">
                  <c:v>100.42</c:v>
                </c:pt>
                <c:pt idx="540">
                  <c:v>92.2</c:v>
                </c:pt>
                <c:pt idx="541">
                  <c:v>86.88</c:v>
                </c:pt>
                <c:pt idx="542">
                  <c:v>87.72</c:v>
                </c:pt>
                <c:pt idx="543">
                  <c:v>85.29</c:v>
                </c:pt>
                <c:pt idx="544">
                  <c:v>93.13</c:v>
                </c:pt>
                <c:pt idx="545">
                  <c:v>82.45</c:v>
                </c:pt>
                <c:pt idx="546">
                  <c:v>81.150000000000006</c:v>
                </c:pt>
                <c:pt idx="547">
                  <c:v>81.38</c:v>
                </c:pt>
                <c:pt idx="548">
                  <c:v>79.819999999999993</c:v>
                </c:pt>
                <c:pt idx="549">
                  <c:v>77.55</c:v>
                </c:pt>
                <c:pt idx="550">
                  <c:v>75.3</c:v>
                </c:pt>
                <c:pt idx="551">
                  <c:v>74.650000000000006</c:v>
                </c:pt>
                <c:pt idx="552">
                  <c:v>71.94</c:v>
                </c:pt>
                <c:pt idx="553">
                  <c:v>73.349999999999994</c:v>
                </c:pt>
                <c:pt idx="554">
                  <c:v>73.38</c:v>
                </c:pt>
                <c:pt idx="555">
                  <c:v>71.09</c:v>
                </c:pt>
                <c:pt idx="556">
                  <c:v>68.86</c:v>
                </c:pt>
                <c:pt idx="557">
                  <c:v>70.349999999999994</c:v>
                </c:pt>
                <c:pt idx="558">
                  <c:v>69.2</c:v>
                </c:pt>
                <c:pt idx="559">
                  <c:v>69.58</c:v>
                </c:pt>
                <c:pt idx="560">
                  <c:v>69.28</c:v>
                </c:pt>
                <c:pt idx="561">
                  <c:v>71.12</c:v>
                </c:pt>
                <c:pt idx="562">
                  <c:v>71.819999999999993</c:v>
                </c:pt>
                <c:pt idx="563">
                  <c:v>71.84</c:v>
                </c:pt>
                <c:pt idx="564">
                  <c:v>72.05</c:v>
                </c:pt>
                <c:pt idx="565">
                  <c:v>72.680000000000007</c:v>
                </c:pt>
                <c:pt idx="566">
                  <c:v>71.75</c:v>
                </c:pt>
                <c:pt idx="567">
                  <c:v>71.86</c:v>
                </c:pt>
                <c:pt idx="568">
                  <c:v>72.7</c:v>
                </c:pt>
                <c:pt idx="569">
                  <c:v>69.92</c:v>
                </c:pt>
                <c:pt idx="570">
                  <c:v>70.260000000000005</c:v>
                </c:pt>
                <c:pt idx="571">
                  <c:v>67.239999999999995</c:v>
                </c:pt>
                <c:pt idx="572">
                  <c:v>67.63</c:v>
                </c:pt>
                <c:pt idx="573">
                  <c:v>66.459999999999994</c:v>
                </c:pt>
                <c:pt idx="574">
                  <c:v>66.62</c:v>
                </c:pt>
                <c:pt idx="575">
                  <c:v>68.31</c:v>
                </c:pt>
                <c:pt idx="576">
                  <c:v>68.11</c:v>
                </c:pt>
                <c:pt idx="577">
                  <c:v>68.930000000000007</c:v>
                </c:pt>
                <c:pt idx="578">
                  <c:v>67.7</c:v>
                </c:pt>
                <c:pt idx="579">
                  <c:v>66.92</c:v>
                </c:pt>
                <c:pt idx="580">
                  <c:v>70.680000000000007</c:v>
                </c:pt>
                <c:pt idx="581">
                  <c:v>71.11</c:v>
                </c:pt>
                <c:pt idx="582">
                  <c:v>72.42</c:v>
                </c:pt>
                <c:pt idx="583">
                  <c:v>74.010000000000005</c:v>
                </c:pt>
                <c:pt idx="584">
                  <c:v>72.33</c:v>
                </c:pt>
                <c:pt idx="585">
                  <c:v>70.14</c:v>
                </c:pt>
                <c:pt idx="586">
                  <c:v>71.010000000000005</c:v>
                </c:pt>
                <c:pt idx="587">
                  <c:v>70.099999999999994</c:v>
                </c:pt>
                <c:pt idx="588">
                  <c:v>71.459999999999994</c:v>
                </c:pt>
                <c:pt idx="589">
                  <c:v>72.42</c:v>
                </c:pt>
                <c:pt idx="590">
                  <c:v>72.63</c:v>
                </c:pt>
                <c:pt idx="591">
                  <c:v>71.77</c:v>
                </c:pt>
                <c:pt idx="592">
                  <c:v>72.56</c:v>
                </c:pt>
                <c:pt idx="593">
                  <c:v>74.180000000000007</c:v>
                </c:pt>
                <c:pt idx="594">
                  <c:v>73.27</c:v>
                </c:pt>
                <c:pt idx="595">
                  <c:v>72.239999999999995</c:v>
                </c:pt>
                <c:pt idx="596">
                  <c:v>78.209999999999994</c:v>
                </c:pt>
                <c:pt idx="597">
                  <c:v>77.42</c:v>
                </c:pt>
                <c:pt idx="598">
                  <c:v>77.77</c:v>
                </c:pt>
                <c:pt idx="599">
                  <c:v>77.989999999999995</c:v>
                </c:pt>
                <c:pt idx="600">
                  <c:v>78.3</c:v>
                </c:pt>
                <c:pt idx="601">
                  <c:v>77.81</c:v>
                </c:pt>
                <c:pt idx="602">
                  <c:v>78.599999999999994</c:v>
                </c:pt>
                <c:pt idx="603">
                  <c:v>78.2</c:v>
                </c:pt>
                <c:pt idx="604">
                  <c:v>78.260000000000005</c:v>
                </c:pt>
                <c:pt idx="605">
                  <c:v>80.06</c:v>
                </c:pt>
                <c:pt idx="606">
                  <c:v>76.33</c:v>
                </c:pt>
                <c:pt idx="607">
                  <c:v>79.010000000000005</c:v>
                </c:pt>
                <c:pt idx="608">
                  <c:v>74.16</c:v>
                </c:pt>
                <c:pt idx="609">
                  <c:v>75.06</c:v>
                </c:pt>
                <c:pt idx="610">
                  <c:v>73.599999999999994</c:v>
                </c:pt>
                <c:pt idx="611">
                  <c:v>72.61</c:v>
                </c:pt>
                <c:pt idx="612">
                  <c:v>73.599999999999994</c:v>
                </c:pt>
                <c:pt idx="613">
                  <c:v>71.67</c:v>
                </c:pt>
                <c:pt idx="614">
                  <c:v>73.87</c:v>
                </c:pt>
                <c:pt idx="615">
                  <c:v>74.77</c:v>
                </c:pt>
                <c:pt idx="616">
                  <c:v>73.09</c:v>
                </c:pt>
                <c:pt idx="617">
                  <c:v>78.349999999999994</c:v>
                </c:pt>
                <c:pt idx="618">
                  <c:v>77.150000000000006</c:v>
                </c:pt>
                <c:pt idx="619">
                  <c:v>76.2</c:v>
                </c:pt>
                <c:pt idx="620">
                  <c:v>75.03</c:v>
                </c:pt>
                <c:pt idx="621">
                  <c:v>73.709999999999994</c:v>
                </c:pt>
                <c:pt idx="622">
                  <c:v>72.44</c:v>
                </c:pt>
                <c:pt idx="623">
                  <c:v>74.56</c:v>
                </c:pt>
                <c:pt idx="624">
                  <c:v>73.81</c:v>
                </c:pt>
                <c:pt idx="625">
                  <c:v>73.31</c:v>
                </c:pt>
                <c:pt idx="626">
                  <c:v>69.73</c:v>
                </c:pt>
                <c:pt idx="627">
                  <c:v>72.099999999999994</c:v>
                </c:pt>
                <c:pt idx="628">
                  <c:v>79.59</c:v>
                </c:pt>
                <c:pt idx="629">
                  <c:v>81.8</c:v>
                </c:pt>
                <c:pt idx="630">
                  <c:v>78.760000000000005</c:v>
                </c:pt>
                <c:pt idx="631">
                  <c:v>77.11</c:v>
                </c:pt>
                <c:pt idx="632">
                  <c:v>79.37</c:v>
                </c:pt>
                <c:pt idx="633">
                  <c:v>79.540000000000006</c:v>
                </c:pt>
                <c:pt idx="634">
                  <c:v>81.069999999999993</c:v>
                </c:pt>
                <c:pt idx="635">
                  <c:v>83.26</c:v>
                </c:pt>
                <c:pt idx="636">
                  <c:v>82.95</c:v>
                </c:pt>
                <c:pt idx="637">
                  <c:v>80.739999999999995</c:v>
                </c:pt>
                <c:pt idx="638">
                  <c:v>85.36</c:v>
                </c:pt>
                <c:pt idx="639">
                  <c:v>82.21</c:v>
                </c:pt>
                <c:pt idx="640">
                  <c:v>82.75</c:v>
                </c:pt>
                <c:pt idx="641">
                  <c:v>84.12</c:v>
                </c:pt>
                <c:pt idx="642">
                  <c:v>85.78</c:v>
                </c:pt>
                <c:pt idx="643">
                  <c:v>81.37</c:v>
                </c:pt>
                <c:pt idx="644">
                  <c:v>81.260000000000005</c:v>
                </c:pt>
                <c:pt idx="645">
                  <c:v>80.8</c:v>
                </c:pt>
                <c:pt idx="646">
                  <c:v>74.48</c:v>
                </c:pt>
                <c:pt idx="647">
                  <c:v>74.290000000000006</c:v>
                </c:pt>
                <c:pt idx="648">
                  <c:v>80.23</c:v>
                </c:pt>
                <c:pt idx="649">
                  <c:v>80.16</c:v>
                </c:pt>
                <c:pt idx="650">
                  <c:v>76.31</c:v>
                </c:pt>
                <c:pt idx="651">
                  <c:v>76.09</c:v>
                </c:pt>
                <c:pt idx="652">
                  <c:v>70.7</c:v>
                </c:pt>
                <c:pt idx="653">
                  <c:v>72.319999999999993</c:v>
                </c:pt>
                <c:pt idx="654">
                  <c:v>73.13</c:v>
                </c:pt>
                <c:pt idx="655">
                  <c:v>74.099999999999994</c:v>
                </c:pt>
                <c:pt idx="656">
                  <c:v>74.97</c:v>
                </c:pt>
                <c:pt idx="657">
                  <c:v>74.099999999999994</c:v>
                </c:pt>
                <c:pt idx="658">
                  <c:v>82.83</c:v>
                </c:pt>
                <c:pt idx="659">
                  <c:v>75.52</c:v>
                </c:pt>
                <c:pt idx="660">
                  <c:v>72.22</c:v>
                </c:pt>
                <c:pt idx="661">
                  <c:v>73.19</c:v>
                </c:pt>
                <c:pt idx="662">
                  <c:v>66.89</c:v>
                </c:pt>
                <c:pt idx="663">
                  <c:v>68.459999999999994</c:v>
                </c:pt>
                <c:pt idx="664">
                  <c:v>67.400000000000006</c:v>
                </c:pt>
                <c:pt idx="665">
                  <c:v>67.510000000000005</c:v>
                </c:pt>
                <c:pt idx="666">
                  <c:v>66.03</c:v>
                </c:pt>
                <c:pt idx="667">
                  <c:v>64.97</c:v>
                </c:pt>
                <c:pt idx="668">
                  <c:v>65.81</c:v>
                </c:pt>
                <c:pt idx="669">
                  <c:v>60.46</c:v>
                </c:pt>
                <c:pt idx="670">
                  <c:v>65.209999999999994</c:v>
                </c:pt>
                <c:pt idx="671">
                  <c:v>67.59</c:v>
                </c:pt>
                <c:pt idx="672">
                  <c:v>68.23</c:v>
                </c:pt>
                <c:pt idx="673">
                  <c:v>67.72</c:v>
                </c:pt>
                <c:pt idx="674">
                  <c:v>69.53</c:v>
                </c:pt>
                <c:pt idx="675">
                  <c:v>70.87</c:v>
                </c:pt>
                <c:pt idx="676">
                  <c:v>62.44</c:v>
                </c:pt>
                <c:pt idx="677">
                  <c:v>71.37</c:v>
                </c:pt>
                <c:pt idx="678">
                  <c:v>71.78</c:v>
                </c:pt>
                <c:pt idx="679">
                  <c:v>65.47</c:v>
                </c:pt>
                <c:pt idx="680">
                  <c:v>62.64</c:v>
                </c:pt>
                <c:pt idx="681">
                  <c:v>45.57</c:v>
                </c:pt>
                <c:pt idx="682">
                  <c:v>43.12</c:v>
                </c:pt>
                <c:pt idx="683">
                  <c:v>47.31</c:v>
                </c:pt>
                <c:pt idx="684">
                  <c:v>45.97</c:v>
                </c:pt>
                <c:pt idx="685">
                  <c:v>51.16</c:v>
                </c:pt>
                <c:pt idx="686">
                  <c:v>44.4</c:v>
                </c:pt>
                <c:pt idx="687">
                  <c:v>72.239999999999995</c:v>
                </c:pt>
                <c:pt idx="688">
                  <c:v>74.599999999999994</c:v>
                </c:pt>
                <c:pt idx="689">
                  <c:v>73.650000000000006</c:v>
                </c:pt>
                <c:pt idx="690">
                  <c:v>73.7</c:v>
                </c:pt>
                <c:pt idx="691">
                  <c:v>88.12</c:v>
                </c:pt>
                <c:pt idx="692">
                  <c:v>93.94</c:v>
                </c:pt>
                <c:pt idx="693">
                  <c:v>89.87</c:v>
                </c:pt>
                <c:pt idx="694">
                  <c:v>86.88</c:v>
                </c:pt>
                <c:pt idx="695">
                  <c:v>88.56</c:v>
                </c:pt>
                <c:pt idx="696">
                  <c:v>90.26</c:v>
                </c:pt>
                <c:pt idx="697">
                  <c:v>84.59</c:v>
                </c:pt>
                <c:pt idx="698">
                  <c:v>85.35</c:v>
                </c:pt>
                <c:pt idx="699">
                  <c:v>88.09</c:v>
                </c:pt>
                <c:pt idx="700">
                  <c:v>89.88</c:v>
                </c:pt>
                <c:pt idx="701">
                  <c:v>84.29</c:v>
                </c:pt>
                <c:pt idx="702">
                  <c:v>95.52</c:v>
                </c:pt>
                <c:pt idx="703">
                  <c:v>103.41</c:v>
                </c:pt>
                <c:pt idx="704">
                  <c:v>108.09</c:v>
                </c:pt>
                <c:pt idx="705">
                  <c:v>103.79</c:v>
                </c:pt>
                <c:pt idx="706">
                  <c:v>107.39</c:v>
                </c:pt>
                <c:pt idx="707">
                  <c:v>104.82</c:v>
                </c:pt>
                <c:pt idx="708">
                  <c:v>104.87</c:v>
                </c:pt>
                <c:pt idx="709">
                  <c:v>115.56</c:v>
                </c:pt>
                <c:pt idx="710">
                  <c:v>114.66</c:v>
                </c:pt>
                <c:pt idx="711">
                  <c:v>110.73</c:v>
                </c:pt>
                <c:pt idx="712">
                  <c:v>120.73</c:v>
                </c:pt>
                <c:pt idx="713">
                  <c:v>133.34</c:v>
                </c:pt>
                <c:pt idx="714">
                  <c:v>131.18</c:v>
                </c:pt>
                <c:pt idx="715">
                  <c:v>133.53</c:v>
                </c:pt>
                <c:pt idx="716">
                  <c:v>129.19999999999999</c:v>
                </c:pt>
                <c:pt idx="717">
                  <c:v>127.58</c:v>
                </c:pt>
                <c:pt idx="718">
                  <c:v>128.51</c:v>
                </c:pt>
                <c:pt idx="719">
                  <c:v>126.29</c:v>
                </c:pt>
                <c:pt idx="720">
                  <c:v>118.68</c:v>
                </c:pt>
                <c:pt idx="721">
                  <c:v>120.32</c:v>
                </c:pt>
                <c:pt idx="722">
                  <c:v>122.98</c:v>
                </c:pt>
                <c:pt idx="723">
                  <c:v>110.87</c:v>
                </c:pt>
                <c:pt idx="724">
                  <c:v>115.34</c:v>
                </c:pt>
                <c:pt idx="725">
                  <c:v>114.29</c:v>
                </c:pt>
                <c:pt idx="726">
                  <c:v>116.7</c:v>
                </c:pt>
                <c:pt idx="727">
                  <c:v>115.85</c:v>
                </c:pt>
                <c:pt idx="728">
                  <c:v>121.9</c:v>
                </c:pt>
                <c:pt idx="729">
                  <c:v>121.97</c:v>
                </c:pt>
                <c:pt idx="730">
                  <c:v>115.91</c:v>
                </c:pt>
                <c:pt idx="731">
                  <c:v>112.78</c:v>
                </c:pt>
                <c:pt idx="732">
                  <c:v>111.01</c:v>
                </c:pt>
                <c:pt idx="733">
                  <c:v>101.31</c:v>
                </c:pt>
                <c:pt idx="734">
                  <c:v>100.11</c:v>
                </c:pt>
                <c:pt idx="735">
                  <c:v>102.72</c:v>
                </c:pt>
                <c:pt idx="736">
                  <c:v>107.8</c:v>
                </c:pt>
                <c:pt idx="737">
                  <c:v>110.5</c:v>
                </c:pt>
                <c:pt idx="738">
                  <c:v>109.91</c:v>
                </c:pt>
                <c:pt idx="739">
                  <c:v>104.92</c:v>
                </c:pt>
                <c:pt idx="740">
                  <c:v>101.15</c:v>
                </c:pt>
                <c:pt idx="741">
                  <c:v>113.04</c:v>
                </c:pt>
                <c:pt idx="742">
                  <c:v>127.45</c:v>
                </c:pt>
                <c:pt idx="743">
                  <c:v>133.6</c:v>
                </c:pt>
                <c:pt idx="744">
                  <c:v>89.28</c:v>
                </c:pt>
                <c:pt idx="745">
                  <c:v>69.430000000000007</c:v>
                </c:pt>
                <c:pt idx="746">
                  <c:v>66.19</c:v>
                </c:pt>
                <c:pt idx="747">
                  <c:v>63.46</c:v>
                </c:pt>
                <c:pt idx="748">
                  <c:v>56.88</c:v>
                </c:pt>
                <c:pt idx="749">
                  <c:v>50.54</c:v>
                </c:pt>
                <c:pt idx="750">
                  <c:v>52.42</c:v>
                </c:pt>
                <c:pt idx="751">
                  <c:v>54.62</c:v>
                </c:pt>
                <c:pt idx="752">
                  <c:v>56.57</c:v>
                </c:pt>
                <c:pt idx="753">
                  <c:v>51.17</c:v>
                </c:pt>
                <c:pt idx="754">
                  <c:v>46.19</c:v>
                </c:pt>
                <c:pt idx="755">
                  <c:v>43.92</c:v>
                </c:pt>
                <c:pt idx="756">
                  <c:v>40.04</c:v>
                </c:pt>
                <c:pt idx="757">
                  <c:v>41.84</c:v>
                </c:pt>
                <c:pt idx="758">
                  <c:v>41.16</c:v>
                </c:pt>
                <c:pt idx="759">
                  <c:v>42.26</c:v>
                </c:pt>
                <c:pt idx="760">
                  <c:v>44.54</c:v>
                </c:pt>
                <c:pt idx="761">
                  <c:v>41.78</c:v>
                </c:pt>
                <c:pt idx="762">
                  <c:v>39.630000000000003</c:v>
                </c:pt>
                <c:pt idx="763">
                  <c:v>39.89</c:v>
                </c:pt>
                <c:pt idx="764">
                  <c:v>40.74</c:v>
                </c:pt>
                <c:pt idx="765">
                  <c:v>41.64</c:v>
                </c:pt>
                <c:pt idx="766">
                  <c:v>42.91</c:v>
                </c:pt>
                <c:pt idx="767">
                  <c:v>44.16</c:v>
                </c:pt>
                <c:pt idx="768">
                  <c:v>42.64</c:v>
                </c:pt>
                <c:pt idx="769">
                  <c:v>43.25</c:v>
                </c:pt>
                <c:pt idx="770">
                  <c:v>42.76</c:v>
                </c:pt>
                <c:pt idx="771">
                  <c:v>44.47</c:v>
                </c:pt>
                <c:pt idx="772">
                  <c:v>41.17</c:v>
                </c:pt>
                <c:pt idx="773">
                  <c:v>45.97</c:v>
                </c:pt>
                <c:pt idx="774">
                  <c:v>50.8</c:v>
                </c:pt>
                <c:pt idx="775">
                  <c:v>49.52</c:v>
                </c:pt>
                <c:pt idx="776">
                  <c:v>50.69</c:v>
                </c:pt>
                <c:pt idx="777">
                  <c:v>49.84</c:v>
                </c:pt>
                <c:pt idx="778">
                  <c:v>49.67</c:v>
                </c:pt>
                <c:pt idx="779">
                  <c:v>49.89</c:v>
                </c:pt>
                <c:pt idx="780">
                  <c:v>51.16</c:v>
                </c:pt>
                <c:pt idx="781">
                  <c:v>51.77</c:v>
                </c:pt>
                <c:pt idx="782">
                  <c:v>52.39</c:v>
                </c:pt>
                <c:pt idx="783">
                  <c:v>52.5</c:v>
                </c:pt>
                <c:pt idx="784">
                  <c:v>49.96</c:v>
                </c:pt>
                <c:pt idx="785">
                  <c:v>50.22</c:v>
                </c:pt>
                <c:pt idx="786">
                  <c:v>51.29</c:v>
                </c:pt>
                <c:pt idx="787">
                  <c:v>51.6</c:v>
                </c:pt>
                <c:pt idx="788">
                  <c:v>53.08</c:v>
                </c:pt>
                <c:pt idx="789">
                  <c:v>54.99</c:v>
                </c:pt>
                <c:pt idx="790">
                  <c:v>56.98</c:v>
                </c:pt>
                <c:pt idx="791">
                  <c:v>52.28</c:v>
                </c:pt>
                <c:pt idx="792">
                  <c:v>50.41</c:v>
                </c:pt>
                <c:pt idx="793">
                  <c:v>50.18</c:v>
                </c:pt>
                <c:pt idx="794">
                  <c:v>49.78</c:v>
                </c:pt>
                <c:pt idx="795">
                  <c:v>50.89</c:v>
                </c:pt>
                <c:pt idx="796">
                  <c:v>54.43</c:v>
                </c:pt>
                <c:pt idx="797">
                  <c:v>55.08</c:v>
                </c:pt>
                <c:pt idx="798">
                  <c:v>60.35</c:v>
                </c:pt>
                <c:pt idx="799">
                  <c:v>63.56</c:v>
                </c:pt>
                <c:pt idx="800">
                  <c:v>65.239999999999995</c:v>
                </c:pt>
                <c:pt idx="801">
                  <c:v>64.239999999999995</c:v>
                </c:pt>
                <c:pt idx="802">
                  <c:v>67.67</c:v>
                </c:pt>
                <c:pt idx="803">
                  <c:v>67.91</c:v>
                </c:pt>
                <c:pt idx="804">
                  <c:v>68.02</c:v>
                </c:pt>
                <c:pt idx="805">
                  <c:v>68.75</c:v>
                </c:pt>
                <c:pt idx="806">
                  <c:v>69.72</c:v>
                </c:pt>
                <c:pt idx="807">
                  <c:v>70.209999999999994</c:v>
                </c:pt>
                <c:pt idx="808">
                  <c:v>70.150000000000006</c:v>
                </c:pt>
                <c:pt idx="809">
                  <c:v>71.41</c:v>
                </c:pt>
                <c:pt idx="810">
                  <c:v>69.58</c:v>
                </c:pt>
                <c:pt idx="811">
                  <c:v>69.319999999999993</c:v>
                </c:pt>
                <c:pt idx="812">
                  <c:v>72.180000000000007</c:v>
                </c:pt>
                <c:pt idx="813">
                  <c:v>74.09</c:v>
                </c:pt>
                <c:pt idx="814">
                  <c:v>74.34</c:v>
                </c:pt>
                <c:pt idx="815">
                  <c:v>72.69</c:v>
                </c:pt>
                <c:pt idx="816">
                  <c:v>71.16</c:v>
                </c:pt>
                <c:pt idx="817">
                  <c:v>72.12</c:v>
                </c:pt>
                <c:pt idx="818">
                  <c:v>71.81</c:v>
                </c:pt>
                <c:pt idx="819">
                  <c:v>71.47</c:v>
                </c:pt>
                <c:pt idx="820">
                  <c:v>72.05</c:v>
                </c:pt>
                <c:pt idx="821">
                  <c:v>72.98</c:v>
                </c:pt>
                <c:pt idx="822">
                  <c:v>71.62</c:v>
                </c:pt>
                <c:pt idx="823">
                  <c:v>71.849999999999994</c:v>
                </c:pt>
                <c:pt idx="824">
                  <c:v>70.45</c:v>
                </c:pt>
                <c:pt idx="825">
                  <c:v>70.31</c:v>
                </c:pt>
                <c:pt idx="826">
                  <c:v>62.31</c:v>
                </c:pt>
                <c:pt idx="827">
                  <c:v>62.72</c:v>
                </c:pt>
                <c:pt idx="828">
                  <c:v>67.209999999999994</c:v>
                </c:pt>
                <c:pt idx="829">
                  <c:v>68.55</c:v>
                </c:pt>
                <c:pt idx="830">
                  <c:v>69.16</c:v>
                </c:pt>
                <c:pt idx="831">
                  <c:v>67.38</c:v>
                </c:pt>
                <c:pt idx="832">
                  <c:v>67.95</c:v>
                </c:pt>
                <c:pt idx="833">
                  <c:v>68.88</c:v>
                </c:pt>
                <c:pt idx="834">
                  <c:v>68.040000000000006</c:v>
                </c:pt>
                <c:pt idx="835">
                  <c:v>71.38</c:v>
                </c:pt>
                <c:pt idx="836">
                  <c:v>71.150000000000006</c:v>
                </c:pt>
                <c:pt idx="837">
                  <c:v>70.41</c:v>
                </c:pt>
                <c:pt idx="838">
                  <c:v>70.61</c:v>
                </c:pt>
                <c:pt idx="839">
                  <c:v>69.45</c:v>
                </c:pt>
                <c:pt idx="840">
                  <c:v>72.599999999999994</c:v>
                </c:pt>
                <c:pt idx="841">
                  <c:v>73.680000000000007</c:v>
                </c:pt>
                <c:pt idx="842">
                  <c:v>70.680000000000007</c:v>
                </c:pt>
                <c:pt idx="843">
                  <c:v>70.739999999999995</c:v>
                </c:pt>
                <c:pt idx="844">
                  <c:v>69.31</c:v>
                </c:pt>
                <c:pt idx="845">
                  <c:v>69.77</c:v>
                </c:pt>
                <c:pt idx="846">
                  <c:v>69.45</c:v>
                </c:pt>
                <c:pt idx="847">
                  <c:v>69.209999999999994</c:v>
                </c:pt>
                <c:pt idx="848">
                  <c:v>70.510000000000005</c:v>
                </c:pt>
                <c:pt idx="849">
                  <c:v>69.98</c:v>
                </c:pt>
                <c:pt idx="850">
                  <c:v>70.94</c:v>
                </c:pt>
                <c:pt idx="851">
                  <c:v>68.86</c:v>
                </c:pt>
                <c:pt idx="852">
                  <c:v>70.78</c:v>
                </c:pt>
                <c:pt idx="853">
                  <c:v>71.27</c:v>
                </c:pt>
                <c:pt idx="854">
                  <c:v>68.7</c:v>
                </c:pt>
                <c:pt idx="855">
                  <c:v>72.69</c:v>
                </c:pt>
                <c:pt idx="856">
                  <c:v>71.790000000000006</c:v>
                </c:pt>
                <c:pt idx="857">
                  <c:v>86.78</c:v>
                </c:pt>
                <c:pt idx="858">
                  <c:v>90.64</c:v>
                </c:pt>
                <c:pt idx="859">
                  <c:v>93</c:v>
                </c:pt>
                <c:pt idx="860">
                  <c:v>96.73</c:v>
                </c:pt>
                <c:pt idx="861">
                  <c:v>99.7</c:v>
                </c:pt>
                <c:pt idx="862">
                  <c:v>97.8</c:v>
                </c:pt>
                <c:pt idx="863">
                  <c:v>94.1</c:v>
                </c:pt>
                <c:pt idx="864">
                  <c:v>92.49</c:v>
                </c:pt>
                <c:pt idx="865">
                  <c:v>88.89</c:v>
                </c:pt>
                <c:pt idx="866">
                  <c:v>91.26</c:v>
                </c:pt>
                <c:pt idx="867">
                  <c:v>93.49</c:v>
                </c:pt>
                <c:pt idx="868">
                  <c:v>85.25</c:v>
                </c:pt>
                <c:pt idx="869">
                  <c:v>82.44</c:v>
                </c:pt>
                <c:pt idx="870">
                  <c:v>83.11</c:v>
                </c:pt>
                <c:pt idx="871">
                  <c:v>86</c:v>
                </c:pt>
                <c:pt idx="872">
                  <c:v>87.62</c:v>
                </c:pt>
                <c:pt idx="873">
                  <c:v>83.82</c:v>
                </c:pt>
                <c:pt idx="874">
                  <c:v>80.02</c:v>
                </c:pt>
                <c:pt idx="875">
                  <c:v>80.08</c:v>
                </c:pt>
                <c:pt idx="876">
                  <c:v>80.900000000000006</c:v>
                </c:pt>
                <c:pt idx="877">
                  <c:v>82.83</c:v>
                </c:pt>
                <c:pt idx="878">
                  <c:v>81.239999999999995</c:v>
                </c:pt>
                <c:pt idx="879">
                  <c:v>79.319999999999993</c:v>
                </c:pt>
                <c:pt idx="880">
                  <c:v>79.86</c:v>
                </c:pt>
                <c:pt idx="881">
                  <c:v>80.2</c:v>
                </c:pt>
                <c:pt idx="882">
                  <c:v>79.78</c:v>
                </c:pt>
                <c:pt idx="883">
                  <c:v>84.7</c:v>
                </c:pt>
                <c:pt idx="884">
                  <c:v>90.72</c:v>
                </c:pt>
                <c:pt idx="885">
                  <c:v>92.28</c:v>
                </c:pt>
                <c:pt idx="886">
                  <c:v>91.26</c:v>
                </c:pt>
                <c:pt idx="887">
                  <c:v>92.09</c:v>
                </c:pt>
                <c:pt idx="888">
                  <c:v>93.55</c:v>
                </c:pt>
                <c:pt idx="889">
                  <c:v>90.84</c:v>
                </c:pt>
                <c:pt idx="890">
                  <c:v>90.16</c:v>
                </c:pt>
                <c:pt idx="891">
                  <c:v>93.5</c:v>
                </c:pt>
                <c:pt idx="892">
                  <c:v>97.14</c:v>
                </c:pt>
                <c:pt idx="893">
                  <c:v>94.78</c:v>
                </c:pt>
                <c:pt idx="894">
                  <c:v>91.63</c:v>
                </c:pt>
                <c:pt idx="895">
                  <c:v>93.15</c:v>
                </c:pt>
                <c:pt idx="896">
                  <c:v>94.75</c:v>
                </c:pt>
                <c:pt idx="897">
                  <c:v>95.99</c:v>
                </c:pt>
                <c:pt idx="898">
                  <c:v>101.42</c:v>
                </c:pt>
                <c:pt idx="899">
                  <c:v>104.45</c:v>
                </c:pt>
                <c:pt idx="900">
                  <c:v>106.53</c:v>
                </c:pt>
                <c:pt idx="901">
                  <c:v>99.29</c:v>
                </c:pt>
                <c:pt idx="902">
                  <c:v>103.52</c:v>
                </c:pt>
                <c:pt idx="903">
                  <c:v>105.96</c:v>
                </c:pt>
                <c:pt idx="904">
                  <c:v>107.38</c:v>
                </c:pt>
                <c:pt idx="905">
                  <c:v>106.58</c:v>
                </c:pt>
                <c:pt idx="906">
                  <c:v>110.28</c:v>
                </c:pt>
                <c:pt idx="907">
                  <c:v>106.1</c:v>
                </c:pt>
                <c:pt idx="908">
                  <c:v>106.58</c:v>
                </c:pt>
                <c:pt idx="909">
                  <c:v>104.83</c:v>
                </c:pt>
                <c:pt idx="910">
                  <c:v>106.54</c:v>
                </c:pt>
                <c:pt idx="911">
                  <c:v>108.67</c:v>
                </c:pt>
                <c:pt idx="912">
                  <c:v>104.83</c:v>
                </c:pt>
                <c:pt idx="913">
                  <c:v>105.78</c:v>
                </c:pt>
                <c:pt idx="914">
                  <c:v>107.86</c:v>
                </c:pt>
                <c:pt idx="915">
                  <c:v>110.75</c:v>
                </c:pt>
                <c:pt idx="916">
                  <c:v>115.13</c:v>
                </c:pt>
                <c:pt idx="917">
                  <c:v>114.65</c:v>
                </c:pt>
                <c:pt idx="918">
                  <c:v>109.82</c:v>
                </c:pt>
                <c:pt idx="919">
                  <c:v>109.1</c:v>
                </c:pt>
                <c:pt idx="920">
                  <c:v>114.59</c:v>
                </c:pt>
                <c:pt idx="921">
                  <c:v>118.32</c:v>
                </c:pt>
                <c:pt idx="922">
                  <c:v>116.19</c:v>
                </c:pt>
                <c:pt idx="923">
                  <c:v>112.35</c:v>
                </c:pt>
                <c:pt idx="924">
                  <c:v>109.98</c:v>
                </c:pt>
                <c:pt idx="925">
                  <c:v>102.26</c:v>
                </c:pt>
                <c:pt idx="926">
                  <c:v>99.62</c:v>
                </c:pt>
                <c:pt idx="927">
                  <c:v>120.92</c:v>
                </c:pt>
                <c:pt idx="928">
                  <c:v>123.01</c:v>
                </c:pt>
                <c:pt idx="929">
                  <c:v>140.56</c:v>
                </c:pt>
                <c:pt idx="930">
                  <c:v>143.01</c:v>
                </c:pt>
                <c:pt idx="931">
                  <c:v>143.41999999999999</c:v>
                </c:pt>
                <c:pt idx="932">
                  <c:v>150.66</c:v>
                </c:pt>
                <c:pt idx="933">
                  <c:v>156</c:v>
                </c:pt>
                <c:pt idx="934">
                  <c:v>158.78</c:v>
                </c:pt>
                <c:pt idx="935">
                  <c:v>157.52000000000001</c:v>
                </c:pt>
                <c:pt idx="936">
                  <c:v>154.35</c:v>
                </c:pt>
                <c:pt idx="937">
                  <c:v>154.13999999999999</c:v>
                </c:pt>
                <c:pt idx="938">
                  <c:v>155.26</c:v>
                </c:pt>
                <c:pt idx="939">
                  <c:v>157.80000000000001</c:v>
                </c:pt>
                <c:pt idx="940">
                  <c:v>151.97999999999999</c:v>
                </c:pt>
                <c:pt idx="941">
                  <c:v>154.76</c:v>
                </c:pt>
                <c:pt idx="942">
                  <c:v>157.31</c:v>
                </c:pt>
                <c:pt idx="943">
                  <c:v>169.17</c:v>
                </c:pt>
                <c:pt idx="944">
                  <c:v>170.83</c:v>
                </c:pt>
                <c:pt idx="945">
                  <c:v>158.72999999999999</c:v>
                </c:pt>
                <c:pt idx="946">
                  <c:v>175.41</c:v>
                </c:pt>
                <c:pt idx="947">
                  <c:v>178.38</c:v>
                </c:pt>
                <c:pt idx="948">
                  <c:v>176.33</c:v>
                </c:pt>
                <c:pt idx="949">
                  <c:v>174.3</c:v>
                </c:pt>
                <c:pt idx="950">
                  <c:v>176.9</c:v>
                </c:pt>
                <c:pt idx="951">
                  <c:v>167.16</c:v>
                </c:pt>
                <c:pt idx="952">
                  <c:v>161.75</c:v>
                </c:pt>
                <c:pt idx="953">
                  <c:v>161.81</c:v>
                </c:pt>
                <c:pt idx="954">
                  <c:v>158.44999999999999</c:v>
                </c:pt>
                <c:pt idx="955">
                  <c:v>158.66</c:v>
                </c:pt>
                <c:pt idx="956">
                  <c:v>155.81</c:v>
                </c:pt>
                <c:pt idx="957">
                  <c:v>154.22</c:v>
                </c:pt>
                <c:pt idx="958">
                  <c:v>153.72</c:v>
                </c:pt>
                <c:pt idx="959">
                  <c:v>153.01</c:v>
                </c:pt>
                <c:pt idx="960">
                  <c:v>155.83000000000001</c:v>
                </c:pt>
                <c:pt idx="961">
                  <c:v>147.21</c:v>
                </c:pt>
                <c:pt idx="962">
                  <c:v>150.16999999999999</c:v>
                </c:pt>
                <c:pt idx="963">
                  <c:v>141.99</c:v>
                </c:pt>
                <c:pt idx="964">
                  <c:v>144.94</c:v>
                </c:pt>
                <c:pt idx="965">
                  <c:v>149.44999999999999</c:v>
                </c:pt>
                <c:pt idx="966">
                  <c:v>143.18</c:v>
                </c:pt>
                <c:pt idx="967">
                  <c:v>146.96</c:v>
                </c:pt>
                <c:pt idx="968">
                  <c:v>143.83000000000001</c:v>
                </c:pt>
                <c:pt idx="969">
                  <c:v>155.22</c:v>
                </c:pt>
                <c:pt idx="970">
                  <c:v>165.09</c:v>
                </c:pt>
                <c:pt idx="971">
                  <c:v>163</c:v>
                </c:pt>
                <c:pt idx="972">
                  <c:v>165.99</c:v>
                </c:pt>
                <c:pt idx="973">
                  <c:v>162.91999999999999</c:v>
                </c:pt>
                <c:pt idx="974">
                  <c:v>168.27</c:v>
                </c:pt>
                <c:pt idx="975">
                  <c:v>169.66</c:v>
                </c:pt>
                <c:pt idx="976">
                  <c:v>165.79</c:v>
                </c:pt>
                <c:pt idx="977">
                  <c:v>161.96</c:v>
                </c:pt>
                <c:pt idx="978">
                  <c:v>156.02000000000001</c:v>
                </c:pt>
                <c:pt idx="979">
                  <c:v>155.80000000000001</c:v>
                </c:pt>
                <c:pt idx="980">
                  <c:v>154.06</c:v>
                </c:pt>
                <c:pt idx="981">
                  <c:v>153.87</c:v>
                </c:pt>
                <c:pt idx="982">
                  <c:v>165.71</c:v>
                </c:pt>
                <c:pt idx="983">
                  <c:v>166.45</c:v>
                </c:pt>
                <c:pt idx="984">
                  <c:v>172.14</c:v>
                </c:pt>
                <c:pt idx="985">
                  <c:v>141.03</c:v>
                </c:pt>
                <c:pt idx="986">
                  <c:v>139.49</c:v>
                </c:pt>
                <c:pt idx="987">
                  <c:v>149.03</c:v>
                </c:pt>
                <c:pt idx="988">
                  <c:v>154.13999999999999</c:v>
                </c:pt>
                <c:pt idx="989">
                  <c:v>141.66999999999999</c:v>
                </c:pt>
                <c:pt idx="990">
                  <c:v>130.51</c:v>
                </c:pt>
                <c:pt idx="991">
                  <c:v>125.22</c:v>
                </c:pt>
                <c:pt idx="992">
                  <c:v>122.83</c:v>
                </c:pt>
                <c:pt idx="993">
                  <c:v>112.92</c:v>
                </c:pt>
                <c:pt idx="994">
                  <c:v>112.3</c:v>
                </c:pt>
                <c:pt idx="995">
                  <c:v>117.69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CE-421A-9BBE-E519C5E2D73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0.10596963615981887</c:v>
                </c:pt>
                <c:pt idx="1">
                  <c:v>0.10608954705846753</c:v>
                </c:pt>
                <c:pt idx="2">
                  <c:v>0.1063675885488379</c:v>
                </c:pt>
                <c:pt idx="3">
                  <c:v>0.10687829706362049</c:v>
                </c:pt>
                <c:pt idx="4">
                  <c:v>0.10682296505693768</c:v>
                </c:pt>
                <c:pt idx="5">
                  <c:v>0.10565722422022882</c:v>
                </c:pt>
                <c:pt idx="6">
                  <c:v>0.10547841015778348</c:v>
                </c:pt>
                <c:pt idx="7">
                  <c:v>0.10692900660712389</c:v>
                </c:pt>
                <c:pt idx="8">
                  <c:v>0.10775788642742923</c:v>
                </c:pt>
                <c:pt idx="9">
                  <c:v>0.10865227141942922</c:v>
                </c:pt>
                <c:pt idx="10">
                  <c:v>0.10896368583118179</c:v>
                </c:pt>
                <c:pt idx="11">
                  <c:v>0.10885743437153894</c:v>
                </c:pt>
                <c:pt idx="12">
                  <c:v>0.10933000989110415</c:v>
                </c:pt>
                <c:pt idx="13">
                  <c:v>0.10904092701520672</c:v>
                </c:pt>
                <c:pt idx="14">
                  <c:v>0.10964319108520672</c:v>
                </c:pt>
                <c:pt idx="15">
                  <c:v>0.10950463748520672</c:v>
                </c:pt>
                <c:pt idx="16">
                  <c:v>0.10852202697520671</c:v>
                </c:pt>
                <c:pt idx="17">
                  <c:v>0.10995740601204883</c:v>
                </c:pt>
                <c:pt idx="18">
                  <c:v>0.10975856765615478</c:v>
                </c:pt>
                <c:pt idx="19">
                  <c:v>0.10848160128569237</c:v>
                </c:pt>
                <c:pt idx="20">
                  <c:v>0.10707440932647158</c:v>
                </c:pt>
                <c:pt idx="21">
                  <c:v>0.10364146488208381</c:v>
                </c:pt>
                <c:pt idx="22">
                  <c:v>0.10278384253076803</c:v>
                </c:pt>
                <c:pt idx="23">
                  <c:v>0.10349210332356804</c:v>
                </c:pt>
                <c:pt idx="24">
                  <c:v>0.10409116617756804</c:v>
                </c:pt>
                <c:pt idx="25">
                  <c:v>0.10420510151368745</c:v>
                </c:pt>
                <c:pt idx="26">
                  <c:v>0.10376557445499179</c:v>
                </c:pt>
                <c:pt idx="27">
                  <c:v>0.10342567847706076</c:v>
                </c:pt>
                <c:pt idx="28">
                  <c:v>0.10426537577940859</c:v>
                </c:pt>
                <c:pt idx="29">
                  <c:v>0.1041063055981586</c:v>
                </c:pt>
                <c:pt idx="30">
                  <c:v>0.10438877793763228</c:v>
                </c:pt>
                <c:pt idx="31">
                  <c:v>0.10603817739902621</c:v>
                </c:pt>
                <c:pt idx="32">
                  <c:v>0.10640541286520269</c:v>
                </c:pt>
                <c:pt idx="33">
                  <c:v>0.10615029996290759</c:v>
                </c:pt>
                <c:pt idx="34">
                  <c:v>0.10646797194397903</c:v>
                </c:pt>
                <c:pt idx="35">
                  <c:v>0.10720721341505594</c:v>
                </c:pt>
                <c:pt idx="36">
                  <c:v>0.10570864813201798</c:v>
                </c:pt>
                <c:pt idx="37">
                  <c:v>0.10610077729868465</c:v>
                </c:pt>
                <c:pt idx="38">
                  <c:v>0.10540271650719529</c:v>
                </c:pt>
                <c:pt idx="39">
                  <c:v>0.10515790892114264</c:v>
                </c:pt>
                <c:pt idx="40">
                  <c:v>0.10564984581418614</c:v>
                </c:pt>
                <c:pt idx="41">
                  <c:v>0.10560092591336645</c:v>
                </c:pt>
                <c:pt idx="42">
                  <c:v>0.1055799522062236</c:v>
                </c:pt>
                <c:pt idx="43">
                  <c:v>0.10628675585719133</c:v>
                </c:pt>
                <c:pt idx="44">
                  <c:v>0.10548527764385801</c:v>
                </c:pt>
                <c:pt idx="45">
                  <c:v>0.10492774107571369</c:v>
                </c:pt>
                <c:pt idx="46">
                  <c:v>0.1056535520957137</c:v>
                </c:pt>
                <c:pt idx="47">
                  <c:v>0.10550934039971369</c:v>
                </c:pt>
                <c:pt idx="48">
                  <c:v>0.10543726870625914</c:v>
                </c:pt>
                <c:pt idx="49">
                  <c:v>0.10619446753159893</c:v>
                </c:pt>
                <c:pt idx="50">
                  <c:v>0.10793487659870586</c:v>
                </c:pt>
                <c:pt idx="51">
                  <c:v>0.10641291106522759</c:v>
                </c:pt>
                <c:pt idx="52">
                  <c:v>0.10707003406951331</c:v>
                </c:pt>
                <c:pt idx="53">
                  <c:v>0.10564083061351331</c:v>
                </c:pt>
                <c:pt idx="54">
                  <c:v>0.10585276270399459</c:v>
                </c:pt>
                <c:pt idx="55">
                  <c:v>0.10533883829127788</c:v>
                </c:pt>
                <c:pt idx="56">
                  <c:v>0.10563672100689694</c:v>
                </c:pt>
                <c:pt idx="57">
                  <c:v>0.10543765716056362</c:v>
                </c:pt>
                <c:pt idx="58">
                  <c:v>0.10612921074932767</c:v>
                </c:pt>
                <c:pt idx="59">
                  <c:v>0.10622110593815119</c:v>
                </c:pt>
                <c:pt idx="60">
                  <c:v>0.1056437038706512</c:v>
                </c:pt>
                <c:pt idx="61">
                  <c:v>0.10452763608196011</c:v>
                </c:pt>
                <c:pt idx="62">
                  <c:v>0.1052275233303472</c:v>
                </c:pt>
                <c:pt idx="63">
                  <c:v>0.10685253215250354</c:v>
                </c:pt>
                <c:pt idx="64">
                  <c:v>0.10515267679190653</c:v>
                </c:pt>
                <c:pt idx="65">
                  <c:v>0.10473607557580482</c:v>
                </c:pt>
                <c:pt idx="66">
                  <c:v>0.10580868680402568</c:v>
                </c:pt>
                <c:pt idx="67">
                  <c:v>0.10598901951865981</c:v>
                </c:pt>
                <c:pt idx="68">
                  <c:v>0.10454273193959006</c:v>
                </c:pt>
                <c:pt idx="69">
                  <c:v>0.10414694397959005</c:v>
                </c:pt>
                <c:pt idx="70">
                  <c:v>0.10267279879133198</c:v>
                </c:pt>
                <c:pt idx="71">
                  <c:v>0.10370571389682495</c:v>
                </c:pt>
                <c:pt idx="72">
                  <c:v>0.10464332242123488</c:v>
                </c:pt>
                <c:pt idx="73">
                  <c:v>0.10586113461474461</c:v>
                </c:pt>
                <c:pt idx="74">
                  <c:v>0.10718684427043323</c:v>
                </c:pt>
                <c:pt idx="75">
                  <c:v>0.10672909820043325</c:v>
                </c:pt>
                <c:pt idx="76">
                  <c:v>0.10598392798225141</c:v>
                </c:pt>
                <c:pt idx="77">
                  <c:v>0.10639350866300142</c:v>
                </c:pt>
                <c:pt idx="78">
                  <c:v>0.10491030031400142</c:v>
                </c:pt>
                <c:pt idx="79">
                  <c:v>0.1068506912392778</c:v>
                </c:pt>
                <c:pt idx="80">
                  <c:v>0.10370777506475826</c:v>
                </c:pt>
                <c:pt idx="81">
                  <c:v>0.1020157527028487</c:v>
                </c:pt>
                <c:pt idx="82">
                  <c:v>0.1015326124328487</c:v>
                </c:pt>
                <c:pt idx="83">
                  <c:v>0.10158964500765186</c:v>
                </c:pt>
                <c:pt idx="84">
                  <c:v>0.10180372303777234</c:v>
                </c:pt>
                <c:pt idx="85">
                  <c:v>0.10188776938740197</c:v>
                </c:pt>
                <c:pt idx="86">
                  <c:v>0.10119009438556198</c:v>
                </c:pt>
                <c:pt idx="87">
                  <c:v>0.10041411227497375</c:v>
                </c:pt>
                <c:pt idx="88">
                  <c:v>0.10041411227497375</c:v>
                </c:pt>
                <c:pt idx="89">
                  <c:v>0.10014919376978855</c:v>
                </c:pt>
                <c:pt idx="90">
                  <c:v>0.10003935724026475</c:v>
                </c:pt>
                <c:pt idx="91">
                  <c:v>9.9455986078264752E-2</c:v>
                </c:pt>
                <c:pt idx="92">
                  <c:v>9.8677545156042532E-2</c:v>
                </c:pt>
                <c:pt idx="93">
                  <c:v>0.10012541925303312</c:v>
                </c:pt>
                <c:pt idx="94">
                  <c:v>0.10061702643215721</c:v>
                </c:pt>
                <c:pt idx="95">
                  <c:v>9.9800071596442927E-2</c:v>
                </c:pt>
                <c:pt idx="96">
                  <c:v>0.1007253977383034</c:v>
                </c:pt>
                <c:pt idx="97">
                  <c:v>0.10023420367235744</c:v>
                </c:pt>
                <c:pt idx="98">
                  <c:v>0.10069425217153175</c:v>
                </c:pt>
                <c:pt idx="99">
                  <c:v>0.10146463852399928</c:v>
                </c:pt>
                <c:pt idx="100">
                  <c:v>0.10080350743727201</c:v>
                </c:pt>
                <c:pt idx="101">
                  <c:v>9.9935425965049784E-2</c:v>
                </c:pt>
                <c:pt idx="102">
                  <c:v>9.9703319769363516E-2</c:v>
                </c:pt>
                <c:pt idx="103">
                  <c:v>9.9663346374115294E-2</c:v>
                </c:pt>
                <c:pt idx="104">
                  <c:v>0.10046855835744863</c:v>
                </c:pt>
                <c:pt idx="105">
                  <c:v>9.9371803471539538E-2</c:v>
                </c:pt>
                <c:pt idx="106">
                  <c:v>9.9203089096944946E-2</c:v>
                </c:pt>
                <c:pt idx="107">
                  <c:v>9.7888596694722718E-2</c:v>
                </c:pt>
                <c:pt idx="108">
                  <c:v>9.7049951612817958E-2</c:v>
                </c:pt>
                <c:pt idx="109">
                  <c:v>9.7301604877701675E-2</c:v>
                </c:pt>
                <c:pt idx="110">
                  <c:v>9.8027837377701682E-2</c:v>
                </c:pt>
                <c:pt idx="111">
                  <c:v>9.7334097462146135E-2</c:v>
                </c:pt>
                <c:pt idx="112">
                  <c:v>9.7903458019288972E-2</c:v>
                </c:pt>
                <c:pt idx="113">
                  <c:v>9.7881528616680299E-2</c:v>
                </c:pt>
                <c:pt idx="114">
                  <c:v>9.7001251959665385E-2</c:v>
                </c:pt>
                <c:pt idx="115">
                  <c:v>9.6285244550574481E-2</c:v>
                </c:pt>
                <c:pt idx="116">
                  <c:v>9.6149370509768017E-2</c:v>
                </c:pt>
                <c:pt idx="117">
                  <c:v>9.6342370378140113E-2</c:v>
                </c:pt>
                <c:pt idx="118">
                  <c:v>9.6255860810282978E-2</c:v>
                </c:pt>
                <c:pt idx="119">
                  <c:v>9.4841826371815818E-2</c:v>
                </c:pt>
                <c:pt idx="120">
                  <c:v>9.4214907347420204E-2</c:v>
                </c:pt>
                <c:pt idx="121">
                  <c:v>9.4398371832595029E-2</c:v>
                </c:pt>
                <c:pt idx="122">
                  <c:v>9.550729393258528E-2</c:v>
                </c:pt>
                <c:pt idx="123">
                  <c:v>9.6615222616038526E-2</c:v>
                </c:pt>
                <c:pt idx="124">
                  <c:v>9.5855924331828934E-2</c:v>
                </c:pt>
                <c:pt idx="125">
                  <c:v>9.605977030245394E-2</c:v>
                </c:pt>
                <c:pt idx="126">
                  <c:v>9.6857671635764281E-2</c:v>
                </c:pt>
                <c:pt idx="127">
                  <c:v>9.5364156433542055E-2</c:v>
                </c:pt>
                <c:pt idx="128">
                  <c:v>9.4438000143225315E-2</c:v>
                </c:pt>
                <c:pt idx="129">
                  <c:v>9.5852800576043867E-2</c:v>
                </c:pt>
                <c:pt idx="130">
                  <c:v>9.634502960897677E-2</c:v>
                </c:pt>
                <c:pt idx="131">
                  <c:v>9.6715802581453833E-2</c:v>
                </c:pt>
                <c:pt idx="132">
                  <c:v>9.6858403107958679E-2</c:v>
                </c:pt>
                <c:pt idx="133">
                  <c:v>9.719301661161385E-2</c:v>
                </c:pt>
                <c:pt idx="134">
                  <c:v>9.769655772417199E-2</c:v>
                </c:pt>
                <c:pt idx="135">
                  <c:v>9.7021058529577403E-2</c:v>
                </c:pt>
                <c:pt idx="136">
                  <c:v>9.6156398792320769E-2</c:v>
                </c:pt>
                <c:pt idx="137">
                  <c:v>9.6679423108847085E-2</c:v>
                </c:pt>
                <c:pt idx="138">
                  <c:v>9.6027841145552281E-2</c:v>
                </c:pt>
                <c:pt idx="139">
                  <c:v>9.6662915328479121E-2</c:v>
                </c:pt>
                <c:pt idx="140">
                  <c:v>9.7772706537975526E-2</c:v>
                </c:pt>
                <c:pt idx="141">
                  <c:v>9.7475572795288956E-2</c:v>
                </c:pt>
                <c:pt idx="142">
                  <c:v>9.6861612733689359E-2</c:v>
                </c:pt>
                <c:pt idx="143">
                  <c:v>9.8163012149051307E-2</c:v>
                </c:pt>
                <c:pt idx="144">
                  <c:v>9.8435602240355663E-2</c:v>
                </c:pt>
                <c:pt idx="145">
                  <c:v>9.7695185997894798E-2</c:v>
                </c:pt>
                <c:pt idx="146">
                  <c:v>9.7511412015401755E-2</c:v>
                </c:pt>
                <c:pt idx="147">
                  <c:v>9.6848724020945243E-2</c:v>
                </c:pt>
                <c:pt idx="148">
                  <c:v>9.7161250202763408E-2</c:v>
                </c:pt>
                <c:pt idx="149">
                  <c:v>9.6078135390960148E-2</c:v>
                </c:pt>
                <c:pt idx="150">
                  <c:v>9.5726890154165037E-2</c:v>
                </c:pt>
                <c:pt idx="151">
                  <c:v>9.6805577445302965E-2</c:v>
                </c:pt>
                <c:pt idx="152">
                  <c:v>9.7995530950566123E-2</c:v>
                </c:pt>
                <c:pt idx="153">
                  <c:v>9.8407870070221296E-2</c:v>
                </c:pt>
                <c:pt idx="154">
                  <c:v>9.6952655311912966E-2</c:v>
                </c:pt>
                <c:pt idx="155">
                  <c:v>9.825512031475131E-2</c:v>
                </c:pt>
                <c:pt idx="156">
                  <c:v>9.6875641720992861E-2</c:v>
                </c:pt>
                <c:pt idx="157">
                  <c:v>9.8035898437527691E-2</c:v>
                </c:pt>
                <c:pt idx="158">
                  <c:v>9.7862519056371972E-2</c:v>
                </c:pt>
                <c:pt idx="159">
                  <c:v>9.7698957247177365E-2</c:v>
                </c:pt>
                <c:pt idx="160">
                  <c:v>9.7800058500422185E-2</c:v>
                </c:pt>
                <c:pt idx="161">
                  <c:v>9.6584698567509994E-2</c:v>
                </c:pt>
                <c:pt idx="162">
                  <c:v>9.4981445652488741E-2</c:v>
                </c:pt>
                <c:pt idx="163">
                  <c:v>9.3441923623184112E-2</c:v>
                </c:pt>
                <c:pt idx="164">
                  <c:v>9.4099613978952099E-2</c:v>
                </c:pt>
                <c:pt idx="165">
                  <c:v>9.5199536581961397E-2</c:v>
                </c:pt>
                <c:pt idx="166">
                  <c:v>9.3871197367616135E-2</c:v>
                </c:pt>
                <c:pt idx="167">
                  <c:v>9.3575381508219119E-2</c:v>
                </c:pt>
                <c:pt idx="168">
                  <c:v>9.2227801748690968E-2</c:v>
                </c:pt>
                <c:pt idx="169">
                  <c:v>9.2264274896144097E-2</c:v>
                </c:pt>
                <c:pt idx="170">
                  <c:v>9.2340709273680877E-2</c:v>
                </c:pt>
                <c:pt idx="171">
                  <c:v>9.206928029255762E-2</c:v>
                </c:pt>
                <c:pt idx="172">
                  <c:v>9.0565131217000425E-2</c:v>
                </c:pt>
                <c:pt idx="173">
                  <c:v>9.1351147981664604E-2</c:v>
                </c:pt>
                <c:pt idx="174">
                  <c:v>9.0757687492459119E-2</c:v>
                </c:pt>
                <c:pt idx="175">
                  <c:v>8.9993602674918738E-2</c:v>
                </c:pt>
                <c:pt idx="176">
                  <c:v>8.903619380112146E-2</c:v>
                </c:pt>
                <c:pt idx="177">
                  <c:v>8.8428953134048124E-2</c:v>
                </c:pt>
                <c:pt idx="178">
                  <c:v>8.8776799229476649E-2</c:v>
                </c:pt>
                <c:pt idx="179">
                  <c:v>8.8450334003938189E-2</c:v>
                </c:pt>
                <c:pt idx="180">
                  <c:v>8.9268531926083888E-2</c:v>
                </c:pt>
                <c:pt idx="181">
                  <c:v>8.9291588913393505E-2</c:v>
                </c:pt>
                <c:pt idx="182">
                  <c:v>8.8201105337394739E-2</c:v>
                </c:pt>
                <c:pt idx="183">
                  <c:v>8.675650054514876E-2</c:v>
                </c:pt>
                <c:pt idx="184">
                  <c:v>8.5929730160884968E-2</c:v>
                </c:pt>
                <c:pt idx="185">
                  <c:v>8.4936206063443348E-2</c:v>
                </c:pt>
                <c:pt idx="186">
                  <c:v>8.6567525126064207E-2</c:v>
                </c:pt>
                <c:pt idx="187">
                  <c:v>8.6632935175763287E-2</c:v>
                </c:pt>
                <c:pt idx="188">
                  <c:v>8.7565573365541063E-2</c:v>
                </c:pt>
                <c:pt idx="189">
                  <c:v>8.6897059352355824E-2</c:v>
                </c:pt>
                <c:pt idx="190">
                  <c:v>8.633057029348068E-2</c:v>
                </c:pt>
                <c:pt idx="191">
                  <c:v>8.5937453372421299E-2</c:v>
                </c:pt>
                <c:pt idx="192">
                  <c:v>8.9052498227013319E-2</c:v>
                </c:pt>
                <c:pt idx="193">
                  <c:v>9.1966359126712138E-2</c:v>
                </c:pt>
                <c:pt idx="194">
                  <c:v>9.2479628641422687E-2</c:v>
                </c:pt>
                <c:pt idx="195">
                  <c:v>9.2495600314635454E-2</c:v>
                </c:pt>
                <c:pt idx="196">
                  <c:v>9.3431629312653738E-2</c:v>
                </c:pt>
                <c:pt idx="197">
                  <c:v>9.2983870473881791E-2</c:v>
                </c:pt>
                <c:pt idx="198">
                  <c:v>9.2363546037181887E-2</c:v>
                </c:pt>
                <c:pt idx="199">
                  <c:v>9.258001008107726E-2</c:v>
                </c:pt>
                <c:pt idx="200">
                  <c:v>9.3455661296275472E-2</c:v>
                </c:pt>
                <c:pt idx="201">
                  <c:v>9.3361466001595464E-2</c:v>
                </c:pt>
                <c:pt idx="202">
                  <c:v>9.3287987794882024E-2</c:v>
                </c:pt>
                <c:pt idx="203">
                  <c:v>9.2827935545872695E-2</c:v>
                </c:pt>
                <c:pt idx="204">
                  <c:v>9.3317763196624631E-2</c:v>
                </c:pt>
                <c:pt idx="205">
                  <c:v>9.3680685504972369E-2</c:v>
                </c:pt>
                <c:pt idx="206">
                  <c:v>9.3762556613576339E-2</c:v>
                </c:pt>
                <c:pt idx="207">
                  <c:v>9.4142227204568996E-2</c:v>
                </c:pt>
                <c:pt idx="208">
                  <c:v>9.3890902488533656E-2</c:v>
                </c:pt>
                <c:pt idx="209">
                  <c:v>9.3473385349414406E-2</c:v>
                </c:pt>
                <c:pt idx="210">
                  <c:v>9.3429539040988094E-2</c:v>
                </c:pt>
                <c:pt idx="211">
                  <c:v>9.363910521055506E-2</c:v>
                </c:pt>
                <c:pt idx="212">
                  <c:v>9.2306590929377277E-2</c:v>
                </c:pt>
                <c:pt idx="213">
                  <c:v>9.2014055965146349E-2</c:v>
                </c:pt>
                <c:pt idx="214">
                  <c:v>9.1247413145770825E-2</c:v>
                </c:pt>
                <c:pt idx="215">
                  <c:v>8.9970119076265356E-2</c:v>
                </c:pt>
                <c:pt idx="216">
                  <c:v>8.8853320391909629E-2</c:v>
                </c:pt>
                <c:pt idx="217">
                  <c:v>9.0657012347451771E-2</c:v>
                </c:pt>
                <c:pt idx="218">
                  <c:v>8.990355772640013E-2</c:v>
                </c:pt>
                <c:pt idx="219">
                  <c:v>8.8960847542717034E-2</c:v>
                </c:pt>
                <c:pt idx="220">
                  <c:v>8.8260888844598262E-2</c:v>
                </c:pt>
                <c:pt idx="221">
                  <c:v>9.0584529364928473E-2</c:v>
                </c:pt>
                <c:pt idx="222">
                  <c:v>8.9744413707780357E-2</c:v>
                </c:pt>
                <c:pt idx="223">
                  <c:v>9.0650337123980351E-2</c:v>
                </c:pt>
                <c:pt idx="224">
                  <c:v>9.1011562235557827E-2</c:v>
                </c:pt>
                <c:pt idx="225">
                  <c:v>9.1558412947941481E-2</c:v>
                </c:pt>
                <c:pt idx="226">
                  <c:v>9.2486589878699149E-2</c:v>
                </c:pt>
                <c:pt idx="227">
                  <c:v>9.297630598899724E-2</c:v>
                </c:pt>
                <c:pt idx="228">
                  <c:v>9.1750441291071919E-2</c:v>
                </c:pt>
                <c:pt idx="229">
                  <c:v>9.0672017268453683E-2</c:v>
                </c:pt>
                <c:pt idx="230">
                  <c:v>8.9988712657018105E-2</c:v>
                </c:pt>
                <c:pt idx="231">
                  <c:v>9.0626550304213779E-2</c:v>
                </c:pt>
                <c:pt idx="232">
                  <c:v>9.0975853791414638E-2</c:v>
                </c:pt>
                <c:pt idx="233">
                  <c:v>8.9393766421499141E-2</c:v>
                </c:pt>
                <c:pt idx="234">
                  <c:v>8.8982548749898693E-2</c:v>
                </c:pt>
                <c:pt idx="235">
                  <c:v>8.9983494764946881E-2</c:v>
                </c:pt>
                <c:pt idx="236">
                  <c:v>9.040615507874232E-2</c:v>
                </c:pt>
                <c:pt idx="237">
                  <c:v>9.0923981834571177E-2</c:v>
                </c:pt>
                <c:pt idx="238">
                  <c:v>9.1462711526812845E-2</c:v>
                </c:pt>
                <c:pt idx="239">
                  <c:v>9.117351208414945E-2</c:v>
                </c:pt>
                <c:pt idx="240">
                  <c:v>9.0452050565932723E-2</c:v>
                </c:pt>
                <c:pt idx="241">
                  <c:v>9.0734184187342248E-2</c:v>
                </c:pt>
                <c:pt idx="242">
                  <c:v>8.9043307781884656E-2</c:v>
                </c:pt>
                <c:pt idx="243">
                  <c:v>8.8417382101020001E-2</c:v>
                </c:pt>
                <c:pt idx="244">
                  <c:v>9.1097461667629512E-2</c:v>
                </c:pt>
                <c:pt idx="245">
                  <c:v>9.2096975612035559E-2</c:v>
                </c:pt>
                <c:pt idx="246">
                  <c:v>9.1780574198452466E-2</c:v>
                </c:pt>
                <c:pt idx="247">
                  <c:v>9.0292525194543116E-2</c:v>
                </c:pt>
                <c:pt idx="248">
                  <c:v>9.0502760727174378E-2</c:v>
                </c:pt>
                <c:pt idx="249">
                  <c:v>8.6763701483974387E-2</c:v>
                </c:pt>
                <c:pt idx="250">
                  <c:v>8.7324873861463467E-2</c:v>
                </c:pt>
                <c:pt idx="251">
                  <c:v>8.8162075623518674E-2</c:v>
                </c:pt>
                <c:pt idx="252">
                  <c:v>8.9476702982222406E-2</c:v>
                </c:pt>
                <c:pt idx="253">
                  <c:v>8.6219808519135174E-2</c:v>
                </c:pt>
                <c:pt idx="254">
                  <c:v>8.9423719448980282E-2</c:v>
                </c:pt>
                <c:pt idx="255">
                  <c:v>8.9384385716613321E-2</c:v>
                </c:pt>
                <c:pt idx="256">
                  <c:v>9.1165102607065604E-2</c:v>
                </c:pt>
                <c:pt idx="257">
                  <c:v>9.1778339652297064E-2</c:v>
                </c:pt>
                <c:pt idx="258">
                  <c:v>9.3519089219977647E-2</c:v>
                </c:pt>
                <c:pt idx="259">
                  <c:v>9.3441162471704239E-2</c:v>
                </c:pt>
                <c:pt idx="260">
                  <c:v>9.3947901256202088E-2</c:v>
                </c:pt>
                <c:pt idx="261">
                  <c:v>9.7212723475631382E-2</c:v>
                </c:pt>
                <c:pt idx="262">
                  <c:v>9.4842667762603958E-2</c:v>
                </c:pt>
                <c:pt idx="263">
                  <c:v>9.6657315368237948E-2</c:v>
                </c:pt>
                <c:pt idx="264">
                  <c:v>9.4529931757887209E-2</c:v>
                </c:pt>
                <c:pt idx="265">
                  <c:v>9.4752991432039954E-2</c:v>
                </c:pt>
                <c:pt idx="266">
                  <c:v>9.8281584802757269E-2</c:v>
                </c:pt>
                <c:pt idx="267">
                  <c:v>9.4045586952796439E-2</c:v>
                </c:pt>
                <c:pt idx="268">
                  <c:v>9.2671939030654821E-2</c:v>
                </c:pt>
                <c:pt idx="269">
                  <c:v>9.0882906535002639E-2</c:v>
                </c:pt>
                <c:pt idx="270">
                  <c:v>8.9347409018352461E-2</c:v>
                </c:pt>
                <c:pt idx="271">
                  <c:v>8.9158980041233613E-2</c:v>
                </c:pt>
                <c:pt idx="272">
                  <c:v>8.8644832879529012E-2</c:v>
                </c:pt>
                <c:pt idx="273">
                  <c:v>8.7310748617010978E-2</c:v>
                </c:pt>
                <c:pt idx="274">
                  <c:v>8.646876112351963E-2</c:v>
                </c:pt>
                <c:pt idx="275">
                  <c:v>8.6223701488893995E-2</c:v>
                </c:pt>
                <c:pt idx="276">
                  <c:v>8.4499312384964539E-2</c:v>
                </c:pt>
                <c:pt idx="277">
                  <c:v>8.2814144171997811E-2</c:v>
                </c:pt>
                <c:pt idx="278">
                  <c:v>8.3321738283447688E-2</c:v>
                </c:pt>
                <c:pt idx="279">
                  <c:v>8.3949041653192197E-2</c:v>
                </c:pt>
                <c:pt idx="280">
                  <c:v>8.3119036272443325E-2</c:v>
                </c:pt>
                <c:pt idx="281">
                  <c:v>8.5415256317323066E-2</c:v>
                </c:pt>
                <c:pt idx="282">
                  <c:v>8.7745390349268051E-2</c:v>
                </c:pt>
                <c:pt idx="283">
                  <c:v>8.5828022137739934E-2</c:v>
                </c:pt>
                <c:pt idx="284">
                  <c:v>8.6918101730958486E-2</c:v>
                </c:pt>
                <c:pt idx="285">
                  <c:v>8.5921956577926839E-2</c:v>
                </c:pt>
                <c:pt idx="286">
                  <c:v>8.918744101915449E-2</c:v>
                </c:pt>
                <c:pt idx="287">
                  <c:v>8.5949803673033037E-2</c:v>
                </c:pt>
                <c:pt idx="288">
                  <c:v>8.4206955297270986E-2</c:v>
                </c:pt>
                <c:pt idx="289">
                  <c:v>8.3457517586914512E-2</c:v>
                </c:pt>
                <c:pt idx="290">
                  <c:v>8.2511231601517077E-2</c:v>
                </c:pt>
                <c:pt idx="291">
                  <c:v>8.3125430453759946E-2</c:v>
                </c:pt>
                <c:pt idx="292">
                  <c:v>8.3099738566426995E-2</c:v>
                </c:pt>
                <c:pt idx="293">
                  <c:v>8.1742686176702828E-2</c:v>
                </c:pt>
                <c:pt idx="294">
                  <c:v>8.2220260462199671E-2</c:v>
                </c:pt>
                <c:pt idx="295">
                  <c:v>8.1005294355162516E-2</c:v>
                </c:pt>
                <c:pt idx="296">
                  <c:v>8.3439025047068724E-2</c:v>
                </c:pt>
                <c:pt idx="297">
                  <c:v>8.2382459438942068E-2</c:v>
                </c:pt>
                <c:pt idx="298">
                  <c:v>8.0699254694513223E-2</c:v>
                </c:pt>
                <c:pt idx="299">
                  <c:v>7.7334052942976572E-2</c:v>
                </c:pt>
                <c:pt idx="300">
                  <c:v>7.8971896097724925E-2</c:v>
                </c:pt>
                <c:pt idx="301">
                  <c:v>7.81871278812339E-2</c:v>
                </c:pt>
                <c:pt idx="302">
                  <c:v>7.6957967293890123E-2</c:v>
                </c:pt>
                <c:pt idx="303">
                  <c:v>7.5890629610093852E-2</c:v>
                </c:pt>
                <c:pt idx="304">
                  <c:v>7.5544512469102779E-2</c:v>
                </c:pt>
                <c:pt idx="305">
                  <c:v>7.4581057407490242E-2</c:v>
                </c:pt>
                <c:pt idx="306">
                  <c:v>7.3644729227614031E-2</c:v>
                </c:pt>
                <c:pt idx="307">
                  <c:v>7.3300710587927906E-2</c:v>
                </c:pt>
                <c:pt idx="308">
                  <c:v>7.2462315897371468E-2</c:v>
                </c:pt>
                <c:pt idx="309">
                  <c:v>7.2433634858406773E-2</c:v>
                </c:pt>
                <c:pt idx="310">
                  <c:v>7.3293730585880165E-2</c:v>
                </c:pt>
                <c:pt idx="311">
                  <c:v>7.3555398376320122E-2</c:v>
                </c:pt>
                <c:pt idx="312">
                  <c:v>7.4421519060068567E-2</c:v>
                </c:pt>
                <c:pt idx="313">
                  <c:v>7.5032187870819361E-2</c:v>
                </c:pt>
                <c:pt idx="314">
                  <c:v>7.5592852922346659E-2</c:v>
                </c:pt>
                <c:pt idx="315">
                  <c:v>7.5543816912950118E-2</c:v>
                </c:pt>
                <c:pt idx="316">
                  <c:v>7.6233375513115223E-2</c:v>
                </c:pt>
                <c:pt idx="317">
                  <c:v>7.5341810351536462E-2</c:v>
                </c:pt>
                <c:pt idx="318">
                  <c:v>7.4469358458657195E-2</c:v>
                </c:pt>
                <c:pt idx="319">
                  <c:v>7.5411409140170194E-2</c:v>
                </c:pt>
                <c:pt idx="320">
                  <c:v>7.7054745837046648E-2</c:v>
                </c:pt>
                <c:pt idx="321">
                  <c:v>7.5646705202857906E-2</c:v>
                </c:pt>
                <c:pt idx="322">
                  <c:v>7.5989527919213332E-2</c:v>
                </c:pt>
                <c:pt idx="323">
                  <c:v>7.5867764330328338E-2</c:v>
                </c:pt>
                <c:pt idx="324">
                  <c:v>7.6493370420520193E-2</c:v>
                </c:pt>
                <c:pt idx="325">
                  <c:v>7.4385394681260639E-2</c:v>
                </c:pt>
                <c:pt idx="326">
                  <c:v>7.3445433685867298E-2</c:v>
                </c:pt>
                <c:pt idx="327">
                  <c:v>7.2569615213482916E-2</c:v>
                </c:pt>
                <c:pt idx="328">
                  <c:v>7.2124375871644289E-2</c:v>
                </c:pt>
                <c:pt idx="329">
                  <c:v>7.1795149781533119E-2</c:v>
                </c:pt>
                <c:pt idx="330">
                  <c:v>7.2768374612804235E-2</c:v>
                </c:pt>
                <c:pt idx="331">
                  <c:v>7.3128902007525975E-2</c:v>
                </c:pt>
                <c:pt idx="332">
                  <c:v>7.385063188411517E-2</c:v>
                </c:pt>
                <c:pt idx="333">
                  <c:v>7.1665481260215172E-2</c:v>
                </c:pt>
                <c:pt idx="334">
                  <c:v>7.1643780228293458E-2</c:v>
                </c:pt>
                <c:pt idx="335">
                  <c:v>7.2475722164750442E-2</c:v>
                </c:pt>
                <c:pt idx="336">
                  <c:v>7.3661592936523954E-2</c:v>
                </c:pt>
                <c:pt idx="337">
                  <c:v>7.5797359786473145E-2</c:v>
                </c:pt>
                <c:pt idx="338">
                  <c:v>7.6339462405326478E-2</c:v>
                </c:pt>
                <c:pt idx="339">
                  <c:v>7.7223548234512426E-2</c:v>
                </c:pt>
                <c:pt idx="340">
                  <c:v>7.6328686725766953E-2</c:v>
                </c:pt>
                <c:pt idx="341">
                  <c:v>7.6716525474328057E-2</c:v>
                </c:pt>
                <c:pt idx="342">
                  <c:v>7.8169449230715921E-2</c:v>
                </c:pt>
                <c:pt idx="343">
                  <c:v>7.3722474646813183E-2</c:v>
                </c:pt>
                <c:pt idx="344">
                  <c:v>7.3827026752799563E-2</c:v>
                </c:pt>
                <c:pt idx="345">
                  <c:v>7.1121186440426629E-2</c:v>
                </c:pt>
                <c:pt idx="346">
                  <c:v>7.3556911735948763E-2</c:v>
                </c:pt>
                <c:pt idx="347">
                  <c:v>6.9861540653546744E-2</c:v>
                </c:pt>
                <c:pt idx="348">
                  <c:v>7.3721855968928648E-2</c:v>
                </c:pt>
                <c:pt idx="349">
                  <c:v>6.5679940754083552E-2</c:v>
                </c:pt>
                <c:pt idx="350">
                  <c:v>6.37855760088753E-2</c:v>
                </c:pt>
                <c:pt idx="351">
                  <c:v>5.9542377149199903E-2</c:v>
                </c:pt>
                <c:pt idx="352">
                  <c:v>5.8553966764356147E-2</c:v>
                </c:pt>
                <c:pt idx="353">
                  <c:v>5.5838059939822542E-2</c:v>
                </c:pt>
                <c:pt idx="354">
                  <c:v>5.3722559788929689E-2</c:v>
                </c:pt>
                <c:pt idx="355">
                  <c:v>5.320983165080765E-2</c:v>
                </c:pt>
                <c:pt idx="356">
                  <c:v>5.3249391634264981E-2</c:v>
                </c:pt>
                <c:pt idx="357">
                  <c:v>5.1458568044481144E-2</c:v>
                </c:pt>
                <c:pt idx="358">
                  <c:v>5.3020111676626215E-2</c:v>
                </c:pt>
                <c:pt idx="359">
                  <c:v>5.1343965618160757E-2</c:v>
                </c:pt>
                <c:pt idx="360">
                  <c:v>4.9860835970693886E-2</c:v>
                </c:pt>
                <c:pt idx="361">
                  <c:v>4.9516796676487736E-2</c:v>
                </c:pt>
                <c:pt idx="362">
                  <c:v>4.9827462283196129E-2</c:v>
                </c:pt>
                <c:pt idx="363">
                  <c:v>4.9026171271467578E-2</c:v>
                </c:pt>
                <c:pt idx="364">
                  <c:v>4.9669114537205565E-2</c:v>
                </c:pt>
                <c:pt idx="365">
                  <c:v>4.8873575160602582E-2</c:v>
                </c:pt>
                <c:pt idx="366">
                  <c:v>4.9746604451650238E-2</c:v>
                </c:pt>
                <c:pt idx="367">
                  <c:v>4.9033200814678379E-2</c:v>
                </c:pt>
                <c:pt idx="368">
                  <c:v>5.0928952394465619E-2</c:v>
                </c:pt>
                <c:pt idx="369">
                  <c:v>5.1436545136644647E-2</c:v>
                </c:pt>
                <c:pt idx="370">
                  <c:v>5.1796714545075812E-2</c:v>
                </c:pt>
                <c:pt idx="371">
                  <c:v>4.9294151245699774E-2</c:v>
                </c:pt>
                <c:pt idx="372">
                  <c:v>5.4001037036451878E-2</c:v>
                </c:pt>
                <c:pt idx="373">
                  <c:v>5.2989783145765898E-2</c:v>
                </c:pt>
                <c:pt idx="374">
                  <c:v>5.4732679940728696E-2</c:v>
                </c:pt>
                <c:pt idx="375">
                  <c:v>5.39126888140826E-2</c:v>
                </c:pt>
                <c:pt idx="376">
                  <c:v>5.3608161950131288E-2</c:v>
                </c:pt>
                <c:pt idx="377">
                  <c:v>5.4325516956463142E-2</c:v>
                </c:pt>
                <c:pt idx="378">
                  <c:v>5.4859706265688993E-2</c:v>
                </c:pt>
                <c:pt idx="379">
                  <c:v>5.5186353811283596E-2</c:v>
                </c:pt>
                <c:pt idx="380">
                  <c:v>5.3431149515582574E-2</c:v>
                </c:pt>
                <c:pt idx="381">
                  <c:v>5.2111591349196407E-2</c:v>
                </c:pt>
                <c:pt idx="382">
                  <c:v>5.3338151245376546E-2</c:v>
                </c:pt>
                <c:pt idx="383">
                  <c:v>4.6355975603891771E-2</c:v>
                </c:pt>
                <c:pt idx="384">
                  <c:v>4.4102912643475357E-2</c:v>
                </c:pt>
                <c:pt idx="385">
                  <c:v>4.423036489588076E-2</c:v>
                </c:pt>
                <c:pt idx="386">
                  <c:v>4.4853973512455216E-2</c:v>
                </c:pt>
                <c:pt idx="387">
                  <c:v>4.2839846994582279E-2</c:v>
                </c:pt>
                <c:pt idx="388">
                  <c:v>4.2048740231920109E-2</c:v>
                </c:pt>
                <c:pt idx="389">
                  <c:v>4.2927137344059826E-2</c:v>
                </c:pt>
                <c:pt idx="390">
                  <c:v>4.2274319979319949E-2</c:v>
                </c:pt>
                <c:pt idx="391">
                  <c:v>4.391092794946113E-2</c:v>
                </c:pt>
                <c:pt idx="392">
                  <c:v>4.6591497094685713E-2</c:v>
                </c:pt>
                <c:pt idx="393">
                  <c:v>4.6625146387682163E-2</c:v>
                </c:pt>
                <c:pt idx="394">
                  <c:v>4.6769710501147657E-2</c:v>
                </c:pt>
                <c:pt idx="395">
                  <c:v>4.6775872815526379E-2</c:v>
                </c:pt>
                <c:pt idx="396">
                  <c:v>4.7133821700507741E-2</c:v>
                </c:pt>
                <c:pt idx="397">
                  <c:v>4.6992243697307902E-2</c:v>
                </c:pt>
                <c:pt idx="398">
                  <c:v>4.6761302332050218E-2</c:v>
                </c:pt>
                <c:pt idx="399">
                  <c:v>4.5899995060958744E-2</c:v>
                </c:pt>
                <c:pt idx="400">
                  <c:v>4.5049041299548752E-2</c:v>
                </c:pt>
                <c:pt idx="401">
                  <c:v>4.5850122281551546E-2</c:v>
                </c:pt>
                <c:pt idx="402">
                  <c:v>4.4289025964620692E-2</c:v>
                </c:pt>
                <c:pt idx="403">
                  <c:v>4.5955701894655678E-2</c:v>
                </c:pt>
                <c:pt idx="404">
                  <c:v>4.5883733937516546E-2</c:v>
                </c:pt>
                <c:pt idx="405">
                  <c:v>4.6104419789596951E-2</c:v>
                </c:pt>
                <c:pt idx="406">
                  <c:v>4.6473574131063296E-2</c:v>
                </c:pt>
                <c:pt idx="407">
                  <c:v>4.6564871556558703E-2</c:v>
                </c:pt>
                <c:pt idx="408">
                  <c:v>4.5197603155634321E-2</c:v>
                </c:pt>
                <c:pt idx="409">
                  <c:v>4.483616000408433E-2</c:v>
                </c:pt>
                <c:pt idx="410">
                  <c:v>4.4528614141351376E-2</c:v>
                </c:pt>
                <c:pt idx="411">
                  <c:v>4.4239786497078992E-2</c:v>
                </c:pt>
                <c:pt idx="412">
                  <c:v>4.4392854560348506E-2</c:v>
                </c:pt>
                <c:pt idx="413">
                  <c:v>4.373918339099029E-2</c:v>
                </c:pt>
                <c:pt idx="414">
                  <c:v>4.3840755777013025E-2</c:v>
                </c:pt>
                <c:pt idx="415">
                  <c:v>4.2887915107189561E-2</c:v>
                </c:pt>
                <c:pt idx="416">
                  <c:v>4.3410295531019542E-2</c:v>
                </c:pt>
                <c:pt idx="417">
                  <c:v>4.3733056835964471E-2</c:v>
                </c:pt>
                <c:pt idx="418">
                  <c:v>4.3678749301726813E-2</c:v>
                </c:pt>
                <c:pt idx="419">
                  <c:v>4.2937261895199239E-2</c:v>
                </c:pt>
                <c:pt idx="420">
                  <c:v>4.3880256058645886E-2</c:v>
                </c:pt>
                <c:pt idx="421">
                  <c:v>4.3156572238737319E-2</c:v>
                </c:pt>
                <c:pt idx="422">
                  <c:v>4.2580526039312956E-2</c:v>
                </c:pt>
                <c:pt idx="423">
                  <c:v>4.3474379242297696E-2</c:v>
                </c:pt>
                <c:pt idx="424">
                  <c:v>4.3285740831348618E-2</c:v>
                </c:pt>
                <c:pt idx="425">
                  <c:v>4.4075398060438822E-2</c:v>
                </c:pt>
                <c:pt idx="426">
                  <c:v>4.179909875518438E-2</c:v>
                </c:pt>
                <c:pt idx="427">
                  <c:v>4.1831227270839787E-2</c:v>
                </c:pt>
                <c:pt idx="428">
                  <c:v>4.2617364998373E-2</c:v>
                </c:pt>
                <c:pt idx="429">
                  <c:v>4.4745319869711371E-2</c:v>
                </c:pt>
                <c:pt idx="430">
                  <c:v>4.169295225013947E-2</c:v>
                </c:pt>
                <c:pt idx="431">
                  <c:v>4.0362140678108782E-2</c:v>
                </c:pt>
                <c:pt idx="432">
                  <c:v>4.0381569817013505E-2</c:v>
                </c:pt>
                <c:pt idx="433">
                  <c:v>3.7745065110061517E-2</c:v>
                </c:pt>
                <c:pt idx="434">
                  <c:v>3.7820594551230532E-2</c:v>
                </c:pt>
                <c:pt idx="435">
                  <c:v>3.7483258879379332E-2</c:v>
                </c:pt>
                <c:pt idx="436">
                  <c:v>3.7589170759442611E-2</c:v>
                </c:pt>
                <c:pt idx="437">
                  <c:v>3.676400315458532E-2</c:v>
                </c:pt>
                <c:pt idx="438">
                  <c:v>3.598969677300088E-2</c:v>
                </c:pt>
                <c:pt idx="439">
                  <c:v>3.6381116572331978E-2</c:v>
                </c:pt>
                <c:pt idx="440">
                  <c:v>3.631631635277132E-2</c:v>
                </c:pt>
                <c:pt idx="441">
                  <c:v>3.6184973153356351E-2</c:v>
                </c:pt>
                <c:pt idx="442">
                  <c:v>3.3892882361867271E-2</c:v>
                </c:pt>
                <c:pt idx="443">
                  <c:v>3.4421549731191242E-2</c:v>
                </c:pt>
                <c:pt idx="444">
                  <c:v>3.4199681164434573E-2</c:v>
                </c:pt>
                <c:pt idx="445">
                  <c:v>3.3902248969696444E-2</c:v>
                </c:pt>
                <c:pt idx="446">
                  <c:v>3.3626439830553585E-2</c:v>
                </c:pt>
                <c:pt idx="447">
                  <c:v>3.4570800158738757E-2</c:v>
                </c:pt>
                <c:pt idx="448">
                  <c:v>3.3543437082010436E-2</c:v>
                </c:pt>
                <c:pt idx="449">
                  <c:v>3.3169415831260061E-2</c:v>
                </c:pt>
                <c:pt idx="450">
                  <c:v>3.2530192959073091E-2</c:v>
                </c:pt>
                <c:pt idx="451">
                  <c:v>3.2497945764332091E-2</c:v>
                </c:pt>
                <c:pt idx="452">
                  <c:v>3.3583242222212456E-2</c:v>
                </c:pt>
                <c:pt idx="453">
                  <c:v>3.3975934265926912E-2</c:v>
                </c:pt>
                <c:pt idx="454">
                  <c:v>3.4409667701738644E-2</c:v>
                </c:pt>
                <c:pt idx="455">
                  <c:v>3.3792702577425192E-2</c:v>
                </c:pt>
                <c:pt idx="456">
                  <c:v>3.3844815570020427E-2</c:v>
                </c:pt>
                <c:pt idx="457">
                  <c:v>3.4274459042916358E-2</c:v>
                </c:pt>
                <c:pt idx="458">
                  <c:v>3.4195818407766358E-2</c:v>
                </c:pt>
                <c:pt idx="459">
                  <c:v>3.4748316254718914E-2</c:v>
                </c:pt>
                <c:pt idx="460">
                  <c:v>3.520408379009244E-2</c:v>
                </c:pt>
                <c:pt idx="461">
                  <c:v>3.4742136232490076E-2</c:v>
                </c:pt>
                <c:pt idx="462">
                  <c:v>3.5117356813664263E-2</c:v>
                </c:pt>
                <c:pt idx="463">
                  <c:v>3.5644400961335622E-2</c:v>
                </c:pt>
                <c:pt idx="464">
                  <c:v>3.5308714225536504E-2</c:v>
                </c:pt>
                <c:pt idx="465">
                  <c:v>3.7063543939848037E-2</c:v>
                </c:pt>
                <c:pt idx="466">
                  <c:v>3.6179295157063793E-2</c:v>
                </c:pt>
                <c:pt idx="467">
                  <c:v>3.599845201246981E-2</c:v>
                </c:pt>
                <c:pt idx="468">
                  <c:v>3.5655984311622674E-2</c:v>
                </c:pt>
                <c:pt idx="469">
                  <c:v>3.6154116993892205E-2</c:v>
                </c:pt>
                <c:pt idx="470">
                  <c:v>3.6152255562395964E-2</c:v>
                </c:pt>
                <c:pt idx="471">
                  <c:v>3.6334005370171757E-2</c:v>
                </c:pt>
                <c:pt idx="472">
                  <c:v>3.6596804055887548E-2</c:v>
                </c:pt>
                <c:pt idx="473">
                  <c:v>3.6897994266596804E-2</c:v>
                </c:pt>
                <c:pt idx="474">
                  <c:v>3.6300583481645374E-2</c:v>
                </c:pt>
                <c:pt idx="475">
                  <c:v>3.6548056118799965E-2</c:v>
                </c:pt>
                <c:pt idx="476">
                  <c:v>3.6304940450527776E-2</c:v>
                </c:pt>
                <c:pt idx="477">
                  <c:v>3.6077332948008786E-2</c:v>
                </c:pt>
                <c:pt idx="478">
                  <c:v>3.5766450486933443E-2</c:v>
                </c:pt>
                <c:pt idx="479">
                  <c:v>3.6188681157821145E-2</c:v>
                </c:pt>
                <c:pt idx="480">
                  <c:v>3.5867441973282684E-2</c:v>
                </c:pt>
                <c:pt idx="481">
                  <c:v>3.5671217418751996E-2</c:v>
                </c:pt>
                <c:pt idx="482">
                  <c:v>3.5914912825713394E-2</c:v>
                </c:pt>
                <c:pt idx="483">
                  <c:v>3.6023679496829011E-2</c:v>
                </c:pt>
                <c:pt idx="484">
                  <c:v>3.6488453216237587E-2</c:v>
                </c:pt>
                <c:pt idx="485">
                  <c:v>3.6056207612118224E-2</c:v>
                </c:pt>
                <c:pt idx="486">
                  <c:v>3.5685074255883353E-2</c:v>
                </c:pt>
                <c:pt idx="487">
                  <c:v>3.616160777185945E-2</c:v>
                </c:pt>
                <c:pt idx="488">
                  <c:v>3.6079789337975232E-2</c:v>
                </c:pt>
                <c:pt idx="489">
                  <c:v>3.6148094184587289E-2</c:v>
                </c:pt>
                <c:pt idx="490">
                  <c:v>3.5889715243219933E-2</c:v>
                </c:pt>
                <c:pt idx="491">
                  <c:v>3.5530943238312379E-2</c:v>
                </c:pt>
                <c:pt idx="492">
                  <c:v>3.584129579370525E-2</c:v>
                </c:pt>
                <c:pt idx="493">
                  <c:v>3.5664936238080716E-2</c:v>
                </c:pt>
                <c:pt idx="494">
                  <c:v>3.6008074307170991E-2</c:v>
                </c:pt>
                <c:pt idx="495">
                  <c:v>3.615112901889022E-2</c:v>
                </c:pt>
                <c:pt idx="496">
                  <c:v>3.5940915340084909E-2</c:v>
                </c:pt>
                <c:pt idx="497">
                  <c:v>3.5874251217896669E-2</c:v>
                </c:pt>
                <c:pt idx="498">
                  <c:v>3.5790813147673149E-2</c:v>
                </c:pt>
                <c:pt idx="499">
                  <c:v>3.5679950138007267E-2</c:v>
                </c:pt>
                <c:pt idx="500">
                  <c:v>3.6185600185266432E-2</c:v>
                </c:pt>
                <c:pt idx="501">
                  <c:v>3.6245567517614048E-2</c:v>
                </c:pt>
                <c:pt idx="502">
                  <c:v>3.6406205337502218E-2</c:v>
                </c:pt>
                <c:pt idx="503">
                  <c:v>3.5981509055156277E-2</c:v>
                </c:pt>
                <c:pt idx="504">
                  <c:v>3.5596327944698684E-2</c:v>
                </c:pt>
                <c:pt idx="505">
                  <c:v>3.5335310156839835E-2</c:v>
                </c:pt>
                <c:pt idx="506">
                  <c:v>3.5470695552484749E-2</c:v>
                </c:pt>
                <c:pt idx="507">
                  <c:v>3.5177742715391487E-2</c:v>
                </c:pt>
                <c:pt idx="508">
                  <c:v>3.4429813575546482E-2</c:v>
                </c:pt>
                <c:pt idx="509">
                  <c:v>3.4134807302407935E-2</c:v>
                </c:pt>
                <c:pt idx="510">
                  <c:v>3.4517189955822258E-2</c:v>
                </c:pt>
                <c:pt idx="511">
                  <c:v>3.3541561788176355E-2</c:v>
                </c:pt>
                <c:pt idx="512">
                  <c:v>3.4261416223665242E-2</c:v>
                </c:pt>
                <c:pt idx="513">
                  <c:v>3.4521581912945576E-2</c:v>
                </c:pt>
                <c:pt idx="514">
                  <c:v>3.4119473117413687E-2</c:v>
                </c:pt>
                <c:pt idx="515">
                  <c:v>3.4516962631461839E-2</c:v>
                </c:pt>
                <c:pt idx="516">
                  <c:v>3.3967583141677339E-2</c:v>
                </c:pt>
                <c:pt idx="517">
                  <c:v>3.4133040246875135E-2</c:v>
                </c:pt>
                <c:pt idx="518">
                  <c:v>3.3934650852416044E-2</c:v>
                </c:pt>
                <c:pt idx="519">
                  <c:v>3.4172331076483264E-2</c:v>
                </c:pt>
                <c:pt idx="520">
                  <c:v>3.4077423006139231E-2</c:v>
                </c:pt>
                <c:pt idx="521">
                  <c:v>3.4557401970778778E-2</c:v>
                </c:pt>
                <c:pt idx="522">
                  <c:v>3.4451269500129292E-2</c:v>
                </c:pt>
                <c:pt idx="523">
                  <c:v>3.4225236457363903E-2</c:v>
                </c:pt>
                <c:pt idx="524">
                  <c:v>3.3699072628349085E-2</c:v>
                </c:pt>
                <c:pt idx="525">
                  <c:v>3.4623303104879932E-2</c:v>
                </c:pt>
                <c:pt idx="526">
                  <c:v>3.4049543727817572E-2</c:v>
                </c:pt>
                <c:pt idx="527">
                  <c:v>3.4930254903493572E-2</c:v>
                </c:pt>
                <c:pt idx="528">
                  <c:v>3.5552826634019624E-2</c:v>
                </c:pt>
                <c:pt idx="529">
                  <c:v>3.511634535288502E-2</c:v>
                </c:pt>
                <c:pt idx="530">
                  <c:v>3.4489062612304715E-2</c:v>
                </c:pt>
                <c:pt idx="531">
                  <c:v>3.4285578334090891E-2</c:v>
                </c:pt>
                <c:pt idx="532">
                  <c:v>3.3883679310825594E-2</c:v>
                </c:pt>
                <c:pt idx="533">
                  <c:v>3.3089622750813792E-2</c:v>
                </c:pt>
                <c:pt idx="534">
                  <c:v>3.2117223494700163E-2</c:v>
                </c:pt>
                <c:pt idx="535">
                  <c:v>3.2672136689158575E-2</c:v>
                </c:pt>
                <c:pt idx="536">
                  <c:v>3.2635987039721842E-2</c:v>
                </c:pt>
                <c:pt idx="537">
                  <c:v>3.2262055072109226E-2</c:v>
                </c:pt>
                <c:pt idx="538">
                  <c:v>3.2297500184126887E-2</c:v>
                </c:pt>
                <c:pt idx="539">
                  <c:v>3.2866404063089591E-2</c:v>
                </c:pt>
                <c:pt idx="540">
                  <c:v>3.1736053621461015E-2</c:v>
                </c:pt>
                <c:pt idx="541">
                  <c:v>3.077313604363904E-2</c:v>
                </c:pt>
                <c:pt idx="542">
                  <c:v>3.0827608038537412E-2</c:v>
                </c:pt>
                <c:pt idx="543">
                  <c:v>3.0390029935606154E-2</c:v>
                </c:pt>
                <c:pt idx="544">
                  <c:v>3.0852292027426859E-2</c:v>
                </c:pt>
                <c:pt idx="545">
                  <c:v>2.930797700195328E-2</c:v>
                </c:pt>
                <c:pt idx="546">
                  <c:v>2.9060890673859162E-2</c:v>
                </c:pt>
                <c:pt idx="547">
                  <c:v>2.8905523173307756E-2</c:v>
                </c:pt>
                <c:pt idx="548">
                  <c:v>2.9056479503314799E-2</c:v>
                </c:pt>
                <c:pt idx="549">
                  <c:v>2.8476301928782803E-2</c:v>
                </c:pt>
                <c:pt idx="550">
                  <c:v>2.7873770877550809E-2</c:v>
                </c:pt>
                <c:pt idx="551">
                  <c:v>2.8119243066882616E-2</c:v>
                </c:pt>
                <c:pt idx="552">
                  <c:v>2.7709158973925573E-2</c:v>
                </c:pt>
                <c:pt idx="553">
                  <c:v>2.7848466768821026E-2</c:v>
                </c:pt>
                <c:pt idx="554">
                  <c:v>2.777874970317569E-2</c:v>
                </c:pt>
                <c:pt idx="555">
                  <c:v>2.7234481597838658E-2</c:v>
                </c:pt>
                <c:pt idx="556">
                  <c:v>2.6864123843768888E-2</c:v>
                </c:pt>
                <c:pt idx="557">
                  <c:v>2.7059350422877177E-2</c:v>
                </c:pt>
                <c:pt idx="558">
                  <c:v>2.6838078910865343E-2</c:v>
                </c:pt>
                <c:pt idx="559">
                  <c:v>2.6824798481929826E-2</c:v>
                </c:pt>
                <c:pt idx="560">
                  <c:v>2.6753221655215955E-2</c:v>
                </c:pt>
                <c:pt idx="561">
                  <c:v>2.6886003749082028E-2</c:v>
                </c:pt>
                <c:pt idx="562">
                  <c:v>2.704750295742522E-2</c:v>
                </c:pt>
                <c:pt idx="563">
                  <c:v>2.6822680747148001E-2</c:v>
                </c:pt>
                <c:pt idx="564">
                  <c:v>2.7346217729539653E-2</c:v>
                </c:pt>
                <c:pt idx="565">
                  <c:v>2.7316750051388589E-2</c:v>
                </c:pt>
                <c:pt idx="566">
                  <c:v>2.7071956290860011E-2</c:v>
                </c:pt>
                <c:pt idx="567">
                  <c:v>2.6746353205871248E-2</c:v>
                </c:pt>
                <c:pt idx="568">
                  <c:v>2.6858762249026114E-2</c:v>
                </c:pt>
                <c:pt idx="569">
                  <c:v>2.6359425805944654E-2</c:v>
                </c:pt>
                <c:pt idx="570">
                  <c:v>2.6420782865709869E-2</c:v>
                </c:pt>
                <c:pt idx="571">
                  <c:v>2.5981015255643291E-2</c:v>
                </c:pt>
                <c:pt idx="572">
                  <c:v>2.5843174360590911E-2</c:v>
                </c:pt>
                <c:pt idx="573">
                  <c:v>2.5722744142883981E-2</c:v>
                </c:pt>
                <c:pt idx="574">
                  <c:v>2.5738199572482412E-2</c:v>
                </c:pt>
                <c:pt idx="575">
                  <c:v>2.5861820362292554E-2</c:v>
                </c:pt>
                <c:pt idx="576">
                  <c:v>2.5799928448684461E-2</c:v>
                </c:pt>
                <c:pt idx="577">
                  <c:v>2.58750279839048E-2</c:v>
                </c:pt>
                <c:pt idx="578">
                  <c:v>2.5565794530235508E-2</c:v>
                </c:pt>
                <c:pt idx="579">
                  <c:v>2.5502047082287045E-2</c:v>
                </c:pt>
                <c:pt idx="580">
                  <c:v>2.5679184928750619E-2</c:v>
                </c:pt>
                <c:pt idx="581">
                  <c:v>2.5669773112832334E-2</c:v>
                </c:pt>
                <c:pt idx="582">
                  <c:v>2.5697675673522713E-2</c:v>
                </c:pt>
                <c:pt idx="583">
                  <c:v>2.5859124148790116E-2</c:v>
                </c:pt>
                <c:pt idx="584">
                  <c:v>2.5847934620068479E-2</c:v>
                </c:pt>
                <c:pt idx="585">
                  <c:v>2.5664527679688905E-2</c:v>
                </c:pt>
                <c:pt idx="586">
                  <c:v>2.5790208192688908E-2</c:v>
                </c:pt>
                <c:pt idx="587">
                  <c:v>2.5596690542841385E-2</c:v>
                </c:pt>
                <c:pt idx="588">
                  <c:v>2.5765886740971959E-2</c:v>
                </c:pt>
                <c:pt idx="589">
                  <c:v>2.5812469179595308E-2</c:v>
                </c:pt>
                <c:pt idx="590">
                  <c:v>2.576586121487516E-2</c:v>
                </c:pt>
                <c:pt idx="591">
                  <c:v>2.5631502999616737E-2</c:v>
                </c:pt>
                <c:pt idx="592">
                  <c:v>2.5349284850686639E-2</c:v>
                </c:pt>
                <c:pt idx="593">
                  <c:v>2.5472275910290772E-2</c:v>
                </c:pt>
                <c:pt idx="594">
                  <c:v>2.5298777275189133E-2</c:v>
                </c:pt>
                <c:pt idx="595">
                  <c:v>2.5232165695489132E-2</c:v>
                </c:pt>
                <c:pt idx="596">
                  <c:v>2.582854373217662E-2</c:v>
                </c:pt>
                <c:pt idx="597">
                  <c:v>2.5588681834255562E-2</c:v>
                </c:pt>
                <c:pt idx="598">
                  <c:v>2.5553409234820839E-2</c:v>
                </c:pt>
                <c:pt idx="599">
                  <c:v>2.5520159881130471E-2</c:v>
                </c:pt>
                <c:pt idx="600">
                  <c:v>2.5370195639771487E-2</c:v>
                </c:pt>
                <c:pt idx="601">
                  <c:v>2.5328248384734454E-2</c:v>
                </c:pt>
                <c:pt idx="602">
                  <c:v>2.5736685241420164E-2</c:v>
                </c:pt>
                <c:pt idx="603">
                  <c:v>2.5408361600706229E-2</c:v>
                </c:pt>
                <c:pt idx="604">
                  <c:v>2.5086765119132697E-2</c:v>
                </c:pt>
                <c:pt idx="605">
                  <c:v>2.539426489439155E-2</c:v>
                </c:pt>
                <c:pt idx="606">
                  <c:v>2.4597924494800905E-2</c:v>
                </c:pt>
                <c:pt idx="607">
                  <c:v>2.5145636061657005E-2</c:v>
                </c:pt>
                <c:pt idx="608">
                  <c:v>2.4339102321380059E-2</c:v>
                </c:pt>
                <c:pt idx="609">
                  <c:v>2.4462291062621981E-2</c:v>
                </c:pt>
                <c:pt idx="610">
                  <c:v>2.4098097691478079E-2</c:v>
                </c:pt>
                <c:pt idx="611">
                  <c:v>2.4058221165189946E-2</c:v>
                </c:pt>
                <c:pt idx="612">
                  <c:v>2.4041059069428408E-2</c:v>
                </c:pt>
                <c:pt idx="613">
                  <c:v>2.3737576994874124E-2</c:v>
                </c:pt>
                <c:pt idx="614">
                  <c:v>2.4287626729972062E-2</c:v>
                </c:pt>
                <c:pt idx="615">
                  <c:v>2.4568897886000744E-2</c:v>
                </c:pt>
                <c:pt idx="616">
                  <c:v>2.4292712269482136E-2</c:v>
                </c:pt>
                <c:pt idx="617">
                  <c:v>2.4646071282684229E-2</c:v>
                </c:pt>
                <c:pt idx="618">
                  <c:v>2.3929610548321344E-2</c:v>
                </c:pt>
                <c:pt idx="619">
                  <c:v>2.3390040747228377E-2</c:v>
                </c:pt>
                <c:pt idx="620">
                  <c:v>2.3551898194955647E-2</c:v>
                </c:pt>
                <c:pt idx="621">
                  <c:v>2.3673712297052417E-2</c:v>
                </c:pt>
                <c:pt idx="622">
                  <c:v>2.3513481198355769E-2</c:v>
                </c:pt>
                <c:pt idx="623">
                  <c:v>2.3864336079253215E-2</c:v>
                </c:pt>
                <c:pt idx="624">
                  <c:v>2.3840686572345858E-2</c:v>
                </c:pt>
                <c:pt idx="625">
                  <c:v>2.3710024793805403E-2</c:v>
                </c:pt>
                <c:pt idx="626">
                  <c:v>2.3375996639697312E-2</c:v>
                </c:pt>
                <c:pt idx="627">
                  <c:v>2.3395307921436629E-2</c:v>
                </c:pt>
                <c:pt idx="628">
                  <c:v>2.3993894248108674E-2</c:v>
                </c:pt>
                <c:pt idx="629">
                  <c:v>2.4466046601866593E-2</c:v>
                </c:pt>
                <c:pt idx="630">
                  <c:v>2.3908626795149664E-2</c:v>
                </c:pt>
                <c:pt idx="631">
                  <c:v>2.3692533272332183E-2</c:v>
                </c:pt>
                <c:pt idx="632">
                  <c:v>2.4130858404904015E-2</c:v>
                </c:pt>
                <c:pt idx="633">
                  <c:v>2.4132215997261272E-2</c:v>
                </c:pt>
                <c:pt idx="634">
                  <c:v>2.3748367839129765E-2</c:v>
                </c:pt>
                <c:pt idx="635">
                  <c:v>2.3993660517303297E-2</c:v>
                </c:pt>
                <c:pt idx="636">
                  <c:v>2.368510213206626E-2</c:v>
                </c:pt>
                <c:pt idx="637">
                  <c:v>2.3370268671231903E-2</c:v>
                </c:pt>
                <c:pt idx="638">
                  <c:v>2.5174091833198024E-2</c:v>
                </c:pt>
                <c:pt idx="639">
                  <c:v>2.4160284770235185E-2</c:v>
                </c:pt>
                <c:pt idx="640">
                  <c:v>2.3745867226276016E-2</c:v>
                </c:pt>
                <c:pt idx="641">
                  <c:v>2.3524178722262885E-2</c:v>
                </c:pt>
                <c:pt idx="642">
                  <c:v>2.378791744197635E-2</c:v>
                </c:pt>
                <c:pt idx="643">
                  <c:v>2.3371489125589267E-2</c:v>
                </c:pt>
                <c:pt idx="644">
                  <c:v>2.3538268029775797E-2</c:v>
                </c:pt>
                <c:pt idx="645">
                  <c:v>2.3788511472739145E-2</c:v>
                </c:pt>
                <c:pt idx="646">
                  <c:v>2.2865041082422724E-2</c:v>
                </c:pt>
                <c:pt idx="647">
                  <c:v>2.2829912761148968E-2</c:v>
                </c:pt>
                <c:pt idx="648">
                  <c:v>2.4027719319248374E-2</c:v>
                </c:pt>
                <c:pt idx="649">
                  <c:v>2.4093288195124095E-2</c:v>
                </c:pt>
                <c:pt idx="650">
                  <c:v>2.3230686262404415E-2</c:v>
                </c:pt>
                <c:pt idx="651">
                  <c:v>2.3233062872195686E-2</c:v>
                </c:pt>
                <c:pt idx="652">
                  <c:v>2.2224383737299298E-2</c:v>
                </c:pt>
                <c:pt idx="653">
                  <c:v>2.2621567493471471E-2</c:v>
                </c:pt>
                <c:pt idx="654">
                  <c:v>2.3179225689820917E-2</c:v>
                </c:pt>
                <c:pt idx="655">
                  <c:v>2.243424075546608E-2</c:v>
                </c:pt>
                <c:pt idx="656">
                  <c:v>2.320100754564763E-2</c:v>
                </c:pt>
                <c:pt idx="657">
                  <c:v>2.3643734380796023E-2</c:v>
                </c:pt>
                <c:pt idx="658">
                  <c:v>2.4629506723322495E-2</c:v>
                </c:pt>
                <c:pt idx="659">
                  <c:v>2.307473697862375E-2</c:v>
                </c:pt>
                <c:pt idx="660">
                  <c:v>2.2248518869856657E-2</c:v>
                </c:pt>
                <c:pt idx="661">
                  <c:v>2.2774588045464065E-2</c:v>
                </c:pt>
                <c:pt idx="662">
                  <c:v>2.142806130349607E-2</c:v>
                </c:pt>
                <c:pt idx="663">
                  <c:v>2.1595266185509488E-2</c:v>
                </c:pt>
                <c:pt idx="664">
                  <c:v>2.12294764210475E-2</c:v>
                </c:pt>
                <c:pt idx="665">
                  <c:v>2.1623491609672495E-2</c:v>
                </c:pt>
                <c:pt idx="666">
                  <c:v>2.1912132284994716E-2</c:v>
                </c:pt>
                <c:pt idx="667">
                  <c:v>2.1338876035487741E-2</c:v>
                </c:pt>
                <c:pt idx="668">
                  <c:v>2.1504834273891573E-2</c:v>
                </c:pt>
                <c:pt idx="669">
                  <c:v>2.1014012822003748E-2</c:v>
                </c:pt>
                <c:pt idx="670">
                  <c:v>2.1732477737485371E-2</c:v>
                </c:pt>
                <c:pt idx="671">
                  <c:v>2.1485819204490674E-2</c:v>
                </c:pt>
                <c:pt idx="672">
                  <c:v>2.2537793826576117E-2</c:v>
                </c:pt>
                <c:pt idx="673">
                  <c:v>2.2103216420779344E-2</c:v>
                </c:pt>
                <c:pt idx="674">
                  <c:v>2.2406252771212758E-2</c:v>
                </c:pt>
                <c:pt idx="675">
                  <c:v>2.2257134454577467E-2</c:v>
                </c:pt>
                <c:pt idx="676">
                  <c:v>2.0760625644386629E-2</c:v>
                </c:pt>
                <c:pt idx="677">
                  <c:v>2.260813883482958E-2</c:v>
                </c:pt>
                <c:pt idx="678">
                  <c:v>2.2781060214278191E-2</c:v>
                </c:pt>
                <c:pt idx="679">
                  <c:v>2.2044780373591779E-2</c:v>
                </c:pt>
                <c:pt idx="680">
                  <c:v>2.0873038117340741E-2</c:v>
                </c:pt>
                <c:pt idx="681">
                  <c:v>1.728433410134074E-2</c:v>
                </c:pt>
                <c:pt idx="682">
                  <c:v>1.6732297684750805E-2</c:v>
                </c:pt>
                <c:pt idx="683">
                  <c:v>1.6721575035623198E-2</c:v>
                </c:pt>
                <c:pt idx="684">
                  <c:v>1.7004747432592889E-2</c:v>
                </c:pt>
                <c:pt idx="685">
                  <c:v>1.8008604822770523E-2</c:v>
                </c:pt>
                <c:pt idx="686">
                  <c:v>1.5490128515103428E-2</c:v>
                </c:pt>
                <c:pt idx="687">
                  <c:v>1.7510442260570802E-2</c:v>
                </c:pt>
                <c:pt idx="688">
                  <c:v>1.7301919603762175E-2</c:v>
                </c:pt>
                <c:pt idx="689">
                  <c:v>1.703084736215418E-2</c:v>
                </c:pt>
                <c:pt idx="690">
                  <c:v>1.623259006675519E-2</c:v>
                </c:pt>
                <c:pt idx="691">
                  <c:v>1.7248630373972781E-2</c:v>
                </c:pt>
                <c:pt idx="692">
                  <c:v>1.7644886657762867E-2</c:v>
                </c:pt>
                <c:pt idx="693">
                  <c:v>1.710747684064241E-2</c:v>
                </c:pt>
                <c:pt idx="694">
                  <c:v>1.7072162336914012E-2</c:v>
                </c:pt>
                <c:pt idx="695">
                  <c:v>1.7197962945128299E-2</c:v>
                </c:pt>
                <c:pt idx="696">
                  <c:v>1.7279535305940591E-2</c:v>
                </c:pt>
                <c:pt idx="697">
                  <c:v>1.6805422397705921E-2</c:v>
                </c:pt>
                <c:pt idx="698">
                  <c:v>1.7212303130269713E-2</c:v>
                </c:pt>
                <c:pt idx="699">
                  <c:v>1.776203433451495E-2</c:v>
                </c:pt>
                <c:pt idx="700">
                  <c:v>1.7718767043411694E-2</c:v>
                </c:pt>
                <c:pt idx="701">
                  <c:v>1.7075756308719436E-2</c:v>
                </c:pt>
                <c:pt idx="702">
                  <c:v>1.7716370735623415E-2</c:v>
                </c:pt>
                <c:pt idx="703">
                  <c:v>1.8433627133393693E-2</c:v>
                </c:pt>
                <c:pt idx="704">
                  <c:v>1.8557937545767039E-2</c:v>
                </c:pt>
                <c:pt idx="705">
                  <c:v>1.8197334761330029E-2</c:v>
                </c:pt>
                <c:pt idx="706">
                  <c:v>1.8760480416476471E-2</c:v>
                </c:pt>
                <c:pt idx="707">
                  <c:v>1.8554135047881969E-2</c:v>
                </c:pt>
                <c:pt idx="708">
                  <c:v>1.8136672630776705E-2</c:v>
                </c:pt>
                <c:pt idx="709">
                  <c:v>1.8884468303410239E-2</c:v>
                </c:pt>
                <c:pt idx="710">
                  <c:v>1.826291109276091E-2</c:v>
                </c:pt>
                <c:pt idx="711">
                  <c:v>1.7132431527869852E-2</c:v>
                </c:pt>
                <c:pt idx="712">
                  <c:v>1.7324078129026223E-2</c:v>
                </c:pt>
                <c:pt idx="713">
                  <c:v>1.7713225525422583E-2</c:v>
                </c:pt>
                <c:pt idx="714">
                  <c:v>1.732520844237519E-2</c:v>
                </c:pt>
                <c:pt idx="715">
                  <c:v>1.7671035024096962E-2</c:v>
                </c:pt>
                <c:pt idx="716">
                  <c:v>1.7426028746673518E-2</c:v>
                </c:pt>
                <c:pt idx="717">
                  <c:v>1.7372290998805509E-2</c:v>
                </c:pt>
                <c:pt idx="718">
                  <c:v>1.6811771286853898E-2</c:v>
                </c:pt>
                <c:pt idx="719">
                  <c:v>1.6417461433155547E-2</c:v>
                </c:pt>
                <c:pt idx="720">
                  <c:v>1.5483903188777603E-2</c:v>
                </c:pt>
                <c:pt idx="721">
                  <c:v>1.593202460314027E-2</c:v>
                </c:pt>
                <c:pt idx="722">
                  <c:v>1.6184914153070024E-2</c:v>
                </c:pt>
                <c:pt idx="723">
                  <c:v>1.4871537869203673E-2</c:v>
                </c:pt>
                <c:pt idx="724">
                  <c:v>1.515131186279655E-2</c:v>
                </c:pt>
                <c:pt idx="725">
                  <c:v>1.5227000091329516E-2</c:v>
                </c:pt>
                <c:pt idx="726">
                  <c:v>1.5452185747048217E-2</c:v>
                </c:pt>
                <c:pt idx="727">
                  <c:v>1.5630267347489599E-2</c:v>
                </c:pt>
                <c:pt idx="728">
                  <c:v>1.6318657690811381E-2</c:v>
                </c:pt>
                <c:pt idx="729">
                  <c:v>1.6121681575742019E-2</c:v>
                </c:pt>
                <c:pt idx="730">
                  <c:v>1.6038654520124294E-2</c:v>
                </c:pt>
                <c:pt idx="731">
                  <c:v>1.5265207181724295E-2</c:v>
                </c:pt>
                <c:pt idx="732">
                  <c:v>1.6879787212859342E-2</c:v>
                </c:pt>
                <c:pt idx="733">
                  <c:v>1.5097747987429978E-2</c:v>
                </c:pt>
                <c:pt idx="734">
                  <c:v>1.4949664944292082E-2</c:v>
                </c:pt>
                <c:pt idx="735">
                  <c:v>1.450354868885919E-2</c:v>
                </c:pt>
                <c:pt idx="736">
                  <c:v>1.4620915905674083E-2</c:v>
                </c:pt>
                <c:pt idx="737">
                  <c:v>1.5386776564737952E-2</c:v>
                </c:pt>
                <c:pt idx="738">
                  <c:v>1.4984431542292018E-2</c:v>
                </c:pt>
                <c:pt idx="739">
                  <c:v>1.4146184115681503E-2</c:v>
                </c:pt>
                <c:pt idx="740">
                  <c:v>1.2512378506223755E-2</c:v>
                </c:pt>
                <c:pt idx="741">
                  <c:v>1.4534405264720497E-2</c:v>
                </c:pt>
                <c:pt idx="742">
                  <c:v>1.6381962534881972E-2</c:v>
                </c:pt>
                <c:pt idx="743">
                  <c:v>1.4563242998099425E-2</c:v>
                </c:pt>
                <c:pt idx="744">
                  <c:v>1.0131586776949758E-2</c:v>
                </c:pt>
                <c:pt idx="745">
                  <c:v>4.7332914408989603E-3</c:v>
                </c:pt>
                <c:pt idx="746">
                  <c:v>3.9090669735523447E-3</c:v>
                </c:pt>
                <c:pt idx="747">
                  <c:v>3.1102881100165576E-3</c:v>
                </c:pt>
                <c:pt idx="748">
                  <c:v>2.31676412826156E-3</c:v>
                </c:pt>
                <c:pt idx="749">
                  <c:v>9.0554470935287612E-4</c:v>
                </c:pt>
                <c:pt idx="750">
                  <c:v>1.2558546241119134E-3</c:v>
                </c:pt>
                <c:pt idx="751">
                  <c:v>1.7396290948405843E-3</c:v>
                </c:pt>
                <c:pt idx="752">
                  <c:v>2.2897781944139191E-3</c:v>
                </c:pt>
                <c:pt idx="753">
                  <c:v>7.831172052858035E-4</c:v>
                </c:pt>
                <c:pt idx="754">
                  <c:v>-1.8301398289731908E-4</c:v>
                </c:pt>
                <c:pt idx="755">
                  <c:v>-1.0394419410399438E-3</c:v>
                </c:pt>
                <c:pt idx="756">
                  <c:v>-1.4009608992152525E-3</c:v>
                </c:pt>
                <c:pt idx="757">
                  <c:v>-1.2346529597623424E-3</c:v>
                </c:pt>
                <c:pt idx="758">
                  <c:v>-1.2388473782372032E-3</c:v>
                </c:pt>
                <c:pt idx="759">
                  <c:v>-1.0528920994412015E-3</c:v>
                </c:pt>
                <c:pt idx="760">
                  <c:v>-7.9457001036735474E-4</c:v>
                </c:pt>
                <c:pt idx="761">
                  <c:v>-1.3585588826769024E-3</c:v>
                </c:pt>
                <c:pt idx="762">
                  <c:v>-1.5796987852323935E-3</c:v>
                </c:pt>
                <c:pt idx="763">
                  <c:v>-1.6881023593550352E-3</c:v>
                </c:pt>
                <c:pt idx="764">
                  <c:v>-1.903750906964455E-3</c:v>
                </c:pt>
                <c:pt idx="765">
                  <c:v>-1.8225480155131732E-3</c:v>
                </c:pt>
                <c:pt idx="766">
                  <c:v>-1.63554121827575E-3</c:v>
                </c:pt>
                <c:pt idx="767">
                  <c:v>-1.5167817196414149E-3</c:v>
                </c:pt>
                <c:pt idx="768">
                  <c:v>-1.6462003553457624E-3</c:v>
                </c:pt>
                <c:pt idx="769">
                  <c:v>-1.6096940150929532E-3</c:v>
                </c:pt>
                <c:pt idx="770">
                  <c:v>-1.7153481353506708E-3</c:v>
                </c:pt>
                <c:pt idx="771">
                  <c:v>-1.5761928646448734E-3</c:v>
                </c:pt>
                <c:pt idx="772">
                  <c:v>-1.8425923803508909E-3</c:v>
                </c:pt>
                <c:pt idx="773">
                  <c:v>-1.4071057605940446E-3</c:v>
                </c:pt>
                <c:pt idx="774">
                  <c:v>-1.3710429847093438E-3</c:v>
                </c:pt>
                <c:pt idx="775">
                  <c:v>-1.4455744183097803E-3</c:v>
                </c:pt>
                <c:pt idx="776">
                  <c:v>-1.3778084277342251E-3</c:v>
                </c:pt>
                <c:pt idx="777">
                  <c:v>-1.4684069603419171E-3</c:v>
                </c:pt>
                <c:pt idx="778">
                  <c:v>-1.5134454421493252E-3</c:v>
                </c:pt>
                <c:pt idx="779">
                  <c:v>-1.4369614171880353E-3</c:v>
                </c:pt>
                <c:pt idx="780">
                  <c:v>-1.354992820738035E-3</c:v>
                </c:pt>
                <c:pt idx="781">
                  <c:v>-1.1704082761465364E-3</c:v>
                </c:pt>
                <c:pt idx="782">
                  <c:v>-1.112039121146537E-3</c:v>
                </c:pt>
                <c:pt idx="783">
                  <c:v>-1.0946850269148787E-3</c:v>
                </c:pt>
                <c:pt idx="784">
                  <c:v>-1.3084636060043523E-3</c:v>
                </c:pt>
                <c:pt idx="785">
                  <c:v>-1.2214742602785604E-3</c:v>
                </c:pt>
                <c:pt idx="786">
                  <c:v>-1.0643890833138866E-3</c:v>
                </c:pt>
                <c:pt idx="787">
                  <c:v>-1.0373108980118733E-3</c:v>
                </c:pt>
                <c:pt idx="788">
                  <c:v>-9.0961755080756269E-4</c:v>
                </c:pt>
                <c:pt idx="789">
                  <c:v>-8.3798768152535601E-4</c:v>
                </c:pt>
                <c:pt idx="790">
                  <c:v>-6.9135982561074926E-4</c:v>
                </c:pt>
                <c:pt idx="791">
                  <c:v>-8.5510211004229835E-4</c:v>
                </c:pt>
                <c:pt idx="792">
                  <c:v>-9.0457889476831203E-4</c:v>
                </c:pt>
                <c:pt idx="793">
                  <c:v>-9.1896182307258452E-4</c:v>
                </c:pt>
                <c:pt idx="794">
                  <c:v>-8.8451696407258382E-4</c:v>
                </c:pt>
                <c:pt idx="795">
                  <c:v>-7.5901123959054085E-4</c:v>
                </c:pt>
                <c:pt idx="796">
                  <c:v>-5.3396364328066087E-4</c:v>
                </c:pt>
                <c:pt idx="797">
                  <c:v>-3.7753328266724594E-4</c:v>
                </c:pt>
                <c:pt idx="798">
                  <c:v>-1.7291116833115938E-4</c:v>
                </c:pt>
                <c:pt idx="799">
                  <c:v>-6.6579111631159476E-5</c:v>
                </c:pt>
                <c:pt idx="800">
                  <c:v>4.4698754513878511E-5</c:v>
                </c:pt>
                <c:pt idx="801">
                  <c:v>-3.1821493991458747E-5</c:v>
                </c:pt>
                <c:pt idx="802">
                  <c:v>3.5010665341874889E-5</c:v>
                </c:pt>
                <c:pt idx="803">
                  <c:v>3.757864390341284E-5</c:v>
                </c:pt>
                <c:pt idx="804">
                  <c:v>2.0490411343413652E-5</c:v>
                </c:pt>
                <c:pt idx="805">
                  <c:v>2.5185619966442665E-5</c:v>
                </c:pt>
                <c:pt idx="806">
                  <c:v>4.3034322789795925E-5</c:v>
                </c:pt>
                <c:pt idx="807">
                  <c:v>9.9641748389796563E-5</c:v>
                </c:pt>
                <c:pt idx="808">
                  <c:v>5.1844661964797634E-5</c:v>
                </c:pt>
                <c:pt idx="809">
                  <c:v>1.1688643004839294E-4</c:v>
                </c:pt>
                <c:pt idx="810">
                  <c:v>2.7353230614263858E-5</c:v>
                </c:pt>
                <c:pt idx="811">
                  <c:v>4.3184273976333698E-5</c:v>
                </c:pt>
                <c:pt idx="812">
                  <c:v>8.1524154205526414E-5</c:v>
                </c:pt>
                <c:pt idx="813">
                  <c:v>1.3691566735724972E-4</c:v>
                </c:pt>
                <c:pt idx="814">
                  <c:v>9.9799388029976637E-5</c:v>
                </c:pt>
                <c:pt idx="815">
                  <c:v>-2.9070163706395397E-6</c:v>
                </c:pt>
                <c:pt idx="816">
                  <c:v>-4.8092781500709557E-5</c:v>
                </c:pt>
                <c:pt idx="817">
                  <c:v>-2.7784509620709643E-5</c:v>
                </c:pt>
                <c:pt idx="818">
                  <c:v>-4.1096703366864129E-5</c:v>
                </c:pt>
                <c:pt idx="819">
                  <c:v>-9.3626805385138356E-5</c:v>
                </c:pt>
                <c:pt idx="820">
                  <c:v>-1.0385340826624572E-4</c:v>
                </c:pt>
                <c:pt idx="821">
                  <c:v>-3.193226575258379E-5</c:v>
                </c:pt>
                <c:pt idx="822">
                  <c:v>3.7405038422758842E-5</c:v>
                </c:pt>
                <c:pt idx="823">
                  <c:v>2.4606142303521011E-4</c:v>
                </c:pt>
                <c:pt idx="824">
                  <c:v>2.2612219319863438E-4</c:v>
                </c:pt>
                <c:pt idx="825">
                  <c:v>2.7131222567018301E-4</c:v>
                </c:pt>
                <c:pt idx="826">
                  <c:v>8.1393957907428466E-5</c:v>
                </c:pt>
                <c:pt idx="827">
                  <c:v>6.5212734549981453E-5</c:v>
                </c:pt>
                <c:pt idx="828">
                  <c:v>1.2896944662072984E-4</c:v>
                </c:pt>
                <c:pt idx="829">
                  <c:v>4.5002566459473322E-5</c:v>
                </c:pt>
                <c:pt idx="830">
                  <c:v>6.7007712206173788E-5</c:v>
                </c:pt>
                <c:pt idx="831">
                  <c:v>4.5740004027366005E-5</c:v>
                </c:pt>
                <c:pt idx="832">
                  <c:v>8.3216288668683938E-5</c:v>
                </c:pt>
                <c:pt idx="833">
                  <c:v>8.3810490409553392E-5</c:v>
                </c:pt>
                <c:pt idx="834">
                  <c:v>7.7045580138965437E-5</c:v>
                </c:pt>
                <c:pt idx="835">
                  <c:v>1.6015530965788382E-4</c:v>
                </c:pt>
                <c:pt idx="836">
                  <c:v>2.4457718184143639E-4</c:v>
                </c:pt>
                <c:pt idx="837">
                  <c:v>2.1531277648429304E-4</c:v>
                </c:pt>
                <c:pt idx="838">
                  <c:v>2.4352929340522325E-4</c:v>
                </c:pt>
                <c:pt idx="839">
                  <c:v>2.7222499267545242E-4</c:v>
                </c:pt>
                <c:pt idx="840">
                  <c:v>4.2333452527819207E-4</c:v>
                </c:pt>
                <c:pt idx="841">
                  <c:v>4.1580534621951925E-4</c:v>
                </c:pt>
                <c:pt idx="842">
                  <c:v>3.1300121065063017E-4</c:v>
                </c:pt>
                <c:pt idx="843">
                  <c:v>4.8289705005471079E-4</c:v>
                </c:pt>
                <c:pt idx="844">
                  <c:v>4.4987106515471102E-4</c:v>
                </c:pt>
                <c:pt idx="845">
                  <c:v>4.5277306816795588E-4</c:v>
                </c:pt>
                <c:pt idx="846">
                  <c:v>4.2708528526148127E-4</c:v>
                </c:pt>
                <c:pt idx="847">
                  <c:v>4.0894537189308737E-4</c:v>
                </c:pt>
                <c:pt idx="848">
                  <c:v>4.154620426241224E-4</c:v>
                </c:pt>
                <c:pt idx="849">
                  <c:v>3.8023367596120097E-4</c:v>
                </c:pt>
                <c:pt idx="850">
                  <c:v>4.1932450025793669E-4</c:v>
                </c:pt>
                <c:pt idx="851">
                  <c:v>3.6051757973690353E-4</c:v>
                </c:pt>
                <c:pt idx="852">
                  <c:v>3.7497824026973563E-4</c:v>
                </c:pt>
                <c:pt idx="853">
                  <c:v>3.8824676502612309E-4</c:v>
                </c:pt>
                <c:pt idx="854">
                  <c:v>3.166527934391668E-4</c:v>
                </c:pt>
                <c:pt idx="855">
                  <c:v>3.4707326524902564E-4</c:v>
                </c:pt>
                <c:pt idx="856">
                  <c:v>3.4284604450032292E-4</c:v>
                </c:pt>
                <c:pt idx="857">
                  <c:v>4.3627043129511458E-4</c:v>
                </c:pt>
                <c:pt idx="858">
                  <c:v>5.2690877764326259E-4</c:v>
                </c:pt>
                <c:pt idx="859">
                  <c:v>5.7834642926568667E-4</c:v>
                </c:pt>
                <c:pt idx="860">
                  <c:v>6.342973804751654E-4</c:v>
                </c:pt>
                <c:pt idx="861">
                  <c:v>6.7261341988038433E-4</c:v>
                </c:pt>
                <c:pt idx="862">
                  <c:v>5.5422739206299298E-4</c:v>
                </c:pt>
                <c:pt idx="863">
                  <c:v>4.9413083783108669E-4</c:v>
                </c:pt>
                <c:pt idx="864">
                  <c:v>5.299268939450301E-4</c:v>
                </c:pt>
                <c:pt idx="865">
                  <c:v>4.7086781263514015E-4</c:v>
                </c:pt>
                <c:pt idx="866">
                  <c:v>5.0855473326253298E-4</c:v>
                </c:pt>
                <c:pt idx="867">
                  <c:v>5.7609615037211136E-4</c:v>
                </c:pt>
                <c:pt idx="868">
                  <c:v>4.8157346923740388E-4</c:v>
                </c:pt>
                <c:pt idx="869">
                  <c:v>5.7500414731079827E-4</c:v>
                </c:pt>
                <c:pt idx="870">
                  <c:v>5.9691346881079836E-4</c:v>
                </c:pt>
                <c:pt idx="871">
                  <c:v>6.2534750273484903E-4</c:v>
                </c:pt>
                <c:pt idx="872">
                  <c:v>6.4946912120151569E-4</c:v>
                </c:pt>
                <c:pt idx="873">
                  <c:v>6.059878520450388E-4</c:v>
                </c:pt>
                <c:pt idx="874">
                  <c:v>5.7749452569310755E-4</c:v>
                </c:pt>
                <c:pt idx="875">
                  <c:v>5.8218501523428414E-4</c:v>
                </c:pt>
                <c:pt idx="876">
                  <c:v>5.9650198959933264E-4</c:v>
                </c:pt>
                <c:pt idx="877">
                  <c:v>6.0708974244416019E-4</c:v>
                </c:pt>
                <c:pt idx="878">
                  <c:v>5.7927501303487654E-4</c:v>
                </c:pt>
                <c:pt idx="879">
                  <c:v>5.7900513266634878E-4</c:v>
                </c:pt>
                <c:pt idx="880">
                  <c:v>5.7797204128553256E-4</c:v>
                </c:pt>
                <c:pt idx="881">
                  <c:v>5.9155887567546232E-4</c:v>
                </c:pt>
                <c:pt idx="882">
                  <c:v>5.944807204175676E-4</c:v>
                </c:pt>
                <c:pt idx="883">
                  <c:v>6.0841471488340708E-4</c:v>
                </c:pt>
                <c:pt idx="884">
                  <c:v>6.3841049493815736E-4</c:v>
                </c:pt>
                <c:pt idx="885">
                  <c:v>6.4585469144936441E-4</c:v>
                </c:pt>
                <c:pt idx="886">
                  <c:v>6.4487832998542992E-4</c:v>
                </c:pt>
                <c:pt idx="887">
                  <c:v>6.5168881671888717E-4</c:v>
                </c:pt>
                <c:pt idx="888">
                  <c:v>6.4727131874705603E-4</c:v>
                </c:pt>
                <c:pt idx="889">
                  <c:v>6.4209325121601082E-4</c:v>
                </c:pt>
                <c:pt idx="890">
                  <c:v>6.3409353579735046E-4</c:v>
                </c:pt>
                <c:pt idx="891">
                  <c:v>6.3729669821820296E-4</c:v>
                </c:pt>
                <c:pt idx="892">
                  <c:v>6.6062998903238738E-4</c:v>
                </c:pt>
                <c:pt idx="893">
                  <c:v>6.3975758232590085E-4</c:v>
                </c:pt>
                <c:pt idx="894">
                  <c:v>6.3094321702907843E-4</c:v>
                </c:pt>
                <c:pt idx="895">
                  <c:v>6.3743813221235244E-4</c:v>
                </c:pt>
                <c:pt idx="896">
                  <c:v>6.3804648448607503E-4</c:v>
                </c:pt>
                <c:pt idx="897">
                  <c:v>6.4209826119755395E-4</c:v>
                </c:pt>
                <c:pt idx="898">
                  <c:v>6.7304187147030454E-4</c:v>
                </c:pt>
                <c:pt idx="899">
                  <c:v>7.3268414590428523E-4</c:v>
                </c:pt>
                <c:pt idx="900">
                  <c:v>7.3317661261242215E-4</c:v>
                </c:pt>
                <c:pt idx="901">
                  <c:v>6.8940091391768541E-4</c:v>
                </c:pt>
                <c:pt idx="902">
                  <c:v>7.0891239264777119E-4</c:v>
                </c:pt>
                <c:pt idx="903">
                  <c:v>7.1808894188130426E-4</c:v>
                </c:pt>
                <c:pt idx="904">
                  <c:v>7.169502183349384E-4</c:v>
                </c:pt>
                <c:pt idx="905">
                  <c:v>7.2774216906160507E-4</c:v>
                </c:pt>
                <c:pt idx="906">
                  <c:v>7.4485520323699776E-4</c:v>
                </c:pt>
                <c:pt idx="907">
                  <c:v>7.3089797791012754E-4</c:v>
                </c:pt>
                <c:pt idx="908">
                  <c:v>7.1823834386814116E-4</c:v>
                </c:pt>
                <c:pt idx="909">
                  <c:v>7.1627975887700193E-4</c:v>
                </c:pt>
                <c:pt idx="910">
                  <c:v>7.4166561123563553E-4</c:v>
                </c:pt>
                <c:pt idx="911">
                  <c:v>7.4573344974487334E-4</c:v>
                </c:pt>
                <c:pt idx="912">
                  <c:v>7.0217443168390668E-4</c:v>
                </c:pt>
                <c:pt idx="913">
                  <c:v>7.1638981763390676E-4</c:v>
                </c:pt>
                <c:pt idx="914">
                  <c:v>7.3242233650206324E-4</c:v>
                </c:pt>
                <c:pt idx="915">
                  <c:v>7.3033605176432335E-4</c:v>
                </c:pt>
                <c:pt idx="916">
                  <c:v>7.4376314690211465E-4</c:v>
                </c:pt>
                <c:pt idx="917">
                  <c:v>7.2175893664329122E-4</c:v>
                </c:pt>
                <c:pt idx="918">
                  <c:v>6.9675498232669422E-4</c:v>
                </c:pt>
                <c:pt idx="919">
                  <c:v>6.8938613067214872E-4</c:v>
                </c:pt>
                <c:pt idx="920">
                  <c:v>7.2279204105596482E-4</c:v>
                </c:pt>
                <c:pt idx="921">
                  <c:v>7.354100736683243E-4</c:v>
                </c:pt>
                <c:pt idx="922">
                  <c:v>7.2262229968994606E-4</c:v>
                </c:pt>
                <c:pt idx="923">
                  <c:v>7.2355378536231299E-4</c:v>
                </c:pt>
                <c:pt idx="924">
                  <c:v>6.893909008787477E-4</c:v>
                </c:pt>
                <c:pt idx="925">
                  <c:v>6.0457847121600256E-4</c:v>
                </c:pt>
                <c:pt idx="926">
                  <c:v>5.8889797897038122E-4</c:v>
                </c:pt>
                <c:pt idx="927">
                  <c:v>6.7087103541267363E-4</c:v>
                </c:pt>
                <c:pt idx="928">
                  <c:v>6.6950380522084725E-4</c:v>
                </c:pt>
                <c:pt idx="929">
                  <c:v>7.063926773295912E-4</c:v>
                </c:pt>
                <c:pt idx="930">
                  <c:v>7.0396554695493553E-4</c:v>
                </c:pt>
                <c:pt idx="931">
                  <c:v>7.2155097289117902E-4</c:v>
                </c:pt>
                <c:pt idx="932">
                  <c:v>7.2010570100780244E-4</c:v>
                </c:pt>
                <c:pt idx="933">
                  <c:v>7.1838700113384271E-4</c:v>
                </c:pt>
                <c:pt idx="934">
                  <c:v>7.3109847456871453E-4</c:v>
                </c:pt>
                <c:pt idx="935">
                  <c:v>7.0958073106507829E-4</c:v>
                </c:pt>
                <c:pt idx="936">
                  <c:v>6.9882435833158545E-4</c:v>
                </c:pt>
                <c:pt idx="937">
                  <c:v>7.0927621058063789E-4</c:v>
                </c:pt>
                <c:pt idx="938">
                  <c:v>7.0523478877011184E-4</c:v>
                </c:pt>
                <c:pt idx="939">
                  <c:v>7.3199592815215674E-4</c:v>
                </c:pt>
                <c:pt idx="940">
                  <c:v>7.0386597037741267E-4</c:v>
                </c:pt>
                <c:pt idx="941">
                  <c:v>6.9131649990916352E-4</c:v>
                </c:pt>
                <c:pt idx="942">
                  <c:v>6.9230156060384664E-4</c:v>
                </c:pt>
                <c:pt idx="943">
                  <c:v>7.2209078487636658E-4</c:v>
                </c:pt>
                <c:pt idx="944">
                  <c:v>7.0595130025555741E-4</c:v>
                </c:pt>
                <c:pt idx="945">
                  <c:v>6.6678676889256826E-4</c:v>
                </c:pt>
                <c:pt idx="946">
                  <c:v>7.007926368620698E-4</c:v>
                </c:pt>
                <c:pt idx="947">
                  <c:v>7.2295141912369354E-4</c:v>
                </c:pt>
                <c:pt idx="948">
                  <c:v>7.115078189233612E-4</c:v>
                </c:pt>
                <c:pt idx="949">
                  <c:v>7.0419463650487376E-4</c:v>
                </c:pt>
                <c:pt idx="950">
                  <c:v>7.2409897026157676E-4</c:v>
                </c:pt>
                <c:pt idx="951">
                  <c:v>6.665797670650271E-4</c:v>
                </c:pt>
                <c:pt idx="952">
                  <c:v>6.2253595009024217E-4</c:v>
                </c:pt>
                <c:pt idx="953">
                  <c:v>5.978523968313955E-4</c:v>
                </c:pt>
                <c:pt idx="954">
                  <c:v>5.6713035457518605E-4</c:v>
                </c:pt>
                <c:pt idx="955">
                  <c:v>5.9951433696788685E-4</c:v>
                </c:pt>
                <c:pt idx="956">
                  <c:v>5.8627987030942543E-4</c:v>
                </c:pt>
                <c:pt idx="957">
                  <c:v>6.0696624074665787E-4</c:v>
                </c:pt>
                <c:pt idx="958">
                  <c:v>6.0079988210120334E-4</c:v>
                </c:pt>
                <c:pt idx="959">
                  <c:v>5.8332518106807459E-4</c:v>
                </c:pt>
                <c:pt idx="960">
                  <c:v>6.6067408817818371E-4</c:v>
                </c:pt>
                <c:pt idx="961">
                  <c:v>6.3698649989026967E-4</c:v>
                </c:pt>
                <c:pt idx="962">
                  <c:v>6.3484527595509914E-4</c:v>
                </c:pt>
                <c:pt idx="963">
                  <c:v>5.7946919724194618E-4</c:v>
                </c:pt>
                <c:pt idx="964">
                  <c:v>5.8567195690333506E-4</c:v>
                </c:pt>
                <c:pt idx="965">
                  <c:v>5.9306656517162765E-4</c:v>
                </c:pt>
                <c:pt idx="966">
                  <c:v>5.5071215271294631E-4</c:v>
                </c:pt>
                <c:pt idx="967">
                  <c:v>5.5522635220429061E-4</c:v>
                </c:pt>
                <c:pt idx="968">
                  <c:v>5.3683704608326879E-4</c:v>
                </c:pt>
                <c:pt idx="969">
                  <c:v>5.442290003888719E-4</c:v>
                </c:pt>
                <c:pt idx="970">
                  <c:v>5.7740190213506355E-4</c:v>
                </c:pt>
                <c:pt idx="971">
                  <c:v>5.7426276933707709E-4</c:v>
                </c:pt>
                <c:pt idx="972">
                  <c:v>5.8736280655418229E-4</c:v>
                </c:pt>
                <c:pt idx="973">
                  <c:v>5.4332347749696305E-4</c:v>
                </c:pt>
                <c:pt idx="974">
                  <c:v>5.7097558512373802E-4</c:v>
                </c:pt>
                <c:pt idx="975">
                  <c:v>5.6774486366622612E-4</c:v>
                </c:pt>
                <c:pt idx="976">
                  <c:v>5.4558426306622614E-4</c:v>
                </c:pt>
                <c:pt idx="977">
                  <c:v>5.3930843268351028E-4</c:v>
                </c:pt>
                <c:pt idx="978">
                  <c:v>5.1802085802667782E-4</c:v>
                </c:pt>
                <c:pt idx="979">
                  <c:v>5.2275357843881176E-4</c:v>
                </c:pt>
                <c:pt idx="980">
                  <c:v>5.4676561715698356E-4</c:v>
                </c:pt>
                <c:pt idx="981">
                  <c:v>5.0032898010883521E-4</c:v>
                </c:pt>
                <c:pt idx="982">
                  <c:v>5.4221489370424153E-4</c:v>
                </c:pt>
                <c:pt idx="983">
                  <c:v>5.0138912508375963E-4</c:v>
                </c:pt>
                <c:pt idx="984">
                  <c:v>4.9286546855581577E-4</c:v>
                </c:pt>
                <c:pt idx="985">
                  <c:v>3.9340439598567901E-4</c:v>
                </c:pt>
                <c:pt idx="986">
                  <c:v>3.6882902055156364E-4</c:v>
                </c:pt>
                <c:pt idx="987">
                  <c:v>3.5911783947772209E-4</c:v>
                </c:pt>
                <c:pt idx="988">
                  <c:v>4.0918642074116301E-4</c:v>
                </c:pt>
                <c:pt idx="989">
                  <c:v>3.3212100010467593E-4</c:v>
                </c:pt>
                <c:pt idx="990">
                  <c:v>2.5914656328561301E-4</c:v>
                </c:pt>
                <c:pt idx="991">
                  <c:v>2.5599965595697117E-4</c:v>
                </c:pt>
                <c:pt idx="992">
                  <c:v>2.2435893804422874E-4</c:v>
                </c:pt>
                <c:pt idx="993">
                  <c:v>1.8664347473803465E-4</c:v>
                </c:pt>
                <c:pt idx="994">
                  <c:v>1.9292674346360164E-4</c:v>
                </c:pt>
                <c:pt idx="995">
                  <c:v>2.1017064008746133E-4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CE-421A-9BBE-E519C5E2D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9331520"/>
        <c:axId val="1699328608"/>
      </c:lineChart>
      <c:dateAx>
        <c:axId val="1699331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328608"/>
        <c:crosses val="autoZero"/>
        <c:auto val="1"/>
        <c:lblOffset val="100"/>
        <c:baseTimeUnit val="days"/>
      </c:dateAx>
      <c:valAx>
        <c:axId val="169932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33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BE96DF-7549-409E-9D81-A19CB822B35B}">
  <sheetPr codeName="Chart1"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E10FB5-D244-45C8-86DC-69694A5CBC9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478</v>
      </c>
      <c r="D2" s="4">
        <f>MIN(D3:D1912)</f>
        <v>31.33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93</v>
      </c>
      <c r="C5">
        <v>93.7</v>
      </c>
      <c r="D5">
        <v>90</v>
      </c>
      <c r="E5">
        <v>90.1</v>
      </c>
      <c r="F5">
        <v>12676.295</v>
      </c>
      <c r="G5">
        <v>90.1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-0.94594594594594905</v>
      </c>
      <c r="Q5">
        <f t="shared" ref="Q5" si="1">F5*P5</f>
        <v>-11991.089864864904</v>
      </c>
      <c r="R5">
        <f t="shared" ref="R5" si="2">R6+Q5</f>
        <v>10596963.615981888</v>
      </c>
      <c r="S5">
        <f t="shared" ref="S5" si="3">R5/100000</f>
        <v>105.96963615981888</v>
      </c>
      <c r="T5">
        <f t="shared" ref="T5" si="4">S5/1000</f>
        <v>0.10596963615981887</v>
      </c>
    </row>
    <row r="6" spans="1:20" x14ac:dyDescent="0.25">
      <c r="A6" s="5">
        <v>44587</v>
      </c>
      <c r="B6">
        <v>89.5</v>
      </c>
      <c r="C6">
        <v>99.2</v>
      </c>
      <c r="D6">
        <v>88.4</v>
      </c>
      <c r="E6">
        <v>93</v>
      </c>
      <c r="F6">
        <v>187678.00599999999</v>
      </c>
      <c r="G6">
        <v>93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-0.14814814814814897</v>
      </c>
      <c r="Q6">
        <f t="shared" ref="Q6" si="6">F6*P6</f>
        <v>-27804.14903703719</v>
      </c>
      <c r="R6">
        <f t="shared" ref="R6" si="7">R7+Q6</f>
        <v>10608954.705846753</v>
      </c>
      <c r="S6">
        <f t="shared" ref="S6" si="8">R6/100000</f>
        <v>106.08954705846753</v>
      </c>
      <c r="T6">
        <f t="shared" ref="T6" si="9">S6/1000</f>
        <v>0.10608954705846753</v>
      </c>
    </row>
    <row r="7" spans="1:20" x14ac:dyDescent="0.25">
      <c r="A7" s="5">
        <v>44586</v>
      </c>
      <c r="B7">
        <v>90.5</v>
      </c>
      <c r="C7">
        <v>92.5</v>
      </c>
      <c r="D7">
        <v>87.9</v>
      </c>
      <c r="E7">
        <v>89.4</v>
      </c>
      <c r="F7">
        <v>146828.698</v>
      </c>
      <c r="G7">
        <v>89.4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-0.34782608695652095</v>
      </c>
      <c r="Q7">
        <f t="shared" ref="Q7" si="11">F7*P7</f>
        <v>-51070.851478260753</v>
      </c>
      <c r="R7">
        <f t="shared" ref="R7" si="12">R8+Q7</f>
        <v>10636758.85488379</v>
      </c>
      <c r="S7">
        <f t="shared" ref="S7" si="13">R7/100000</f>
        <v>106.3675885488379</v>
      </c>
      <c r="T7">
        <f t="shared" ref="T7" si="14">S7/1000</f>
        <v>0.1063675885488379</v>
      </c>
    </row>
    <row r="8" spans="1:20" x14ac:dyDescent="0.25">
      <c r="A8" s="5">
        <v>44585</v>
      </c>
      <c r="B8">
        <v>99.4</v>
      </c>
      <c r="C8">
        <v>100.3</v>
      </c>
      <c r="D8">
        <v>80.5</v>
      </c>
      <c r="E8">
        <v>90.5</v>
      </c>
      <c r="F8">
        <v>547786.86615999998</v>
      </c>
      <c r="G8">
        <v>90.5</v>
      </c>
      <c r="L8" t="s">
        <v>7</v>
      </c>
      <c r="M8" t="s">
        <v>7</v>
      </c>
      <c r="N8" t="s">
        <v>7</v>
      </c>
      <c r="P8">
        <f t="shared" ref="P8" si="15">IF(C8=D8,0,((E8-D8)-(C8-E8))/(C8-D8))</f>
        <v>1.0101010101010246E-2</v>
      </c>
      <c r="Q8">
        <f t="shared" ref="Q8" si="16">F8*P8</f>
        <v>5533.2006682829078</v>
      </c>
      <c r="R8">
        <f t="shared" ref="R8" si="17">R9+Q8</f>
        <v>10687829.70636205</v>
      </c>
      <c r="S8">
        <f t="shared" ref="S8" si="18">R8/100000</f>
        <v>106.87829706362049</v>
      </c>
      <c r="T8">
        <f t="shared" ref="T8" si="19">S8/1000</f>
        <v>0.10687829706362049</v>
      </c>
    </row>
    <row r="9" spans="1:20" x14ac:dyDescent="0.25">
      <c r="A9" s="5">
        <v>44584</v>
      </c>
      <c r="B9">
        <v>97</v>
      </c>
      <c r="C9">
        <v>100.9</v>
      </c>
      <c r="D9">
        <v>93</v>
      </c>
      <c r="E9">
        <v>99.6</v>
      </c>
      <c r="F9">
        <v>173761.37</v>
      </c>
      <c r="G9">
        <v>99.6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0.67088607594936445</v>
      </c>
      <c r="Q9">
        <f t="shared" ref="Q9" si="21">F9*P9</f>
        <v>116574.08367088561</v>
      </c>
      <c r="R9">
        <f t="shared" ref="R9" si="22">R10+Q9</f>
        <v>10682296.505693767</v>
      </c>
      <c r="S9">
        <f t="shared" ref="S9" si="23">R9/100000</f>
        <v>106.82296505693768</v>
      </c>
      <c r="T9">
        <f t="shared" ref="T9" si="24">S9/1000</f>
        <v>0.10682296505693768</v>
      </c>
    </row>
    <row r="10" spans="1:20" x14ac:dyDescent="0.25">
      <c r="A10" s="5">
        <v>44583</v>
      </c>
      <c r="B10">
        <v>105.7</v>
      </c>
      <c r="C10">
        <v>107.7</v>
      </c>
      <c r="D10">
        <v>85.2</v>
      </c>
      <c r="E10">
        <v>97</v>
      </c>
      <c r="F10">
        <v>365756.03681999998</v>
      </c>
      <c r="G10">
        <v>97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4.8888888888888635E-2</v>
      </c>
      <c r="Q10">
        <f t="shared" ref="Q10" si="26">F10*P10</f>
        <v>17881.406244533238</v>
      </c>
      <c r="R10">
        <f t="shared" ref="R10" si="27">R11+Q10</f>
        <v>10565722.422022881</v>
      </c>
      <c r="S10">
        <f t="shared" ref="S10" si="28">R10/100000</f>
        <v>105.65722422022881</v>
      </c>
      <c r="T10">
        <f t="shared" ref="T10" si="29">S10/1000</f>
        <v>0.10565722422022882</v>
      </c>
    </row>
    <row r="11" spans="1:20" x14ac:dyDescent="0.25">
      <c r="A11" s="5">
        <v>44582</v>
      </c>
      <c r="B11">
        <v>121.1</v>
      </c>
      <c r="C11">
        <v>122.3</v>
      </c>
      <c r="D11">
        <v>102.5</v>
      </c>
      <c r="E11">
        <v>105.7</v>
      </c>
      <c r="F11">
        <v>214341.86340999999</v>
      </c>
      <c r="G11">
        <v>105.7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-0.67676767676767646</v>
      </c>
      <c r="Q11">
        <f t="shared" ref="Q11" si="31">F11*P11</f>
        <v>-145059.64493404032</v>
      </c>
      <c r="R11">
        <f t="shared" ref="R11" si="32">R12+Q11</f>
        <v>10547841.015778348</v>
      </c>
      <c r="S11">
        <f t="shared" ref="S11" si="33">R11/100000</f>
        <v>105.47841015778347</v>
      </c>
      <c r="T11">
        <f t="shared" ref="T11" si="34">S11/1000</f>
        <v>0.10547841015778348</v>
      </c>
    </row>
    <row r="12" spans="1:20" x14ac:dyDescent="0.25">
      <c r="A12" s="5">
        <v>44581</v>
      </c>
      <c r="B12">
        <v>126.7</v>
      </c>
      <c r="C12">
        <v>133.69999999999999</v>
      </c>
      <c r="D12">
        <v>120.6</v>
      </c>
      <c r="E12">
        <v>121.2</v>
      </c>
      <c r="F12">
        <v>91246.433999999994</v>
      </c>
      <c r="G12">
        <v>121.2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-0.90839694656488412</v>
      </c>
      <c r="Q12">
        <f t="shared" ref="Q12" si="36">F12*P12</f>
        <v>-82887.982030534215</v>
      </c>
      <c r="R12">
        <f t="shared" ref="R12" si="37">R13+Q12</f>
        <v>10692900.660712387</v>
      </c>
      <c r="S12">
        <f t="shared" ref="S12" si="38">R12/100000</f>
        <v>106.92900660712388</v>
      </c>
      <c r="T12">
        <f t="shared" ref="T12" si="39">S12/1000</f>
        <v>0.10692900660712389</v>
      </c>
    </row>
    <row r="13" spans="1:20" x14ac:dyDescent="0.25">
      <c r="A13" s="5">
        <v>44580</v>
      </c>
      <c r="B13">
        <v>130.5</v>
      </c>
      <c r="C13">
        <v>132.1</v>
      </c>
      <c r="D13">
        <v>126.1</v>
      </c>
      <c r="E13">
        <v>126.7</v>
      </c>
      <c r="F13">
        <v>111798.124</v>
      </c>
      <c r="G13">
        <v>126.7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-0.79999999999999716</v>
      </c>
      <c r="Q13">
        <f t="shared" ref="Q13" si="41">F13*P13</f>
        <v>-89438.499199999686</v>
      </c>
      <c r="R13">
        <f t="shared" ref="R13" si="42">R14+Q13</f>
        <v>10775788.642742923</v>
      </c>
      <c r="S13">
        <f t="shared" ref="S13" si="43">R13/100000</f>
        <v>107.75788642742923</v>
      </c>
      <c r="T13">
        <f t="shared" ref="T13" si="44">S13/1000</f>
        <v>0.10775788642742923</v>
      </c>
    </row>
    <row r="14" spans="1:20" x14ac:dyDescent="0.25">
      <c r="A14" s="5">
        <v>44579</v>
      </c>
      <c r="B14">
        <v>135.69999999999999</v>
      </c>
      <c r="C14">
        <v>137</v>
      </c>
      <c r="D14">
        <v>127.3</v>
      </c>
      <c r="E14">
        <v>130.6</v>
      </c>
      <c r="F14">
        <v>97442.573999999993</v>
      </c>
      <c r="G14">
        <v>130.6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-0.31958762886598019</v>
      </c>
      <c r="Q14">
        <f t="shared" ref="Q14" si="46">F14*P14</f>
        <v>-31141.441175257809</v>
      </c>
      <c r="R14">
        <f t="shared" ref="R14" si="47">R15+Q14</f>
        <v>10865227.141942922</v>
      </c>
      <c r="S14">
        <f t="shared" ref="S14" si="48">R14/100000</f>
        <v>108.65227141942923</v>
      </c>
      <c r="T14">
        <f t="shared" ref="T14" si="49">S14/1000</f>
        <v>0.10865227141942922</v>
      </c>
    </row>
    <row r="15" spans="1:20" x14ac:dyDescent="0.25">
      <c r="A15" s="5">
        <v>44578</v>
      </c>
      <c r="B15">
        <v>137.4</v>
      </c>
      <c r="C15">
        <v>138.30000000000001</v>
      </c>
      <c r="D15">
        <v>132.69999999999999</v>
      </c>
      <c r="E15">
        <v>135.80000000000001</v>
      </c>
      <c r="F15">
        <v>99168.028999999995</v>
      </c>
      <c r="G15">
        <v>135.80000000000001</v>
      </c>
      <c r="L15" t="s">
        <v>7</v>
      </c>
      <c r="M15" t="s">
        <v>8</v>
      </c>
      <c r="N15" t="s">
        <v>8</v>
      </c>
      <c r="P15">
        <f t="shared" ref="P15" si="50">IF(C15=D15,0,((E15-D15)-(C15-E15))/(C15-D15))</f>
        <v>0.10714285714286077</v>
      </c>
      <c r="Q15">
        <f t="shared" ref="Q15" si="51">F15*P15</f>
        <v>10625.145964286074</v>
      </c>
      <c r="R15">
        <f t="shared" ref="R15" si="52">R16+Q15</f>
        <v>10896368.58311818</v>
      </c>
      <c r="S15">
        <f t="shared" ref="S15" si="53">R15/100000</f>
        <v>108.96368583118179</v>
      </c>
      <c r="T15">
        <f t="shared" ref="T15" si="54">S15/1000</f>
        <v>0.10896368583118179</v>
      </c>
    </row>
    <row r="16" spans="1:20" x14ac:dyDescent="0.25">
      <c r="A16" s="5">
        <v>44577</v>
      </c>
      <c r="B16">
        <v>141.5</v>
      </c>
      <c r="C16">
        <v>142.80000000000001</v>
      </c>
      <c r="D16">
        <v>135.9</v>
      </c>
      <c r="E16">
        <v>137.4</v>
      </c>
      <c r="F16">
        <v>83609.514999999999</v>
      </c>
      <c r="G16">
        <v>137.4</v>
      </c>
      <c r="L16" t="s">
        <v>7</v>
      </c>
      <c r="M16" t="s">
        <v>8</v>
      </c>
      <c r="N16" t="s">
        <v>8</v>
      </c>
      <c r="P16">
        <f t="shared" ref="P16" si="55">IF(C16=D16,0,((E16-D16)-(C16-E16))/(C16-D16))</f>
        <v>-0.56521739130434823</v>
      </c>
      <c r="Q16">
        <f t="shared" ref="Q16" si="56">F16*P16</f>
        <v>-47257.551956521769</v>
      </c>
      <c r="R16">
        <f t="shared" ref="R16" si="57">R17+Q16</f>
        <v>10885743.437153894</v>
      </c>
      <c r="S16">
        <f t="shared" ref="S16" si="58">R16/100000</f>
        <v>108.85743437153894</v>
      </c>
      <c r="T16">
        <f t="shared" ref="T16" si="59">S16/1000</f>
        <v>0.10885743437153894</v>
      </c>
    </row>
    <row r="17" spans="1:20" x14ac:dyDescent="0.25">
      <c r="A17" s="5">
        <v>44576</v>
      </c>
      <c r="B17">
        <v>141.1</v>
      </c>
      <c r="C17">
        <v>142.5</v>
      </c>
      <c r="D17">
        <v>138.6</v>
      </c>
      <c r="E17">
        <v>141.5</v>
      </c>
      <c r="F17">
        <v>59338.063999999998</v>
      </c>
      <c r="G17">
        <v>141.5</v>
      </c>
      <c r="L17" t="s">
        <v>7</v>
      </c>
      <c r="M17" t="s">
        <v>8</v>
      </c>
      <c r="N17" t="s">
        <v>8</v>
      </c>
      <c r="P17">
        <f t="shared" ref="P17" si="60">IF(C17=D17,0,((E17-D17)-(C17-E17))/(C17-D17))</f>
        <v>0.48717948717948795</v>
      </c>
      <c r="Q17">
        <f t="shared" ref="Q17" si="61">F17*P17</f>
        <v>28908.287589743635</v>
      </c>
      <c r="R17">
        <f t="shared" ref="R17" si="62">R18+Q17</f>
        <v>10933000.989110416</v>
      </c>
      <c r="S17">
        <f t="shared" ref="S17" si="63">R17/100000</f>
        <v>109.33000989110415</v>
      </c>
      <c r="T17">
        <f t="shared" ref="T17" si="64">S17/1000</f>
        <v>0.10933000989110415</v>
      </c>
    </row>
    <row r="18" spans="1:20" x14ac:dyDescent="0.25">
      <c r="A18" s="5">
        <v>44575</v>
      </c>
      <c r="B18">
        <v>141.4</v>
      </c>
      <c r="C18">
        <v>146.9</v>
      </c>
      <c r="D18">
        <v>138.9</v>
      </c>
      <c r="E18">
        <v>141.1</v>
      </c>
      <c r="F18">
        <v>133836.46</v>
      </c>
      <c r="G18">
        <v>141.1</v>
      </c>
      <c r="L18" t="s">
        <v>7</v>
      </c>
      <c r="M18" t="s">
        <v>8</v>
      </c>
      <c r="N18" t="s">
        <v>8</v>
      </c>
      <c r="P18">
        <f t="shared" ref="P18" si="65">IF(C18=D18,0,((E18-D18)-(C18-E18))/(C18-D18))</f>
        <v>-0.45000000000000284</v>
      </c>
      <c r="Q18">
        <f t="shared" ref="Q18" si="66">F18*P18</f>
        <v>-60226.407000000378</v>
      </c>
      <c r="R18">
        <f t="shared" ref="R18" si="67">R19+Q18</f>
        <v>10904092.701520672</v>
      </c>
      <c r="S18">
        <f t="shared" ref="S18" si="68">R18/100000</f>
        <v>109.04092701520672</v>
      </c>
      <c r="T18">
        <f t="shared" ref="T18" si="69">S18/1000</f>
        <v>0.10904092701520672</v>
      </c>
    </row>
    <row r="19" spans="1:20" x14ac:dyDescent="0.25">
      <c r="A19" s="5">
        <v>44574</v>
      </c>
      <c r="B19">
        <v>143.6</v>
      </c>
      <c r="C19">
        <v>144.80000000000001</v>
      </c>
      <c r="D19">
        <v>137.19999999999999</v>
      </c>
      <c r="E19">
        <v>141.4</v>
      </c>
      <c r="F19">
        <v>131625.92000000001</v>
      </c>
      <c r="G19">
        <v>141.4</v>
      </c>
      <c r="L19" t="s">
        <v>7</v>
      </c>
      <c r="M19" t="s">
        <v>8</v>
      </c>
      <c r="N19" t="s">
        <v>8</v>
      </c>
      <c r="P19">
        <f t="shared" ref="P19" si="70">IF(C19=D19,0,((E19-D19)-(C19-E19))/(C19-D19))</f>
        <v>0.10526315789473803</v>
      </c>
      <c r="Q19">
        <f t="shared" ref="Q19" si="71">F19*P19</f>
        <v>13855.360000000157</v>
      </c>
      <c r="R19">
        <f t="shared" ref="R19" si="72">R20+Q19</f>
        <v>10964319.108520672</v>
      </c>
      <c r="S19">
        <f t="shared" ref="S19" si="73">R19/100000</f>
        <v>109.64319108520672</v>
      </c>
      <c r="T19">
        <f t="shared" ref="T19" si="74">S19/1000</f>
        <v>0.10964319108520672</v>
      </c>
    </row>
    <row r="20" spans="1:20" x14ac:dyDescent="0.25">
      <c r="A20" s="5">
        <v>44573</v>
      </c>
      <c r="B20">
        <v>141.69999999999999</v>
      </c>
      <c r="C20">
        <v>144.69999999999999</v>
      </c>
      <c r="D20">
        <v>138.4</v>
      </c>
      <c r="E20">
        <v>143.6</v>
      </c>
      <c r="F20">
        <v>150986.49299999999</v>
      </c>
      <c r="G20">
        <v>143.6</v>
      </c>
      <c r="L20" t="s">
        <v>7</v>
      </c>
      <c r="M20" t="s">
        <v>8</v>
      </c>
      <c r="N20" t="s">
        <v>8</v>
      </c>
      <c r="P20">
        <f t="shared" ref="P20" si="75">IF(C20=D20,0,((E20-D20)-(C20-E20))/(C20-D20))</f>
        <v>0.6507936507936517</v>
      </c>
      <c r="Q20">
        <f t="shared" ref="Q20" si="76">F20*P20</f>
        <v>98261.051000000123</v>
      </c>
      <c r="R20">
        <f t="shared" ref="R20" si="77">R21+Q20</f>
        <v>10950463.748520672</v>
      </c>
      <c r="S20">
        <f t="shared" ref="S20" si="78">R20/100000</f>
        <v>109.50463748520673</v>
      </c>
      <c r="T20">
        <f t="shared" ref="T20" si="79">S20/1000</f>
        <v>0.10950463748520672</v>
      </c>
    </row>
    <row r="21" spans="1:20" x14ac:dyDescent="0.25">
      <c r="A21" s="5">
        <v>44572</v>
      </c>
      <c r="B21">
        <v>147.9</v>
      </c>
      <c r="C21">
        <v>156.19999999999999</v>
      </c>
      <c r="D21">
        <v>141</v>
      </c>
      <c r="E21">
        <v>141.69999999999999</v>
      </c>
      <c r="F21">
        <v>158099.72</v>
      </c>
      <c r="G21">
        <v>141.69999999999999</v>
      </c>
      <c r="L21" t="s">
        <v>8</v>
      </c>
      <c r="M21" t="s">
        <v>8</v>
      </c>
      <c r="N21" t="s">
        <v>8</v>
      </c>
      <c r="P21">
        <f t="shared" ref="P21" si="80">IF(C21=D21,0,((E21-D21)-(C21-E21))/(C21-D21))</f>
        <v>-0.90789473684210664</v>
      </c>
      <c r="Q21">
        <f t="shared" ref="Q21" si="81">F21*P21</f>
        <v>-143537.90368421076</v>
      </c>
      <c r="R21">
        <f t="shared" ref="R21" si="82">R22+Q21</f>
        <v>10852202.697520671</v>
      </c>
      <c r="S21">
        <f t="shared" ref="S21" si="83">R21/100000</f>
        <v>108.52202697520671</v>
      </c>
      <c r="T21">
        <f t="shared" ref="T21" si="84">S21/1000</f>
        <v>0.10852202697520671</v>
      </c>
    </row>
    <row r="22" spans="1:20" x14ac:dyDescent="0.25">
      <c r="A22" s="5">
        <v>44571</v>
      </c>
      <c r="B22">
        <v>153.1</v>
      </c>
      <c r="C22">
        <v>155</v>
      </c>
      <c r="D22">
        <v>139.9</v>
      </c>
      <c r="E22">
        <v>148</v>
      </c>
      <c r="F22">
        <v>272950.83399999997</v>
      </c>
      <c r="G22">
        <v>148</v>
      </c>
      <c r="L22" t="s">
        <v>7</v>
      </c>
      <c r="M22" t="s">
        <v>8</v>
      </c>
      <c r="N22" t="s">
        <v>8</v>
      </c>
      <c r="P22">
        <f t="shared" ref="P22" si="85">IF(C22=D22,0,((E22-D22)-(C22-E22))/(C22-D22))</f>
        <v>7.2847682119204948E-2</v>
      </c>
      <c r="Q22">
        <f t="shared" ref="Q22" si="86">F22*P22</f>
        <v>19883.835589403876</v>
      </c>
      <c r="R22">
        <f t="shared" ref="R22" si="87">R23+Q22</f>
        <v>10995740.601204881</v>
      </c>
      <c r="S22">
        <f t="shared" ref="S22" si="88">R22/100000</f>
        <v>109.95740601204882</v>
      </c>
      <c r="T22">
        <f t="shared" ref="T22" si="89">S22/1000</f>
        <v>0.10995740601204883</v>
      </c>
    </row>
    <row r="23" spans="1:20" x14ac:dyDescent="0.25">
      <c r="A23" s="5">
        <v>44570</v>
      </c>
      <c r="B23">
        <v>141.9</v>
      </c>
      <c r="C23">
        <v>157.80000000000001</v>
      </c>
      <c r="D23">
        <v>140.5</v>
      </c>
      <c r="E23">
        <v>153.1</v>
      </c>
      <c r="F23">
        <v>279639.47100000002</v>
      </c>
      <c r="G23">
        <v>153.1</v>
      </c>
      <c r="L23" t="s">
        <v>8</v>
      </c>
      <c r="M23" t="s">
        <v>8</v>
      </c>
      <c r="N23" t="s">
        <v>8</v>
      </c>
      <c r="P23">
        <f t="shared" ref="P23" si="90">IF(C23=D23,0,((E23-D23)-(C23-E23))/(C23-D23))</f>
        <v>0.45664739884392902</v>
      </c>
      <c r="Q23">
        <f t="shared" ref="Q23" si="91">F23*P23</f>
        <v>127696.63704624234</v>
      </c>
      <c r="R23">
        <f t="shared" ref="R23" si="92">R24+Q23</f>
        <v>10975856.765615478</v>
      </c>
      <c r="S23">
        <f t="shared" ref="S23" si="93">R23/100000</f>
        <v>109.75856765615478</v>
      </c>
      <c r="T23">
        <f t="shared" ref="T23" si="94">S23/1000</f>
        <v>0.10975856765615478</v>
      </c>
    </row>
    <row r="24" spans="1:20" x14ac:dyDescent="0.25">
      <c r="A24" s="5">
        <v>44569</v>
      </c>
      <c r="B24">
        <v>134.6</v>
      </c>
      <c r="C24">
        <v>147</v>
      </c>
      <c r="D24">
        <v>131.6</v>
      </c>
      <c r="E24">
        <v>141.9</v>
      </c>
      <c r="F24">
        <v>416745.31099999999</v>
      </c>
      <c r="G24">
        <v>141.9</v>
      </c>
      <c r="L24" t="s">
        <v>8</v>
      </c>
      <c r="M24" t="s">
        <v>8</v>
      </c>
      <c r="N24" t="s">
        <v>7</v>
      </c>
      <c r="P24">
        <f t="shared" ref="P24" si="95">IF(C24=D24,0,((E24-D24)-(C24-E24))/(C24-D24))</f>
        <v>0.33766233766233866</v>
      </c>
      <c r="Q24">
        <f t="shared" ref="Q24" si="96">F24*P24</f>
        <v>140719.19592207833</v>
      </c>
      <c r="R24">
        <f t="shared" ref="R24" si="97">R25+Q24</f>
        <v>10848160.128569236</v>
      </c>
      <c r="S24">
        <f t="shared" ref="S24" si="98">R24/100000</f>
        <v>108.48160128569236</v>
      </c>
      <c r="T24">
        <f t="shared" ref="T24" si="99">S24/1000</f>
        <v>0.10848160128569237</v>
      </c>
    </row>
    <row r="25" spans="1:20" x14ac:dyDescent="0.25">
      <c r="A25" s="5">
        <v>44568</v>
      </c>
      <c r="B25">
        <v>124.3</v>
      </c>
      <c r="C25">
        <v>135</v>
      </c>
      <c r="D25">
        <v>115.4</v>
      </c>
      <c r="E25">
        <v>134.5</v>
      </c>
      <c r="F25">
        <v>361751.13500000001</v>
      </c>
      <c r="G25">
        <v>134.5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0.94897959183673464</v>
      </c>
      <c r="Q25">
        <f t="shared" ref="Q25" si="101">F25*P25</f>
        <v>343294.44443877548</v>
      </c>
      <c r="R25">
        <f t="shared" ref="R25" si="102">R26+Q25</f>
        <v>10707440.932647157</v>
      </c>
      <c r="S25">
        <f t="shared" ref="S25" si="103">R25/100000</f>
        <v>107.07440932647158</v>
      </c>
      <c r="T25">
        <f t="shared" ref="T25" si="104">S25/1000</f>
        <v>0.10707440932647158</v>
      </c>
    </row>
    <row r="26" spans="1:20" x14ac:dyDescent="0.25">
      <c r="A26" s="5">
        <v>44567</v>
      </c>
      <c r="B26">
        <v>122.6</v>
      </c>
      <c r="C26">
        <v>125.4</v>
      </c>
      <c r="D26">
        <v>117.8</v>
      </c>
      <c r="E26">
        <v>124.3</v>
      </c>
      <c r="F26">
        <v>120702.405</v>
      </c>
      <c r="G26">
        <v>124.3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0.71052631578947179</v>
      </c>
      <c r="Q26">
        <f t="shared" ref="Q26" si="106">F26*P26</f>
        <v>85762.235131578724</v>
      </c>
      <c r="R26">
        <f t="shared" ref="R26" si="107">R27+Q26</f>
        <v>10364146.488208381</v>
      </c>
      <c r="S26">
        <f t="shared" ref="S26" si="108">R26/100000</f>
        <v>103.64146488208381</v>
      </c>
      <c r="T26">
        <f t="shared" ref="T26" si="109">S26/1000</f>
        <v>0.10364146488208381</v>
      </c>
    </row>
    <row r="27" spans="1:20" x14ac:dyDescent="0.25">
      <c r="A27" s="5">
        <v>44566</v>
      </c>
      <c r="B27">
        <v>134.69999999999999</v>
      </c>
      <c r="C27">
        <v>137</v>
      </c>
      <c r="D27">
        <v>117</v>
      </c>
      <c r="E27">
        <v>122.6</v>
      </c>
      <c r="F27">
        <v>160968.36199999999</v>
      </c>
      <c r="G27">
        <v>122.6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-0.44000000000000056</v>
      </c>
      <c r="Q27">
        <f t="shared" ref="Q27" si="111">F27*P27</f>
        <v>-70826.079280000093</v>
      </c>
      <c r="R27">
        <f t="shared" ref="R27" si="112">R28+Q27</f>
        <v>10278384.253076803</v>
      </c>
      <c r="S27">
        <f t="shared" ref="S27" si="113">R27/100000</f>
        <v>102.78384253076803</v>
      </c>
      <c r="T27">
        <f t="shared" ref="T27" si="114">S27/1000</f>
        <v>0.10278384253076803</v>
      </c>
    </row>
    <row r="28" spans="1:20" x14ac:dyDescent="0.25">
      <c r="A28" s="5">
        <v>44565</v>
      </c>
      <c r="B28">
        <v>139.19999999999999</v>
      </c>
      <c r="C28">
        <v>139.9</v>
      </c>
      <c r="D28">
        <v>133.4</v>
      </c>
      <c r="E28">
        <v>134.69999999999999</v>
      </c>
      <c r="F28">
        <v>99843.808999999994</v>
      </c>
      <c r="G28">
        <v>134.69999999999999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-0.6000000000000052</v>
      </c>
      <c r="Q28">
        <f t="shared" ref="Q28" si="116">F28*P28</f>
        <v>-59906.285400000517</v>
      </c>
      <c r="R28">
        <f t="shared" ref="R28" si="117">R29+Q28</f>
        <v>10349210.332356803</v>
      </c>
      <c r="S28">
        <f t="shared" ref="S28" si="118">R28/100000</f>
        <v>103.49210332356803</v>
      </c>
      <c r="T28">
        <f t="shared" ref="T28" si="119">S28/1000</f>
        <v>0.10349210332356804</v>
      </c>
    </row>
    <row r="29" spans="1:20" x14ac:dyDescent="0.25">
      <c r="A29" s="5">
        <v>44564</v>
      </c>
      <c r="B29">
        <v>142</v>
      </c>
      <c r="C29">
        <v>142.9</v>
      </c>
      <c r="D29">
        <v>136.19999999999999</v>
      </c>
      <c r="E29">
        <v>139.1</v>
      </c>
      <c r="F29">
        <v>84818.528000000006</v>
      </c>
      <c r="G29">
        <v>139.1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-0.13432835820895572</v>
      </c>
      <c r="Q29">
        <f t="shared" ref="Q29" si="121">F29*P29</f>
        <v>-11393.533611940342</v>
      </c>
      <c r="R29">
        <f t="shared" ref="R29" si="122">R30+Q29</f>
        <v>10409116.617756804</v>
      </c>
      <c r="S29">
        <f t="shared" ref="S29" si="123">R29/100000</f>
        <v>104.09116617756804</v>
      </c>
      <c r="T29">
        <f t="shared" ref="T29" si="124">S29/1000</f>
        <v>0.10409116617756804</v>
      </c>
    </row>
    <row r="30" spans="1:20" x14ac:dyDescent="0.25">
      <c r="A30" s="5">
        <v>44563</v>
      </c>
      <c r="B30">
        <v>138.19999999999999</v>
      </c>
      <c r="C30">
        <v>143.19999999999999</v>
      </c>
      <c r="D30">
        <v>136.30000000000001</v>
      </c>
      <c r="E30">
        <v>142</v>
      </c>
      <c r="F30">
        <v>67394.149000000005</v>
      </c>
      <c r="G30">
        <v>142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0.65217391304348038</v>
      </c>
      <c r="Q30">
        <f t="shared" ref="Q30" si="126">F30*P30</f>
        <v>43952.705869565361</v>
      </c>
      <c r="R30">
        <f t="shared" ref="R30" si="127">R31+Q30</f>
        <v>10420510.151368745</v>
      </c>
      <c r="S30">
        <f t="shared" ref="S30" si="128">R30/100000</f>
        <v>104.20510151368745</v>
      </c>
      <c r="T30">
        <f t="shared" ref="T30" si="129">S30/1000</f>
        <v>0.10420510151368745</v>
      </c>
    </row>
    <row r="31" spans="1:20" x14ac:dyDescent="0.25">
      <c r="A31" s="5">
        <v>44562</v>
      </c>
      <c r="B31">
        <v>133.69999999999999</v>
      </c>
      <c r="C31">
        <v>139.4</v>
      </c>
      <c r="D31">
        <v>133.6</v>
      </c>
      <c r="E31">
        <v>138.1</v>
      </c>
      <c r="F31">
        <v>61606.146000000001</v>
      </c>
      <c r="G31">
        <v>138.1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0.55172413793103148</v>
      </c>
      <c r="Q31">
        <f t="shared" ref="Q31" si="131">F31*P31</f>
        <v>33989.597793103261</v>
      </c>
      <c r="R31">
        <f t="shared" ref="R31" si="132">R32+Q31</f>
        <v>10376557.44549918</v>
      </c>
      <c r="S31">
        <f t="shared" ref="S31" si="133">R31/100000</f>
        <v>103.76557445499179</v>
      </c>
      <c r="T31">
        <f t="shared" ref="T31" si="134">S31/1000</f>
        <v>0.10376557445499179</v>
      </c>
    </row>
    <row r="32" spans="1:20" x14ac:dyDescent="0.25">
      <c r="A32" s="5">
        <v>44561</v>
      </c>
      <c r="B32">
        <v>133</v>
      </c>
      <c r="C32">
        <v>142.5</v>
      </c>
      <c r="D32">
        <v>131</v>
      </c>
      <c r="E32">
        <v>133.6</v>
      </c>
      <c r="F32">
        <v>153278.079</v>
      </c>
      <c r="G32">
        <v>133.6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-0.54782608695652268</v>
      </c>
      <c r="Q32">
        <f t="shared" ref="Q32" si="136">F32*P32</f>
        <v>-83969.73023478275</v>
      </c>
      <c r="R32">
        <f t="shared" ref="R32" si="137">R33+Q32</f>
        <v>10342567.847706076</v>
      </c>
      <c r="S32">
        <f t="shared" ref="S32" si="138">R32/100000</f>
        <v>103.42567847706076</v>
      </c>
      <c r="T32">
        <f t="shared" ref="T32" si="139">S32/1000</f>
        <v>0.10342567847706076</v>
      </c>
    </row>
    <row r="33" spans="1:20" x14ac:dyDescent="0.25">
      <c r="A33" s="5">
        <v>44560</v>
      </c>
      <c r="B33">
        <v>133.30000000000001</v>
      </c>
      <c r="C33">
        <v>135.80000000000001</v>
      </c>
      <c r="D33">
        <v>129.4</v>
      </c>
      <c r="E33">
        <v>133.1</v>
      </c>
      <c r="F33">
        <v>101804.916</v>
      </c>
      <c r="G33">
        <v>133.1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0.15624999999999542</v>
      </c>
      <c r="Q33">
        <f t="shared" ref="Q33" si="141">F33*P33</f>
        <v>15907.018124999533</v>
      </c>
      <c r="R33">
        <f t="shared" ref="R33" si="142">R34+Q33</f>
        <v>10426537.577940859</v>
      </c>
      <c r="S33">
        <f t="shared" ref="S33" si="143">R33/100000</f>
        <v>104.26537577940859</v>
      </c>
      <c r="T33">
        <f t="shared" ref="T33" si="144">S33/1000</f>
        <v>0.10426537577940859</v>
      </c>
    </row>
    <row r="34" spans="1:20" x14ac:dyDescent="0.25">
      <c r="A34" s="5">
        <v>44559</v>
      </c>
      <c r="B34">
        <v>134.69999999999999</v>
      </c>
      <c r="C34">
        <v>136.9</v>
      </c>
      <c r="D34">
        <v>131.19999999999999</v>
      </c>
      <c r="E34">
        <v>133.30000000000001</v>
      </c>
      <c r="F34">
        <v>107339.489</v>
      </c>
      <c r="G34">
        <v>133.30000000000001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-0.26315789473683632</v>
      </c>
      <c r="Q34">
        <f t="shared" ref="Q34" si="146">F34*P34</f>
        <v>-28247.2339473678</v>
      </c>
      <c r="R34">
        <f t="shared" ref="R34" si="147">R35+Q34</f>
        <v>10410630.559815859</v>
      </c>
      <c r="S34">
        <f t="shared" ref="S34" si="148">R34/100000</f>
        <v>104.1063055981586</v>
      </c>
      <c r="T34">
        <f t="shared" ref="T34" si="149">S34/1000</f>
        <v>0.1041063055981586</v>
      </c>
    </row>
    <row r="35" spans="1:20" x14ac:dyDescent="0.25">
      <c r="A35" s="5">
        <v>44558</v>
      </c>
      <c r="B35">
        <v>150.9</v>
      </c>
      <c r="C35">
        <v>151.1</v>
      </c>
      <c r="D35">
        <v>134.6</v>
      </c>
      <c r="E35">
        <v>134.80000000000001</v>
      </c>
      <c r="F35">
        <v>169037.83300000001</v>
      </c>
      <c r="G35">
        <v>134.80000000000001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-0.97575757575757371</v>
      </c>
      <c r="Q35">
        <f t="shared" ref="Q35" si="151">F35*P35</f>
        <v>-164939.94613939361</v>
      </c>
      <c r="R35">
        <f t="shared" ref="R35" si="152">R36+Q35</f>
        <v>10438877.793763228</v>
      </c>
      <c r="S35">
        <f t="shared" ref="S35" si="153">R35/100000</f>
        <v>104.38877793763228</v>
      </c>
      <c r="T35">
        <f t="shared" ref="T35" si="154">S35/1000</f>
        <v>0.10438877793763228</v>
      </c>
    </row>
    <row r="36" spans="1:20" x14ac:dyDescent="0.25">
      <c r="A36" s="5">
        <v>44557</v>
      </c>
      <c r="B36">
        <v>149.19999999999999</v>
      </c>
      <c r="C36">
        <v>155.80000000000001</v>
      </c>
      <c r="D36">
        <v>149</v>
      </c>
      <c r="E36">
        <v>150.9</v>
      </c>
      <c r="F36">
        <v>83240.039000000004</v>
      </c>
      <c r="G36">
        <v>150.9</v>
      </c>
      <c r="L36" t="s">
        <v>7</v>
      </c>
      <c r="M36" t="s">
        <v>8</v>
      </c>
      <c r="N36" t="s">
        <v>8</v>
      </c>
      <c r="P36">
        <f t="shared" ref="P36" si="155">IF(C36=D36,0,((E36-D36)-(C36-E36))/(C36-D36))</f>
        <v>-0.44117647058823456</v>
      </c>
      <c r="Q36">
        <f t="shared" ref="Q36" si="156">F36*P36</f>
        <v>-36723.546617647</v>
      </c>
      <c r="R36">
        <f t="shared" ref="R36" si="157">R37+Q36</f>
        <v>10603817.739902621</v>
      </c>
      <c r="S36">
        <f t="shared" ref="S36" si="158">R36/100000</f>
        <v>106.03817739902621</v>
      </c>
      <c r="T36">
        <f t="shared" ref="T36" si="159">S36/1000</f>
        <v>0.10603817739902621</v>
      </c>
    </row>
    <row r="37" spans="1:20" x14ac:dyDescent="0.25">
      <c r="A37" s="5">
        <v>44556</v>
      </c>
      <c r="B37">
        <v>150</v>
      </c>
      <c r="C37">
        <v>151.1</v>
      </c>
      <c r="D37">
        <v>145</v>
      </c>
      <c r="E37">
        <v>149.1</v>
      </c>
      <c r="F37">
        <v>74104.224000000002</v>
      </c>
      <c r="G37">
        <v>149.1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0.3442622950819666</v>
      </c>
      <c r="Q37">
        <f t="shared" ref="Q37" si="161">F37*P37</f>
        <v>25511.290229508151</v>
      </c>
      <c r="R37">
        <f t="shared" ref="R37" si="162">R38+Q37</f>
        <v>10640541.286520269</v>
      </c>
      <c r="S37">
        <f t="shared" ref="S37" si="163">R37/100000</f>
        <v>106.40541286520269</v>
      </c>
      <c r="T37">
        <f t="shared" ref="T37" si="164">S37/1000</f>
        <v>0.10640541286520269</v>
      </c>
    </row>
    <row r="38" spans="1:20" x14ac:dyDescent="0.25">
      <c r="A38" s="5">
        <v>44555</v>
      </c>
      <c r="B38">
        <v>149.5</v>
      </c>
      <c r="C38">
        <v>153.69999999999999</v>
      </c>
      <c r="D38">
        <v>148.1</v>
      </c>
      <c r="E38">
        <v>150</v>
      </c>
      <c r="F38">
        <v>98831.282999999996</v>
      </c>
      <c r="G38">
        <v>150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-0.32142857142856873</v>
      </c>
      <c r="Q38">
        <f t="shared" ref="Q38" si="166">F38*P38</f>
        <v>-31767.198107142591</v>
      </c>
      <c r="R38">
        <f t="shared" ref="R38" si="167">R39+Q38</f>
        <v>10615029.99629076</v>
      </c>
      <c r="S38">
        <f t="shared" ref="S38" si="168">R38/100000</f>
        <v>106.1502999629076</v>
      </c>
      <c r="T38">
        <f t="shared" ref="T38" si="169">S38/1000</f>
        <v>0.10615029996290759</v>
      </c>
    </row>
    <row r="39" spans="1:20" x14ac:dyDescent="0.25">
      <c r="A39" s="5">
        <v>44554</v>
      </c>
      <c r="B39">
        <v>146.69999999999999</v>
      </c>
      <c r="C39">
        <v>157.80000000000001</v>
      </c>
      <c r="D39">
        <v>144.80000000000001</v>
      </c>
      <c r="E39">
        <v>149.4</v>
      </c>
      <c r="F39">
        <v>252898.39799999999</v>
      </c>
      <c r="G39">
        <v>149.4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-0.29230769230769316</v>
      </c>
      <c r="Q39">
        <f t="shared" ref="Q39" si="171">F39*P39</f>
        <v>-73924.147107692523</v>
      </c>
      <c r="R39">
        <f t="shared" ref="R39" si="172">R40+Q39</f>
        <v>10646797.194397902</v>
      </c>
      <c r="S39">
        <f t="shared" ref="S39" si="173">R39/100000</f>
        <v>106.46797194397902</v>
      </c>
      <c r="T39">
        <f t="shared" ref="T39" si="174">S39/1000</f>
        <v>0.10646797194397903</v>
      </c>
    </row>
    <row r="40" spans="1:20" x14ac:dyDescent="0.25">
      <c r="A40" s="5">
        <v>44553</v>
      </c>
      <c r="B40">
        <v>135.19999999999999</v>
      </c>
      <c r="C40">
        <v>147.4</v>
      </c>
      <c r="D40">
        <v>131.6</v>
      </c>
      <c r="E40">
        <v>146.69999999999999</v>
      </c>
      <c r="F40">
        <v>164425.913</v>
      </c>
      <c r="G40">
        <v>146.69999999999999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0.911392405063289</v>
      </c>
      <c r="Q40">
        <f t="shared" ref="Q40" si="176">F40*P40</f>
        <v>149856.52830379712</v>
      </c>
      <c r="R40">
        <f t="shared" ref="R40" si="177">R41+Q40</f>
        <v>10720721.341505595</v>
      </c>
      <c r="S40">
        <f t="shared" ref="S40" si="178">R40/100000</f>
        <v>107.20721341505595</v>
      </c>
      <c r="T40">
        <f t="shared" ref="T40" si="179">S40/1000</f>
        <v>0.10720721341505594</v>
      </c>
    </row>
    <row r="41" spans="1:20" x14ac:dyDescent="0.25">
      <c r="A41" s="5">
        <v>44552</v>
      </c>
      <c r="B41">
        <v>133.69999999999999</v>
      </c>
      <c r="C41">
        <v>142.9</v>
      </c>
      <c r="D41">
        <v>131.19999999999999</v>
      </c>
      <c r="E41">
        <v>135.1</v>
      </c>
      <c r="F41">
        <v>117638.75</v>
      </c>
      <c r="G41">
        <v>135.1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-0.33333333333333331</v>
      </c>
      <c r="Q41">
        <f t="shared" ref="Q41" si="181">F41*P41</f>
        <v>-39212.916666666664</v>
      </c>
      <c r="R41">
        <f t="shared" ref="R41" si="182">R42+Q41</f>
        <v>10570864.813201798</v>
      </c>
      <c r="S41">
        <f t="shared" ref="S41" si="183">R41/100000</f>
        <v>105.70864813201798</v>
      </c>
      <c r="T41">
        <f t="shared" ref="T41" si="184">S41/1000</f>
        <v>0.10570864813201798</v>
      </c>
    </row>
    <row r="42" spans="1:20" x14ac:dyDescent="0.25">
      <c r="A42" s="5">
        <v>44551</v>
      </c>
      <c r="B42">
        <v>127.3</v>
      </c>
      <c r="C42">
        <v>134.9</v>
      </c>
      <c r="D42">
        <v>125.5</v>
      </c>
      <c r="E42">
        <v>133.69999999999999</v>
      </c>
      <c r="F42">
        <v>93739.592000000004</v>
      </c>
      <c r="G42">
        <v>133.69999999999999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0.74468085106382631</v>
      </c>
      <c r="Q42">
        <f t="shared" ref="Q42" si="186">F42*P42</f>
        <v>69806.079148935853</v>
      </c>
      <c r="R42">
        <f t="shared" ref="R42" si="187">R43+Q42</f>
        <v>10610077.729868464</v>
      </c>
      <c r="S42">
        <f t="shared" ref="S42" si="188">R42/100000</f>
        <v>106.10077729868465</v>
      </c>
      <c r="T42">
        <f t="shared" ref="T42" si="189">S42/1000</f>
        <v>0.10610077729868465</v>
      </c>
    </row>
    <row r="43" spans="1:20" x14ac:dyDescent="0.25">
      <c r="A43" s="5">
        <v>44550</v>
      </c>
      <c r="B43">
        <v>129</v>
      </c>
      <c r="C43">
        <v>130.1</v>
      </c>
      <c r="D43">
        <v>122.5</v>
      </c>
      <c r="E43">
        <v>127.2</v>
      </c>
      <c r="F43">
        <v>103363.20299999999</v>
      </c>
      <c r="G43">
        <v>127.2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0.23684210526315957</v>
      </c>
      <c r="Q43">
        <f t="shared" ref="Q43" si="191">F43*P43</f>
        <v>24480.758605263331</v>
      </c>
      <c r="R43">
        <f t="shared" ref="R43" si="192">R44+Q43</f>
        <v>10540271.650719529</v>
      </c>
      <c r="S43">
        <f t="shared" ref="S43" si="193">R43/100000</f>
        <v>105.40271650719529</v>
      </c>
      <c r="T43">
        <f t="shared" ref="T43" si="194">S43/1000</f>
        <v>0.10540271650719529</v>
      </c>
    </row>
    <row r="44" spans="1:20" x14ac:dyDescent="0.25">
      <c r="A44" s="5">
        <v>44549</v>
      </c>
      <c r="B44">
        <v>129.6</v>
      </c>
      <c r="C44">
        <v>133.19999999999999</v>
      </c>
      <c r="D44">
        <v>128.6</v>
      </c>
      <c r="E44">
        <v>129.1</v>
      </c>
      <c r="F44">
        <v>62858.603000000003</v>
      </c>
      <c r="G44">
        <v>129.1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-0.78260869565217361</v>
      </c>
      <c r="Q44">
        <f t="shared" ref="Q44" si="196">F44*P44</f>
        <v>-49193.689304347812</v>
      </c>
      <c r="R44">
        <f t="shared" ref="R44" si="197">R45+Q44</f>
        <v>10515790.892114265</v>
      </c>
      <c r="S44">
        <f t="shared" ref="S44" si="198">R44/100000</f>
        <v>105.15790892114265</v>
      </c>
      <c r="T44">
        <f t="shared" ref="T44" si="199">S44/1000</f>
        <v>0.10515790892114264</v>
      </c>
    </row>
    <row r="45" spans="1:20" x14ac:dyDescent="0.25">
      <c r="A45" s="5">
        <v>44548</v>
      </c>
      <c r="B45">
        <v>128.4</v>
      </c>
      <c r="C45">
        <v>132.4</v>
      </c>
      <c r="D45">
        <v>126.3</v>
      </c>
      <c r="E45">
        <v>129.6</v>
      </c>
      <c r="F45">
        <v>59682.279000000002</v>
      </c>
      <c r="G45">
        <v>129.6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8.196721311475165E-2</v>
      </c>
      <c r="Q45">
        <f t="shared" ref="Q45" si="201">F45*P45</f>
        <v>4891.9900819670675</v>
      </c>
      <c r="R45">
        <f t="shared" ref="R45" si="202">R46+Q45</f>
        <v>10564984.581418613</v>
      </c>
      <c r="S45">
        <f t="shared" ref="S45" si="203">R45/100000</f>
        <v>105.64984581418614</v>
      </c>
      <c r="T45">
        <f t="shared" ref="T45" si="204">S45/1000</f>
        <v>0.10564984581418614</v>
      </c>
    </row>
    <row r="46" spans="1:20" x14ac:dyDescent="0.25">
      <c r="A46" s="5">
        <v>44547</v>
      </c>
      <c r="B46">
        <v>130.4</v>
      </c>
      <c r="C46">
        <v>132.4</v>
      </c>
      <c r="D46">
        <v>124</v>
      </c>
      <c r="E46">
        <v>128.30000000000001</v>
      </c>
      <c r="F46">
        <v>88089.57</v>
      </c>
      <c r="G46">
        <v>128.30000000000001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2.3809523809525824E-2</v>
      </c>
      <c r="Q46">
        <f t="shared" ref="Q46" si="206">F46*P46</f>
        <v>2097.3707142858921</v>
      </c>
      <c r="R46">
        <f t="shared" ref="R46" si="207">R47+Q46</f>
        <v>10560092.591336645</v>
      </c>
      <c r="S46">
        <f t="shared" ref="S46" si="208">R46/100000</f>
        <v>105.60092591336645</v>
      </c>
      <c r="T46">
        <f t="shared" ref="T46" si="209">S46/1000</f>
        <v>0.10560092591336645</v>
      </c>
    </row>
    <row r="47" spans="1:20" x14ac:dyDescent="0.25">
      <c r="A47" s="5">
        <v>44546</v>
      </c>
      <c r="B47">
        <v>134.19999999999999</v>
      </c>
      <c r="C47">
        <v>136</v>
      </c>
      <c r="D47">
        <v>129.80000000000001</v>
      </c>
      <c r="E47">
        <v>130.30000000000001</v>
      </c>
      <c r="F47">
        <v>84272.743000000002</v>
      </c>
      <c r="G47">
        <v>130.30000000000001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-0.83870967741935454</v>
      </c>
      <c r="Q47">
        <f t="shared" ref="Q47" si="211">F47*P47</f>
        <v>-70680.365096774171</v>
      </c>
      <c r="R47">
        <f t="shared" ref="R47" si="212">R48+Q47</f>
        <v>10557995.220622359</v>
      </c>
      <c r="S47">
        <f t="shared" ref="S47" si="213">R47/100000</f>
        <v>105.5799522062236</v>
      </c>
      <c r="T47">
        <f t="shared" ref="T47" si="214">S47/1000</f>
        <v>0.1055799522062236</v>
      </c>
    </row>
    <row r="48" spans="1:20" x14ac:dyDescent="0.25">
      <c r="A48" s="5">
        <v>44545</v>
      </c>
      <c r="B48">
        <v>131.6</v>
      </c>
      <c r="C48">
        <v>136.80000000000001</v>
      </c>
      <c r="D48">
        <v>124.2</v>
      </c>
      <c r="E48">
        <v>134.19999999999999</v>
      </c>
      <c r="F48">
        <v>136467.91200000001</v>
      </c>
      <c r="G48">
        <v>134.19999999999999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0.58730158730158399</v>
      </c>
      <c r="Q48">
        <f t="shared" ref="Q48" si="216">F48*P48</f>
        <v>80147.821333332889</v>
      </c>
      <c r="R48">
        <f t="shared" ref="R48" si="217">R49+Q48</f>
        <v>10628675.585719133</v>
      </c>
      <c r="S48">
        <f t="shared" ref="S48" si="218">R48/100000</f>
        <v>106.28675585719132</v>
      </c>
      <c r="T48">
        <f t="shared" ref="T48" si="219">S48/1000</f>
        <v>0.10628675585719133</v>
      </c>
    </row>
    <row r="49" spans="1:20" x14ac:dyDescent="0.25">
      <c r="A49" s="5">
        <v>44544</v>
      </c>
      <c r="B49">
        <v>126.3</v>
      </c>
      <c r="C49">
        <v>134.30000000000001</v>
      </c>
      <c r="D49">
        <v>124.6</v>
      </c>
      <c r="E49">
        <v>131.6</v>
      </c>
      <c r="F49">
        <v>125769.87699999999</v>
      </c>
      <c r="G49">
        <v>131.6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0.44329896907216243</v>
      </c>
      <c r="Q49">
        <f t="shared" ref="Q49" si="221">F49*P49</f>
        <v>55753.656814432667</v>
      </c>
      <c r="R49">
        <f t="shared" ref="R49" si="222">R50+Q49</f>
        <v>10548527.764385801</v>
      </c>
      <c r="S49">
        <f t="shared" ref="S49" si="223">R49/100000</f>
        <v>105.48527764385801</v>
      </c>
      <c r="T49">
        <f t="shared" ref="T49" si="224">S49/1000</f>
        <v>0.10548527764385801</v>
      </c>
    </row>
    <row r="50" spans="1:20" x14ac:dyDescent="0.25">
      <c r="A50" s="5">
        <v>44543</v>
      </c>
      <c r="B50">
        <v>138.19999999999999</v>
      </c>
      <c r="C50">
        <v>139.9</v>
      </c>
      <c r="D50">
        <v>123.7</v>
      </c>
      <c r="E50">
        <v>126.4</v>
      </c>
      <c r="F50">
        <v>108871.65300000001</v>
      </c>
      <c r="G50">
        <v>126.4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-0.66666666666666641</v>
      </c>
      <c r="Q50">
        <f t="shared" ref="Q50" si="226">F50*P50</f>
        <v>-72581.10199999997</v>
      </c>
      <c r="R50">
        <f t="shared" ref="R50" si="227">R51+Q50</f>
        <v>10492774.107571369</v>
      </c>
      <c r="S50">
        <f t="shared" ref="S50" si="228">R50/100000</f>
        <v>104.92774107571368</v>
      </c>
      <c r="T50">
        <f t="shared" ref="T50" si="229">S50/1000</f>
        <v>0.10492774107571369</v>
      </c>
    </row>
    <row r="51" spans="1:20" x14ac:dyDescent="0.25">
      <c r="A51" s="5">
        <v>44542</v>
      </c>
      <c r="B51">
        <v>140.6</v>
      </c>
      <c r="C51">
        <v>140.9</v>
      </c>
      <c r="D51">
        <v>133.9</v>
      </c>
      <c r="E51">
        <v>138.19999999999999</v>
      </c>
      <c r="F51">
        <v>63092.616999999998</v>
      </c>
      <c r="G51">
        <v>138.19999999999999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0.22857142857142371</v>
      </c>
      <c r="Q51">
        <f t="shared" ref="Q51" si="231">F51*P51</f>
        <v>14421.169599999692</v>
      </c>
      <c r="R51">
        <f t="shared" ref="R51" si="232">R52+Q51</f>
        <v>10565355.209571369</v>
      </c>
      <c r="S51">
        <f t="shared" ref="S51" si="233">R51/100000</f>
        <v>105.65355209571369</v>
      </c>
      <c r="T51">
        <f t="shared" ref="T51" si="234">S51/1000</f>
        <v>0.1056535520957137</v>
      </c>
    </row>
    <row r="52" spans="1:20" x14ac:dyDescent="0.25">
      <c r="A52" s="5">
        <v>44541</v>
      </c>
      <c r="B52">
        <v>133.1</v>
      </c>
      <c r="C52">
        <v>136</v>
      </c>
      <c r="D52">
        <v>130.5</v>
      </c>
      <c r="E52">
        <v>135.30000000000001</v>
      </c>
      <c r="F52">
        <v>9668.1540000000005</v>
      </c>
      <c r="G52">
        <v>135.30000000000001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0.74545454545454959</v>
      </c>
      <c r="Q52">
        <f t="shared" ref="Q52" si="236">F52*P52</f>
        <v>7207.1693454545857</v>
      </c>
      <c r="R52">
        <f t="shared" ref="R52" si="237">R53+Q52</f>
        <v>10550934.039971368</v>
      </c>
      <c r="S52">
        <f t="shared" ref="S52" si="238">R52/100000</f>
        <v>105.50934039971368</v>
      </c>
      <c r="T52">
        <f t="shared" ref="T52" si="239">S52/1000</f>
        <v>0.10550934039971369</v>
      </c>
    </row>
    <row r="53" spans="1:20" x14ac:dyDescent="0.25">
      <c r="A53" s="5">
        <v>44540</v>
      </c>
      <c r="B53">
        <v>136.1</v>
      </c>
      <c r="C53">
        <v>141.6</v>
      </c>
      <c r="D53">
        <v>131.30000000000001</v>
      </c>
      <c r="E53">
        <v>133</v>
      </c>
      <c r="F53">
        <v>113031.129</v>
      </c>
      <c r="G53">
        <v>133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-0.66990291262136092</v>
      </c>
      <c r="Q53">
        <f t="shared" ref="Q53" si="241">F53*P53</f>
        <v>-75719.882533980781</v>
      </c>
      <c r="R53">
        <f t="shared" ref="R53" si="242">R54+Q53</f>
        <v>10543726.870625913</v>
      </c>
      <c r="S53">
        <f t="shared" ref="S53" si="243">R53/100000</f>
        <v>105.43726870625913</v>
      </c>
      <c r="T53">
        <f t="shared" ref="T53" si="244">S53/1000</f>
        <v>0.10543726870625914</v>
      </c>
    </row>
    <row r="54" spans="1:20" x14ac:dyDescent="0.25">
      <c r="A54" s="5">
        <v>44539</v>
      </c>
      <c r="B54">
        <v>147.6</v>
      </c>
      <c r="C54">
        <v>151.5</v>
      </c>
      <c r="D54">
        <v>135.6</v>
      </c>
      <c r="E54">
        <v>136</v>
      </c>
      <c r="F54">
        <v>183261.617</v>
      </c>
      <c r="G54">
        <v>136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-0.94968553459119431</v>
      </c>
      <c r="Q54">
        <f t="shared" ref="Q54" si="246">F54*P54</f>
        <v>-174040.90671069169</v>
      </c>
      <c r="R54">
        <f t="shared" ref="R54" si="247">R55+Q54</f>
        <v>10619446.753159894</v>
      </c>
      <c r="S54">
        <f t="shared" ref="S54" si="248">R54/100000</f>
        <v>106.19446753159893</v>
      </c>
      <c r="T54">
        <f t="shared" ref="T54" si="249">S54/1000</f>
        <v>0.10619446753159893</v>
      </c>
    </row>
    <row r="55" spans="1:20" x14ac:dyDescent="0.25">
      <c r="A55" s="5">
        <v>44538</v>
      </c>
      <c r="B55">
        <v>138.1</v>
      </c>
      <c r="C55">
        <v>148.80000000000001</v>
      </c>
      <c r="D55">
        <v>135</v>
      </c>
      <c r="E55">
        <v>147.6</v>
      </c>
      <c r="F55">
        <v>184237.93299999999</v>
      </c>
      <c r="G55">
        <v>147.6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0.8260869565217368</v>
      </c>
      <c r="Q55">
        <f t="shared" ref="Q55" si="251">F55*P55</f>
        <v>152196.55334782565</v>
      </c>
      <c r="R55">
        <f t="shared" ref="R55" si="252">R56+Q55</f>
        <v>10793487.659870585</v>
      </c>
      <c r="S55">
        <f t="shared" ref="S55" si="253">R55/100000</f>
        <v>107.93487659870586</v>
      </c>
      <c r="T55">
        <f t="shared" ref="T55" si="254">S55/1000</f>
        <v>0.10793487659870586</v>
      </c>
    </row>
    <row r="56" spans="1:20" x14ac:dyDescent="0.25">
      <c r="A56" s="5">
        <v>44537</v>
      </c>
      <c r="B56">
        <v>137.4</v>
      </c>
      <c r="C56">
        <v>144.69999999999999</v>
      </c>
      <c r="D56">
        <v>135.6</v>
      </c>
      <c r="E56">
        <v>138.19999999999999</v>
      </c>
      <c r="F56">
        <v>153328.701</v>
      </c>
      <c r="G56">
        <v>138.19999999999999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-0.42857142857142949</v>
      </c>
      <c r="Q56">
        <f t="shared" ref="Q56" si="256">F56*P56</f>
        <v>-65712.300428571572</v>
      </c>
      <c r="R56">
        <f t="shared" ref="R56" si="257">R57+Q56</f>
        <v>10641291.106522759</v>
      </c>
      <c r="S56">
        <f t="shared" ref="S56" si="258">R56/100000</f>
        <v>106.41291106522759</v>
      </c>
      <c r="T56">
        <f t="shared" ref="T56" si="259">S56/1000</f>
        <v>0.10641291106522759</v>
      </c>
    </row>
    <row r="57" spans="1:20" x14ac:dyDescent="0.25">
      <c r="A57" s="5">
        <v>44536</v>
      </c>
      <c r="B57">
        <v>134.5</v>
      </c>
      <c r="C57">
        <v>140</v>
      </c>
      <c r="D57">
        <v>122</v>
      </c>
      <c r="E57">
        <v>137.4</v>
      </c>
      <c r="F57">
        <v>200981.736</v>
      </c>
      <c r="G57">
        <v>137.4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0.71111111111111169</v>
      </c>
      <c r="Q57">
        <f t="shared" ref="Q57" si="261">F57*P57</f>
        <v>142920.34560000012</v>
      </c>
      <c r="R57">
        <f t="shared" ref="R57" si="262">R58+Q57</f>
        <v>10707003.406951331</v>
      </c>
      <c r="S57">
        <f t="shared" ref="S57" si="263">R57/100000</f>
        <v>107.07003406951331</v>
      </c>
      <c r="T57">
        <f t="shared" ref="T57" si="264">S57/1000</f>
        <v>0.10707003406951331</v>
      </c>
    </row>
    <row r="58" spans="1:20" x14ac:dyDescent="0.25">
      <c r="A58" s="5">
        <v>44535</v>
      </c>
      <c r="B58">
        <v>142.5</v>
      </c>
      <c r="C58">
        <v>145</v>
      </c>
      <c r="D58">
        <v>126.3</v>
      </c>
      <c r="E58">
        <v>134.5</v>
      </c>
      <c r="F58">
        <v>172310.00399999999</v>
      </c>
      <c r="G58">
        <v>134.5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-0.12299465240641694</v>
      </c>
      <c r="Q58">
        <f t="shared" ref="Q58" si="266">F58*P58</f>
        <v>-21193.209048128312</v>
      </c>
      <c r="R58">
        <f t="shared" ref="R58" si="267">R59+Q58</f>
        <v>10564083.061351331</v>
      </c>
      <c r="S58">
        <f t="shared" ref="S58" si="268">R58/100000</f>
        <v>105.64083061351332</v>
      </c>
      <c r="T58">
        <f t="shared" ref="T58" si="269">S58/1000</f>
        <v>0.10564083061351331</v>
      </c>
    </row>
    <row r="59" spans="1:20" x14ac:dyDescent="0.25">
      <c r="A59" s="5">
        <v>44534</v>
      </c>
      <c r="B59">
        <v>167.1</v>
      </c>
      <c r="C59">
        <v>167.7</v>
      </c>
      <c r="D59">
        <v>110.2</v>
      </c>
      <c r="E59">
        <v>142.6</v>
      </c>
      <c r="F59">
        <v>404803.47577000002</v>
      </c>
      <c r="G59">
        <v>142.6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0.12695652173913041</v>
      </c>
      <c r="Q59">
        <f t="shared" ref="Q59" si="271">F59*P59</f>
        <v>51392.441271669559</v>
      </c>
      <c r="R59">
        <f t="shared" ref="R59" si="272">R60+Q59</f>
        <v>10585276.270399459</v>
      </c>
      <c r="S59">
        <f t="shared" ref="S59" si="273">R59/100000</f>
        <v>105.85276270399459</v>
      </c>
      <c r="T59">
        <f t="shared" ref="T59" si="274">S59/1000</f>
        <v>0.10585276270399459</v>
      </c>
    </row>
    <row r="60" spans="1:20" x14ac:dyDescent="0.25">
      <c r="A60" s="5">
        <v>44533</v>
      </c>
      <c r="B60">
        <v>176</v>
      </c>
      <c r="C60">
        <v>180.3</v>
      </c>
      <c r="D60">
        <v>159.30000000000001</v>
      </c>
      <c r="E60">
        <v>167.2</v>
      </c>
      <c r="F60">
        <v>120298.789</v>
      </c>
      <c r="G60">
        <v>167.2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-0.24761904761904979</v>
      </c>
      <c r="Q60">
        <f t="shared" ref="Q60" si="276">F60*P60</f>
        <v>-29788.271561905025</v>
      </c>
      <c r="R60">
        <f t="shared" ref="R60" si="277">R61+Q60</f>
        <v>10533883.829127789</v>
      </c>
      <c r="S60">
        <f t="shared" ref="S60" si="278">R60/100000</f>
        <v>105.33883829127788</v>
      </c>
      <c r="T60">
        <f t="shared" ref="T60" si="279">S60/1000</f>
        <v>0.10533883829127788</v>
      </c>
    </row>
    <row r="61" spans="1:20" x14ac:dyDescent="0.25">
      <c r="A61" s="5">
        <v>44532</v>
      </c>
      <c r="B61">
        <v>178.2</v>
      </c>
      <c r="C61">
        <v>178.3</v>
      </c>
      <c r="D61">
        <v>172.3</v>
      </c>
      <c r="E61">
        <v>176</v>
      </c>
      <c r="F61">
        <v>85313.077000000005</v>
      </c>
      <c r="G61">
        <v>176</v>
      </c>
      <c r="L61" t="s">
        <v>8</v>
      </c>
      <c r="M61" t="s">
        <v>7</v>
      </c>
      <c r="N61" t="s">
        <v>7</v>
      </c>
      <c r="P61">
        <f t="shared" ref="P61" si="280">IF(C61=D61,0,((E61-D61)-(C61-E61))/(C61-D61))</f>
        <v>0.23333333333332953</v>
      </c>
      <c r="Q61">
        <f t="shared" ref="Q61" si="281">F61*P61</f>
        <v>19906.384633333011</v>
      </c>
      <c r="R61">
        <f t="shared" ref="R61" si="282">R62+Q61</f>
        <v>10563672.100689694</v>
      </c>
      <c r="S61">
        <f t="shared" ref="S61" si="283">R61/100000</f>
        <v>105.63672100689695</v>
      </c>
      <c r="T61">
        <f t="shared" ref="T61" si="284">S61/1000</f>
        <v>0.10563672100689694</v>
      </c>
    </row>
    <row r="62" spans="1:20" x14ac:dyDescent="0.25">
      <c r="A62" s="5">
        <v>44531</v>
      </c>
      <c r="B62">
        <v>180</v>
      </c>
      <c r="C62">
        <v>185.5</v>
      </c>
      <c r="D62">
        <v>176.6</v>
      </c>
      <c r="E62">
        <v>178.2</v>
      </c>
      <c r="F62">
        <v>107979.42</v>
      </c>
      <c r="G62">
        <v>178.2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-0.64044943820224864</v>
      </c>
      <c r="Q62">
        <f t="shared" ref="Q62" si="286">F62*P62</f>
        <v>-69155.358876404644</v>
      </c>
      <c r="R62">
        <f t="shared" ref="R62" si="287">R63+Q62</f>
        <v>10543765.716056362</v>
      </c>
      <c r="S62">
        <f t="shared" ref="S62" si="288">R62/100000</f>
        <v>105.43765716056362</v>
      </c>
      <c r="T62">
        <f t="shared" ref="T62" si="289">S62/1000</f>
        <v>0.10543765716056362</v>
      </c>
    </row>
    <row r="63" spans="1:20" x14ac:dyDescent="0.25">
      <c r="A63" s="5">
        <v>44530</v>
      </c>
      <c r="B63">
        <v>181.9</v>
      </c>
      <c r="C63">
        <v>186.3</v>
      </c>
      <c r="D63">
        <v>174.4</v>
      </c>
      <c r="E63">
        <v>180</v>
      </c>
      <c r="F63">
        <v>156221.821</v>
      </c>
      <c r="G63">
        <v>180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-5.8823529411766114E-2</v>
      </c>
      <c r="Q63">
        <f t="shared" ref="Q63" si="291">F63*P63</f>
        <v>-9189.5188823531607</v>
      </c>
      <c r="R63">
        <f t="shared" ref="R63" si="292">R64+Q63</f>
        <v>10612921.074932767</v>
      </c>
      <c r="S63">
        <f t="shared" ref="S63" si="293">R63/100000</f>
        <v>106.12921074932767</v>
      </c>
      <c r="T63">
        <f t="shared" ref="T63" si="294">S63/1000</f>
        <v>0.10612921074932767</v>
      </c>
    </row>
    <row r="64" spans="1:20" x14ac:dyDescent="0.25">
      <c r="A64" s="5">
        <v>44529</v>
      </c>
      <c r="B64">
        <v>178.6</v>
      </c>
      <c r="C64">
        <v>184.4</v>
      </c>
      <c r="D64">
        <v>175.6</v>
      </c>
      <c r="E64">
        <v>181.9</v>
      </c>
      <c r="F64">
        <v>133714.163</v>
      </c>
      <c r="G64">
        <v>181.9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0.43181818181818254</v>
      </c>
      <c r="Q64">
        <f t="shared" ref="Q64" si="296">F64*P64</f>
        <v>57740.206750000099</v>
      </c>
      <c r="R64">
        <f t="shared" ref="R64" si="297">R65+Q64</f>
        <v>10622110.59381512</v>
      </c>
      <c r="S64">
        <f t="shared" ref="S64" si="298">R64/100000</f>
        <v>106.2211059381512</v>
      </c>
      <c r="T64">
        <f t="shared" ref="T64" si="299">S64/1000</f>
        <v>0.10622110593815119</v>
      </c>
    </row>
    <row r="65" spans="1:20" x14ac:dyDescent="0.25">
      <c r="A65" s="5">
        <v>44528</v>
      </c>
      <c r="B65">
        <v>182.4</v>
      </c>
      <c r="C65">
        <v>183.1</v>
      </c>
      <c r="D65">
        <v>164</v>
      </c>
      <c r="E65">
        <v>178.6</v>
      </c>
      <c r="F65">
        <v>211058.364</v>
      </c>
      <c r="G65">
        <v>178.6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0.52879581151832444</v>
      </c>
      <c r="Q65">
        <f t="shared" ref="Q65" si="301">F65*P65</f>
        <v>111606.77886910991</v>
      </c>
      <c r="R65">
        <f t="shared" ref="R65" si="302">R66+Q65</f>
        <v>10564370.38706512</v>
      </c>
      <c r="S65">
        <f t="shared" ref="S65" si="303">R65/100000</f>
        <v>105.64370387065119</v>
      </c>
      <c r="T65">
        <f t="shared" ref="T65" si="304">S65/1000</f>
        <v>0.1056437038706512</v>
      </c>
    </row>
    <row r="66" spans="1:20" x14ac:dyDescent="0.25">
      <c r="A66" s="5">
        <v>44527</v>
      </c>
      <c r="B66">
        <v>183.6</v>
      </c>
      <c r="C66">
        <v>189.9</v>
      </c>
      <c r="D66">
        <v>180.6</v>
      </c>
      <c r="E66">
        <v>182.4</v>
      </c>
      <c r="F66">
        <v>114192.13</v>
      </c>
      <c r="G66">
        <v>182.4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-0.61290322580644963</v>
      </c>
      <c r="Q66">
        <f t="shared" ref="Q66" si="306">F66*P66</f>
        <v>-69988.724838709459</v>
      </c>
      <c r="R66">
        <f t="shared" ref="R66" si="307">R67+Q66</f>
        <v>10452763.608196011</v>
      </c>
      <c r="S66">
        <f t="shared" ref="S66" si="308">R66/100000</f>
        <v>104.52763608196011</v>
      </c>
      <c r="T66">
        <f t="shared" ref="T66" si="309">S66/1000</f>
        <v>0.10452763608196011</v>
      </c>
    </row>
    <row r="67" spans="1:20" x14ac:dyDescent="0.25">
      <c r="A67" s="5">
        <v>44526</v>
      </c>
      <c r="B67">
        <v>214.8</v>
      </c>
      <c r="C67">
        <v>215.5</v>
      </c>
      <c r="D67">
        <v>178.4</v>
      </c>
      <c r="E67">
        <v>183.6</v>
      </c>
      <c r="F67">
        <v>225797.106</v>
      </c>
      <c r="G67">
        <v>183.6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-0.71967654986522966</v>
      </c>
      <c r="Q67">
        <f t="shared" ref="Q67" si="311">F67*P67</f>
        <v>-162500.88221563355</v>
      </c>
      <c r="R67">
        <f t="shared" ref="R67" si="312">R68+Q67</f>
        <v>10522752.33303472</v>
      </c>
      <c r="S67">
        <f t="shared" ref="S67" si="313">R67/100000</f>
        <v>105.2275233303472</v>
      </c>
      <c r="T67">
        <f t="shared" ref="T67" si="314">S67/1000</f>
        <v>0.1052275233303472</v>
      </c>
    </row>
    <row r="68" spans="1:20" x14ac:dyDescent="0.25">
      <c r="A68" s="5">
        <v>44525</v>
      </c>
      <c r="B68">
        <v>204.2</v>
      </c>
      <c r="C68">
        <v>215.6</v>
      </c>
      <c r="D68">
        <v>202.2</v>
      </c>
      <c r="E68">
        <v>214.7</v>
      </c>
      <c r="F68">
        <v>196362.60200000001</v>
      </c>
      <c r="G68">
        <v>214.7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0.86567164179104394</v>
      </c>
      <c r="Q68">
        <f t="shared" ref="Q68" si="316">F68*P68</f>
        <v>169985.53605970135</v>
      </c>
      <c r="R68">
        <f t="shared" ref="R68" si="317">R69+Q68</f>
        <v>10685253.215250354</v>
      </c>
      <c r="S68">
        <f t="shared" ref="S68" si="318">R68/100000</f>
        <v>106.85253215250354</v>
      </c>
      <c r="T68">
        <f t="shared" ref="T68" si="319">S68/1000</f>
        <v>0.10685253215250354</v>
      </c>
    </row>
    <row r="69" spans="1:20" x14ac:dyDescent="0.25">
      <c r="A69" s="5">
        <v>44524</v>
      </c>
      <c r="B69">
        <v>187.5</v>
      </c>
      <c r="C69">
        <v>202</v>
      </c>
      <c r="D69">
        <v>184.3</v>
      </c>
      <c r="E69">
        <v>195.4</v>
      </c>
      <c r="F69">
        <v>163863.14499999999</v>
      </c>
      <c r="G69">
        <v>195.4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0.25423728813559338</v>
      </c>
      <c r="Q69">
        <f t="shared" ref="Q69" si="321">F69*P69</f>
        <v>41660.121610169517</v>
      </c>
      <c r="R69">
        <f t="shared" ref="R69" si="322">R70+Q69</f>
        <v>10515267.679190652</v>
      </c>
      <c r="S69">
        <f t="shared" ref="S69" si="323">R69/100000</f>
        <v>105.15267679190653</v>
      </c>
      <c r="T69">
        <f t="shared" ref="T69" si="324">S69/1000</f>
        <v>0.10515267679190653</v>
      </c>
    </row>
    <row r="70" spans="1:20" x14ac:dyDescent="0.25">
      <c r="A70" s="5">
        <v>44523</v>
      </c>
      <c r="B70">
        <v>197.8</v>
      </c>
      <c r="C70">
        <v>200.9</v>
      </c>
      <c r="D70">
        <v>184.6</v>
      </c>
      <c r="E70">
        <v>187.5</v>
      </c>
      <c r="F70">
        <v>166510.12400000001</v>
      </c>
      <c r="G70">
        <v>187.5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-0.6441717791411038</v>
      </c>
      <c r="Q70">
        <f t="shared" ref="Q70" si="326">F70*P70</f>
        <v>-107261.12282208582</v>
      </c>
      <c r="R70">
        <f t="shared" ref="R70" si="327">R71+Q70</f>
        <v>10473607.557580482</v>
      </c>
      <c r="S70">
        <f t="shared" ref="S70" si="328">R70/100000</f>
        <v>104.73607557580482</v>
      </c>
      <c r="T70">
        <f t="shared" ref="T70" si="329">S70/1000</f>
        <v>0.10473607557580482</v>
      </c>
    </row>
    <row r="71" spans="1:20" x14ac:dyDescent="0.25">
      <c r="A71" s="5">
        <v>44522</v>
      </c>
      <c r="B71">
        <v>207.3</v>
      </c>
      <c r="C71">
        <v>209</v>
      </c>
      <c r="D71">
        <v>188.5</v>
      </c>
      <c r="E71">
        <v>198</v>
      </c>
      <c r="F71">
        <v>246454.71</v>
      </c>
      <c r="G71">
        <v>198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-7.3170731707317069E-2</v>
      </c>
      <c r="Q71">
        <f t="shared" ref="Q71" si="331">F71*P71</f>
        <v>-18033.271463414632</v>
      </c>
      <c r="R71">
        <f t="shared" ref="R71" si="332">R72+Q71</f>
        <v>10580868.680402568</v>
      </c>
      <c r="S71">
        <f t="shared" ref="S71" si="333">R71/100000</f>
        <v>105.80868680402568</v>
      </c>
      <c r="T71">
        <f t="shared" ref="T71" si="334">S71/1000</f>
        <v>0.10580868680402568</v>
      </c>
    </row>
    <row r="72" spans="1:20" x14ac:dyDescent="0.25">
      <c r="A72" s="5">
        <v>44521</v>
      </c>
      <c r="B72">
        <v>193.7</v>
      </c>
      <c r="C72">
        <v>208.7</v>
      </c>
      <c r="D72">
        <v>187.2</v>
      </c>
      <c r="E72">
        <v>207.2</v>
      </c>
      <c r="F72">
        <v>168082.07</v>
      </c>
      <c r="G72">
        <v>207.2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0.86046511627906974</v>
      </c>
      <c r="Q72">
        <f t="shared" ref="Q72" si="336">F72*P72</f>
        <v>144628.75790697674</v>
      </c>
      <c r="R72">
        <f t="shared" ref="R72" si="337">R73+Q72</f>
        <v>10598901.951865982</v>
      </c>
      <c r="S72">
        <f t="shared" ref="S72" si="338">R72/100000</f>
        <v>105.98901951865982</v>
      </c>
      <c r="T72">
        <f t="shared" ref="T72" si="339">S72/1000</f>
        <v>0.10598901951865981</v>
      </c>
    </row>
    <row r="73" spans="1:20" x14ac:dyDescent="0.25">
      <c r="A73" s="5">
        <v>44520</v>
      </c>
      <c r="B73">
        <v>189.3</v>
      </c>
      <c r="C73">
        <v>198.1</v>
      </c>
      <c r="D73">
        <v>186</v>
      </c>
      <c r="E73">
        <v>193.7</v>
      </c>
      <c r="F73">
        <v>145122.25200000001</v>
      </c>
      <c r="G73">
        <v>193.7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0.27272727272727143</v>
      </c>
      <c r="Q73">
        <f t="shared" ref="Q73" si="341">F73*P73</f>
        <v>39578.795999999813</v>
      </c>
      <c r="R73">
        <f t="shared" ref="R73" si="342">R74+Q73</f>
        <v>10454273.193959005</v>
      </c>
      <c r="S73">
        <f t="shared" ref="S73" si="343">R73/100000</f>
        <v>104.54273193959006</v>
      </c>
      <c r="T73">
        <f t="shared" ref="T73" si="344">S73/1000</f>
        <v>0.10454273193959006</v>
      </c>
    </row>
    <row r="74" spans="1:20" x14ac:dyDescent="0.25">
      <c r="A74" s="5">
        <v>44519</v>
      </c>
      <c r="B74">
        <v>175.6</v>
      </c>
      <c r="C74">
        <v>189.4</v>
      </c>
      <c r="D74">
        <v>173.9</v>
      </c>
      <c r="E74">
        <v>189.3</v>
      </c>
      <c r="F74">
        <v>149341.50599999999</v>
      </c>
      <c r="G74">
        <v>189.3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0.98709677419354913</v>
      </c>
      <c r="Q74">
        <f t="shared" ref="Q74" si="346">F74*P74</f>
        <v>147414.51882580656</v>
      </c>
      <c r="R74">
        <f t="shared" ref="R74" si="347">R75+Q74</f>
        <v>10414694.397959005</v>
      </c>
      <c r="S74">
        <f t="shared" ref="S74" si="348">R74/100000</f>
        <v>104.14694397959005</v>
      </c>
      <c r="T74">
        <f t="shared" ref="T74" si="349">S74/1000</f>
        <v>0.10414694397959005</v>
      </c>
    </row>
    <row r="75" spans="1:20" x14ac:dyDescent="0.25">
      <c r="A75" s="5">
        <v>44518</v>
      </c>
      <c r="B75">
        <v>189.4</v>
      </c>
      <c r="C75">
        <v>191</v>
      </c>
      <c r="D75">
        <v>169.7</v>
      </c>
      <c r="E75">
        <v>175.7</v>
      </c>
      <c r="F75">
        <v>236570.87899999999</v>
      </c>
      <c r="G75">
        <v>175.7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-0.43661971830985946</v>
      </c>
      <c r="Q75">
        <f t="shared" ref="Q75" si="351">F75*P75</f>
        <v>-103291.51054929584</v>
      </c>
      <c r="R75">
        <f t="shared" ref="R75" si="352">R76+Q75</f>
        <v>10267279.879133198</v>
      </c>
      <c r="S75">
        <f t="shared" ref="S75" si="353">R75/100000</f>
        <v>102.67279879133199</v>
      </c>
      <c r="T75">
        <f t="shared" ref="T75" si="354">S75/1000</f>
        <v>0.10267279879133198</v>
      </c>
    </row>
    <row r="76" spans="1:20" x14ac:dyDescent="0.25">
      <c r="A76" s="5">
        <v>44517</v>
      </c>
      <c r="B76">
        <v>198.4</v>
      </c>
      <c r="C76">
        <v>200.7</v>
      </c>
      <c r="D76">
        <v>184.6</v>
      </c>
      <c r="E76">
        <v>189.3</v>
      </c>
      <c r="F76">
        <v>225305.929</v>
      </c>
      <c r="G76">
        <v>189.3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-0.41614906832297904</v>
      </c>
      <c r="Q76">
        <f t="shared" ref="Q76" si="356">F76*P76</f>
        <v>-93760.852440993272</v>
      </c>
      <c r="R76">
        <f t="shared" ref="R76" si="357">R77+Q76</f>
        <v>10370571.389682494</v>
      </c>
      <c r="S76">
        <f t="shared" ref="S76" si="358">R76/100000</f>
        <v>103.70571389682495</v>
      </c>
      <c r="T76">
        <f t="shared" ref="T76" si="359">S76/1000</f>
        <v>0.10370571389682495</v>
      </c>
    </row>
    <row r="77" spans="1:20" x14ac:dyDescent="0.25">
      <c r="A77" s="5">
        <v>44516</v>
      </c>
      <c r="B77">
        <v>224.4</v>
      </c>
      <c r="C77">
        <v>224.5</v>
      </c>
      <c r="D77">
        <v>188.6</v>
      </c>
      <c r="E77">
        <v>198.5</v>
      </c>
      <c r="F77">
        <v>271549.42700000003</v>
      </c>
      <c r="G77">
        <v>198.5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-0.44846796657381593</v>
      </c>
      <c r="Q77">
        <f t="shared" ref="Q77" si="361">F77*P77</f>
        <v>-121781.21935097488</v>
      </c>
      <c r="R77">
        <f t="shared" ref="R77" si="362">R78+Q77</f>
        <v>10464332.242123486</v>
      </c>
      <c r="S77">
        <f t="shared" ref="S77" si="363">R77/100000</f>
        <v>104.64332242123487</v>
      </c>
      <c r="T77">
        <f t="shared" ref="T77" si="364">S77/1000</f>
        <v>0.10464332242123488</v>
      </c>
    </row>
    <row r="78" spans="1:20" x14ac:dyDescent="0.25">
      <c r="A78" s="5">
        <v>44515</v>
      </c>
      <c r="B78">
        <v>229.1</v>
      </c>
      <c r="C78">
        <v>240.3</v>
      </c>
      <c r="D78">
        <v>223.6</v>
      </c>
      <c r="E78">
        <v>224.5</v>
      </c>
      <c r="F78">
        <v>148586.25</v>
      </c>
      <c r="G78">
        <v>224.5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-0.89221556886227493</v>
      </c>
      <c r="Q78">
        <f t="shared" ref="Q78" si="366">F78*P78</f>
        <v>-132570.96556886219</v>
      </c>
      <c r="R78">
        <f t="shared" ref="R78" si="367">R79+Q78</f>
        <v>10586113.461474461</v>
      </c>
      <c r="S78">
        <f t="shared" ref="S78" si="368">R78/100000</f>
        <v>105.86113461474461</v>
      </c>
      <c r="T78">
        <f t="shared" ref="T78" si="369">S78/1000</f>
        <v>0.10586113461474461</v>
      </c>
    </row>
    <row r="79" spans="1:20" x14ac:dyDescent="0.25">
      <c r="A79" s="5">
        <v>44514</v>
      </c>
      <c r="B79">
        <v>228.9</v>
      </c>
      <c r="C79">
        <v>232</v>
      </c>
      <c r="D79">
        <v>220</v>
      </c>
      <c r="E79">
        <v>229</v>
      </c>
      <c r="F79">
        <v>91549.214000000007</v>
      </c>
      <c r="G79">
        <v>229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0.5</v>
      </c>
      <c r="Q79">
        <f t="shared" ref="Q79" si="371">F79*P79</f>
        <v>45774.607000000004</v>
      </c>
      <c r="R79">
        <f t="shared" ref="R79" si="372">R80+Q79</f>
        <v>10718684.427043324</v>
      </c>
      <c r="S79">
        <f t="shared" ref="S79" si="373">R79/100000</f>
        <v>107.18684427043324</v>
      </c>
      <c r="T79">
        <f t="shared" ref="T79" si="374">S79/1000</f>
        <v>0.10718684427043323</v>
      </c>
    </row>
    <row r="80" spans="1:20" x14ac:dyDescent="0.25">
      <c r="A80" s="5">
        <v>44513</v>
      </c>
      <c r="B80">
        <v>221.4</v>
      </c>
      <c r="C80">
        <v>232.6</v>
      </c>
      <c r="D80">
        <v>217.2</v>
      </c>
      <c r="E80">
        <v>228.9</v>
      </c>
      <c r="F80">
        <v>143445.26699999999</v>
      </c>
      <c r="G80">
        <v>228.9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0.5194805194805211</v>
      </c>
      <c r="Q80">
        <f t="shared" ref="Q80" si="376">F80*P80</f>
        <v>74517.021818182053</v>
      </c>
      <c r="R80">
        <f t="shared" ref="R80" si="377">R81+Q80</f>
        <v>10672909.820043324</v>
      </c>
      <c r="S80">
        <f t="shared" ref="S80" si="378">R80/100000</f>
        <v>106.72909820043324</v>
      </c>
      <c r="T80">
        <f t="shared" ref="T80" si="379">S80/1000</f>
        <v>0.10672909820043325</v>
      </c>
    </row>
    <row r="81" spans="1:20" x14ac:dyDescent="0.25">
      <c r="A81" s="5">
        <v>44512</v>
      </c>
      <c r="B81">
        <v>231.7</v>
      </c>
      <c r="C81">
        <v>236.2</v>
      </c>
      <c r="D81">
        <v>212.2</v>
      </c>
      <c r="E81">
        <v>221.3</v>
      </c>
      <c r="F81">
        <v>169481.66099999999</v>
      </c>
      <c r="G81">
        <v>221.3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-0.24166666666666478</v>
      </c>
      <c r="Q81">
        <f t="shared" ref="Q81" si="381">F81*P81</f>
        <v>-40958.068074999675</v>
      </c>
      <c r="R81">
        <f t="shared" ref="R81" si="382">R82+Q81</f>
        <v>10598392.798225142</v>
      </c>
      <c r="S81">
        <f t="shared" ref="S81" si="383">R81/100000</f>
        <v>105.98392798225142</v>
      </c>
      <c r="T81">
        <f t="shared" ref="T81" si="384">S81/1000</f>
        <v>0.10598392798225141</v>
      </c>
    </row>
    <row r="82" spans="1:20" x14ac:dyDescent="0.25">
      <c r="A82" s="5">
        <v>44511</v>
      </c>
      <c r="B82">
        <v>217.1</v>
      </c>
      <c r="C82">
        <v>235</v>
      </c>
      <c r="D82">
        <v>213</v>
      </c>
      <c r="E82">
        <v>231.7</v>
      </c>
      <c r="F82">
        <v>211886.90700000001</v>
      </c>
      <c r="G82">
        <v>231.7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0.69999999999999896</v>
      </c>
      <c r="Q82">
        <f t="shared" ref="Q82" si="386">F82*P82</f>
        <v>148320.83489999978</v>
      </c>
      <c r="R82">
        <f t="shared" ref="R82" si="387">R83+Q82</f>
        <v>10639350.866300141</v>
      </c>
      <c r="S82">
        <f t="shared" ref="S82" si="388">R82/100000</f>
        <v>106.39350866300141</v>
      </c>
      <c r="T82">
        <f t="shared" ref="T82" si="389">S82/1000</f>
        <v>0.10639350866300142</v>
      </c>
    </row>
    <row r="83" spans="1:20" x14ac:dyDescent="0.25">
      <c r="A83" s="5">
        <v>44510</v>
      </c>
      <c r="B83">
        <v>234.5</v>
      </c>
      <c r="C83">
        <v>247.8</v>
      </c>
      <c r="D83">
        <v>208</v>
      </c>
      <c r="E83">
        <v>217</v>
      </c>
      <c r="F83">
        <v>354254.85700000002</v>
      </c>
      <c r="G83">
        <v>217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-0.54773869346733683</v>
      </c>
      <c r="Q83">
        <f t="shared" ref="Q83" si="391">F83*P83</f>
        <v>-194039.09252763825</v>
      </c>
      <c r="R83">
        <f t="shared" ref="R83" si="392">R84+Q83</f>
        <v>10491030.031400142</v>
      </c>
      <c r="S83">
        <f t="shared" ref="S83" si="393">R83/100000</f>
        <v>104.91030031400142</v>
      </c>
      <c r="T83">
        <f t="shared" ref="T83" si="394">S83/1000</f>
        <v>0.10491030031400142</v>
      </c>
    </row>
    <row r="84" spans="1:20" x14ac:dyDescent="0.25">
      <c r="A84" s="5">
        <v>44509</v>
      </c>
      <c r="B84">
        <v>212</v>
      </c>
      <c r="C84">
        <v>239</v>
      </c>
      <c r="D84">
        <v>210.9</v>
      </c>
      <c r="E84">
        <v>234.5</v>
      </c>
      <c r="F84">
        <v>462387.14399999997</v>
      </c>
      <c r="G84">
        <v>234.5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0.67971530249110312</v>
      </c>
      <c r="Q84">
        <f t="shared" ref="Q84" si="396">F84*P84</f>
        <v>314291.61745195725</v>
      </c>
      <c r="R84">
        <f t="shared" ref="R84" si="397">R85+Q84</f>
        <v>10685069.123927781</v>
      </c>
      <c r="S84">
        <f t="shared" ref="S84" si="398">R84/100000</f>
        <v>106.85069123927781</v>
      </c>
      <c r="T84">
        <f t="shared" ref="T84" si="399">S84/1000</f>
        <v>0.1068506912392778</v>
      </c>
    </row>
    <row r="85" spans="1:20" x14ac:dyDescent="0.25">
      <c r="A85" s="5">
        <v>44508</v>
      </c>
      <c r="B85">
        <v>193.8</v>
      </c>
      <c r="C85">
        <v>213.2</v>
      </c>
      <c r="D85">
        <v>193.3</v>
      </c>
      <c r="E85">
        <v>211.9</v>
      </c>
      <c r="F85">
        <v>194631.47399999999</v>
      </c>
      <c r="G85">
        <v>211.9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0.86934673366834325</v>
      </c>
      <c r="Q85">
        <f t="shared" ref="Q85" si="401">F85*P85</f>
        <v>169202.23619095507</v>
      </c>
      <c r="R85">
        <f t="shared" ref="R85" si="402">R86+Q85</f>
        <v>10370777.506475825</v>
      </c>
      <c r="S85">
        <f t="shared" ref="S85" si="403">R85/100000</f>
        <v>103.70777506475825</v>
      </c>
      <c r="T85">
        <f t="shared" ref="T85" si="404">S85/1000</f>
        <v>0.10370777506475826</v>
      </c>
    </row>
    <row r="86" spans="1:20" x14ac:dyDescent="0.25">
      <c r="A86" s="5">
        <v>44507</v>
      </c>
      <c r="B86">
        <v>191.1</v>
      </c>
      <c r="C86">
        <v>193.9</v>
      </c>
      <c r="D86">
        <v>189.6</v>
      </c>
      <c r="E86">
        <v>193.9</v>
      </c>
      <c r="F86">
        <v>48314.027000000002</v>
      </c>
      <c r="G86">
        <v>193.9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1</v>
      </c>
      <c r="Q86">
        <f t="shared" ref="Q86" si="406">F86*P86</f>
        <v>48314.027000000002</v>
      </c>
      <c r="R86">
        <f t="shared" ref="R86" si="407">R87+Q86</f>
        <v>10201575.270284871</v>
      </c>
      <c r="S86">
        <f t="shared" ref="S86" si="408">R86/100000</f>
        <v>102.0157527028487</v>
      </c>
      <c r="T86">
        <f t="shared" ref="T86" si="409">S86/1000</f>
        <v>0.1020157527028487</v>
      </c>
    </row>
    <row r="87" spans="1:20" x14ac:dyDescent="0.25">
      <c r="A87" s="5">
        <v>44506</v>
      </c>
      <c r="B87">
        <v>194.3</v>
      </c>
      <c r="C87">
        <v>197.9</v>
      </c>
      <c r="D87">
        <v>185.2</v>
      </c>
      <c r="E87">
        <v>191.1</v>
      </c>
      <c r="F87">
        <v>80479.3</v>
      </c>
      <c r="G87">
        <v>191.1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-7.0866141732283811E-2</v>
      </c>
      <c r="Q87">
        <f t="shared" ref="Q87" si="411">F87*P87</f>
        <v>-5703.2574803149882</v>
      </c>
      <c r="R87">
        <f t="shared" ref="R87" si="412">R88+Q87</f>
        <v>10153261.24328487</v>
      </c>
      <c r="S87">
        <f t="shared" ref="S87" si="413">R87/100000</f>
        <v>101.53261243284869</v>
      </c>
      <c r="T87">
        <f t="shared" ref="T87" si="414">S87/1000</f>
        <v>0.1015326124328487</v>
      </c>
    </row>
    <row r="88" spans="1:20" x14ac:dyDescent="0.25">
      <c r="A88" s="5">
        <v>44505</v>
      </c>
      <c r="B88">
        <v>198.7</v>
      </c>
      <c r="C88">
        <v>199.8</v>
      </c>
      <c r="D88">
        <v>191.5</v>
      </c>
      <c r="E88">
        <v>194.4</v>
      </c>
      <c r="F88">
        <v>71073.906000000003</v>
      </c>
      <c r="G88">
        <v>194.4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-0.30120481927710802</v>
      </c>
      <c r="Q88">
        <f t="shared" ref="Q88" si="416">F88*P88</f>
        <v>-21407.803012048164</v>
      </c>
      <c r="R88">
        <f t="shared" ref="R88" si="417">R89+Q88</f>
        <v>10158964.500765186</v>
      </c>
      <c r="S88">
        <f t="shared" ref="S88" si="418">R88/100000</f>
        <v>101.58964500765185</v>
      </c>
      <c r="T88">
        <f t="shared" ref="T88" si="419">S88/1000</f>
        <v>0.10158964500765186</v>
      </c>
    </row>
    <row r="89" spans="1:20" x14ac:dyDescent="0.25">
      <c r="A89" s="5">
        <v>44504</v>
      </c>
      <c r="B89">
        <v>201.9</v>
      </c>
      <c r="C89">
        <v>204.5</v>
      </c>
      <c r="D89">
        <v>193.7</v>
      </c>
      <c r="E89">
        <v>198.7</v>
      </c>
      <c r="F89">
        <v>113462.572</v>
      </c>
      <c r="G89">
        <v>198.7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-7.4074074074075055E-2</v>
      </c>
      <c r="Q89">
        <f t="shared" ref="Q89" si="421">F89*P89</f>
        <v>-8404.6349629630749</v>
      </c>
      <c r="R89">
        <f t="shared" ref="R89" si="422">R90+Q89</f>
        <v>10180372.303777235</v>
      </c>
      <c r="S89">
        <f t="shared" ref="S89" si="423">R89/100000</f>
        <v>101.80372303777234</v>
      </c>
      <c r="T89">
        <f t="shared" ref="T89" si="424">S89/1000</f>
        <v>0.10180372303777234</v>
      </c>
    </row>
    <row r="90" spans="1:20" x14ac:dyDescent="0.25">
      <c r="A90" s="5">
        <v>44503</v>
      </c>
      <c r="B90">
        <v>200.1</v>
      </c>
      <c r="C90">
        <v>205.5</v>
      </c>
      <c r="D90">
        <v>193</v>
      </c>
      <c r="E90">
        <v>201.9</v>
      </c>
      <c r="F90">
        <v>164545.99100000001</v>
      </c>
      <c r="G90">
        <v>201.9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0.42400000000000093</v>
      </c>
      <c r="Q90">
        <f t="shared" ref="Q90" si="426">F90*P90</f>
        <v>69767.500184000164</v>
      </c>
      <c r="R90">
        <f t="shared" ref="R90" si="427">R91+Q90</f>
        <v>10188776.938740198</v>
      </c>
      <c r="S90">
        <f t="shared" ref="S90" si="428">R90/100000</f>
        <v>101.88776938740197</v>
      </c>
      <c r="T90">
        <f t="shared" ref="T90" si="429">S90/1000</f>
        <v>0.10188776938740197</v>
      </c>
    </row>
    <row r="91" spans="1:20" x14ac:dyDescent="0.25">
      <c r="A91" s="5">
        <v>44502</v>
      </c>
      <c r="B91">
        <v>189.1</v>
      </c>
      <c r="C91">
        <v>202.8</v>
      </c>
      <c r="D91">
        <v>187.5</v>
      </c>
      <c r="E91">
        <v>200.1</v>
      </c>
      <c r="F91">
        <v>119924.508</v>
      </c>
      <c r="G91">
        <v>200.1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0.6470588235294098</v>
      </c>
      <c r="Q91">
        <f t="shared" ref="Q91" si="431">F91*P91</f>
        <v>77598.21105882329</v>
      </c>
      <c r="R91">
        <f t="shared" ref="R91" si="432">R92+Q91</f>
        <v>10119009.438556198</v>
      </c>
      <c r="S91">
        <f t="shared" ref="S91" si="433">R91/100000</f>
        <v>101.19009438556198</v>
      </c>
      <c r="T91">
        <f t="shared" ref="T91" si="434">S91/1000</f>
        <v>0.10119009438556198</v>
      </c>
    </row>
    <row r="92" spans="1:20" x14ac:dyDescent="0.25">
      <c r="A92" s="5">
        <v>44501</v>
      </c>
      <c r="B92">
        <v>192.7</v>
      </c>
      <c r="C92">
        <v>194.7</v>
      </c>
      <c r="D92">
        <v>183.5</v>
      </c>
      <c r="E92">
        <v>189.1</v>
      </c>
      <c r="F92">
        <v>102977.47</v>
      </c>
      <c r="G92">
        <v>189.1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</v>
      </c>
      <c r="Q92">
        <f t="shared" ref="Q92" si="436">F92*P92</f>
        <v>0</v>
      </c>
      <c r="R92">
        <f t="shared" ref="R92" si="437">R93+Q92</f>
        <v>10041411.227497375</v>
      </c>
      <c r="S92">
        <f t="shared" ref="S92" si="438">R92/100000</f>
        <v>100.41411227497375</v>
      </c>
      <c r="T92">
        <f t="shared" ref="T92" si="439">S92/1000</f>
        <v>0.10041411227497375</v>
      </c>
    </row>
    <row r="93" spans="1:20" x14ac:dyDescent="0.25">
      <c r="A93" s="5">
        <v>44500</v>
      </c>
      <c r="B93">
        <v>183.7</v>
      </c>
      <c r="C93">
        <v>199.6</v>
      </c>
      <c r="D93">
        <v>183.4</v>
      </c>
      <c r="E93">
        <v>192.7</v>
      </c>
      <c r="F93">
        <v>178819.99100000001</v>
      </c>
      <c r="G93">
        <v>192.7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0.14814814814814684</v>
      </c>
      <c r="Q93">
        <f t="shared" ref="Q93" si="441">F93*P93</f>
        <v>26491.850518518284</v>
      </c>
      <c r="R93">
        <f t="shared" ref="R93" si="442">R94+Q93</f>
        <v>10041411.227497375</v>
      </c>
      <c r="S93">
        <f t="shared" ref="S93" si="443">R93/100000</f>
        <v>100.41411227497375</v>
      </c>
      <c r="T93">
        <f t="shared" ref="T93" si="444">S93/1000</f>
        <v>0.10041411227497375</v>
      </c>
    </row>
    <row r="94" spans="1:20" x14ac:dyDescent="0.25">
      <c r="A94" s="5">
        <v>44499</v>
      </c>
      <c r="B94">
        <v>187.7</v>
      </c>
      <c r="C94">
        <v>189.4</v>
      </c>
      <c r="D94">
        <v>176.8</v>
      </c>
      <c r="E94">
        <v>183.7</v>
      </c>
      <c r="F94">
        <v>115328.356</v>
      </c>
      <c r="G94">
        <v>183.7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9.5238095238092124E-2</v>
      </c>
      <c r="Q94">
        <f t="shared" ref="Q94" si="446">F94*P94</f>
        <v>10983.652952380593</v>
      </c>
      <c r="R94">
        <f t="shared" ref="R94" si="447">R95+Q94</f>
        <v>10014919.376978856</v>
      </c>
      <c r="S94">
        <f t="shared" ref="S94" si="448">R94/100000</f>
        <v>100.14919376978855</v>
      </c>
      <c r="T94">
        <f t="shared" ref="T94" si="449">S94/1000</f>
        <v>0.10014919376978855</v>
      </c>
    </row>
    <row r="95" spans="1:20" x14ac:dyDescent="0.25">
      <c r="A95" s="5">
        <v>44498</v>
      </c>
      <c r="B95">
        <v>183.6</v>
      </c>
      <c r="C95">
        <v>189.2</v>
      </c>
      <c r="D95">
        <v>181.7</v>
      </c>
      <c r="E95">
        <v>187.7</v>
      </c>
      <c r="F95">
        <v>97228.527000000002</v>
      </c>
      <c r="G95">
        <v>187.7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0.6</v>
      </c>
      <c r="Q95">
        <f t="shared" ref="Q95" si="451">F95*P95</f>
        <v>58337.116199999997</v>
      </c>
      <c r="R95">
        <f t="shared" ref="R95" si="452">R96+Q95</f>
        <v>10003935.724026475</v>
      </c>
      <c r="S95">
        <f t="shared" ref="S95" si="453">R95/100000</f>
        <v>100.03935724026475</v>
      </c>
      <c r="T95">
        <f t="shared" ref="T95" si="454">S95/1000</f>
        <v>0.10003935724026475</v>
      </c>
    </row>
    <row r="96" spans="1:20" x14ac:dyDescent="0.25">
      <c r="A96" s="5">
        <v>44497</v>
      </c>
      <c r="B96">
        <v>175.4</v>
      </c>
      <c r="C96">
        <v>186.5</v>
      </c>
      <c r="D96">
        <v>173</v>
      </c>
      <c r="E96">
        <v>183.5</v>
      </c>
      <c r="F96">
        <v>140119.36600000001</v>
      </c>
      <c r="G96">
        <v>183.5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0.55555555555555558</v>
      </c>
      <c r="Q96">
        <f t="shared" ref="Q96" si="456">F96*P96</f>
        <v>77844.092222222229</v>
      </c>
      <c r="R96">
        <f t="shared" ref="R96" si="457">R97+Q96</f>
        <v>9945598.6078264751</v>
      </c>
      <c r="S96">
        <f t="shared" ref="S96" si="458">R96/100000</f>
        <v>99.455986078264758</v>
      </c>
      <c r="T96">
        <f t="shared" ref="T96" si="459">S96/1000</f>
        <v>9.9455986078264752E-2</v>
      </c>
    </row>
    <row r="97" spans="1:20" x14ac:dyDescent="0.25">
      <c r="A97" s="5">
        <v>44496</v>
      </c>
      <c r="B97">
        <v>198.6</v>
      </c>
      <c r="C97">
        <v>202</v>
      </c>
      <c r="D97">
        <v>170.1</v>
      </c>
      <c r="E97">
        <v>175.4</v>
      </c>
      <c r="F97">
        <v>216841.23800000001</v>
      </c>
      <c r="G97">
        <v>175.4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-0.66771159874608088</v>
      </c>
      <c r="Q97">
        <f t="shared" ref="Q97" si="461">F97*P97</f>
        <v>-144787.40969905944</v>
      </c>
      <c r="R97">
        <f t="shared" ref="R97" si="462">R98+Q97</f>
        <v>9867754.515604252</v>
      </c>
      <c r="S97">
        <f t="shared" ref="S97" si="463">R97/100000</f>
        <v>98.677545156042527</v>
      </c>
      <c r="T97">
        <f t="shared" ref="T97" si="464">S97/1000</f>
        <v>9.8677545156042532E-2</v>
      </c>
    </row>
    <row r="98" spans="1:20" x14ac:dyDescent="0.25">
      <c r="A98" s="5">
        <v>44495</v>
      </c>
      <c r="B98">
        <v>208.6</v>
      </c>
      <c r="C98">
        <v>208.7</v>
      </c>
      <c r="D98">
        <v>195</v>
      </c>
      <c r="E98">
        <v>198.5</v>
      </c>
      <c r="F98">
        <v>100522.662</v>
      </c>
      <c r="G98">
        <v>198.5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-0.48905109489051052</v>
      </c>
      <c r="Q98">
        <f t="shared" ref="Q98" si="466">F98*P98</f>
        <v>-49160.717912408712</v>
      </c>
      <c r="R98">
        <f t="shared" ref="R98" si="467">R99+Q98</f>
        <v>10012541.925303312</v>
      </c>
      <c r="S98">
        <f t="shared" ref="S98" si="468">R98/100000</f>
        <v>100.12541925303312</v>
      </c>
      <c r="T98">
        <f t="shared" ref="T98" si="469">S98/1000</f>
        <v>0.10012541925303312</v>
      </c>
    </row>
    <row r="99" spans="1:20" x14ac:dyDescent="0.25">
      <c r="A99" s="5">
        <v>44494</v>
      </c>
      <c r="B99">
        <v>202.6</v>
      </c>
      <c r="C99">
        <v>209.7</v>
      </c>
      <c r="D99">
        <v>201.3</v>
      </c>
      <c r="E99">
        <v>208.5</v>
      </c>
      <c r="F99">
        <v>114373.677</v>
      </c>
      <c r="G99">
        <v>208.5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0.71428571428571619</v>
      </c>
      <c r="Q99">
        <f t="shared" ref="Q99" si="471">F99*P99</f>
        <v>81695.483571428791</v>
      </c>
      <c r="R99">
        <f t="shared" ref="R99" si="472">R100+Q99</f>
        <v>10061702.643215721</v>
      </c>
      <c r="S99">
        <f t="shared" ref="S99" si="473">R99/100000</f>
        <v>100.61702643215722</v>
      </c>
      <c r="T99">
        <f t="shared" ref="T99" si="474">S99/1000</f>
        <v>0.10061702643215721</v>
      </c>
    </row>
    <row r="100" spans="1:20" x14ac:dyDescent="0.25">
      <c r="A100" s="5">
        <v>44493</v>
      </c>
      <c r="B100">
        <v>197.8</v>
      </c>
      <c r="C100">
        <v>214.1</v>
      </c>
      <c r="D100">
        <v>196.9</v>
      </c>
      <c r="E100">
        <v>202.7</v>
      </c>
      <c r="F100">
        <v>284207.315</v>
      </c>
      <c r="G100">
        <v>202.7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-0.32558139534883873</v>
      </c>
      <c r="Q100">
        <f t="shared" ref="Q100" si="476">F100*P100</f>
        <v>-92532.614186046951</v>
      </c>
      <c r="R100">
        <f t="shared" ref="R100" si="477">R101+Q100</f>
        <v>9980007.1596442927</v>
      </c>
      <c r="S100">
        <f t="shared" ref="S100" si="478">R100/100000</f>
        <v>99.800071596442933</v>
      </c>
      <c r="T100">
        <f t="shared" ref="T100" si="479">S100/1000</f>
        <v>9.9800071596442927E-2</v>
      </c>
    </row>
    <row r="101" spans="1:20" x14ac:dyDescent="0.25">
      <c r="A101" s="5">
        <v>44492</v>
      </c>
      <c r="B101">
        <v>195.3</v>
      </c>
      <c r="C101">
        <v>198.8</v>
      </c>
      <c r="D101">
        <v>191.4</v>
      </c>
      <c r="E101">
        <v>197.7</v>
      </c>
      <c r="F101">
        <v>69900.694000000003</v>
      </c>
      <c r="G101">
        <v>197.7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0.70270270270269675</v>
      </c>
      <c r="Q101">
        <f t="shared" ref="Q101" si="481">F101*P101</f>
        <v>49119.406594594184</v>
      </c>
      <c r="R101">
        <f t="shared" ref="R101" si="482">R102+Q101</f>
        <v>10072539.773830339</v>
      </c>
      <c r="S101">
        <f t="shared" ref="S101" si="483">R101/100000</f>
        <v>100.7253977383034</v>
      </c>
      <c r="T101">
        <f t="shared" ref="T101" si="484">S101/1000</f>
        <v>0.1007253977383034</v>
      </c>
    </row>
    <row r="102" spans="1:20" x14ac:dyDescent="0.25">
      <c r="A102" s="5">
        <v>44491</v>
      </c>
      <c r="B102">
        <v>196.6</v>
      </c>
      <c r="C102">
        <v>203.3</v>
      </c>
      <c r="D102">
        <v>192.4</v>
      </c>
      <c r="E102">
        <v>195.3</v>
      </c>
      <c r="F102">
        <v>98324.091</v>
      </c>
      <c r="G102">
        <v>195.3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-0.46788990825687998</v>
      </c>
      <c r="Q102">
        <f t="shared" ref="Q102" si="486">F102*P102</f>
        <v>-46004.849917431122</v>
      </c>
      <c r="R102">
        <f t="shared" ref="R102" si="487">R103+Q102</f>
        <v>10023420.367235744</v>
      </c>
      <c r="S102">
        <f t="shared" ref="S102" si="488">R102/100000</f>
        <v>100.23420367235744</v>
      </c>
      <c r="T102">
        <f t="shared" ref="T102" si="489">S102/1000</f>
        <v>0.10023420367235744</v>
      </c>
    </row>
    <row r="103" spans="1:20" x14ac:dyDescent="0.25">
      <c r="A103" s="5">
        <v>44490</v>
      </c>
      <c r="B103">
        <v>201.6</v>
      </c>
      <c r="C103">
        <v>208.2</v>
      </c>
      <c r="D103">
        <v>192.8</v>
      </c>
      <c r="E103">
        <v>196.7</v>
      </c>
      <c r="F103">
        <v>156104.603</v>
      </c>
      <c r="G103">
        <v>196.7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-0.49350649350649572</v>
      </c>
      <c r="Q103">
        <f t="shared" ref="Q103" si="491">F103*P103</f>
        <v>-77038.635246753591</v>
      </c>
      <c r="R103">
        <f t="shared" ref="R103" si="492">R104+Q103</f>
        <v>10069425.217153175</v>
      </c>
      <c r="S103">
        <f t="shared" ref="S103" si="493">R103/100000</f>
        <v>100.69425217153174</v>
      </c>
      <c r="T103">
        <f t="shared" ref="T103" si="494">S103/1000</f>
        <v>0.10069425217153175</v>
      </c>
    </row>
    <row r="104" spans="1:20" x14ac:dyDescent="0.25">
      <c r="A104" s="5">
        <v>44489</v>
      </c>
      <c r="B104">
        <v>194</v>
      </c>
      <c r="C104">
        <v>205.9</v>
      </c>
      <c r="D104">
        <v>189.4</v>
      </c>
      <c r="E104">
        <v>201.7</v>
      </c>
      <c r="F104">
        <v>134674.851</v>
      </c>
      <c r="G104">
        <v>201.7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0.49090909090908885</v>
      </c>
      <c r="Q104">
        <f t="shared" ref="Q104" si="496">F104*P104</f>
        <v>66113.108672726987</v>
      </c>
      <c r="R104">
        <f t="shared" ref="R104" si="497">R105+Q104</f>
        <v>10146463.852399928</v>
      </c>
      <c r="S104">
        <f t="shared" ref="S104" si="498">R104/100000</f>
        <v>101.46463852399928</v>
      </c>
      <c r="T104">
        <f t="shared" ref="T104" si="499">S104/1000</f>
        <v>0.10146463852399928</v>
      </c>
    </row>
    <row r="105" spans="1:20" x14ac:dyDescent="0.25">
      <c r="A105" s="5">
        <v>44488</v>
      </c>
      <c r="B105">
        <v>186.7</v>
      </c>
      <c r="C105">
        <v>195.1</v>
      </c>
      <c r="D105">
        <v>186.1</v>
      </c>
      <c r="E105">
        <v>194.1</v>
      </c>
      <c r="F105">
        <v>111610.47500000001</v>
      </c>
      <c r="G105">
        <v>194.1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0.77777777777777779</v>
      </c>
      <c r="Q105">
        <f t="shared" ref="Q105" si="501">F105*P105</f>
        <v>86808.147222222222</v>
      </c>
      <c r="R105">
        <f t="shared" ref="R105" si="502">R106+Q105</f>
        <v>10080350.743727202</v>
      </c>
      <c r="S105">
        <f t="shared" ref="S105" si="503">R105/100000</f>
        <v>100.80350743727202</v>
      </c>
      <c r="T105">
        <f t="shared" ref="T105" si="504">S105/1000</f>
        <v>0.10080350743727201</v>
      </c>
    </row>
    <row r="106" spans="1:20" x14ac:dyDescent="0.25">
      <c r="A106" s="5">
        <v>44487</v>
      </c>
      <c r="B106">
        <v>186.1</v>
      </c>
      <c r="C106">
        <v>190.6</v>
      </c>
      <c r="D106">
        <v>180.4</v>
      </c>
      <c r="E106">
        <v>186.8</v>
      </c>
      <c r="F106">
        <v>91057.046000000002</v>
      </c>
      <c r="G106">
        <v>186.8</v>
      </c>
      <c r="L106" t="s">
        <v>8</v>
      </c>
      <c r="M106" t="s">
        <v>8</v>
      </c>
      <c r="N106" t="s">
        <v>7</v>
      </c>
      <c r="P106">
        <f t="shared" ref="P106" si="505">IF(C106=D106,0,((E106-D106)-(C106-E106))/(C106-D106))</f>
        <v>0.25490196078431626</v>
      </c>
      <c r="Q106">
        <f t="shared" ref="Q106" si="506">F106*P106</f>
        <v>23210.619568627684</v>
      </c>
      <c r="R106">
        <f t="shared" ref="R106" si="507">R107+Q106</f>
        <v>9993542.5965049788</v>
      </c>
      <c r="S106">
        <f t="shared" ref="S106" si="508">R106/100000</f>
        <v>99.935425965049788</v>
      </c>
      <c r="T106">
        <f t="shared" ref="T106" si="509">S106/1000</f>
        <v>9.9935425965049784E-2</v>
      </c>
    </row>
    <row r="107" spans="1:20" x14ac:dyDescent="0.25">
      <c r="A107" s="5">
        <v>44486</v>
      </c>
      <c r="B107">
        <v>190.4</v>
      </c>
      <c r="C107">
        <v>192.8</v>
      </c>
      <c r="D107">
        <v>178.7</v>
      </c>
      <c r="E107">
        <v>186.1</v>
      </c>
      <c r="F107">
        <v>80517.839000000007</v>
      </c>
      <c r="G107">
        <v>186.1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4.96453900709211E-2</v>
      </c>
      <c r="Q107">
        <f t="shared" ref="Q107" si="511">F107*P107</f>
        <v>3997.3395248226238</v>
      </c>
      <c r="R107">
        <f t="shared" ref="R107" si="512">R108+Q107</f>
        <v>9970331.9769363515</v>
      </c>
      <c r="S107">
        <f t="shared" ref="S107" si="513">R107/100000</f>
        <v>99.703319769363517</v>
      </c>
      <c r="T107">
        <f t="shared" ref="T107" si="514">S107/1000</f>
        <v>9.9703319769363516E-2</v>
      </c>
    </row>
    <row r="108" spans="1:20" x14ac:dyDescent="0.25">
      <c r="A108" s="5">
        <v>44485</v>
      </c>
      <c r="B108">
        <v>194.1</v>
      </c>
      <c r="C108">
        <v>198.4</v>
      </c>
      <c r="D108">
        <v>189.4</v>
      </c>
      <c r="E108">
        <v>190.4</v>
      </c>
      <c r="F108">
        <v>103527.255</v>
      </c>
      <c r="G108">
        <v>190.4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-0.77777777777777779</v>
      </c>
      <c r="Q108">
        <f t="shared" ref="Q108" si="516">F108*P108</f>
        <v>-80521.198333333334</v>
      </c>
      <c r="R108">
        <f t="shared" ref="R108" si="517">R109+Q108</f>
        <v>9966334.6374115292</v>
      </c>
      <c r="S108">
        <f t="shared" ref="S108" si="518">R108/100000</f>
        <v>99.663346374115292</v>
      </c>
      <c r="T108">
        <f t="shared" ref="T108" si="519">S108/1000</f>
        <v>9.9663346374115294E-2</v>
      </c>
    </row>
    <row r="109" spans="1:20" x14ac:dyDescent="0.25">
      <c r="A109" s="5">
        <v>44484</v>
      </c>
      <c r="B109">
        <v>186.8</v>
      </c>
      <c r="C109">
        <v>194.9</v>
      </c>
      <c r="D109">
        <v>181.7</v>
      </c>
      <c r="E109">
        <v>194</v>
      </c>
      <c r="F109">
        <v>126992.671</v>
      </c>
      <c r="G109">
        <v>194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0.86363636363636298</v>
      </c>
      <c r="Q109">
        <f t="shared" ref="Q109" si="521">F109*P109</f>
        <v>109675.48859090901</v>
      </c>
      <c r="R109">
        <f t="shared" ref="R109" si="522">R110+Q109</f>
        <v>10046855.835744863</v>
      </c>
      <c r="S109">
        <f t="shared" ref="S109" si="523">R109/100000</f>
        <v>100.46855835744863</v>
      </c>
      <c r="T109">
        <f t="shared" ref="T109" si="524">S109/1000</f>
        <v>0.10046855835744863</v>
      </c>
    </row>
    <row r="110" spans="1:20" x14ac:dyDescent="0.25">
      <c r="A110" s="5">
        <v>44483</v>
      </c>
      <c r="B110">
        <v>183.4</v>
      </c>
      <c r="C110">
        <v>189.7</v>
      </c>
      <c r="D110">
        <v>182.3</v>
      </c>
      <c r="E110">
        <v>186.7</v>
      </c>
      <c r="F110">
        <v>89177.597999999998</v>
      </c>
      <c r="G110">
        <v>186.7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0.1891891891891867</v>
      </c>
      <c r="Q110">
        <f t="shared" ref="Q110" si="526">F110*P110</f>
        <v>16871.437459459237</v>
      </c>
      <c r="R110">
        <f t="shared" ref="R110" si="527">R111+Q110</f>
        <v>9937180.3471539542</v>
      </c>
      <c r="S110">
        <f t="shared" ref="S110" si="528">R110/100000</f>
        <v>99.371803471539536</v>
      </c>
      <c r="T110">
        <f t="shared" ref="T110" si="529">S110/1000</f>
        <v>9.9371803471539538E-2</v>
      </c>
    </row>
    <row r="111" spans="1:20" x14ac:dyDescent="0.25">
      <c r="A111" s="5">
        <v>44482</v>
      </c>
      <c r="B111">
        <v>180.8</v>
      </c>
      <c r="C111">
        <v>183.8</v>
      </c>
      <c r="D111">
        <v>173</v>
      </c>
      <c r="E111">
        <v>183.3</v>
      </c>
      <c r="F111">
        <v>144862.42800000001</v>
      </c>
      <c r="G111">
        <v>183.3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0.90740740740740755</v>
      </c>
      <c r="Q111">
        <f t="shared" ref="Q111" si="531">F111*P111</f>
        <v>131449.24022222226</v>
      </c>
      <c r="R111">
        <f t="shared" ref="R111" si="532">R112+Q111</f>
        <v>9920308.9096944947</v>
      </c>
      <c r="S111">
        <f t="shared" ref="S111" si="533">R111/100000</f>
        <v>99.20308909694495</v>
      </c>
      <c r="T111">
        <f t="shared" ref="T111" si="534">S111/1000</f>
        <v>9.9203089096944946E-2</v>
      </c>
    </row>
    <row r="112" spans="1:20" x14ac:dyDescent="0.25">
      <c r="A112" s="5">
        <v>44481</v>
      </c>
      <c r="B112">
        <v>182.9</v>
      </c>
      <c r="C112">
        <v>182.9</v>
      </c>
      <c r="D112">
        <v>170.3</v>
      </c>
      <c r="E112">
        <v>180.7</v>
      </c>
      <c r="F112">
        <v>128864.976</v>
      </c>
      <c r="G112">
        <v>180.7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0.65079365079364793</v>
      </c>
      <c r="Q112">
        <f t="shared" ref="Q112" si="536">F112*P112</f>
        <v>83864.508190475812</v>
      </c>
      <c r="R112">
        <f t="shared" ref="R112" si="537">R113+Q112</f>
        <v>9788859.6694722716</v>
      </c>
      <c r="S112">
        <f t="shared" ref="S112" si="538">R112/100000</f>
        <v>97.888596694722722</v>
      </c>
      <c r="T112">
        <f t="shared" ref="T112" si="539">S112/1000</f>
        <v>9.7888596694722718E-2</v>
      </c>
    </row>
    <row r="113" spans="1:20" x14ac:dyDescent="0.25">
      <c r="A113" s="5">
        <v>44480</v>
      </c>
      <c r="B113">
        <v>182.1</v>
      </c>
      <c r="C113">
        <v>191.1</v>
      </c>
      <c r="D113">
        <v>178.2</v>
      </c>
      <c r="E113">
        <v>183</v>
      </c>
      <c r="F113">
        <v>98373.548999999999</v>
      </c>
      <c r="G113">
        <v>183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-0.25581395348837066</v>
      </c>
      <c r="Q113">
        <f t="shared" ref="Q113" si="541">F113*P113</f>
        <v>-25165.326488371953</v>
      </c>
      <c r="R113">
        <f t="shared" ref="R113" si="542">R114+Q113</f>
        <v>9704995.1612817962</v>
      </c>
      <c r="S113">
        <f t="shared" ref="S113" si="543">R113/100000</f>
        <v>97.049951612817964</v>
      </c>
      <c r="T113">
        <f t="shared" ref="T113" si="544">S113/1000</f>
        <v>9.7049951612817958E-2</v>
      </c>
    </row>
    <row r="114" spans="1:20" x14ac:dyDescent="0.25">
      <c r="A114" s="5">
        <v>44479</v>
      </c>
      <c r="B114">
        <v>193.7</v>
      </c>
      <c r="C114">
        <v>195.7</v>
      </c>
      <c r="D114">
        <v>181.4</v>
      </c>
      <c r="E114">
        <v>182.3</v>
      </c>
      <c r="F114">
        <v>83080.998000000007</v>
      </c>
      <c r="G114">
        <v>182.3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-0.87412587412587317</v>
      </c>
      <c r="Q114">
        <f t="shared" ref="Q114" si="546">F114*P114</f>
        <v>-72623.249999999927</v>
      </c>
      <c r="R114">
        <f t="shared" ref="R114" si="547">R115+Q114</f>
        <v>9730160.4877701681</v>
      </c>
      <c r="S114">
        <f t="shared" ref="S114" si="548">R114/100000</f>
        <v>97.301604877701678</v>
      </c>
      <c r="T114">
        <f t="shared" ref="T114" si="549">S114/1000</f>
        <v>9.7301604877701675E-2</v>
      </c>
    </row>
    <row r="115" spans="1:20" x14ac:dyDescent="0.25">
      <c r="A115" s="5">
        <v>44478</v>
      </c>
      <c r="B115">
        <v>189.6</v>
      </c>
      <c r="C115">
        <v>194.6</v>
      </c>
      <c r="D115">
        <v>186.5</v>
      </c>
      <c r="E115">
        <v>193.7</v>
      </c>
      <c r="F115">
        <v>89195.131999999998</v>
      </c>
      <c r="G115">
        <v>193.7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0.77777777777777624</v>
      </c>
      <c r="Q115">
        <f t="shared" ref="Q115" si="551">F115*P115</f>
        <v>69373.991555555418</v>
      </c>
      <c r="R115">
        <f t="shared" ref="R115" si="552">R116+Q115</f>
        <v>9802783.7377701681</v>
      </c>
      <c r="S115">
        <f t="shared" ref="S115" si="553">R115/100000</f>
        <v>98.027837377701687</v>
      </c>
      <c r="T115">
        <f t="shared" ref="T115" si="554">S115/1000</f>
        <v>9.8027837377701682E-2</v>
      </c>
    </row>
    <row r="116" spans="1:20" x14ac:dyDescent="0.25">
      <c r="A116" s="5">
        <v>44477</v>
      </c>
      <c r="B116">
        <v>189.2</v>
      </c>
      <c r="C116">
        <v>198.8</v>
      </c>
      <c r="D116">
        <v>186.2</v>
      </c>
      <c r="E116">
        <v>189.5</v>
      </c>
      <c r="F116">
        <v>119565.717</v>
      </c>
      <c r="G116">
        <v>189.5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-0.47619047619047533</v>
      </c>
      <c r="Q116">
        <f t="shared" ref="Q116" si="556">F116*P116</f>
        <v>-56936.055714285612</v>
      </c>
      <c r="R116">
        <f t="shared" ref="R116" si="557">R117+Q116</f>
        <v>9733409.7462146133</v>
      </c>
      <c r="S116">
        <f t="shared" ref="S116" si="558">R116/100000</f>
        <v>97.334097462146133</v>
      </c>
      <c r="T116">
        <f t="shared" ref="T116" si="559">S116/1000</f>
        <v>9.7334097462146135E-2</v>
      </c>
    </row>
    <row r="117" spans="1:20" x14ac:dyDescent="0.25">
      <c r="A117" s="5">
        <v>44476</v>
      </c>
      <c r="B117">
        <v>185.2</v>
      </c>
      <c r="C117">
        <v>198.3</v>
      </c>
      <c r="D117">
        <v>179.9</v>
      </c>
      <c r="E117">
        <v>189.2</v>
      </c>
      <c r="F117">
        <v>201750.50399999999</v>
      </c>
      <c r="G117">
        <v>189.2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1.0869565217389139E-2</v>
      </c>
      <c r="Q117">
        <f t="shared" ref="Q117" si="561">F117*P117</f>
        <v>2192.9402608691285</v>
      </c>
      <c r="R117">
        <f t="shared" ref="R117" si="562">R118+Q117</f>
        <v>9790345.8019288983</v>
      </c>
      <c r="S117">
        <f t="shared" ref="S117" si="563">R117/100000</f>
        <v>97.903458019288976</v>
      </c>
      <c r="T117">
        <f t="shared" ref="T117" si="564">S117/1000</f>
        <v>9.7903458019288972E-2</v>
      </c>
    </row>
    <row r="118" spans="1:20" x14ac:dyDescent="0.25">
      <c r="A118" s="5">
        <v>44475</v>
      </c>
      <c r="B118">
        <v>182.6</v>
      </c>
      <c r="C118">
        <v>190.7</v>
      </c>
      <c r="D118">
        <v>170.6</v>
      </c>
      <c r="E118">
        <v>185.1</v>
      </c>
      <c r="F118">
        <v>198804.054</v>
      </c>
      <c r="G118">
        <v>185.1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0.44278606965174172</v>
      </c>
      <c r="Q118">
        <f t="shared" ref="Q118" si="566">F118*P118</f>
        <v>88027.665701492617</v>
      </c>
      <c r="R118">
        <f t="shared" ref="R118" si="567">R119+Q118</f>
        <v>9788152.8616680298</v>
      </c>
      <c r="S118">
        <f t="shared" ref="S118" si="568">R118/100000</f>
        <v>97.881528616680299</v>
      </c>
      <c r="T118">
        <f t="shared" ref="T118" si="569">S118/1000</f>
        <v>9.7881528616680299E-2</v>
      </c>
    </row>
    <row r="119" spans="1:20" x14ac:dyDescent="0.25">
      <c r="A119" s="5">
        <v>44474</v>
      </c>
      <c r="B119">
        <v>174.3</v>
      </c>
      <c r="C119">
        <v>184.9</v>
      </c>
      <c r="D119">
        <v>171.7</v>
      </c>
      <c r="E119">
        <v>182.5</v>
      </c>
      <c r="F119">
        <v>112515.45</v>
      </c>
      <c r="G119">
        <v>182.5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0.63636363636363602</v>
      </c>
      <c r="Q119">
        <f t="shared" ref="Q119" si="571">F119*P119</f>
        <v>71600.740909090862</v>
      </c>
      <c r="R119">
        <f t="shared" ref="R119" si="572">R120+Q119</f>
        <v>9700125.195966538</v>
      </c>
      <c r="S119">
        <f t="shared" ref="S119" si="573">R119/100000</f>
        <v>97.001251959665382</v>
      </c>
      <c r="T119">
        <f t="shared" ref="T119" si="574">S119/1000</f>
        <v>9.7001251959665385E-2</v>
      </c>
    </row>
    <row r="120" spans="1:20" x14ac:dyDescent="0.25">
      <c r="A120" s="5">
        <v>44473</v>
      </c>
      <c r="B120">
        <v>178.3</v>
      </c>
      <c r="C120">
        <v>180.3</v>
      </c>
      <c r="D120">
        <v>167.9</v>
      </c>
      <c r="E120">
        <v>174.8</v>
      </c>
      <c r="F120">
        <v>120345.579</v>
      </c>
      <c r="G120">
        <v>174.8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0.11290322580645203</v>
      </c>
      <c r="Q120">
        <f t="shared" ref="Q120" si="576">F120*P120</f>
        <v>13587.40408064521</v>
      </c>
      <c r="R120">
        <f t="shared" ref="R120" si="577">R121+Q120</f>
        <v>9628524.4550574478</v>
      </c>
      <c r="S120">
        <f t="shared" ref="S120" si="578">R120/100000</f>
        <v>96.285244550574475</v>
      </c>
      <c r="T120">
        <f t="shared" ref="T120" si="579">S120/1000</f>
        <v>9.6285244550574481E-2</v>
      </c>
    </row>
    <row r="121" spans="1:20" x14ac:dyDescent="0.25">
      <c r="A121" s="5">
        <v>44472</v>
      </c>
      <c r="B121">
        <v>177.6</v>
      </c>
      <c r="C121">
        <v>182.2</v>
      </c>
      <c r="D121">
        <v>173.6</v>
      </c>
      <c r="E121">
        <v>177.2</v>
      </c>
      <c r="F121">
        <v>118557.06200000001</v>
      </c>
      <c r="G121">
        <v>177.2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-0.16279069767441937</v>
      </c>
      <c r="Q121">
        <f t="shared" ref="Q121" si="581">F121*P121</f>
        <v>-19299.986837209395</v>
      </c>
      <c r="R121">
        <f t="shared" ref="R121" si="582">R122+Q121</f>
        <v>9614937.0509768017</v>
      </c>
      <c r="S121">
        <f t="shared" ref="S121" si="583">R121/100000</f>
        <v>96.149370509768019</v>
      </c>
      <c r="T121">
        <f t="shared" ref="T121" si="584">S121/1000</f>
        <v>9.6149370509768017E-2</v>
      </c>
    </row>
    <row r="122" spans="1:20" x14ac:dyDescent="0.25">
      <c r="A122" s="5">
        <v>44471</v>
      </c>
      <c r="B122">
        <v>176.7</v>
      </c>
      <c r="C122">
        <v>182.9</v>
      </c>
      <c r="D122">
        <v>171.7</v>
      </c>
      <c r="E122">
        <v>177.8</v>
      </c>
      <c r="F122">
        <v>96890.716</v>
      </c>
      <c r="G122">
        <v>177.8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8.9285714285716689E-2</v>
      </c>
      <c r="Q122">
        <f t="shared" ref="Q122" si="586">F122*P122</f>
        <v>8650.9567857145194</v>
      </c>
      <c r="R122">
        <f t="shared" ref="R122" si="587">R123+Q122</f>
        <v>9634237.0378140118</v>
      </c>
      <c r="S122">
        <f t="shared" ref="S122" si="588">R122/100000</f>
        <v>96.342370378140117</v>
      </c>
      <c r="T122">
        <f t="shared" ref="T122" si="589">S122/1000</f>
        <v>9.6342370378140113E-2</v>
      </c>
    </row>
    <row r="123" spans="1:20" x14ac:dyDescent="0.25">
      <c r="A123" s="5">
        <v>44470</v>
      </c>
      <c r="B123">
        <v>166.2</v>
      </c>
      <c r="C123">
        <v>177</v>
      </c>
      <c r="D123">
        <v>163.30000000000001</v>
      </c>
      <c r="E123">
        <v>176.8</v>
      </c>
      <c r="F123">
        <v>145656.179</v>
      </c>
      <c r="G123">
        <v>176.8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0.97080291970803079</v>
      </c>
      <c r="Q123">
        <f t="shared" ref="Q123" si="591">F123*P123</f>
        <v>141403.44384671556</v>
      </c>
      <c r="R123">
        <f t="shared" ref="R123" si="592">R124+Q123</f>
        <v>9625586.0810282975</v>
      </c>
      <c r="S123">
        <f t="shared" ref="S123" si="593">R123/100000</f>
        <v>96.255860810282982</v>
      </c>
      <c r="T123">
        <f t="shared" ref="T123" si="594">S123/1000</f>
        <v>9.6255860810282978E-2</v>
      </c>
    </row>
    <row r="124" spans="1:20" x14ac:dyDescent="0.25">
      <c r="A124" s="5">
        <v>44469</v>
      </c>
      <c r="B124">
        <v>152.6</v>
      </c>
      <c r="C124">
        <v>170</v>
      </c>
      <c r="D124">
        <v>151.80000000000001</v>
      </c>
      <c r="E124">
        <v>166</v>
      </c>
      <c r="F124">
        <v>111862.022</v>
      </c>
      <c r="G124">
        <v>166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0.56043956043956011</v>
      </c>
      <c r="Q124">
        <f t="shared" ref="Q124" si="596">F124*P124</f>
        <v>62691.902439560399</v>
      </c>
      <c r="R124">
        <f t="shared" ref="R124" si="597">R125+Q124</f>
        <v>9484182.6371815819</v>
      </c>
      <c r="S124">
        <f t="shared" ref="S124" si="598">R124/100000</f>
        <v>94.841826371815813</v>
      </c>
      <c r="T124">
        <f t="shared" ref="T124" si="599">S124/1000</f>
        <v>9.4841826371815818E-2</v>
      </c>
    </row>
    <row r="125" spans="1:20" x14ac:dyDescent="0.25">
      <c r="A125" s="5">
        <v>44468</v>
      </c>
      <c r="B125">
        <v>147.19999999999999</v>
      </c>
      <c r="C125">
        <v>160.80000000000001</v>
      </c>
      <c r="D125">
        <v>146.5</v>
      </c>
      <c r="E125">
        <v>152.6</v>
      </c>
      <c r="F125">
        <v>124930.57799999999</v>
      </c>
      <c r="G125">
        <v>152.6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-0.14685314685314832</v>
      </c>
      <c r="Q125">
        <f t="shared" ref="Q125" si="601">F125*P125</f>
        <v>-18346.448517482699</v>
      </c>
      <c r="R125">
        <f t="shared" ref="R125" si="602">R126+Q125</f>
        <v>9421490.7347420212</v>
      </c>
      <c r="S125">
        <f t="shared" ref="S125" si="603">R125/100000</f>
        <v>94.214907347420208</v>
      </c>
      <c r="T125">
        <f t="shared" ref="T125" si="604">S125/1000</f>
        <v>9.4214907347420204E-2</v>
      </c>
    </row>
    <row r="126" spans="1:20" x14ac:dyDescent="0.25">
      <c r="A126" s="5">
        <v>44467</v>
      </c>
      <c r="B126">
        <v>153.69999999999999</v>
      </c>
      <c r="C126">
        <v>158.6</v>
      </c>
      <c r="D126">
        <v>146.30000000000001</v>
      </c>
      <c r="E126">
        <v>147.30000000000001</v>
      </c>
      <c r="F126">
        <v>132424.67796</v>
      </c>
      <c r="G126">
        <v>147.30000000000001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-0.83739837398373962</v>
      </c>
      <c r="Q126">
        <f t="shared" ref="Q126" si="606">F126*P126</f>
        <v>-110892.20999902436</v>
      </c>
      <c r="R126">
        <f t="shared" ref="R126" si="607">R127+Q126</f>
        <v>9439837.1832595039</v>
      </c>
      <c r="S126">
        <f t="shared" ref="S126" si="608">R126/100000</f>
        <v>94.398371832595032</v>
      </c>
      <c r="T126">
        <f t="shared" ref="T126" si="609">S126/1000</f>
        <v>9.4398371832595029E-2</v>
      </c>
    </row>
    <row r="127" spans="1:20" x14ac:dyDescent="0.25">
      <c r="A127" s="5">
        <v>44466</v>
      </c>
      <c r="B127">
        <v>162</v>
      </c>
      <c r="C127">
        <v>167.4</v>
      </c>
      <c r="D127">
        <v>153.5</v>
      </c>
      <c r="E127">
        <v>153.69999999999999</v>
      </c>
      <c r="F127">
        <v>114075.62</v>
      </c>
      <c r="G127">
        <v>153.69999999999999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-0.97122302158273544</v>
      </c>
      <c r="Q127">
        <f t="shared" ref="Q127" si="611">F127*P127</f>
        <v>-110792.86834532392</v>
      </c>
      <c r="R127">
        <f t="shared" ref="R127" si="612">R128+Q127</f>
        <v>9550729.3932585288</v>
      </c>
      <c r="S127">
        <f t="shared" ref="S127" si="613">R127/100000</f>
        <v>95.507293932585284</v>
      </c>
      <c r="T127">
        <f t="shared" ref="T127" si="614">S127/1000</f>
        <v>9.550729393258528E-2</v>
      </c>
    </row>
    <row r="128" spans="1:20" x14ac:dyDescent="0.25">
      <c r="A128" s="5">
        <v>44465</v>
      </c>
      <c r="B128">
        <v>164.4</v>
      </c>
      <c r="C128">
        <v>165.2</v>
      </c>
      <c r="D128">
        <v>150.6</v>
      </c>
      <c r="E128">
        <v>162</v>
      </c>
      <c r="F128">
        <v>135192.13352999999</v>
      </c>
      <c r="G128">
        <v>162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0.56164383561643971</v>
      </c>
      <c r="Q128">
        <f t="shared" ref="Q128" si="616">F128*P128</f>
        <v>75929.828420959078</v>
      </c>
      <c r="R128">
        <f t="shared" ref="R128" si="617">R129+Q128</f>
        <v>9661522.2616038527</v>
      </c>
      <c r="S128">
        <f t="shared" ref="S128" si="618">R128/100000</f>
        <v>96.615222616038523</v>
      </c>
      <c r="T128">
        <f t="shared" ref="T128" si="619">S128/1000</f>
        <v>9.6615222616038526E-2</v>
      </c>
    </row>
    <row r="129" spans="1:20" x14ac:dyDescent="0.25">
      <c r="A129" s="5">
        <v>44464</v>
      </c>
      <c r="B129">
        <v>165.5</v>
      </c>
      <c r="C129">
        <v>171.9</v>
      </c>
      <c r="D129">
        <v>159.1</v>
      </c>
      <c r="E129">
        <v>164.4</v>
      </c>
      <c r="F129">
        <v>118601.292</v>
      </c>
      <c r="G129">
        <v>164.4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-0.17187499999999895</v>
      </c>
      <c r="Q129">
        <f t="shared" ref="Q129" si="621">F129*P129</f>
        <v>-20384.597062499874</v>
      </c>
      <c r="R129">
        <f t="shared" ref="R129" si="622">R130+Q129</f>
        <v>9585592.4331828933</v>
      </c>
      <c r="S129">
        <f t="shared" ref="S129" si="623">R129/100000</f>
        <v>95.85592433182893</v>
      </c>
      <c r="T129">
        <f t="shared" ref="T129" si="624">S129/1000</f>
        <v>9.5855924331828934E-2</v>
      </c>
    </row>
    <row r="130" spans="1:20" x14ac:dyDescent="0.25">
      <c r="A130" s="5">
        <v>44463</v>
      </c>
      <c r="B130">
        <v>184.6</v>
      </c>
      <c r="C130">
        <v>185.3</v>
      </c>
      <c r="D130">
        <v>156.30000000000001</v>
      </c>
      <c r="E130">
        <v>165.5</v>
      </c>
      <c r="F130">
        <v>218293.761</v>
      </c>
      <c r="G130">
        <v>165.5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-0.36551724137931113</v>
      </c>
      <c r="Q130">
        <f t="shared" ref="Q130" si="626">F130*P130</f>
        <v>-79790.133331034653</v>
      </c>
      <c r="R130">
        <f t="shared" ref="R130" si="627">R131+Q130</f>
        <v>9605977.0302453935</v>
      </c>
      <c r="S130">
        <f t="shared" ref="S130" si="628">R130/100000</f>
        <v>96.059770302453941</v>
      </c>
      <c r="T130">
        <f t="shared" ref="T130" si="629">S130/1000</f>
        <v>9.605977030245394E-2</v>
      </c>
    </row>
    <row r="131" spans="1:20" x14ac:dyDescent="0.25">
      <c r="A131" s="5">
        <v>44462</v>
      </c>
      <c r="B131">
        <v>175.5</v>
      </c>
      <c r="C131">
        <v>185.1</v>
      </c>
      <c r="D131">
        <v>171.6</v>
      </c>
      <c r="E131">
        <v>184.7</v>
      </c>
      <c r="F131">
        <v>158759.49</v>
      </c>
      <c r="G131">
        <v>184.7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0.94074074074073988</v>
      </c>
      <c r="Q131">
        <f t="shared" ref="Q131" si="631">F131*P131</f>
        <v>149351.52022222208</v>
      </c>
      <c r="R131">
        <f t="shared" ref="R131" si="632">R132+Q131</f>
        <v>9685767.1635764278</v>
      </c>
      <c r="S131">
        <f t="shared" ref="S131" si="633">R131/100000</f>
        <v>96.857671635764277</v>
      </c>
      <c r="T131">
        <f t="shared" ref="T131" si="634">S131/1000</f>
        <v>9.6857671635764281E-2</v>
      </c>
    </row>
    <row r="132" spans="1:20" x14ac:dyDescent="0.25">
      <c r="A132" s="5">
        <v>44461</v>
      </c>
      <c r="B132">
        <v>157.30000000000001</v>
      </c>
      <c r="C132">
        <v>176.2</v>
      </c>
      <c r="D132">
        <v>154.1</v>
      </c>
      <c r="E132">
        <v>175.5</v>
      </c>
      <c r="F132">
        <v>98879.487999999998</v>
      </c>
      <c r="G132">
        <v>175.5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0.93665158371040824</v>
      </c>
      <c r="Q132">
        <f t="shared" ref="Q132" si="636">F132*P132</f>
        <v>92615.629031674311</v>
      </c>
      <c r="R132">
        <f t="shared" ref="R132" si="637">R133+Q132</f>
        <v>9536415.6433542054</v>
      </c>
      <c r="S132">
        <f t="shared" ref="S132" si="638">R132/100000</f>
        <v>95.36415643354205</v>
      </c>
      <c r="T132">
        <f t="shared" ref="T132" si="639">S132/1000</f>
        <v>9.5364156433542055E-2</v>
      </c>
    </row>
    <row r="133" spans="1:20" x14ac:dyDescent="0.25">
      <c r="A133" s="5">
        <v>44460</v>
      </c>
      <c r="B133">
        <v>170.1</v>
      </c>
      <c r="C133">
        <v>177</v>
      </c>
      <c r="D133">
        <v>154.9</v>
      </c>
      <c r="E133">
        <v>157.4</v>
      </c>
      <c r="F133">
        <v>182848.47699</v>
      </c>
      <c r="G133">
        <v>157.4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-0.7737556561085972</v>
      </c>
      <c r="Q133">
        <f t="shared" ref="Q133" si="641">F133*P133</f>
        <v>-141480.04328185518</v>
      </c>
      <c r="R133">
        <f t="shared" ref="R133" si="642">R134+Q133</f>
        <v>9443800.0143225305</v>
      </c>
      <c r="S133">
        <f t="shared" ref="S133" si="643">R133/100000</f>
        <v>94.43800014322531</v>
      </c>
      <c r="T133">
        <f t="shared" ref="T133" si="644">S133/1000</f>
        <v>9.4438000143225315E-2</v>
      </c>
    </row>
    <row r="134" spans="1:20" x14ac:dyDescent="0.25">
      <c r="A134" s="5">
        <v>44459</v>
      </c>
      <c r="B134">
        <v>193</v>
      </c>
      <c r="C134">
        <v>193.4</v>
      </c>
      <c r="D134">
        <v>174.99</v>
      </c>
      <c r="E134">
        <v>178.6</v>
      </c>
      <c r="F134">
        <v>80982.453049999996</v>
      </c>
      <c r="G134">
        <v>178.6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-0.60782183595871964</v>
      </c>
      <c r="Q134">
        <f t="shared" ref="Q134" si="646">F134*P134</f>
        <v>-49222.903293291813</v>
      </c>
      <c r="R134">
        <f t="shared" ref="R134" si="647">R135+Q134</f>
        <v>9585280.0576043855</v>
      </c>
      <c r="S134">
        <f t="shared" ref="S134" si="648">R134/100000</f>
        <v>95.852800576043862</v>
      </c>
      <c r="T134">
        <f t="shared" ref="T134" si="649">S134/1000</f>
        <v>9.5852800576043867E-2</v>
      </c>
    </row>
    <row r="135" spans="1:20" x14ac:dyDescent="0.25">
      <c r="A135" s="5">
        <v>44458</v>
      </c>
      <c r="B135">
        <v>199.4</v>
      </c>
      <c r="C135">
        <v>201.2</v>
      </c>
      <c r="D135">
        <v>190.3</v>
      </c>
      <c r="E135">
        <v>192.9</v>
      </c>
      <c r="F135">
        <v>70902.2</v>
      </c>
      <c r="G135">
        <v>192.9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-0.52293577981651385</v>
      </c>
      <c r="Q135">
        <f t="shared" ref="Q135" si="651">F135*P135</f>
        <v>-37077.297247706425</v>
      </c>
      <c r="R135">
        <f t="shared" ref="R135" si="652">R136+Q135</f>
        <v>9634502.9608976766</v>
      </c>
      <c r="S135">
        <f t="shared" ref="S135" si="653">R135/100000</f>
        <v>96.345029608976773</v>
      </c>
      <c r="T135">
        <f t="shared" ref="T135" si="654">S135/1000</f>
        <v>9.634502960897677E-2</v>
      </c>
    </row>
    <row r="136" spans="1:20" x14ac:dyDescent="0.25">
      <c r="A136" s="5">
        <v>44457</v>
      </c>
      <c r="B136">
        <v>199.3</v>
      </c>
      <c r="C136">
        <v>205.6</v>
      </c>
      <c r="D136">
        <v>195.3</v>
      </c>
      <c r="E136">
        <v>199.4</v>
      </c>
      <c r="F136">
        <v>69942.163</v>
      </c>
      <c r="G136">
        <v>199.4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-0.20388349514563087</v>
      </c>
      <c r="Q136">
        <f t="shared" ref="Q136" si="656">F136*P136</f>
        <v>-14260.052650485422</v>
      </c>
      <c r="R136">
        <f t="shared" ref="R136" si="657">R137+Q136</f>
        <v>9671580.2581453826</v>
      </c>
      <c r="S136">
        <f t="shared" ref="S136" si="658">R136/100000</f>
        <v>96.715802581453829</v>
      </c>
      <c r="T136">
        <f t="shared" ref="T136" si="659">S136/1000</f>
        <v>9.6715802581453833E-2</v>
      </c>
    </row>
    <row r="137" spans="1:20" x14ac:dyDescent="0.25">
      <c r="A137" s="5">
        <v>44456</v>
      </c>
      <c r="B137">
        <v>208.3</v>
      </c>
      <c r="C137">
        <v>209.4</v>
      </c>
      <c r="D137">
        <v>194.9</v>
      </c>
      <c r="E137">
        <v>199.3</v>
      </c>
      <c r="F137">
        <v>85120.979000000007</v>
      </c>
      <c r="G137">
        <v>199.3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-0.3931034482758613</v>
      </c>
      <c r="Q137">
        <f t="shared" ref="Q137" si="661">F137*P137</f>
        <v>-33461.350365517181</v>
      </c>
      <c r="R137">
        <f t="shared" ref="R137" si="662">R138+Q137</f>
        <v>9685840.3107958678</v>
      </c>
      <c r="S137">
        <f t="shared" ref="S137" si="663">R137/100000</f>
        <v>96.858403107958679</v>
      </c>
      <c r="T137">
        <f t="shared" ref="T137" si="664">S137/1000</f>
        <v>9.6858403107958679E-2</v>
      </c>
    </row>
    <row r="138" spans="1:20" x14ac:dyDescent="0.25">
      <c r="A138" s="5">
        <v>44455</v>
      </c>
      <c r="B138">
        <v>209.1</v>
      </c>
      <c r="C138">
        <v>219.7</v>
      </c>
      <c r="D138">
        <v>202.5</v>
      </c>
      <c r="E138">
        <v>208.3</v>
      </c>
      <c r="F138">
        <v>154659.05600000001</v>
      </c>
      <c r="G138">
        <v>208.3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-0.32558139534883546</v>
      </c>
      <c r="Q138">
        <f t="shared" ref="Q138" si="666">F138*P138</f>
        <v>-50354.111255813688</v>
      </c>
      <c r="R138">
        <f t="shared" ref="R138" si="667">R139+Q138</f>
        <v>9719301.6611613855</v>
      </c>
      <c r="S138">
        <f t="shared" ref="S138" si="668">R138/100000</f>
        <v>97.193016611613857</v>
      </c>
      <c r="T138">
        <f t="shared" ref="T138" si="669">S138/1000</f>
        <v>9.719301661161385E-2</v>
      </c>
    </row>
    <row r="139" spans="1:20" x14ac:dyDescent="0.25">
      <c r="A139" s="5">
        <v>44454</v>
      </c>
      <c r="B139">
        <v>205.7</v>
      </c>
      <c r="C139">
        <v>209.8</v>
      </c>
      <c r="D139">
        <v>202.4</v>
      </c>
      <c r="E139">
        <v>209</v>
      </c>
      <c r="F139">
        <v>86184.38</v>
      </c>
      <c r="G139">
        <v>209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0.78378378378378089</v>
      </c>
      <c r="Q139">
        <f t="shared" ref="Q139" si="671">F139*P139</f>
        <v>67549.919459459212</v>
      </c>
      <c r="R139">
        <f t="shared" ref="R139" si="672">R140+Q139</f>
        <v>9769655.7724171989</v>
      </c>
      <c r="S139">
        <f t="shared" ref="S139" si="673">R139/100000</f>
        <v>97.696557724171996</v>
      </c>
      <c r="T139">
        <f t="shared" ref="T139" si="674">S139/1000</f>
        <v>9.769655772417199E-2</v>
      </c>
    </row>
    <row r="140" spans="1:20" x14ac:dyDescent="0.25">
      <c r="A140" s="5">
        <v>44453</v>
      </c>
      <c r="B140">
        <v>196.6</v>
      </c>
      <c r="C140">
        <v>206</v>
      </c>
      <c r="D140">
        <v>194.7</v>
      </c>
      <c r="E140">
        <v>205.7</v>
      </c>
      <c r="F140">
        <v>91314.532999999996</v>
      </c>
      <c r="G140">
        <v>205.7</v>
      </c>
      <c r="L140" t="s">
        <v>7</v>
      </c>
      <c r="M140" t="s">
        <v>8</v>
      </c>
      <c r="N140" t="s">
        <v>7</v>
      </c>
      <c r="P140">
        <f t="shared" ref="P140" si="675">IF(C140=D140,0,((E140-D140)-(C140-E140))/(C140-D140))</f>
        <v>0.94690265486725467</v>
      </c>
      <c r="Q140">
        <f t="shared" ref="Q140" si="676">F140*P140</f>
        <v>86465.973725663527</v>
      </c>
      <c r="R140">
        <f t="shared" ref="R140" si="677">R141+Q140</f>
        <v>9702105.8529577404</v>
      </c>
      <c r="S140">
        <f t="shared" ref="S140" si="678">R140/100000</f>
        <v>97.021058529577402</v>
      </c>
      <c r="T140">
        <f t="shared" ref="T140" si="679">S140/1000</f>
        <v>9.7021058529577403E-2</v>
      </c>
    </row>
    <row r="141" spans="1:20" x14ac:dyDescent="0.25">
      <c r="A141" s="5">
        <v>44452</v>
      </c>
      <c r="B141">
        <v>203.6</v>
      </c>
      <c r="C141">
        <v>215</v>
      </c>
      <c r="D141">
        <v>186.5</v>
      </c>
      <c r="E141">
        <v>196.6</v>
      </c>
      <c r="F141">
        <v>179592.68700000001</v>
      </c>
      <c r="G141">
        <v>196.6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-0.291228070175439</v>
      </c>
      <c r="Q141">
        <f t="shared" ref="Q141" si="681">F141*P141</f>
        <v>-52302.431652631654</v>
      </c>
      <c r="R141">
        <f t="shared" ref="R141" si="682">R142+Q141</f>
        <v>9615639.8792320769</v>
      </c>
      <c r="S141">
        <f t="shared" ref="S141" si="683">R141/100000</f>
        <v>96.156398792320772</v>
      </c>
      <c r="T141">
        <f t="shared" ref="T141" si="684">S141/1000</f>
        <v>9.6156398792320769E-2</v>
      </c>
    </row>
    <row r="142" spans="1:20" x14ac:dyDescent="0.25">
      <c r="A142" s="5">
        <v>44451</v>
      </c>
      <c r="B142">
        <v>194.1</v>
      </c>
      <c r="C142">
        <v>206.4</v>
      </c>
      <c r="D142">
        <v>189.1</v>
      </c>
      <c r="E142">
        <v>203.5</v>
      </c>
      <c r="F142">
        <v>98020.591</v>
      </c>
      <c r="G142">
        <v>203.5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0.6647398843930632</v>
      </c>
      <c r="Q142">
        <f t="shared" ref="Q142" si="686">F142*P142</f>
        <v>65158.196329479732</v>
      </c>
      <c r="R142">
        <f t="shared" ref="R142" si="687">R143+Q142</f>
        <v>9667942.3108847085</v>
      </c>
      <c r="S142">
        <f t="shared" ref="S142" si="688">R142/100000</f>
        <v>96.679423108847089</v>
      </c>
      <c r="T142">
        <f t="shared" ref="T142" si="689">S142/1000</f>
        <v>9.6679423108847085E-2</v>
      </c>
    </row>
    <row r="143" spans="1:20" x14ac:dyDescent="0.25">
      <c r="A143" s="5">
        <v>44450</v>
      </c>
      <c r="B143">
        <v>193</v>
      </c>
      <c r="C143">
        <v>203.9</v>
      </c>
      <c r="D143">
        <v>191.6</v>
      </c>
      <c r="E143">
        <v>194.1</v>
      </c>
      <c r="F143">
        <v>107005.65</v>
      </c>
      <c r="G143">
        <v>194.1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-0.59349593495934994</v>
      </c>
      <c r="Q143">
        <f t="shared" ref="Q143" si="691">F143*P143</f>
        <v>-63507.41829268296</v>
      </c>
      <c r="R143">
        <f t="shared" ref="R143" si="692">R144+Q143</f>
        <v>9602784.1145552285</v>
      </c>
      <c r="S143">
        <f t="shared" ref="S143" si="693">R143/100000</f>
        <v>96.027841145552287</v>
      </c>
      <c r="T143">
        <f t="shared" ref="T143" si="694">S143/1000</f>
        <v>9.6027841145552281E-2</v>
      </c>
    </row>
    <row r="144" spans="1:20" x14ac:dyDescent="0.25">
      <c r="A144" s="5">
        <v>44449</v>
      </c>
      <c r="B144">
        <v>202.5</v>
      </c>
      <c r="C144">
        <v>214.9</v>
      </c>
      <c r="D144">
        <v>187.1</v>
      </c>
      <c r="E144">
        <v>192.9</v>
      </c>
      <c r="F144">
        <v>190445.652</v>
      </c>
      <c r="G144">
        <v>192.9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-0.58273381294963966</v>
      </c>
      <c r="Q144">
        <f t="shared" ref="Q144" si="696">F144*P144</f>
        <v>-110979.12094964017</v>
      </c>
      <c r="R144">
        <f t="shared" ref="R144" si="697">R145+Q144</f>
        <v>9666291.5328479111</v>
      </c>
      <c r="S144">
        <f t="shared" ref="S144" si="698">R144/100000</f>
        <v>96.662915328479116</v>
      </c>
      <c r="T144">
        <f t="shared" ref="T144" si="699">S144/1000</f>
        <v>9.6662915328479121E-2</v>
      </c>
    </row>
    <row r="145" spans="1:20" x14ac:dyDescent="0.25">
      <c r="A145" s="5">
        <v>44448</v>
      </c>
      <c r="B145">
        <v>201.9</v>
      </c>
      <c r="C145">
        <v>208</v>
      </c>
      <c r="D145">
        <v>194.6</v>
      </c>
      <c r="E145">
        <v>202.5</v>
      </c>
      <c r="F145">
        <v>165899.67300000001</v>
      </c>
      <c r="G145">
        <v>202.5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0.17910447761194065</v>
      </c>
      <c r="Q145">
        <f t="shared" ref="Q145" si="701">F145*P145</f>
        <v>29713.374268656775</v>
      </c>
      <c r="R145">
        <f t="shared" ref="R145" si="702">R146+Q145</f>
        <v>9777270.653797552</v>
      </c>
      <c r="S145">
        <f t="shared" ref="S145" si="703">R145/100000</f>
        <v>97.772706537975523</v>
      </c>
      <c r="T145">
        <f t="shared" ref="T145" si="704">S145/1000</f>
        <v>9.7772706537975526E-2</v>
      </c>
    </row>
    <row r="146" spans="1:20" x14ac:dyDescent="0.25">
      <c r="A146" s="5">
        <v>44447</v>
      </c>
      <c r="B146">
        <v>207.4</v>
      </c>
      <c r="C146">
        <v>211.9</v>
      </c>
      <c r="D146">
        <v>184.37</v>
      </c>
      <c r="E146">
        <v>201.7</v>
      </c>
      <c r="F146">
        <v>237059.19349000001</v>
      </c>
      <c r="G146">
        <v>201.7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0.25899019251725269</v>
      </c>
      <c r="Q146">
        <f t="shared" ref="Q146" si="706">F146*P146</f>
        <v>61396.006159959761</v>
      </c>
      <c r="R146">
        <f t="shared" ref="R146" si="707">R147+Q146</f>
        <v>9747557.2795288954</v>
      </c>
      <c r="S146">
        <f t="shared" ref="S146" si="708">R146/100000</f>
        <v>97.475572795288954</v>
      </c>
      <c r="T146">
        <f t="shared" ref="T146" si="709">S146/1000</f>
        <v>9.7475572795288956E-2</v>
      </c>
    </row>
    <row r="147" spans="1:20" x14ac:dyDescent="0.25">
      <c r="A147" s="5">
        <v>44446</v>
      </c>
      <c r="B147">
        <v>255.7</v>
      </c>
      <c r="C147">
        <v>256.5</v>
      </c>
      <c r="D147">
        <v>185</v>
      </c>
      <c r="E147">
        <v>207.3</v>
      </c>
      <c r="F147">
        <v>345910.99702000001</v>
      </c>
      <c r="G147">
        <v>207.3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-0.3762237762237759</v>
      </c>
      <c r="Q147">
        <f t="shared" ref="Q147" si="711">F147*P147</f>
        <v>-130139.94153619569</v>
      </c>
      <c r="R147">
        <f t="shared" ref="R147" si="712">R148+Q147</f>
        <v>9686161.273368936</v>
      </c>
      <c r="S147">
        <f t="shared" ref="S147" si="713">R147/100000</f>
        <v>96.861612733689356</v>
      </c>
      <c r="T147">
        <f t="shared" ref="T147" si="714">S147/1000</f>
        <v>9.6861612733689359E-2</v>
      </c>
    </row>
    <row r="148" spans="1:20" x14ac:dyDescent="0.25">
      <c r="A148" s="5">
        <v>44445</v>
      </c>
      <c r="B148">
        <v>264.39999999999998</v>
      </c>
      <c r="C148">
        <v>265.5</v>
      </c>
      <c r="D148">
        <v>249.4</v>
      </c>
      <c r="E148">
        <v>255.7</v>
      </c>
      <c r="F148">
        <v>125391.442</v>
      </c>
      <c r="G148">
        <v>255.7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-0.21739130434782794</v>
      </c>
      <c r="Q148">
        <f t="shared" ref="Q148" si="716">F148*P148</f>
        <v>-27259.009130435014</v>
      </c>
      <c r="R148">
        <f t="shared" ref="R148" si="717">R149+Q148</f>
        <v>9816301.2149051316</v>
      </c>
      <c r="S148">
        <f t="shared" ref="S148" si="718">R148/100000</f>
        <v>98.163012149051312</v>
      </c>
      <c r="T148">
        <f t="shared" ref="T148" si="719">S148/1000</f>
        <v>9.8163012149051307E-2</v>
      </c>
    </row>
    <row r="149" spans="1:20" x14ac:dyDescent="0.25">
      <c r="A149" s="5">
        <v>44444</v>
      </c>
      <c r="B149">
        <v>251.8</v>
      </c>
      <c r="C149">
        <v>268.89999999999998</v>
      </c>
      <c r="D149">
        <v>248.2</v>
      </c>
      <c r="E149">
        <v>264.39999999999998</v>
      </c>
      <c r="F149">
        <v>130996.71982</v>
      </c>
      <c r="G149">
        <v>264.39999999999998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0.56521739130434756</v>
      </c>
      <c r="Q149">
        <f t="shared" ref="Q149" si="721">F149*P149</f>
        <v>74041.624246086925</v>
      </c>
      <c r="R149">
        <f t="shared" ref="R149" si="722">R150+Q149</f>
        <v>9843560.2240355667</v>
      </c>
      <c r="S149">
        <f t="shared" ref="S149" si="723">R149/100000</f>
        <v>98.435602240355664</v>
      </c>
      <c r="T149">
        <f t="shared" ref="T149" si="724">S149/1000</f>
        <v>9.8435602240355663E-2</v>
      </c>
    </row>
    <row r="150" spans="1:20" x14ac:dyDescent="0.25">
      <c r="A150" s="5">
        <v>44443</v>
      </c>
      <c r="B150">
        <v>247.6</v>
      </c>
      <c r="C150">
        <v>256.5</v>
      </c>
      <c r="D150">
        <v>245</v>
      </c>
      <c r="E150">
        <v>251.8</v>
      </c>
      <c r="F150">
        <v>100638.13327000001</v>
      </c>
      <c r="G150">
        <v>251.8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0.18260869565217588</v>
      </c>
      <c r="Q150">
        <f t="shared" ref="Q150" si="726">F150*P150</f>
        <v>18377.398249304548</v>
      </c>
      <c r="R150">
        <f t="shared" ref="R150" si="727">R151+Q150</f>
        <v>9769518.5997894797</v>
      </c>
      <c r="S150">
        <f t="shared" ref="S150" si="728">R150/100000</f>
        <v>97.695185997894797</v>
      </c>
      <c r="T150">
        <f t="shared" ref="T150" si="729">S150/1000</f>
        <v>9.7695185997894798E-2</v>
      </c>
    </row>
    <row r="151" spans="1:20" x14ac:dyDescent="0.25">
      <c r="A151" s="5">
        <v>44442</v>
      </c>
      <c r="B151">
        <v>239.1</v>
      </c>
      <c r="C151">
        <v>251.4</v>
      </c>
      <c r="D151">
        <v>233</v>
      </c>
      <c r="E151">
        <v>247.5</v>
      </c>
      <c r="F151">
        <v>115032.633</v>
      </c>
      <c r="G151">
        <v>247.5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0.57608695652173869</v>
      </c>
      <c r="Q151">
        <f t="shared" ref="Q151" si="731">F151*P151</f>
        <v>66268.799445652126</v>
      </c>
      <c r="R151">
        <f t="shared" ref="R151" si="732">R152+Q151</f>
        <v>9751141.2015401758</v>
      </c>
      <c r="S151">
        <f t="shared" ref="S151" si="733">R151/100000</f>
        <v>97.51141201540176</v>
      </c>
      <c r="T151">
        <f t="shared" ref="T151" si="734">S151/1000</f>
        <v>9.7511412015401755E-2</v>
      </c>
    </row>
    <row r="152" spans="1:20" x14ac:dyDescent="0.25">
      <c r="A152" s="5">
        <v>44441</v>
      </c>
      <c r="B152">
        <v>239</v>
      </c>
      <c r="C152">
        <v>246.1</v>
      </c>
      <c r="D152">
        <v>235.1</v>
      </c>
      <c r="E152">
        <v>239</v>
      </c>
      <c r="F152">
        <v>107430.875</v>
      </c>
      <c r="G152">
        <v>239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-0.2909090909090899</v>
      </c>
      <c r="Q152">
        <f t="shared" ref="Q152" si="736">F152*P152</f>
        <v>-31252.618181818074</v>
      </c>
      <c r="R152">
        <f t="shared" ref="R152" si="737">R153+Q152</f>
        <v>9684872.4020945244</v>
      </c>
      <c r="S152">
        <f t="shared" ref="S152" si="738">R152/100000</f>
        <v>96.848724020945241</v>
      </c>
      <c r="T152">
        <f t="shared" ref="T152" si="739">S152/1000</f>
        <v>9.6848724020945243E-2</v>
      </c>
    </row>
    <row r="153" spans="1:20" x14ac:dyDescent="0.25">
      <c r="A153" s="5">
        <v>44440</v>
      </c>
      <c r="B153">
        <v>223.6</v>
      </c>
      <c r="C153">
        <v>240.5</v>
      </c>
      <c r="D153">
        <v>216.1</v>
      </c>
      <c r="E153">
        <v>238.9</v>
      </c>
      <c r="F153">
        <v>124660.38400000001</v>
      </c>
      <c r="G153">
        <v>238.9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0.86885245901639396</v>
      </c>
      <c r="Q153">
        <f t="shared" ref="Q153" si="741">F153*P153</f>
        <v>108311.48118032794</v>
      </c>
      <c r="R153">
        <f t="shared" ref="R153" si="742">R154+Q153</f>
        <v>9716125.0202763416</v>
      </c>
      <c r="S153">
        <f t="shared" ref="S153" si="743">R153/100000</f>
        <v>97.161250202763412</v>
      </c>
      <c r="T153">
        <f t="shared" ref="T153" si="744">S153/1000</f>
        <v>9.7161250202763408E-2</v>
      </c>
    </row>
    <row r="154" spans="1:20" x14ac:dyDescent="0.25">
      <c r="A154" s="5">
        <v>44439</v>
      </c>
      <c r="B154">
        <v>216.5</v>
      </c>
      <c r="C154">
        <v>229</v>
      </c>
      <c r="D154">
        <v>212.6</v>
      </c>
      <c r="E154">
        <v>223.7</v>
      </c>
      <c r="F154">
        <v>99317.61868</v>
      </c>
      <c r="G154">
        <v>223.7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0.35365853658536467</v>
      </c>
      <c r="Q154">
        <f t="shared" ref="Q154" si="746">F154*P154</f>
        <v>35124.52367951208</v>
      </c>
      <c r="R154">
        <f t="shared" ref="R154" si="747">R155+Q154</f>
        <v>9607813.5390960146</v>
      </c>
      <c r="S154">
        <f t="shared" ref="S154" si="748">R154/100000</f>
        <v>96.078135390960142</v>
      </c>
      <c r="T154">
        <f t="shared" ref="T154" si="749">S154/1000</f>
        <v>9.6078135390960148E-2</v>
      </c>
    </row>
    <row r="155" spans="1:20" x14ac:dyDescent="0.25">
      <c r="A155" s="5">
        <v>44438</v>
      </c>
      <c r="B155">
        <v>225.2</v>
      </c>
      <c r="C155">
        <v>232.3</v>
      </c>
      <c r="D155">
        <v>214.9</v>
      </c>
      <c r="E155">
        <v>216.6</v>
      </c>
      <c r="F155">
        <v>134065.42047000001</v>
      </c>
      <c r="G155">
        <v>216.6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-0.80459770114942664</v>
      </c>
      <c r="Q155">
        <f t="shared" ref="Q155" si="751">F155*P155</f>
        <v>-107868.72911379329</v>
      </c>
      <c r="R155">
        <f t="shared" ref="R155" si="752">R156+Q155</f>
        <v>9572689.015416503</v>
      </c>
      <c r="S155">
        <f t="shared" ref="S155" si="753">R155/100000</f>
        <v>95.726890154165034</v>
      </c>
      <c r="T155">
        <f t="shared" ref="T155" si="754">S155/1000</f>
        <v>9.5726890154165037E-2</v>
      </c>
    </row>
    <row r="156" spans="1:20" x14ac:dyDescent="0.25">
      <c r="A156" s="5">
        <v>44437</v>
      </c>
      <c r="B156">
        <v>236.6</v>
      </c>
      <c r="C156">
        <v>247.2</v>
      </c>
      <c r="D156">
        <v>224.4</v>
      </c>
      <c r="E156">
        <v>225.3</v>
      </c>
      <c r="F156">
        <v>129194.952</v>
      </c>
      <c r="G156">
        <v>225.3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-0.92105263157894679</v>
      </c>
      <c r="Q156">
        <f t="shared" ref="Q156" si="756">F156*P156</f>
        <v>-118995.35052631571</v>
      </c>
      <c r="R156">
        <f t="shared" ref="R156" si="757">R157+Q156</f>
        <v>9680557.744530296</v>
      </c>
      <c r="S156">
        <f t="shared" ref="S156" si="758">R156/100000</f>
        <v>96.805577445302958</v>
      </c>
      <c r="T156">
        <f t="shared" ref="T156" si="759">S156/1000</f>
        <v>9.6805577445302965E-2</v>
      </c>
    </row>
    <row r="157" spans="1:20" x14ac:dyDescent="0.25">
      <c r="A157" s="5">
        <v>44436</v>
      </c>
      <c r="B157">
        <v>242.3</v>
      </c>
      <c r="C157">
        <v>243.1</v>
      </c>
      <c r="D157">
        <v>234.4</v>
      </c>
      <c r="E157">
        <v>236.4</v>
      </c>
      <c r="F157">
        <v>76326.603000000003</v>
      </c>
      <c r="G157">
        <v>236.4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-0.54022988505747072</v>
      </c>
      <c r="Q157">
        <f t="shared" ref="Q157" si="761">F157*P157</f>
        <v>-41233.911965517203</v>
      </c>
      <c r="R157">
        <f t="shared" ref="R157" si="762">R158+Q157</f>
        <v>9799553.095056612</v>
      </c>
      <c r="S157">
        <f t="shared" ref="S157" si="763">R157/100000</f>
        <v>97.995530950566121</v>
      </c>
      <c r="T157">
        <f t="shared" ref="T157" si="764">S157/1000</f>
        <v>9.7995530950566123E-2</v>
      </c>
    </row>
    <row r="158" spans="1:20" x14ac:dyDescent="0.25">
      <c r="A158" s="5">
        <v>44435</v>
      </c>
      <c r="B158">
        <v>232.1</v>
      </c>
      <c r="C158">
        <v>243.8</v>
      </c>
      <c r="D158">
        <v>222.2</v>
      </c>
      <c r="E158">
        <v>242.3</v>
      </c>
      <c r="F158">
        <v>168992.68161</v>
      </c>
      <c r="G158">
        <v>242.3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0.86111111111111127</v>
      </c>
      <c r="Q158">
        <f t="shared" ref="Q158" si="766">F158*P158</f>
        <v>145521.47583083337</v>
      </c>
      <c r="R158">
        <f t="shared" ref="R158" si="767">R159+Q158</f>
        <v>9840787.0070221294</v>
      </c>
      <c r="S158">
        <f t="shared" ref="S158" si="768">R158/100000</f>
        <v>98.407870070221293</v>
      </c>
      <c r="T158">
        <f t="shared" ref="T158" si="769">S158/1000</f>
        <v>9.8407870070221296E-2</v>
      </c>
    </row>
    <row r="159" spans="1:20" x14ac:dyDescent="0.25">
      <c r="A159" s="5">
        <v>44434</v>
      </c>
      <c r="B159">
        <v>264.44</v>
      </c>
      <c r="C159">
        <v>265</v>
      </c>
      <c r="D159">
        <v>230.3</v>
      </c>
      <c r="E159">
        <v>232.1</v>
      </c>
      <c r="F159">
        <v>145323.26559</v>
      </c>
      <c r="G159">
        <v>232.1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-0.89625360230547646</v>
      </c>
      <c r="Q159">
        <f t="shared" ref="Q159" si="771">F159*P159</f>
        <v>-130246.50028383298</v>
      </c>
      <c r="R159">
        <f t="shared" ref="R159" si="772">R160+Q159</f>
        <v>9695265.5311912969</v>
      </c>
      <c r="S159">
        <f t="shared" ref="S159" si="773">R159/100000</f>
        <v>96.952655311912963</v>
      </c>
      <c r="T159">
        <f t="shared" ref="T159" si="774">S159/1000</f>
        <v>9.6952655311912966E-2</v>
      </c>
    </row>
    <row r="160" spans="1:20" x14ac:dyDescent="0.25">
      <c r="A160" s="5">
        <v>44433</v>
      </c>
      <c r="B160">
        <v>248.26</v>
      </c>
      <c r="C160">
        <v>264.68</v>
      </c>
      <c r="D160">
        <v>239.27</v>
      </c>
      <c r="E160">
        <v>264.45999999999998</v>
      </c>
      <c r="F160">
        <v>140378.65865999999</v>
      </c>
      <c r="G160">
        <v>264.45999999999998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0.98268398268398049</v>
      </c>
      <c r="Q160">
        <f t="shared" ref="Q160" si="776">F160*P160</f>
        <v>137947.85937584384</v>
      </c>
      <c r="R160">
        <f t="shared" ref="R160" si="777">R161+Q160</f>
        <v>9825512.0314751305</v>
      </c>
      <c r="S160">
        <f t="shared" ref="S160" si="778">R160/100000</f>
        <v>98.255120314751309</v>
      </c>
      <c r="T160">
        <f t="shared" ref="T160" si="779">S160/1000</f>
        <v>9.825512031475131E-2</v>
      </c>
    </row>
    <row r="161" spans="1:20" x14ac:dyDescent="0.25">
      <c r="A161" s="5">
        <v>44432</v>
      </c>
      <c r="B161">
        <v>270.43</v>
      </c>
      <c r="C161">
        <v>274.02</v>
      </c>
      <c r="D161">
        <v>243.45</v>
      </c>
      <c r="E161">
        <v>248.16</v>
      </c>
      <c r="F161">
        <v>167702.35378</v>
      </c>
      <c r="G161">
        <v>248.16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-0.69185475956820353</v>
      </c>
      <c r="Q161">
        <f t="shared" ref="Q161" si="781">F161*P161</f>
        <v>-116025.67165348372</v>
      </c>
      <c r="R161">
        <f t="shared" ref="R161" si="782">R162+Q161</f>
        <v>9687564.1720992867</v>
      </c>
      <c r="S161">
        <f t="shared" ref="S161" si="783">R161/100000</f>
        <v>96.87564172099286</v>
      </c>
      <c r="T161">
        <f t="shared" ref="T161" si="784">S161/1000</f>
        <v>9.6875641720992861E-2</v>
      </c>
    </row>
    <row r="162" spans="1:20" x14ac:dyDescent="0.25">
      <c r="A162" s="5">
        <v>44431</v>
      </c>
      <c r="B162">
        <v>255.27</v>
      </c>
      <c r="C162">
        <v>284.98</v>
      </c>
      <c r="D162">
        <v>254.62</v>
      </c>
      <c r="E162">
        <v>270.58</v>
      </c>
      <c r="F162">
        <v>337422.94948000001</v>
      </c>
      <c r="G162">
        <v>270.58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5.1383399209484343E-2</v>
      </c>
      <c r="Q162">
        <f t="shared" ref="Q162" si="786">F162*P162</f>
        <v>17337.93811557251</v>
      </c>
      <c r="R162">
        <f t="shared" ref="R162" si="787">R163+Q162</f>
        <v>9803589.8437527698</v>
      </c>
      <c r="S162">
        <f t="shared" ref="S162" si="788">R162/100000</f>
        <v>98.035898437527692</v>
      </c>
      <c r="T162">
        <f t="shared" ref="T162" si="789">S162/1000</f>
        <v>9.8035898437527691E-2</v>
      </c>
    </row>
    <row r="163" spans="1:20" x14ac:dyDescent="0.25">
      <c r="A163" s="5">
        <v>44430</v>
      </c>
      <c r="B163">
        <v>237.3</v>
      </c>
      <c r="C163">
        <v>239.13</v>
      </c>
      <c r="D163">
        <v>231.9</v>
      </c>
      <c r="E163">
        <v>237.33</v>
      </c>
      <c r="F163">
        <v>32577.18679</v>
      </c>
      <c r="G163">
        <v>237.33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0.50207468879668449</v>
      </c>
      <c r="Q163">
        <f t="shared" ref="Q163" si="791">F163*P163</f>
        <v>16356.18091946071</v>
      </c>
      <c r="R163">
        <f t="shared" ref="R163" si="792">R164+Q163</f>
        <v>9786251.9056371972</v>
      </c>
      <c r="S163">
        <f t="shared" ref="S163" si="793">R163/100000</f>
        <v>97.862519056371966</v>
      </c>
      <c r="T163">
        <f t="shared" ref="T163" si="794">S163/1000</f>
        <v>9.7862519056371972E-2</v>
      </c>
    </row>
    <row r="164" spans="1:20" x14ac:dyDescent="0.25">
      <c r="A164" s="5">
        <v>44429</v>
      </c>
      <c r="B164">
        <v>232.69</v>
      </c>
      <c r="C164">
        <v>248.88</v>
      </c>
      <c r="D164">
        <v>226.75</v>
      </c>
      <c r="E164">
        <v>237.27</v>
      </c>
      <c r="F164">
        <v>205263.37012000001</v>
      </c>
      <c r="G164">
        <v>237.27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-4.9254405784002496E-2</v>
      </c>
      <c r="Q164">
        <f t="shared" ref="Q164" si="796">F164*P164</f>
        <v>-10110.125324482373</v>
      </c>
      <c r="R164">
        <f t="shared" ref="R164" si="797">R165+Q164</f>
        <v>9769895.7247177362</v>
      </c>
      <c r="S164">
        <f t="shared" ref="S164" si="798">R164/100000</f>
        <v>97.698957247177361</v>
      </c>
      <c r="T164">
        <f t="shared" ref="T164" si="799">S164/1000</f>
        <v>9.7698957247177365E-2</v>
      </c>
    </row>
    <row r="165" spans="1:20" x14ac:dyDescent="0.25">
      <c r="A165" s="5">
        <v>44428</v>
      </c>
      <c r="B165">
        <v>220.17</v>
      </c>
      <c r="C165">
        <v>235.69</v>
      </c>
      <c r="D165">
        <v>218.31</v>
      </c>
      <c r="E165">
        <v>232.73</v>
      </c>
      <c r="F165">
        <v>184318.98459000001</v>
      </c>
      <c r="G165">
        <v>232.73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0.65937859608745586</v>
      </c>
      <c r="Q165">
        <f t="shared" ref="Q165" si="801">F165*P165</f>
        <v>121535.99329121961</v>
      </c>
      <c r="R165">
        <f t="shared" ref="R165" si="802">R166+Q165</f>
        <v>9780005.8500422183</v>
      </c>
      <c r="S165">
        <f t="shared" ref="S165" si="803">R165/100000</f>
        <v>97.800058500422182</v>
      </c>
      <c r="T165">
        <f t="shared" ref="T165" si="804">S165/1000</f>
        <v>9.7800058500422185E-2</v>
      </c>
    </row>
    <row r="166" spans="1:20" x14ac:dyDescent="0.25">
      <c r="A166" s="5">
        <v>44427</v>
      </c>
      <c r="B166">
        <v>209.83</v>
      </c>
      <c r="C166">
        <v>221.22</v>
      </c>
      <c r="D166">
        <v>199</v>
      </c>
      <c r="E166">
        <v>220.09</v>
      </c>
      <c r="F166">
        <v>178478.35557000001</v>
      </c>
      <c r="G166">
        <v>220.09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0.89828982898289866</v>
      </c>
      <c r="Q166">
        <f t="shared" ref="Q166" si="806">F166*P166</f>
        <v>160325.29150212428</v>
      </c>
      <c r="R166">
        <f t="shared" ref="R166" si="807">R167+Q166</f>
        <v>9658469.8567509986</v>
      </c>
      <c r="S166">
        <f t="shared" ref="S166" si="808">R166/100000</f>
        <v>96.584698567509989</v>
      </c>
      <c r="T166">
        <f t="shared" ref="T166" si="809">S166/1000</f>
        <v>9.6584698567509994E-2</v>
      </c>
    </row>
    <row r="167" spans="1:20" x14ac:dyDescent="0.25">
      <c r="A167" s="5">
        <v>44426</v>
      </c>
      <c r="B167">
        <v>194.81</v>
      </c>
      <c r="C167">
        <v>213.77</v>
      </c>
      <c r="D167">
        <v>186</v>
      </c>
      <c r="E167">
        <v>209.79</v>
      </c>
      <c r="F167">
        <v>215812.8559</v>
      </c>
      <c r="G167">
        <v>209.79</v>
      </c>
      <c r="L167" t="s">
        <v>8</v>
      </c>
      <c r="M167" t="s">
        <v>8</v>
      </c>
      <c r="N167" t="s">
        <v>8</v>
      </c>
      <c r="P167">
        <f t="shared" ref="P167" si="810">IF(C167=D167,0,((E167-D167)-(C167-E167))/(C167-D167))</f>
        <v>0.71335974072740249</v>
      </c>
      <c r="Q167">
        <f t="shared" ref="Q167" si="811">F167*P167</f>
        <v>153952.20293046426</v>
      </c>
      <c r="R167">
        <f t="shared" ref="R167" si="812">R168+Q167</f>
        <v>9498144.5652488749</v>
      </c>
      <c r="S167">
        <f t="shared" ref="S167" si="813">R167/100000</f>
        <v>94.981445652488745</v>
      </c>
      <c r="T167">
        <f t="shared" ref="T167" si="814">S167/1000</f>
        <v>9.4981445652488741E-2</v>
      </c>
    </row>
    <row r="168" spans="1:20" x14ac:dyDescent="0.25">
      <c r="A168" s="5">
        <v>44425</v>
      </c>
      <c r="B168">
        <v>201.24</v>
      </c>
      <c r="C168">
        <v>211.59</v>
      </c>
      <c r="D168">
        <v>185.73</v>
      </c>
      <c r="E168">
        <v>194.76</v>
      </c>
      <c r="F168">
        <v>218049.64872</v>
      </c>
      <c r="G168">
        <v>194.76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-0.30162412993039472</v>
      </c>
      <c r="Q168">
        <f t="shared" ref="Q168" si="816">F168*P168</f>
        <v>-65769.035576798211</v>
      </c>
      <c r="R168">
        <f t="shared" ref="R168" si="817">R169+Q168</f>
        <v>9344192.3623184115</v>
      </c>
      <c r="S168">
        <f t="shared" ref="S168" si="818">R168/100000</f>
        <v>93.44192362318411</v>
      </c>
      <c r="T168">
        <f t="shared" ref="T168" si="819">S168/1000</f>
        <v>9.3441923623184112E-2</v>
      </c>
    </row>
    <row r="169" spans="1:20" x14ac:dyDescent="0.25">
      <c r="A169" s="5">
        <v>44424</v>
      </c>
      <c r="B169">
        <v>215.78</v>
      </c>
      <c r="C169">
        <v>216.78</v>
      </c>
      <c r="D169">
        <v>198.95</v>
      </c>
      <c r="E169">
        <v>200.98</v>
      </c>
      <c r="F169">
        <v>142422.80327999999</v>
      </c>
      <c r="G169">
        <v>200.98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-0.77229388670779586</v>
      </c>
      <c r="Q169">
        <f t="shared" ref="Q169" si="821">F169*P169</f>
        <v>-109992.26030093101</v>
      </c>
      <c r="R169">
        <f t="shared" ref="R169" si="822">R170+Q169</f>
        <v>9409961.3978952095</v>
      </c>
      <c r="S169">
        <f t="shared" ref="S169" si="823">R169/100000</f>
        <v>94.099613978952092</v>
      </c>
      <c r="T169">
        <f t="shared" ref="T169" si="824">S169/1000</f>
        <v>9.4099613978952099E-2</v>
      </c>
    </row>
    <row r="170" spans="1:20" x14ac:dyDescent="0.25">
      <c r="A170" s="5">
        <v>44423</v>
      </c>
      <c r="B170">
        <v>199.01</v>
      </c>
      <c r="C170">
        <v>217.45</v>
      </c>
      <c r="D170">
        <v>191.07</v>
      </c>
      <c r="E170">
        <v>215.87</v>
      </c>
      <c r="F170">
        <v>150911.23374</v>
      </c>
      <c r="G170">
        <v>215.87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0.88021228203184354</v>
      </c>
      <c r="Q170">
        <f t="shared" ref="Q170" si="826">F170*P170</f>
        <v>132833.92143452633</v>
      </c>
      <c r="R170">
        <f t="shared" ref="R170" si="827">R171+Q170</f>
        <v>9519953.6581961401</v>
      </c>
      <c r="S170">
        <f t="shared" ref="S170" si="828">R170/100000</f>
        <v>95.199536581961397</v>
      </c>
      <c r="T170">
        <f t="shared" ref="T170" si="829">S170/1000</f>
        <v>9.5199536581961397E-2</v>
      </c>
    </row>
    <row r="171" spans="1:20" x14ac:dyDescent="0.25">
      <c r="A171" s="5">
        <v>44422</v>
      </c>
      <c r="B171">
        <v>204.67</v>
      </c>
      <c r="C171">
        <v>205</v>
      </c>
      <c r="D171">
        <v>190.39</v>
      </c>
      <c r="E171">
        <v>199.02</v>
      </c>
      <c r="F171">
        <v>163089.42285999999</v>
      </c>
      <c r="G171">
        <v>199.02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0.18138261464750388</v>
      </c>
      <c r="Q171">
        <f t="shared" ref="Q171" si="831">F171*P171</f>
        <v>29581.585939699187</v>
      </c>
      <c r="R171">
        <f t="shared" ref="R171" si="832">R172+Q171</f>
        <v>9387119.7367616128</v>
      </c>
      <c r="S171">
        <f t="shared" ref="S171" si="833">R171/100000</f>
        <v>93.871197367616134</v>
      </c>
      <c r="T171">
        <f t="shared" ref="T171" si="834">S171/1000</f>
        <v>9.3871197367616135E-2</v>
      </c>
    </row>
    <row r="172" spans="1:20" x14ac:dyDescent="0.25">
      <c r="A172" s="5">
        <v>44421</v>
      </c>
      <c r="B172">
        <v>180.22</v>
      </c>
      <c r="C172">
        <v>204.74</v>
      </c>
      <c r="D172">
        <v>177.76</v>
      </c>
      <c r="E172">
        <v>204.6</v>
      </c>
      <c r="F172">
        <v>136171.16821</v>
      </c>
      <c r="G172">
        <v>204.6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0.98962194217939103</v>
      </c>
      <c r="Q172">
        <f t="shared" ref="Q172" si="836">F172*P172</f>
        <v>134757.97595281675</v>
      </c>
      <c r="R172">
        <f t="shared" ref="R172" si="837">R173+Q172</f>
        <v>9357538.150821913</v>
      </c>
      <c r="S172">
        <f t="shared" ref="S172" si="838">R172/100000</f>
        <v>93.575381508219124</v>
      </c>
      <c r="T172">
        <f t="shared" ref="T172" si="839">S172/1000</f>
        <v>9.3575381508219119E-2</v>
      </c>
    </row>
    <row r="173" spans="1:20" x14ac:dyDescent="0.25">
      <c r="A173" s="5">
        <v>44420</v>
      </c>
      <c r="B173">
        <v>181.35</v>
      </c>
      <c r="C173">
        <v>190.62</v>
      </c>
      <c r="D173">
        <v>170.3</v>
      </c>
      <c r="E173">
        <v>180.2</v>
      </c>
      <c r="F173">
        <v>142525.83773999999</v>
      </c>
      <c r="G173">
        <v>180.2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-2.5590551181104274E-2</v>
      </c>
      <c r="Q173">
        <f t="shared" ref="Q173" si="841">F173*P173</f>
        <v>-3647.3147453152328</v>
      </c>
      <c r="R173">
        <f t="shared" ref="R173" si="842">R174+Q173</f>
        <v>9222780.1748690959</v>
      </c>
      <c r="S173">
        <f t="shared" ref="S173" si="843">R173/100000</f>
        <v>92.227801748690965</v>
      </c>
      <c r="T173">
        <f t="shared" ref="T173" si="844">S173/1000</f>
        <v>9.2227801748690968E-2</v>
      </c>
    </row>
    <row r="174" spans="1:20" x14ac:dyDescent="0.25">
      <c r="A174" s="5">
        <v>44419</v>
      </c>
      <c r="B174">
        <v>175.8</v>
      </c>
      <c r="C174">
        <v>188</v>
      </c>
      <c r="D174">
        <v>175.63</v>
      </c>
      <c r="E174">
        <v>181.49</v>
      </c>
      <c r="F174">
        <v>145460.50002000001</v>
      </c>
      <c r="G174">
        <v>181.49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-5.2546483427645674E-2</v>
      </c>
      <c r="Q174">
        <f t="shared" ref="Q174" si="846">F174*P174</f>
        <v>-7643.4377536779839</v>
      </c>
      <c r="R174">
        <f t="shared" ref="R174" si="847">R175+Q174</f>
        <v>9226427.4896144103</v>
      </c>
      <c r="S174">
        <f t="shared" ref="S174" si="848">R174/100000</f>
        <v>92.264274896144101</v>
      </c>
      <c r="T174">
        <f t="shared" ref="T174" si="849">S174/1000</f>
        <v>9.2264274896144097E-2</v>
      </c>
    </row>
    <row r="175" spans="1:20" x14ac:dyDescent="0.25">
      <c r="A175" s="5">
        <v>44418</v>
      </c>
      <c r="B175">
        <v>179.08</v>
      </c>
      <c r="C175">
        <v>180.18</v>
      </c>
      <c r="D175">
        <v>169.17</v>
      </c>
      <c r="E175">
        <v>175.82</v>
      </c>
      <c r="F175">
        <v>130499.26123</v>
      </c>
      <c r="G175">
        <v>175.82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0.20799273387829137</v>
      </c>
      <c r="Q175">
        <f t="shared" ref="Q175" si="851">F175*P175</f>
        <v>27142.898112325016</v>
      </c>
      <c r="R175">
        <f t="shared" ref="R175" si="852">R176+Q175</f>
        <v>9234070.9273680877</v>
      </c>
      <c r="S175">
        <f t="shared" ref="S175" si="853">R175/100000</f>
        <v>92.340709273680872</v>
      </c>
      <c r="T175">
        <f t="shared" ref="T175" si="854">S175/1000</f>
        <v>9.2340709273680877E-2</v>
      </c>
    </row>
    <row r="176" spans="1:20" x14ac:dyDescent="0.25">
      <c r="A176" s="5">
        <v>44417</v>
      </c>
      <c r="B176">
        <v>161.65</v>
      </c>
      <c r="C176">
        <v>181.18</v>
      </c>
      <c r="D176">
        <v>156.69999999999999</v>
      </c>
      <c r="E176">
        <v>179.06</v>
      </c>
      <c r="F176">
        <v>181924.74984999999</v>
      </c>
      <c r="G176">
        <v>179.06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0.82679738562091476</v>
      </c>
      <c r="Q176">
        <f t="shared" ref="Q176" si="856">F176*P176</f>
        <v>150414.90755571891</v>
      </c>
      <c r="R176">
        <f t="shared" ref="R176" si="857">R177+Q176</f>
        <v>9206928.0292557627</v>
      </c>
      <c r="S176">
        <f t="shared" ref="S176" si="858">R176/100000</f>
        <v>92.069280292557622</v>
      </c>
      <c r="T176">
        <f t="shared" ref="T176" si="859">S176/1000</f>
        <v>9.206928029255762E-2</v>
      </c>
    </row>
    <row r="177" spans="1:20" x14ac:dyDescent="0.25">
      <c r="A177" s="5">
        <v>44416</v>
      </c>
      <c r="B177">
        <v>170.34</v>
      </c>
      <c r="C177">
        <v>172.35</v>
      </c>
      <c r="D177">
        <v>159.44999999999999</v>
      </c>
      <c r="E177">
        <v>161.62</v>
      </c>
      <c r="F177">
        <v>118453.46103000001</v>
      </c>
      <c r="G177">
        <v>161.62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-0.66356589147286593</v>
      </c>
      <c r="Q177">
        <f t="shared" ref="Q177" si="861">F177*P177</f>
        <v>-78601.676466418343</v>
      </c>
      <c r="R177">
        <f t="shared" ref="R177" si="862">R178+Q177</f>
        <v>9056513.1217000429</v>
      </c>
      <c r="S177">
        <f t="shared" ref="S177" si="863">R177/100000</f>
        <v>90.565131217000427</v>
      </c>
      <c r="T177">
        <f t="shared" ref="T177" si="864">S177/1000</f>
        <v>9.0565131217000425E-2</v>
      </c>
    </row>
    <row r="178" spans="1:20" x14ac:dyDescent="0.25">
      <c r="A178" s="5">
        <v>44415</v>
      </c>
      <c r="B178">
        <v>167.28</v>
      </c>
      <c r="C178">
        <v>173.54</v>
      </c>
      <c r="D178">
        <v>164.06</v>
      </c>
      <c r="E178">
        <v>170.34</v>
      </c>
      <c r="F178">
        <v>182662.51420999999</v>
      </c>
      <c r="G178">
        <v>170.34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0.32489451476793418</v>
      </c>
      <c r="Q178">
        <f t="shared" ref="Q178" si="866">F178*P178</f>
        <v>59346.048920548834</v>
      </c>
      <c r="R178">
        <f t="shared" ref="R178" si="867">R179+Q178</f>
        <v>9135114.7981664613</v>
      </c>
      <c r="S178">
        <f t="shared" ref="S178" si="868">R178/100000</f>
        <v>91.35114798166461</v>
      </c>
      <c r="T178">
        <f t="shared" ref="T178" si="869">S178/1000</f>
        <v>9.1351147981664604E-2</v>
      </c>
    </row>
    <row r="179" spans="1:20" x14ac:dyDescent="0.25">
      <c r="A179" s="5">
        <v>44414</v>
      </c>
      <c r="B179">
        <v>164.43</v>
      </c>
      <c r="C179">
        <v>168.28</v>
      </c>
      <c r="D179">
        <v>160.11000000000001</v>
      </c>
      <c r="E179">
        <v>167.19</v>
      </c>
      <c r="F179">
        <v>104216.57695</v>
      </c>
      <c r="G179">
        <v>167.19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0.73317013463892167</v>
      </c>
      <c r="Q179">
        <f t="shared" ref="Q179" si="871">F179*P179</f>
        <v>76408.481754039036</v>
      </c>
      <c r="R179">
        <f t="shared" ref="R179" si="872">R180+Q179</f>
        <v>9075768.7492459118</v>
      </c>
      <c r="S179">
        <f t="shared" ref="S179" si="873">R179/100000</f>
        <v>90.757687492459112</v>
      </c>
      <c r="T179">
        <f t="shared" ref="T179" si="874">S179/1000</f>
        <v>9.0757687492459119E-2</v>
      </c>
    </row>
    <row r="180" spans="1:20" x14ac:dyDescent="0.25">
      <c r="A180" s="5">
        <v>44413</v>
      </c>
      <c r="B180">
        <v>161.59</v>
      </c>
      <c r="C180">
        <v>165.22</v>
      </c>
      <c r="D180">
        <v>154.88</v>
      </c>
      <c r="E180">
        <v>164.41</v>
      </c>
      <c r="F180">
        <v>113527.61186999999</v>
      </c>
      <c r="G180">
        <v>164.41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0.84332688588007698</v>
      </c>
      <c r="Q180">
        <f t="shared" ref="Q180" si="876">F180*P180</f>
        <v>95740.88737972916</v>
      </c>
      <c r="R180">
        <f t="shared" ref="R180" si="877">R181+Q180</f>
        <v>8999360.2674918734</v>
      </c>
      <c r="S180">
        <f t="shared" ref="S180" si="878">R180/100000</f>
        <v>89.993602674918733</v>
      </c>
      <c r="T180">
        <f t="shared" ref="T180" si="879">S180/1000</f>
        <v>8.9993602674918738E-2</v>
      </c>
    </row>
    <row r="181" spans="1:20" x14ac:dyDescent="0.25">
      <c r="A181" s="5">
        <v>44412</v>
      </c>
      <c r="B181">
        <v>156.46</v>
      </c>
      <c r="C181">
        <v>164.5</v>
      </c>
      <c r="D181">
        <v>151.08000000000001</v>
      </c>
      <c r="E181">
        <v>161.58000000000001</v>
      </c>
      <c r="F181">
        <v>107508.83577999999</v>
      </c>
      <c r="G181">
        <v>161.58000000000001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0.56482861400894335</v>
      </c>
      <c r="Q181">
        <f t="shared" ref="Q181" si="881">F181*P181</f>
        <v>60724.066707332495</v>
      </c>
      <c r="R181">
        <f t="shared" ref="R181" si="882">R182+Q181</f>
        <v>8903619.3801121451</v>
      </c>
      <c r="S181">
        <f t="shared" ref="S181" si="883">R181/100000</f>
        <v>89.036193801121456</v>
      </c>
      <c r="T181">
        <f t="shared" ref="T181" si="884">S181/1000</f>
        <v>8.903619380112146E-2</v>
      </c>
    </row>
    <row r="182" spans="1:20" x14ac:dyDescent="0.25">
      <c r="A182" s="5">
        <v>44411</v>
      </c>
      <c r="B182">
        <v>161.66</v>
      </c>
      <c r="C182">
        <v>163.97</v>
      </c>
      <c r="D182">
        <v>153.28</v>
      </c>
      <c r="E182">
        <v>156.41</v>
      </c>
      <c r="F182">
        <v>83938.482170000003</v>
      </c>
      <c r="G182">
        <v>156.41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-0.41440598690364899</v>
      </c>
      <c r="Q182">
        <f t="shared" ref="Q182" si="886">F182*P182</f>
        <v>-34784.609542853199</v>
      </c>
      <c r="R182">
        <f t="shared" ref="R182" si="887">R183+Q182</f>
        <v>8842895.3134048134</v>
      </c>
      <c r="S182">
        <f t="shared" ref="S182" si="888">R182/100000</f>
        <v>88.428953134048129</v>
      </c>
      <c r="T182">
        <f t="shared" ref="T182" si="889">S182/1000</f>
        <v>8.8428953134048124E-2</v>
      </c>
    </row>
    <row r="183" spans="1:20" x14ac:dyDescent="0.25">
      <c r="A183" s="5">
        <v>44410</v>
      </c>
      <c r="B183">
        <v>160.16</v>
      </c>
      <c r="C183">
        <v>164.36</v>
      </c>
      <c r="D183">
        <v>156.04</v>
      </c>
      <c r="E183">
        <v>161.75</v>
      </c>
      <c r="F183">
        <v>87619.054080000002</v>
      </c>
      <c r="G183">
        <v>161.75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0.37259615384615219</v>
      </c>
      <c r="Q183">
        <f t="shared" ref="Q183" si="891">F183*P183</f>
        <v>32646.522553846011</v>
      </c>
      <c r="R183">
        <f t="shared" ref="R183" si="892">R184+Q183</f>
        <v>8877679.9229476657</v>
      </c>
      <c r="S183">
        <f t="shared" ref="S183" si="893">R183/100000</f>
        <v>88.776799229476651</v>
      </c>
      <c r="T183">
        <f t="shared" ref="T183" si="894">S183/1000</f>
        <v>8.8776799229476649E-2</v>
      </c>
    </row>
    <row r="184" spans="1:20" x14ac:dyDescent="0.25">
      <c r="A184" s="5">
        <v>44409</v>
      </c>
      <c r="B184">
        <v>163.72</v>
      </c>
      <c r="C184">
        <v>173.95</v>
      </c>
      <c r="D184">
        <v>157.74</v>
      </c>
      <c r="E184">
        <v>160.19</v>
      </c>
      <c r="F184">
        <v>117267.80121999999</v>
      </c>
      <c r="G184">
        <v>160.19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-0.69771745835903864</v>
      </c>
      <c r="Q184">
        <f t="shared" ref="Q184" si="896">F184*P184</f>
        <v>-81819.792214571367</v>
      </c>
      <c r="R184">
        <f t="shared" ref="R184" si="897">R185+Q184</f>
        <v>8845033.4003938194</v>
      </c>
      <c r="S184">
        <f t="shared" ref="S184" si="898">R184/100000</f>
        <v>88.450334003938195</v>
      </c>
      <c r="T184">
        <f t="shared" ref="T184" si="899">S184/1000</f>
        <v>8.8450334003938189E-2</v>
      </c>
    </row>
    <row r="185" spans="1:20" x14ac:dyDescent="0.25">
      <c r="A185" s="5">
        <v>44408</v>
      </c>
      <c r="B185">
        <v>165.47</v>
      </c>
      <c r="C185">
        <v>168.16</v>
      </c>
      <c r="D185">
        <v>159.62</v>
      </c>
      <c r="E185">
        <v>163.77000000000001</v>
      </c>
      <c r="F185">
        <v>82044.446509999994</v>
      </c>
      <c r="G185">
        <v>163.77000000000001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-2.8103044496484882E-2</v>
      </c>
      <c r="Q185">
        <f t="shared" ref="Q185" si="901">F185*P185</f>
        <v>-2305.6987309600036</v>
      </c>
      <c r="R185">
        <f t="shared" ref="R185" si="902">R186+Q185</f>
        <v>8926853.19260839</v>
      </c>
      <c r="S185">
        <f t="shared" ref="S185" si="903">R185/100000</f>
        <v>89.268531926083895</v>
      </c>
      <c r="T185">
        <f t="shared" ref="T185" si="904">S185/1000</f>
        <v>8.9268531926083888E-2</v>
      </c>
    </row>
    <row r="186" spans="1:20" x14ac:dyDescent="0.25">
      <c r="A186" s="5">
        <v>44407</v>
      </c>
      <c r="B186">
        <v>164.29</v>
      </c>
      <c r="C186">
        <v>167.33</v>
      </c>
      <c r="D186">
        <v>153.5</v>
      </c>
      <c r="E186">
        <v>165.36</v>
      </c>
      <c r="F186">
        <v>152491.28266999999</v>
      </c>
      <c r="G186">
        <v>165.36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0.71511207519884357</v>
      </c>
      <c r="Q186">
        <f t="shared" ref="Q186" si="906">F186*P186</f>
        <v>109048.35759987714</v>
      </c>
      <c r="R186">
        <f t="shared" ref="R186" si="907">R187+Q186</f>
        <v>8929158.8913393505</v>
      </c>
      <c r="S186">
        <f t="shared" ref="S186" si="908">R186/100000</f>
        <v>89.291588913393511</v>
      </c>
      <c r="T186">
        <f t="shared" ref="T186" si="909">S186/1000</f>
        <v>8.9291588913393505E-2</v>
      </c>
    </row>
    <row r="187" spans="1:20" x14ac:dyDescent="0.25">
      <c r="A187" s="5">
        <v>44406</v>
      </c>
      <c r="B187">
        <v>152.63</v>
      </c>
      <c r="C187">
        <v>165</v>
      </c>
      <c r="D187">
        <v>147.86000000000001</v>
      </c>
      <c r="E187">
        <v>164.24</v>
      </c>
      <c r="F187">
        <v>158518.09307999999</v>
      </c>
      <c r="G187">
        <v>164.24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0.91131855309218301</v>
      </c>
      <c r="Q187">
        <f t="shared" ref="Q187" si="911">F187*P187</f>
        <v>144460.47922459757</v>
      </c>
      <c r="R187">
        <f t="shared" ref="R187" si="912">R188+Q187</f>
        <v>8820110.5337394737</v>
      </c>
      <c r="S187">
        <f t="shared" ref="S187" si="913">R187/100000</f>
        <v>88.201105337394736</v>
      </c>
      <c r="T187">
        <f t="shared" ref="T187" si="914">S187/1000</f>
        <v>8.8201105337394739E-2</v>
      </c>
    </row>
    <row r="188" spans="1:20" x14ac:dyDescent="0.25">
      <c r="A188" s="5">
        <v>44405</v>
      </c>
      <c r="B188">
        <v>146.02000000000001</v>
      </c>
      <c r="C188">
        <v>156.77000000000001</v>
      </c>
      <c r="D188">
        <v>142.85</v>
      </c>
      <c r="E188">
        <v>152.63</v>
      </c>
      <c r="F188">
        <v>204053.96718000001</v>
      </c>
      <c r="G188">
        <v>152.63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0.40517241379310198</v>
      </c>
      <c r="Q188">
        <f t="shared" ref="Q188" si="916">F188*P188</f>
        <v>82677.038426379018</v>
      </c>
      <c r="R188">
        <f t="shared" ref="R188" si="917">R189+Q188</f>
        <v>8675650.0545148756</v>
      </c>
      <c r="S188">
        <f t="shared" ref="S188" si="918">R188/100000</f>
        <v>86.756500545148754</v>
      </c>
      <c r="T188">
        <f t="shared" ref="T188" si="919">S188/1000</f>
        <v>8.675650054514876E-2</v>
      </c>
    </row>
    <row r="189" spans="1:20" x14ac:dyDescent="0.25">
      <c r="A189" s="5">
        <v>44404</v>
      </c>
      <c r="B189">
        <v>142.11000000000001</v>
      </c>
      <c r="C189">
        <v>147.68</v>
      </c>
      <c r="D189">
        <v>137.4</v>
      </c>
      <c r="E189">
        <v>146.04</v>
      </c>
      <c r="F189">
        <v>145906.11030999999</v>
      </c>
      <c r="G189">
        <v>146.04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0.68093385214007496</v>
      </c>
      <c r="Q189">
        <f t="shared" ref="Q189" si="921">F189*P189</f>
        <v>99352.409744163</v>
      </c>
      <c r="R189">
        <f t="shared" ref="R189" si="922">R190+Q189</f>
        <v>8592973.0160884969</v>
      </c>
      <c r="S189">
        <f t="shared" ref="S189" si="923">R189/100000</f>
        <v>85.929730160884972</v>
      </c>
      <c r="T189">
        <f t="shared" ref="T189" si="924">S189/1000</f>
        <v>8.5929730160884968E-2</v>
      </c>
    </row>
    <row r="190" spans="1:20" x14ac:dyDescent="0.25">
      <c r="A190" s="5">
        <v>44403</v>
      </c>
      <c r="B190">
        <v>139.62</v>
      </c>
      <c r="C190">
        <v>157</v>
      </c>
      <c r="D190">
        <v>138.78</v>
      </c>
      <c r="E190">
        <v>142.16999999999999</v>
      </c>
      <c r="F190">
        <v>259813.22833000001</v>
      </c>
      <c r="G190">
        <v>142.16999999999999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-0.62788144895719133</v>
      </c>
      <c r="Q190">
        <f t="shared" ref="Q190" si="926">F190*P190</f>
        <v>-163131.90626208601</v>
      </c>
      <c r="R190">
        <f t="shared" ref="R190" si="927">R191+Q190</f>
        <v>8493620.6063443348</v>
      </c>
      <c r="S190">
        <f t="shared" ref="S190" si="928">R190/100000</f>
        <v>84.93620606344335</v>
      </c>
      <c r="T190">
        <f t="shared" ref="T190" si="929">S190/1000</f>
        <v>8.4936206063443348E-2</v>
      </c>
    </row>
    <row r="191" spans="1:20" x14ac:dyDescent="0.25">
      <c r="A191" s="5">
        <v>44402</v>
      </c>
      <c r="B191">
        <v>140.87</v>
      </c>
      <c r="C191">
        <v>142.99</v>
      </c>
      <c r="D191">
        <v>136.55000000000001</v>
      </c>
      <c r="E191">
        <v>139.6</v>
      </c>
      <c r="F191">
        <v>123894.32943</v>
      </c>
      <c r="G191">
        <v>139.6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-5.2795031055905585E-2</v>
      </c>
      <c r="Q191">
        <f t="shared" ref="Q191" si="931">F191*P191</f>
        <v>-6541.004969907447</v>
      </c>
      <c r="R191">
        <f t="shared" ref="R191" si="932">R192+Q191</f>
        <v>8656752.5126064215</v>
      </c>
      <c r="S191">
        <f t="shared" ref="S191:S197" si="933">R191/100000</f>
        <v>86.567525126064211</v>
      </c>
      <c r="T191">
        <f t="shared" ref="T191:T197" si="934">S191/1000</f>
        <v>8.6567525126064207E-2</v>
      </c>
    </row>
    <row r="192" spans="1:20" x14ac:dyDescent="0.25">
      <c r="A192" s="5">
        <v>44401</v>
      </c>
      <c r="B192">
        <v>142.79</v>
      </c>
      <c r="C192">
        <v>149</v>
      </c>
      <c r="D192">
        <v>138.07</v>
      </c>
      <c r="E192">
        <v>140.88999999999999</v>
      </c>
      <c r="F192">
        <v>192698.21199000001</v>
      </c>
      <c r="G192">
        <v>140.88999999999999</v>
      </c>
      <c r="L192" t="s">
        <v>8</v>
      </c>
      <c r="M192" t="s">
        <v>8</v>
      </c>
      <c r="N192" t="s">
        <v>7</v>
      </c>
      <c r="P192">
        <f t="shared" ref="P192:P197" si="935">IF(C192=D192,0,((E192-D192)-(C192-E192))/(C192-D192))</f>
        <v>-0.48398902104300251</v>
      </c>
      <c r="Q192">
        <f t="shared" ref="Q192:Q197" si="936">F192*P192</f>
        <v>-93263.818977777075</v>
      </c>
      <c r="R192">
        <f t="shared" ref="R192:R197" si="937">R193+Q192</f>
        <v>8663293.5175763294</v>
      </c>
      <c r="S192">
        <f t="shared" si="933"/>
        <v>86.632935175763294</v>
      </c>
      <c r="T192">
        <f t="shared" si="934"/>
        <v>8.6632935175763287E-2</v>
      </c>
    </row>
    <row r="193" spans="1:20" x14ac:dyDescent="0.25">
      <c r="A193" s="5">
        <v>44400</v>
      </c>
      <c r="B193">
        <v>142.25</v>
      </c>
      <c r="C193">
        <v>145.74</v>
      </c>
      <c r="D193">
        <v>135.37</v>
      </c>
      <c r="E193">
        <v>142.76</v>
      </c>
      <c r="F193">
        <v>157199.32691</v>
      </c>
      <c r="G193">
        <v>142.76</v>
      </c>
      <c r="L193" t="s">
        <v>8</v>
      </c>
      <c r="M193" t="s">
        <v>8</v>
      </c>
      <c r="N193" t="s">
        <v>7</v>
      </c>
      <c r="P193">
        <f t="shared" si="935"/>
        <v>0.42526518804242686</v>
      </c>
      <c r="Q193">
        <f t="shared" si="936"/>
        <v>66851.401318524076</v>
      </c>
      <c r="R193">
        <f t="shared" si="937"/>
        <v>8756557.3365541063</v>
      </c>
      <c r="S193">
        <f t="shared" si="933"/>
        <v>87.56557336554107</v>
      </c>
      <c r="T193">
        <f t="shared" si="934"/>
        <v>8.7565573365541063E-2</v>
      </c>
    </row>
    <row r="194" spans="1:20" x14ac:dyDescent="0.25">
      <c r="A194" s="5">
        <v>44399</v>
      </c>
      <c r="B194">
        <v>139.04</v>
      </c>
      <c r="C194">
        <v>146.59</v>
      </c>
      <c r="D194">
        <v>135.24</v>
      </c>
      <c r="E194">
        <v>142.19999999999999</v>
      </c>
      <c r="F194">
        <v>250180.96569000001</v>
      </c>
      <c r="G194">
        <v>142.19999999999999</v>
      </c>
      <c r="L194" t="s">
        <v>7</v>
      </c>
      <c r="M194" t="s">
        <v>8</v>
      </c>
      <c r="N194" t="s">
        <v>7</v>
      </c>
      <c r="P194">
        <f t="shared" si="935"/>
        <v>0.22643171806167101</v>
      </c>
      <c r="Q194">
        <f t="shared" si="936"/>
        <v>56648.905887514673</v>
      </c>
      <c r="R194">
        <f t="shared" si="937"/>
        <v>8689705.9352355823</v>
      </c>
      <c r="S194">
        <f t="shared" si="933"/>
        <v>86.897059352355825</v>
      </c>
      <c r="T194">
        <f t="shared" si="934"/>
        <v>8.6897059352355824E-2</v>
      </c>
    </row>
    <row r="195" spans="1:20" x14ac:dyDescent="0.25">
      <c r="A195" s="5">
        <v>44398</v>
      </c>
      <c r="B195">
        <v>125.22</v>
      </c>
      <c r="C195">
        <v>151.6</v>
      </c>
      <c r="D195">
        <v>124.18</v>
      </c>
      <c r="E195">
        <v>139.02000000000001</v>
      </c>
      <c r="F195">
        <v>476958.67148000002</v>
      </c>
      <c r="G195">
        <v>139.02000000000001</v>
      </c>
      <c r="L195" t="s">
        <v>8</v>
      </c>
      <c r="M195" t="s">
        <v>8</v>
      </c>
      <c r="N195" t="s">
        <v>7</v>
      </c>
      <c r="P195">
        <f t="shared" si="935"/>
        <v>8.2421590080234156E-2</v>
      </c>
      <c r="Q195">
        <f t="shared" si="936"/>
        <v>39311.692105937633</v>
      </c>
      <c r="R195">
        <f t="shared" si="937"/>
        <v>8633057.0293480679</v>
      </c>
      <c r="S195">
        <f t="shared" si="933"/>
        <v>86.330570293480676</v>
      </c>
      <c r="T195">
        <f t="shared" si="934"/>
        <v>8.633057029348068E-2</v>
      </c>
    </row>
    <row r="196" spans="1:20" x14ac:dyDescent="0.25">
      <c r="A196" s="5">
        <v>44397</v>
      </c>
      <c r="B196">
        <v>138.04</v>
      </c>
      <c r="C196">
        <v>147.46</v>
      </c>
      <c r="D196">
        <v>115.15</v>
      </c>
      <c r="E196">
        <v>125.26</v>
      </c>
      <c r="F196">
        <v>832482.21051999996</v>
      </c>
      <c r="G196">
        <v>125.26</v>
      </c>
      <c r="L196" t="s">
        <v>7</v>
      </c>
      <c r="M196" t="s">
        <v>7</v>
      </c>
      <c r="N196" t="s">
        <v>7</v>
      </c>
      <c r="P196">
        <f t="shared" si="935"/>
        <v>-0.37418755803156928</v>
      </c>
      <c r="Q196">
        <f t="shared" si="936"/>
        <v>-311504.48545920156</v>
      </c>
      <c r="R196">
        <f t="shared" si="937"/>
        <v>8593745.3372421302</v>
      </c>
      <c r="S196">
        <f t="shared" si="933"/>
        <v>85.937453372421302</v>
      </c>
      <c r="T196">
        <f t="shared" si="934"/>
        <v>8.5937453372421299E-2</v>
      </c>
    </row>
    <row r="197" spans="1:20" x14ac:dyDescent="0.25">
      <c r="A197" s="5">
        <v>44396</v>
      </c>
      <c r="B197">
        <v>115.75</v>
      </c>
      <c r="C197">
        <v>188</v>
      </c>
      <c r="D197">
        <v>109.52</v>
      </c>
      <c r="E197">
        <v>137.97999999999999</v>
      </c>
      <c r="F197">
        <v>1060666.9916900001</v>
      </c>
      <c r="G197">
        <v>0</v>
      </c>
      <c r="L197" t="s">
        <v>8</v>
      </c>
      <c r="M197" t="s">
        <v>8</v>
      </c>
      <c r="N197" t="s">
        <v>8</v>
      </c>
      <c r="P197">
        <f t="shared" si="935"/>
        <v>-0.27471967380224283</v>
      </c>
      <c r="Q197">
        <f t="shared" si="936"/>
        <v>-291386.08996988303</v>
      </c>
      <c r="R197">
        <f t="shared" si="937"/>
        <v>8905249.8227013312</v>
      </c>
      <c r="S197">
        <f t="shared" si="933"/>
        <v>89.052498227013317</v>
      </c>
      <c r="T197">
        <f t="shared" si="934"/>
        <v>8.9052498227013319E-2</v>
      </c>
    </row>
    <row r="198" spans="1:20" x14ac:dyDescent="0.25">
      <c r="A198" s="5">
        <v>44395</v>
      </c>
      <c r="B198">
        <v>116.09</v>
      </c>
      <c r="C198">
        <v>122</v>
      </c>
      <c r="D198">
        <v>114.79</v>
      </c>
      <c r="E198">
        <v>115.78</v>
      </c>
      <c r="F198">
        <v>70758.569810000001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38">IF(C198=D198,0,((E198-D198)-(C198-E198))/(C198-D198))</f>
        <v>-0.72538141470180428</v>
      </c>
      <c r="Q198">
        <f t="shared" ref="Q198:Q261" si="939">F198*P198</f>
        <v>-51326.951471054177</v>
      </c>
      <c r="R198">
        <f t="shared" ref="R198:R261" si="940">R199+Q198</f>
        <v>9196635.912671214</v>
      </c>
      <c r="S198">
        <f t="shared" ref="S198:S261" si="941">R198/100000</f>
        <v>91.966359126712135</v>
      </c>
      <c r="T198">
        <f t="shared" ref="T198:T261" si="942">S198/1000</f>
        <v>9.1966359126712138E-2</v>
      </c>
    </row>
    <row r="199" spans="1:20" x14ac:dyDescent="0.25">
      <c r="A199" s="5">
        <v>44394</v>
      </c>
      <c r="B199">
        <v>114.76</v>
      </c>
      <c r="C199">
        <v>118.96</v>
      </c>
      <c r="D199">
        <v>113.32</v>
      </c>
      <c r="E199">
        <v>116.08</v>
      </c>
      <c r="F199">
        <v>75066.864100000006</v>
      </c>
      <c r="G199">
        <v>0</v>
      </c>
      <c r="L199" t="s">
        <v>7</v>
      </c>
      <c r="M199" t="s">
        <v>7</v>
      </c>
      <c r="N199" t="s">
        <v>8</v>
      </c>
      <c r="P199">
        <f t="shared" si="938"/>
        <v>-2.1276595744679137E-2</v>
      </c>
      <c r="Q199">
        <f t="shared" si="939"/>
        <v>-1597.1673212764672</v>
      </c>
      <c r="R199">
        <f t="shared" si="940"/>
        <v>9247962.8641422689</v>
      </c>
      <c r="S199">
        <f t="shared" si="941"/>
        <v>92.479628641422693</v>
      </c>
      <c r="T199">
        <f t="shared" si="942"/>
        <v>9.2479628641422687E-2</v>
      </c>
    </row>
    <row r="200" spans="1:20" x14ac:dyDescent="0.25">
      <c r="A200" s="5">
        <v>44393</v>
      </c>
      <c r="B200">
        <v>122.9</v>
      </c>
      <c r="C200">
        <v>124.23</v>
      </c>
      <c r="D200">
        <v>114.39</v>
      </c>
      <c r="E200">
        <v>114.77</v>
      </c>
      <c r="F200">
        <v>101437.50375</v>
      </c>
      <c r="G200">
        <v>0</v>
      </c>
      <c r="L200" t="s">
        <v>7</v>
      </c>
      <c r="M200" t="s">
        <v>7</v>
      </c>
      <c r="N200" t="s">
        <v>8</v>
      </c>
      <c r="P200">
        <f t="shared" si="938"/>
        <v>-0.92276422764227739</v>
      </c>
      <c r="Q200">
        <f t="shared" si="939"/>
        <v>-93602.899801829364</v>
      </c>
      <c r="R200">
        <f t="shared" si="940"/>
        <v>9249560.0314635448</v>
      </c>
      <c r="S200">
        <f t="shared" si="941"/>
        <v>92.495600314635453</v>
      </c>
      <c r="T200">
        <f t="shared" si="942"/>
        <v>9.2495600314635454E-2</v>
      </c>
    </row>
    <row r="201" spans="1:20" x14ac:dyDescent="0.25">
      <c r="A201" s="5">
        <v>44392</v>
      </c>
      <c r="B201">
        <v>123.19</v>
      </c>
      <c r="C201">
        <v>125.08</v>
      </c>
      <c r="D201">
        <v>116.38</v>
      </c>
      <c r="E201">
        <v>122.87</v>
      </c>
      <c r="F201">
        <v>91016.399470000004</v>
      </c>
      <c r="G201">
        <v>0</v>
      </c>
      <c r="L201" t="s">
        <v>8</v>
      </c>
      <c r="M201" t="s">
        <v>7</v>
      </c>
      <c r="N201" t="s">
        <v>8</v>
      </c>
      <c r="P201">
        <f t="shared" si="938"/>
        <v>0.49195402298850738</v>
      </c>
      <c r="Q201">
        <f t="shared" si="939"/>
        <v>44775.883877195556</v>
      </c>
      <c r="R201">
        <f t="shared" si="940"/>
        <v>9343162.9312653746</v>
      </c>
      <c r="S201">
        <f t="shared" si="941"/>
        <v>93.43162931265374</v>
      </c>
      <c r="T201">
        <f t="shared" si="942"/>
        <v>9.3431629312653738E-2</v>
      </c>
    </row>
    <row r="202" spans="1:20" x14ac:dyDescent="0.25">
      <c r="A202" s="5">
        <v>44391</v>
      </c>
      <c r="B202">
        <v>123.94</v>
      </c>
      <c r="C202">
        <v>124.83</v>
      </c>
      <c r="D202">
        <v>115.46</v>
      </c>
      <c r="E202">
        <v>123.25</v>
      </c>
      <c r="F202">
        <v>93598.067179999998</v>
      </c>
      <c r="G202">
        <v>0</v>
      </c>
      <c r="L202" t="s">
        <v>7</v>
      </c>
      <c r="M202" t="s">
        <v>7</v>
      </c>
      <c r="N202" t="s">
        <v>8</v>
      </c>
      <c r="P202">
        <f t="shared" si="938"/>
        <v>0.66275346851654271</v>
      </c>
      <c r="Q202">
        <f t="shared" si="939"/>
        <v>62032.443669989378</v>
      </c>
      <c r="R202">
        <f t="shared" si="940"/>
        <v>9298387.0473881792</v>
      </c>
      <c r="S202">
        <f t="shared" si="941"/>
        <v>92.983870473881794</v>
      </c>
      <c r="T202">
        <f t="shared" si="942"/>
        <v>9.2983870473881791E-2</v>
      </c>
    </row>
    <row r="203" spans="1:20" x14ac:dyDescent="0.25">
      <c r="A203" s="5">
        <v>44390</v>
      </c>
      <c r="B203">
        <v>126.62</v>
      </c>
      <c r="C203">
        <v>127.81</v>
      </c>
      <c r="D203">
        <v>121.77</v>
      </c>
      <c r="E203">
        <v>123.93</v>
      </c>
      <c r="F203">
        <v>76014.117740000002</v>
      </c>
      <c r="G203">
        <v>0</v>
      </c>
      <c r="L203" t="s">
        <v>7</v>
      </c>
      <c r="M203" t="s">
        <v>7</v>
      </c>
      <c r="N203" t="s">
        <v>8</v>
      </c>
      <c r="P203">
        <f t="shared" si="938"/>
        <v>-0.28476821192052698</v>
      </c>
      <c r="Q203">
        <f t="shared" si="939"/>
        <v>-21646.404389536208</v>
      </c>
      <c r="R203">
        <f t="shared" si="940"/>
        <v>9236354.6037181895</v>
      </c>
      <c r="S203">
        <f t="shared" si="941"/>
        <v>92.363546037181891</v>
      </c>
      <c r="T203">
        <f t="shared" si="942"/>
        <v>9.2363546037181887E-2</v>
      </c>
    </row>
    <row r="204" spans="1:20" x14ac:dyDescent="0.25">
      <c r="A204" s="5">
        <v>44389</v>
      </c>
      <c r="B204">
        <v>128.44999999999999</v>
      </c>
      <c r="C204">
        <v>135.09</v>
      </c>
      <c r="D204">
        <v>125.05</v>
      </c>
      <c r="E204">
        <v>126.62</v>
      </c>
      <c r="F204">
        <v>127413.59711</v>
      </c>
      <c r="G204">
        <v>0</v>
      </c>
      <c r="L204" t="s">
        <v>8</v>
      </c>
      <c r="M204" t="s">
        <v>7</v>
      </c>
      <c r="N204" t="s">
        <v>8</v>
      </c>
      <c r="P204">
        <f t="shared" si="938"/>
        <v>-0.68725099601593498</v>
      </c>
      <c r="Q204">
        <f t="shared" si="939"/>
        <v>-87565.121519820561</v>
      </c>
      <c r="R204">
        <f t="shared" si="940"/>
        <v>9258001.0081077255</v>
      </c>
      <c r="S204">
        <f t="shared" si="941"/>
        <v>92.580010081077262</v>
      </c>
      <c r="T204">
        <f t="shared" si="942"/>
        <v>9.258001008107726E-2</v>
      </c>
    </row>
    <row r="205" spans="1:20" x14ac:dyDescent="0.25">
      <c r="A205" s="5">
        <v>44388</v>
      </c>
      <c r="B205">
        <v>128.46</v>
      </c>
      <c r="C205">
        <v>130.91</v>
      </c>
      <c r="D205">
        <v>125.21</v>
      </c>
      <c r="E205">
        <v>128.44</v>
      </c>
      <c r="F205">
        <v>70646.471009999994</v>
      </c>
      <c r="G205">
        <v>0</v>
      </c>
      <c r="L205" t="s">
        <v>8</v>
      </c>
      <c r="M205" t="s">
        <v>7</v>
      </c>
      <c r="N205" t="s">
        <v>8</v>
      </c>
      <c r="P205">
        <f t="shared" si="938"/>
        <v>0.13333333333333416</v>
      </c>
      <c r="Q205">
        <f t="shared" si="939"/>
        <v>9419.529468000057</v>
      </c>
      <c r="R205">
        <f t="shared" si="940"/>
        <v>9345566.1296275463</v>
      </c>
      <c r="S205">
        <f t="shared" si="941"/>
        <v>93.455661296275466</v>
      </c>
      <c r="T205">
        <f t="shared" si="942"/>
        <v>9.3455661296275472E-2</v>
      </c>
    </row>
    <row r="206" spans="1:20" x14ac:dyDescent="0.25">
      <c r="A206" s="5">
        <v>44387</v>
      </c>
      <c r="B206">
        <v>128.41999999999999</v>
      </c>
      <c r="C206">
        <v>131.12</v>
      </c>
      <c r="D206">
        <v>125.17</v>
      </c>
      <c r="E206">
        <v>128.41999999999999</v>
      </c>
      <c r="F206">
        <v>79490.059989999994</v>
      </c>
      <c r="G206">
        <v>0</v>
      </c>
      <c r="L206" t="s">
        <v>8</v>
      </c>
      <c r="M206" t="s">
        <v>7</v>
      </c>
      <c r="N206" t="s">
        <v>8</v>
      </c>
      <c r="P206">
        <f t="shared" si="938"/>
        <v>9.243697478991067E-2</v>
      </c>
      <c r="Q206">
        <f t="shared" si="939"/>
        <v>7347.8206713441159</v>
      </c>
      <c r="R206">
        <f t="shared" si="940"/>
        <v>9336146.6001595464</v>
      </c>
      <c r="S206">
        <f t="shared" si="941"/>
        <v>93.36146600159546</v>
      </c>
      <c r="T206">
        <f t="shared" si="942"/>
        <v>9.3361466001595464E-2</v>
      </c>
    </row>
    <row r="207" spans="1:20" x14ac:dyDescent="0.25">
      <c r="A207" s="5">
        <v>44386</v>
      </c>
      <c r="B207">
        <v>126.51</v>
      </c>
      <c r="C207">
        <v>130.38999999999999</v>
      </c>
      <c r="D207">
        <v>121.06</v>
      </c>
      <c r="E207">
        <v>128.41</v>
      </c>
      <c r="F207">
        <v>79930.865609999993</v>
      </c>
      <c r="G207">
        <v>0</v>
      </c>
      <c r="L207" t="s">
        <v>7</v>
      </c>
      <c r="M207" t="s">
        <v>7</v>
      </c>
      <c r="N207" t="s">
        <v>8</v>
      </c>
      <c r="P207">
        <f t="shared" si="938"/>
        <v>0.57556270096463169</v>
      </c>
      <c r="Q207">
        <f t="shared" si="939"/>
        <v>46005.22490093259</v>
      </c>
      <c r="R207">
        <f t="shared" si="940"/>
        <v>9328798.7794882022</v>
      </c>
      <c r="S207">
        <f t="shared" si="941"/>
        <v>93.287987794882028</v>
      </c>
      <c r="T207">
        <f t="shared" si="942"/>
        <v>9.3287987794882024E-2</v>
      </c>
    </row>
    <row r="208" spans="1:20" x14ac:dyDescent="0.25">
      <c r="A208" s="5">
        <v>44385</v>
      </c>
      <c r="B208">
        <v>135.1</v>
      </c>
      <c r="C208">
        <v>135.11000000000001</v>
      </c>
      <c r="D208">
        <v>123.48</v>
      </c>
      <c r="E208">
        <v>126.48</v>
      </c>
      <c r="F208">
        <v>101184.64615</v>
      </c>
      <c r="G208">
        <v>0</v>
      </c>
      <c r="L208" t="s">
        <v>7</v>
      </c>
      <c r="M208" t="s">
        <v>7</v>
      </c>
      <c r="N208" t="s">
        <v>8</v>
      </c>
      <c r="P208">
        <f t="shared" si="938"/>
        <v>-0.48409286328460921</v>
      </c>
      <c r="Q208">
        <f t="shared" si="939"/>
        <v>-48982.765075193507</v>
      </c>
      <c r="R208">
        <f t="shared" si="940"/>
        <v>9282793.5545872692</v>
      </c>
      <c r="S208">
        <f t="shared" si="941"/>
        <v>92.827935545872691</v>
      </c>
      <c r="T208">
        <f t="shared" si="942"/>
        <v>9.2827935545872695E-2</v>
      </c>
    </row>
    <row r="209" spans="1:20" x14ac:dyDescent="0.25">
      <c r="A209" s="5">
        <v>44384</v>
      </c>
      <c r="B209">
        <v>134.9</v>
      </c>
      <c r="C209">
        <v>139.29</v>
      </c>
      <c r="D209">
        <v>133.51</v>
      </c>
      <c r="E209">
        <v>135.15</v>
      </c>
      <c r="F209">
        <v>83907.637690000003</v>
      </c>
      <c r="G209">
        <v>0</v>
      </c>
      <c r="L209" t="s">
        <v>8</v>
      </c>
      <c r="M209" t="s">
        <v>8</v>
      </c>
      <c r="N209" t="s">
        <v>8</v>
      </c>
      <c r="P209">
        <f t="shared" si="938"/>
        <v>-0.43252595155708845</v>
      </c>
      <c r="Q209">
        <f t="shared" si="939"/>
        <v>-36292.230834774673</v>
      </c>
      <c r="R209">
        <f t="shared" si="940"/>
        <v>9331776.3196624629</v>
      </c>
      <c r="S209">
        <f t="shared" si="941"/>
        <v>93.317763196624625</v>
      </c>
      <c r="T209">
        <f t="shared" si="942"/>
        <v>9.3317763196624631E-2</v>
      </c>
    </row>
    <row r="210" spans="1:20" x14ac:dyDescent="0.25">
      <c r="A210" s="5">
        <v>44383</v>
      </c>
      <c r="B210">
        <v>132.57</v>
      </c>
      <c r="C210">
        <v>138.66</v>
      </c>
      <c r="D210">
        <v>131.83000000000001</v>
      </c>
      <c r="E210">
        <v>134.94</v>
      </c>
      <c r="F210">
        <v>91668.798649999997</v>
      </c>
      <c r="G210">
        <v>0</v>
      </c>
      <c r="L210" t="s">
        <v>8</v>
      </c>
      <c r="M210" t="s">
        <v>8</v>
      </c>
      <c r="N210" t="s">
        <v>8</v>
      </c>
      <c r="P210">
        <f t="shared" si="938"/>
        <v>-8.9311859443633249E-2</v>
      </c>
      <c r="Q210">
        <f t="shared" si="939"/>
        <v>-8187.1108603955172</v>
      </c>
      <c r="R210">
        <f t="shared" si="940"/>
        <v>9368068.5504972376</v>
      </c>
      <c r="S210">
        <f t="shared" si="941"/>
        <v>93.680685504972374</v>
      </c>
      <c r="T210">
        <f t="shared" si="942"/>
        <v>9.3680685504972369E-2</v>
      </c>
    </row>
    <row r="211" spans="1:20" x14ac:dyDescent="0.25">
      <c r="A211" s="5">
        <v>44382</v>
      </c>
      <c r="B211">
        <v>140.24</v>
      </c>
      <c r="C211">
        <v>140.24</v>
      </c>
      <c r="D211">
        <v>129.19</v>
      </c>
      <c r="E211">
        <v>132.52000000000001</v>
      </c>
      <c r="F211">
        <v>95566.287710000004</v>
      </c>
      <c r="G211">
        <v>0</v>
      </c>
      <c r="L211" t="s">
        <v>7</v>
      </c>
      <c r="M211" t="s">
        <v>8</v>
      </c>
      <c r="N211" t="s">
        <v>8</v>
      </c>
      <c r="P211">
        <f t="shared" si="938"/>
        <v>-0.39728506787330153</v>
      </c>
      <c r="Q211">
        <f t="shared" si="939"/>
        <v>-37967.059099266815</v>
      </c>
      <c r="R211">
        <f t="shared" si="940"/>
        <v>9376255.6613576338</v>
      </c>
      <c r="S211">
        <f t="shared" si="941"/>
        <v>93.762556613576336</v>
      </c>
      <c r="T211">
        <f t="shared" si="942"/>
        <v>9.3762556613576339E-2</v>
      </c>
    </row>
    <row r="212" spans="1:20" x14ac:dyDescent="0.25">
      <c r="A212" s="5">
        <v>44381</v>
      </c>
      <c r="B212">
        <v>138.77000000000001</v>
      </c>
      <c r="C212">
        <v>143.44999999999999</v>
      </c>
      <c r="D212">
        <v>133.72</v>
      </c>
      <c r="E212">
        <v>140.22</v>
      </c>
      <c r="F212">
        <v>74782.553119999997</v>
      </c>
      <c r="G212">
        <v>0</v>
      </c>
      <c r="L212" t="s">
        <v>8</v>
      </c>
      <c r="M212" t="s">
        <v>8</v>
      </c>
      <c r="N212" t="s">
        <v>8</v>
      </c>
      <c r="P212">
        <f t="shared" si="938"/>
        <v>0.33607399794450293</v>
      </c>
      <c r="Q212">
        <f t="shared" si="939"/>
        <v>25132.47160353556</v>
      </c>
      <c r="R212">
        <f t="shared" si="940"/>
        <v>9414222.7204569001</v>
      </c>
      <c r="S212">
        <f t="shared" si="941"/>
        <v>94.142227204568997</v>
      </c>
      <c r="T212">
        <f t="shared" si="942"/>
        <v>9.4142227204568996E-2</v>
      </c>
    </row>
    <row r="213" spans="1:20" x14ac:dyDescent="0.25">
      <c r="A213" s="5">
        <v>44380</v>
      </c>
      <c r="B213">
        <v>135.35</v>
      </c>
      <c r="C213">
        <v>140.22</v>
      </c>
      <c r="D213">
        <v>132.27000000000001</v>
      </c>
      <c r="E213">
        <v>138.81</v>
      </c>
      <c r="F213">
        <v>64702.94846</v>
      </c>
      <c r="G213">
        <v>0</v>
      </c>
      <c r="L213" t="s">
        <v>8</v>
      </c>
      <c r="M213" t="s">
        <v>8</v>
      </c>
      <c r="N213" t="s">
        <v>8</v>
      </c>
      <c r="P213">
        <f t="shared" si="938"/>
        <v>0.64528301886792483</v>
      </c>
      <c r="Q213">
        <f t="shared" si="939"/>
        <v>41751.713911924548</v>
      </c>
      <c r="R213">
        <f t="shared" si="940"/>
        <v>9389090.248853365</v>
      </c>
      <c r="S213">
        <f t="shared" si="941"/>
        <v>93.890902488533655</v>
      </c>
      <c r="T213">
        <f t="shared" si="942"/>
        <v>9.3890902488533656E-2</v>
      </c>
    </row>
    <row r="214" spans="1:20" x14ac:dyDescent="0.25">
      <c r="A214" s="5">
        <v>44379</v>
      </c>
      <c r="B214">
        <v>138.13999999999999</v>
      </c>
      <c r="C214">
        <v>140.57</v>
      </c>
      <c r="D214">
        <v>129.55000000000001</v>
      </c>
      <c r="E214">
        <v>135.35</v>
      </c>
      <c r="F214">
        <v>83307.986009999993</v>
      </c>
      <c r="G214">
        <v>0</v>
      </c>
      <c r="L214" t="s">
        <v>7</v>
      </c>
      <c r="M214" t="s">
        <v>8</v>
      </c>
      <c r="N214" t="s">
        <v>8</v>
      </c>
      <c r="P214">
        <f t="shared" si="938"/>
        <v>5.2631578947367065E-2</v>
      </c>
      <c r="Q214">
        <f t="shared" si="939"/>
        <v>4384.6308426314654</v>
      </c>
      <c r="R214">
        <f t="shared" si="940"/>
        <v>9347338.5349414404</v>
      </c>
      <c r="S214">
        <f t="shared" si="941"/>
        <v>93.4733853494144</v>
      </c>
      <c r="T214">
        <f t="shared" si="942"/>
        <v>9.3473385349414406E-2</v>
      </c>
    </row>
    <row r="215" spans="1:20" x14ac:dyDescent="0.25">
      <c r="A215" s="5">
        <v>44378</v>
      </c>
      <c r="B215">
        <v>145.66999999999999</v>
      </c>
      <c r="C215">
        <v>145.66999999999999</v>
      </c>
      <c r="D215">
        <v>133.07</v>
      </c>
      <c r="E215">
        <v>138.16</v>
      </c>
      <c r="F215">
        <v>109112.96432</v>
      </c>
      <c r="G215">
        <v>0</v>
      </c>
      <c r="L215" t="s">
        <v>7</v>
      </c>
      <c r="M215" t="s">
        <v>8</v>
      </c>
      <c r="N215" t="s">
        <v>8</v>
      </c>
      <c r="P215">
        <f t="shared" si="938"/>
        <v>-0.19206349206349116</v>
      </c>
      <c r="Q215">
        <f t="shared" si="939"/>
        <v>-20956.616956698315</v>
      </c>
      <c r="R215">
        <f t="shared" si="940"/>
        <v>9342953.9040988088</v>
      </c>
      <c r="S215">
        <f t="shared" si="941"/>
        <v>93.429539040988089</v>
      </c>
      <c r="T215">
        <f t="shared" si="942"/>
        <v>9.3429539040988094E-2</v>
      </c>
    </row>
    <row r="216" spans="1:20" x14ac:dyDescent="0.25">
      <c r="A216" s="5">
        <v>44377</v>
      </c>
      <c r="B216">
        <v>140.72999999999999</v>
      </c>
      <c r="C216">
        <v>146.63999999999999</v>
      </c>
      <c r="D216">
        <v>134.22</v>
      </c>
      <c r="E216">
        <v>145.62</v>
      </c>
      <c r="F216">
        <v>159439.57006</v>
      </c>
      <c r="G216">
        <v>0</v>
      </c>
      <c r="L216" t="s">
        <v>7</v>
      </c>
      <c r="M216" t="s">
        <v>8</v>
      </c>
      <c r="N216" t="s">
        <v>8</v>
      </c>
      <c r="P216">
        <f t="shared" si="938"/>
        <v>0.83574879227053411</v>
      </c>
      <c r="Q216">
        <f t="shared" si="939"/>
        <v>133251.42811777821</v>
      </c>
      <c r="R216">
        <f t="shared" si="940"/>
        <v>9363910.5210555065</v>
      </c>
      <c r="S216">
        <f t="shared" si="941"/>
        <v>93.639105210555059</v>
      </c>
      <c r="T216">
        <f t="shared" si="942"/>
        <v>9.363910521055506E-2</v>
      </c>
    </row>
    <row r="217" spans="1:20" x14ac:dyDescent="0.25">
      <c r="A217" s="5">
        <v>44376</v>
      </c>
      <c r="B217">
        <v>132.25</v>
      </c>
      <c r="C217">
        <v>148.18</v>
      </c>
      <c r="D217">
        <v>130.47</v>
      </c>
      <c r="E217">
        <v>140.85</v>
      </c>
      <c r="F217">
        <v>169862.10545999999</v>
      </c>
      <c r="G217">
        <v>0</v>
      </c>
      <c r="L217" t="s">
        <v>8</v>
      </c>
      <c r="M217" t="s">
        <v>8</v>
      </c>
      <c r="N217" t="s">
        <v>8</v>
      </c>
      <c r="P217">
        <f t="shared" si="938"/>
        <v>0.17221908526256249</v>
      </c>
      <c r="Q217">
        <f t="shared" si="939"/>
        <v>29253.496423094122</v>
      </c>
      <c r="R217">
        <f t="shared" si="940"/>
        <v>9230659.0929377284</v>
      </c>
      <c r="S217">
        <f t="shared" si="941"/>
        <v>92.306590929377279</v>
      </c>
      <c r="T217">
        <f t="shared" si="942"/>
        <v>9.2306590929377277E-2</v>
      </c>
    </row>
    <row r="218" spans="1:20" x14ac:dyDescent="0.25">
      <c r="A218" s="5">
        <v>44375</v>
      </c>
      <c r="B218">
        <v>127.22</v>
      </c>
      <c r="C218">
        <v>134.16999999999999</v>
      </c>
      <c r="D218">
        <v>124.69</v>
      </c>
      <c r="E218">
        <v>132.22999999999999</v>
      </c>
      <c r="F218">
        <v>129781.67728</v>
      </c>
      <c r="G218">
        <v>0</v>
      </c>
      <c r="L218" t="s">
        <v>8</v>
      </c>
      <c r="M218" t="s">
        <v>8</v>
      </c>
      <c r="N218" t="s">
        <v>7</v>
      </c>
      <c r="P218">
        <f t="shared" si="938"/>
        <v>0.59071729957805907</v>
      </c>
      <c r="Q218">
        <f t="shared" si="939"/>
        <v>76664.281937552747</v>
      </c>
      <c r="R218">
        <f t="shared" si="940"/>
        <v>9201405.5965146348</v>
      </c>
      <c r="S218">
        <f t="shared" si="941"/>
        <v>92.014055965146355</v>
      </c>
      <c r="T218">
        <f t="shared" si="942"/>
        <v>9.2014055965146349E-2</v>
      </c>
    </row>
    <row r="219" spans="1:20" x14ac:dyDescent="0.25">
      <c r="A219" s="5">
        <v>44374</v>
      </c>
      <c r="B219">
        <v>124.37</v>
      </c>
      <c r="C219">
        <v>127.76</v>
      </c>
      <c r="D219">
        <v>118.26</v>
      </c>
      <c r="E219">
        <v>127.22</v>
      </c>
      <c r="F219">
        <v>144112.75130999999</v>
      </c>
      <c r="G219">
        <v>0</v>
      </c>
      <c r="L219" t="s">
        <v>8</v>
      </c>
      <c r="M219" t="s">
        <v>8</v>
      </c>
      <c r="N219" t="s">
        <v>7</v>
      </c>
      <c r="P219">
        <f t="shared" si="938"/>
        <v>0.88631578947368295</v>
      </c>
      <c r="Q219">
        <f t="shared" si="939"/>
        <v>127729.40695054719</v>
      </c>
      <c r="R219">
        <f t="shared" si="940"/>
        <v>9124741.3145770822</v>
      </c>
      <c r="S219">
        <f t="shared" si="941"/>
        <v>91.247413145770821</v>
      </c>
      <c r="T219">
        <f t="shared" si="942"/>
        <v>9.1247413145770825E-2</v>
      </c>
    </row>
    <row r="220" spans="1:20" x14ac:dyDescent="0.25">
      <c r="A220" s="5">
        <v>44373</v>
      </c>
      <c r="B220">
        <v>119.83</v>
      </c>
      <c r="C220">
        <v>126.35</v>
      </c>
      <c r="D220">
        <v>115.19</v>
      </c>
      <c r="E220">
        <v>124.32</v>
      </c>
      <c r="F220">
        <v>175541.87771</v>
      </c>
      <c r="G220">
        <v>0</v>
      </c>
      <c r="L220" t="s">
        <v>7</v>
      </c>
      <c r="M220" t="s">
        <v>8</v>
      </c>
      <c r="N220" t="s">
        <v>7</v>
      </c>
      <c r="P220">
        <f t="shared" si="938"/>
        <v>0.63620071684587787</v>
      </c>
      <c r="Q220">
        <f t="shared" si="939"/>
        <v>111679.86843557343</v>
      </c>
      <c r="R220">
        <f t="shared" si="940"/>
        <v>8997011.9076265357</v>
      </c>
      <c r="S220">
        <f t="shared" si="941"/>
        <v>89.970119076265362</v>
      </c>
      <c r="T220">
        <f t="shared" si="942"/>
        <v>8.9970119076265356E-2</v>
      </c>
    </row>
    <row r="221" spans="1:20" x14ac:dyDescent="0.25">
      <c r="A221" s="5">
        <v>44372</v>
      </c>
      <c r="B221">
        <v>131.46</v>
      </c>
      <c r="C221">
        <v>134.61000000000001</v>
      </c>
      <c r="D221">
        <v>119.04</v>
      </c>
      <c r="E221">
        <v>119.77</v>
      </c>
      <c r="F221">
        <v>199032.48581000001</v>
      </c>
      <c r="G221">
        <v>0</v>
      </c>
      <c r="L221" t="s">
        <v>7</v>
      </c>
      <c r="M221" t="s">
        <v>8</v>
      </c>
      <c r="N221" t="s">
        <v>7</v>
      </c>
      <c r="P221">
        <f t="shared" si="938"/>
        <v>-0.90622992935131796</v>
      </c>
      <c r="Q221">
        <f t="shared" si="939"/>
        <v>-180369.19555421351</v>
      </c>
      <c r="R221">
        <f t="shared" si="940"/>
        <v>8885332.0391909629</v>
      </c>
      <c r="S221">
        <f t="shared" si="941"/>
        <v>88.853320391909634</v>
      </c>
      <c r="T221">
        <f t="shared" si="942"/>
        <v>8.8853320391909629E-2</v>
      </c>
    </row>
    <row r="222" spans="1:20" x14ac:dyDescent="0.25">
      <c r="A222" s="5">
        <v>44371</v>
      </c>
      <c r="B222">
        <v>127.42</v>
      </c>
      <c r="C222">
        <v>134.69</v>
      </c>
      <c r="D222">
        <v>120.38</v>
      </c>
      <c r="E222">
        <v>131.43</v>
      </c>
      <c r="F222">
        <v>138407.38931</v>
      </c>
      <c r="G222">
        <v>0</v>
      </c>
      <c r="L222" t="s">
        <v>8</v>
      </c>
      <c r="M222" t="s">
        <v>8</v>
      </c>
      <c r="N222" t="s">
        <v>7</v>
      </c>
      <c r="P222">
        <f t="shared" si="938"/>
        <v>0.54437456324248912</v>
      </c>
      <c r="Q222">
        <f t="shared" si="939"/>
        <v>75345.462105164406</v>
      </c>
      <c r="R222">
        <f t="shared" si="940"/>
        <v>9065701.2347451765</v>
      </c>
      <c r="S222">
        <f t="shared" si="941"/>
        <v>90.657012347451769</v>
      </c>
      <c r="T222">
        <f t="shared" si="942"/>
        <v>9.0657012347451771E-2</v>
      </c>
    </row>
    <row r="223" spans="1:20" x14ac:dyDescent="0.25">
      <c r="A223" s="5">
        <v>44370</v>
      </c>
      <c r="B223">
        <v>119.52</v>
      </c>
      <c r="C223">
        <v>131.58000000000001</v>
      </c>
      <c r="D223">
        <v>113.96</v>
      </c>
      <c r="E223">
        <v>127.43</v>
      </c>
      <c r="F223">
        <v>178224.82227999999</v>
      </c>
      <c r="G223">
        <v>0</v>
      </c>
      <c r="L223" t="s">
        <v>8</v>
      </c>
      <c r="M223" t="s">
        <v>8</v>
      </c>
      <c r="N223" t="s">
        <v>7</v>
      </c>
      <c r="P223">
        <f t="shared" si="938"/>
        <v>0.52894438138478983</v>
      </c>
      <c r="Q223">
        <f t="shared" si="939"/>
        <v>94271.018368308709</v>
      </c>
      <c r="R223">
        <f t="shared" si="940"/>
        <v>8990355.7726400122</v>
      </c>
      <c r="S223">
        <f t="shared" si="941"/>
        <v>89.903557726400123</v>
      </c>
      <c r="T223">
        <f t="shared" si="942"/>
        <v>8.990355772640013E-2</v>
      </c>
    </row>
    <row r="224" spans="1:20" x14ac:dyDescent="0.25">
      <c r="A224" s="5">
        <v>44369</v>
      </c>
      <c r="B224">
        <v>123.06</v>
      </c>
      <c r="C224">
        <v>131.41999999999999</v>
      </c>
      <c r="D224">
        <v>101.7</v>
      </c>
      <c r="E224">
        <v>119.37</v>
      </c>
      <c r="F224">
        <v>370156.09444999998</v>
      </c>
      <c r="G224">
        <v>0</v>
      </c>
      <c r="L224" t="s">
        <v>7</v>
      </c>
      <c r="M224" t="s">
        <v>7</v>
      </c>
      <c r="N224" t="s">
        <v>7</v>
      </c>
      <c r="P224">
        <f t="shared" si="938"/>
        <v>0.18909825033647448</v>
      </c>
      <c r="Q224">
        <f t="shared" si="939"/>
        <v>69995.869811877783</v>
      </c>
      <c r="R224">
        <f t="shared" si="940"/>
        <v>8896084.7542717028</v>
      </c>
      <c r="S224">
        <f t="shared" si="941"/>
        <v>88.960847542717033</v>
      </c>
      <c r="T224">
        <f t="shared" si="942"/>
        <v>8.8960847542717034E-2</v>
      </c>
    </row>
    <row r="225" spans="1:20" x14ac:dyDescent="0.25">
      <c r="A225" s="5">
        <v>44368</v>
      </c>
      <c r="B225">
        <v>153.34</v>
      </c>
      <c r="C225">
        <v>154.13999999999999</v>
      </c>
      <c r="D225">
        <v>122.78</v>
      </c>
      <c r="E225">
        <v>123.09</v>
      </c>
      <c r="F225">
        <v>237050.63993999999</v>
      </c>
      <c r="G225">
        <v>0</v>
      </c>
      <c r="L225" t="s">
        <v>7</v>
      </c>
      <c r="M225" t="s">
        <v>7</v>
      </c>
      <c r="N225" t="s">
        <v>7</v>
      </c>
      <c r="P225">
        <f t="shared" si="938"/>
        <v>-0.98022959183673453</v>
      </c>
      <c r="Q225">
        <f t="shared" si="939"/>
        <v>-232364.05203302292</v>
      </c>
      <c r="R225">
        <f t="shared" si="940"/>
        <v>8826088.8844598252</v>
      </c>
      <c r="S225">
        <f t="shared" si="941"/>
        <v>88.260888844598256</v>
      </c>
      <c r="T225">
        <f t="shared" si="942"/>
        <v>8.8260888844598262E-2</v>
      </c>
    </row>
    <row r="226" spans="1:20" x14ac:dyDescent="0.25">
      <c r="A226" s="5">
        <v>44367</v>
      </c>
      <c r="B226">
        <v>150.94</v>
      </c>
      <c r="C226">
        <v>155.51</v>
      </c>
      <c r="D226">
        <v>141.4</v>
      </c>
      <c r="E226">
        <v>153.28</v>
      </c>
      <c r="F226">
        <v>122839.70904</v>
      </c>
      <c r="G226">
        <v>0</v>
      </c>
      <c r="L226" t="s">
        <v>7</v>
      </c>
      <c r="M226" t="s">
        <v>7</v>
      </c>
      <c r="N226" t="s">
        <v>7</v>
      </c>
      <c r="P226">
        <f t="shared" si="938"/>
        <v>0.68391211906449434</v>
      </c>
      <c r="Q226">
        <f t="shared" si="939"/>
        <v>84011.565714812328</v>
      </c>
      <c r="R226">
        <f t="shared" si="940"/>
        <v>9058452.9364928473</v>
      </c>
      <c r="S226">
        <f t="shared" si="941"/>
        <v>90.584529364928471</v>
      </c>
      <c r="T226">
        <f t="shared" si="942"/>
        <v>9.0584529364928473E-2</v>
      </c>
    </row>
    <row r="227" spans="1:20" x14ac:dyDescent="0.25">
      <c r="A227" s="5">
        <v>44366</v>
      </c>
      <c r="B227">
        <v>155.36000000000001</v>
      </c>
      <c r="C227">
        <v>160.83000000000001</v>
      </c>
      <c r="D227">
        <v>150.94</v>
      </c>
      <c r="E227">
        <v>150.94</v>
      </c>
      <c r="F227">
        <v>90592.341620000007</v>
      </c>
      <c r="G227">
        <v>0</v>
      </c>
      <c r="L227" t="s">
        <v>7</v>
      </c>
      <c r="M227" t="s">
        <v>7</v>
      </c>
      <c r="N227" t="s">
        <v>7</v>
      </c>
      <c r="P227">
        <f t="shared" si="938"/>
        <v>-1</v>
      </c>
      <c r="Q227">
        <f t="shared" si="939"/>
        <v>-90592.341620000007</v>
      </c>
      <c r="R227">
        <f t="shared" si="940"/>
        <v>8974441.3707780354</v>
      </c>
      <c r="S227">
        <f t="shared" si="941"/>
        <v>89.744413707780353</v>
      </c>
      <c r="T227">
        <f t="shared" si="942"/>
        <v>8.9744413707780357E-2</v>
      </c>
    </row>
    <row r="228" spans="1:20" x14ac:dyDescent="0.25">
      <c r="A228" s="5">
        <v>44365</v>
      </c>
      <c r="B228">
        <v>164.04</v>
      </c>
      <c r="C228">
        <v>164.95</v>
      </c>
      <c r="D228">
        <v>150.75</v>
      </c>
      <c r="E228">
        <v>155.32</v>
      </c>
      <c r="F228">
        <v>101371.474</v>
      </c>
      <c r="G228">
        <v>0</v>
      </c>
      <c r="L228" t="s">
        <v>7</v>
      </c>
      <c r="M228" t="s">
        <v>7</v>
      </c>
      <c r="N228" t="s">
        <v>7</v>
      </c>
      <c r="P228">
        <f t="shared" si="938"/>
        <v>-0.35633802816901455</v>
      </c>
      <c r="Q228">
        <f t="shared" si="939"/>
        <v>-36122.511157746529</v>
      </c>
      <c r="R228">
        <f t="shared" si="940"/>
        <v>9065033.7123980355</v>
      </c>
      <c r="S228">
        <f t="shared" si="941"/>
        <v>90.65033712398035</v>
      </c>
      <c r="T228">
        <f t="shared" si="942"/>
        <v>9.0650337123980351E-2</v>
      </c>
    </row>
    <row r="229" spans="1:20" x14ac:dyDescent="0.25">
      <c r="A229" s="5">
        <v>44364</v>
      </c>
      <c r="B229">
        <v>164.5</v>
      </c>
      <c r="C229">
        <v>173.93</v>
      </c>
      <c r="D229">
        <v>160.47999999999999</v>
      </c>
      <c r="E229">
        <v>163.93</v>
      </c>
      <c r="F229">
        <v>112292.24552</v>
      </c>
      <c r="G229">
        <v>0</v>
      </c>
      <c r="L229" t="s">
        <v>7</v>
      </c>
      <c r="M229" t="s">
        <v>7</v>
      </c>
      <c r="N229" t="s">
        <v>7</v>
      </c>
      <c r="P229">
        <f t="shared" si="938"/>
        <v>-0.48698884758364125</v>
      </c>
      <c r="Q229">
        <f t="shared" si="939"/>
        <v>-54685.0712383641</v>
      </c>
      <c r="R229">
        <f t="shared" si="940"/>
        <v>9101156.2235557828</v>
      </c>
      <c r="S229">
        <f t="shared" si="941"/>
        <v>91.011562235557832</v>
      </c>
      <c r="T229">
        <f t="shared" si="942"/>
        <v>9.1011562235557827E-2</v>
      </c>
    </row>
    <row r="230" spans="1:20" x14ac:dyDescent="0.25">
      <c r="A230" s="5">
        <v>44363</v>
      </c>
      <c r="B230">
        <v>171.93</v>
      </c>
      <c r="C230">
        <v>174.82</v>
      </c>
      <c r="D230">
        <v>163.29</v>
      </c>
      <c r="E230">
        <v>164.5</v>
      </c>
      <c r="F230">
        <v>117473.98476000001</v>
      </c>
      <c r="G230">
        <v>0</v>
      </c>
      <c r="L230" t="s">
        <v>7</v>
      </c>
      <c r="M230" t="s">
        <v>7</v>
      </c>
      <c r="N230" t="s">
        <v>7</v>
      </c>
      <c r="P230">
        <f t="shared" si="938"/>
        <v>-0.79011274934952158</v>
      </c>
      <c r="Q230">
        <f t="shared" si="939"/>
        <v>-92817.693075767398</v>
      </c>
      <c r="R230">
        <f t="shared" si="940"/>
        <v>9155841.2947941478</v>
      </c>
      <c r="S230">
        <f t="shared" si="941"/>
        <v>91.558412947941477</v>
      </c>
      <c r="T230">
        <f t="shared" si="942"/>
        <v>9.1558412947941481E-2</v>
      </c>
    </row>
    <row r="231" spans="1:20" x14ac:dyDescent="0.25">
      <c r="A231" s="5">
        <v>44362</v>
      </c>
      <c r="B231">
        <v>177.92</v>
      </c>
      <c r="C231">
        <v>179</v>
      </c>
      <c r="D231">
        <v>169.61</v>
      </c>
      <c r="E231">
        <v>171.94</v>
      </c>
      <c r="F231">
        <v>97218.483630000002</v>
      </c>
      <c r="G231">
        <v>0</v>
      </c>
      <c r="L231" t="s">
        <v>8</v>
      </c>
      <c r="M231" t="s">
        <v>7</v>
      </c>
      <c r="N231" t="s">
        <v>7</v>
      </c>
      <c r="P231">
        <f t="shared" si="938"/>
        <v>-0.50372736954206865</v>
      </c>
      <c r="Q231">
        <f t="shared" si="939"/>
        <v>-48971.611029808562</v>
      </c>
      <c r="R231">
        <f t="shared" si="940"/>
        <v>9248658.9878699146</v>
      </c>
      <c r="S231">
        <f t="shared" si="941"/>
        <v>92.486589878699149</v>
      </c>
      <c r="T231">
        <f t="shared" si="942"/>
        <v>9.2486589878699149E-2</v>
      </c>
    </row>
    <row r="232" spans="1:20" x14ac:dyDescent="0.25">
      <c r="A232" s="5">
        <v>44361</v>
      </c>
      <c r="B232">
        <v>172.53</v>
      </c>
      <c r="C232">
        <v>178</v>
      </c>
      <c r="D232">
        <v>167.61</v>
      </c>
      <c r="E232">
        <v>177.91</v>
      </c>
      <c r="F232">
        <v>124747.64164</v>
      </c>
      <c r="G232">
        <v>0</v>
      </c>
      <c r="L232" t="s">
        <v>8</v>
      </c>
      <c r="M232" t="s">
        <v>7</v>
      </c>
      <c r="N232" t="s">
        <v>7</v>
      </c>
      <c r="P232">
        <f t="shared" si="938"/>
        <v>0.98267564966313692</v>
      </c>
      <c r="Q232">
        <f t="shared" si="939"/>
        <v>122586.46979253119</v>
      </c>
      <c r="R232">
        <f t="shared" si="940"/>
        <v>9297630.598899724</v>
      </c>
      <c r="S232">
        <f t="shared" si="941"/>
        <v>92.97630598899724</v>
      </c>
      <c r="T232">
        <f t="shared" si="942"/>
        <v>9.297630598899724E-2</v>
      </c>
    </row>
    <row r="233" spans="1:20" x14ac:dyDescent="0.25">
      <c r="A233" s="5">
        <v>44360</v>
      </c>
      <c r="B233">
        <v>163.6</v>
      </c>
      <c r="C233">
        <v>172.89</v>
      </c>
      <c r="D233">
        <v>157.09</v>
      </c>
      <c r="E233">
        <v>172.55</v>
      </c>
      <c r="F233">
        <v>112692.45739</v>
      </c>
      <c r="G233">
        <v>0</v>
      </c>
      <c r="L233" t="s">
        <v>8</v>
      </c>
      <c r="M233" t="s">
        <v>7</v>
      </c>
      <c r="N233" t="s">
        <v>7</v>
      </c>
      <c r="P233">
        <f t="shared" si="938"/>
        <v>0.9569620253164588</v>
      </c>
      <c r="Q233">
        <f t="shared" si="939"/>
        <v>107842.40226182312</v>
      </c>
      <c r="R233">
        <f t="shared" si="940"/>
        <v>9175044.1291071922</v>
      </c>
      <c r="S233">
        <f t="shared" si="941"/>
        <v>91.750441291071922</v>
      </c>
      <c r="T233">
        <f t="shared" si="942"/>
        <v>9.1750441291071919E-2</v>
      </c>
    </row>
    <row r="234" spans="1:20" x14ac:dyDescent="0.25">
      <c r="A234" s="5">
        <v>44359</v>
      </c>
      <c r="B234">
        <v>165.69</v>
      </c>
      <c r="C234">
        <v>165.77</v>
      </c>
      <c r="D234">
        <v>154.28</v>
      </c>
      <c r="E234">
        <v>163.5</v>
      </c>
      <c r="F234">
        <v>112966.47461</v>
      </c>
      <c r="G234">
        <v>0</v>
      </c>
      <c r="L234" t="s">
        <v>7</v>
      </c>
      <c r="M234" t="s">
        <v>7</v>
      </c>
      <c r="N234" t="s">
        <v>7</v>
      </c>
      <c r="P234">
        <f t="shared" si="938"/>
        <v>0.60487380330722218</v>
      </c>
      <c r="Q234">
        <f t="shared" si="939"/>
        <v>68330.461143559456</v>
      </c>
      <c r="R234">
        <f t="shared" si="940"/>
        <v>9067201.7268453687</v>
      </c>
      <c r="S234">
        <f t="shared" si="941"/>
        <v>90.672017268453686</v>
      </c>
      <c r="T234">
        <f t="shared" si="942"/>
        <v>9.0672017268453683E-2</v>
      </c>
    </row>
    <row r="235" spans="1:20" x14ac:dyDescent="0.25">
      <c r="A235" s="5">
        <v>44358</v>
      </c>
      <c r="B235">
        <v>170.21</v>
      </c>
      <c r="C235">
        <v>174</v>
      </c>
      <c r="D235">
        <v>163.32</v>
      </c>
      <c r="E235">
        <v>165.71</v>
      </c>
      <c r="F235">
        <v>115459.42495</v>
      </c>
      <c r="G235">
        <v>0</v>
      </c>
      <c r="L235" t="s">
        <v>7</v>
      </c>
      <c r="M235" t="s">
        <v>7</v>
      </c>
      <c r="N235" t="s">
        <v>7</v>
      </c>
      <c r="P235">
        <f t="shared" si="938"/>
        <v>-0.55243445692883641</v>
      </c>
      <c r="Q235">
        <f t="shared" si="939"/>
        <v>-63783.764719568993</v>
      </c>
      <c r="R235">
        <f t="shared" si="940"/>
        <v>8998871.2657018099</v>
      </c>
      <c r="S235">
        <f t="shared" si="941"/>
        <v>89.988712657018098</v>
      </c>
      <c r="T235">
        <f t="shared" si="942"/>
        <v>8.9988712657018105E-2</v>
      </c>
    </row>
    <row r="236" spans="1:20" x14ac:dyDescent="0.25">
      <c r="A236" s="5">
        <v>44357</v>
      </c>
      <c r="B236">
        <v>176.84</v>
      </c>
      <c r="C236">
        <v>179.77</v>
      </c>
      <c r="D236">
        <v>164.56</v>
      </c>
      <c r="E236">
        <v>170.04</v>
      </c>
      <c r="F236">
        <v>125009.55389</v>
      </c>
      <c r="G236">
        <v>0</v>
      </c>
      <c r="L236" t="s">
        <v>8</v>
      </c>
      <c r="M236" t="s">
        <v>7</v>
      </c>
      <c r="N236" t="s">
        <v>7</v>
      </c>
      <c r="P236">
        <f t="shared" si="938"/>
        <v>-0.27942143326758884</v>
      </c>
      <c r="Q236">
        <f t="shared" si="939"/>
        <v>-34930.348720085683</v>
      </c>
      <c r="R236">
        <f t="shared" si="940"/>
        <v>9062655.0304213781</v>
      </c>
      <c r="S236">
        <f t="shared" si="941"/>
        <v>90.626550304213779</v>
      </c>
      <c r="T236">
        <f t="shared" si="942"/>
        <v>9.0626550304213779E-2</v>
      </c>
    </row>
    <row r="237" spans="1:20" x14ac:dyDescent="0.25">
      <c r="A237" s="5">
        <v>44356</v>
      </c>
      <c r="B237">
        <v>166.17</v>
      </c>
      <c r="C237">
        <v>177.74</v>
      </c>
      <c r="D237">
        <v>158.05000000000001</v>
      </c>
      <c r="E237">
        <v>176.76</v>
      </c>
      <c r="F237">
        <v>175698.25331999999</v>
      </c>
      <c r="G237">
        <v>0</v>
      </c>
      <c r="L237" t="s">
        <v>8</v>
      </c>
      <c r="M237" t="s">
        <v>7</v>
      </c>
      <c r="N237" t="s">
        <v>7</v>
      </c>
      <c r="P237">
        <f t="shared" si="938"/>
        <v>0.90045708481462483</v>
      </c>
      <c r="Q237">
        <f t="shared" si="939"/>
        <v>158208.73699154868</v>
      </c>
      <c r="R237">
        <f t="shared" si="940"/>
        <v>9097585.379141463</v>
      </c>
      <c r="S237">
        <f t="shared" si="941"/>
        <v>90.975853791414636</v>
      </c>
      <c r="T237">
        <f t="shared" si="942"/>
        <v>9.0975853791414638E-2</v>
      </c>
    </row>
    <row r="238" spans="1:20" x14ac:dyDescent="0.25">
      <c r="A238" s="5">
        <v>44355</v>
      </c>
      <c r="B238">
        <v>172.55</v>
      </c>
      <c r="C238">
        <v>174.97</v>
      </c>
      <c r="D238">
        <v>152.77000000000001</v>
      </c>
      <c r="E238">
        <v>166.22</v>
      </c>
      <c r="F238">
        <v>194234.72998999999</v>
      </c>
      <c r="G238">
        <v>0</v>
      </c>
      <c r="L238" t="s">
        <v>7</v>
      </c>
      <c r="M238" t="s">
        <v>7</v>
      </c>
      <c r="N238" t="s">
        <v>7</v>
      </c>
      <c r="P238">
        <f t="shared" si="938"/>
        <v>0.2117117117117113</v>
      </c>
      <c r="Q238">
        <f t="shared" si="939"/>
        <v>41121.767160044961</v>
      </c>
      <c r="R238">
        <f t="shared" si="940"/>
        <v>8939376.6421499141</v>
      </c>
      <c r="S238">
        <f t="shared" si="941"/>
        <v>89.393766421499137</v>
      </c>
      <c r="T238">
        <f t="shared" si="942"/>
        <v>8.9393766421499141E-2</v>
      </c>
    </row>
    <row r="239" spans="1:20" x14ac:dyDescent="0.25">
      <c r="A239" s="5">
        <v>44354</v>
      </c>
      <c r="B239">
        <v>185.44</v>
      </c>
      <c r="C239">
        <v>193.45</v>
      </c>
      <c r="D239">
        <v>169.82</v>
      </c>
      <c r="E239">
        <v>172.58</v>
      </c>
      <c r="F239">
        <v>130603.83399</v>
      </c>
      <c r="G239">
        <v>0</v>
      </c>
      <c r="L239" t="s">
        <v>7</v>
      </c>
      <c r="M239" t="s">
        <v>7</v>
      </c>
      <c r="N239" t="s">
        <v>8</v>
      </c>
      <c r="P239">
        <f t="shared" si="938"/>
        <v>-0.76639864578924932</v>
      </c>
      <c r="Q239">
        <f t="shared" si="939"/>
        <v>-100094.60150481993</v>
      </c>
      <c r="R239">
        <f t="shared" si="940"/>
        <v>8898254.8749898691</v>
      </c>
      <c r="S239">
        <f t="shared" si="941"/>
        <v>88.982548749898697</v>
      </c>
      <c r="T239">
        <f t="shared" si="942"/>
        <v>8.8982548749898693E-2</v>
      </c>
    </row>
    <row r="240" spans="1:20" x14ac:dyDescent="0.25">
      <c r="A240" s="5">
        <v>44353</v>
      </c>
      <c r="B240">
        <v>185.17</v>
      </c>
      <c r="C240">
        <v>193.19</v>
      </c>
      <c r="D240">
        <v>182.02</v>
      </c>
      <c r="E240">
        <v>185.45</v>
      </c>
      <c r="F240">
        <v>109538.64745</v>
      </c>
      <c r="G240">
        <v>0</v>
      </c>
      <c r="L240" t="s">
        <v>8</v>
      </c>
      <c r="M240" t="s">
        <v>7</v>
      </c>
      <c r="N240" t="s">
        <v>8</v>
      </c>
      <c r="P240">
        <f t="shared" si="938"/>
        <v>-0.38585496866607299</v>
      </c>
      <c r="Q240">
        <f t="shared" si="939"/>
        <v>-42266.031379543769</v>
      </c>
      <c r="R240">
        <f t="shared" si="940"/>
        <v>8998349.4764946885</v>
      </c>
      <c r="S240">
        <f t="shared" si="941"/>
        <v>89.983494764946883</v>
      </c>
      <c r="T240">
        <f t="shared" si="942"/>
        <v>8.9983494764946881E-2</v>
      </c>
    </row>
    <row r="241" spans="1:20" x14ac:dyDescent="0.25">
      <c r="A241" s="5">
        <v>44352</v>
      </c>
      <c r="B241">
        <v>191.25</v>
      </c>
      <c r="C241">
        <v>198.49</v>
      </c>
      <c r="D241">
        <v>179.12</v>
      </c>
      <c r="E241">
        <v>185.23</v>
      </c>
      <c r="F241">
        <v>140283.97567000001</v>
      </c>
      <c r="G241">
        <v>0</v>
      </c>
      <c r="L241" t="s">
        <v>7</v>
      </c>
      <c r="M241" t="s">
        <v>7</v>
      </c>
      <c r="N241" t="s">
        <v>8</v>
      </c>
      <c r="P241">
        <f t="shared" si="938"/>
        <v>-0.36912751677852518</v>
      </c>
      <c r="Q241">
        <f t="shared" si="939"/>
        <v>-51782.67558288615</v>
      </c>
      <c r="R241">
        <f t="shared" si="940"/>
        <v>9040615.5078742318</v>
      </c>
      <c r="S241">
        <f t="shared" si="941"/>
        <v>90.406155078742316</v>
      </c>
      <c r="T241">
        <f t="shared" si="942"/>
        <v>9.040615507874232E-2</v>
      </c>
    </row>
    <row r="242" spans="1:20" x14ac:dyDescent="0.25">
      <c r="A242" s="5">
        <v>44351</v>
      </c>
      <c r="B242">
        <v>210.33</v>
      </c>
      <c r="C242">
        <v>210.33</v>
      </c>
      <c r="D242">
        <v>180.38</v>
      </c>
      <c r="E242">
        <v>191.25</v>
      </c>
      <c r="F242">
        <v>196528.06677999999</v>
      </c>
      <c r="G242">
        <v>0</v>
      </c>
      <c r="L242" t="s">
        <v>7</v>
      </c>
      <c r="M242" t="s">
        <v>7</v>
      </c>
      <c r="N242" t="s">
        <v>8</v>
      </c>
      <c r="P242">
        <f t="shared" si="938"/>
        <v>-0.27412353923205351</v>
      </c>
      <c r="Q242">
        <f t="shared" si="939"/>
        <v>-53872.969224166962</v>
      </c>
      <c r="R242">
        <f t="shared" si="940"/>
        <v>9092398.1834571175</v>
      </c>
      <c r="S242">
        <f t="shared" si="941"/>
        <v>90.92398183457118</v>
      </c>
      <c r="T242">
        <f t="shared" si="942"/>
        <v>9.0923981834571177E-2</v>
      </c>
    </row>
    <row r="243" spans="1:20" x14ac:dyDescent="0.25">
      <c r="A243" s="5">
        <v>44350</v>
      </c>
      <c r="B243">
        <v>202.39</v>
      </c>
      <c r="C243">
        <v>218.95</v>
      </c>
      <c r="D243">
        <v>198.36</v>
      </c>
      <c r="E243">
        <v>210.25</v>
      </c>
      <c r="F243">
        <v>186665.09481000001</v>
      </c>
      <c r="G243">
        <v>0</v>
      </c>
      <c r="L243" t="s">
        <v>8</v>
      </c>
      <c r="M243" t="s">
        <v>8</v>
      </c>
      <c r="N243" t="s">
        <v>8</v>
      </c>
      <c r="P243">
        <f t="shared" si="938"/>
        <v>0.1549295774647888</v>
      </c>
      <c r="Q243">
        <f t="shared" si="939"/>
        <v>28919.944266338043</v>
      </c>
      <c r="R243">
        <f t="shared" si="940"/>
        <v>9146271.1526812837</v>
      </c>
      <c r="S243">
        <f t="shared" si="941"/>
        <v>91.462711526812839</v>
      </c>
      <c r="T243">
        <f t="shared" si="942"/>
        <v>9.1462711526812845E-2</v>
      </c>
    </row>
    <row r="244" spans="1:20" x14ac:dyDescent="0.25">
      <c r="A244" s="5">
        <v>44349</v>
      </c>
      <c r="B244">
        <v>191.49</v>
      </c>
      <c r="C244">
        <v>209.42</v>
      </c>
      <c r="D244">
        <v>186.83</v>
      </c>
      <c r="E244">
        <v>202.42</v>
      </c>
      <c r="F244">
        <v>189730.10123999999</v>
      </c>
      <c r="G244">
        <v>0</v>
      </c>
      <c r="L244" t="s">
        <v>8</v>
      </c>
      <c r="M244" t="s">
        <v>8</v>
      </c>
      <c r="N244" t="s">
        <v>8</v>
      </c>
      <c r="P244">
        <f t="shared" si="938"/>
        <v>0.38025675077467835</v>
      </c>
      <c r="Q244">
        <f t="shared" si="939"/>
        <v>72146.151821673164</v>
      </c>
      <c r="R244">
        <f t="shared" si="940"/>
        <v>9117351.2084149458</v>
      </c>
      <c r="S244">
        <f t="shared" si="941"/>
        <v>91.173512084149451</v>
      </c>
      <c r="T244">
        <f t="shared" si="942"/>
        <v>9.117351208414945E-2</v>
      </c>
    </row>
    <row r="245" spans="1:20" x14ac:dyDescent="0.25">
      <c r="A245" s="5">
        <v>44348</v>
      </c>
      <c r="B245">
        <v>197.6</v>
      </c>
      <c r="C245">
        <v>201.65</v>
      </c>
      <c r="D245">
        <v>184.41</v>
      </c>
      <c r="E245">
        <v>191.5</v>
      </c>
      <c r="F245">
        <v>158953.71350000001</v>
      </c>
      <c r="G245">
        <v>0</v>
      </c>
      <c r="L245" t="s">
        <v>7</v>
      </c>
      <c r="M245" t="s">
        <v>8</v>
      </c>
      <c r="N245" t="s">
        <v>8</v>
      </c>
      <c r="P245">
        <f t="shared" si="938"/>
        <v>-0.1774941995359629</v>
      </c>
      <c r="Q245">
        <f t="shared" si="939"/>
        <v>-28213.362140951282</v>
      </c>
      <c r="R245">
        <f t="shared" si="940"/>
        <v>9045205.0565932728</v>
      </c>
      <c r="S245">
        <f t="shared" si="941"/>
        <v>90.452050565932723</v>
      </c>
      <c r="T245">
        <f t="shared" si="942"/>
        <v>9.0452050565932723E-2</v>
      </c>
    </row>
    <row r="246" spans="1:20" x14ac:dyDescent="0.25">
      <c r="A246" s="5">
        <v>44347</v>
      </c>
      <c r="B246">
        <v>181.88</v>
      </c>
      <c r="C246">
        <v>198.62</v>
      </c>
      <c r="D246">
        <v>172.92</v>
      </c>
      <c r="E246">
        <v>197.42</v>
      </c>
      <c r="F246">
        <v>186504.39322</v>
      </c>
      <c r="G246">
        <v>0</v>
      </c>
      <c r="L246" t="s">
        <v>8</v>
      </c>
      <c r="M246" t="s">
        <v>8</v>
      </c>
      <c r="N246" t="s">
        <v>8</v>
      </c>
      <c r="P246">
        <f t="shared" si="938"/>
        <v>0.90661478599221668</v>
      </c>
      <c r="Q246">
        <f t="shared" si="939"/>
        <v>169087.64054575854</v>
      </c>
      <c r="R246">
        <f t="shared" si="940"/>
        <v>9073418.4187342245</v>
      </c>
      <c r="S246">
        <f t="shared" si="941"/>
        <v>90.734184187342251</v>
      </c>
      <c r="T246">
        <f t="shared" si="942"/>
        <v>9.0734184187342248E-2</v>
      </c>
    </row>
    <row r="247" spans="1:20" x14ac:dyDescent="0.25">
      <c r="A247" s="5">
        <v>44346</v>
      </c>
      <c r="B247">
        <v>176.93</v>
      </c>
      <c r="C247">
        <v>190.66</v>
      </c>
      <c r="D247">
        <v>165.42</v>
      </c>
      <c r="E247">
        <v>181.8</v>
      </c>
      <c r="F247">
        <v>210084.63011999999</v>
      </c>
      <c r="G247">
        <v>0</v>
      </c>
      <c r="L247" t="s">
        <v>7</v>
      </c>
      <c r="M247" t="s">
        <v>7</v>
      </c>
      <c r="N247" t="s">
        <v>8</v>
      </c>
      <c r="P247">
        <f t="shared" si="938"/>
        <v>0.29793977812995387</v>
      </c>
      <c r="Q247">
        <f t="shared" si="939"/>
        <v>62592.568086466221</v>
      </c>
      <c r="R247">
        <f t="shared" si="940"/>
        <v>8904330.7781884652</v>
      </c>
      <c r="S247">
        <f t="shared" si="941"/>
        <v>89.04330778188465</v>
      </c>
      <c r="T247">
        <f t="shared" si="942"/>
        <v>8.9043307781884656E-2</v>
      </c>
    </row>
    <row r="248" spans="1:20" x14ac:dyDescent="0.25">
      <c r="A248" s="5">
        <v>44345</v>
      </c>
      <c r="B248">
        <v>183.25</v>
      </c>
      <c r="C248">
        <v>210.34</v>
      </c>
      <c r="D248">
        <v>170.63</v>
      </c>
      <c r="E248">
        <v>176.53</v>
      </c>
      <c r="F248">
        <v>381318.37904000003</v>
      </c>
      <c r="G248">
        <v>0</v>
      </c>
      <c r="L248" t="s">
        <v>8</v>
      </c>
      <c r="M248" t="s">
        <v>8</v>
      </c>
      <c r="N248" t="s">
        <v>8</v>
      </c>
      <c r="P248">
        <f t="shared" si="938"/>
        <v>-0.70284563082346996</v>
      </c>
      <c r="Q248">
        <f t="shared" si="939"/>
        <v>-268007.95666095184</v>
      </c>
      <c r="R248">
        <f t="shared" si="940"/>
        <v>8841738.2101019993</v>
      </c>
      <c r="S248">
        <f t="shared" si="941"/>
        <v>88.417382101019996</v>
      </c>
      <c r="T248">
        <f t="shared" si="942"/>
        <v>8.8417382101020001E-2</v>
      </c>
    </row>
    <row r="249" spans="1:20" x14ac:dyDescent="0.25">
      <c r="A249" s="5">
        <v>44344</v>
      </c>
      <c r="B249">
        <v>205.13</v>
      </c>
      <c r="C249">
        <v>206.45</v>
      </c>
      <c r="D249">
        <v>170.75</v>
      </c>
      <c r="E249">
        <v>183.22</v>
      </c>
      <c r="F249">
        <v>331623.12095999997</v>
      </c>
      <c r="G249">
        <v>0</v>
      </c>
      <c r="L249" t="s">
        <v>7</v>
      </c>
      <c r="M249" t="s">
        <v>7</v>
      </c>
      <c r="N249" t="s">
        <v>8</v>
      </c>
      <c r="P249">
        <f t="shared" si="938"/>
        <v>-0.30140056022408945</v>
      </c>
      <c r="Q249">
        <f t="shared" si="939"/>
        <v>-99951.39444060497</v>
      </c>
      <c r="R249">
        <f t="shared" si="940"/>
        <v>9109746.1667629518</v>
      </c>
      <c r="S249">
        <f t="shared" si="941"/>
        <v>91.097461667629517</v>
      </c>
      <c r="T249">
        <f t="shared" si="942"/>
        <v>9.1097461667629512E-2</v>
      </c>
    </row>
    <row r="250" spans="1:20" x14ac:dyDescent="0.25">
      <c r="A250" s="5">
        <v>44343</v>
      </c>
      <c r="B250">
        <v>214.09</v>
      </c>
      <c r="C250">
        <v>215.18</v>
      </c>
      <c r="D250">
        <v>191.47</v>
      </c>
      <c r="E250">
        <v>205.1</v>
      </c>
      <c r="F250">
        <v>211320.49341</v>
      </c>
      <c r="G250">
        <v>0</v>
      </c>
      <c r="L250" t="s">
        <v>7</v>
      </c>
      <c r="M250" t="s">
        <v>8</v>
      </c>
      <c r="N250" t="s">
        <v>8</v>
      </c>
      <c r="P250">
        <f t="shared" si="938"/>
        <v>0.14972585407001188</v>
      </c>
      <c r="Q250">
        <f t="shared" si="939"/>
        <v>31640.141358308567</v>
      </c>
      <c r="R250">
        <f t="shared" si="940"/>
        <v>9209697.5612035561</v>
      </c>
      <c r="S250">
        <f t="shared" si="941"/>
        <v>92.096975612035564</v>
      </c>
      <c r="T250">
        <f t="shared" si="942"/>
        <v>9.2096975612035559E-2</v>
      </c>
    </row>
    <row r="251" spans="1:20" x14ac:dyDescent="0.25">
      <c r="A251" s="5">
        <v>44342</v>
      </c>
      <c r="B251">
        <v>195.17</v>
      </c>
      <c r="C251">
        <v>221.51</v>
      </c>
      <c r="D251">
        <v>191.39</v>
      </c>
      <c r="E251">
        <v>214.1</v>
      </c>
      <c r="F251">
        <v>292941.41175000003</v>
      </c>
      <c r="G251">
        <v>0</v>
      </c>
      <c r="L251" t="s">
        <v>8</v>
      </c>
      <c r="M251" t="s">
        <v>8</v>
      </c>
      <c r="N251" t="s">
        <v>8</v>
      </c>
      <c r="P251">
        <f t="shared" si="938"/>
        <v>0.50796812749004017</v>
      </c>
      <c r="Q251">
        <f t="shared" si="939"/>
        <v>148804.90039093635</v>
      </c>
      <c r="R251">
        <f t="shared" si="940"/>
        <v>9178057.4198452476</v>
      </c>
      <c r="S251">
        <f t="shared" si="941"/>
        <v>91.78057419845247</v>
      </c>
      <c r="T251">
        <f t="shared" si="942"/>
        <v>9.1780574198452466E-2</v>
      </c>
    </row>
    <row r="252" spans="1:20" x14ac:dyDescent="0.25">
      <c r="A252" s="5">
        <v>44341</v>
      </c>
      <c r="B252">
        <v>201.48</v>
      </c>
      <c r="C252">
        <v>216.06</v>
      </c>
      <c r="D252">
        <v>176.14</v>
      </c>
      <c r="E252">
        <v>195</v>
      </c>
      <c r="F252">
        <v>381481.93011999998</v>
      </c>
      <c r="G252">
        <v>0</v>
      </c>
      <c r="L252" t="s">
        <v>8</v>
      </c>
      <c r="M252" t="s">
        <v>8</v>
      </c>
      <c r="N252" t="s">
        <v>8</v>
      </c>
      <c r="P252">
        <f t="shared" si="938"/>
        <v>-5.5110220440881458E-2</v>
      </c>
      <c r="Q252">
        <f t="shared" si="939"/>
        <v>-21023.553263126134</v>
      </c>
      <c r="R252">
        <f t="shared" si="940"/>
        <v>9029252.5194543116</v>
      </c>
      <c r="S252">
        <f t="shared" si="941"/>
        <v>90.292525194543117</v>
      </c>
      <c r="T252">
        <f t="shared" si="942"/>
        <v>9.0292525194543116E-2</v>
      </c>
    </row>
    <row r="253" spans="1:20" x14ac:dyDescent="0.25">
      <c r="A253" s="5">
        <v>44340</v>
      </c>
      <c r="B253">
        <v>150.01</v>
      </c>
      <c r="C253">
        <v>201.48</v>
      </c>
      <c r="D253">
        <v>146.30000000000001</v>
      </c>
      <c r="E253">
        <v>201.48</v>
      </c>
      <c r="F253">
        <v>373905.92431999999</v>
      </c>
      <c r="G253">
        <v>0</v>
      </c>
      <c r="L253" t="s">
        <v>8</v>
      </c>
      <c r="M253" t="s">
        <v>8</v>
      </c>
      <c r="N253" t="s">
        <v>8</v>
      </c>
      <c r="P253">
        <f t="shared" si="938"/>
        <v>1</v>
      </c>
      <c r="Q253">
        <f t="shared" si="939"/>
        <v>373905.92431999999</v>
      </c>
      <c r="R253">
        <f t="shared" si="940"/>
        <v>9050276.0727174375</v>
      </c>
      <c r="S253">
        <f t="shared" si="941"/>
        <v>90.502760727174376</v>
      </c>
      <c r="T253">
        <f t="shared" si="942"/>
        <v>9.0502760727174378E-2</v>
      </c>
    </row>
    <row r="254" spans="1:20" x14ac:dyDescent="0.25">
      <c r="A254" s="5">
        <v>44339</v>
      </c>
      <c r="B254">
        <v>178.14</v>
      </c>
      <c r="C254">
        <v>184.02</v>
      </c>
      <c r="D254">
        <v>122.51</v>
      </c>
      <c r="E254">
        <v>149.93</v>
      </c>
      <c r="F254">
        <v>517506.94062000001</v>
      </c>
      <c r="G254">
        <v>0</v>
      </c>
      <c r="L254" t="s">
        <v>7</v>
      </c>
      <c r="M254" t="s">
        <v>7</v>
      </c>
      <c r="N254" t="s">
        <v>7</v>
      </c>
      <c r="P254">
        <f t="shared" si="938"/>
        <v>-0.10843765241424161</v>
      </c>
      <c r="Q254">
        <f t="shared" si="939"/>
        <v>-56117.23774890913</v>
      </c>
      <c r="R254">
        <f t="shared" si="940"/>
        <v>8676370.1483974382</v>
      </c>
      <c r="S254">
        <f t="shared" si="941"/>
        <v>86.763701483974387</v>
      </c>
      <c r="T254">
        <f t="shared" si="942"/>
        <v>8.6763701483974387E-2</v>
      </c>
    </row>
    <row r="255" spans="1:20" x14ac:dyDescent="0.25">
      <c r="A255" s="5">
        <v>44338</v>
      </c>
      <c r="B255">
        <v>188.31</v>
      </c>
      <c r="C255">
        <v>194.28</v>
      </c>
      <c r="D255">
        <v>169.37</v>
      </c>
      <c r="E255">
        <v>178.31</v>
      </c>
      <c r="F255">
        <v>296652.85765000002</v>
      </c>
      <c r="G255">
        <v>0</v>
      </c>
      <c r="L255" t="s">
        <v>8</v>
      </c>
      <c r="M255" t="s">
        <v>7</v>
      </c>
      <c r="N255" t="s">
        <v>7</v>
      </c>
      <c r="P255">
        <f t="shared" si="938"/>
        <v>-0.28221597751906874</v>
      </c>
      <c r="Q255">
        <f t="shared" si="939"/>
        <v>-83720.176205519907</v>
      </c>
      <c r="R255">
        <f t="shared" si="940"/>
        <v>8732487.386146348</v>
      </c>
      <c r="S255">
        <f t="shared" si="941"/>
        <v>87.324873861463473</v>
      </c>
      <c r="T255">
        <f t="shared" si="942"/>
        <v>8.7324873861463467E-2</v>
      </c>
    </row>
    <row r="256" spans="1:20" x14ac:dyDescent="0.25">
      <c r="A256" s="5">
        <v>44337</v>
      </c>
      <c r="B256">
        <v>226.97</v>
      </c>
      <c r="C256">
        <v>235.57</v>
      </c>
      <c r="D256">
        <v>165.19</v>
      </c>
      <c r="E256">
        <v>188.34</v>
      </c>
      <c r="F256">
        <v>384233.69396</v>
      </c>
      <c r="G256">
        <v>0</v>
      </c>
      <c r="L256" t="s">
        <v>7</v>
      </c>
      <c r="M256" t="s">
        <v>7</v>
      </c>
      <c r="N256" t="s">
        <v>7</v>
      </c>
      <c r="P256">
        <f t="shared" si="938"/>
        <v>-0.34214265416311429</v>
      </c>
      <c r="Q256">
        <f t="shared" si="939"/>
        <v>-131462.73587037218</v>
      </c>
      <c r="R256">
        <f t="shared" si="940"/>
        <v>8816207.5623518676</v>
      </c>
      <c r="S256">
        <f t="shared" si="941"/>
        <v>88.162075623518675</v>
      </c>
      <c r="T256">
        <f t="shared" si="942"/>
        <v>8.8162075623518674E-2</v>
      </c>
    </row>
    <row r="257" spans="1:20" x14ac:dyDescent="0.25">
      <c r="A257" s="5">
        <v>44336</v>
      </c>
      <c r="B257">
        <v>189.73</v>
      </c>
      <c r="C257">
        <v>238.13</v>
      </c>
      <c r="D257">
        <v>165.63</v>
      </c>
      <c r="E257">
        <v>226.94</v>
      </c>
      <c r="F257">
        <v>471119.01152</v>
      </c>
      <c r="G257">
        <v>0</v>
      </c>
      <c r="L257" t="s">
        <v>8</v>
      </c>
      <c r="M257" t="s">
        <v>8</v>
      </c>
      <c r="N257" t="s">
        <v>8</v>
      </c>
      <c r="P257">
        <f t="shared" si="938"/>
        <v>0.69131034482758624</v>
      </c>
      <c r="Q257">
        <f t="shared" si="939"/>
        <v>325689.44630872278</v>
      </c>
      <c r="R257">
        <f t="shared" si="940"/>
        <v>8947670.2982222401</v>
      </c>
      <c r="S257">
        <f t="shared" si="941"/>
        <v>89.476702982222406</v>
      </c>
      <c r="T257">
        <f t="shared" si="942"/>
        <v>8.9476702982222406E-2</v>
      </c>
    </row>
    <row r="258" spans="1:20" x14ac:dyDescent="0.25">
      <c r="A258" s="5">
        <v>44335</v>
      </c>
      <c r="B258">
        <v>304.64</v>
      </c>
      <c r="C258">
        <v>310.39999999999998</v>
      </c>
      <c r="D258">
        <v>140.72999999999999</v>
      </c>
      <c r="E258">
        <v>189.04</v>
      </c>
      <c r="F258">
        <v>744158.20323999994</v>
      </c>
      <c r="G258">
        <v>0</v>
      </c>
      <c r="L258" t="s">
        <v>7</v>
      </c>
      <c r="M258" t="s">
        <v>7</v>
      </c>
      <c r="N258" t="s">
        <v>7</v>
      </c>
      <c r="P258">
        <f t="shared" si="938"/>
        <v>-0.43054163965344483</v>
      </c>
      <c r="Q258">
        <f t="shared" si="939"/>
        <v>-320391.09298451099</v>
      </c>
      <c r="R258">
        <f t="shared" si="940"/>
        <v>8621980.8519135173</v>
      </c>
      <c r="S258">
        <f t="shared" si="941"/>
        <v>86.219808519135171</v>
      </c>
      <c r="T258">
        <f t="shared" si="942"/>
        <v>8.6219808519135174E-2</v>
      </c>
    </row>
    <row r="259" spans="1:20" x14ac:dyDescent="0.25">
      <c r="A259" s="5">
        <v>44334</v>
      </c>
      <c r="B259">
        <v>294.72000000000003</v>
      </c>
      <c r="C259">
        <v>318.31</v>
      </c>
      <c r="D259">
        <v>290.22000000000003</v>
      </c>
      <c r="E259">
        <v>304.52</v>
      </c>
      <c r="F259">
        <v>216644.02788000001</v>
      </c>
      <c r="G259">
        <v>0</v>
      </c>
      <c r="L259" t="s">
        <v>8</v>
      </c>
      <c r="M259" t="s">
        <v>7</v>
      </c>
      <c r="N259" t="s">
        <v>7</v>
      </c>
      <c r="P259">
        <f t="shared" si="938"/>
        <v>1.8155927376288163E-2</v>
      </c>
      <c r="Q259">
        <f t="shared" si="939"/>
        <v>3933.3732366958279</v>
      </c>
      <c r="R259">
        <f t="shared" si="940"/>
        <v>8942371.9448980279</v>
      </c>
      <c r="S259">
        <f t="shared" si="941"/>
        <v>89.423719448980279</v>
      </c>
      <c r="T259">
        <f t="shared" si="942"/>
        <v>8.9423719448980282E-2</v>
      </c>
    </row>
    <row r="260" spans="1:20" x14ac:dyDescent="0.25">
      <c r="A260" s="5">
        <v>44333</v>
      </c>
      <c r="B260">
        <v>331.44</v>
      </c>
      <c r="C260">
        <v>331.85</v>
      </c>
      <c r="D260">
        <v>281.35000000000002</v>
      </c>
      <c r="E260">
        <v>294.45</v>
      </c>
      <c r="F260">
        <v>370066.67888000002</v>
      </c>
      <c r="G260">
        <v>0</v>
      </c>
      <c r="L260" t="s">
        <v>7</v>
      </c>
      <c r="M260" t="s">
        <v>7</v>
      </c>
      <c r="N260" t="s">
        <v>7</v>
      </c>
      <c r="P260">
        <f t="shared" si="938"/>
        <v>-0.48118811881188256</v>
      </c>
      <c r="Q260">
        <f t="shared" si="939"/>
        <v>-178071.68904522824</v>
      </c>
      <c r="R260">
        <f t="shared" si="940"/>
        <v>8938438.5716613326</v>
      </c>
      <c r="S260">
        <f t="shared" si="941"/>
        <v>89.384385716613323</v>
      </c>
      <c r="T260">
        <f t="shared" si="942"/>
        <v>8.9384385716613321E-2</v>
      </c>
    </row>
    <row r="261" spans="1:20" x14ac:dyDescent="0.25">
      <c r="A261" s="5">
        <v>44332</v>
      </c>
      <c r="B261">
        <v>336.15</v>
      </c>
      <c r="C261">
        <v>367.23</v>
      </c>
      <c r="D261">
        <v>311.67</v>
      </c>
      <c r="E261">
        <v>331.6</v>
      </c>
      <c r="F261">
        <v>217015.60657999999</v>
      </c>
      <c r="G261">
        <v>0</v>
      </c>
      <c r="L261" t="s">
        <v>7</v>
      </c>
      <c r="M261" t="s">
        <v>7</v>
      </c>
      <c r="N261" t="s">
        <v>7</v>
      </c>
      <c r="P261">
        <f t="shared" si="938"/>
        <v>-0.28257739380849511</v>
      </c>
      <c r="Q261">
        <f t="shared" si="939"/>
        <v>-61323.704523146102</v>
      </c>
      <c r="R261">
        <f t="shared" si="940"/>
        <v>9116510.2607065607</v>
      </c>
      <c r="S261">
        <f t="shared" si="941"/>
        <v>91.165102607065606</v>
      </c>
      <c r="T261">
        <f t="shared" si="942"/>
        <v>9.1165102607065604E-2</v>
      </c>
    </row>
    <row r="262" spans="1:20" x14ac:dyDescent="0.25">
      <c r="A262" s="5">
        <v>44331</v>
      </c>
      <c r="B262">
        <v>371.01</v>
      </c>
      <c r="C262">
        <v>374.78</v>
      </c>
      <c r="D262">
        <v>333.69</v>
      </c>
      <c r="E262">
        <v>336.28</v>
      </c>
      <c r="F262">
        <v>199185.18445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43">IF(C262=D262,0,((E262-D262)-(C262-E262))/(C262-D262))</f>
        <v>-0.8739352640545156</v>
      </c>
      <c r="Q262">
        <f t="shared" ref="Q262:Q325" si="944">F262*P262</f>
        <v>-174074.95676805815</v>
      </c>
      <c r="R262">
        <f t="shared" ref="R262:R325" si="945">R263+Q262</f>
        <v>9177833.9652297068</v>
      </c>
      <c r="S262">
        <f t="shared" ref="S262:S325" si="946">R262/100000</f>
        <v>91.778339652297063</v>
      </c>
      <c r="T262">
        <f t="shared" ref="T262:T325" si="947">S262/1000</f>
        <v>9.1778339652297064E-2</v>
      </c>
    </row>
    <row r="263" spans="1:20" x14ac:dyDescent="0.25">
      <c r="A263" s="5">
        <v>44330</v>
      </c>
      <c r="B263">
        <v>357.5</v>
      </c>
      <c r="C263">
        <v>386.01</v>
      </c>
      <c r="D263">
        <v>354.41</v>
      </c>
      <c r="E263">
        <v>371.01</v>
      </c>
      <c r="F263">
        <v>153905.32784000001</v>
      </c>
      <c r="G263">
        <v>0</v>
      </c>
      <c r="L263" t="s">
        <v>8</v>
      </c>
      <c r="M263" t="s">
        <v>7</v>
      </c>
      <c r="N263" t="s">
        <v>8</v>
      </c>
      <c r="P263">
        <f t="shared" si="943"/>
        <v>5.0632911392404036E-2</v>
      </c>
      <c r="Q263">
        <f t="shared" si="944"/>
        <v>7792.6748273416142</v>
      </c>
      <c r="R263">
        <f t="shared" si="945"/>
        <v>9351908.9219977651</v>
      </c>
      <c r="S263">
        <f t="shared" si="946"/>
        <v>93.519089219977644</v>
      </c>
      <c r="T263">
        <f t="shared" si="947"/>
        <v>9.3519089219977647E-2</v>
      </c>
    </row>
    <row r="264" spans="1:20" x14ac:dyDescent="0.25">
      <c r="A264" s="5">
        <v>44329</v>
      </c>
      <c r="B264">
        <v>358.56</v>
      </c>
      <c r="C264">
        <v>384.5</v>
      </c>
      <c r="D264">
        <v>336.92</v>
      </c>
      <c r="E264">
        <v>357.29</v>
      </c>
      <c r="F264">
        <v>352494.61061999999</v>
      </c>
      <c r="G264">
        <v>0</v>
      </c>
      <c r="L264" t="s">
        <v>7</v>
      </c>
      <c r="M264" t="s">
        <v>7</v>
      </c>
      <c r="N264" t="s">
        <v>8</v>
      </c>
      <c r="P264">
        <f t="shared" si="943"/>
        <v>-0.14375788146279903</v>
      </c>
      <c r="Q264">
        <f t="shared" si="944"/>
        <v>-50673.878449785458</v>
      </c>
      <c r="R264">
        <f t="shared" si="945"/>
        <v>9344116.2471704241</v>
      </c>
      <c r="S264">
        <f t="shared" si="946"/>
        <v>93.441162471704246</v>
      </c>
      <c r="T264">
        <f t="shared" si="947"/>
        <v>9.3441162471704239E-2</v>
      </c>
    </row>
    <row r="265" spans="1:20" x14ac:dyDescent="0.25">
      <c r="A265" s="5">
        <v>44328</v>
      </c>
      <c r="B265">
        <v>426.74</v>
      </c>
      <c r="C265">
        <v>439.17</v>
      </c>
      <c r="D265">
        <v>351</v>
      </c>
      <c r="E265">
        <v>359</v>
      </c>
      <c r="F265">
        <v>398862.92793000001</v>
      </c>
      <c r="G265">
        <v>0</v>
      </c>
      <c r="L265" t="s">
        <v>8</v>
      </c>
      <c r="M265" t="s">
        <v>7</v>
      </c>
      <c r="N265" t="s">
        <v>8</v>
      </c>
      <c r="P265">
        <f t="shared" si="943"/>
        <v>-0.81853238062833167</v>
      </c>
      <c r="Q265">
        <f t="shared" si="944"/>
        <v>-326482.22194292961</v>
      </c>
      <c r="R265">
        <f t="shared" si="945"/>
        <v>9394790.1256202087</v>
      </c>
      <c r="S265">
        <f t="shared" si="946"/>
        <v>93.947901256202087</v>
      </c>
      <c r="T265">
        <f t="shared" si="947"/>
        <v>9.3947901256202088E-2</v>
      </c>
    </row>
    <row r="266" spans="1:20" x14ac:dyDescent="0.25">
      <c r="A266" s="5">
        <v>44327</v>
      </c>
      <c r="B266">
        <v>371.39</v>
      </c>
      <c r="C266">
        <v>434.43</v>
      </c>
      <c r="D266">
        <v>360.49</v>
      </c>
      <c r="E266">
        <v>426.74</v>
      </c>
      <c r="F266">
        <v>299251.91158000001</v>
      </c>
      <c r="G266">
        <v>0</v>
      </c>
      <c r="L266" t="s">
        <v>8</v>
      </c>
      <c r="M266" t="s">
        <v>8</v>
      </c>
      <c r="N266" t="s">
        <v>8</v>
      </c>
      <c r="P266">
        <f t="shared" si="943"/>
        <v>0.79199350824993242</v>
      </c>
      <c r="Q266">
        <f t="shared" si="944"/>
        <v>237005.57130274278</v>
      </c>
      <c r="R266">
        <f t="shared" si="945"/>
        <v>9721272.3475631382</v>
      </c>
      <c r="S266">
        <f t="shared" si="946"/>
        <v>97.212723475631378</v>
      </c>
      <c r="T266">
        <f t="shared" si="947"/>
        <v>9.7212723475631382E-2</v>
      </c>
    </row>
    <row r="267" spans="1:20" x14ac:dyDescent="0.25">
      <c r="A267" s="5">
        <v>44326</v>
      </c>
      <c r="B267">
        <v>407.08</v>
      </c>
      <c r="C267">
        <v>433.33</v>
      </c>
      <c r="D267">
        <v>354.78</v>
      </c>
      <c r="E267">
        <v>371.63</v>
      </c>
      <c r="F267">
        <v>317816.2083</v>
      </c>
      <c r="G267">
        <v>0</v>
      </c>
      <c r="L267" t="s">
        <v>7</v>
      </c>
      <c r="M267" t="s">
        <v>7</v>
      </c>
      <c r="N267" t="s">
        <v>8</v>
      </c>
      <c r="P267">
        <f t="shared" si="943"/>
        <v>-0.57097390197326492</v>
      </c>
      <c r="Q267">
        <f t="shared" si="944"/>
        <v>-181464.76056339894</v>
      </c>
      <c r="R267">
        <f t="shared" si="945"/>
        <v>9484266.7762603946</v>
      </c>
      <c r="S267">
        <f t="shared" si="946"/>
        <v>94.842667762603952</v>
      </c>
      <c r="T267">
        <f t="shared" si="947"/>
        <v>9.4842667762603958E-2</v>
      </c>
    </row>
    <row r="268" spans="1:20" x14ac:dyDescent="0.25">
      <c r="A268" s="5">
        <v>44325</v>
      </c>
      <c r="B268">
        <v>409.26</v>
      </c>
      <c r="C268">
        <v>410.09</v>
      </c>
      <c r="D268">
        <v>372</v>
      </c>
      <c r="E268">
        <v>406.96</v>
      </c>
      <c r="F268">
        <v>254577.57373</v>
      </c>
      <c r="G268">
        <v>0</v>
      </c>
      <c r="L268" t="s">
        <v>7</v>
      </c>
      <c r="M268" t="s">
        <v>7</v>
      </c>
      <c r="N268" t="s">
        <v>8</v>
      </c>
      <c r="P268">
        <f t="shared" si="943"/>
        <v>0.83565240220530335</v>
      </c>
      <c r="Q268">
        <f t="shared" si="944"/>
        <v>212738.36103507224</v>
      </c>
      <c r="R268">
        <f t="shared" si="945"/>
        <v>9665731.5368237942</v>
      </c>
      <c r="S268">
        <f t="shared" si="946"/>
        <v>96.657315368237946</v>
      </c>
      <c r="T268">
        <f t="shared" si="947"/>
        <v>9.6657315368237948E-2</v>
      </c>
    </row>
    <row r="269" spans="1:20" x14ac:dyDescent="0.25">
      <c r="A269" s="5">
        <v>44324</v>
      </c>
      <c r="B269">
        <v>404.48</v>
      </c>
      <c r="C269">
        <v>428.28</v>
      </c>
      <c r="D269">
        <v>392.66</v>
      </c>
      <c r="E269">
        <v>408.83</v>
      </c>
      <c r="F269">
        <v>242237.36564999999</v>
      </c>
      <c r="G269">
        <v>0</v>
      </c>
      <c r="L269" t="s">
        <v>7</v>
      </c>
      <c r="M269" t="s">
        <v>7</v>
      </c>
      <c r="N269" t="s">
        <v>8</v>
      </c>
      <c r="P269">
        <f t="shared" si="943"/>
        <v>-9.2083099382370415E-2</v>
      </c>
      <c r="Q269">
        <f t="shared" si="944"/>
        <v>-22305.967415272549</v>
      </c>
      <c r="R269">
        <f t="shared" si="945"/>
        <v>9452993.1757887211</v>
      </c>
      <c r="S269">
        <f t="shared" si="946"/>
        <v>94.529931757887212</v>
      </c>
      <c r="T269">
        <f t="shared" si="947"/>
        <v>9.4529931757887209E-2</v>
      </c>
    </row>
    <row r="270" spans="1:20" x14ac:dyDescent="0.25">
      <c r="A270" s="5">
        <v>44323</v>
      </c>
      <c r="B270">
        <v>442.87</v>
      </c>
      <c r="C270">
        <v>478</v>
      </c>
      <c r="D270">
        <v>391</v>
      </c>
      <c r="E270">
        <v>404.11</v>
      </c>
      <c r="F270">
        <v>505079.99877000001</v>
      </c>
      <c r="G270">
        <v>0</v>
      </c>
      <c r="L270" t="s">
        <v>8</v>
      </c>
      <c r="M270" t="s">
        <v>8</v>
      </c>
      <c r="N270" t="s">
        <v>8</v>
      </c>
      <c r="P270">
        <f t="shared" si="943"/>
        <v>-0.6986206896551721</v>
      </c>
      <c r="Q270">
        <f t="shared" si="944"/>
        <v>-352859.33707173087</v>
      </c>
      <c r="R270">
        <f t="shared" si="945"/>
        <v>9475299.1432039943</v>
      </c>
      <c r="S270">
        <f t="shared" si="946"/>
        <v>94.752991432039948</v>
      </c>
      <c r="T270">
        <f t="shared" si="947"/>
        <v>9.4752991432039954E-2</v>
      </c>
    </row>
    <row r="271" spans="1:20" x14ac:dyDescent="0.25">
      <c r="A271" s="5">
        <v>44322</v>
      </c>
      <c r="B271">
        <v>396.43</v>
      </c>
      <c r="C271">
        <v>454</v>
      </c>
      <c r="D271">
        <v>371.8</v>
      </c>
      <c r="E271">
        <v>443.11</v>
      </c>
      <c r="F271">
        <v>576297.62208999996</v>
      </c>
      <c r="G271">
        <v>0</v>
      </c>
      <c r="L271" t="s">
        <v>8</v>
      </c>
      <c r="M271" t="s">
        <v>8</v>
      </c>
      <c r="N271" t="s">
        <v>8</v>
      </c>
      <c r="P271">
        <f t="shared" si="943"/>
        <v>0.73503649635036528</v>
      </c>
      <c r="Q271">
        <f t="shared" si="944"/>
        <v>423599.78499608045</v>
      </c>
      <c r="R271">
        <f t="shared" si="945"/>
        <v>9828158.4802757259</v>
      </c>
      <c r="S271">
        <f t="shared" si="946"/>
        <v>98.281584802757266</v>
      </c>
      <c r="T271">
        <f t="shared" si="947"/>
        <v>9.8281584802757269E-2</v>
      </c>
    </row>
    <row r="272" spans="1:20" x14ac:dyDescent="0.25">
      <c r="A272" s="5">
        <v>44321</v>
      </c>
      <c r="B272">
        <v>360.85</v>
      </c>
      <c r="C272">
        <v>420</v>
      </c>
      <c r="D272">
        <v>357.92</v>
      </c>
      <c r="E272">
        <v>396.74</v>
      </c>
      <c r="F272">
        <v>548046.67741999996</v>
      </c>
      <c r="G272">
        <v>0</v>
      </c>
      <c r="L272" t="s">
        <v>8</v>
      </c>
      <c r="M272" t="s">
        <v>8</v>
      </c>
      <c r="N272" t="s">
        <v>8</v>
      </c>
      <c r="P272">
        <f t="shared" si="943"/>
        <v>0.25064432989690733</v>
      </c>
      <c r="Q272">
        <f t="shared" si="944"/>
        <v>137364.79221416241</v>
      </c>
      <c r="R272">
        <f t="shared" si="945"/>
        <v>9404558.6952796448</v>
      </c>
      <c r="S272">
        <f t="shared" si="946"/>
        <v>94.045586952796441</v>
      </c>
      <c r="T272">
        <f t="shared" si="947"/>
        <v>9.4045586952796439E-2</v>
      </c>
    </row>
    <row r="273" spans="1:20" x14ac:dyDescent="0.25">
      <c r="A273" s="5">
        <v>44320</v>
      </c>
      <c r="B273">
        <v>342.76</v>
      </c>
      <c r="C273">
        <v>384</v>
      </c>
      <c r="D273">
        <v>315.61</v>
      </c>
      <c r="E273">
        <v>360.62</v>
      </c>
      <c r="F273">
        <v>565658.49458000006</v>
      </c>
      <c r="G273">
        <v>0</v>
      </c>
      <c r="L273" t="s">
        <v>8</v>
      </c>
      <c r="M273" t="s">
        <v>8</v>
      </c>
      <c r="N273" t="s">
        <v>8</v>
      </c>
      <c r="P273">
        <f t="shared" si="943"/>
        <v>0.31627430910951893</v>
      </c>
      <c r="Q273">
        <f t="shared" si="944"/>
        <v>178903.24956522006</v>
      </c>
      <c r="R273">
        <f t="shared" si="945"/>
        <v>9267193.9030654822</v>
      </c>
      <c r="S273">
        <f t="shared" si="946"/>
        <v>92.671939030654826</v>
      </c>
      <c r="T273">
        <f t="shared" si="947"/>
        <v>9.2671939030654821E-2</v>
      </c>
    </row>
    <row r="274" spans="1:20" x14ac:dyDescent="0.25">
      <c r="A274" s="5">
        <v>44319</v>
      </c>
      <c r="B274">
        <v>315.23</v>
      </c>
      <c r="C274">
        <v>350</v>
      </c>
      <c r="D274">
        <v>314.52</v>
      </c>
      <c r="E274">
        <v>342.75</v>
      </c>
      <c r="F274">
        <v>259673.26926</v>
      </c>
      <c r="G274">
        <v>0</v>
      </c>
      <c r="L274" t="s">
        <v>8</v>
      </c>
      <c r="M274" t="s">
        <v>8</v>
      </c>
      <c r="N274" t="s">
        <v>8</v>
      </c>
      <c r="P274">
        <f t="shared" si="943"/>
        <v>0.5913190529875989</v>
      </c>
      <c r="Q274">
        <f t="shared" si="944"/>
        <v>153549.75166501699</v>
      </c>
      <c r="R274">
        <f t="shared" si="945"/>
        <v>9088290.6535002626</v>
      </c>
      <c r="S274">
        <f t="shared" si="946"/>
        <v>90.882906535002633</v>
      </c>
      <c r="T274">
        <f t="shared" si="947"/>
        <v>9.0882906535002639E-2</v>
      </c>
    </row>
    <row r="275" spans="1:20" x14ac:dyDescent="0.25">
      <c r="A275" s="5">
        <v>44318</v>
      </c>
      <c r="B275">
        <v>321.95</v>
      </c>
      <c r="C275">
        <v>324.23</v>
      </c>
      <c r="D275">
        <v>302.68</v>
      </c>
      <c r="E275">
        <v>315.17</v>
      </c>
      <c r="F275">
        <v>118386.13576999999</v>
      </c>
      <c r="G275">
        <v>0</v>
      </c>
      <c r="L275" t="s">
        <v>7</v>
      </c>
      <c r="M275" t="s">
        <v>8</v>
      </c>
      <c r="N275" t="s">
        <v>7</v>
      </c>
      <c r="P275">
        <f t="shared" si="943"/>
        <v>0.15916473317865454</v>
      </c>
      <c r="Q275">
        <f t="shared" si="944"/>
        <v>18842.897711884019</v>
      </c>
      <c r="R275">
        <f t="shared" si="945"/>
        <v>8934740.901835246</v>
      </c>
      <c r="S275">
        <f t="shared" si="946"/>
        <v>89.347409018352465</v>
      </c>
      <c r="T275">
        <f t="shared" si="947"/>
        <v>8.9347409018352461E-2</v>
      </c>
    </row>
    <row r="276" spans="1:20" x14ac:dyDescent="0.25">
      <c r="A276" s="5">
        <v>44317</v>
      </c>
      <c r="B276">
        <v>319.7</v>
      </c>
      <c r="C276">
        <v>328.78</v>
      </c>
      <c r="D276">
        <v>307.56</v>
      </c>
      <c r="E276">
        <v>321.98</v>
      </c>
      <c r="F276">
        <v>143178.51405999999</v>
      </c>
      <c r="G276">
        <v>0</v>
      </c>
      <c r="L276" t="s">
        <v>8</v>
      </c>
      <c r="M276" t="s">
        <v>8</v>
      </c>
      <c r="N276" t="s">
        <v>7</v>
      </c>
      <c r="P276">
        <f t="shared" si="943"/>
        <v>0.3590951932139525</v>
      </c>
      <c r="Q276">
        <f t="shared" si="944"/>
        <v>51414.716170462307</v>
      </c>
      <c r="R276">
        <f t="shared" si="945"/>
        <v>8915898.0041233618</v>
      </c>
      <c r="S276">
        <f t="shared" si="946"/>
        <v>89.158980041233619</v>
      </c>
      <c r="T276">
        <f t="shared" si="947"/>
        <v>8.9158980041233613E-2</v>
      </c>
    </row>
    <row r="277" spans="1:20" x14ac:dyDescent="0.25">
      <c r="A277" s="5">
        <v>44316</v>
      </c>
      <c r="B277">
        <v>286.54000000000002</v>
      </c>
      <c r="C277">
        <v>330.48</v>
      </c>
      <c r="D277">
        <v>282.25</v>
      </c>
      <c r="E277">
        <v>319.62</v>
      </c>
      <c r="F277">
        <v>242711.74643999999</v>
      </c>
      <c r="G277">
        <v>0</v>
      </c>
      <c r="L277" t="s">
        <v>8</v>
      </c>
      <c r="M277" t="s">
        <v>8</v>
      </c>
      <c r="N277" t="s">
        <v>7</v>
      </c>
      <c r="P277">
        <f t="shared" si="943"/>
        <v>0.54965788928053039</v>
      </c>
      <c r="Q277">
        <f t="shared" si="944"/>
        <v>133408.42625180169</v>
      </c>
      <c r="R277">
        <f t="shared" si="945"/>
        <v>8864483.2879528999</v>
      </c>
      <c r="S277">
        <f t="shared" si="946"/>
        <v>88.644832879529005</v>
      </c>
      <c r="T277">
        <f t="shared" si="947"/>
        <v>8.8644832879529012E-2</v>
      </c>
    </row>
    <row r="278" spans="1:20" x14ac:dyDescent="0.25">
      <c r="A278" s="5">
        <v>44315</v>
      </c>
      <c r="B278">
        <v>288.74</v>
      </c>
      <c r="C278">
        <v>289.98</v>
      </c>
      <c r="D278">
        <v>273.69</v>
      </c>
      <c r="E278">
        <v>286.63</v>
      </c>
      <c r="F278">
        <v>143023.73585999999</v>
      </c>
      <c r="G278">
        <v>0</v>
      </c>
      <c r="L278" t="s">
        <v>7</v>
      </c>
      <c r="M278" t="s">
        <v>8</v>
      </c>
      <c r="N278" t="s">
        <v>7</v>
      </c>
      <c r="P278">
        <f t="shared" si="943"/>
        <v>0.58870472682627151</v>
      </c>
      <c r="Q278">
        <f t="shared" si="944"/>
        <v>84198.749349134101</v>
      </c>
      <c r="R278">
        <f t="shared" si="945"/>
        <v>8731074.8617010973</v>
      </c>
      <c r="S278">
        <f t="shared" si="946"/>
        <v>87.310748617010972</v>
      </c>
      <c r="T278">
        <f t="shared" si="947"/>
        <v>8.7310748617010978E-2</v>
      </c>
    </row>
    <row r="279" spans="1:20" x14ac:dyDescent="0.25">
      <c r="A279" s="5">
        <v>44314</v>
      </c>
      <c r="B279">
        <v>292.82</v>
      </c>
      <c r="C279">
        <v>298.88</v>
      </c>
      <c r="D279">
        <v>275.48</v>
      </c>
      <c r="E279">
        <v>288.77999999999997</v>
      </c>
      <c r="F279">
        <v>179199.85782</v>
      </c>
      <c r="G279">
        <v>0</v>
      </c>
      <c r="L279" t="s">
        <v>8</v>
      </c>
      <c r="M279" t="s">
        <v>8</v>
      </c>
      <c r="N279" t="s">
        <v>7</v>
      </c>
      <c r="P279">
        <f t="shared" si="943"/>
        <v>0.13675213675213396</v>
      </c>
      <c r="Q279">
        <f t="shared" si="944"/>
        <v>24505.963462563603</v>
      </c>
      <c r="R279">
        <f t="shared" si="945"/>
        <v>8646876.1123519633</v>
      </c>
      <c r="S279">
        <f t="shared" si="946"/>
        <v>86.468761123519627</v>
      </c>
      <c r="T279">
        <f t="shared" si="947"/>
        <v>8.646876112351963E-2</v>
      </c>
    </row>
    <row r="280" spans="1:20" x14ac:dyDescent="0.25">
      <c r="A280" s="5">
        <v>44313</v>
      </c>
      <c r="B280">
        <v>278.57</v>
      </c>
      <c r="C280">
        <v>293.11</v>
      </c>
      <c r="D280">
        <v>274.39999999999998</v>
      </c>
      <c r="E280">
        <v>292.8</v>
      </c>
      <c r="F280">
        <v>178348.9228</v>
      </c>
      <c r="G280">
        <v>0</v>
      </c>
      <c r="L280" t="s">
        <v>8</v>
      </c>
      <c r="M280" t="s">
        <v>8</v>
      </c>
      <c r="N280" t="s">
        <v>7</v>
      </c>
      <c r="P280">
        <f t="shared" si="943"/>
        <v>0.96686264029930502</v>
      </c>
      <c r="Q280">
        <f t="shared" si="944"/>
        <v>172438.91039294493</v>
      </c>
      <c r="R280">
        <f t="shared" si="945"/>
        <v>8622370.1488894001</v>
      </c>
      <c r="S280">
        <f t="shared" si="946"/>
        <v>86.223701488893994</v>
      </c>
      <c r="T280">
        <f t="shared" si="947"/>
        <v>8.6223701488893995E-2</v>
      </c>
    </row>
    <row r="281" spans="1:20" x14ac:dyDescent="0.25">
      <c r="A281" s="5">
        <v>44312</v>
      </c>
      <c r="B281">
        <v>246.94</v>
      </c>
      <c r="C281">
        <v>280.99</v>
      </c>
      <c r="D281">
        <v>243.96</v>
      </c>
      <c r="E281">
        <v>278.62</v>
      </c>
      <c r="F281">
        <v>193254.19302000001</v>
      </c>
      <c r="G281">
        <v>0</v>
      </c>
      <c r="L281" t="s">
        <v>8</v>
      </c>
      <c r="M281" t="s">
        <v>8</v>
      </c>
      <c r="N281" t="s">
        <v>7</v>
      </c>
      <c r="P281">
        <f t="shared" si="943"/>
        <v>0.87199567917904375</v>
      </c>
      <c r="Q281">
        <f t="shared" si="944"/>
        <v>168516.82129667292</v>
      </c>
      <c r="R281">
        <f t="shared" si="945"/>
        <v>8449931.2384964544</v>
      </c>
      <c r="S281">
        <f t="shared" si="946"/>
        <v>84.49931238496454</v>
      </c>
      <c r="T281">
        <f t="shared" si="947"/>
        <v>8.4499312384964539E-2</v>
      </c>
    </row>
    <row r="282" spans="1:20" x14ac:dyDescent="0.25">
      <c r="A282" s="5">
        <v>44311</v>
      </c>
      <c r="B282">
        <v>246.05</v>
      </c>
      <c r="C282">
        <v>269.39</v>
      </c>
      <c r="D282">
        <v>233.58</v>
      </c>
      <c r="E282">
        <v>247.06</v>
      </c>
      <c r="F282">
        <v>205389.21051999999</v>
      </c>
      <c r="G282">
        <v>0</v>
      </c>
      <c r="L282" t="s">
        <v>8</v>
      </c>
      <c r="M282" t="s">
        <v>7</v>
      </c>
      <c r="N282" t="s">
        <v>7</v>
      </c>
      <c r="P282">
        <f t="shared" si="943"/>
        <v>-0.2471376710416085</v>
      </c>
      <c r="Q282">
        <f t="shared" si="944"/>
        <v>-50759.411144987433</v>
      </c>
      <c r="R282">
        <f t="shared" si="945"/>
        <v>8281414.4171997812</v>
      </c>
      <c r="S282">
        <f t="shared" si="946"/>
        <v>82.81414417199781</v>
      </c>
      <c r="T282">
        <f t="shared" si="947"/>
        <v>8.2814144171997811E-2</v>
      </c>
    </row>
    <row r="283" spans="1:20" x14ac:dyDescent="0.25">
      <c r="A283" s="5">
        <v>44310</v>
      </c>
      <c r="B283">
        <v>262.54000000000002</v>
      </c>
      <c r="C283">
        <v>263.13</v>
      </c>
      <c r="D283">
        <v>238.59</v>
      </c>
      <c r="E283">
        <v>246.17</v>
      </c>
      <c r="F283">
        <v>164115.40184999999</v>
      </c>
      <c r="G283">
        <v>0</v>
      </c>
      <c r="L283" t="s">
        <v>8</v>
      </c>
      <c r="M283" t="s">
        <v>7</v>
      </c>
      <c r="N283" t="s">
        <v>7</v>
      </c>
      <c r="P283">
        <f t="shared" si="943"/>
        <v>-0.38223308883455692</v>
      </c>
      <c r="Q283">
        <f t="shared" si="944"/>
        <v>-62730.336974450052</v>
      </c>
      <c r="R283">
        <f t="shared" si="945"/>
        <v>8332173.8283447688</v>
      </c>
      <c r="S283">
        <f t="shared" si="946"/>
        <v>83.321738283447687</v>
      </c>
      <c r="T283">
        <f t="shared" si="947"/>
        <v>8.3321738283447688E-2</v>
      </c>
    </row>
    <row r="284" spans="1:20" x14ac:dyDescent="0.25">
      <c r="A284" s="5">
        <v>44309</v>
      </c>
      <c r="B284">
        <v>275.77</v>
      </c>
      <c r="C284">
        <v>282.3</v>
      </c>
      <c r="D284">
        <v>232</v>
      </c>
      <c r="E284">
        <v>262.52</v>
      </c>
      <c r="F284">
        <v>388726.91482000001</v>
      </c>
      <c r="G284">
        <v>0</v>
      </c>
      <c r="L284" t="s">
        <v>7</v>
      </c>
      <c r="M284" t="s">
        <v>7</v>
      </c>
      <c r="N284" t="s">
        <v>7</v>
      </c>
      <c r="P284">
        <f t="shared" si="943"/>
        <v>0.21351888667991947</v>
      </c>
      <c r="Q284">
        <f t="shared" si="944"/>
        <v>83000.538074886295</v>
      </c>
      <c r="R284">
        <f t="shared" si="945"/>
        <v>8394904.1653192192</v>
      </c>
      <c r="S284">
        <f t="shared" si="946"/>
        <v>83.949041653192197</v>
      </c>
      <c r="T284">
        <f t="shared" si="947"/>
        <v>8.3949041653192197E-2</v>
      </c>
    </row>
    <row r="285" spans="1:20" x14ac:dyDescent="0.25">
      <c r="A285" s="5">
        <v>44308</v>
      </c>
      <c r="B285">
        <v>294.81</v>
      </c>
      <c r="C285">
        <v>314</v>
      </c>
      <c r="D285">
        <v>272.62</v>
      </c>
      <c r="E285">
        <v>275.97000000000003</v>
      </c>
      <c r="F285">
        <v>273983.81043000001</v>
      </c>
      <c r="G285">
        <v>0</v>
      </c>
      <c r="L285" t="s">
        <v>7</v>
      </c>
      <c r="M285" t="s">
        <v>7</v>
      </c>
      <c r="N285" t="s">
        <v>7</v>
      </c>
      <c r="P285">
        <f t="shared" si="943"/>
        <v>-0.83808603189946718</v>
      </c>
      <c r="Q285">
        <f t="shared" si="944"/>
        <v>-229622.00448797457</v>
      </c>
      <c r="R285">
        <f t="shared" si="945"/>
        <v>8311903.6272443328</v>
      </c>
      <c r="S285">
        <f t="shared" si="946"/>
        <v>83.119036272443324</v>
      </c>
      <c r="T285">
        <f t="shared" si="947"/>
        <v>8.3119036272443325E-2</v>
      </c>
    </row>
    <row r="286" spans="1:20" x14ac:dyDescent="0.25">
      <c r="A286" s="5">
        <v>44307</v>
      </c>
      <c r="B286">
        <v>317.3</v>
      </c>
      <c r="C286">
        <v>328.48</v>
      </c>
      <c r="D286">
        <v>293</v>
      </c>
      <c r="E286">
        <v>294.62</v>
      </c>
      <c r="F286">
        <v>256430.38292</v>
      </c>
      <c r="G286">
        <v>0</v>
      </c>
      <c r="L286" t="s">
        <v>8</v>
      </c>
      <c r="M286" t="s">
        <v>8</v>
      </c>
      <c r="N286" t="s">
        <v>7</v>
      </c>
      <c r="P286">
        <f t="shared" si="943"/>
        <v>-0.9086809470124011</v>
      </c>
      <c r="Q286">
        <f t="shared" si="944"/>
        <v>-233013.40319449824</v>
      </c>
      <c r="R286">
        <f t="shared" si="945"/>
        <v>8541525.6317323074</v>
      </c>
      <c r="S286">
        <f t="shared" si="946"/>
        <v>85.41525631732307</v>
      </c>
      <c r="T286">
        <f t="shared" si="947"/>
        <v>8.5415256317323066E-2</v>
      </c>
    </row>
    <row r="287" spans="1:20" x14ac:dyDescent="0.25">
      <c r="A287" s="5">
        <v>44306</v>
      </c>
      <c r="B287">
        <v>294.02999999999997</v>
      </c>
      <c r="C287">
        <v>329.99</v>
      </c>
      <c r="D287">
        <v>276.08999999999997</v>
      </c>
      <c r="E287">
        <v>317.14999999999998</v>
      </c>
      <c r="F287">
        <v>366215.96953</v>
      </c>
      <c r="G287">
        <v>0</v>
      </c>
      <c r="L287" t="s">
        <v>7</v>
      </c>
      <c r="M287" t="s">
        <v>8</v>
      </c>
      <c r="N287" t="s">
        <v>7</v>
      </c>
      <c r="P287">
        <f t="shared" si="943"/>
        <v>0.52356215213357982</v>
      </c>
      <c r="Q287">
        <f t="shared" si="944"/>
        <v>191736.82115281228</v>
      </c>
      <c r="R287">
        <f t="shared" si="945"/>
        <v>8774539.0349268056</v>
      </c>
      <c r="S287">
        <f t="shared" si="946"/>
        <v>87.74539034926805</v>
      </c>
      <c r="T287">
        <f t="shared" si="947"/>
        <v>8.7745390349268051E-2</v>
      </c>
    </row>
    <row r="288" spans="1:20" x14ac:dyDescent="0.25">
      <c r="A288" s="5">
        <v>44305</v>
      </c>
      <c r="B288">
        <v>317.22000000000003</v>
      </c>
      <c r="C288">
        <v>326.7</v>
      </c>
      <c r="D288">
        <v>277.83</v>
      </c>
      <c r="E288">
        <v>294.08999999999997</v>
      </c>
      <c r="F288">
        <v>325823.79034000001</v>
      </c>
      <c r="G288">
        <v>0</v>
      </c>
      <c r="L288" t="s">
        <v>8</v>
      </c>
      <c r="M288" t="s">
        <v>8</v>
      </c>
      <c r="N288" t="s">
        <v>7</v>
      </c>
      <c r="P288">
        <f t="shared" si="943"/>
        <v>-0.33456108041743443</v>
      </c>
      <c r="Q288">
        <f t="shared" si="944"/>
        <v>-109007.95932185404</v>
      </c>
      <c r="R288">
        <f t="shared" si="945"/>
        <v>8582802.2137739938</v>
      </c>
      <c r="S288">
        <f t="shared" si="946"/>
        <v>85.828022137739936</v>
      </c>
      <c r="T288">
        <f t="shared" si="947"/>
        <v>8.5828022137739934E-2</v>
      </c>
    </row>
    <row r="289" spans="1:20" x14ac:dyDescent="0.25">
      <c r="A289" s="5">
        <v>44304</v>
      </c>
      <c r="B289">
        <v>356.57</v>
      </c>
      <c r="C289">
        <v>360.77</v>
      </c>
      <c r="D289">
        <v>255</v>
      </c>
      <c r="E289">
        <v>317.23</v>
      </c>
      <c r="F289">
        <v>563736.07724000001</v>
      </c>
      <c r="G289">
        <v>0</v>
      </c>
      <c r="L289" t="s">
        <v>7</v>
      </c>
      <c r="M289" t="s">
        <v>7</v>
      </c>
      <c r="N289" t="s">
        <v>7</v>
      </c>
      <c r="P289">
        <f t="shared" si="943"/>
        <v>0.17670416942422293</v>
      </c>
      <c r="Q289">
        <f t="shared" si="944"/>
        <v>99614.515303163789</v>
      </c>
      <c r="R289">
        <f t="shared" si="945"/>
        <v>8691810.1730958484</v>
      </c>
      <c r="S289">
        <f t="shared" si="946"/>
        <v>86.918101730958483</v>
      </c>
      <c r="T289">
        <f t="shared" si="947"/>
        <v>8.6918101730958486E-2</v>
      </c>
    </row>
    <row r="290" spans="1:20" x14ac:dyDescent="0.25">
      <c r="A290" s="5">
        <v>44303</v>
      </c>
      <c r="B290">
        <v>378.31</v>
      </c>
      <c r="C290">
        <v>411.6</v>
      </c>
      <c r="D290">
        <v>352</v>
      </c>
      <c r="E290">
        <v>356.64</v>
      </c>
      <c r="F290">
        <v>386770.41473999998</v>
      </c>
      <c r="G290">
        <v>0</v>
      </c>
      <c r="L290" t="s">
        <v>8</v>
      </c>
      <c r="M290" t="s">
        <v>8</v>
      </c>
      <c r="N290" t="s">
        <v>8</v>
      </c>
      <c r="P290">
        <f t="shared" si="943"/>
        <v>-0.84429530201342329</v>
      </c>
      <c r="Q290">
        <f t="shared" si="944"/>
        <v>-326548.44412276527</v>
      </c>
      <c r="R290">
        <f t="shared" si="945"/>
        <v>8592195.6577926837</v>
      </c>
      <c r="S290">
        <f t="shared" si="946"/>
        <v>85.921956577926835</v>
      </c>
      <c r="T290">
        <f t="shared" si="947"/>
        <v>8.5921956577926839E-2</v>
      </c>
    </row>
    <row r="291" spans="1:20" x14ac:dyDescent="0.25">
      <c r="A291" s="5">
        <v>44302</v>
      </c>
      <c r="B291">
        <v>326.77999999999997</v>
      </c>
      <c r="C291">
        <v>394.97</v>
      </c>
      <c r="D291">
        <v>318.48</v>
      </c>
      <c r="E291">
        <v>378.47</v>
      </c>
      <c r="F291">
        <v>569434.07819000003</v>
      </c>
      <c r="G291">
        <v>0</v>
      </c>
      <c r="L291" t="s">
        <v>8</v>
      </c>
      <c r="M291" t="s">
        <v>8</v>
      </c>
      <c r="N291" t="s">
        <v>8</v>
      </c>
      <c r="P291">
        <f t="shared" si="943"/>
        <v>0.5685710550398746</v>
      </c>
      <c r="Q291">
        <f t="shared" si="944"/>
        <v>323763.73461214674</v>
      </c>
      <c r="R291">
        <f t="shared" si="945"/>
        <v>8918744.1019154489</v>
      </c>
      <c r="S291">
        <f t="shared" si="946"/>
        <v>89.187441019154491</v>
      </c>
      <c r="T291">
        <f t="shared" si="947"/>
        <v>8.918744101915449E-2</v>
      </c>
    </row>
    <row r="292" spans="1:20" x14ac:dyDescent="0.25">
      <c r="A292" s="5">
        <v>44301</v>
      </c>
      <c r="B292">
        <v>305.23</v>
      </c>
      <c r="C292">
        <v>330</v>
      </c>
      <c r="D292">
        <v>297.85000000000002</v>
      </c>
      <c r="E292">
        <v>326.8</v>
      </c>
      <c r="F292">
        <v>217602.2341</v>
      </c>
      <c r="G292">
        <v>0</v>
      </c>
      <c r="L292" t="s">
        <v>8</v>
      </c>
      <c r="M292" t="s">
        <v>8</v>
      </c>
      <c r="N292" t="s">
        <v>8</v>
      </c>
      <c r="P292">
        <f t="shared" si="943"/>
        <v>0.80093312597200683</v>
      </c>
      <c r="Q292">
        <f t="shared" si="944"/>
        <v>174284.83757620543</v>
      </c>
      <c r="R292">
        <f t="shared" si="945"/>
        <v>8594980.3673033025</v>
      </c>
      <c r="S292">
        <f t="shared" si="946"/>
        <v>85.949803673033031</v>
      </c>
      <c r="T292">
        <f t="shared" si="947"/>
        <v>8.5949803673033037E-2</v>
      </c>
    </row>
    <row r="293" spans="1:20" x14ac:dyDescent="0.25">
      <c r="A293" s="5">
        <v>44300</v>
      </c>
      <c r="B293">
        <v>294.29000000000002</v>
      </c>
      <c r="C293">
        <v>318.58</v>
      </c>
      <c r="D293">
        <v>285</v>
      </c>
      <c r="E293">
        <v>305.36</v>
      </c>
      <c r="F293">
        <v>352466.64305000001</v>
      </c>
      <c r="G293">
        <v>0</v>
      </c>
      <c r="L293" t="s">
        <v>8</v>
      </c>
      <c r="M293" t="s">
        <v>8</v>
      </c>
      <c r="N293" t="s">
        <v>8</v>
      </c>
      <c r="P293">
        <f t="shared" si="943"/>
        <v>0.21262656343061484</v>
      </c>
      <c r="Q293">
        <f t="shared" si="944"/>
        <v>74943.771035646714</v>
      </c>
      <c r="R293">
        <f t="shared" si="945"/>
        <v>8420695.5297270976</v>
      </c>
      <c r="S293">
        <f t="shared" si="946"/>
        <v>84.20695529727098</v>
      </c>
      <c r="T293">
        <f t="shared" si="947"/>
        <v>8.4206955297270986E-2</v>
      </c>
    </row>
    <row r="294" spans="1:20" x14ac:dyDescent="0.25">
      <c r="A294" s="5">
        <v>44299</v>
      </c>
      <c r="B294">
        <v>280.31</v>
      </c>
      <c r="C294">
        <v>300.97000000000003</v>
      </c>
      <c r="D294">
        <v>276.86</v>
      </c>
      <c r="E294">
        <v>294.31</v>
      </c>
      <c r="F294">
        <v>211445.36708</v>
      </c>
      <c r="G294">
        <v>0</v>
      </c>
      <c r="L294" t="s">
        <v>8</v>
      </c>
      <c r="M294" t="s">
        <v>8</v>
      </c>
      <c r="N294" t="s">
        <v>8</v>
      </c>
      <c r="P294">
        <f t="shared" si="943"/>
        <v>0.44753214433844701</v>
      </c>
      <c r="Q294">
        <f t="shared" si="944"/>
        <v>94628.598539742467</v>
      </c>
      <c r="R294">
        <f t="shared" si="945"/>
        <v>8345751.7586914506</v>
      </c>
      <c r="S294">
        <f t="shared" si="946"/>
        <v>83.457517586914506</v>
      </c>
      <c r="T294">
        <f t="shared" si="947"/>
        <v>8.3457517586914512E-2</v>
      </c>
    </row>
    <row r="295" spans="1:20" x14ac:dyDescent="0.25">
      <c r="A295" s="5">
        <v>44298</v>
      </c>
      <c r="B295">
        <v>286.62</v>
      </c>
      <c r="C295">
        <v>298.37</v>
      </c>
      <c r="D295">
        <v>272.04000000000002</v>
      </c>
      <c r="E295">
        <v>280.48</v>
      </c>
      <c r="F295">
        <v>171130.74898999999</v>
      </c>
      <c r="G295">
        <v>0</v>
      </c>
      <c r="L295" t="s">
        <v>7</v>
      </c>
      <c r="M295" t="s">
        <v>8</v>
      </c>
      <c r="N295" t="s">
        <v>8</v>
      </c>
      <c r="P295">
        <f t="shared" si="943"/>
        <v>-0.35890619065704499</v>
      </c>
      <c r="Q295">
        <f t="shared" si="944"/>
        <v>-61419.885224287849</v>
      </c>
      <c r="R295">
        <f t="shared" si="945"/>
        <v>8251123.1601517079</v>
      </c>
      <c r="S295">
        <f t="shared" si="946"/>
        <v>82.511231601517082</v>
      </c>
      <c r="T295">
        <f t="shared" si="947"/>
        <v>8.2511231601517077E-2</v>
      </c>
    </row>
    <row r="296" spans="1:20" x14ac:dyDescent="0.25">
      <c r="A296" s="5">
        <v>44297</v>
      </c>
      <c r="B296">
        <v>283.31</v>
      </c>
      <c r="C296">
        <v>294.85000000000002</v>
      </c>
      <c r="D296">
        <v>278.5</v>
      </c>
      <c r="E296">
        <v>286.79000000000002</v>
      </c>
      <c r="F296">
        <v>182635.80778</v>
      </c>
      <c r="G296">
        <v>0</v>
      </c>
      <c r="L296" t="s">
        <v>8</v>
      </c>
      <c r="M296" t="s">
        <v>8</v>
      </c>
      <c r="N296" t="s">
        <v>8</v>
      </c>
      <c r="P296">
        <f t="shared" si="943"/>
        <v>1.4067278287462867E-2</v>
      </c>
      <c r="Q296">
        <f t="shared" si="944"/>
        <v>2569.1887332968358</v>
      </c>
      <c r="R296">
        <f t="shared" si="945"/>
        <v>8312543.0453759953</v>
      </c>
      <c r="S296">
        <f t="shared" si="946"/>
        <v>83.125430453759947</v>
      </c>
      <c r="T296">
        <f t="shared" si="947"/>
        <v>8.3125430453759946E-2</v>
      </c>
    </row>
    <row r="297" spans="1:20" x14ac:dyDescent="0.25">
      <c r="A297" s="5">
        <v>44296</v>
      </c>
      <c r="B297">
        <v>264.95</v>
      </c>
      <c r="C297">
        <v>286.56</v>
      </c>
      <c r="D297">
        <v>263.22000000000003</v>
      </c>
      <c r="E297">
        <v>283.32</v>
      </c>
      <c r="F297">
        <v>187862.41266999999</v>
      </c>
      <c r="G297">
        <v>0</v>
      </c>
      <c r="L297" t="s">
        <v>8</v>
      </c>
      <c r="M297" t="s">
        <v>8</v>
      </c>
      <c r="N297" t="s">
        <v>8</v>
      </c>
      <c r="P297">
        <f t="shared" si="943"/>
        <v>0.72236503856041023</v>
      </c>
      <c r="Q297">
        <f t="shared" si="944"/>
        <v>135705.23897241623</v>
      </c>
      <c r="R297">
        <f t="shared" si="945"/>
        <v>8309973.8566426989</v>
      </c>
      <c r="S297">
        <f t="shared" si="946"/>
        <v>83.099738566426993</v>
      </c>
      <c r="T297">
        <f t="shared" si="947"/>
        <v>8.3099738566426995E-2</v>
      </c>
    </row>
    <row r="298" spans="1:20" x14ac:dyDescent="0.25">
      <c r="A298" s="5">
        <v>44295</v>
      </c>
      <c r="B298">
        <v>267.98</v>
      </c>
      <c r="C298">
        <v>274.11</v>
      </c>
      <c r="D298">
        <v>261.06</v>
      </c>
      <c r="E298">
        <v>265.10000000000002</v>
      </c>
      <c r="F298">
        <v>125399.28422</v>
      </c>
      <c r="G298">
        <v>0</v>
      </c>
      <c r="L298" t="s">
        <v>8</v>
      </c>
      <c r="M298" t="s">
        <v>8</v>
      </c>
      <c r="N298" t="s">
        <v>8</v>
      </c>
      <c r="P298">
        <f t="shared" si="943"/>
        <v>-0.38084291187739205</v>
      </c>
      <c r="Q298">
        <f t="shared" si="944"/>
        <v>-47757.428549685501</v>
      </c>
      <c r="R298">
        <f t="shared" si="945"/>
        <v>8174268.6176702827</v>
      </c>
      <c r="S298">
        <f t="shared" si="946"/>
        <v>81.742686176702833</v>
      </c>
      <c r="T298">
        <f t="shared" si="947"/>
        <v>8.1742686176702828E-2</v>
      </c>
    </row>
    <row r="299" spans="1:20" x14ac:dyDescent="0.25">
      <c r="A299" s="5">
        <v>44294</v>
      </c>
      <c r="B299">
        <v>253.36</v>
      </c>
      <c r="C299">
        <v>269.83</v>
      </c>
      <c r="D299">
        <v>250.62</v>
      </c>
      <c r="E299">
        <v>267.79000000000002</v>
      </c>
      <c r="F299">
        <v>154259.74168000001</v>
      </c>
      <c r="G299">
        <v>0</v>
      </c>
      <c r="L299" t="s">
        <v>7</v>
      </c>
      <c r="M299" t="s">
        <v>8</v>
      </c>
      <c r="N299" t="s">
        <v>8</v>
      </c>
      <c r="P299">
        <f t="shared" si="943"/>
        <v>0.7876106194690301</v>
      </c>
      <c r="Q299">
        <f t="shared" si="944"/>
        <v>121496.61070371736</v>
      </c>
      <c r="R299">
        <f t="shared" si="945"/>
        <v>8222026.0462199682</v>
      </c>
      <c r="S299">
        <f t="shared" si="946"/>
        <v>82.220260462199676</v>
      </c>
      <c r="T299">
        <f t="shared" si="947"/>
        <v>8.2220260462199671E-2</v>
      </c>
    </row>
    <row r="300" spans="1:20" x14ac:dyDescent="0.25">
      <c r="A300" s="5">
        <v>44293</v>
      </c>
      <c r="B300">
        <v>276.08999999999997</v>
      </c>
      <c r="C300">
        <v>293.68</v>
      </c>
      <c r="D300">
        <v>244.4</v>
      </c>
      <c r="E300">
        <v>253.45</v>
      </c>
      <c r="F300">
        <v>384651.21390999999</v>
      </c>
      <c r="G300">
        <v>0</v>
      </c>
      <c r="L300" t="s">
        <v>8</v>
      </c>
      <c r="M300" t="s">
        <v>8</v>
      </c>
      <c r="N300" t="s">
        <v>8</v>
      </c>
      <c r="P300">
        <f t="shared" si="943"/>
        <v>-0.63271103896103964</v>
      </c>
      <c r="Q300">
        <f t="shared" si="944"/>
        <v>-243373.0691906212</v>
      </c>
      <c r="R300">
        <f t="shared" si="945"/>
        <v>8100529.4355162513</v>
      </c>
      <c r="S300">
        <f t="shared" si="946"/>
        <v>81.005294355162519</v>
      </c>
      <c r="T300">
        <f t="shared" si="947"/>
        <v>8.1005294355162516E-2</v>
      </c>
    </row>
    <row r="301" spans="1:20" x14ac:dyDescent="0.25">
      <c r="A301" s="5">
        <v>44292</v>
      </c>
      <c r="B301">
        <v>273.63</v>
      </c>
      <c r="C301">
        <v>284.60000000000002</v>
      </c>
      <c r="D301">
        <v>256.25</v>
      </c>
      <c r="E301">
        <v>275.99</v>
      </c>
      <c r="F301">
        <v>269125.20207</v>
      </c>
      <c r="G301">
        <v>0</v>
      </c>
      <c r="L301" t="s">
        <v>8</v>
      </c>
      <c r="M301" t="s">
        <v>8</v>
      </c>
      <c r="N301" t="s">
        <v>8</v>
      </c>
      <c r="P301">
        <f t="shared" si="943"/>
        <v>0.3925925925925921</v>
      </c>
      <c r="Q301">
        <f t="shared" si="944"/>
        <v>105656.56081266653</v>
      </c>
      <c r="R301">
        <f t="shared" si="945"/>
        <v>8343902.5047068726</v>
      </c>
      <c r="S301">
        <f t="shared" si="946"/>
        <v>83.439025047068725</v>
      </c>
      <c r="T301">
        <f t="shared" si="947"/>
        <v>8.3439025047068724E-2</v>
      </c>
    </row>
    <row r="302" spans="1:20" x14ac:dyDescent="0.25">
      <c r="A302" s="5">
        <v>44291</v>
      </c>
      <c r="B302">
        <v>270.79000000000002</v>
      </c>
      <c r="C302">
        <v>278.72000000000003</v>
      </c>
      <c r="D302">
        <v>253.19</v>
      </c>
      <c r="E302">
        <v>273.66000000000003</v>
      </c>
      <c r="F302">
        <v>278859.29347999999</v>
      </c>
      <c r="G302">
        <v>0</v>
      </c>
      <c r="L302" t="s">
        <v>8</v>
      </c>
      <c r="M302" t="s">
        <v>8</v>
      </c>
      <c r="N302" t="s">
        <v>8</v>
      </c>
      <c r="P302">
        <f t="shared" si="943"/>
        <v>0.60360360360360388</v>
      </c>
      <c r="Q302">
        <f t="shared" si="944"/>
        <v>168320.47444288296</v>
      </c>
      <c r="R302">
        <f t="shared" si="945"/>
        <v>8238245.9438942065</v>
      </c>
      <c r="S302">
        <f t="shared" si="946"/>
        <v>82.382459438942064</v>
      </c>
      <c r="T302">
        <f t="shared" si="947"/>
        <v>8.2382459438942068E-2</v>
      </c>
    </row>
    <row r="303" spans="1:20" x14ac:dyDescent="0.25">
      <c r="A303" s="5">
        <v>44290</v>
      </c>
      <c r="B303">
        <v>222.8</v>
      </c>
      <c r="C303">
        <v>276.5</v>
      </c>
      <c r="D303">
        <v>220.92</v>
      </c>
      <c r="E303">
        <v>270.77999999999997</v>
      </c>
      <c r="F303">
        <v>423737.90972</v>
      </c>
      <c r="G303">
        <v>0</v>
      </c>
      <c r="L303" t="s">
        <v>8</v>
      </c>
      <c r="M303" t="s">
        <v>8</v>
      </c>
      <c r="N303" t="s">
        <v>8</v>
      </c>
      <c r="P303">
        <f t="shared" si="943"/>
        <v>0.79417056495142047</v>
      </c>
      <c r="Q303">
        <f t="shared" si="944"/>
        <v>336520.17515366641</v>
      </c>
      <c r="R303">
        <f t="shared" si="945"/>
        <v>8069925.4694513232</v>
      </c>
      <c r="S303">
        <f t="shared" si="946"/>
        <v>80.699254694513229</v>
      </c>
      <c r="T303">
        <f t="shared" si="947"/>
        <v>8.0699254694513223E-2</v>
      </c>
    </row>
    <row r="304" spans="1:20" x14ac:dyDescent="0.25">
      <c r="A304" s="5">
        <v>44289</v>
      </c>
      <c r="B304">
        <v>243.4</v>
      </c>
      <c r="C304">
        <v>249.85</v>
      </c>
      <c r="D304">
        <v>221.64</v>
      </c>
      <c r="E304">
        <v>222.84</v>
      </c>
      <c r="F304">
        <v>179014.16271</v>
      </c>
      <c r="G304">
        <v>0</v>
      </c>
      <c r="L304" t="s">
        <v>7</v>
      </c>
      <c r="M304" t="s">
        <v>8</v>
      </c>
      <c r="N304" t="s">
        <v>7</v>
      </c>
      <c r="P304">
        <f t="shared" si="943"/>
        <v>-0.91492378589152668</v>
      </c>
      <c r="Q304">
        <f t="shared" si="944"/>
        <v>-163784.31547483496</v>
      </c>
      <c r="R304">
        <f t="shared" si="945"/>
        <v>7733405.294297657</v>
      </c>
      <c r="S304">
        <f t="shared" si="946"/>
        <v>77.33405294297657</v>
      </c>
      <c r="T304">
        <f t="shared" si="947"/>
        <v>7.7334052942976572E-2</v>
      </c>
    </row>
    <row r="305" spans="1:20" x14ac:dyDescent="0.25">
      <c r="A305" s="5">
        <v>44288</v>
      </c>
      <c r="B305">
        <v>233.53</v>
      </c>
      <c r="C305">
        <v>250.42</v>
      </c>
      <c r="D305">
        <v>229.05</v>
      </c>
      <c r="E305">
        <v>243.59</v>
      </c>
      <c r="F305">
        <v>217516.17103</v>
      </c>
      <c r="G305">
        <v>0</v>
      </c>
      <c r="L305" t="s">
        <v>8</v>
      </c>
      <c r="M305" t="s">
        <v>8</v>
      </c>
      <c r="N305" t="s">
        <v>7</v>
      </c>
      <c r="P305">
        <f t="shared" si="943"/>
        <v>0.3607861488067392</v>
      </c>
      <c r="Q305">
        <f t="shared" si="944"/>
        <v>78476.821649101708</v>
      </c>
      <c r="R305">
        <f t="shared" si="945"/>
        <v>7897189.6097724922</v>
      </c>
      <c r="S305">
        <f t="shared" si="946"/>
        <v>78.971896097724922</v>
      </c>
      <c r="T305">
        <f t="shared" si="947"/>
        <v>7.8971896097724925E-2</v>
      </c>
    </row>
    <row r="306" spans="1:20" x14ac:dyDescent="0.25">
      <c r="A306" s="5">
        <v>44287</v>
      </c>
      <c r="B306">
        <v>222.27</v>
      </c>
      <c r="C306">
        <v>237.13</v>
      </c>
      <c r="D306">
        <v>220.34</v>
      </c>
      <c r="E306">
        <v>233.44</v>
      </c>
      <c r="F306">
        <v>219315.68822000001</v>
      </c>
      <c r="G306">
        <v>0</v>
      </c>
      <c r="L306" t="s">
        <v>8</v>
      </c>
      <c r="M306" t="s">
        <v>8</v>
      </c>
      <c r="N306" t="s">
        <v>7</v>
      </c>
      <c r="P306">
        <f t="shared" si="943"/>
        <v>0.56045265038713521</v>
      </c>
      <c r="Q306">
        <f t="shared" si="944"/>
        <v>122916.05873437761</v>
      </c>
      <c r="R306">
        <f t="shared" si="945"/>
        <v>7818712.7881233906</v>
      </c>
      <c r="S306">
        <f t="shared" si="946"/>
        <v>78.187127881233906</v>
      </c>
      <c r="T306">
        <f t="shared" si="947"/>
        <v>7.81871278812339E-2</v>
      </c>
    </row>
    <row r="307" spans="1:20" x14ac:dyDescent="0.25">
      <c r="A307" s="5">
        <v>44286</v>
      </c>
      <c r="B307">
        <v>216.24</v>
      </c>
      <c r="C307">
        <v>225.83</v>
      </c>
      <c r="D307">
        <v>204.34</v>
      </c>
      <c r="E307">
        <v>222.44</v>
      </c>
      <c r="F307">
        <v>155928.53042</v>
      </c>
      <c r="G307">
        <v>0</v>
      </c>
      <c r="L307" t="s">
        <v>8</v>
      </c>
      <c r="M307" t="s">
        <v>8</v>
      </c>
      <c r="N307" t="s">
        <v>7</v>
      </c>
      <c r="P307">
        <f t="shared" si="943"/>
        <v>0.68450442066077122</v>
      </c>
      <c r="Q307">
        <f t="shared" si="944"/>
        <v>106733.76837962754</v>
      </c>
      <c r="R307">
        <f t="shared" si="945"/>
        <v>7695796.7293890128</v>
      </c>
      <c r="S307">
        <f t="shared" si="946"/>
        <v>76.957967293890121</v>
      </c>
      <c r="T307">
        <f t="shared" si="947"/>
        <v>7.6957967293890123E-2</v>
      </c>
    </row>
    <row r="308" spans="1:20" x14ac:dyDescent="0.25">
      <c r="A308" s="5">
        <v>44285</v>
      </c>
      <c r="B308">
        <v>214.95</v>
      </c>
      <c r="C308">
        <v>219.98</v>
      </c>
      <c r="D308">
        <v>210.14</v>
      </c>
      <c r="E308">
        <v>216.3</v>
      </c>
      <c r="F308">
        <v>137330.34948999999</v>
      </c>
      <c r="G308">
        <v>0</v>
      </c>
      <c r="L308" t="s">
        <v>8</v>
      </c>
      <c r="M308" t="s">
        <v>8</v>
      </c>
      <c r="N308" t="s">
        <v>7</v>
      </c>
      <c r="P308">
        <f t="shared" si="943"/>
        <v>0.2520325203252079</v>
      </c>
      <c r="Q308">
        <f t="shared" si="944"/>
        <v>34611.714099106328</v>
      </c>
      <c r="R308">
        <f t="shared" si="945"/>
        <v>7589062.9610093851</v>
      </c>
      <c r="S308">
        <f t="shared" si="946"/>
        <v>75.890629610093853</v>
      </c>
      <c r="T308">
        <f t="shared" si="947"/>
        <v>7.5890629610093852E-2</v>
      </c>
    </row>
    <row r="309" spans="1:20" x14ac:dyDescent="0.25">
      <c r="A309" s="5">
        <v>44284</v>
      </c>
      <c r="B309">
        <v>207.75</v>
      </c>
      <c r="C309">
        <v>217.83</v>
      </c>
      <c r="D309">
        <v>203.72</v>
      </c>
      <c r="E309">
        <v>214.98</v>
      </c>
      <c r="F309">
        <v>161645.07633000001</v>
      </c>
      <c r="G309">
        <v>0</v>
      </c>
      <c r="L309" t="s">
        <v>8</v>
      </c>
      <c r="M309" t="s">
        <v>8</v>
      </c>
      <c r="N309" t="s">
        <v>7</v>
      </c>
      <c r="P309">
        <f t="shared" si="943"/>
        <v>0.59603118355775764</v>
      </c>
      <c r="Q309">
        <f t="shared" si="944"/>
        <v>96345.506161253987</v>
      </c>
      <c r="R309">
        <f t="shared" si="945"/>
        <v>7554451.2469102787</v>
      </c>
      <c r="S309">
        <f t="shared" si="946"/>
        <v>75.544512469102784</v>
      </c>
      <c r="T309">
        <f t="shared" si="947"/>
        <v>7.5544512469102779E-2</v>
      </c>
    </row>
    <row r="310" spans="1:20" x14ac:dyDescent="0.25">
      <c r="A310" s="5">
        <v>44283</v>
      </c>
      <c r="B310">
        <v>201.58</v>
      </c>
      <c r="C310">
        <v>207.89</v>
      </c>
      <c r="D310">
        <v>195.87</v>
      </c>
      <c r="E310">
        <v>207.72</v>
      </c>
      <c r="F310">
        <v>96358.430840000001</v>
      </c>
      <c r="G310">
        <v>0</v>
      </c>
      <c r="L310" t="s">
        <v>8</v>
      </c>
      <c r="M310" t="s">
        <v>7</v>
      </c>
      <c r="N310" t="s">
        <v>7</v>
      </c>
      <c r="P310">
        <f t="shared" si="943"/>
        <v>0.97171381031614179</v>
      </c>
      <c r="Q310">
        <f t="shared" si="944"/>
        <v>93632.817987620831</v>
      </c>
      <c r="R310">
        <f t="shared" si="945"/>
        <v>7458105.7407490248</v>
      </c>
      <c r="S310">
        <f t="shared" si="946"/>
        <v>74.581057407490249</v>
      </c>
      <c r="T310">
        <f t="shared" si="947"/>
        <v>7.4581057407490242E-2</v>
      </c>
    </row>
    <row r="311" spans="1:20" x14ac:dyDescent="0.25">
      <c r="A311" s="5">
        <v>44282</v>
      </c>
      <c r="B311">
        <v>203.51</v>
      </c>
      <c r="C311">
        <v>206.25</v>
      </c>
      <c r="D311">
        <v>192.69</v>
      </c>
      <c r="E311">
        <v>201.64</v>
      </c>
      <c r="F311">
        <v>107486.00816</v>
      </c>
      <c r="G311">
        <v>0</v>
      </c>
      <c r="L311" t="s">
        <v>8</v>
      </c>
      <c r="M311" t="s">
        <v>7</v>
      </c>
      <c r="N311" t="s">
        <v>7</v>
      </c>
      <c r="P311">
        <f t="shared" si="943"/>
        <v>0.32005899705014562</v>
      </c>
      <c r="Q311">
        <f t="shared" si="944"/>
        <v>34401.863968613368</v>
      </c>
      <c r="R311">
        <f t="shared" si="945"/>
        <v>7364472.922761404</v>
      </c>
      <c r="S311">
        <f t="shared" si="946"/>
        <v>73.644729227614036</v>
      </c>
      <c r="T311">
        <f t="shared" si="947"/>
        <v>7.3644729227614031E-2</v>
      </c>
    </row>
    <row r="312" spans="1:20" x14ac:dyDescent="0.25">
      <c r="A312" s="5">
        <v>44281</v>
      </c>
      <c r="B312">
        <v>188.94</v>
      </c>
      <c r="C312">
        <v>203.83</v>
      </c>
      <c r="D312">
        <v>188.24</v>
      </c>
      <c r="E312">
        <v>203.51</v>
      </c>
      <c r="F312">
        <v>87428.583450000006</v>
      </c>
      <c r="G312">
        <v>0</v>
      </c>
      <c r="L312" t="s">
        <v>8</v>
      </c>
      <c r="M312" t="s">
        <v>7</v>
      </c>
      <c r="N312" t="s">
        <v>7</v>
      </c>
      <c r="P312">
        <f t="shared" si="943"/>
        <v>0.95894804361770092</v>
      </c>
      <c r="Q312">
        <f t="shared" si="944"/>
        <v>83839.469055644411</v>
      </c>
      <c r="R312">
        <f t="shared" si="945"/>
        <v>7330071.0587927904</v>
      </c>
      <c r="S312">
        <f t="shared" si="946"/>
        <v>73.30071058792791</v>
      </c>
      <c r="T312">
        <f t="shared" si="947"/>
        <v>7.3300710587927906E-2</v>
      </c>
    </row>
    <row r="313" spans="1:20" x14ac:dyDescent="0.25">
      <c r="A313" s="5">
        <v>44280</v>
      </c>
      <c r="B313">
        <v>190.75</v>
      </c>
      <c r="C313">
        <v>195.91</v>
      </c>
      <c r="D313">
        <v>181.98</v>
      </c>
      <c r="E313">
        <v>189.1</v>
      </c>
      <c r="F313">
        <v>128879.63638</v>
      </c>
      <c r="G313">
        <v>0</v>
      </c>
      <c r="L313" t="s">
        <v>7</v>
      </c>
      <c r="M313" t="s">
        <v>7</v>
      </c>
      <c r="N313" t="s">
        <v>7</v>
      </c>
      <c r="P313">
        <f t="shared" si="943"/>
        <v>2.2254127781766126E-2</v>
      </c>
      <c r="Q313">
        <f t="shared" si="944"/>
        <v>2868.1038964680743</v>
      </c>
      <c r="R313">
        <f t="shared" si="945"/>
        <v>7246231.5897371462</v>
      </c>
      <c r="S313">
        <f t="shared" si="946"/>
        <v>72.462315897371468</v>
      </c>
      <c r="T313">
        <f t="shared" si="947"/>
        <v>7.2462315897371468E-2</v>
      </c>
    </row>
    <row r="314" spans="1:20" x14ac:dyDescent="0.25">
      <c r="A314" s="5">
        <v>44279</v>
      </c>
      <c r="B314">
        <v>206.71</v>
      </c>
      <c r="C314">
        <v>214.4</v>
      </c>
      <c r="D314">
        <v>187.12</v>
      </c>
      <c r="E314">
        <v>190.75</v>
      </c>
      <c r="F314">
        <v>117199.85737</v>
      </c>
      <c r="G314">
        <v>0</v>
      </c>
      <c r="L314" t="s">
        <v>7</v>
      </c>
      <c r="M314" t="s">
        <v>7</v>
      </c>
      <c r="N314" t="s">
        <v>7</v>
      </c>
      <c r="P314">
        <f t="shared" si="943"/>
        <v>-0.73387096774193583</v>
      </c>
      <c r="Q314">
        <f t="shared" si="944"/>
        <v>-86009.572747338752</v>
      </c>
      <c r="R314">
        <f t="shared" si="945"/>
        <v>7243363.4858406782</v>
      </c>
      <c r="S314">
        <f t="shared" si="946"/>
        <v>72.433634858406776</v>
      </c>
      <c r="T314">
        <f t="shared" si="947"/>
        <v>7.2433634858406773E-2</v>
      </c>
    </row>
    <row r="315" spans="1:20" x14ac:dyDescent="0.25">
      <c r="A315" s="5">
        <v>44278</v>
      </c>
      <c r="B315">
        <v>206.5</v>
      </c>
      <c r="C315">
        <v>212.91</v>
      </c>
      <c r="D315">
        <v>202.8</v>
      </c>
      <c r="E315">
        <v>206.62</v>
      </c>
      <c r="F315">
        <v>107103.69884</v>
      </c>
      <c r="G315">
        <v>0</v>
      </c>
      <c r="L315" t="s">
        <v>7</v>
      </c>
      <c r="M315" t="s">
        <v>7</v>
      </c>
      <c r="N315" t="s">
        <v>7</v>
      </c>
      <c r="P315">
        <f t="shared" si="943"/>
        <v>-0.24431256181998046</v>
      </c>
      <c r="Q315">
        <f t="shared" si="944"/>
        <v>-26166.77904399607</v>
      </c>
      <c r="R315">
        <f t="shared" si="945"/>
        <v>7329373.0585880168</v>
      </c>
      <c r="S315">
        <f t="shared" si="946"/>
        <v>73.293730585880169</v>
      </c>
      <c r="T315">
        <f t="shared" si="947"/>
        <v>7.3293730585880165E-2</v>
      </c>
    </row>
    <row r="316" spans="1:20" x14ac:dyDescent="0.25">
      <c r="A316" s="5">
        <v>44277</v>
      </c>
      <c r="B316">
        <v>220.88</v>
      </c>
      <c r="C316">
        <v>222.83</v>
      </c>
      <c r="D316">
        <v>204</v>
      </c>
      <c r="E316">
        <v>206.6</v>
      </c>
      <c r="F316">
        <v>119655.55740999999</v>
      </c>
      <c r="G316">
        <v>0</v>
      </c>
      <c r="L316" t="s">
        <v>7</v>
      </c>
      <c r="M316" t="s">
        <v>7</v>
      </c>
      <c r="N316" t="s">
        <v>7</v>
      </c>
      <c r="P316">
        <f t="shared" si="943"/>
        <v>-0.72384492830589564</v>
      </c>
      <c r="Q316">
        <f t="shared" si="944"/>
        <v>-86612.068374843424</v>
      </c>
      <c r="R316">
        <f t="shared" si="945"/>
        <v>7355539.8376320126</v>
      </c>
      <c r="S316">
        <f t="shared" si="946"/>
        <v>73.555398376320127</v>
      </c>
      <c r="T316">
        <f t="shared" si="947"/>
        <v>7.3555398376320122E-2</v>
      </c>
    </row>
    <row r="317" spans="1:20" x14ac:dyDescent="0.25">
      <c r="A317" s="5">
        <v>44276</v>
      </c>
      <c r="B317">
        <v>227.3</v>
      </c>
      <c r="C317">
        <v>230.6</v>
      </c>
      <c r="D317">
        <v>219.3</v>
      </c>
      <c r="E317">
        <v>221.01</v>
      </c>
      <c r="F317">
        <v>87570.527430000002</v>
      </c>
      <c r="G317">
        <v>0</v>
      </c>
      <c r="L317" t="s">
        <v>7</v>
      </c>
      <c r="M317" t="s">
        <v>7</v>
      </c>
      <c r="N317" t="s">
        <v>7</v>
      </c>
      <c r="P317">
        <f t="shared" si="943"/>
        <v>-0.69734513274336596</v>
      </c>
      <c r="Q317">
        <f t="shared" si="944"/>
        <v>-61066.881075079924</v>
      </c>
      <c r="R317">
        <f t="shared" si="945"/>
        <v>7442151.9060068559</v>
      </c>
      <c r="S317">
        <f t="shared" si="946"/>
        <v>74.421519060068562</v>
      </c>
      <c r="T317">
        <f t="shared" si="947"/>
        <v>7.4421519060068567E-2</v>
      </c>
    </row>
    <row r="318" spans="1:20" x14ac:dyDescent="0.25">
      <c r="A318" s="5">
        <v>44275</v>
      </c>
      <c r="B318">
        <v>225.52</v>
      </c>
      <c r="C318">
        <v>236.66</v>
      </c>
      <c r="D318">
        <v>224.21</v>
      </c>
      <c r="E318">
        <v>227.11</v>
      </c>
      <c r="F318">
        <v>104966.61491</v>
      </c>
      <c r="G318">
        <v>0</v>
      </c>
      <c r="L318" t="s">
        <v>8</v>
      </c>
      <c r="M318" t="s">
        <v>7</v>
      </c>
      <c r="N318" t="s">
        <v>7</v>
      </c>
      <c r="P318">
        <f t="shared" si="943"/>
        <v>-0.5341365461847376</v>
      </c>
      <c r="Q318">
        <f t="shared" si="944"/>
        <v>-56066.505152730781</v>
      </c>
      <c r="R318">
        <f t="shared" si="945"/>
        <v>7503218.7870819354</v>
      </c>
      <c r="S318">
        <f t="shared" si="946"/>
        <v>75.032187870819357</v>
      </c>
      <c r="T318">
        <f t="shared" si="947"/>
        <v>7.5032187870819361E-2</v>
      </c>
    </row>
    <row r="319" spans="1:20" x14ac:dyDescent="0.25">
      <c r="A319" s="5">
        <v>44274</v>
      </c>
      <c r="B319">
        <v>225.79</v>
      </c>
      <c r="C319">
        <v>231.29</v>
      </c>
      <c r="D319">
        <v>219.4</v>
      </c>
      <c r="E319">
        <v>225.72</v>
      </c>
      <c r="F319">
        <v>77738.420230000003</v>
      </c>
      <c r="G319">
        <v>0</v>
      </c>
      <c r="L319" t="s">
        <v>7</v>
      </c>
      <c r="M319" t="s">
        <v>7</v>
      </c>
      <c r="N319" t="s">
        <v>7</v>
      </c>
      <c r="P319">
        <f t="shared" si="943"/>
        <v>6.3078216989066516E-2</v>
      </c>
      <c r="Q319">
        <f t="shared" si="944"/>
        <v>4903.6009396551781</v>
      </c>
      <c r="R319">
        <f t="shared" si="945"/>
        <v>7559285.2922346666</v>
      </c>
      <c r="S319">
        <f t="shared" si="946"/>
        <v>75.592852922346665</v>
      </c>
      <c r="T319">
        <f t="shared" si="947"/>
        <v>7.5592852922346659E-2</v>
      </c>
    </row>
    <row r="320" spans="1:20" x14ac:dyDescent="0.25">
      <c r="A320" s="5">
        <v>44273</v>
      </c>
      <c r="B320">
        <v>229.47</v>
      </c>
      <c r="C320">
        <v>237.7</v>
      </c>
      <c r="D320">
        <v>221.94</v>
      </c>
      <c r="E320">
        <v>225.83</v>
      </c>
      <c r="F320">
        <v>136183.50299000001</v>
      </c>
      <c r="G320">
        <v>0</v>
      </c>
      <c r="L320" t="s">
        <v>8</v>
      </c>
      <c r="M320" t="s">
        <v>7</v>
      </c>
      <c r="N320" t="s">
        <v>7</v>
      </c>
      <c r="P320">
        <f t="shared" si="943"/>
        <v>-0.50634517766497245</v>
      </c>
      <c r="Q320">
        <f t="shared" si="944"/>
        <v>-68955.860016509861</v>
      </c>
      <c r="R320">
        <f t="shared" si="945"/>
        <v>7554381.6912950119</v>
      </c>
      <c r="S320">
        <f t="shared" si="946"/>
        <v>75.54381691295012</v>
      </c>
      <c r="T320">
        <f t="shared" si="947"/>
        <v>7.5543816912950118E-2</v>
      </c>
    </row>
    <row r="321" spans="1:20" x14ac:dyDescent="0.25">
      <c r="A321" s="5">
        <v>44272</v>
      </c>
      <c r="B321">
        <v>223.7</v>
      </c>
      <c r="C321">
        <v>231.2</v>
      </c>
      <c r="D321">
        <v>216.52</v>
      </c>
      <c r="E321">
        <v>229.47</v>
      </c>
      <c r="F321">
        <v>116650.41508000001</v>
      </c>
      <c r="G321">
        <v>0</v>
      </c>
      <c r="L321" t="s">
        <v>8</v>
      </c>
      <c r="M321" t="s">
        <v>7</v>
      </c>
      <c r="N321" t="s">
        <v>7</v>
      </c>
      <c r="P321">
        <f t="shared" si="943"/>
        <v>0.76430517711171764</v>
      </c>
      <c r="Q321">
        <f t="shared" si="944"/>
        <v>89156.516157874779</v>
      </c>
      <c r="R321">
        <f t="shared" si="945"/>
        <v>7623337.5513115218</v>
      </c>
      <c r="S321">
        <f t="shared" si="946"/>
        <v>76.23337551311522</v>
      </c>
      <c r="T321">
        <f t="shared" si="947"/>
        <v>7.6233375513115223E-2</v>
      </c>
    </row>
    <row r="322" spans="1:20" x14ac:dyDescent="0.25">
      <c r="A322" s="5">
        <v>44271</v>
      </c>
      <c r="B322">
        <v>221.27</v>
      </c>
      <c r="C322">
        <v>224.96</v>
      </c>
      <c r="D322">
        <v>210.58</v>
      </c>
      <c r="E322">
        <v>223.59</v>
      </c>
      <c r="F322">
        <v>107782.28711</v>
      </c>
      <c r="G322">
        <v>0</v>
      </c>
      <c r="L322" t="s">
        <v>7</v>
      </c>
      <c r="M322" t="s">
        <v>7</v>
      </c>
      <c r="N322" t="s">
        <v>7</v>
      </c>
      <c r="P322">
        <f t="shared" si="943"/>
        <v>0.80945757997218293</v>
      </c>
      <c r="Q322">
        <f t="shared" si="944"/>
        <v>87245.189287927613</v>
      </c>
      <c r="R322">
        <f t="shared" si="945"/>
        <v>7534181.035153647</v>
      </c>
      <c r="S322">
        <f t="shared" si="946"/>
        <v>75.341810351536466</v>
      </c>
      <c r="T322">
        <f t="shared" si="947"/>
        <v>7.5341810351536462E-2</v>
      </c>
    </row>
    <row r="323" spans="1:20" x14ac:dyDescent="0.25">
      <c r="A323" s="5">
        <v>44270</v>
      </c>
      <c r="B323">
        <v>230.9</v>
      </c>
      <c r="C323">
        <v>240.45</v>
      </c>
      <c r="D323">
        <v>218</v>
      </c>
      <c r="E323">
        <v>221.42</v>
      </c>
      <c r="F323">
        <v>135483.90646999999</v>
      </c>
      <c r="G323">
        <v>0</v>
      </c>
      <c r="L323" t="s">
        <v>7</v>
      </c>
      <c r="M323" t="s">
        <v>8</v>
      </c>
      <c r="N323" t="s">
        <v>7</v>
      </c>
      <c r="P323">
        <f t="shared" si="943"/>
        <v>-0.69532293986637062</v>
      </c>
      <c r="Q323">
        <f t="shared" si="944"/>
        <v>-94205.068151300788</v>
      </c>
      <c r="R323">
        <f t="shared" si="945"/>
        <v>7446935.845865719</v>
      </c>
      <c r="S323">
        <f t="shared" si="946"/>
        <v>74.469358458657197</v>
      </c>
      <c r="T323">
        <f t="shared" si="947"/>
        <v>7.4469358458657195E-2</v>
      </c>
    </row>
    <row r="324" spans="1:20" x14ac:dyDescent="0.25">
      <c r="A324" s="5">
        <v>44269</v>
      </c>
      <c r="B324">
        <v>243.16</v>
      </c>
      <c r="C324">
        <v>250.2</v>
      </c>
      <c r="D324">
        <v>230.92</v>
      </c>
      <c r="E324">
        <v>231.17</v>
      </c>
      <c r="F324">
        <v>168708.90051000001</v>
      </c>
      <c r="G324">
        <v>0</v>
      </c>
      <c r="L324" t="s">
        <v>8</v>
      </c>
      <c r="M324" t="s">
        <v>8</v>
      </c>
      <c r="N324" t="s">
        <v>7</v>
      </c>
      <c r="P324">
        <f t="shared" si="943"/>
        <v>-0.97406639004149376</v>
      </c>
      <c r="Q324">
        <f t="shared" si="944"/>
        <v>-164333.66968764522</v>
      </c>
      <c r="R324">
        <f t="shared" si="945"/>
        <v>7541140.9140170198</v>
      </c>
      <c r="S324">
        <f t="shared" si="946"/>
        <v>75.411409140170193</v>
      </c>
      <c r="T324">
        <f t="shared" si="947"/>
        <v>7.5411409140170194E-2</v>
      </c>
    </row>
    <row r="325" spans="1:20" x14ac:dyDescent="0.25">
      <c r="A325" s="5">
        <v>44268</v>
      </c>
      <c r="B325">
        <v>224.64</v>
      </c>
      <c r="C325">
        <v>245.17</v>
      </c>
      <c r="D325">
        <v>217.07</v>
      </c>
      <c r="E325">
        <v>243.04</v>
      </c>
      <c r="F325">
        <v>165964.52106</v>
      </c>
      <c r="G325">
        <v>0</v>
      </c>
      <c r="L325" t="s">
        <v>8</v>
      </c>
      <c r="M325" t="s">
        <v>8</v>
      </c>
      <c r="N325" t="s">
        <v>7</v>
      </c>
      <c r="P325">
        <f t="shared" si="943"/>
        <v>0.84839857651245576</v>
      </c>
      <c r="Q325">
        <f t="shared" si="944"/>
        <v>140804.06341887548</v>
      </c>
      <c r="R325">
        <f t="shared" si="945"/>
        <v>7705474.5837046653</v>
      </c>
      <c r="S325">
        <f t="shared" si="946"/>
        <v>77.054745837046653</v>
      </c>
      <c r="T325">
        <f t="shared" si="947"/>
        <v>7.7054745837046648E-2</v>
      </c>
    </row>
    <row r="326" spans="1:20" x14ac:dyDescent="0.25">
      <c r="A326" s="5">
        <v>44267</v>
      </c>
      <c r="B326">
        <v>235.4</v>
      </c>
      <c r="C326">
        <v>239.56</v>
      </c>
      <c r="D326">
        <v>214.97</v>
      </c>
      <c r="E326">
        <v>224.69</v>
      </c>
      <c r="F326">
        <v>163689.52611999999</v>
      </c>
      <c r="G326">
        <v>0</v>
      </c>
      <c r="L326" t="s">
        <v>7</v>
      </c>
      <c r="M326" t="s">
        <v>8</v>
      </c>
      <c r="N326" t="s">
        <v>7</v>
      </c>
      <c r="P326">
        <f t="shared" ref="P326:P389" si="948">IF(C326=D326,0,((E326-D326)-(C326-E326))/(C326-D326))</f>
        <v>-0.20943472956486398</v>
      </c>
      <c r="Q326">
        <f t="shared" ref="Q326:Q389" si="949">F326*P326</f>
        <v>-34282.271635542937</v>
      </c>
      <c r="R326">
        <f t="shared" ref="R326:R389" si="950">R327+Q326</f>
        <v>7564670.5202857899</v>
      </c>
      <c r="S326">
        <f t="shared" ref="S326:S389" si="951">R326/100000</f>
        <v>75.646705202857902</v>
      </c>
      <c r="T326">
        <f t="shared" ref="T326:T389" si="952">S326/1000</f>
        <v>7.5646705202857906E-2</v>
      </c>
    </row>
    <row r="327" spans="1:20" x14ac:dyDescent="0.25">
      <c r="A327" s="5">
        <v>44266</v>
      </c>
      <c r="B327">
        <v>234.56</v>
      </c>
      <c r="C327">
        <v>244.17</v>
      </c>
      <c r="D327">
        <v>225.26</v>
      </c>
      <c r="E327">
        <v>235.39</v>
      </c>
      <c r="F327">
        <v>170559.21969</v>
      </c>
      <c r="G327">
        <v>0</v>
      </c>
      <c r="L327" t="s">
        <v>7</v>
      </c>
      <c r="M327" t="s">
        <v>8</v>
      </c>
      <c r="N327" t="s">
        <v>7</v>
      </c>
      <c r="P327">
        <f t="shared" si="948"/>
        <v>7.1390798519301663E-2</v>
      </c>
      <c r="Q327">
        <f t="shared" si="949"/>
        <v>12176.358888498098</v>
      </c>
      <c r="R327">
        <f t="shared" si="950"/>
        <v>7598952.7919213325</v>
      </c>
      <c r="S327">
        <f t="shared" si="951"/>
        <v>75.98952791921333</v>
      </c>
      <c r="T327">
        <f t="shared" si="952"/>
        <v>7.5989527919213332E-2</v>
      </c>
    </row>
    <row r="328" spans="1:20" x14ac:dyDescent="0.25">
      <c r="A328" s="5">
        <v>44265</v>
      </c>
      <c r="B328">
        <v>244.09</v>
      </c>
      <c r="C328">
        <v>250</v>
      </c>
      <c r="D328">
        <v>225.69</v>
      </c>
      <c r="E328">
        <v>234.41</v>
      </c>
      <c r="F328">
        <v>221375.31372000001</v>
      </c>
      <c r="G328">
        <v>0</v>
      </c>
      <c r="L328" t="s">
        <v>8</v>
      </c>
      <c r="M328" t="s">
        <v>8</v>
      </c>
      <c r="N328" t="s">
        <v>7</v>
      </c>
      <c r="P328">
        <f t="shared" si="948"/>
        <v>-0.28259975318798863</v>
      </c>
      <c r="Q328">
        <f t="shared" si="949"/>
        <v>-62560.609019185555</v>
      </c>
      <c r="R328">
        <f t="shared" si="950"/>
        <v>7586776.433032834</v>
      </c>
      <c r="S328">
        <f t="shared" si="951"/>
        <v>75.867764330328342</v>
      </c>
      <c r="T328">
        <f t="shared" si="952"/>
        <v>7.5867764330328338E-2</v>
      </c>
    </row>
    <row r="329" spans="1:20" x14ac:dyDescent="0.25">
      <c r="A329" s="5">
        <v>44264</v>
      </c>
      <c r="B329">
        <v>218.26</v>
      </c>
      <c r="C329">
        <v>245.81</v>
      </c>
      <c r="D329">
        <v>214.71</v>
      </c>
      <c r="E329">
        <v>244.2</v>
      </c>
      <c r="F329">
        <v>235143.63519</v>
      </c>
      <c r="G329">
        <v>0</v>
      </c>
      <c r="L329" t="s">
        <v>8</v>
      </c>
      <c r="M329" t="s">
        <v>8</v>
      </c>
      <c r="N329" t="s">
        <v>7</v>
      </c>
      <c r="P329">
        <f t="shared" si="948"/>
        <v>0.89646302250803767</v>
      </c>
      <c r="Q329">
        <f t="shared" si="949"/>
        <v>210797.57392595476</v>
      </c>
      <c r="R329">
        <f t="shared" si="950"/>
        <v>7649337.0420520194</v>
      </c>
      <c r="S329">
        <f t="shared" si="951"/>
        <v>76.493370420520193</v>
      </c>
      <c r="T329">
        <f t="shared" si="952"/>
        <v>7.6493370420520193E-2</v>
      </c>
    </row>
    <row r="330" spans="1:20" x14ac:dyDescent="0.25">
      <c r="A330" s="5">
        <v>44263</v>
      </c>
      <c r="B330">
        <v>214.8</v>
      </c>
      <c r="C330">
        <v>219.11</v>
      </c>
      <c r="D330">
        <v>206.49</v>
      </c>
      <c r="E330">
        <v>218.23</v>
      </c>
      <c r="F330">
        <v>109229.35324</v>
      </c>
      <c r="G330">
        <v>0</v>
      </c>
      <c r="L330" t="s">
        <v>8</v>
      </c>
      <c r="M330" t="s">
        <v>8</v>
      </c>
      <c r="N330" t="s">
        <v>7</v>
      </c>
      <c r="P330">
        <f t="shared" si="948"/>
        <v>0.86053882725831643</v>
      </c>
      <c r="Q330">
        <f t="shared" si="949"/>
        <v>93996.099539333984</v>
      </c>
      <c r="R330">
        <f t="shared" si="950"/>
        <v>7438539.4681260642</v>
      </c>
      <c r="S330">
        <f t="shared" si="951"/>
        <v>74.385394681260635</v>
      </c>
      <c r="T330">
        <f t="shared" si="952"/>
        <v>7.4385394681260639E-2</v>
      </c>
    </row>
    <row r="331" spans="1:20" x14ac:dyDescent="0.25">
      <c r="A331" s="5">
        <v>44262</v>
      </c>
      <c r="B331">
        <v>208.79</v>
      </c>
      <c r="C331">
        <v>215.04</v>
      </c>
      <c r="D331">
        <v>206.33</v>
      </c>
      <c r="E331">
        <v>214.79</v>
      </c>
      <c r="F331">
        <v>92915.699080000006</v>
      </c>
      <c r="G331">
        <v>0</v>
      </c>
      <c r="L331" t="s">
        <v>8</v>
      </c>
      <c r="M331" t="s">
        <v>8</v>
      </c>
      <c r="N331" t="s">
        <v>7</v>
      </c>
      <c r="P331">
        <f t="shared" si="948"/>
        <v>0.94259471871412159</v>
      </c>
      <c r="Q331">
        <f t="shared" si="949"/>
        <v>87581.847238438568</v>
      </c>
      <c r="R331">
        <f t="shared" si="950"/>
        <v>7344543.3685867302</v>
      </c>
      <c r="S331">
        <f t="shared" si="951"/>
        <v>73.4454336858673</v>
      </c>
      <c r="T331">
        <f t="shared" si="952"/>
        <v>7.3445433685867298E-2</v>
      </c>
    </row>
    <row r="332" spans="1:20" x14ac:dyDescent="0.25">
      <c r="A332" s="5">
        <v>44261</v>
      </c>
      <c r="B332">
        <v>205.8</v>
      </c>
      <c r="C332">
        <v>210.74</v>
      </c>
      <c r="D332">
        <v>200.41</v>
      </c>
      <c r="E332">
        <v>208.61</v>
      </c>
      <c r="F332">
        <v>75771.373989999993</v>
      </c>
      <c r="G332">
        <v>0</v>
      </c>
      <c r="L332" t="s">
        <v>8</v>
      </c>
      <c r="M332" t="s">
        <v>8</v>
      </c>
      <c r="N332" t="s">
        <v>7</v>
      </c>
      <c r="P332">
        <f t="shared" si="948"/>
        <v>0.58760890609874294</v>
      </c>
      <c r="Q332">
        <f t="shared" si="949"/>
        <v>44523.934183862642</v>
      </c>
      <c r="R332">
        <f t="shared" si="950"/>
        <v>7256961.521348292</v>
      </c>
      <c r="S332">
        <f t="shared" si="951"/>
        <v>72.569615213482919</v>
      </c>
      <c r="T332">
        <f t="shared" si="952"/>
        <v>7.2569615213482916E-2</v>
      </c>
    </row>
    <row r="333" spans="1:20" x14ac:dyDescent="0.25">
      <c r="A333" s="5">
        <v>44260</v>
      </c>
      <c r="B333">
        <v>211.18</v>
      </c>
      <c r="C333">
        <v>211.75</v>
      </c>
      <c r="D333">
        <v>196.1</v>
      </c>
      <c r="E333">
        <v>205.7</v>
      </c>
      <c r="F333">
        <v>145137.69888000001</v>
      </c>
      <c r="G333">
        <v>0</v>
      </c>
      <c r="L333" t="s">
        <v>7</v>
      </c>
      <c r="M333" t="s">
        <v>8</v>
      </c>
      <c r="N333" t="s">
        <v>7</v>
      </c>
      <c r="P333">
        <f t="shared" si="948"/>
        <v>0.22683706070287424</v>
      </c>
      <c r="Q333">
        <f t="shared" si="949"/>
        <v>32922.609011118046</v>
      </c>
      <c r="R333">
        <f t="shared" si="950"/>
        <v>7212437.587164429</v>
      </c>
      <c r="S333">
        <f t="shared" si="951"/>
        <v>72.12437587164429</v>
      </c>
      <c r="T333">
        <f t="shared" si="952"/>
        <v>7.2124375871644289E-2</v>
      </c>
    </row>
    <row r="334" spans="1:20" x14ac:dyDescent="0.25">
      <c r="A334" s="5">
        <v>44259</v>
      </c>
      <c r="B334">
        <v>222.74</v>
      </c>
      <c r="C334">
        <v>230</v>
      </c>
      <c r="D334">
        <v>206.1</v>
      </c>
      <c r="E334">
        <v>211.18</v>
      </c>
      <c r="F334">
        <v>169287.2887</v>
      </c>
      <c r="G334">
        <v>0</v>
      </c>
      <c r="L334" t="s">
        <v>7</v>
      </c>
      <c r="M334" t="s">
        <v>8</v>
      </c>
      <c r="N334" t="s">
        <v>7</v>
      </c>
      <c r="P334">
        <f t="shared" si="948"/>
        <v>-0.57489539748953877</v>
      </c>
      <c r="Q334">
        <f t="shared" si="949"/>
        <v>-97322.483127112806</v>
      </c>
      <c r="R334">
        <f t="shared" si="950"/>
        <v>7179514.9781533107</v>
      </c>
      <c r="S334">
        <f t="shared" si="951"/>
        <v>71.795149781533112</v>
      </c>
      <c r="T334">
        <f t="shared" si="952"/>
        <v>7.1795149781533119E-2</v>
      </c>
    </row>
    <row r="335" spans="1:20" x14ac:dyDescent="0.25">
      <c r="A335" s="5">
        <v>44258</v>
      </c>
      <c r="B335">
        <v>215.87</v>
      </c>
      <c r="C335">
        <v>235.8</v>
      </c>
      <c r="D335">
        <v>213.82</v>
      </c>
      <c r="E335">
        <v>222.59</v>
      </c>
      <c r="F335">
        <v>178477.30035999999</v>
      </c>
      <c r="G335">
        <v>0</v>
      </c>
      <c r="L335" t="s">
        <v>8</v>
      </c>
      <c r="M335" t="s">
        <v>8</v>
      </c>
      <c r="N335" t="s">
        <v>7</v>
      </c>
      <c r="P335">
        <f t="shared" si="948"/>
        <v>-0.20200181983621446</v>
      </c>
      <c r="Q335">
        <f t="shared" si="949"/>
        <v>-36052.739472174653</v>
      </c>
      <c r="R335">
        <f t="shared" si="950"/>
        <v>7276837.4612804232</v>
      </c>
      <c r="S335">
        <f t="shared" si="951"/>
        <v>72.768374612804237</v>
      </c>
      <c r="T335">
        <f t="shared" si="952"/>
        <v>7.2768374612804235E-2</v>
      </c>
    </row>
    <row r="336" spans="1:20" x14ac:dyDescent="0.25">
      <c r="A336" s="5">
        <v>44257</v>
      </c>
      <c r="B336">
        <v>224.77</v>
      </c>
      <c r="C336">
        <v>230.3</v>
      </c>
      <c r="D336">
        <v>209.31</v>
      </c>
      <c r="E336">
        <v>216.04</v>
      </c>
      <c r="F336">
        <v>201183.40119</v>
      </c>
      <c r="G336">
        <v>0</v>
      </c>
      <c r="L336" t="s">
        <v>8</v>
      </c>
      <c r="M336" t="s">
        <v>8</v>
      </c>
      <c r="N336" t="s">
        <v>7</v>
      </c>
      <c r="P336">
        <f t="shared" si="948"/>
        <v>-0.35874225821820038</v>
      </c>
      <c r="Q336">
        <f t="shared" si="949"/>
        <v>-72172.987658918777</v>
      </c>
      <c r="R336">
        <f t="shared" si="950"/>
        <v>7312890.2007525982</v>
      </c>
      <c r="S336">
        <f t="shared" si="951"/>
        <v>73.12890200752598</v>
      </c>
      <c r="T336">
        <f t="shared" si="952"/>
        <v>7.3128902007525975E-2</v>
      </c>
    </row>
    <row r="337" spans="1:20" x14ac:dyDescent="0.25">
      <c r="A337" s="5">
        <v>44256</v>
      </c>
      <c r="B337">
        <v>196.82</v>
      </c>
      <c r="C337">
        <v>224.94</v>
      </c>
      <c r="D337">
        <v>195.85</v>
      </c>
      <c r="E337">
        <v>224.94</v>
      </c>
      <c r="F337">
        <v>218515.06239000001</v>
      </c>
      <c r="G337">
        <v>0</v>
      </c>
      <c r="L337" t="s">
        <v>8</v>
      </c>
      <c r="M337" t="s">
        <v>8</v>
      </c>
      <c r="N337" t="s">
        <v>7</v>
      </c>
      <c r="P337">
        <f t="shared" si="948"/>
        <v>1</v>
      </c>
      <c r="Q337">
        <f t="shared" si="949"/>
        <v>218515.06239000001</v>
      </c>
      <c r="R337">
        <f t="shared" si="950"/>
        <v>7385063.1884115171</v>
      </c>
      <c r="S337">
        <f t="shared" si="951"/>
        <v>73.850631884115174</v>
      </c>
      <c r="T337">
        <f t="shared" si="952"/>
        <v>7.385063188411517E-2</v>
      </c>
    </row>
    <row r="338" spans="1:20" x14ac:dyDescent="0.25">
      <c r="A338" s="5">
        <v>44255</v>
      </c>
      <c r="B338">
        <v>210.44</v>
      </c>
      <c r="C338">
        <v>211.94</v>
      </c>
      <c r="D338">
        <v>181.28</v>
      </c>
      <c r="E338">
        <v>196.77</v>
      </c>
      <c r="F338">
        <v>207923.01209999999</v>
      </c>
      <c r="G338">
        <v>0</v>
      </c>
      <c r="L338" t="s">
        <v>7</v>
      </c>
      <c r="M338" t="s">
        <v>7</v>
      </c>
      <c r="N338" t="s">
        <v>7</v>
      </c>
      <c r="P338">
        <f t="shared" si="948"/>
        <v>1.0437051532942649E-2</v>
      </c>
      <c r="Q338">
        <f t="shared" si="949"/>
        <v>2170.1031921723579</v>
      </c>
      <c r="R338">
        <f t="shared" si="950"/>
        <v>7166548.1260215174</v>
      </c>
      <c r="S338">
        <f t="shared" si="951"/>
        <v>71.665481260215174</v>
      </c>
      <c r="T338">
        <f t="shared" si="952"/>
        <v>7.1665481260215172E-2</v>
      </c>
    </row>
    <row r="339" spans="1:20" x14ac:dyDescent="0.25">
      <c r="A339" s="5">
        <v>44254</v>
      </c>
      <c r="B339">
        <v>206.57</v>
      </c>
      <c r="C339">
        <v>224.27</v>
      </c>
      <c r="D339">
        <v>205.21</v>
      </c>
      <c r="E339">
        <v>210.69</v>
      </c>
      <c r="F339">
        <v>195763.12727</v>
      </c>
      <c r="G339">
        <v>0</v>
      </c>
      <c r="L339" t="s">
        <v>8</v>
      </c>
      <c r="M339" t="s">
        <v>7</v>
      </c>
      <c r="N339" t="s">
        <v>7</v>
      </c>
      <c r="P339">
        <f t="shared" si="948"/>
        <v>-0.42497376705141771</v>
      </c>
      <c r="Q339">
        <f t="shared" si="949"/>
        <v>-83194.193645698018</v>
      </c>
      <c r="R339">
        <f t="shared" si="950"/>
        <v>7164378.0228293454</v>
      </c>
      <c r="S339">
        <f t="shared" si="951"/>
        <v>71.643780228293451</v>
      </c>
      <c r="T339">
        <f t="shared" si="952"/>
        <v>7.1643780228293458E-2</v>
      </c>
    </row>
    <row r="340" spans="1:20" x14ac:dyDescent="0.25">
      <c r="A340" s="5">
        <v>44253</v>
      </c>
      <c r="B340">
        <v>218.11</v>
      </c>
      <c r="C340">
        <v>223.92</v>
      </c>
      <c r="D340">
        <v>201.15</v>
      </c>
      <c r="E340">
        <v>206.7</v>
      </c>
      <c r="F340">
        <v>231381.98349000001</v>
      </c>
      <c r="G340">
        <v>0</v>
      </c>
      <c r="L340" t="s">
        <v>7</v>
      </c>
      <c r="M340" t="s">
        <v>7</v>
      </c>
      <c r="N340" t="s">
        <v>7</v>
      </c>
      <c r="P340">
        <f t="shared" si="948"/>
        <v>-0.51251646903820924</v>
      </c>
      <c r="Q340">
        <f t="shared" si="949"/>
        <v>-118587.07717735204</v>
      </c>
      <c r="R340">
        <f t="shared" si="950"/>
        <v>7247572.2164750434</v>
      </c>
      <c r="S340">
        <f t="shared" si="951"/>
        <v>72.475722164750437</v>
      </c>
      <c r="T340">
        <f t="shared" si="952"/>
        <v>7.2475722164750442E-2</v>
      </c>
    </row>
    <row r="341" spans="1:20" x14ac:dyDescent="0.25">
      <c r="A341" s="5">
        <v>44252</v>
      </c>
      <c r="B341">
        <v>237.03</v>
      </c>
      <c r="C341">
        <v>248.79</v>
      </c>
      <c r="D341">
        <v>216</v>
      </c>
      <c r="E341">
        <v>218.5</v>
      </c>
      <c r="F341">
        <v>252003.58046</v>
      </c>
      <c r="G341">
        <v>0</v>
      </c>
      <c r="L341" t="s">
        <v>7</v>
      </c>
      <c r="M341" t="s">
        <v>7</v>
      </c>
      <c r="N341" t="s">
        <v>7</v>
      </c>
      <c r="P341">
        <f t="shared" si="948"/>
        <v>-0.84751448612381819</v>
      </c>
      <c r="Q341">
        <f t="shared" si="949"/>
        <v>-213576.68499491917</v>
      </c>
      <c r="R341">
        <f t="shared" si="950"/>
        <v>7366159.2936523957</v>
      </c>
      <c r="S341">
        <f t="shared" si="951"/>
        <v>73.661592936523959</v>
      </c>
      <c r="T341">
        <f t="shared" si="952"/>
        <v>7.3661592936523954E-2</v>
      </c>
    </row>
    <row r="342" spans="1:20" x14ac:dyDescent="0.25">
      <c r="A342" s="5">
        <v>44251</v>
      </c>
      <c r="B342">
        <v>231.19</v>
      </c>
      <c r="C342">
        <v>263</v>
      </c>
      <c r="D342">
        <v>218</v>
      </c>
      <c r="E342">
        <v>237.4</v>
      </c>
      <c r="F342">
        <v>393461.57819999999</v>
      </c>
      <c r="G342">
        <v>0</v>
      </c>
      <c r="L342" t="s">
        <v>8</v>
      </c>
      <c r="M342" t="s">
        <v>8</v>
      </c>
      <c r="N342" t="s">
        <v>7</v>
      </c>
      <c r="P342">
        <f t="shared" si="948"/>
        <v>-0.13777777777777753</v>
      </c>
      <c r="Q342">
        <f t="shared" si="949"/>
        <v>-54210.261885333231</v>
      </c>
      <c r="R342">
        <f t="shared" si="950"/>
        <v>7579735.9786473149</v>
      </c>
      <c r="S342">
        <f t="shared" si="951"/>
        <v>75.797359786473152</v>
      </c>
      <c r="T342">
        <f t="shared" si="952"/>
        <v>7.5797359786473145E-2</v>
      </c>
    </row>
    <row r="343" spans="1:20" x14ac:dyDescent="0.25">
      <c r="A343" s="5">
        <v>44250</v>
      </c>
      <c r="B343">
        <v>271.74</v>
      </c>
      <c r="C343">
        <v>273.11</v>
      </c>
      <c r="D343">
        <v>200</v>
      </c>
      <c r="E343">
        <v>230.91</v>
      </c>
      <c r="F343">
        <v>572502.34696</v>
      </c>
      <c r="G343">
        <v>0</v>
      </c>
      <c r="L343" t="s">
        <v>7</v>
      </c>
      <c r="M343" t="s">
        <v>7</v>
      </c>
      <c r="N343" t="s">
        <v>7</v>
      </c>
      <c r="P343">
        <f t="shared" si="948"/>
        <v>-0.15442483928327203</v>
      </c>
      <c r="Q343">
        <f t="shared" si="949"/>
        <v>-88408.582918594038</v>
      </c>
      <c r="R343">
        <f t="shared" si="950"/>
        <v>7633946.2405326478</v>
      </c>
      <c r="S343">
        <f t="shared" si="951"/>
        <v>76.339462405326472</v>
      </c>
      <c r="T343">
        <f t="shared" si="952"/>
        <v>7.6339462405326478E-2</v>
      </c>
    </row>
    <row r="344" spans="1:20" x14ac:dyDescent="0.25">
      <c r="A344" s="5">
        <v>44249</v>
      </c>
      <c r="B344">
        <v>301.57</v>
      </c>
      <c r="C344">
        <v>303.2</v>
      </c>
      <c r="D344">
        <v>226.2</v>
      </c>
      <c r="E344">
        <v>271.7</v>
      </c>
      <c r="F344">
        <v>492173.82981000002</v>
      </c>
      <c r="G344">
        <v>0</v>
      </c>
      <c r="L344" t="s">
        <v>7</v>
      </c>
      <c r="M344" t="s">
        <v>7</v>
      </c>
      <c r="N344" t="s">
        <v>7</v>
      </c>
      <c r="P344">
        <f t="shared" si="948"/>
        <v>0.18181818181818182</v>
      </c>
      <c r="Q344">
        <f t="shared" si="949"/>
        <v>89486.150874545463</v>
      </c>
      <c r="R344">
        <f t="shared" si="950"/>
        <v>7722354.8234512415</v>
      </c>
      <c r="S344">
        <f t="shared" si="951"/>
        <v>77.223548234512421</v>
      </c>
      <c r="T344">
        <f t="shared" si="952"/>
        <v>7.7223548234512426E-2</v>
      </c>
    </row>
    <row r="345" spans="1:20" x14ac:dyDescent="0.25">
      <c r="A345" s="5">
        <v>44248</v>
      </c>
      <c r="B345">
        <v>297.55</v>
      </c>
      <c r="C345">
        <v>317.54000000000002</v>
      </c>
      <c r="D345">
        <v>289.55</v>
      </c>
      <c r="E345">
        <v>301.52</v>
      </c>
      <c r="F345">
        <v>268039.66845</v>
      </c>
      <c r="G345">
        <v>0</v>
      </c>
      <c r="L345" t="s">
        <v>8</v>
      </c>
      <c r="M345" t="s">
        <v>7</v>
      </c>
      <c r="N345" t="s">
        <v>8</v>
      </c>
      <c r="P345">
        <f t="shared" si="948"/>
        <v>-0.14469453376206026</v>
      </c>
      <c r="Q345">
        <f t="shared" si="949"/>
        <v>-38783.874856109964</v>
      </c>
      <c r="R345">
        <f t="shared" si="950"/>
        <v>7632868.6725766957</v>
      </c>
      <c r="S345">
        <f t="shared" si="951"/>
        <v>76.328686725766957</v>
      </c>
      <c r="T345">
        <f t="shared" si="952"/>
        <v>7.6328686725766953E-2</v>
      </c>
    </row>
    <row r="346" spans="1:20" x14ac:dyDescent="0.25">
      <c r="A346" s="5">
        <v>44247</v>
      </c>
      <c r="B346">
        <v>323.79000000000002</v>
      </c>
      <c r="C346">
        <v>332.71</v>
      </c>
      <c r="D346">
        <v>280</v>
      </c>
      <c r="E346">
        <v>297.27999999999997</v>
      </c>
      <c r="F346">
        <v>421948.27107000002</v>
      </c>
      <c r="G346">
        <v>0</v>
      </c>
      <c r="L346" t="s">
        <v>7</v>
      </c>
      <c r="M346" t="s">
        <v>7</v>
      </c>
      <c r="N346" t="s">
        <v>8</v>
      </c>
      <c r="P346">
        <f t="shared" si="948"/>
        <v>-0.34433693796243675</v>
      </c>
      <c r="Q346">
        <f t="shared" si="949"/>
        <v>-145292.37563878804</v>
      </c>
      <c r="R346">
        <f t="shared" si="950"/>
        <v>7671652.5474328054</v>
      </c>
      <c r="S346">
        <f t="shared" si="951"/>
        <v>76.716525474328051</v>
      </c>
      <c r="T346">
        <f t="shared" si="952"/>
        <v>7.6716525474328057E-2</v>
      </c>
    </row>
    <row r="347" spans="1:20" x14ac:dyDescent="0.25">
      <c r="A347" s="5">
        <v>44246</v>
      </c>
      <c r="B347">
        <v>281.16000000000003</v>
      </c>
      <c r="C347">
        <v>336.65</v>
      </c>
      <c r="D347">
        <v>269.61</v>
      </c>
      <c r="E347">
        <v>323.83999999999997</v>
      </c>
      <c r="F347">
        <v>719761.41020000004</v>
      </c>
      <c r="G347">
        <v>0</v>
      </c>
      <c r="L347" t="s">
        <v>8</v>
      </c>
      <c r="M347" t="s">
        <v>8</v>
      </c>
      <c r="N347" t="s">
        <v>8</v>
      </c>
      <c r="P347">
        <f t="shared" si="948"/>
        <v>0.61784009546539354</v>
      </c>
      <c r="Q347">
        <f t="shared" si="949"/>
        <v>444697.45839027432</v>
      </c>
      <c r="R347">
        <f t="shared" si="950"/>
        <v>7816944.923071593</v>
      </c>
      <c r="S347">
        <f t="shared" si="951"/>
        <v>78.169449230715927</v>
      </c>
      <c r="T347">
        <f t="shared" si="952"/>
        <v>7.8169449230715921E-2</v>
      </c>
    </row>
    <row r="348" spans="1:20" x14ac:dyDescent="0.25">
      <c r="A348" s="5">
        <v>44245</v>
      </c>
      <c r="B348">
        <v>265.99</v>
      </c>
      <c r="C348">
        <v>306.12</v>
      </c>
      <c r="D348">
        <v>257.05</v>
      </c>
      <c r="E348">
        <v>281.14999999999998</v>
      </c>
      <c r="F348">
        <v>589697.91272999998</v>
      </c>
      <c r="G348">
        <v>0</v>
      </c>
      <c r="L348" t="s">
        <v>8</v>
      </c>
      <c r="M348" t="s">
        <v>8</v>
      </c>
      <c r="N348" t="s">
        <v>8</v>
      </c>
      <c r="P348">
        <f t="shared" si="948"/>
        <v>-1.7729773792542522E-2</v>
      </c>
      <c r="Q348">
        <f t="shared" si="949"/>
        <v>-10455.210598637381</v>
      </c>
      <c r="R348">
        <f t="shared" si="950"/>
        <v>7372247.464681319</v>
      </c>
      <c r="S348">
        <f t="shared" si="951"/>
        <v>73.722474646813183</v>
      </c>
      <c r="T348">
        <f t="shared" si="952"/>
        <v>7.3722474646813183E-2</v>
      </c>
    </row>
    <row r="349" spans="1:20" x14ac:dyDescent="0.25">
      <c r="A349" s="5">
        <v>44244</v>
      </c>
      <c r="B349">
        <v>249.41</v>
      </c>
      <c r="C349">
        <v>270.95</v>
      </c>
      <c r="D349">
        <v>234.26</v>
      </c>
      <c r="E349">
        <v>265.95999999999998</v>
      </c>
      <c r="F349">
        <v>371685.81452999997</v>
      </c>
      <c r="G349">
        <v>0</v>
      </c>
      <c r="L349" t="s">
        <v>7</v>
      </c>
      <c r="M349" t="s">
        <v>8</v>
      </c>
      <c r="N349" t="s">
        <v>7</v>
      </c>
      <c r="P349">
        <f t="shared" si="948"/>
        <v>0.72799127827745924</v>
      </c>
      <c r="Q349">
        <f t="shared" si="949"/>
        <v>270584.03123729333</v>
      </c>
      <c r="R349">
        <f t="shared" si="950"/>
        <v>7382702.6752799563</v>
      </c>
      <c r="S349">
        <f t="shared" si="951"/>
        <v>73.827026752799568</v>
      </c>
      <c r="T349">
        <f t="shared" si="952"/>
        <v>7.3827026752799563E-2</v>
      </c>
    </row>
    <row r="350" spans="1:20" x14ac:dyDescent="0.25">
      <c r="A350" s="5">
        <v>44243</v>
      </c>
      <c r="B350">
        <v>259.8</v>
      </c>
      <c r="C350">
        <v>272.77999999999997</v>
      </c>
      <c r="D350">
        <v>242.78</v>
      </c>
      <c r="E350">
        <v>249.46</v>
      </c>
      <c r="F350">
        <v>439133.16626000003</v>
      </c>
      <c r="G350">
        <v>0</v>
      </c>
      <c r="L350" t="s">
        <v>8</v>
      </c>
      <c r="M350" t="s">
        <v>8</v>
      </c>
      <c r="N350" t="s">
        <v>7</v>
      </c>
      <c r="P350">
        <f t="shared" si="948"/>
        <v>-0.55466666666666575</v>
      </c>
      <c r="Q350">
        <f t="shared" si="949"/>
        <v>-243572.52955221295</v>
      </c>
      <c r="R350">
        <f t="shared" si="950"/>
        <v>7112118.6440426633</v>
      </c>
      <c r="S350">
        <f t="shared" si="951"/>
        <v>71.121186440426627</v>
      </c>
      <c r="T350">
        <f t="shared" si="952"/>
        <v>7.1121186440426629E-2</v>
      </c>
    </row>
    <row r="351" spans="1:20" x14ac:dyDescent="0.25">
      <c r="A351" s="5">
        <v>44242</v>
      </c>
      <c r="B351">
        <v>230.4</v>
      </c>
      <c r="C351">
        <v>290</v>
      </c>
      <c r="D351">
        <v>195</v>
      </c>
      <c r="E351">
        <v>259.69</v>
      </c>
      <c r="F351">
        <v>1021117.6638400001</v>
      </c>
      <c r="G351">
        <v>0</v>
      </c>
      <c r="L351" t="s">
        <v>7</v>
      </c>
      <c r="M351" t="s">
        <v>7</v>
      </c>
      <c r="N351" t="s">
        <v>7</v>
      </c>
      <c r="P351">
        <f t="shared" si="948"/>
        <v>0.36189473684210521</v>
      </c>
      <c r="Q351">
        <f t="shared" si="949"/>
        <v>369537.10824020207</v>
      </c>
      <c r="R351">
        <f t="shared" si="950"/>
        <v>7355691.1735948762</v>
      </c>
      <c r="S351">
        <f t="shared" si="951"/>
        <v>73.556911735948759</v>
      </c>
      <c r="T351">
        <f t="shared" si="952"/>
        <v>7.3556911735948763E-2</v>
      </c>
    </row>
    <row r="352" spans="1:20" x14ac:dyDescent="0.25">
      <c r="A352" s="5">
        <v>44241</v>
      </c>
      <c r="B352">
        <v>267.74</v>
      </c>
      <c r="C352">
        <v>278.95</v>
      </c>
      <c r="D352">
        <v>222.25</v>
      </c>
      <c r="E352">
        <v>230.69</v>
      </c>
      <c r="F352">
        <v>549673.22546999995</v>
      </c>
      <c r="G352">
        <v>0</v>
      </c>
      <c r="L352" t="s">
        <v>7</v>
      </c>
      <c r="M352" t="s">
        <v>7</v>
      </c>
      <c r="N352" t="s">
        <v>8</v>
      </c>
      <c r="P352">
        <f t="shared" si="948"/>
        <v>-0.7022927689594356</v>
      </c>
      <c r="Q352">
        <f t="shared" si="949"/>
        <v>-386031.53153819044</v>
      </c>
      <c r="R352">
        <f t="shared" si="950"/>
        <v>6986154.0653546741</v>
      </c>
      <c r="S352">
        <f t="shared" si="951"/>
        <v>69.86154065354674</v>
      </c>
      <c r="T352">
        <f t="shared" si="952"/>
        <v>6.9861540653546744E-2</v>
      </c>
    </row>
    <row r="353" spans="1:20" x14ac:dyDescent="0.25">
      <c r="A353" s="5">
        <v>44240</v>
      </c>
      <c r="B353">
        <v>169.82</v>
      </c>
      <c r="C353">
        <v>298</v>
      </c>
      <c r="D353">
        <v>169.74</v>
      </c>
      <c r="E353">
        <v>267.61</v>
      </c>
      <c r="F353">
        <v>1528535.9298400001</v>
      </c>
      <c r="G353">
        <v>0</v>
      </c>
      <c r="L353" t="s">
        <v>8</v>
      </c>
      <c r="M353" t="s">
        <v>8</v>
      </c>
      <c r="N353" t="s">
        <v>8</v>
      </c>
      <c r="P353">
        <f t="shared" si="948"/>
        <v>0.52611882114455033</v>
      </c>
      <c r="Q353">
        <f t="shared" si="949"/>
        <v>804191.52148450993</v>
      </c>
      <c r="R353">
        <f t="shared" si="950"/>
        <v>7372185.5968928644</v>
      </c>
      <c r="S353">
        <f t="shared" si="951"/>
        <v>73.721855968928651</v>
      </c>
      <c r="T353">
        <f t="shared" si="952"/>
        <v>7.3721855968928648E-2</v>
      </c>
    </row>
    <row r="354" spans="1:20" x14ac:dyDescent="0.25">
      <c r="A354" s="5">
        <v>44239</v>
      </c>
      <c r="B354">
        <v>164.91</v>
      </c>
      <c r="C354">
        <v>173.42</v>
      </c>
      <c r="D354">
        <v>155.24</v>
      </c>
      <c r="E354">
        <v>169.76</v>
      </c>
      <c r="F354">
        <v>317122.93800999998</v>
      </c>
      <c r="G354">
        <v>0</v>
      </c>
      <c r="L354" t="s">
        <v>8</v>
      </c>
      <c r="M354" t="s">
        <v>8</v>
      </c>
      <c r="N354" t="s">
        <v>8</v>
      </c>
      <c r="P354">
        <f t="shared" si="948"/>
        <v>0.59735973597359726</v>
      </c>
      <c r="Q354">
        <f t="shared" si="949"/>
        <v>189436.47452082505</v>
      </c>
      <c r="R354">
        <f t="shared" si="950"/>
        <v>6567994.0754083544</v>
      </c>
      <c r="S354">
        <f t="shared" si="951"/>
        <v>65.679940754083546</v>
      </c>
      <c r="T354">
        <f t="shared" si="952"/>
        <v>6.5679940754083552E-2</v>
      </c>
    </row>
    <row r="355" spans="1:20" x14ac:dyDescent="0.25">
      <c r="A355" s="5">
        <v>44238</v>
      </c>
      <c r="B355">
        <v>139.69999999999999</v>
      </c>
      <c r="C355">
        <v>167.5</v>
      </c>
      <c r="D355">
        <v>138.19</v>
      </c>
      <c r="E355">
        <v>164.6</v>
      </c>
      <c r="F355">
        <v>529001.09985999996</v>
      </c>
      <c r="G355">
        <v>0</v>
      </c>
      <c r="L355" t="s">
        <v>8</v>
      </c>
      <c r="M355" t="s">
        <v>8</v>
      </c>
      <c r="N355" t="s">
        <v>8</v>
      </c>
      <c r="P355">
        <f t="shared" si="948"/>
        <v>0.80211531900375266</v>
      </c>
      <c r="Q355">
        <f t="shared" si="949"/>
        <v>424319.88596753986</v>
      </c>
      <c r="R355">
        <f t="shared" si="950"/>
        <v>6378557.6008875296</v>
      </c>
      <c r="S355">
        <f t="shared" si="951"/>
        <v>63.785576008875296</v>
      </c>
      <c r="T355">
        <f t="shared" si="952"/>
        <v>6.37855760088753E-2</v>
      </c>
    </row>
    <row r="356" spans="1:20" x14ac:dyDescent="0.25">
      <c r="A356" s="5">
        <v>44237</v>
      </c>
      <c r="B356">
        <v>137.4</v>
      </c>
      <c r="C356">
        <v>149</v>
      </c>
      <c r="D356">
        <v>125</v>
      </c>
      <c r="E356">
        <v>139.75</v>
      </c>
      <c r="F356">
        <v>431306.34974999999</v>
      </c>
      <c r="G356">
        <v>0</v>
      </c>
      <c r="L356" t="s">
        <v>8</v>
      </c>
      <c r="M356" t="s">
        <v>8</v>
      </c>
      <c r="N356" t="s">
        <v>8</v>
      </c>
      <c r="P356">
        <f t="shared" si="948"/>
        <v>0.22916666666666666</v>
      </c>
      <c r="Q356">
        <f t="shared" si="949"/>
        <v>98841.038484374993</v>
      </c>
      <c r="R356">
        <f t="shared" si="950"/>
        <v>5954237.7149199899</v>
      </c>
      <c r="S356">
        <f t="shared" si="951"/>
        <v>59.542377149199901</v>
      </c>
      <c r="T356">
        <f t="shared" si="952"/>
        <v>5.9542377149199903E-2</v>
      </c>
    </row>
    <row r="357" spans="1:20" x14ac:dyDescent="0.25">
      <c r="A357" s="5">
        <v>44236</v>
      </c>
      <c r="B357">
        <v>126.25</v>
      </c>
      <c r="C357">
        <v>138.1</v>
      </c>
      <c r="D357">
        <v>124.11</v>
      </c>
      <c r="E357">
        <v>137.36000000000001</v>
      </c>
      <c r="F357">
        <v>303721.31475000002</v>
      </c>
      <c r="G357">
        <v>0</v>
      </c>
      <c r="L357" t="s">
        <v>8</v>
      </c>
      <c r="M357" t="s">
        <v>8</v>
      </c>
      <c r="N357" t="s">
        <v>8</v>
      </c>
      <c r="P357">
        <f t="shared" si="948"/>
        <v>0.89421015010722216</v>
      </c>
      <c r="Q357">
        <f t="shared" si="949"/>
        <v>271590.68245336041</v>
      </c>
      <c r="R357">
        <f t="shared" si="950"/>
        <v>5855396.6764356149</v>
      </c>
      <c r="S357">
        <f t="shared" si="951"/>
        <v>58.553966764356147</v>
      </c>
      <c r="T357">
        <f t="shared" si="952"/>
        <v>5.8553966764356147E-2</v>
      </c>
    </row>
    <row r="358" spans="1:20" x14ac:dyDescent="0.25">
      <c r="A358" s="5">
        <v>44235</v>
      </c>
      <c r="B358">
        <v>118.32</v>
      </c>
      <c r="C358">
        <v>126.54</v>
      </c>
      <c r="D358">
        <v>114.78</v>
      </c>
      <c r="E358">
        <v>126.16</v>
      </c>
      <c r="F358">
        <v>226166.19795</v>
      </c>
      <c r="G358">
        <v>0</v>
      </c>
      <c r="L358" t="s">
        <v>8</v>
      </c>
      <c r="M358" t="s">
        <v>8</v>
      </c>
      <c r="N358" t="s">
        <v>7</v>
      </c>
      <c r="P358">
        <f t="shared" si="948"/>
        <v>0.93537414965986232</v>
      </c>
      <c r="Q358">
        <f t="shared" si="949"/>
        <v>211550.01508928536</v>
      </c>
      <c r="R358">
        <f t="shared" si="950"/>
        <v>5583805.9939822545</v>
      </c>
      <c r="S358">
        <f t="shared" si="951"/>
        <v>55.838059939822543</v>
      </c>
      <c r="T358">
        <f t="shared" si="952"/>
        <v>5.5838059939822542E-2</v>
      </c>
    </row>
    <row r="359" spans="1:20" x14ac:dyDescent="0.25">
      <c r="A359" s="5">
        <v>44234</v>
      </c>
      <c r="B359">
        <v>118.97</v>
      </c>
      <c r="C359">
        <v>122</v>
      </c>
      <c r="D359">
        <v>112.29</v>
      </c>
      <c r="E359">
        <v>118.31</v>
      </c>
      <c r="F359">
        <v>213673.40005</v>
      </c>
      <c r="G359">
        <v>0</v>
      </c>
      <c r="L359" t="s">
        <v>7</v>
      </c>
      <c r="M359" t="s">
        <v>8</v>
      </c>
      <c r="N359" t="s">
        <v>7</v>
      </c>
      <c r="P359">
        <f t="shared" si="948"/>
        <v>0.23995880535530378</v>
      </c>
      <c r="Q359">
        <f t="shared" si="949"/>
        <v>51272.813812203909</v>
      </c>
      <c r="R359">
        <f t="shared" si="950"/>
        <v>5372255.978892969</v>
      </c>
      <c r="S359">
        <f t="shared" si="951"/>
        <v>53.722559788929686</v>
      </c>
      <c r="T359">
        <f t="shared" si="952"/>
        <v>5.3722559788929689E-2</v>
      </c>
    </row>
    <row r="360" spans="1:20" x14ac:dyDescent="0.25">
      <c r="A360" s="5">
        <v>44233</v>
      </c>
      <c r="B360">
        <v>120.4</v>
      </c>
      <c r="C360">
        <v>123</v>
      </c>
      <c r="D360">
        <v>115.01</v>
      </c>
      <c r="E360">
        <v>118.94</v>
      </c>
      <c r="F360">
        <v>243141.74447999999</v>
      </c>
      <c r="G360">
        <v>0</v>
      </c>
      <c r="L360" t="s">
        <v>8</v>
      </c>
      <c r="M360" t="s">
        <v>8</v>
      </c>
      <c r="N360" t="s">
        <v>7</v>
      </c>
      <c r="P360">
        <f t="shared" si="948"/>
        <v>-1.6270337922404225E-2</v>
      </c>
      <c r="Q360">
        <f t="shared" si="949"/>
        <v>-3955.998345732462</v>
      </c>
      <c r="R360">
        <f t="shared" si="950"/>
        <v>5320983.1650807653</v>
      </c>
      <c r="S360">
        <f t="shared" si="951"/>
        <v>53.209831650807651</v>
      </c>
      <c r="T360">
        <f t="shared" si="952"/>
        <v>5.320983165080765E-2</v>
      </c>
    </row>
    <row r="361" spans="1:20" x14ac:dyDescent="0.25">
      <c r="A361" s="5">
        <v>44232</v>
      </c>
      <c r="B361">
        <v>110.98</v>
      </c>
      <c r="C361">
        <v>122.5</v>
      </c>
      <c r="D361">
        <v>110.38</v>
      </c>
      <c r="E361">
        <v>120.42</v>
      </c>
      <c r="F361">
        <v>272673.13955000002</v>
      </c>
      <c r="G361">
        <v>0</v>
      </c>
      <c r="L361" t="s">
        <v>8</v>
      </c>
      <c r="M361" t="s">
        <v>8</v>
      </c>
      <c r="N361" t="s">
        <v>7</v>
      </c>
      <c r="P361">
        <f t="shared" si="948"/>
        <v>0.65676567656765716</v>
      </c>
      <c r="Q361">
        <f t="shared" si="949"/>
        <v>179082.35897838295</v>
      </c>
      <c r="R361">
        <f t="shared" si="950"/>
        <v>5324939.163426498</v>
      </c>
      <c r="S361">
        <f t="shared" si="951"/>
        <v>53.249391634264981</v>
      </c>
      <c r="T361">
        <f t="shared" si="952"/>
        <v>5.3249391634264981E-2</v>
      </c>
    </row>
    <row r="362" spans="1:20" x14ac:dyDescent="0.25">
      <c r="A362" s="5">
        <v>44231</v>
      </c>
      <c r="B362">
        <v>116.86</v>
      </c>
      <c r="C362">
        <v>118.52</v>
      </c>
      <c r="D362">
        <v>110</v>
      </c>
      <c r="E362">
        <v>111</v>
      </c>
      <c r="F362">
        <v>204054.47463000001</v>
      </c>
      <c r="G362">
        <v>0</v>
      </c>
      <c r="L362" t="s">
        <v>7</v>
      </c>
      <c r="M362" t="s">
        <v>8</v>
      </c>
      <c r="N362" t="s">
        <v>7</v>
      </c>
      <c r="P362">
        <f t="shared" si="948"/>
        <v>-0.76525821596244126</v>
      </c>
      <c r="Q362">
        <f t="shared" si="949"/>
        <v>-156154.36321450703</v>
      </c>
      <c r="R362">
        <f t="shared" si="950"/>
        <v>5145856.8044481147</v>
      </c>
      <c r="S362">
        <f t="shared" si="951"/>
        <v>51.458568044481147</v>
      </c>
      <c r="T362">
        <f t="shared" si="952"/>
        <v>5.1458568044481144E-2</v>
      </c>
    </row>
    <row r="363" spans="1:20" x14ac:dyDescent="0.25">
      <c r="A363" s="5">
        <v>44230</v>
      </c>
      <c r="B363">
        <v>109.86</v>
      </c>
      <c r="C363">
        <v>118.66</v>
      </c>
      <c r="D363">
        <v>109.86</v>
      </c>
      <c r="E363">
        <v>116.84</v>
      </c>
      <c r="F363">
        <v>285854.36655999999</v>
      </c>
      <c r="G363">
        <v>0</v>
      </c>
      <c r="L363" t="s">
        <v>8</v>
      </c>
      <c r="M363" t="s">
        <v>8</v>
      </c>
      <c r="N363" t="s">
        <v>7</v>
      </c>
      <c r="P363">
        <f t="shared" si="948"/>
        <v>0.58636363636363775</v>
      </c>
      <c r="Q363">
        <f t="shared" si="949"/>
        <v>167614.60584654586</v>
      </c>
      <c r="R363">
        <f t="shared" si="950"/>
        <v>5302011.1676626215</v>
      </c>
      <c r="S363">
        <f t="shared" si="951"/>
        <v>53.020111676626215</v>
      </c>
      <c r="T363">
        <f t="shared" si="952"/>
        <v>5.3020111676626215E-2</v>
      </c>
    </row>
    <row r="364" spans="1:20" x14ac:dyDescent="0.25">
      <c r="A364" s="5">
        <v>44229</v>
      </c>
      <c r="B364">
        <v>103.52</v>
      </c>
      <c r="C364">
        <v>110.95</v>
      </c>
      <c r="D364">
        <v>103.1</v>
      </c>
      <c r="E364">
        <v>109.85</v>
      </c>
      <c r="F364">
        <v>206063.14571000001</v>
      </c>
      <c r="G364">
        <v>0</v>
      </c>
      <c r="L364" t="s">
        <v>8</v>
      </c>
      <c r="M364" t="s">
        <v>7</v>
      </c>
      <c r="N364" t="s">
        <v>7</v>
      </c>
      <c r="P364">
        <f t="shared" si="948"/>
        <v>0.71974522292993448</v>
      </c>
      <c r="Q364">
        <f t="shared" si="949"/>
        <v>148312.96474668753</v>
      </c>
      <c r="R364">
        <f t="shared" si="950"/>
        <v>5134396.5618160758</v>
      </c>
      <c r="S364">
        <f t="shared" si="951"/>
        <v>51.343965618160759</v>
      </c>
      <c r="T364">
        <f t="shared" si="952"/>
        <v>5.1343965618160757E-2</v>
      </c>
    </row>
    <row r="365" spans="1:20" x14ac:dyDescent="0.25">
      <c r="A365" s="5">
        <v>44228</v>
      </c>
      <c r="B365">
        <v>102.39</v>
      </c>
      <c r="C365">
        <v>105.74</v>
      </c>
      <c r="D365">
        <v>100.2</v>
      </c>
      <c r="E365">
        <v>103.54</v>
      </c>
      <c r="F365">
        <v>167191.02543000001</v>
      </c>
      <c r="G365">
        <v>0</v>
      </c>
      <c r="L365" t="s">
        <v>7</v>
      </c>
      <c r="M365" t="s">
        <v>7</v>
      </c>
      <c r="N365" t="s">
        <v>7</v>
      </c>
      <c r="P365">
        <f t="shared" si="948"/>
        <v>0.20577617328520151</v>
      </c>
      <c r="Q365">
        <f t="shared" si="949"/>
        <v>34403.929420614215</v>
      </c>
      <c r="R365">
        <f t="shared" si="950"/>
        <v>4986083.5970693883</v>
      </c>
      <c r="S365">
        <f t="shared" si="951"/>
        <v>49.860835970693884</v>
      </c>
      <c r="T365">
        <f t="shared" si="952"/>
        <v>4.9860835970693886E-2</v>
      </c>
    </row>
    <row r="366" spans="1:20" x14ac:dyDescent="0.25">
      <c r="A366" s="5">
        <v>44227</v>
      </c>
      <c r="B366">
        <v>105.19</v>
      </c>
      <c r="C366">
        <v>106.25</v>
      </c>
      <c r="D366">
        <v>100.05</v>
      </c>
      <c r="E366">
        <v>102.42</v>
      </c>
      <c r="F366">
        <v>131926.49051999999</v>
      </c>
      <c r="G366">
        <v>0</v>
      </c>
      <c r="L366" t="s">
        <v>7</v>
      </c>
      <c r="M366" t="s">
        <v>7</v>
      </c>
      <c r="N366" t="s">
        <v>7</v>
      </c>
      <c r="P366">
        <f t="shared" si="948"/>
        <v>-0.23548387096774082</v>
      </c>
      <c r="Q366">
        <f t="shared" si="949"/>
        <v>-31066.56067083856</v>
      </c>
      <c r="R366">
        <f t="shared" si="950"/>
        <v>4951679.6676487736</v>
      </c>
      <c r="S366">
        <f t="shared" si="951"/>
        <v>49.516796676487736</v>
      </c>
      <c r="T366">
        <f t="shared" si="952"/>
        <v>4.9516796676487736E-2</v>
      </c>
    </row>
    <row r="367" spans="1:20" x14ac:dyDescent="0.25">
      <c r="A367" s="5">
        <v>44226</v>
      </c>
      <c r="B367">
        <v>104.6</v>
      </c>
      <c r="C367">
        <v>106.22</v>
      </c>
      <c r="D367">
        <v>100.51</v>
      </c>
      <c r="E367">
        <v>105.17</v>
      </c>
      <c r="F367">
        <v>126741.5977</v>
      </c>
      <c r="G367">
        <v>0</v>
      </c>
      <c r="L367" t="s">
        <v>7</v>
      </c>
      <c r="M367" t="s">
        <v>7</v>
      </c>
      <c r="N367" t="s">
        <v>7</v>
      </c>
      <c r="P367">
        <f t="shared" si="948"/>
        <v>0.63222416812609517</v>
      </c>
      <c r="Q367">
        <f t="shared" si="949"/>
        <v>80129.101172854716</v>
      </c>
      <c r="R367">
        <f t="shared" si="950"/>
        <v>4982746.2283196123</v>
      </c>
      <c r="S367">
        <f t="shared" si="951"/>
        <v>49.827462283196127</v>
      </c>
      <c r="T367">
        <f t="shared" si="952"/>
        <v>4.9827462283196129E-2</v>
      </c>
    </row>
    <row r="368" spans="1:20" x14ac:dyDescent="0.25">
      <c r="A368" s="5">
        <v>44225</v>
      </c>
      <c r="B368">
        <v>102.71</v>
      </c>
      <c r="C368">
        <v>110.22</v>
      </c>
      <c r="D368">
        <v>101.06</v>
      </c>
      <c r="E368">
        <v>104.56</v>
      </c>
      <c r="F368">
        <v>272655.57010000001</v>
      </c>
      <c r="G368">
        <v>0</v>
      </c>
      <c r="L368" t="s">
        <v>8</v>
      </c>
      <c r="M368" t="s">
        <v>7</v>
      </c>
      <c r="N368" t="s">
        <v>7</v>
      </c>
      <c r="P368">
        <f t="shared" si="948"/>
        <v>-0.23580786026200845</v>
      </c>
      <c r="Q368">
        <f t="shared" si="949"/>
        <v>-64294.326573799051</v>
      </c>
      <c r="R368">
        <f t="shared" si="950"/>
        <v>4902617.1271467572</v>
      </c>
      <c r="S368">
        <f t="shared" si="951"/>
        <v>49.026171271467575</v>
      </c>
      <c r="T368">
        <f t="shared" si="952"/>
        <v>4.9026171271467578E-2</v>
      </c>
    </row>
    <row r="369" spans="1:20" x14ac:dyDescent="0.25">
      <c r="A369" s="5">
        <v>44224</v>
      </c>
      <c r="B369">
        <v>96.49</v>
      </c>
      <c r="C369">
        <v>105.53</v>
      </c>
      <c r="D369">
        <v>94.81</v>
      </c>
      <c r="E369">
        <v>102.68</v>
      </c>
      <c r="F369">
        <v>169884.10592</v>
      </c>
      <c r="G369">
        <v>0</v>
      </c>
      <c r="L369" t="s">
        <v>8</v>
      </c>
      <c r="M369" t="s">
        <v>7</v>
      </c>
      <c r="N369" t="s">
        <v>7</v>
      </c>
      <c r="P369">
        <f t="shared" si="948"/>
        <v>0.46828358208955323</v>
      </c>
      <c r="Q369">
        <f t="shared" si="949"/>
        <v>79553.937660298674</v>
      </c>
      <c r="R369">
        <f t="shared" si="950"/>
        <v>4966911.4537205566</v>
      </c>
      <c r="S369">
        <f t="shared" si="951"/>
        <v>49.669114537205566</v>
      </c>
      <c r="T369">
        <f t="shared" si="952"/>
        <v>4.9669114537205565E-2</v>
      </c>
    </row>
    <row r="370" spans="1:20" x14ac:dyDescent="0.25">
      <c r="A370" s="5">
        <v>44223</v>
      </c>
      <c r="B370">
        <v>104.88</v>
      </c>
      <c r="C370">
        <v>104.96</v>
      </c>
      <c r="D370">
        <v>94.3</v>
      </c>
      <c r="E370">
        <v>96.45</v>
      </c>
      <c r="F370">
        <v>146328.49437999999</v>
      </c>
      <c r="G370">
        <v>0</v>
      </c>
      <c r="L370" t="s">
        <v>7</v>
      </c>
      <c r="M370" t="s">
        <v>7</v>
      </c>
      <c r="N370" t="s">
        <v>7</v>
      </c>
      <c r="P370">
        <f t="shared" si="948"/>
        <v>-0.59662288930581497</v>
      </c>
      <c r="Q370">
        <f t="shared" si="949"/>
        <v>-87302.929104765295</v>
      </c>
      <c r="R370">
        <f t="shared" si="950"/>
        <v>4887357.5160602583</v>
      </c>
      <c r="S370">
        <f t="shared" si="951"/>
        <v>48.873575160602584</v>
      </c>
      <c r="T370">
        <f t="shared" si="952"/>
        <v>4.8873575160602582E-2</v>
      </c>
    </row>
    <row r="371" spans="1:20" x14ac:dyDescent="0.25">
      <c r="A371" s="5">
        <v>44222</v>
      </c>
      <c r="B371">
        <v>104.84</v>
      </c>
      <c r="C371">
        <v>106.34</v>
      </c>
      <c r="D371">
        <v>100.23</v>
      </c>
      <c r="E371">
        <v>104.97</v>
      </c>
      <c r="F371">
        <v>129344.10154</v>
      </c>
      <c r="G371">
        <v>0</v>
      </c>
      <c r="L371" t="s">
        <v>7</v>
      </c>
      <c r="M371" t="s">
        <v>7</v>
      </c>
      <c r="N371" t="s">
        <v>7</v>
      </c>
      <c r="P371">
        <f t="shared" si="948"/>
        <v>0.55155482815057133</v>
      </c>
      <c r="Q371">
        <f t="shared" si="949"/>
        <v>71340.363697184745</v>
      </c>
      <c r="R371">
        <f t="shared" si="950"/>
        <v>4974660.4451650232</v>
      </c>
      <c r="S371">
        <f t="shared" si="951"/>
        <v>49.746604451650235</v>
      </c>
      <c r="T371">
        <f t="shared" si="952"/>
        <v>4.9746604451650238E-2</v>
      </c>
    </row>
    <row r="372" spans="1:20" x14ac:dyDescent="0.25">
      <c r="A372" s="5">
        <v>44221</v>
      </c>
      <c r="B372">
        <v>106.23</v>
      </c>
      <c r="C372">
        <v>113.22</v>
      </c>
      <c r="D372">
        <v>104.76</v>
      </c>
      <c r="E372">
        <v>105</v>
      </c>
      <c r="F372">
        <v>200978.17499999999</v>
      </c>
      <c r="G372">
        <v>0</v>
      </c>
      <c r="L372" t="s">
        <v>8</v>
      </c>
      <c r="M372" t="s">
        <v>7</v>
      </c>
      <c r="N372" t="s">
        <v>7</v>
      </c>
      <c r="P372">
        <f t="shared" si="948"/>
        <v>-0.94326241134751887</v>
      </c>
      <c r="Q372">
        <f t="shared" si="949"/>
        <v>-189575.15797872361</v>
      </c>
      <c r="R372">
        <f t="shared" si="950"/>
        <v>4903320.081467838</v>
      </c>
      <c r="S372">
        <f t="shared" si="951"/>
        <v>49.033200814678381</v>
      </c>
      <c r="T372">
        <f t="shared" si="952"/>
        <v>4.9033200814678379E-2</v>
      </c>
    </row>
    <row r="373" spans="1:20" x14ac:dyDescent="0.25">
      <c r="A373" s="5">
        <v>44220</v>
      </c>
      <c r="B373">
        <v>105.27</v>
      </c>
      <c r="C373">
        <v>110.9</v>
      </c>
      <c r="D373">
        <v>103.56</v>
      </c>
      <c r="E373">
        <v>106.16</v>
      </c>
      <c r="F373">
        <v>174099.56671000001</v>
      </c>
      <c r="G373">
        <v>0</v>
      </c>
      <c r="L373" t="s">
        <v>8</v>
      </c>
      <c r="M373" t="s">
        <v>7</v>
      </c>
      <c r="N373" t="s">
        <v>7</v>
      </c>
      <c r="P373">
        <f t="shared" si="948"/>
        <v>-0.29155313351498824</v>
      </c>
      <c r="Q373">
        <f t="shared" si="949"/>
        <v>-50759.274217902239</v>
      </c>
      <c r="R373">
        <f t="shared" si="950"/>
        <v>5092895.2394465618</v>
      </c>
      <c r="S373">
        <f t="shared" si="951"/>
        <v>50.928952394465618</v>
      </c>
      <c r="T373">
        <f t="shared" si="952"/>
        <v>5.0928952394465619E-2</v>
      </c>
    </row>
    <row r="374" spans="1:20" x14ac:dyDescent="0.25">
      <c r="A374" s="5">
        <v>44219</v>
      </c>
      <c r="B374">
        <v>104.72</v>
      </c>
      <c r="C374">
        <v>109.92</v>
      </c>
      <c r="D374">
        <v>102.09</v>
      </c>
      <c r="E374">
        <v>105.29</v>
      </c>
      <c r="F374">
        <v>197211.64111999999</v>
      </c>
      <c r="G374">
        <v>0</v>
      </c>
      <c r="L374" t="s">
        <v>8</v>
      </c>
      <c r="M374" t="s">
        <v>7</v>
      </c>
      <c r="N374" t="s">
        <v>7</v>
      </c>
      <c r="P374">
        <f t="shared" si="948"/>
        <v>-0.18263090676883689</v>
      </c>
      <c r="Q374">
        <f t="shared" si="949"/>
        <v>-36016.940843116041</v>
      </c>
      <c r="R374">
        <f t="shared" si="950"/>
        <v>5143654.5136644645</v>
      </c>
      <c r="S374">
        <f t="shared" si="951"/>
        <v>51.436545136644646</v>
      </c>
      <c r="T374">
        <f t="shared" si="952"/>
        <v>5.1436545136644647E-2</v>
      </c>
    </row>
    <row r="375" spans="1:20" x14ac:dyDescent="0.25">
      <c r="A375" s="5">
        <v>44218</v>
      </c>
      <c r="B375">
        <v>99.7</v>
      </c>
      <c r="C375">
        <v>108.29</v>
      </c>
      <c r="D375">
        <v>93.85</v>
      </c>
      <c r="E375">
        <v>104.72</v>
      </c>
      <c r="F375">
        <v>495027.58963</v>
      </c>
      <c r="G375">
        <v>0</v>
      </c>
      <c r="L375" t="s">
        <v>7</v>
      </c>
      <c r="M375" t="s">
        <v>7</v>
      </c>
      <c r="N375" t="s">
        <v>7</v>
      </c>
      <c r="P375">
        <f t="shared" si="948"/>
        <v>0.50554016620498554</v>
      </c>
      <c r="Q375">
        <f t="shared" si="949"/>
        <v>250256.32993760359</v>
      </c>
      <c r="R375">
        <f t="shared" si="950"/>
        <v>5179671.454507581</v>
      </c>
      <c r="S375">
        <f t="shared" si="951"/>
        <v>51.796714545075808</v>
      </c>
      <c r="T375">
        <f t="shared" si="952"/>
        <v>5.1796714545075812E-2</v>
      </c>
    </row>
    <row r="376" spans="1:20" x14ac:dyDescent="0.25">
      <c r="A376" s="5">
        <v>44217</v>
      </c>
      <c r="B376">
        <v>121.21</v>
      </c>
      <c r="C376">
        <v>121.99</v>
      </c>
      <c r="D376">
        <v>99.53</v>
      </c>
      <c r="E376">
        <v>99.77</v>
      </c>
      <c r="F376">
        <v>480967.49254000001</v>
      </c>
      <c r="G376">
        <v>0</v>
      </c>
      <c r="L376" t="s">
        <v>7</v>
      </c>
      <c r="M376" t="s">
        <v>7</v>
      </c>
      <c r="N376" t="s">
        <v>7</v>
      </c>
      <c r="P376">
        <f t="shared" si="948"/>
        <v>-0.9786286731967947</v>
      </c>
      <c r="Q376">
        <f t="shared" si="949"/>
        <v>-470688.57907520945</v>
      </c>
      <c r="R376">
        <f t="shared" si="950"/>
        <v>4929415.1245699776</v>
      </c>
      <c r="S376">
        <f t="shared" si="951"/>
        <v>49.294151245699773</v>
      </c>
      <c r="T376">
        <f t="shared" si="952"/>
        <v>4.9294151245699774E-2</v>
      </c>
    </row>
    <row r="377" spans="1:20" x14ac:dyDescent="0.25">
      <c r="A377" s="5">
        <v>44216</v>
      </c>
      <c r="B377">
        <v>124.51</v>
      </c>
      <c r="C377">
        <v>127.1</v>
      </c>
      <c r="D377">
        <v>111.55</v>
      </c>
      <c r="E377">
        <v>121.13</v>
      </c>
      <c r="F377">
        <v>435595.51247000002</v>
      </c>
      <c r="G377">
        <v>0</v>
      </c>
      <c r="L377" t="s">
        <v>7</v>
      </c>
      <c r="M377" t="s">
        <v>7</v>
      </c>
      <c r="N377" t="s">
        <v>7</v>
      </c>
      <c r="P377">
        <f t="shared" si="948"/>
        <v>0.23215434083601286</v>
      </c>
      <c r="Q377">
        <f t="shared" si="949"/>
        <v>101125.38906859807</v>
      </c>
      <c r="R377">
        <f t="shared" si="950"/>
        <v>5400103.7036451874</v>
      </c>
      <c r="S377">
        <f t="shared" si="951"/>
        <v>54.001037036451876</v>
      </c>
      <c r="T377">
        <f t="shared" si="952"/>
        <v>5.4001037036451878E-2</v>
      </c>
    </row>
    <row r="378" spans="1:20" x14ac:dyDescent="0.25">
      <c r="A378" s="5">
        <v>44215</v>
      </c>
      <c r="B378">
        <v>129.34</v>
      </c>
      <c r="C378">
        <v>134.44999999999999</v>
      </c>
      <c r="D378">
        <v>123</v>
      </c>
      <c r="E378">
        <v>124.46</v>
      </c>
      <c r="F378">
        <v>233952.73508000001</v>
      </c>
      <c r="G378">
        <v>0</v>
      </c>
      <c r="L378" t="s">
        <v>8</v>
      </c>
      <c r="M378" t="s">
        <v>8</v>
      </c>
      <c r="N378" t="s">
        <v>7</v>
      </c>
      <c r="P378">
        <f t="shared" si="948"/>
        <v>-0.74497816593886546</v>
      </c>
      <c r="Q378">
        <f t="shared" si="949"/>
        <v>-174289.67949627968</v>
      </c>
      <c r="R378">
        <f t="shared" si="950"/>
        <v>5298978.3145765895</v>
      </c>
      <c r="S378">
        <f t="shared" si="951"/>
        <v>52.989783145765898</v>
      </c>
      <c r="T378">
        <f t="shared" si="952"/>
        <v>5.2989783145765898E-2</v>
      </c>
    </row>
    <row r="379" spans="1:20" x14ac:dyDescent="0.25">
      <c r="A379" s="5">
        <v>44214</v>
      </c>
      <c r="B379">
        <v>124.33</v>
      </c>
      <c r="C379">
        <v>132.5</v>
      </c>
      <c r="D379">
        <v>121</v>
      </c>
      <c r="E379">
        <v>129.30000000000001</v>
      </c>
      <c r="F379">
        <v>184899.95993000001</v>
      </c>
      <c r="G379">
        <v>0</v>
      </c>
      <c r="L379" t="s">
        <v>8</v>
      </c>
      <c r="M379" t="s">
        <v>8</v>
      </c>
      <c r="N379" t="s">
        <v>7</v>
      </c>
      <c r="P379">
        <f t="shared" si="948"/>
        <v>0.44347826086956721</v>
      </c>
      <c r="Q379">
        <f t="shared" si="949"/>
        <v>81999.112664609071</v>
      </c>
      <c r="R379">
        <f t="shared" si="950"/>
        <v>5473267.9940728694</v>
      </c>
      <c r="S379">
        <f t="shared" si="951"/>
        <v>54.732679940728694</v>
      </c>
      <c r="T379">
        <f t="shared" si="952"/>
        <v>5.4732679940728696E-2</v>
      </c>
    </row>
    <row r="380" spans="1:20" x14ac:dyDescent="0.25">
      <c r="A380" s="5">
        <v>44213</v>
      </c>
      <c r="B380">
        <v>124.8</v>
      </c>
      <c r="C380">
        <v>126.99</v>
      </c>
      <c r="D380">
        <v>120.09</v>
      </c>
      <c r="E380">
        <v>124.26</v>
      </c>
      <c r="F380">
        <v>145919.12231000001</v>
      </c>
      <c r="G380">
        <v>0</v>
      </c>
      <c r="L380" t="s">
        <v>7</v>
      </c>
      <c r="M380" t="s">
        <v>8</v>
      </c>
      <c r="N380" t="s">
        <v>7</v>
      </c>
      <c r="P380">
        <f t="shared" si="948"/>
        <v>0.20869565217391503</v>
      </c>
      <c r="Q380">
        <f t="shared" si="949"/>
        <v>30452.686395130728</v>
      </c>
      <c r="R380">
        <f t="shared" si="950"/>
        <v>5391268.8814082602</v>
      </c>
      <c r="S380">
        <f t="shared" si="951"/>
        <v>53.9126888140826</v>
      </c>
      <c r="T380">
        <f t="shared" si="952"/>
        <v>5.39126888140826E-2</v>
      </c>
    </row>
    <row r="381" spans="1:20" x14ac:dyDescent="0.25">
      <c r="A381" s="5">
        <v>44212</v>
      </c>
      <c r="B381">
        <v>124.38</v>
      </c>
      <c r="C381">
        <v>132.34</v>
      </c>
      <c r="D381">
        <v>121.35</v>
      </c>
      <c r="E381">
        <v>124.85</v>
      </c>
      <c r="F381">
        <v>197587.25612999999</v>
      </c>
      <c r="G381">
        <v>0</v>
      </c>
      <c r="L381" t="s">
        <v>8</v>
      </c>
      <c r="M381" t="s">
        <v>8</v>
      </c>
      <c r="N381" t="s">
        <v>7</v>
      </c>
      <c r="P381">
        <f t="shared" si="948"/>
        <v>-0.36305732484076486</v>
      </c>
      <c r="Q381">
        <f t="shared" si="949"/>
        <v>-71735.500633184813</v>
      </c>
      <c r="R381">
        <f t="shared" si="950"/>
        <v>5360816.1950131292</v>
      </c>
      <c r="S381">
        <f t="shared" si="951"/>
        <v>53.60816195013129</v>
      </c>
      <c r="T381">
        <f t="shared" si="952"/>
        <v>5.3608161950131288E-2</v>
      </c>
    </row>
    <row r="382" spans="1:20" x14ac:dyDescent="0.25">
      <c r="A382" s="5">
        <v>44211</v>
      </c>
      <c r="B382">
        <v>133</v>
      </c>
      <c r="C382">
        <v>136.63</v>
      </c>
      <c r="D382">
        <v>116.4</v>
      </c>
      <c r="E382">
        <v>124.3</v>
      </c>
      <c r="F382">
        <v>243942.43173000001</v>
      </c>
      <c r="G382">
        <v>0</v>
      </c>
      <c r="L382" t="s">
        <v>7</v>
      </c>
      <c r="M382" t="s">
        <v>8</v>
      </c>
      <c r="N382" t="s">
        <v>7</v>
      </c>
      <c r="P382">
        <f t="shared" si="948"/>
        <v>-0.21898171033119174</v>
      </c>
      <c r="Q382">
        <f t="shared" si="949"/>
        <v>-53418.930922585379</v>
      </c>
      <c r="R382">
        <f t="shared" si="950"/>
        <v>5432551.695646314</v>
      </c>
      <c r="S382">
        <f t="shared" si="951"/>
        <v>54.32551695646314</v>
      </c>
      <c r="T382">
        <f t="shared" si="952"/>
        <v>5.4325516956463142E-2</v>
      </c>
    </row>
    <row r="383" spans="1:20" x14ac:dyDescent="0.25">
      <c r="A383" s="5">
        <v>44210</v>
      </c>
      <c r="B383">
        <v>133.13</v>
      </c>
      <c r="C383">
        <v>138</v>
      </c>
      <c r="D383">
        <v>129.1</v>
      </c>
      <c r="E383">
        <v>132.99</v>
      </c>
      <c r="F383">
        <v>259568.13891000001</v>
      </c>
      <c r="G383">
        <v>0</v>
      </c>
      <c r="L383" t="s">
        <v>8</v>
      </c>
      <c r="M383" t="s">
        <v>8</v>
      </c>
      <c r="N383" t="s">
        <v>7</v>
      </c>
      <c r="P383">
        <f t="shared" si="948"/>
        <v>-0.12584269662921072</v>
      </c>
      <c r="Q383">
        <f t="shared" si="949"/>
        <v>-32664.754559459958</v>
      </c>
      <c r="R383">
        <f t="shared" si="950"/>
        <v>5485970.6265688995</v>
      </c>
      <c r="S383">
        <f t="shared" si="951"/>
        <v>54.859706265688992</v>
      </c>
      <c r="T383">
        <f t="shared" si="952"/>
        <v>5.4859706265688993E-2</v>
      </c>
    </row>
    <row r="384" spans="1:20" x14ac:dyDescent="0.25">
      <c r="A384" s="5">
        <v>44209</v>
      </c>
      <c r="B384">
        <v>128.46</v>
      </c>
      <c r="C384">
        <v>137.6</v>
      </c>
      <c r="D384">
        <v>120.02</v>
      </c>
      <c r="E384">
        <v>133.1</v>
      </c>
      <c r="F384">
        <v>359632.76828000002</v>
      </c>
      <c r="G384">
        <v>0</v>
      </c>
      <c r="L384" t="s">
        <v>7</v>
      </c>
      <c r="M384" t="s">
        <v>8</v>
      </c>
      <c r="N384" t="s">
        <v>7</v>
      </c>
      <c r="P384">
        <f t="shared" si="948"/>
        <v>0.48805460750853236</v>
      </c>
      <c r="Q384">
        <f t="shared" si="949"/>
        <v>175520.42957010237</v>
      </c>
      <c r="R384">
        <f t="shared" si="950"/>
        <v>5518635.3811283596</v>
      </c>
      <c r="S384">
        <f t="shared" si="951"/>
        <v>55.186353811283595</v>
      </c>
      <c r="T384">
        <f t="shared" si="952"/>
        <v>5.5186353811283596E-2</v>
      </c>
    </row>
    <row r="385" spans="1:20" x14ac:dyDescent="0.25">
      <c r="A385" s="5">
        <v>44208</v>
      </c>
      <c r="B385">
        <v>125.19</v>
      </c>
      <c r="C385">
        <v>135.81</v>
      </c>
      <c r="D385">
        <v>116.22</v>
      </c>
      <c r="E385">
        <v>128.53</v>
      </c>
      <c r="F385">
        <v>513919.37335000001</v>
      </c>
      <c r="G385">
        <v>0</v>
      </c>
      <c r="L385" t="s">
        <v>8</v>
      </c>
      <c r="M385" t="s">
        <v>8</v>
      </c>
      <c r="N385" t="s">
        <v>7</v>
      </c>
      <c r="P385">
        <f t="shared" si="948"/>
        <v>0.25676365492598263</v>
      </c>
      <c r="Q385">
        <f t="shared" si="949"/>
        <v>131955.81663861664</v>
      </c>
      <c r="R385">
        <f t="shared" si="950"/>
        <v>5343114.9515582575</v>
      </c>
      <c r="S385">
        <f t="shared" si="951"/>
        <v>53.431149515582575</v>
      </c>
      <c r="T385">
        <f t="shared" si="952"/>
        <v>5.3431149515582574E-2</v>
      </c>
    </row>
    <row r="386" spans="1:20" x14ac:dyDescent="0.25">
      <c r="A386" s="5">
        <v>44207</v>
      </c>
      <c r="B386">
        <v>146.5</v>
      </c>
      <c r="C386">
        <v>148.52000000000001</v>
      </c>
      <c r="D386">
        <v>106.02</v>
      </c>
      <c r="E386">
        <v>125.01</v>
      </c>
      <c r="F386">
        <v>1153291.93778</v>
      </c>
      <c r="G386">
        <v>0</v>
      </c>
      <c r="L386" t="s">
        <v>7</v>
      </c>
      <c r="M386" t="s">
        <v>7</v>
      </c>
      <c r="N386" t="s">
        <v>7</v>
      </c>
      <c r="P386">
        <f t="shared" si="948"/>
        <v>-0.10635294117647046</v>
      </c>
      <c r="Q386">
        <f t="shared" si="949"/>
        <v>-122655.98961801396</v>
      </c>
      <c r="R386">
        <f t="shared" si="950"/>
        <v>5211159.1349196406</v>
      </c>
      <c r="S386">
        <f t="shared" si="951"/>
        <v>52.111591349196409</v>
      </c>
      <c r="T386">
        <f t="shared" si="952"/>
        <v>5.2111591349196407E-2</v>
      </c>
    </row>
    <row r="387" spans="1:20" x14ac:dyDescent="0.25">
      <c r="A387" s="5">
        <v>44206</v>
      </c>
      <c r="B387">
        <v>110</v>
      </c>
      <c r="C387">
        <v>158.5</v>
      </c>
      <c r="D387">
        <v>109.9</v>
      </c>
      <c r="E387">
        <v>146.54</v>
      </c>
      <c r="F387">
        <v>1374934.1011999999</v>
      </c>
      <c r="G387">
        <v>0</v>
      </c>
      <c r="L387" t="s">
        <v>8</v>
      </c>
      <c r="M387" t="s">
        <v>8</v>
      </c>
      <c r="N387" t="s">
        <v>8</v>
      </c>
      <c r="P387">
        <f t="shared" si="948"/>
        <v>0.50781893004115186</v>
      </c>
      <c r="Q387">
        <f t="shared" si="949"/>
        <v>698217.56414847681</v>
      </c>
      <c r="R387">
        <f t="shared" si="950"/>
        <v>5333815.1245376542</v>
      </c>
      <c r="S387">
        <f t="shared" si="951"/>
        <v>53.338151245376544</v>
      </c>
      <c r="T387">
        <f t="shared" si="952"/>
        <v>5.3338151245376546E-2</v>
      </c>
    </row>
    <row r="388" spans="1:20" x14ac:dyDescent="0.25">
      <c r="A388" s="5">
        <v>44205</v>
      </c>
      <c r="B388">
        <v>96.2</v>
      </c>
      <c r="C388">
        <v>111.19</v>
      </c>
      <c r="D388">
        <v>94.13</v>
      </c>
      <c r="E388">
        <v>109.94</v>
      </c>
      <c r="F388">
        <v>263992.12984000001</v>
      </c>
      <c r="G388">
        <v>0</v>
      </c>
      <c r="L388" t="s">
        <v>8</v>
      </c>
      <c r="M388" t="s">
        <v>8</v>
      </c>
      <c r="N388" t="s">
        <v>7</v>
      </c>
      <c r="P388">
        <f t="shared" si="948"/>
        <v>0.85345838218053927</v>
      </c>
      <c r="Q388">
        <f t="shared" si="949"/>
        <v>225306.29604164127</v>
      </c>
      <c r="R388">
        <f t="shared" si="950"/>
        <v>4635597.5603891769</v>
      </c>
      <c r="S388">
        <f t="shared" si="951"/>
        <v>46.355975603891771</v>
      </c>
      <c r="T388">
        <f t="shared" si="952"/>
        <v>4.6355975603891771E-2</v>
      </c>
    </row>
    <row r="389" spans="1:20" x14ac:dyDescent="0.25">
      <c r="A389" s="5">
        <v>44204</v>
      </c>
      <c r="B389">
        <v>98.88</v>
      </c>
      <c r="C389">
        <v>100.88</v>
      </c>
      <c r="D389">
        <v>92</v>
      </c>
      <c r="E389">
        <v>96.2</v>
      </c>
      <c r="F389">
        <v>235786.66695000001</v>
      </c>
      <c r="G389">
        <v>0</v>
      </c>
      <c r="L389" t="s">
        <v>7</v>
      </c>
      <c r="M389" t="s">
        <v>7</v>
      </c>
      <c r="N389" t="s">
        <v>7</v>
      </c>
      <c r="P389">
        <f t="shared" si="948"/>
        <v>-5.4054054054052933E-2</v>
      </c>
      <c r="Q389">
        <f t="shared" si="949"/>
        <v>-12745.225240540278</v>
      </c>
      <c r="R389">
        <f t="shared" si="950"/>
        <v>4410291.2643475356</v>
      </c>
      <c r="S389">
        <f t="shared" si="951"/>
        <v>44.102912643475356</v>
      </c>
      <c r="T389">
        <f t="shared" si="952"/>
        <v>4.4102912643475357E-2</v>
      </c>
    </row>
    <row r="390" spans="1:20" x14ac:dyDescent="0.25">
      <c r="A390" s="5">
        <v>44203</v>
      </c>
      <c r="B390">
        <v>94.3</v>
      </c>
      <c r="C390">
        <v>108.37</v>
      </c>
      <c r="D390">
        <v>92.17</v>
      </c>
      <c r="E390">
        <v>98.96</v>
      </c>
      <c r="F390">
        <v>385590.06063000002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53">IF(C390=D390,0,((E390-D390)-(C390-E390))/(C390-D390))</f>
        <v>-0.16172839506172954</v>
      </c>
      <c r="Q390">
        <f t="shared" ref="Q390:Q453" si="954">F390*P390</f>
        <v>-62360.86165744489</v>
      </c>
      <c r="R390">
        <f t="shared" ref="R390:R453" si="955">R391+Q390</f>
        <v>4423036.4895880762</v>
      </c>
      <c r="S390">
        <f t="shared" ref="S390:S453" si="956">R390/100000</f>
        <v>44.230364895880761</v>
      </c>
      <c r="T390">
        <f t="shared" ref="T390:T453" si="957">S390/1000</f>
        <v>4.423036489588076E-2</v>
      </c>
    </row>
    <row r="391" spans="1:20" x14ac:dyDescent="0.25">
      <c r="A391" s="5">
        <v>44202</v>
      </c>
      <c r="B391">
        <v>89.18</v>
      </c>
      <c r="C391">
        <v>94.95</v>
      </c>
      <c r="D391">
        <v>87.93</v>
      </c>
      <c r="E391">
        <v>94.22</v>
      </c>
      <c r="F391">
        <v>254301.58553000001</v>
      </c>
      <c r="G391">
        <v>0</v>
      </c>
      <c r="L391" t="s">
        <v>8</v>
      </c>
      <c r="M391" t="s">
        <v>7</v>
      </c>
      <c r="N391" t="s">
        <v>7</v>
      </c>
      <c r="P391">
        <f t="shared" si="953"/>
        <v>0.7920227920227908</v>
      </c>
      <c r="Q391">
        <f t="shared" si="954"/>
        <v>201412.65178729314</v>
      </c>
      <c r="R391">
        <f t="shared" si="955"/>
        <v>4485397.3512455216</v>
      </c>
      <c r="S391">
        <f t="shared" si="956"/>
        <v>44.853973512455212</v>
      </c>
      <c r="T391">
        <f t="shared" si="957"/>
        <v>4.4853973512455216E-2</v>
      </c>
    </row>
    <row r="392" spans="1:20" x14ac:dyDescent="0.25">
      <c r="A392" s="5">
        <v>44201</v>
      </c>
      <c r="B392">
        <v>88.97</v>
      </c>
      <c r="C392">
        <v>90.2</v>
      </c>
      <c r="D392">
        <v>85.6</v>
      </c>
      <c r="E392">
        <v>89.11</v>
      </c>
      <c r="F392">
        <v>150375.66563</v>
      </c>
      <c r="G392">
        <v>0</v>
      </c>
      <c r="L392" t="s">
        <v>7</v>
      </c>
      <c r="M392" t="s">
        <v>7</v>
      </c>
      <c r="N392" t="s">
        <v>7</v>
      </c>
      <c r="P392">
        <f t="shared" si="953"/>
        <v>0.52608695652173854</v>
      </c>
      <c r="Q392">
        <f t="shared" si="954"/>
        <v>79110.676266217299</v>
      </c>
      <c r="R392">
        <f t="shared" si="955"/>
        <v>4283984.6994582284</v>
      </c>
      <c r="S392">
        <f t="shared" si="956"/>
        <v>42.839846994582281</v>
      </c>
      <c r="T392">
        <f t="shared" si="957"/>
        <v>4.2839846994582279E-2</v>
      </c>
    </row>
    <row r="393" spans="1:20" x14ac:dyDescent="0.25">
      <c r="A393" s="5">
        <v>44200</v>
      </c>
      <c r="B393">
        <v>89.68</v>
      </c>
      <c r="C393">
        <v>96.89</v>
      </c>
      <c r="D393">
        <v>85.11</v>
      </c>
      <c r="E393">
        <v>89.01</v>
      </c>
      <c r="F393">
        <v>259987.88897</v>
      </c>
      <c r="G393">
        <v>0</v>
      </c>
      <c r="L393" t="s">
        <v>8</v>
      </c>
      <c r="M393" t="s">
        <v>7</v>
      </c>
      <c r="N393" t="s">
        <v>7</v>
      </c>
      <c r="P393">
        <f t="shared" si="953"/>
        <v>-0.33786078098471894</v>
      </c>
      <c r="Q393">
        <f t="shared" si="954"/>
        <v>-87839.711213972594</v>
      </c>
      <c r="R393">
        <f t="shared" si="955"/>
        <v>4204874.0231920108</v>
      </c>
      <c r="S393">
        <f t="shared" si="956"/>
        <v>42.048740231920107</v>
      </c>
      <c r="T393">
        <f t="shared" si="957"/>
        <v>4.2048740231920109E-2</v>
      </c>
    </row>
    <row r="394" spans="1:20" x14ac:dyDescent="0.25">
      <c r="A394" s="5">
        <v>44199</v>
      </c>
      <c r="B394">
        <v>86.98</v>
      </c>
      <c r="C394">
        <v>92.11</v>
      </c>
      <c r="D394">
        <v>85.19</v>
      </c>
      <c r="E394">
        <v>89.65</v>
      </c>
      <c r="F394">
        <v>225874.8082</v>
      </c>
      <c r="G394">
        <v>0</v>
      </c>
      <c r="L394" t="s">
        <v>7</v>
      </c>
      <c r="M394" t="s">
        <v>7</v>
      </c>
      <c r="N394" t="s">
        <v>7</v>
      </c>
      <c r="P394">
        <f t="shared" si="953"/>
        <v>0.28901734104046439</v>
      </c>
      <c r="Q394">
        <f t="shared" si="954"/>
        <v>65281.73647398888</v>
      </c>
      <c r="R394">
        <f t="shared" si="955"/>
        <v>4292713.7344059832</v>
      </c>
      <c r="S394">
        <f t="shared" si="956"/>
        <v>42.92713734405983</v>
      </c>
      <c r="T394">
        <f t="shared" si="957"/>
        <v>4.2927137344059826E-2</v>
      </c>
    </row>
    <row r="395" spans="1:20" x14ac:dyDescent="0.25">
      <c r="A395" s="5">
        <v>44198</v>
      </c>
      <c r="B395">
        <v>87.97</v>
      </c>
      <c r="C395">
        <v>94</v>
      </c>
      <c r="D395">
        <v>84.63</v>
      </c>
      <c r="E395">
        <v>87.02</v>
      </c>
      <c r="F395">
        <v>334096.22396999999</v>
      </c>
      <c r="G395">
        <v>0</v>
      </c>
      <c r="L395" t="s">
        <v>8</v>
      </c>
      <c r="M395" t="s">
        <v>7</v>
      </c>
      <c r="N395" t="s">
        <v>7</v>
      </c>
      <c r="P395">
        <f t="shared" si="953"/>
        <v>-0.48986125933831387</v>
      </c>
      <c r="Q395">
        <f t="shared" si="954"/>
        <v>-163660.79701411957</v>
      </c>
      <c r="R395">
        <f t="shared" si="955"/>
        <v>4227431.9979319945</v>
      </c>
      <c r="S395">
        <f t="shared" si="956"/>
        <v>42.274319979319948</v>
      </c>
      <c r="T395">
        <f t="shared" si="957"/>
        <v>4.2274319979319949E-2</v>
      </c>
    </row>
    <row r="396" spans="1:20" x14ac:dyDescent="0.25">
      <c r="A396" s="5">
        <v>44197</v>
      </c>
      <c r="B396">
        <v>99.48</v>
      </c>
      <c r="C396">
        <v>102.83</v>
      </c>
      <c r="D396">
        <v>85.9</v>
      </c>
      <c r="E396">
        <v>87.97</v>
      </c>
      <c r="F396">
        <v>354824.35988</v>
      </c>
      <c r="G396">
        <v>0</v>
      </c>
      <c r="L396" t="s">
        <v>7</v>
      </c>
      <c r="M396" t="s">
        <v>7</v>
      </c>
      <c r="N396" t="s">
        <v>7</v>
      </c>
      <c r="P396">
        <f t="shared" si="953"/>
        <v>-0.75546367395156599</v>
      </c>
      <c r="Q396">
        <f t="shared" si="954"/>
        <v>-268056.91452245746</v>
      </c>
      <c r="R396">
        <f t="shared" si="955"/>
        <v>4391092.7949461136</v>
      </c>
      <c r="S396">
        <f t="shared" si="956"/>
        <v>43.910927949461133</v>
      </c>
      <c r="T396">
        <f t="shared" si="957"/>
        <v>4.391092794946113E-2</v>
      </c>
    </row>
    <row r="397" spans="1:20" x14ac:dyDescent="0.25">
      <c r="A397" s="5">
        <v>44196</v>
      </c>
      <c r="B397">
        <v>101.81</v>
      </c>
      <c r="C397">
        <v>102.37</v>
      </c>
      <c r="D397">
        <v>96.73</v>
      </c>
      <c r="E397">
        <v>99.45</v>
      </c>
      <c r="F397">
        <v>94891.006250000006</v>
      </c>
      <c r="G397">
        <v>0</v>
      </c>
      <c r="L397" t="s">
        <v>7</v>
      </c>
      <c r="M397" t="s">
        <v>8</v>
      </c>
      <c r="N397" t="s">
        <v>7</v>
      </c>
      <c r="P397">
        <f t="shared" si="953"/>
        <v>-3.5460992907801921E-2</v>
      </c>
      <c r="Q397">
        <f t="shared" si="954"/>
        <v>-3364.9292996454378</v>
      </c>
      <c r="R397">
        <f t="shared" si="955"/>
        <v>4659149.7094685715</v>
      </c>
      <c r="S397">
        <f t="shared" si="956"/>
        <v>46.591497094685714</v>
      </c>
      <c r="T397">
        <f t="shared" si="957"/>
        <v>4.6591497094685713E-2</v>
      </c>
    </row>
    <row r="398" spans="1:20" x14ac:dyDescent="0.25">
      <c r="A398" s="5">
        <v>44195</v>
      </c>
      <c r="B398">
        <v>103.94</v>
      </c>
      <c r="C398">
        <v>105.65</v>
      </c>
      <c r="D398">
        <v>98.87</v>
      </c>
      <c r="E398">
        <v>101.89</v>
      </c>
      <c r="F398">
        <v>132451.98504</v>
      </c>
      <c r="G398">
        <v>0</v>
      </c>
      <c r="L398" t="s">
        <v>7</v>
      </c>
      <c r="M398" t="s">
        <v>8</v>
      </c>
      <c r="N398" t="s">
        <v>7</v>
      </c>
      <c r="P398">
        <f t="shared" si="953"/>
        <v>-0.10914454277286267</v>
      </c>
      <c r="Q398">
        <f t="shared" si="954"/>
        <v>-14456.411346548846</v>
      </c>
      <c r="R398">
        <f t="shared" si="955"/>
        <v>4662514.6387682166</v>
      </c>
      <c r="S398">
        <f t="shared" si="956"/>
        <v>46.625146387682165</v>
      </c>
      <c r="T398">
        <f t="shared" si="957"/>
        <v>4.6625146387682163E-2</v>
      </c>
    </row>
    <row r="399" spans="1:20" x14ac:dyDescent="0.25">
      <c r="A399" s="5">
        <v>44194</v>
      </c>
      <c r="B399">
        <v>107.13</v>
      </c>
      <c r="C399">
        <v>108.81</v>
      </c>
      <c r="D399">
        <v>99.08</v>
      </c>
      <c r="E399">
        <v>103.93</v>
      </c>
      <c r="F399">
        <v>199864.39635</v>
      </c>
      <c r="G399">
        <v>0</v>
      </c>
      <c r="L399" t="s">
        <v>7</v>
      </c>
      <c r="M399" t="s">
        <v>8</v>
      </c>
      <c r="N399" t="s">
        <v>7</v>
      </c>
      <c r="P399">
        <f t="shared" si="953"/>
        <v>-3.0832476875628893E-3</v>
      </c>
      <c r="Q399">
        <f t="shared" si="954"/>
        <v>-616.23143787229026</v>
      </c>
      <c r="R399">
        <f t="shared" si="955"/>
        <v>4676971.0501147658</v>
      </c>
      <c r="S399">
        <f t="shared" si="956"/>
        <v>46.769710501147657</v>
      </c>
      <c r="T399">
        <f t="shared" si="957"/>
        <v>4.6769710501147657E-2</v>
      </c>
    </row>
    <row r="400" spans="1:20" x14ac:dyDescent="0.25">
      <c r="A400" s="5">
        <v>44193</v>
      </c>
      <c r="B400">
        <v>107.37</v>
      </c>
      <c r="C400">
        <v>111</v>
      </c>
      <c r="D400">
        <v>104.24</v>
      </c>
      <c r="E400">
        <v>107.11</v>
      </c>
      <c r="F400">
        <v>237228.86887000001</v>
      </c>
      <c r="G400">
        <v>0</v>
      </c>
      <c r="L400" t="s">
        <v>8</v>
      </c>
      <c r="M400" t="s">
        <v>8</v>
      </c>
      <c r="N400" t="s">
        <v>7</v>
      </c>
      <c r="P400">
        <f t="shared" si="953"/>
        <v>-0.15088757396449634</v>
      </c>
      <c r="Q400">
        <f t="shared" si="954"/>
        <v>-35794.88849813593</v>
      </c>
      <c r="R400">
        <f t="shared" si="955"/>
        <v>4677587.2815526379</v>
      </c>
      <c r="S400">
        <f t="shared" si="956"/>
        <v>46.775872815526377</v>
      </c>
      <c r="T400">
        <f t="shared" si="957"/>
        <v>4.6775872815526379E-2</v>
      </c>
    </row>
    <row r="401" spans="1:20" x14ac:dyDescent="0.25">
      <c r="A401" s="5">
        <v>44192</v>
      </c>
      <c r="B401">
        <v>108.03</v>
      </c>
      <c r="C401">
        <v>113.26</v>
      </c>
      <c r="D401">
        <v>101</v>
      </c>
      <c r="E401">
        <v>107.48</v>
      </c>
      <c r="F401">
        <v>247963.75988999999</v>
      </c>
      <c r="G401">
        <v>0</v>
      </c>
      <c r="L401" t="s">
        <v>7</v>
      </c>
      <c r="M401" t="s">
        <v>8</v>
      </c>
      <c r="N401" t="s">
        <v>7</v>
      </c>
      <c r="P401">
        <f t="shared" si="953"/>
        <v>5.7096247960848494E-2</v>
      </c>
      <c r="Q401">
        <f t="shared" si="954"/>
        <v>14157.800319983737</v>
      </c>
      <c r="R401">
        <f t="shared" si="955"/>
        <v>4713382.1700507738</v>
      </c>
      <c r="S401">
        <f t="shared" si="956"/>
        <v>47.133821700507738</v>
      </c>
      <c r="T401">
        <f t="shared" si="957"/>
        <v>4.7133821700507741E-2</v>
      </c>
    </row>
    <row r="402" spans="1:20" x14ac:dyDescent="0.25">
      <c r="A402" s="5">
        <v>44191</v>
      </c>
      <c r="B402">
        <v>103.07</v>
      </c>
      <c r="C402">
        <v>112.71</v>
      </c>
      <c r="D402">
        <v>102.03</v>
      </c>
      <c r="E402">
        <v>107.99</v>
      </c>
      <c r="F402">
        <v>198907.56297999999</v>
      </c>
      <c r="G402">
        <v>0</v>
      </c>
      <c r="L402" t="s">
        <v>8</v>
      </c>
      <c r="M402" t="s">
        <v>8</v>
      </c>
      <c r="N402" t="s">
        <v>7</v>
      </c>
      <c r="P402">
        <f t="shared" si="953"/>
        <v>0.11610486891385728</v>
      </c>
      <c r="Q402">
        <f t="shared" si="954"/>
        <v>23094.13652576771</v>
      </c>
      <c r="R402">
        <f t="shared" si="955"/>
        <v>4699224.3697307901</v>
      </c>
      <c r="S402">
        <f t="shared" si="956"/>
        <v>46.992243697307899</v>
      </c>
      <c r="T402">
        <f t="shared" si="957"/>
        <v>4.6992243697307902E-2</v>
      </c>
    </row>
    <row r="403" spans="1:20" x14ac:dyDescent="0.25">
      <c r="A403" s="5">
        <v>44190</v>
      </c>
      <c r="B403">
        <v>98.6</v>
      </c>
      <c r="C403">
        <v>105.2</v>
      </c>
      <c r="D403">
        <v>95.81</v>
      </c>
      <c r="E403">
        <v>103.12</v>
      </c>
      <c r="F403">
        <v>154640.06263</v>
      </c>
      <c r="G403">
        <v>0</v>
      </c>
      <c r="L403" t="s">
        <v>8</v>
      </c>
      <c r="M403" t="s">
        <v>8</v>
      </c>
      <c r="N403" t="s">
        <v>7</v>
      </c>
      <c r="P403">
        <f t="shared" si="953"/>
        <v>0.55697550585729538</v>
      </c>
      <c r="Q403">
        <f t="shared" si="954"/>
        <v>86130.727109148094</v>
      </c>
      <c r="R403">
        <f t="shared" si="955"/>
        <v>4676130.2332050223</v>
      </c>
      <c r="S403">
        <f t="shared" si="956"/>
        <v>46.761302332050221</v>
      </c>
      <c r="T403">
        <f t="shared" si="957"/>
        <v>4.6761302332050218E-2</v>
      </c>
    </row>
    <row r="404" spans="1:20" x14ac:dyDescent="0.25">
      <c r="A404" s="5">
        <v>44189</v>
      </c>
      <c r="B404">
        <v>91.44</v>
      </c>
      <c r="C404">
        <v>99.61</v>
      </c>
      <c r="D404">
        <v>87.59</v>
      </c>
      <c r="E404">
        <v>98.54</v>
      </c>
      <c r="F404">
        <v>103526.96571</v>
      </c>
      <c r="G404">
        <v>0</v>
      </c>
      <c r="L404" t="s">
        <v>8</v>
      </c>
      <c r="M404" t="s">
        <v>7</v>
      </c>
      <c r="N404" t="s">
        <v>7</v>
      </c>
      <c r="P404">
        <f t="shared" si="953"/>
        <v>0.82196339434276311</v>
      </c>
      <c r="Q404">
        <f t="shared" si="954"/>
        <v>85095.376140998444</v>
      </c>
      <c r="R404">
        <f t="shared" si="955"/>
        <v>4589999.5060958741</v>
      </c>
      <c r="S404">
        <f t="shared" si="956"/>
        <v>45.899995060958744</v>
      </c>
      <c r="T404">
        <f t="shared" si="957"/>
        <v>4.5899995060958744E-2</v>
      </c>
    </row>
    <row r="405" spans="1:20" x14ac:dyDescent="0.25">
      <c r="A405" s="5">
        <v>44188</v>
      </c>
      <c r="B405">
        <v>105.72</v>
      </c>
      <c r="C405">
        <v>106.3</v>
      </c>
      <c r="D405">
        <v>86.99</v>
      </c>
      <c r="E405">
        <v>91.4</v>
      </c>
      <c r="F405">
        <v>147463.04826000001</v>
      </c>
      <c r="G405">
        <v>0</v>
      </c>
      <c r="L405" t="s">
        <v>7</v>
      </c>
      <c r="M405" t="s">
        <v>7</v>
      </c>
      <c r="N405" t="s">
        <v>7</v>
      </c>
      <c r="P405">
        <f t="shared" si="953"/>
        <v>-0.54324184360434902</v>
      </c>
      <c r="Q405">
        <f t="shared" si="954"/>
        <v>-80108.098200279492</v>
      </c>
      <c r="R405">
        <f t="shared" si="955"/>
        <v>4504904.1299548754</v>
      </c>
      <c r="S405">
        <f t="shared" si="956"/>
        <v>45.049041299548755</v>
      </c>
      <c r="T405">
        <f t="shared" si="957"/>
        <v>4.5049041299548752E-2</v>
      </c>
    </row>
    <row r="406" spans="1:20" x14ac:dyDescent="0.25">
      <c r="A406" s="5">
        <v>44187</v>
      </c>
      <c r="B406">
        <v>103.9</v>
      </c>
      <c r="C406">
        <v>106.5</v>
      </c>
      <c r="D406">
        <v>96</v>
      </c>
      <c r="E406">
        <v>105.76</v>
      </c>
      <c r="F406">
        <v>181724.07237000001</v>
      </c>
      <c r="G406">
        <v>0</v>
      </c>
      <c r="L406" t="s">
        <v>7</v>
      </c>
      <c r="M406" t="s">
        <v>7</v>
      </c>
      <c r="N406" t="s">
        <v>8</v>
      </c>
      <c r="P406">
        <f t="shared" si="953"/>
        <v>0.85904761904762006</v>
      </c>
      <c r="Q406">
        <f t="shared" si="954"/>
        <v>156109.63169308592</v>
      </c>
      <c r="R406">
        <f t="shared" si="955"/>
        <v>4585012.2281551547</v>
      </c>
      <c r="S406">
        <f t="shared" si="956"/>
        <v>45.850122281551549</v>
      </c>
      <c r="T406">
        <f t="shared" si="957"/>
        <v>4.5850122281551546E-2</v>
      </c>
    </row>
    <row r="407" spans="1:20" x14ac:dyDescent="0.25">
      <c r="A407" s="5">
        <v>44186</v>
      </c>
      <c r="B407">
        <v>109.5</v>
      </c>
      <c r="C407">
        <v>119.53</v>
      </c>
      <c r="D407">
        <v>101.35</v>
      </c>
      <c r="E407">
        <v>103.9</v>
      </c>
      <c r="F407">
        <v>231652.66367000001</v>
      </c>
      <c r="G407">
        <v>0</v>
      </c>
      <c r="L407" t="s">
        <v>8</v>
      </c>
      <c r="M407" t="s">
        <v>8</v>
      </c>
      <c r="N407" t="s">
        <v>8</v>
      </c>
      <c r="P407">
        <f t="shared" si="953"/>
        <v>-0.7194719471947183</v>
      </c>
      <c r="Q407">
        <f t="shared" si="954"/>
        <v>-166667.59300349807</v>
      </c>
      <c r="R407">
        <f t="shared" si="955"/>
        <v>4428902.5964620691</v>
      </c>
      <c r="S407">
        <f t="shared" si="956"/>
        <v>44.289025964620691</v>
      </c>
      <c r="T407">
        <f t="shared" si="957"/>
        <v>4.4289025964620692E-2</v>
      </c>
    </row>
    <row r="408" spans="1:20" x14ac:dyDescent="0.25">
      <c r="A408" s="5">
        <v>44185</v>
      </c>
      <c r="B408">
        <v>108.27</v>
      </c>
      <c r="C408">
        <v>114.4</v>
      </c>
      <c r="D408">
        <v>104.28</v>
      </c>
      <c r="E408">
        <v>109.56</v>
      </c>
      <c r="F408">
        <v>165526.30142</v>
      </c>
      <c r="G408">
        <v>0</v>
      </c>
      <c r="L408" t="s">
        <v>8</v>
      </c>
      <c r="M408" t="s">
        <v>8</v>
      </c>
      <c r="N408" t="s">
        <v>7</v>
      </c>
      <c r="P408">
        <f t="shared" si="953"/>
        <v>4.3478260869564973E-2</v>
      </c>
      <c r="Q408">
        <f t="shared" si="954"/>
        <v>7196.7957139130031</v>
      </c>
      <c r="R408">
        <f t="shared" si="955"/>
        <v>4595570.1894655675</v>
      </c>
      <c r="S408">
        <f t="shared" si="956"/>
        <v>45.955701894655675</v>
      </c>
      <c r="T408">
        <f t="shared" si="957"/>
        <v>4.5955701894655678E-2</v>
      </c>
    </row>
    <row r="409" spans="1:20" x14ac:dyDescent="0.25">
      <c r="A409" s="5">
        <v>44184</v>
      </c>
      <c r="B409">
        <v>108.07</v>
      </c>
      <c r="C409">
        <v>112.45</v>
      </c>
      <c r="D409">
        <v>105.51</v>
      </c>
      <c r="E409">
        <v>108.27</v>
      </c>
      <c r="F409">
        <v>107856.32489</v>
      </c>
      <c r="G409">
        <v>0</v>
      </c>
      <c r="L409" t="s">
        <v>8</v>
      </c>
      <c r="M409" t="s">
        <v>8</v>
      </c>
      <c r="N409" t="s">
        <v>7</v>
      </c>
      <c r="P409">
        <f t="shared" si="953"/>
        <v>-0.2046109510086479</v>
      </c>
      <c r="Q409">
        <f t="shared" si="954"/>
        <v>-22068.5852080406</v>
      </c>
      <c r="R409">
        <f t="shared" si="955"/>
        <v>4588373.3937516548</v>
      </c>
      <c r="S409">
        <f t="shared" si="956"/>
        <v>45.883733937516546</v>
      </c>
      <c r="T409">
        <f t="shared" si="957"/>
        <v>4.5883733937516546E-2</v>
      </c>
    </row>
    <row r="410" spans="1:20" x14ac:dyDescent="0.25">
      <c r="A410" s="5">
        <v>44183</v>
      </c>
      <c r="B410">
        <v>108.25</v>
      </c>
      <c r="C410">
        <v>114.09</v>
      </c>
      <c r="D410">
        <v>103.9</v>
      </c>
      <c r="E410">
        <v>108.05</v>
      </c>
      <c r="F410">
        <v>199030.83278</v>
      </c>
      <c r="G410">
        <v>0</v>
      </c>
      <c r="L410" t="s">
        <v>7</v>
      </c>
      <c r="M410" t="s">
        <v>8</v>
      </c>
      <c r="N410" t="s">
        <v>7</v>
      </c>
      <c r="P410">
        <f t="shared" si="953"/>
        <v>-0.18547595682041365</v>
      </c>
      <c r="Q410">
        <f t="shared" si="954"/>
        <v>-36915.434146634252</v>
      </c>
      <c r="R410">
        <f t="shared" si="955"/>
        <v>4610441.9789596954</v>
      </c>
      <c r="S410">
        <f t="shared" si="956"/>
        <v>46.104419789596953</v>
      </c>
      <c r="T410">
        <f t="shared" si="957"/>
        <v>4.6104419789596951E-2</v>
      </c>
    </row>
    <row r="411" spans="1:20" x14ac:dyDescent="0.25">
      <c r="A411" s="5">
        <v>44182</v>
      </c>
      <c r="B411">
        <v>105.34</v>
      </c>
      <c r="C411">
        <v>115.89</v>
      </c>
      <c r="D411">
        <v>101.09</v>
      </c>
      <c r="E411">
        <v>108.22</v>
      </c>
      <c r="F411">
        <v>250222.57358</v>
      </c>
      <c r="G411">
        <v>0</v>
      </c>
      <c r="L411" t="s">
        <v>8</v>
      </c>
      <c r="M411" t="s">
        <v>8</v>
      </c>
      <c r="N411" t="s">
        <v>7</v>
      </c>
      <c r="P411">
        <f t="shared" si="953"/>
        <v>-3.6486486486486919E-2</v>
      </c>
      <c r="Q411">
        <f t="shared" si="954"/>
        <v>-9129.7425495406478</v>
      </c>
      <c r="R411">
        <f t="shared" si="955"/>
        <v>4647357.4131063297</v>
      </c>
      <c r="S411">
        <f t="shared" si="956"/>
        <v>46.473574131063295</v>
      </c>
      <c r="T411">
        <f t="shared" si="957"/>
        <v>4.6473574131063296E-2</v>
      </c>
    </row>
    <row r="412" spans="1:20" x14ac:dyDescent="0.25">
      <c r="A412" s="5">
        <v>44181</v>
      </c>
      <c r="B412">
        <v>96.96</v>
      </c>
      <c r="C412">
        <v>105.49</v>
      </c>
      <c r="D412">
        <v>94.5</v>
      </c>
      <c r="E412">
        <v>105.39</v>
      </c>
      <c r="F412">
        <v>139261.16521000001</v>
      </c>
      <c r="G412">
        <v>0</v>
      </c>
      <c r="L412" t="s">
        <v>8</v>
      </c>
      <c r="M412" t="s">
        <v>8</v>
      </c>
      <c r="N412" t="s">
        <v>7</v>
      </c>
      <c r="P412">
        <f t="shared" si="953"/>
        <v>0.98180163785259433</v>
      </c>
      <c r="Q412">
        <f t="shared" si="954"/>
        <v>136726.84009243874</v>
      </c>
      <c r="R412">
        <f t="shared" si="955"/>
        <v>4656487.1556558702</v>
      </c>
      <c r="S412">
        <f t="shared" si="956"/>
        <v>46.5648715565587</v>
      </c>
      <c r="T412">
        <f t="shared" si="957"/>
        <v>4.6564871556558703E-2</v>
      </c>
    </row>
    <row r="413" spans="1:20" x14ac:dyDescent="0.25">
      <c r="A413" s="5">
        <v>44180</v>
      </c>
      <c r="B413">
        <v>96.71</v>
      </c>
      <c r="C413">
        <v>97.56</v>
      </c>
      <c r="D413">
        <v>94.04</v>
      </c>
      <c r="E413">
        <v>96.96</v>
      </c>
      <c r="F413">
        <v>54839.650580000001</v>
      </c>
      <c r="G413">
        <v>0</v>
      </c>
      <c r="L413" t="s">
        <v>8</v>
      </c>
      <c r="M413" t="s">
        <v>7</v>
      </c>
      <c r="N413" t="s">
        <v>7</v>
      </c>
      <c r="P413">
        <f t="shared" si="953"/>
        <v>0.65909090909090384</v>
      </c>
      <c r="Q413">
        <f t="shared" si="954"/>
        <v>36144.315154999713</v>
      </c>
      <c r="R413">
        <f t="shared" si="955"/>
        <v>4519760.3155634319</v>
      </c>
      <c r="S413">
        <f t="shared" si="956"/>
        <v>45.197603155634319</v>
      </c>
      <c r="T413">
        <f t="shared" si="957"/>
        <v>4.5197603155634321E-2</v>
      </c>
    </row>
    <row r="414" spans="1:20" x14ac:dyDescent="0.25">
      <c r="A414" s="5">
        <v>44179</v>
      </c>
      <c r="B414">
        <v>97.61</v>
      </c>
      <c r="C414">
        <v>97.7</v>
      </c>
      <c r="D414">
        <v>94.21</v>
      </c>
      <c r="E414">
        <v>96.69</v>
      </c>
      <c r="F414">
        <v>73015.990539999999</v>
      </c>
      <c r="G414">
        <v>0</v>
      </c>
      <c r="L414" t="s">
        <v>8</v>
      </c>
      <c r="M414" t="s">
        <v>7</v>
      </c>
      <c r="N414" t="s">
        <v>7</v>
      </c>
      <c r="P414">
        <f t="shared" si="953"/>
        <v>0.42120343839541408</v>
      </c>
      <c r="Q414">
        <f t="shared" si="954"/>
        <v>30754.586273295026</v>
      </c>
      <c r="R414">
        <f t="shared" si="955"/>
        <v>4483616.0004084324</v>
      </c>
      <c r="S414">
        <f t="shared" si="956"/>
        <v>44.836160004084327</v>
      </c>
      <c r="T414">
        <f t="shared" si="957"/>
        <v>4.483616000408433E-2</v>
      </c>
    </row>
    <row r="415" spans="1:20" x14ac:dyDescent="0.25">
      <c r="A415" s="5">
        <v>44178</v>
      </c>
      <c r="B415">
        <v>94.69</v>
      </c>
      <c r="C415">
        <v>99.36</v>
      </c>
      <c r="D415">
        <v>93.64</v>
      </c>
      <c r="E415">
        <v>97.61</v>
      </c>
      <c r="F415">
        <v>74418.654290000006</v>
      </c>
      <c r="G415">
        <v>0</v>
      </c>
      <c r="L415" t="s">
        <v>8</v>
      </c>
      <c r="M415" t="s">
        <v>7</v>
      </c>
      <c r="N415" t="s">
        <v>7</v>
      </c>
      <c r="P415">
        <f t="shared" si="953"/>
        <v>0.38811188811188801</v>
      </c>
      <c r="Q415">
        <f t="shared" si="954"/>
        <v>28882.764427237758</v>
      </c>
      <c r="R415">
        <f t="shared" si="955"/>
        <v>4452861.4141351376</v>
      </c>
      <c r="S415">
        <f t="shared" si="956"/>
        <v>44.528614141351376</v>
      </c>
      <c r="T415">
        <f t="shared" si="957"/>
        <v>4.4528614141351376E-2</v>
      </c>
    </row>
    <row r="416" spans="1:20" x14ac:dyDescent="0.25">
      <c r="A416" s="5">
        <v>44177</v>
      </c>
      <c r="B416">
        <v>93.18</v>
      </c>
      <c r="C416">
        <v>97.34</v>
      </c>
      <c r="D416">
        <v>92.88</v>
      </c>
      <c r="E416">
        <v>94.74</v>
      </c>
      <c r="F416">
        <v>92254.535430000004</v>
      </c>
      <c r="G416">
        <v>0</v>
      </c>
      <c r="L416" t="s">
        <v>8</v>
      </c>
      <c r="M416" t="s">
        <v>7</v>
      </c>
      <c r="N416" t="s">
        <v>7</v>
      </c>
      <c r="P416">
        <f t="shared" si="953"/>
        <v>-0.16591928251121252</v>
      </c>
      <c r="Q416">
        <f t="shared" si="954"/>
        <v>-15306.806326950835</v>
      </c>
      <c r="R416">
        <f t="shared" si="955"/>
        <v>4423978.6497078994</v>
      </c>
      <c r="S416">
        <f t="shared" si="956"/>
        <v>44.239786497078995</v>
      </c>
      <c r="T416">
        <f t="shared" si="957"/>
        <v>4.4239786497078992E-2</v>
      </c>
    </row>
    <row r="417" spans="1:20" x14ac:dyDescent="0.25">
      <c r="A417" s="5">
        <v>44176</v>
      </c>
      <c r="B417">
        <v>92.99</v>
      </c>
      <c r="C417">
        <v>95.17</v>
      </c>
      <c r="D417">
        <v>87.8</v>
      </c>
      <c r="E417">
        <v>93.25</v>
      </c>
      <c r="F417">
        <v>136474.68890000001</v>
      </c>
      <c r="G417">
        <v>0</v>
      </c>
      <c r="L417" t="s">
        <v>7</v>
      </c>
      <c r="M417" t="s">
        <v>7</v>
      </c>
      <c r="N417" t="s">
        <v>7</v>
      </c>
      <c r="P417">
        <f t="shared" si="953"/>
        <v>0.4789687924016281</v>
      </c>
      <c r="Q417">
        <f t="shared" si="954"/>
        <v>65367.116935820879</v>
      </c>
      <c r="R417">
        <f t="shared" si="955"/>
        <v>4439285.4560348503</v>
      </c>
      <c r="S417">
        <f t="shared" si="956"/>
        <v>44.392854560348503</v>
      </c>
      <c r="T417">
        <f t="shared" si="957"/>
        <v>4.4392854560348506E-2</v>
      </c>
    </row>
    <row r="418" spans="1:20" x14ac:dyDescent="0.25">
      <c r="A418" s="5">
        <v>44175</v>
      </c>
      <c r="B418">
        <v>95.57</v>
      </c>
      <c r="C418">
        <v>96</v>
      </c>
      <c r="D418">
        <v>90.72</v>
      </c>
      <c r="E418">
        <v>92.86</v>
      </c>
      <c r="F418">
        <v>53630.219819999998</v>
      </c>
      <c r="G418">
        <v>0</v>
      </c>
      <c r="L418" t="s">
        <v>8</v>
      </c>
      <c r="M418" t="s">
        <v>7</v>
      </c>
      <c r="N418" t="s">
        <v>8</v>
      </c>
      <c r="P418">
        <f t="shared" si="953"/>
        <v>-0.18939393939393936</v>
      </c>
      <c r="Q418">
        <f t="shared" si="954"/>
        <v>-10157.238602272726</v>
      </c>
      <c r="R418">
        <f t="shared" si="955"/>
        <v>4373918.3390990291</v>
      </c>
      <c r="S418">
        <f t="shared" si="956"/>
        <v>43.739183390990291</v>
      </c>
      <c r="T418">
        <f t="shared" si="957"/>
        <v>4.373918339099029E-2</v>
      </c>
    </row>
    <row r="419" spans="1:20" x14ac:dyDescent="0.25">
      <c r="A419" s="5">
        <v>44174</v>
      </c>
      <c r="B419">
        <v>95.03</v>
      </c>
      <c r="C419">
        <v>96.09</v>
      </c>
      <c r="D419">
        <v>88.5</v>
      </c>
      <c r="E419">
        <v>95.62</v>
      </c>
      <c r="F419">
        <v>108752.79224</v>
      </c>
      <c r="G419">
        <v>0</v>
      </c>
      <c r="L419" t="s">
        <v>7</v>
      </c>
      <c r="M419" t="s">
        <v>7</v>
      </c>
      <c r="N419" t="s">
        <v>8</v>
      </c>
      <c r="P419">
        <f t="shared" si="953"/>
        <v>0.87615283267457211</v>
      </c>
      <c r="Q419">
        <f t="shared" si="954"/>
        <v>95284.066982345219</v>
      </c>
      <c r="R419">
        <f t="shared" si="955"/>
        <v>4384075.5777013022</v>
      </c>
      <c r="S419">
        <f t="shared" si="956"/>
        <v>43.840755777013023</v>
      </c>
      <c r="T419">
        <f t="shared" si="957"/>
        <v>4.3840755777013025E-2</v>
      </c>
    </row>
    <row r="420" spans="1:20" x14ac:dyDescent="0.25">
      <c r="A420" s="5">
        <v>44173</v>
      </c>
      <c r="B420">
        <v>101.52</v>
      </c>
      <c r="C420">
        <v>101.74</v>
      </c>
      <c r="D420">
        <v>93.2</v>
      </c>
      <c r="E420">
        <v>95.01</v>
      </c>
      <c r="F420">
        <v>90673.349990000002</v>
      </c>
      <c r="G420">
        <v>0</v>
      </c>
      <c r="L420" t="s">
        <v>7</v>
      </c>
      <c r="M420" t="s">
        <v>7</v>
      </c>
      <c r="N420" t="s">
        <v>8</v>
      </c>
      <c r="P420">
        <f t="shared" si="953"/>
        <v>-0.57611241217798503</v>
      </c>
      <c r="Q420">
        <f t="shared" si="954"/>
        <v>-52238.042382997577</v>
      </c>
      <c r="R420">
        <f t="shared" si="955"/>
        <v>4288791.5107189566</v>
      </c>
      <c r="S420">
        <f t="shared" si="956"/>
        <v>42.887915107189563</v>
      </c>
      <c r="T420">
        <f t="shared" si="957"/>
        <v>4.2887915107189561E-2</v>
      </c>
    </row>
    <row r="421" spans="1:20" x14ac:dyDescent="0.25">
      <c r="A421" s="5">
        <v>44172</v>
      </c>
      <c r="B421">
        <v>102.02</v>
      </c>
      <c r="C421">
        <v>104.44</v>
      </c>
      <c r="D421">
        <v>100.3</v>
      </c>
      <c r="E421">
        <v>101.53</v>
      </c>
      <c r="F421">
        <v>79537.60729</v>
      </c>
      <c r="G421">
        <v>0</v>
      </c>
      <c r="L421" t="s">
        <v>8</v>
      </c>
      <c r="M421" t="s">
        <v>7</v>
      </c>
      <c r="N421" t="s">
        <v>8</v>
      </c>
      <c r="P421">
        <f t="shared" si="953"/>
        <v>-0.4057971014492735</v>
      </c>
      <c r="Q421">
        <f t="shared" si="954"/>
        <v>-32276.130494492605</v>
      </c>
      <c r="R421">
        <f t="shared" si="955"/>
        <v>4341029.5531019541</v>
      </c>
      <c r="S421">
        <f t="shared" si="956"/>
        <v>43.410295531019543</v>
      </c>
      <c r="T421">
        <f t="shared" si="957"/>
        <v>4.3410295531019542E-2</v>
      </c>
    </row>
    <row r="422" spans="1:20" x14ac:dyDescent="0.25">
      <c r="A422" s="5">
        <v>44171</v>
      </c>
      <c r="B422">
        <v>102.97</v>
      </c>
      <c r="C422">
        <v>104.64</v>
      </c>
      <c r="D422">
        <v>99.17</v>
      </c>
      <c r="E422">
        <v>102.09</v>
      </c>
      <c r="F422">
        <v>80287.084400000007</v>
      </c>
      <c r="G422">
        <v>0</v>
      </c>
      <c r="L422" t="s">
        <v>8</v>
      </c>
      <c r="M422" t="s">
        <v>7</v>
      </c>
      <c r="N422" t="s">
        <v>8</v>
      </c>
      <c r="P422">
        <f t="shared" si="953"/>
        <v>6.7641681901280559E-2</v>
      </c>
      <c r="Q422">
        <f t="shared" si="954"/>
        <v>5430.7534237660648</v>
      </c>
      <c r="R422">
        <f t="shared" si="955"/>
        <v>4373305.6835964471</v>
      </c>
      <c r="S422">
        <f t="shared" si="956"/>
        <v>43.733056835964469</v>
      </c>
      <c r="T422">
        <f t="shared" si="957"/>
        <v>4.3733056835964471E-2</v>
      </c>
    </row>
    <row r="423" spans="1:20" x14ac:dyDescent="0.25">
      <c r="A423" s="5">
        <v>44170</v>
      </c>
      <c r="B423">
        <v>98.84</v>
      </c>
      <c r="C423">
        <v>103.65</v>
      </c>
      <c r="D423">
        <v>96.58</v>
      </c>
      <c r="E423">
        <v>102.99</v>
      </c>
      <c r="F423">
        <v>91170.712419999996</v>
      </c>
      <c r="G423">
        <v>0</v>
      </c>
      <c r="L423" t="s">
        <v>7</v>
      </c>
      <c r="M423" t="s">
        <v>7</v>
      </c>
      <c r="N423" t="s">
        <v>8</v>
      </c>
      <c r="P423">
        <f t="shared" si="953"/>
        <v>0.8132956152758104</v>
      </c>
      <c r="Q423">
        <f t="shared" si="954"/>
        <v>74148.740652757871</v>
      </c>
      <c r="R423">
        <f t="shared" si="955"/>
        <v>4367874.9301726809</v>
      </c>
      <c r="S423">
        <f t="shared" si="956"/>
        <v>43.67874930172681</v>
      </c>
      <c r="T423">
        <f t="shared" si="957"/>
        <v>4.3678749301726813E-2</v>
      </c>
    </row>
    <row r="424" spans="1:20" x14ac:dyDescent="0.25">
      <c r="A424" s="5">
        <v>44169</v>
      </c>
      <c r="B424">
        <v>107.5</v>
      </c>
      <c r="C424">
        <v>111.07</v>
      </c>
      <c r="D424">
        <v>97.2</v>
      </c>
      <c r="E424">
        <v>98.86</v>
      </c>
      <c r="F424">
        <v>123974.68291</v>
      </c>
      <c r="G424">
        <v>0</v>
      </c>
      <c r="L424" t="s">
        <v>8</v>
      </c>
      <c r="M424" t="s">
        <v>7</v>
      </c>
      <c r="N424" t="s">
        <v>8</v>
      </c>
      <c r="P424">
        <f t="shared" si="953"/>
        <v>-0.76063446286950287</v>
      </c>
      <c r="Q424">
        <f t="shared" si="954"/>
        <v>-94299.416344664787</v>
      </c>
      <c r="R424">
        <f t="shared" si="955"/>
        <v>4293726.1895199232</v>
      </c>
      <c r="S424">
        <f t="shared" si="956"/>
        <v>42.937261895199235</v>
      </c>
      <c r="T424">
        <f t="shared" si="957"/>
        <v>4.2937261895199239E-2</v>
      </c>
    </row>
    <row r="425" spans="1:20" x14ac:dyDescent="0.25">
      <c r="A425" s="5">
        <v>44168</v>
      </c>
      <c r="B425">
        <v>105.21</v>
      </c>
      <c r="C425">
        <v>108.39</v>
      </c>
      <c r="D425">
        <v>103.6</v>
      </c>
      <c r="E425">
        <v>107.54</v>
      </c>
      <c r="F425">
        <v>112182.70217999999</v>
      </c>
      <c r="G425">
        <v>0</v>
      </c>
      <c r="L425" t="s">
        <v>8</v>
      </c>
      <c r="M425" t="s">
        <v>7</v>
      </c>
      <c r="N425" t="s">
        <v>8</v>
      </c>
      <c r="P425">
        <f t="shared" si="953"/>
        <v>0.64509394572025336</v>
      </c>
      <c r="Q425">
        <f t="shared" si="954"/>
        <v>72368.381990856258</v>
      </c>
      <c r="R425">
        <f t="shared" si="955"/>
        <v>4388025.6058645882</v>
      </c>
      <c r="S425">
        <f t="shared" si="956"/>
        <v>43.880256058645884</v>
      </c>
      <c r="T425">
        <f t="shared" si="957"/>
        <v>4.3880256058645886E-2</v>
      </c>
    </row>
    <row r="426" spans="1:20" x14ac:dyDescent="0.25">
      <c r="A426" s="5">
        <v>44167</v>
      </c>
      <c r="B426">
        <v>103.88</v>
      </c>
      <c r="C426">
        <v>107.98</v>
      </c>
      <c r="D426">
        <v>100.51</v>
      </c>
      <c r="E426">
        <v>105.23</v>
      </c>
      <c r="F426">
        <v>218429.701</v>
      </c>
      <c r="G426">
        <v>0</v>
      </c>
      <c r="L426" t="s">
        <v>8</v>
      </c>
      <c r="M426" t="s">
        <v>7</v>
      </c>
      <c r="N426" t="s">
        <v>8</v>
      </c>
      <c r="P426">
        <f t="shared" si="953"/>
        <v>0.26372155287817928</v>
      </c>
      <c r="Q426">
        <f t="shared" si="954"/>
        <v>57604.619942436388</v>
      </c>
      <c r="R426">
        <f t="shared" si="955"/>
        <v>4315657.2238737317</v>
      </c>
      <c r="S426">
        <f t="shared" si="956"/>
        <v>43.156572238737319</v>
      </c>
      <c r="T426">
        <f t="shared" si="957"/>
        <v>4.3156572238737319E-2</v>
      </c>
    </row>
    <row r="427" spans="1:20" x14ac:dyDescent="0.25">
      <c r="A427" s="5">
        <v>44166</v>
      </c>
      <c r="B427">
        <v>112.83</v>
      </c>
      <c r="C427">
        <v>116</v>
      </c>
      <c r="D427">
        <v>97</v>
      </c>
      <c r="E427">
        <v>103.91</v>
      </c>
      <c r="F427">
        <v>327861.21344999998</v>
      </c>
      <c r="G427">
        <v>0</v>
      </c>
      <c r="L427" t="s">
        <v>7</v>
      </c>
      <c r="M427" t="s">
        <v>7</v>
      </c>
      <c r="N427" t="s">
        <v>8</v>
      </c>
      <c r="P427">
        <f t="shared" si="953"/>
        <v>-0.27263157894736878</v>
      </c>
      <c r="Q427">
        <f t="shared" si="954"/>
        <v>-89385.320298473802</v>
      </c>
      <c r="R427">
        <f t="shared" si="955"/>
        <v>4258052.6039312957</v>
      </c>
      <c r="S427">
        <f t="shared" si="956"/>
        <v>42.580526039312957</v>
      </c>
      <c r="T427">
        <f t="shared" si="957"/>
        <v>4.2580526039312956E-2</v>
      </c>
    </row>
    <row r="428" spans="1:20" x14ac:dyDescent="0.25">
      <c r="A428" s="5">
        <v>44165</v>
      </c>
      <c r="B428">
        <v>108.13</v>
      </c>
      <c r="C428">
        <v>118.44</v>
      </c>
      <c r="D428">
        <v>106.58</v>
      </c>
      <c r="E428">
        <v>112.83</v>
      </c>
      <c r="F428">
        <v>349570.55528999999</v>
      </c>
      <c r="G428">
        <v>0</v>
      </c>
      <c r="L428" t="s">
        <v>8</v>
      </c>
      <c r="M428" t="s">
        <v>8</v>
      </c>
      <c r="N428" t="s">
        <v>8</v>
      </c>
      <c r="P428">
        <f t="shared" si="953"/>
        <v>5.3962900505902245E-2</v>
      </c>
      <c r="Q428">
        <f t="shared" si="954"/>
        <v>18863.841094907268</v>
      </c>
      <c r="R428">
        <f t="shared" si="955"/>
        <v>4347437.924229769</v>
      </c>
      <c r="S428">
        <f t="shared" si="956"/>
        <v>43.474379242297694</v>
      </c>
      <c r="T428">
        <f t="shared" si="957"/>
        <v>4.3474379242297696E-2</v>
      </c>
    </row>
    <row r="429" spans="1:20" x14ac:dyDescent="0.25">
      <c r="A429" s="5">
        <v>44164</v>
      </c>
      <c r="B429">
        <v>108.92</v>
      </c>
      <c r="C429">
        <v>114.52</v>
      </c>
      <c r="D429">
        <v>104.1</v>
      </c>
      <c r="E429">
        <v>108.15</v>
      </c>
      <c r="F429">
        <v>354665.01409999997</v>
      </c>
      <c r="G429">
        <v>0</v>
      </c>
      <c r="L429" t="s">
        <v>7</v>
      </c>
      <c r="M429" t="s">
        <v>8</v>
      </c>
      <c r="N429" t="s">
        <v>7</v>
      </c>
      <c r="P429">
        <f t="shared" si="953"/>
        <v>-0.22264875239923018</v>
      </c>
      <c r="Q429">
        <f t="shared" si="954"/>
        <v>-78965.722909020376</v>
      </c>
      <c r="R429">
        <f t="shared" si="955"/>
        <v>4328574.0831348617</v>
      </c>
      <c r="S429">
        <f t="shared" si="956"/>
        <v>43.285740831348619</v>
      </c>
      <c r="T429">
        <f t="shared" si="957"/>
        <v>4.3285740831348618E-2</v>
      </c>
    </row>
    <row r="430" spans="1:20" x14ac:dyDescent="0.25">
      <c r="A430" s="5">
        <v>44163</v>
      </c>
      <c r="B430">
        <v>92.25</v>
      </c>
      <c r="C430">
        <v>113.74</v>
      </c>
      <c r="D430">
        <v>90.96</v>
      </c>
      <c r="E430">
        <v>109.07</v>
      </c>
      <c r="F430">
        <v>385819.18284000002</v>
      </c>
      <c r="G430">
        <v>0</v>
      </c>
      <c r="L430" t="s">
        <v>8</v>
      </c>
      <c r="M430" t="s">
        <v>8</v>
      </c>
      <c r="N430" t="s">
        <v>7</v>
      </c>
      <c r="P430">
        <f t="shared" si="953"/>
        <v>0.58999122036874441</v>
      </c>
      <c r="Q430">
        <f t="shared" si="954"/>
        <v>227629.93052544334</v>
      </c>
      <c r="R430">
        <f t="shared" si="955"/>
        <v>4407539.8060438819</v>
      </c>
      <c r="S430">
        <f t="shared" si="956"/>
        <v>44.075398060438822</v>
      </c>
      <c r="T430">
        <f t="shared" si="957"/>
        <v>4.4075398060438822E-2</v>
      </c>
    </row>
    <row r="431" spans="1:20" x14ac:dyDescent="0.25">
      <c r="A431" s="5">
        <v>44162</v>
      </c>
      <c r="B431">
        <v>91.79</v>
      </c>
      <c r="C431">
        <v>98</v>
      </c>
      <c r="D431">
        <v>86.81</v>
      </c>
      <c r="E431">
        <v>92.32</v>
      </c>
      <c r="F431">
        <v>211481.22951999999</v>
      </c>
      <c r="G431">
        <v>0</v>
      </c>
      <c r="L431" t="s">
        <v>8</v>
      </c>
      <c r="M431" t="s">
        <v>7</v>
      </c>
      <c r="N431" t="s">
        <v>7</v>
      </c>
      <c r="P431">
        <f t="shared" si="953"/>
        <v>-1.5192135835568896E-2</v>
      </c>
      <c r="Q431">
        <f t="shared" si="954"/>
        <v>-3212.8515655409624</v>
      </c>
      <c r="R431">
        <f t="shared" si="955"/>
        <v>4179909.8755184384</v>
      </c>
      <c r="S431">
        <f t="shared" si="956"/>
        <v>41.799098755184382</v>
      </c>
      <c r="T431">
        <f t="shared" si="957"/>
        <v>4.179909875518438E-2</v>
      </c>
    </row>
    <row r="432" spans="1:20" x14ac:dyDescent="0.25">
      <c r="A432" s="5">
        <v>44161</v>
      </c>
      <c r="B432">
        <v>102.02</v>
      </c>
      <c r="C432">
        <v>104.17</v>
      </c>
      <c r="D432">
        <v>83.33</v>
      </c>
      <c r="E432">
        <v>91.83</v>
      </c>
      <c r="F432">
        <v>426643.49588</v>
      </c>
      <c r="G432">
        <v>0</v>
      </c>
      <c r="L432" t="s">
        <v>7</v>
      </c>
      <c r="M432" t="s">
        <v>7</v>
      </c>
      <c r="N432" t="s">
        <v>7</v>
      </c>
      <c r="P432">
        <f t="shared" si="953"/>
        <v>-0.18426103646833028</v>
      </c>
      <c r="Q432">
        <f t="shared" si="954"/>
        <v>-78613.772753320605</v>
      </c>
      <c r="R432">
        <f t="shared" si="955"/>
        <v>4183122.7270839792</v>
      </c>
      <c r="S432">
        <f t="shared" si="956"/>
        <v>41.83122727083979</v>
      </c>
      <c r="T432">
        <f t="shared" si="957"/>
        <v>4.1831227270839787E-2</v>
      </c>
    </row>
    <row r="433" spans="1:20" x14ac:dyDescent="0.25">
      <c r="A433" s="5">
        <v>44160</v>
      </c>
      <c r="B433">
        <v>114.45</v>
      </c>
      <c r="C433">
        <v>116.15</v>
      </c>
      <c r="D433">
        <v>97.96</v>
      </c>
      <c r="E433">
        <v>102.06</v>
      </c>
      <c r="F433">
        <v>387462.45354999998</v>
      </c>
      <c r="G433">
        <v>0</v>
      </c>
      <c r="L433" t="s">
        <v>7</v>
      </c>
      <c r="M433" t="s">
        <v>7</v>
      </c>
      <c r="N433" t="s">
        <v>8</v>
      </c>
      <c r="P433">
        <f t="shared" si="953"/>
        <v>-0.54920285871357821</v>
      </c>
      <c r="Q433">
        <f t="shared" si="954"/>
        <v>-212795.48713383698</v>
      </c>
      <c r="R433">
        <f t="shared" si="955"/>
        <v>4261736.4998372998</v>
      </c>
      <c r="S433">
        <f t="shared" si="956"/>
        <v>42.617364998372999</v>
      </c>
      <c r="T433">
        <f t="shared" si="957"/>
        <v>4.2617364998373E-2</v>
      </c>
    </row>
    <row r="434" spans="1:20" x14ac:dyDescent="0.25">
      <c r="A434" s="5">
        <v>44159</v>
      </c>
      <c r="B434">
        <v>94.27</v>
      </c>
      <c r="C434">
        <v>123.06</v>
      </c>
      <c r="D434">
        <v>92.13</v>
      </c>
      <c r="E434">
        <v>114.5</v>
      </c>
      <c r="F434">
        <v>683633.09539000003</v>
      </c>
      <c r="G434">
        <v>0</v>
      </c>
      <c r="L434" t="s">
        <v>8</v>
      </c>
      <c r="M434" t="s">
        <v>8</v>
      </c>
      <c r="N434" t="s">
        <v>8</v>
      </c>
      <c r="P434">
        <f t="shared" si="953"/>
        <v>0.44649207888781117</v>
      </c>
      <c r="Q434">
        <f t="shared" si="954"/>
        <v>305236.76195719041</v>
      </c>
      <c r="R434">
        <f t="shared" si="955"/>
        <v>4474531.9869711371</v>
      </c>
      <c r="S434">
        <f t="shared" si="956"/>
        <v>44.745319869711373</v>
      </c>
      <c r="T434">
        <f t="shared" si="957"/>
        <v>4.4745319869711371E-2</v>
      </c>
    </row>
    <row r="435" spans="1:20" x14ac:dyDescent="0.25">
      <c r="A435" s="5">
        <v>44158</v>
      </c>
      <c r="B435">
        <v>90.49</v>
      </c>
      <c r="C435">
        <v>95.51</v>
      </c>
      <c r="D435">
        <v>89.32</v>
      </c>
      <c r="E435">
        <v>94.24</v>
      </c>
      <c r="F435">
        <v>225691.05838</v>
      </c>
      <c r="G435">
        <v>0</v>
      </c>
      <c r="L435" t="s">
        <v>7</v>
      </c>
      <c r="M435" t="s">
        <v>8</v>
      </c>
      <c r="N435" t="s">
        <v>8</v>
      </c>
      <c r="P435">
        <f t="shared" si="953"/>
        <v>0.58966074313408467</v>
      </c>
      <c r="Q435">
        <f t="shared" si="954"/>
        <v>133081.1572030689</v>
      </c>
      <c r="R435">
        <f t="shared" si="955"/>
        <v>4169295.2250139466</v>
      </c>
      <c r="S435">
        <f t="shared" si="956"/>
        <v>41.69295225013947</v>
      </c>
      <c r="T435">
        <f t="shared" si="957"/>
        <v>4.169295225013947E-2</v>
      </c>
    </row>
    <row r="436" spans="1:20" x14ac:dyDescent="0.25">
      <c r="A436" s="5">
        <v>44157</v>
      </c>
      <c r="B436">
        <v>94.51</v>
      </c>
      <c r="C436">
        <v>95.45</v>
      </c>
      <c r="D436">
        <v>85.52</v>
      </c>
      <c r="E436">
        <v>90.45</v>
      </c>
      <c r="F436">
        <v>275616.21331999998</v>
      </c>
      <c r="G436">
        <v>0</v>
      </c>
      <c r="L436" t="s">
        <v>8</v>
      </c>
      <c r="M436" t="s">
        <v>8</v>
      </c>
      <c r="N436" t="s">
        <v>8</v>
      </c>
      <c r="P436">
        <f t="shared" si="953"/>
        <v>-7.0493454179247862E-3</v>
      </c>
      <c r="Q436">
        <f t="shared" si="954"/>
        <v>-1942.9138904731224</v>
      </c>
      <c r="R436">
        <f t="shared" si="955"/>
        <v>4036214.0678108777</v>
      </c>
      <c r="S436">
        <f t="shared" si="956"/>
        <v>40.36214067810878</v>
      </c>
      <c r="T436">
        <f t="shared" si="957"/>
        <v>4.0362140678108782E-2</v>
      </c>
    </row>
    <row r="437" spans="1:20" x14ac:dyDescent="0.25">
      <c r="A437" s="5">
        <v>44156</v>
      </c>
      <c r="B437">
        <v>83.31</v>
      </c>
      <c r="C437">
        <v>94.65</v>
      </c>
      <c r="D437">
        <v>82.86</v>
      </c>
      <c r="E437">
        <v>94.57</v>
      </c>
      <c r="F437">
        <v>267277.64828000002</v>
      </c>
      <c r="G437">
        <v>0</v>
      </c>
      <c r="L437" t="s">
        <v>8</v>
      </c>
      <c r="M437" t="s">
        <v>8</v>
      </c>
      <c r="N437" t="s">
        <v>8</v>
      </c>
      <c r="P437">
        <f t="shared" si="953"/>
        <v>0.98642917726886981</v>
      </c>
      <c r="Q437">
        <f t="shared" si="954"/>
        <v>263650.4706951988</v>
      </c>
      <c r="R437">
        <f t="shared" si="955"/>
        <v>4038156.9817013508</v>
      </c>
      <c r="S437">
        <f t="shared" si="956"/>
        <v>40.381569817013506</v>
      </c>
      <c r="T437">
        <f t="shared" si="957"/>
        <v>4.0381569817013505E-2</v>
      </c>
    </row>
    <row r="438" spans="1:20" x14ac:dyDescent="0.25">
      <c r="A438" s="5">
        <v>44155</v>
      </c>
      <c r="B438">
        <v>82.24</v>
      </c>
      <c r="C438">
        <v>84.88</v>
      </c>
      <c r="D438">
        <v>82.04</v>
      </c>
      <c r="E438">
        <v>83.36</v>
      </c>
      <c r="F438">
        <v>107251.80646000001</v>
      </c>
      <c r="G438">
        <v>0</v>
      </c>
      <c r="L438" t="s">
        <v>8</v>
      </c>
      <c r="M438" t="s">
        <v>8</v>
      </c>
      <c r="N438" t="s">
        <v>7</v>
      </c>
      <c r="P438">
        <f t="shared" si="953"/>
        <v>-7.0422535211268872E-2</v>
      </c>
      <c r="Q438">
        <f t="shared" si="954"/>
        <v>-7552.9441169015445</v>
      </c>
      <c r="R438">
        <f t="shared" si="955"/>
        <v>3774506.5110061518</v>
      </c>
      <c r="S438">
        <f t="shared" si="956"/>
        <v>37.745065110061518</v>
      </c>
      <c r="T438">
        <f t="shared" si="957"/>
        <v>3.7745065110061517E-2</v>
      </c>
    </row>
    <row r="439" spans="1:20" x14ac:dyDescent="0.25">
      <c r="A439" s="5">
        <v>44154</v>
      </c>
      <c r="B439">
        <v>80.06</v>
      </c>
      <c r="C439">
        <v>84.85</v>
      </c>
      <c r="D439">
        <v>77.760000000000005</v>
      </c>
      <c r="E439">
        <v>82.21</v>
      </c>
      <c r="F439">
        <v>132138.66925000001</v>
      </c>
      <c r="G439">
        <v>0</v>
      </c>
      <c r="L439" t="s">
        <v>8</v>
      </c>
      <c r="M439" t="s">
        <v>8</v>
      </c>
      <c r="N439" t="s">
        <v>7</v>
      </c>
      <c r="P439">
        <f t="shared" si="953"/>
        <v>0.25528913963328503</v>
      </c>
      <c r="Q439">
        <f t="shared" si="954"/>
        <v>33733.567185119718</v>
      </c>
      <c r="R439">
        <f t="shared" si="955"/>
        <v>3782059.4551230534</v>
      </c>
      <c r="S439">
        <f t="shared" si="956"/>
        <v>37.820594551230535</v>
      </c>
      <c r="T439">
        <f t="shared" si="957"/>
        <v>3.7820594551230532E-2</v>
      </c>
    </row>
    <row r="440" spans="1:20" x14ac:dyDescent="0.25">
      <c r="A440" s="5">
        <v>44153</v>
      </c>
      <c r="B440">
        <v>83.22</v>
      </c>
      <c r="C440">
        <v>83.8</v>
      </c>
      <c r="D440">
        <v>76.83</v>
      </c>
      <c r="E440">
        <v>80.05</v>
      </c>
      <c r="F440">
        <v>139284.11397000001</v>
      </c>
      <c r="G440">
        <v>0</v>
      </c>
      <c r="L440" t="s">
        <v>7</v>
      </c>
      <c r="M440" t="s">
        <v>8</v>
      </c>
      <c r="N440" t="s">
        <v>7</v>
      </c>
      <c r="P440">
        <f t="shared" si="953"/>
        <v>-7.6040172166427722E-2</v>
      </c>
      <c r="Q440">
        <f t="shared" si="954"/>
        <v>-10591.188006327142</v>
      </c>
      <c r="R440">
        <f t="shared" si="955"/>
        <v>3748325.8879379337</v>
      </c>
      <c r="S440">
        <f t="shared" si="956"/>
        <v>37.483258879379335</v>
      </c>
      <c r="T440">
        <f t="shared" si="957"/>
        <v>3.7483258879379332E-2</v>
      </c>
    </row>
    <row r="441" spans="1:20" x14ac:dyDescent="0.25">
      <c r="A441" s="5">
        <v>44152</v>
      </c>
      <c r="B441">
        <v>80.650000000000006</v>
      </c>
      <c r="C441">
        <v>83.92</v>
      </c>
      <c r="D441">
        <v>80.08</v>
      </c>
      <c r="E441">
        <v>83.21</v>
      </c>
      <c r="F441">
        <v>130935.68606000001</v>
      </c>
      <c r="G441">
        <v>0</v>
      </c>
      <c r="L441" t="s">
        <v>8</v>
      </c>
      <c r="M441" t="s">
        <v>8</v>
      </c>
      <c r="N441" t="s">
        <v>7</v>
      </c>
      <c r="P441">
        <f t="shared" si="953"/>
        <v>0.63020833333332948</v>
      </c>
      <c r="Q441">
        <f t="shared" si="954"/>
        <v>82516.760485728664</v>
      </c>
      <c r="R441">
        <f t="shared" si="955"/>
        <v>3758917.0759442607</v>
      </c>
      <c r="S441">
        <f t="shared" si="956"/>
        <v>37.589170759442609</v>
      </c>
      <c r="T441">
        <f t="shared" si="957"/>
        <v>3.7589170759442611E-2</v>
      </c>
    </row>
    <row r="442" spans="1:20" x14ac:dyDescent="0.25">
      <c r="A442" s="5">
        <v>44151</v>
      </c>
      <c r="B442">
        <v>75.02</v>
      </c>
      <c r="C442">
        <v>82.7</v>
      </c>
      <c r="D442">
        <v>74.47</v>
      </c>
      <c r="E442">
        <v>80.66</v>
      </c>
      <c r="F442">
        <v>153555.21736000001</v>
      </c>
      <c r="G442">
        <v>0</v>
      </c>
      <c r="L442" t="s">
        <v>8</v>
      </c>
      <c r="M442" t="s">
        <v>8</v>
      </c>
      <c r="N442" t="s">
        <v>7</v>
      </c>
      <c r="P442">
        <f t="shared" si="953"/>
        <v>0.50425273390036329</v>
      </c>
      <c r="Q442">
        <f t="shared" si="954"/>
        <v>77430.638158444533</v>
      </c>
      <c r="R442">
        <f t="shared" si="955"/>
        <v>3676400.315458532</v>
      </c>
      <c r="S442">
        <f t="shared" si="956"/>
        <v>36.764003154585318</v>
      </c>
      <c r="T442">
        <f t="shared" si="957"/>
        <v>3.676400315458532E-2</v>
      </c>
    </row>
    <row r="443" spans="1:20" x14ac:dyDescent="0.25">
      <c r="A443" s="5">
        <v>44150</v>
      </c>
      <c r="B443">
        <v>77.319999999999993</v>
      </c>
      <c r="C443">
        <v>77.69</v>
      </c>
      <c r="D443">
        <v>73.510000000000005</v>
      </c>
      <c r="E443">
        <v>74.98</v>
      </c>
      <c r="F443">
        <v>131946.35170999999</v>
      </c>
      <c r="G443">
        <v>0</v>
      </c>
      <c r="L443" t="s">
        <v>7</v>
      </c>
      <c r="M443" t="s">
        <v>8</v>
      </c>
      <c r="N443" t="s">
        <v>7</v>
      </c>
      <c r="P443">
        <f t="shared" si="953"/>
        <v>-0.29665071770334861</v>
      </c>
      <c r="Q443">
        <f t="shared" si="954"/>
        <v>-39141.979933109957</v>
      </c>
      <c r="R443">
        <f t="shared" si="955"/>
        <v>3598969.6773000876</v>
      </c>
      <c r="S443">
        <f t="shared" si="956"/>
        <v>35.98969677300088</v>
      </c>
      <c r="T443">
        <f t="shared" si="957"/>
        <v>3.598969677300088E-2</v>
      </c>
    </row>
    <row r="444" spans="1:20" x14ac:dyDescent="0.25">
      <c r="A444" s="5">
        <v>44149</v>
      </c>
      <c r="B444">
        <v>77.77</v>
      </c>
      <c r="C444">
        <v>79.900000000000006</v>
      </c>
      <c r="D444">
        <v>74.41</v>
      </c>
      <c r="E444">
        <v>77.290000000000006</v>
      </c>
      <c r="F444">
        <v>131760.44644</v>
      </c>
      <c r="G444">
        <v>0</v>
      </c>
      <c r="L444" t="s">
        <v>7</v>
      </c>
      <c r="M444" t="s">
        <v>8</v>
      </c>
      <c r="N444" t="s">
        <v>7</v>
      </c>
      <c r="P444">
        <f t="shared" si="953"/>
        <v>4.9180327868854241E-2</v>
      </c>
      <c r="Q444">
        <f t="shared" si="954"/>
        <v>6480.0219560658088</v>
      </c>
      <c r="R444">
        <f t="shared" si="955"/>
        <v>3638111.6572331977</v>
      </c>
      <c r="S444">
        <f t="shared" si="956"/>
        <v>36.381116572331976</v>
      </c>
      <c r="T444">
        <f t="shared" si="957"/>
        <v>3.6381116572331978E-2</v>
      </c>
    </row>
    <row r="445" spans="1:20" x14ac:dyDescent="0.25">
      <c r="A445" s="5">
        <v>44148</v>
      </c>
      <c r="B445">
        <v>77.7</v>
      </c>
      <c r="C445">
        <v>79.400000000000006</v>
      </c>
      <c r="D445">
        <v>75.66</v>
      </c>
      <c r="E445">
        <v>77.739999999999995</v>
      </c>
      <c r="F445">
        <v>116957.99185999999</v>
      </c>
      <c r="G445">
        <v>0</v>
      </c>
      <c r="L445" t="s">
        <v>8</v>
      </c>
      <c r="M445" t="s">
        <v>8</v>
      </c>
      <c r="N445" t="s">
        <v>7</v>
      </c>
      <c r="P445">
        <f t="shared" si="953"/>
        <v>0.11229946524063809</v>
      </c>
      <c r="Q445">
        <f t="shared" si="954"/>
        <v>13134.319941496902</v>
      </c>
      <c r="R445">
        <f t="shared" si="955"/>
        <v>3631631.635277132</v>
      </c>
      <c r="S445">
        <f t="shared" si="956"/>
        <v>36.316316352771324</v>
      </c>
      <c r="T445">
        <f t="shared" si="957"/>
        <v>3.631631635277132E-2</v>
      </c>
    </row>
    <row r="446" spans="1:20" x14ac:dyDescent="0.25">
      <c r="A446" s="5">
        <v>44147</v>
      </c>
      <c r="B446">
        <v>69.3</v>
      </c>
      <c r="C446">
        <v>79.849999999999994</v>
      </c>
      <c r="D446">
        <v>68.31</v>
      </c>
      <c r="E446">
        <v>77.69</v>
      </c>
      <c r="F446">
        <v>366353.56972000003</v>
      </c>
      <c r="G446">
        <v>0</v>
      </c>
      <c r="L446" t="s">
        <v>8</v>
      </c>
      <c r="M446" t="s">
        <v>8</v>
      </c>
      <c r="N446" t="s">
        <v>7</v>
      </c>
      <c r="P446">
        <f t="shared" si="953"/>
        <v>0.62564991334488773</v>
      </c>
      <c r="Q446">
        <f t="shared" si="954"/>
        <v>229209.07914890829</v>
      </c>
      <c r="R446">
        <f t="shared" si="955"/>
        <v>3618497.3153356351</v>
      </c>
      <c r="S446">
        <f t="shared" si="956"/>
        <v>36.184973153356353</v>
      </c>
      <c r="T446">
        <f t="shared" si="957"/>
        <v>3.6184973153356351E-2</v>
      </c>
    </row>
    <row r="447" spans="1:20" x14ac:dyDescent="0.25">
      <c r="A447" s="5">
        <v>44146</v>
      </c>
      <c r="B447">
        <v>68.84</v>
      </c>
      <c r="C447">
        <v>71.599999999999994</v>
      </c>
      <c r="D447">
        <v>68.680000000000007</v>
      </c>
      <c r="E447">
        <v>69.31</v>
      </c>
      <c r="F447">
        <v>92994.501109999997</v>
      </c>
      <c r="G447">
        <v>0</v>
      </c>
      <c r="L447" t="s">
        <v>8</v>
      </c>
      <c r="M447" t="s">
        <v>7</v>
      </c>
      <c r="N447" t="s">
        <v>7</v>
      </c>
      <c r="P447">
        <f t="shared" si="953"/>
        <v>-0.56849315068493278</v>
      </c>
      <c r="Q447">
        <f t="shared" si="954"/>
        <v>-52866.736932397376</v>
      </c>
      <c r="R447">
        <f t="shared" si="955"/>
        <v>3389288.236186727</v>
      </c>
      <c r="S447">
        <f t="shared" si="956"/>
        <v>33.892882361867272</v>
      </c>
      <c r="T447">
        <f t="shared" si="957"/>
        <v>3.3892882361867271E-2</v>
      </c>
    </row>
    <row r="448" spans="1:20" x14ac:dyDescent="0.25">
      <c r="A448" s="5">
        <v>44145</v>
      </c>
      <c r="B448">
        <v>68.11</v>
      </c>
      <c r="C448">
        <v>69.78</v>
      </c>
      <c r="D448">
        <v>67.38</v>
      </c>
      <c r="E448">
        <v>68.86</v>
      </c>
      <c r="F448">
        <v>95086.528609999994</v>
      </c>
      <c r="G448">
        <v>0</v>
      </c>
      <c r="L448" t="s">
        <v>7</v>
      </c>
      <c r="M448" t="s">
        <v>7</v>
      </c>
      <c r="N448" t="s">
        <v>7</v>
      </c>
      <c r="P448">
        <f t="shared" si="953"/>
        <v>0.23333333333333373</v>
      </c>
      <c r="Q448">
        <f t="shared" si="954"/>
        <v>22186.856675666702</v>
      </c>
      <c r="R448">
        <f t="shared" si="955"/>
        <v>3442154.9731191243</v>
      </c>
      <c r="S448">
        <f t="shared" si="956"/>
        <v>34.421549731191242</v>
      </c>
      <c r="T448">
        <f t="shared" si="957"/>
        <v>3.4421549731191242E-2</v>
      </c>
    </row>
    <row r="449" spans="1:20" x14ac:dyDescent="0.25">
      <c r="A449" s="5">
        <v>44144</v>
      </c>
      <c r="B449">
        <v>68.05</v>
      </c>
      <c r="C449">
        <v>69.069999999999993</v>
      </c>
      <c r="D449">
        <v>66.290000000000006</v>
      </c>
      <c r="E449">
        <v>68.09</v>
      </c>
      <c r="F449">
        <v>100836.76846000001</v>
      </c>
      <c r="G449">
        <v>0</v>
      </c>
      <c r="L449" t="s">
        <v>7</v>
      </c>
      <c r="M449" t="s">
        <v>7</v>
      </c>
      <c r="N449" t="s">
        <v>7</v>
      </c>
      <c r="P449">
        <f t="shared" si="953"/>
        <v>0.29496402877698247</v>
      </c>
      <c r="Q449">
        <f t="shared" si="954"/>
        <v>29743.219473813358</v>
      </c>
      <c r="R449">
        <f t="shared" si="955"/>
        <v>3419968.1164434575</v>
      </c>
      <c r="S449">
        <f t="shared" si="956"/>
        <v>34.199681164434573</v>
      </c>
      <c r="T449">
        <f t="shared" si="957"/>
        <v>3.4199681164434573E-2</v>
      </c>
    </row>
    <row r="450" spans="1:20" x14ac:dyDescent="0.25">
      <c r="A450" s="5">
        <v>44143</v>
      </c>
      <c r="B450">
        <v>66.55</v>
      </c>
      <c r="C450">
        <v>69.28</v>
      </c>
      <c r="D450">
        <v>65.64</v>
      </c>
      <c r="E450">
        <v>68.06</v>
      </c>
      <c r="F450">
        <v>83662.105540000004</v>
      </c>
      <c r="G450">
        <v>0</v>
      </c>
      <c r="L450" t="s">
        <v>7</v>
      </c>
      <c r="M450" t="s">
        <v>7</v>
      </c>
      <c r="N450" t="s">
        <v>7</v>
      </c>
      <c r="P450">
        <f t="shared" si="953"/>
        <v>0.32967032967033039</v>
      </c>
      <c r="Q450">
        <f t="shared" si="954"/>
        <v>27580.913914285775</v>
      </c>
      <c r="R450">
        <f t="shared" si="955"/>
        <v>3390224.8969696444</v>
      </c>
      <c r="S450">
        <f t="shared" si="956"/>
        <v>33.902248969696444</v>
      </c>
      <c r="T450">
        <f t="shared" si="957"/>
        <v>3.3902248969696444E-2</v>
      </c>
    </row>
    <row r="451" spans="1:20" x14ac:dyDescent="0.25">
      <c r="A451" s="5">
        <v>44142</v>
      </c>
      <c r="B451">
        <v>70.03</v>
      </c>
      <c r="C451">
        <v>72.2</v>
      </c>
      <c r="D451">
        <v>64.92</v>
      </c>
      <c r="E451">
        <v>66.569999999999993</v>
      </c>
      <c r="F451">
        <v>172737.26605999999</v>
      </c>
      <c r="G451">
        <v>0</v>
      </c>
      <c r="L451" t="s">
        <v>8</v>
      </c>
      <c r="M451" t="s">
        <v>7</v>
      </c>
      <c r="N451" t="s">
        <v>7</v>
      </c>
      <c r="P451">
        <f t="shared" si="953"/>
        <v>-0.54670329670329909</v>
      </c>
      <c r="Q451">
        <f t="shared" si="954"/>
        <v>-94436.032818516891</v>
      </c>
      <c r="R451">
        <f t="shared" si="955"/>
        <v>3362643.9830553588</v>
      </c>
      <c r="S451">
        <f t="shared" si="956"/>
        <v>33.626439830553586</v>
      </c>
      <c r="T451">
        <f t="shared" si="957"/>
        <v>3.3626439830553585E-2</v>
      </c>
    </row>
    <row r="452" spans="1:20" x14ac:dyDescent="0.25">
      <c r="A452" s="5">
        <v>44141</v>
      </c>
      <c r="B452">
        <v>67.790000000000006</v>
      </c>
      <c r="C452">
        <v>70.78</v>
      </c>
      <c r="D452">
        <v>67.39</v>
      </c>
      <c r="E452">
        <v>70.09</v>
      </c>
      <c r="F452">
        <v>173271.68309000001</v>
      </c>
      <c r="G452">
        <v>0</v>
      </c>
      <c r="L452" t="s">
        <v>8</v>
      </c>
      <c r="M452" t="s">
        <v>7</v>
      </c>
      <c r="N452" t="s">
        <v>7</v>
      </c>
      <c r="P452">
        <f t="shared" si="953"/>
        <v>0.59292035398230225</v>
      </c>
      <c r="Q452">
        <f t="shared" si="954"/>
        <v>102736.3076728321</v>
      </c>
      <c r="R452">
        <f t="shared" si="955"/>
        <v>3457080.0158738755</v>
      </c>
      <c r="S452">
        <f t="shared" si="956"/>
        <v>34.570800158738756</v>
      </c>
      <c r="T452">
        <f t="shared" si="957"/>
        <v>3.4570800158738757E-2</v>
      </c>
    </row>
    <row r="453" spans="1:20" x14ac:dyDescent="0.25">
      <c r="A453" s="5">
        <v>44140</v>
      </c>
      <c r="B453">
        <v>64.7</v>
      </c>
      <c r="C453">
        <v>70.27</v>
      </c>
      <c r="D453">
        <v>63.56</v>
      </c>
      <c r="E453">
        <v>67.78</v>
      </c>
      <c r="F453">
        <v>145068.35795000001</v>
      </c>
      <c r="G453">
        <v>0</v>
      </c>
      <c r="L453" t="s">
        <v>8</v>
      </c>
      <c r="M453" t="s">
        <v>7</v>
      </c>
      <c r="N453" t="s">
        <v>7</v>
      </c>
      <c r="P453">
        <f t="shared" si="953"/>
        <v>0.25782414307004553</v>
      </c>
      <c r="Q453">
        <f t="shared" si="954"/>
        <v>37402.12507503738</v>
      </c>
      <c r="R453">
        <f t="shared" si="955"/>
        <v>3354343.7082010433</v>
      </c>
      <c r="S453">
        <f t="shared" si="956"/>
        <v>33.543437082010435</v>
      </c>
      <c r="T453">
        <f t="shared" si="957"/>
        <v>3.3543437082010436E-2</v>
      </c>
    </row>
    <row r="454" spans="1:20" x14ac:dyDescent="0.25">
      <c r="A454" s="5">
        <v>44139</v>
      </c>
      <c r="B454">
        <v>64.319999999999993</v>
      </c>
      <c r="C454">
        <v>65.28</v>
      </c>
      <c r="D454">
        <v>62.21</v>
      </c>
      <c r="E454">
        <v>64.75</v>
      </c>
      <c r="F454">
        <v>97632.548139999999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58">IF(C454=D454,0,((E454-D454)-(C454-E454))/(C454-D454))</f>
        <v>0.65472312703582991</v>
      </c>
      <c r="Q454">
        <f t="shared" ref="Q454:Q517" si="959">F454*P454</f>
        <v>63922.287218696998</v>
      </c>
      <c r="R454">
        <f t="shared" ref="R454:R517" si="960">R455+Q454</f>
        <v>3316941.5831260057</v>
      </c>
      <c r="S454">
        <f t="shared" ref="S454:S517" si="961">R454/100000</f>
        <v>33.169415831260061</v>
      </c>
      <c r="T454">
        <f t="shared" ref="T454:T517" si="962">S454/1000</f>
        <v>3.3169415831260061E-2</v>
      </c>
    </row>
    <row r="455" spans="1:20" x14ac:dyDescent="0.25">
      <c r="A455" s="5">
        <v>44138</v>
      </c>
      <c r="B455">
        <v>64.91</v>
      </c>
      <c r="C455">
        <v>65.48</v>
      </c>
      <c r="D455">
        <v>63.09</v>
      </c>
      <c r="E455">
        <v>64.319999999999993</v>
      </c>
      <c r="F455">
        <v>110101.13632999999</v>
      </c>
      <c r="G455">
        <v>0</v>
      </c>
      <c r="L455" t="s">
        <v>7</v>
      </c>
      <c r="M455" t="s">
        <v>7</v>
      </c>
      <c r="N455" t="s">
        <v>7</v>
      </c>
      <c r="P455">
        <f t="shared" si="958"/>
        <v>2.9288702928861488E-2</v>
      </c>
      <c r="Q455">
        <f t="shared" si="959"/>
        <v>3224.7194740994487</v>
      </c>
      <c r="R455">
        <f t="shared" si="960"/>
        <v>3253019.2959073088</v>
      </c>
      <c r="S455">
        <f t="shared" si="961"/>
        <v>32.530192959073091</v>
      </c>
      <c r="T455">
        <f t="shared" si="962"/>
        <v>3.2530192959073091E-2</v>
      </c>
    </row>
    <row r="456" spans="1:20" x14ac:dyDescent="0.25">
      <c r="A456" s="5">
        <v>44137</v>
      </c>
      <c r="B456">
        <v>68.790000000000006</v>
      </c>
      <c r="C456">
        <v>69.599999999999994</v>
      </c>
      <c r="D456">
        <v>64.709999999999994</v>
      </c>
      <c r="E456">
        <v>64.95</v>
      </c>
      <c r="F456">
        <v>120342.39635</v>
      </c>
      <c r="G456">
        <v>0</v>
      </c>
      <c r="L456" t="s">
        <v>7</v>
      </c>
      <c r="M456" t="s">
        <v>7</v>
      </c>
      <c r="N456" t="s">
        <v>7</v>
      </c>
      <c r="P456">
        <f t="shared" si="958"/>
        <v>-0.90184049079754225</v>
      </c>
      <c r="Q456">
        <f t="shared" si="959"/>
        <v>-108529.64578803636</v>
      </c>
      <c r="R456">
        <f t="shared" si="960"/>
        <v>3249794.5764332092</v>
      </c>
      <c r="S456">
        <f t="shared" si="961"/>
        <v>32.497945764332094</v>
      </c>
      <c r="T456">
        <f t="shared" si="962"/>
        <v>3.2497945764332091E-2</v>
      </c>
    </row>
    <row r="457" spans="1:20" x14ac:dyDescent="0.25">
      <c r="A457" s="5">
        <v>44136</v>
      </c>
      <c r="B457">
        <v>70.099999999999994</v>
      </c>
      <c r="C457">
        <v>70.680000000000007</v>
      </c>
      <c r="D457">
        <v>68.19</v>
      </c>
      <c r="E457">
        <v>68.790000000000006</v>
      </c>
      <c r="F457">
        <v>75798.696809999994</v>
      </c>
      <c r="G457">
        <v>0</v>
      </c>
      <c r="L457" t="s">
        <v>8</v>
      </c>
      <c r="M457" t="s">
        <v>7</v>
      </c>
      <c r="N457" t="s">
        <v>7</v>
      </c>
      <c r="P457">
        <f t="shared" si="958"/>
        <v>-0.5180722891566214</v>
      </c>
      <c r="Q457">
        <f t="shared" si="959"/>
        <v>-39269.20437144539</v>
      </c>
      <c r="R457">
        <f t="shared" si="960"/>
        <v>3358324.2222212455</v>
      </c>
      <c r="S457">
        <f t="shared" si="961"/>
        <v>33.583242222212455</v>
      </c>
      <c r="T457">
        <f t="shared" si="962"/>
        <v>3.3583242222212456E-2</v>
      </c>
    </row>
    <row r="458" spans="1:20" x14ac:dyDescent="0.25">
      <c r="A458" s="5">
        <v>44135</v>
      </c>
      <c r="B458">
        <v>69.7</v>
      </c>
      <c r="C458">
        <v>73</v>
      </c>
      <c r="D458">
        <v>68.569999999999993</v>
      </c>
      <c r="E458">
        <v>70.08</v>
      </c>
      <c r="F458">
        <v>136272.27806000001</v>
      </c>
      <c r="G458">
        <v>0</v>
      </c>
      <c r="L458" t="s">
        <v>8</v>
      </c>
      <c r="M458" t="s">
        <v>7</v>
      </c>
      <c r="N458" t="s">
        <v>7</v>
      </c>
      <c r="P458">
        <f t="shared" si="958"/>
        <v>-0.31828442437923127</v>
      </c>
      <c r="Q458">
        <f t="shared" si="959"/>
        <v>-43373.343581173649</v>
      </c>
      <c r="R458">
        <f t="shared" si="960"/>
        <v>3397593.4265926909</v>
      </c>
      <c r="S458">
        <f t="shared" si="961"/>
        <v>33.975934265926909</v>
      </c>
      <c r="T458">
        <f t="shared" si="962"/>
        <v>3.3975934265926912E-2</v>
      </c>
    </row>
    <row r="459" spans="1:20" x14ac:dyDescent="0.25">
      <c r="A459" s="5">
        <v>44134</v>
      </c>
      <c r="B459">
        <v>67.08</v>
      </c>
      <c r="C459">
        <v>72.63</v>
      </c>
      <c r="D459">
        <v>64.010000000000005</v>
      </c>
      <c r="E459">
        <v>69.69</v>
      </c>
      <c r="F459">
        <v>194096.32743</v>
      </c>
      <c r="G459">
        <v>0</v>
      </c>
      <c r="L459" t="s">
        <v>7</v>
      </c>
      <c r="M459" t="s">
        <v>7</v>
      </c>
      <c r="N459" t="s">
        <v>7</v>
      </c>
      <c r="P459">
        <f t="shared" si="958"/>
        <v>0.31786542923433853</v>
      </c>
      <c r="Q459">
        <f t="shared" si="959"/>
        <v>61696.512431345669</v>
      </c>
      <c r="R459">
        <f t="shared" si="960"/>
        <v>3440966.7701738644</v>
      </c>
      <c r="S459">
        <f t="shared" si="961"/>
        <v>34.409667701738641</v>
      </c>
      <c r="T459">
        <f t="shared" si="962"/>
        <v>3.4409667701738644E-2</v>
      </c>
    </row>
    <row r="460" spans="1:20" x14ac:dyDescent="0.25">
      <c r="A460" s="5">
        <v>44133</v>
      </c>
      <c r="B460">
        <v>67.91</v>
      </c>
      <c r="C460">
        <v>68.8</v>
      </c>
      <c r="D460">
        <v>65.650000000000006</v>
      </c>
      <c r="E460">
        <v>67.099999999999994</v>
      </c>
      <c r="F460">
        <v>65662.370670000004</v>
      </c>
      <c r="G460">
        <v>0</v>
      </c>
      <c r="L460" t="s">
        <v>7</v>
      </c>
      <c r="M460" t="s">
        <v>7</v>
      </c>
      <c r="N460" t="s">
        <v>7</v>
      </c>
      <c r="P460">
        <f t="shared" si="958"/>
        <v>-7.9365079365084093E-2</v>
      </c>
      <c r="Q460">
        <f t="shared" si="959"/>
        <v>-5211.2992595241203</v>
      </c>
      <c r="R460">
        <f t="shared" si="960"/>
        <v>3379270.2577425186</v>
      </c>
      <c r="S460">
        <f t="shared" si="961"/>
        <v>33.792702577425189</v>
      </c>
      <c r="T460">
        <f t="shared" si="962"/>
        <v>3.3792702577425192E-2</v>
      </c>
    </row>
    <row r="461" spans="1:20" x14ac:dyDescent="0.25">
      <c r="A461" s="5">
        <v>44132</v>
      </c>
      <c r="B461">
        <v>70.709999999999994</v>
      </c>
      <c r="C461">
        <v>71.12</v>
      </c>
      <c r="D461">
        <v>66.7</v>
      </c>
      <c r="E461">
        <v>67.91</v>
      </c>
      <c r="F461">
        <v>94951.207509999993</v>
      </c>
      <c r="G461">
        <v>0</v>
      </c>
      <c r="L461" t="s">
        <v>7</v>
      </c>
      <c r="M461" t="s">
        <v>8</v>
      </c>
      <c r="N461" t="s">
        <v>7</v>
      </c>
      <c r="P461">
        <f t="shared" si="958"/>
        <v>-0.45248868778280849</v>
      </c>
      <c r="Q461">
        <f t="shared" si="959"/>
        <v>-42964.347289593046</v>
      </c>
      <c r="R461">
        <f t="shared" si="960"/>
        <v>3384481.5570020429</v>
      </c>
      <c r="S461">
        <f t="shared" si="961"/>
        <v>33.84481557002043</v>
      </c>
      <c r="T461">
        <f t="shared" si="962"/>
        <v>3.3844815570020427E-2</v>
      </c>
    </row>
    <row r="462" spans="1:20" x14ac:dyDescent="0.25">
      <c r="A462" s="5">
        <v>44131</v>
      </c>
      <c r="B462">
        <v>69.180000000000007</v>
      </c>
      <c r="C462">
        <v>72.19</v>
      </c>
      <c r="D462">
        <v>68.989999999999995</v>
      </c>
      <c r="E462">
        <v>70.75</v>
      </c>
      <c r="F462">
        <v>78640.635150000002</v>
      </c>
      <c r="G462">
        <v>0</v>
      </c>
      <c r="L462" t="s">
        <v>7</v>
      </c>
      <c r="M462" t="s">
        <v>8</v>
      </c>
      <c r="N462" t="s">
        <v>7</v>
      </c>
      <c r="P462">
        <f t="shared" si="958"/>
        <v>0.10000000000000223</v>
      </c>
      <c r="Q462">
        <f t="shared" si="959"/>
        <v>7864.0635150001754</v>
      </c>
      <c r="R462">
        <f t="shared" si="960"/>
        <v>3427445.9042916358</v>
      </c>
      <c r="S462">
        <f t="shared" si="961"/>
        <v>34.274459042916355</v>
      </c>
      <c r="T462">
        <f t="shared" si="962"/>
        <v>3.4274459042916358E-2</v>
      </c>
    </row>
    <row r="463" spans="1:20" x14ac:dyDescent="0.25">
      <c r="A463" s="5">
        <v>44130</v>
      </c>
      <c r="B463">
        <v>71.05</v>
      </c>
      <c r="C463">
        <v>72.489999999999995</v>
      </c>
      <c r="D463">
        <v>68.38</v>
      </c>
      <c r="E463">
        <v>69.19</v>
      </c>
      <c r="F463">
        <v>91195.427750000003</v>
      </c>
      <c r="G463">
        <v>0</v>
      </c>
      <c r="L463" t="s">
        <v>7</v>
      </c>
      <c r="M463" t="s">
        <v>8</v>
      </c>
      <c r="N463" t="s">
        <v>7</v>
      </c>
      <c r="P463">
        <f t="shared" si="958"/>
        <v>-0.60583941605839298</v>
      </c>
      <c r="Q463">
        <f t="shared" si="959"/>
        <v>-55249.784695255366</v>
      </c>
      <c r="R463">
        <f t="shared" si="960"/>
        <v>3419581.8407766358</v>
      </c>
      <c r="S463">
        <f t="shared" si="961"/>
        <v>34.19581840776636</v>
      </c>
      <c r="T463">
        <f t="shared" si="962"/>
        <v>3.4195818407766358E-2</v>
      </c>
    </row>
    <row r="464" spans="1:20" x14ac:dyDescent="0.25">
      <c r="A464" s="5">
        <v>44129</v>
      </c>
      <c r="B464">
        <v>73.25</v>
      </c>
      <c r="C464">
        <v>73.73</v>
      </c>
      <c r="D464">
        <v>70.33</v>
      </c>
      <c r="E464">
        <v>71.06</v>
      </c>
      <c r="F464">
        <v>79876.784549999997</v>
      </c>
      <c r="G464">
        <v>0</v>
      </c>
      <c r="L464" t="s">
        <v>7</v>
      </c>
      <c r="M464" t="s">
        <v>8</v>
      </c>
      <c r="N464" t="s">
        <v>7</v>
      </c>
      <c r="P464">
        <f t="shared" si="958"/>
        <v>-0.57058823529411606</v>
      </c>
      <c r="Q464">
        <f t="shared" si="959"/>
        <v>-45576.753537352815</v>
      </c>
      <c r="R464">
        <f t="shared" si="960"/>
        <v>3474831.6254718914</v>
      </c>
      <c r="S464">
        <f t="shared" si="961"/>
        <v>34.748316254718915</v>
      </c>
      <c r="T464">
        <f t="shared" si="962"/>
        <v>3.4748316254718914E-2</v>
      </c>
    </row>
    <row r="465" spans="1:20" x14ac:dyDescent="0.25">
      <c r="A465" s="5">
        <v>44128</v>
      </c>
      <c r="B465">
        <v>72.16</v>
      </c>
      <c r="C465">
        <v>73.930000000000007</v>
      </c>
      <c r="D465">
        <v>71.39</v>
      </c>
      <c r="E465">
        <v>73.31</v>
      </c>
      <c r="F465">
        <v>90257.445869999996</v>
      </c>
      <c r="G465">
        <v>0</v>
      </c>
      <c r="L465" t="s">
        <v>7</v>
      </c>
      <c r="M465" t="s">
        <v>8</v>
      </c>
      <c r="N465" t="s">
        <v>7</v>
      </c>
      <c r="P465">
        <f t="shared" si="958"/>
        <v>0.51181102362204489</v>
      </c>
      <c r="Q465">
        <f t="shared" si="959"/>
        <v>46194.755760236003</v>
      </c>
      <c r="R465">
        <f t="shared" si="960"/>
        <v>3520408.379009244</v>
      </c>
      <c r="S465">
        <f t="shared" si="961"/>
        <v>35.20408379009244</v>
      </c>
      <c r="T465">
        <f t="shared" si="962"/>
        <v>3.520408379009244E-2</v>
      </c>
    </row>
    <row r="466" spans="1:20" x14ac:dyDescent="0.25">
      <c r="A466" s="5">
        <v>44127</v>
      </c>
      <c r="B466">
        <v>74.94</v>
      </c>
      <c r="C466">
        <v>75.3</v>
      </c>
      <c r="D466">
        <v>70.69</v>
      </c>
      <c r="E466">
        <v>72.13</v>
      </c>
      <c r="F466">
        <v>99986.524810000003</v>
      </c>
      <c r="G466">
        <v>0</v>
      </c>
      <c r="L466" t="s">
        <v>7</v>
      </c>
      <c r="M466" t="s">
        <v>8</v>
      </c>
      <c r="N466" t="s">
        <v>7</v>
      </c>
      <c r="P466">
        <f t="shared" si="958"/>
        <v>-0.37527114967462127</v>
      </c>
      <c r="Q466">
        <f t="shared" si="959"/>
        <v>-37522.058117418746</v>
      </c>
      <c r="R466">
        <f t="shared" si="960"/>
        <v>3474213.6232490079</v>
      </c>
      <c r="S466">
        <f t="shared" si="961"/>
        <v>34.742136232490076</v>
      </c>
      <c r="T466">
        <f t="shared" si="962"/>
        <v>3.4742136232490076E-2</v>
      </c>
    </row>
    <row r="467" spans="1:20" x14ac:dyDescent="0.25">
      <c r="A467" s="5">
        <v>44126</v>
      </c>
      <c r="B467">
        <v>74.73</v>
      </c>
      <c r="C467">
        <v>77.95</v>
      </c>
      <c r="D467">
        <v>74.040000000000006</v>
      </c>
      <c r="E467">
        <v>74.98</v>
      </c>
      <c r="F467">
        <v>101514.41465000001</v>
      </c>
      <c r="G467">
        <v>0</v>
      </c>
      <c r="L467" t="s">
        <v>8</v>
      </c>
      <c r="M467" t="s">
        <v>8</v>
      </c>
      <c r="N467" t="s">
        <v>7</v>
      </c>
      <c r="P467">
        <f t="shared" si="958"/>
        <v>-0.51918158567775008</v>
      </c>
      <c r="Q467">
        <f t="shared" si="959"/>
        <v>-52704.414767135626</v>
      </c>
      <c r="R467">
        <f t="shared" si="960"/>
        <v>3511735.6813664264</v>
      </c>
      <c r="S467">
        <f t="shared" si="961"/>
        <v>35.117356813664266</v>
      </c>
      <c r="T467">
        <f t="shared" si="962"/>
        <v>3.5117356813664263E-2</v>
      </c>
    </row>
    <row r="468" spans="1:20" x14ac:dyDescent="0.25">
      <c r="A468" s="5">
        <v>44125</v>
      </c>
      <c r="B468">
        <v>70.650000000000006</v>
      </c>
      <c r="C468">
        <v>77.14</v>
      </c>
      <c r="D468">
        <v>70.38</v>
      </c>
      <c r="E468">
        <v>74.73</v>
      </c>
      <c r="F468">
        <v>116971.25433</v>
      </c>
      <c r="G468">
        <v>0</v>
      </c>
      <c r="L468" t="s">
        <v>8</v>
      </c>
      <c r="M468" t="s">
        <v>8</v>
      </c>
      <c r="N468" t="s">
        <v>7</v>
      </c>
      <c r="P468">
        <f t="shared" si="958"/>
        <v>0.28698224852071158</v>
      </c>
      <c r="Q468">
        <f t="shared" si="959"/>
        <v>33568.673579911418</v>
      </c>
      <c r="R468">
        <f t="shared" si="960"/>
        <v>3564440.0961335618</v>
      </c>
      <c r="S468">
        <f t="shared" si="961"/>
        <v>35.64440096133562</v>
      </c>
      <c r="T468">
        <f t="shared" si="962"/>
        <v>3.5644400961335622E-2</v>
      </c>
    </row>
    <row r="469" spans="1:20" x14ac:dyDescent="0.25">
      <c r="A469" s="5">
        <v>44124</v>
      </c>
      <c r="B469">
        <v>74.95</v>
      </c>
      <c r="C469">
        <v>77.5</v>
      </c>
      <c r="D469">
        <v>70.22</v>
      </c>
      <c r="E469">
        <v>70.650000000000006</v>
      </c>
      <c r="F469">
        <v>198990.03614000001</v>
      </c>
      <c r="G469">
        <v>0</v>
      </c>
      <c r="L469" t="s">
        <v>7</v>
      </c>
      <c r="M469" t="s">
        <v>8</v>
      </c>
      <c r="N469" t="s">
        <v>7</v>
      </c>
      <c r="P469">
        <f t="shared" si="958"/>
        <v>-0.88186813186813007</v>
      </c>
      <c r="Q469">
        <f t="shared" si="959"/>
        <v>-175482.97143115351</v>
      </c>
      <c r="R469">
        <f t="shared" si="960"/>
        <v>3530871.4225536506</v>
      </c>
      <c r="S469">
        <f t="shared" si="961"/>
        <v>35.308714225536505</v>
      </c>
      <c r="T469">
        <f t="shared" si="962"/>
        <v>3.5308714225536504E-2</v>
      </c>
    </row>
    <row r="470" spans="1:20" x14ac:dyDescent="0.25">
      <c r="A470" s="5">
        <v>44123</v>
      </c>
      <c r="B470">
        <v>67.3</v>
      </c>
      <c r="C470">
        <v>78.569999999999993</v>
      </c>
      <c r="D470">
        <v>66.13</v>
      </c>
      <c r="E470">
        <v>74.930000000000007</v>
      </c>
      <c r="F470">
        <v>213179.35771000001</v>
      </c>
      <c r="G470">
        <v>0</v>
      </c>
      <c r="L470" t="s">
        <v>8</v>
      </c>
      <c r="M470" t="s">
        <v>8</v>
      </c>
      <c r="N470" t="s">
        <v>7</v>
      </c>
      <c r="P470">
        <f t="shared" si="958"/>
        <v>0.41479099678456799</v>
      </c>
      <c r="Q470">
        <f t="shared" si="959"/>
        <v>88424.878278424891</v>
      </c>
      <c r="R470">
        <f t="shared" si="960"/>
        <v>3706354.3939848039</v>
      </c>
      <c r="S470">
        <f t="shared" si="961"/>
        <v>37.063543939848039</v>
      </c>
      <c r="T470">
        <f t="shared" si="962"/>
        <v>3.7063543939848037E-2</v>
      </c>
    </row>
    <row r="471" spans="1:20" x14ac:dyDescent="0.25">
      <c r="A471" s="5">
        <v>44122</v>
      </c>
      <c r="B471">
        <v>67.31</v>
      </c>
      <c r="C471">
        <v>67.34</v>
      </c>
      <c r="D471">
        <v>66.510000000000005</v>
      </c>
      <c r="E471">
        <v>67.290000000000006</v>
      </c>
      <c r="F471">
        <v>20561.61781</v>
      </c>
      <c r="G471">
        <v>0</v>
      </c>
      <c r="L471" t="s">
        <v>7</v>
      </c>
      <c r="M471" t="s">
        <v>7</v>
      </c>
      <c r="N471" t="s">
        <v>7</v>
      </c>
      <c r="P471">
        <f t="shared" si="958"/>
        <v>0.87951807228916323</v>
      </c>
      <c r="Q471">
        <f t="shared" si="959"/>
        <v>18084.314459397727</v>
      </c>
      <c r="R471">
        <f t="shared" si="960"/>
        <v>3617929.515706379</v>
      </c>
      <c r="S471">
        <f t="shared" si="961"/>
        <v>36.179295157063791</v>
      </c>
      <c r="T471">
        <f t="shared" si="962"/>
        <v>3.6179295157063793E-2</v>
      </c>
    </row>
    <row r="472" spans="1:20" x14ac:dyDescent="0.25">
      <c r="A472" s="5">
        <v>44121</v>
      </c>
      <c r="B472">
        <v>66.11</v>
      </c>
      <c r="C472">
        <v>67.52</v>
      </c>
      <c r="D472">
        <v>65.25</v>
      </c>
      <c r="E472">
        <v>67.33</v>
      </c>
      <c r="F472">
        <v>41132.364070000003</v>
      </c>
      <c r="G472">
        <v>0</v>
      </c>
      <c r="L472" t="s">
        <v>7</v>
      </c>
      <c r="M472" t="s">
        <v>7</v>
      </c>
      <c r="N472" t="s">
        <v>7</v>
      </c>
      <c r="P472">
        <f t="shared" si="958"/>
        <v>0.83259911894273297</v>
      </c>
      <c r="Q472">
        <f t="shared" si="959"/>
        <v>34246.770084713731</v>
      </c>
      <c r="R472">
        <f t="shared" si="960"/>
        <v>3599845.201246981</v>
      </c>
      <c r="S472">
        <f t="shared" si="961"/>
        <v>35.998452012469812</v>
      </c>
      <c r="T472">
        <f t="shared" si="962"/>
        <v>3.599845201246981E-2</v>
      </c>
    </row>
    <row r="473" spans="1:20" x14ac:dyDescent="0.25">
      <c r="A473" s="5">
        <v>44120</v>
      </c>
      <c r="B473">
        <v>69.27</v>
      </c>
      <c r="C473">
        <v>70.069999999999993</v>
      </c>
      <c r="D473">
        <v>65.41</v>
      </c>
      <c r="E473">
        <v>66.06</v>
      </c>
      <c r="F473">
        <v>69086.258910000004</v>
      </c>
      <c r="G473">
        <v>0</v>
      </c>
      <c r="L473" t="s">
        <v>7</v>
      </c>
      <c r="M473" t="s">
        <v>7</v>
      </c>
      <c r="N473" t="s">
        <v>7</v>
      </c>
      <c r="P473">
        <f t="shared" si="958"/>
        <v>-0.7210300429184523</v>
      </c>
      <c r="Q473">
        <f t="shared" si="959"/>
        <v>-49813.268226952612</v>
      </c>
      <c r="R473">
        <f t="shared" si="960"/>
        <v>3565598.4311622675</v>
      </c>
      <c r="S473">
        <f t="shared" si="961"/>
        <v>35.655984311622674</v>
      </c>
      <c r="T473">
        <f t="shared" si="962"/>
        <v>3.5655984311622674E-2</v>
      </c>
    </row>
    <row r="474" spans="1:20" x14ac:dyDescent="0.25">
      <c r="A474" s="5">
        <v>44119</v>
      </c>
      <c r="B474">
        <v>70.040000000000006</v>
      </c>
      <c r="C474">
        <v>70.459999999999994</v>
      </c>
      <c r="D474">
        <v>68.069999999999993</v>
      </c>
      <c r="E474">
        <v>69.27</v>
      </c>
      <c r="F474">
        <v>44488.212760000002</v>
      </c>
      <c r="G474">
        <v>0</v>
      </c>
      <c r="L474" t="s">
        <v>7</v>
      </c>
      <c r="M474" t="s">
        <v>7</v>
      </c>
      <c r="N474" t="s">
        <v>7</v>
      </c>
      <c r="P474">
        <f t="shared" si="958"/>
        <v>4.1841004184121813E-3</v>
      </c>
      <c r="Q474">
        <f t="shared" si="959"/>
        <v>186.14314962352614</v>
      </c>
      <c r="R474">
        <f t="shared" si="960"/>
        <v>3615411.6993892202</v>
      </c>
      <c r="S474">
        <f t="shared" si="961"/>
        <v>36.154116993892202</v>
      </c>
      <c r="T474">
        <f t="shared" si="962"/>
        <v>3.6154116993892205E-2</v>
      </c>
    </row>
    <row r="475" spans="1:20" x14ac:dyDescent="0.25">
      <c r="A475" s="5">
        <v>44118</v>
      </c>
      <c r="B475">
        <v>71.28</v>
      </c>
      <c r="C475">
        <v>72.099999999999994</v>
      </c>
      <c r="D475">
        <v>68.959999999999994</v>
      </c>
      <c r="E475">
        <v>70.05</v>
      </c>
      <c r="F475">
        <v>59447.33296</v>
      </c>
      <c r="G475">
        <v>0</v>
      </c>
      <c r="L475" t="s">
        <v>7</v>
      </c>
      <c r="M475" t="s">
        <v>7</v>
      </c>
      <c r="N475" t="s">
        <v>7</v>
      </c>
      <c r="P475">
        <f t="shared" si="958"/>
        <v>-0.30573248407643105</v>
      </c>
      <c r="Q475">
        <f t="shared" si="959"/>
        <v>-18174.980777579494</v>
      </c>
      <c r="R475">
        <f t="shared" si="960"/>
        <v>3615225.5562395966</v>
      </c>
      <c r="S475">
        <f t="shared" si="961"/>
        <v>36.152255562395965</v>
      </c>
      <c r="T475">
        <f t="shared" si="962"/>
        <v>3.6152255562395964E-2</v>
      </c>
    </row>
    <row r="476" spans="1:20" x14ac:dyDescent="0.25">
      <c r="A476" s="5">
        <v>44117</v>
      </c>
      <c r="B476">
        <v>71.64</v>
      </c>
      <c r="C476">
        <v>73.47</v>
      </c>
      <c r="D476">
        <v>70.430000000000007</v>
      </c>
      <c r="E476">
        <v>71.23</v>
      </c>
      <c r="F476">
        <v>55479.722540000002</v>
      </c>
      <c r="G476">
        <v>0</v>
      </c>
      <c r="L476" t="s">
        <v>8</v>
      </c>
      <c r="M476" t="s">
        <v>7</v>
      </c>
      <c r="N476" t="s">
        <v>7</v>
      </c>
      <c r="P476">
        <f t="shared" si="958"/>
        <v>-0.47368421052631626</v>
      </c>
      <c r="Q476">
        <f t="shared" si="959"/>
        <v>-26279.868571578976</v>
      </c>
      <c r="R476">
        <f t="shared" si="960"/>
        <v>3633400.5370171759</v>
      </c>
      <c r="S476">
        <f t="shared" si="961"/>
        <v>36.334005370171759</v>
      </c>
      <c r="T476">
        <f t="shared" si="962"/>
        <v>3.6334005370171757E-2</v>
      </c>
    </row>
    <row r="477" spans="1:20" x14ac:dyDescent="0.25">
      <c r="A477" s="5">
        <v>44116</v>
      </c>
      <c r="B477">
        <v>71.7</v>
      </c>
      <c r="C477">
        <v>74.510000000000005</v>
      </c>
      <c r="D477">
        <v>69.97</v>
      </c>
      <c r="E477">
        <v>71.66</v>
      </c>
      <c r="F477">
        <v>117879.61695</v>
      </c>
      <c r="G477">
        <v>0</v>
      </c>
      <c r="L477" t="s">
        <v>8</v>
      </c>
      <c r="M477" t="s">
        <v>7</v>
      </c>
      <c r="N477" t="s">
        <v>7</v>
      </c>
      <c r="P477">
        <f t="shared" si="958"/>
        <v>-0.25550660792951746</v>
      </c>
      <c r="Q477">
        <f t="shared" si="959"/>
        <v>-30119.021070925352</v>
      </c>
      <c r="R477">
        <f t="shared" si="960"/>
        <v>3659680.4055887549</v>
      </c>
      <c r="S477">
        <f t="shared" si="961"/>
        <v>36.596804055887546</v>
      </c>
      <c r="T477">
        <f t="shared" si="962"/>
        <v>3.6596804055887548E-2</v>
      </c>
    </row>
    <row r="478" spans="1:20" x14ac:dyDescent="0.25">
      <c r="A478" s="5">
        <v>44115</v>
      </c>
      <c r="B478">
        <v>67.89</v>
      </c>
      <c r="C478">
        <v>72.569999999999993</v>
      </c>
      <c r="D478">
        <v>67.67</v>
      </c>
      <c r="E478">
        <v>71.709999999999994</v>
      </c>
      <c r="F478">
        <v>92053.863089999999</v>
      </c>
      <c r="G478">
        <v>0</v>
      </c>
      <c r="L478" t="s">
        <v>8</v>
      </c>
      <c r="M478" t="s">
        <v>7</v>
      </c>
      <c r="N478" t="s">
        <v>7</v>
      </c>
      <c r="P478">
        <f t="shared" si="958"/>
        <v>0.64897959183673426</v>
      </c>
      <c r="Q478">
        <f t="shared" si="959"/>
        <v>59741.078495142814</v>
      </c>
      <c r="R478">
        <f t="shared" si="960"/>
        <v>3689799.4266596804</v>
      </c>
      <c r="S478">
        <f t="shared" si="961"/>
        <v>36.897994266596804</v>
      </c>
      <c r="T478">
        <f t="shared" si="962"/>
        <v>3.6897994266596804E-2</v>
      </c>
    </row>
    <row r="479" spans="1:20" x14ac:dyDescent="0.25">
      <c r="A479" s="5">
        <v>44114</v>
      </c>
      <c r="B479">
        <v>67.27</v>
      </c>
      <c r="C479">
        <v>69.34</v>
      </c>
      <c r="D479">
        <v>67.27</v>
      </c>
      <c r="E479">
        <v>67.92</v>
      </c>
      <c r="F479">
        <v>66528.358300000007</v>
      </c>
      <c r="G479">
        <v>0</v>
      </c>
      <c r="L479" t="s">
        <v>8</v>
      </c>
      <c r="M479" t="s">
        <v>7</v>
      </c>
      <c r="N479" t="s">
        <v>7</v>
      </c>
      <c r="P479">
        <f t="shared" si="958"/>
        <v>-0.37198067632849918</v>
      </c>
      <c r="Q479">
        <f t="shared" si="959"/>
        <v>-24747.263715458725</v>
      </c>
      <c r="R479">
        <f t="shared" si="960"/>
        <v>3630058.3481645375</v>
      </c>
      <c r="S479">
        <f t="shared" si="961"/>
        <v>36.300583481645376</v>
      </c>
      <c r="T479">
        <f t="shared" si="962"/>
        <v>3.6300583481645374E-2</v>
      </c>
    </row>
    <row r="480" spans="1:20" x14ac:dyDescent="0.25">
      <c r="A480" s="5">
        <v>44113</v>
      </c>
      <c r="B480">
        <v>66.38</v>
      </c>
      <c r="C480">
        <v>67.84</v>
      </c>
      <c r="D480">
        <v>65.790000000000006</v>
      </c>
      <c r="E480">
        <v>67.27</v>
      </c>
      <c r="F480">
        <v>54767.81538</v>
      </c>
      <c r="G480">
        <v>0</v>
      </c>
      <c r="L480" t="s">
        <v>8</v>
      </c>
      <c r="M480" t="s">
        <v>7</v>
      </c>
      <c r="N480" t="s">
        <v>7</v>
      </c>
      <c r="P480">
        <f t="shared" si="958"/>
        <v>0.44390243902438226</v>
      </c>
      <c r="Q480">
        <f t="shared" si="959"/>
        <v>24311.566827219074</v>
      </c>
      <c r="R480">
        <f t="shared" si="960"/>
        <v>3654805.611879996</v>
      </c>
      <c r="S480">
        <f t="shared" si="961"/>
        <v>36.548056118799963</v>
      </c>
      <c r="T480">
        <f t="shared" si="962"/>
        <v>3.6548056118799965E-2</v>
      </c>
    </row>
    <row r="481" spans="1:20" x14ac:dyDescent="0.25">
      <c r="A481" s="5">
        <v>44112</v>
      </c>
      <c r="B481">
        <v>65.91</v>
      </c>
      <c r="C481">
        <v>67.34</v>
      </c>
      <c r="D481">
        <v>64.180000000000007</v>
      </c>
      <c r="E481">
        <v>66.34</v>
      </c>
      <c r="F481">
        <v>62003.4231</v>
      </c>
      <c r="G481">
        <v>0</v>
      </c>
      <c r="L481" t="s">
        <v>8</v>
      </c>
      <c r="M481" t="s">
        <v>7</v>
      </c>
      <c r="N481" t="s">
        <v>7</v>
      </c>
      <c r="P481">
        <f t="shared" si="958"/>
        <v>0.367088607594936</v>
      </c>
      <c r="Q481">
        <f t="shared" si="959"/>
        <v>22760.750251898691</v>
      </c>
      <c r="R481">
        <f t="shared" si="960"/>
        <v>3630494.045052777</v>
      </c>
      <c r="S481">
        <f t="shared" si="961"/>
        <v>36.304940450527774</v>
      </c>
      <c r="T481">
        <f t="shared" si="962"/>
        <v>3.6304940450527776E-2</v>
      </c>
    </row>
    <row r="482" spans="1:20" x14ac:dyDescent="0.25">
      <c r="A482" s="5">
        <v>44111</v>
      </c>
      <c r="B482">
        <v>65.239999999999995</v>
      </c>
      <c r="C482">
        <v>66.260000000000005</v>
      </c>
      <c r="D482">
        <v>64.069999999999993</v>
      </c>
      <c r="E482">
        <v>65.94</v>
      </c>
      <c r="F482">
        <v>43924.683210000003</v>
      </c>
      <c r="G482">
        <v>0</v>
      </c>
      <c r="L482" t="s">
        <v>8</v>
      </c>
      <c r="M482" t="s">
        <v>7</v>
      </c>
      <c r="N482" t="s">
        <v>7</v>
      </c>
      <c r="P482">
        <f t="shared" si="958"/>
        <v>0.70776255707762037</v>
      </c>
      <c r="Q482">
        <f t="shared" si="959"/>
        <v>31088.246107534022</v>
      </c>
      <c r="R482">
        <f t="shared" si="960"/>
        <v>3607733.2948008785</v>
      </c>
      <c r="S482">
        <f t="shared" si="961"/>
        <v>36.077332948008788</v>
      </c>
      <c r="T482">
        <f t="shared" si="962"/>
        <v>3.6077332948008786E-2</v>
      </c>
    </row>
    <row r="483" spans="1:20" x14ac:dyDescent="0.25">
      <c r="A483" s="5">
        <v>44110</v>
      </c>
      <c r="B483">
        <v>67.17</v>
      </c>
      <c r="C483">
        <v>68.349999999999994</v>
      </c>
      <c r="D483">
        <v>64.61</v>
      </c>
      <c r="E483">
        <v>65.28</v>
      </c>
      <c r="F483">
        <v>65797.612880000001</v>
      </c>
      <c r="G483">
        <v>0</v>
      </c>
      <c r="L483" t="s">
        <v>8</v>
      </c>
      <c r="M483" t="s">
        <v>7</v>
      </c>
      <c r="N483" t="s">
        <v>7</v>
      </c>
      <c r="P483">
        <f t="shared" si="958"/>
        <v>-0.64171122994652263</v>
      </c>
      <c r="Q483">
        <f t="shared" si="959"/>
        <v>-42223.06708876996</v>
      </c>
      <c r="R483">
        <f t="shared" si="960"/>
        <v>3576645.0486933445</v>
      </c>
      <c r="S483">
        <f t="shared" si="961"/>
        <v>35.766450486933444</v>
      </c>
      <c r="T483">
        <f t="shared" si="962"/>
        <v>3.5766450486933443E-2</v>
      </c>
    </row>
    <row r="484" spans="1:20" x14ac:dyDescent="0.25">
      <c r="A484" s="5">
        <v>44109</v>
      </c>
      <c r="B484">
        <v>66.39</v>
      </c>
      <c r="C484">
        <v>67.28</v>
      </c>
      <c r="D484">
        <v>65.59</v>
      </c>
      <c r="E484">
        <v>67.150000000000006</v>
      </c>
      <c r="F484">
        <v>37964.630899999996</v>
      </c>
      <c r="G484">
        <v>0</v>
      </c>
      <c r="L484" t="s">
        <v>7</v>
      </c>
      <c r="M484" t="s">
        <v>7</v>
      </c>
      <c r="N484" t="s">
        <v>7</v>
      </c>
      <c r="P484">
        <f t="shared" si="958"/>
        <v>0.84615384615385136</v>
      </c>
      <c r="Q484">
        <f t="shared" si="959"/>
        <v>32123.918453846349</v>
      </c>
      <c r="R484">
        <f t="shared" si="960"/>
        <v>3618868.1157821142</v>
      </c>
      <c r="S484">
        <f t="shared" si="961"/>
        <v>36.188681157821144</v>
      </c>
      <c r="T484">
        <f t="shared" si="962"/>
        <v>3.6188681157821145E-2</v>
      </c>
    </row>
    <row r="485" spans="1:20" x14ac:dyDescent="0.25">
      <c r="A485" s="5">
        <v>44108</v>
      </c>
      <c r="B485">
        <v>65.59</v>
      </c>
      <c r="C485">
        <v>66.819999999999993</v>
      </c>
      <c r="D485">
        <v>64.930000000000007</v>
      </c>
      <c r="E485">
        <v>66.39</v>
      </c>
      <c r="F485">
        <v>36006.253210000003</v>
      </c>
      <c r="G485">
        <v>0</v>
      </c>
      <c r="L485" t="s">
        <v>7</v>
      </c>
      <c r="M485" t="s">
        <v>7</v>
      </c>
      <c r="N485" t="s">
        <v>7</v>
      </c>
      <c r="P485">
        <f t="shared" si="958"/>
        <v>0.54497354497354955</v>
      </c>
      <c r="Q485">
        <f t="shared" si="959"/>
        <v>19622.455453068949</v>
      </c>
      <c r="R485">
        <f t="shared" si="960"/>
        <v>3586744.1973282681</v>
      </c>
      <c r="S485">
        <f t="shared" si="961"/>
        <v>35.867441973282681</v>
      </c>
      <c r="T485">
        <f t="shared" si="962"/>
        <v>3.5867441973282684E-2</v>
      </c>
    </row>
    <row r="486" spans="1:20" x14ac:dyDescent="0.25">
      <c r="A486" s="5">
        <v>44107</v>
      </c>
      <c r="B486">
        <v>65.930000000000007</v>
      </c>
      <c r="C486">
        <v>66.599999999999994</v>
      </c>
      <c r="D486">
        <v>65.459999999999994</v>
      </c>
      <c r="E486">
        <v>65.599999999999994</v>
      </c>
      <c r="F486">
        <v>32303.80976</v>
      </c>
      <c r="G486">
        <v>0</v>
      </c>
      <c r="L486" t="s">
        <v>7</v>
      </c>
      <c r="M486" t="s">
        <v>7</v>
      </c>
      <c r="N486" t="s">
        <v>7</v>
      </c>
      <c r="P486">
        <f t="shared" si="958"/>
        <v>-0.75438596491227983</v>
      </c>
      <c r="Q486">
        <f t="shared" si="959"/>
        <v>-24369.540696140324</v>
      </c>
      <c r="R486">
        <f t="shared" si="960"/>
        <v>3567121.7418751991</v>
      </c>
      <c r="S486">
        <f t="shared" si="961"/>
        <v>35.671217418751993</v>
      </c>
      <c r="T486">
        <f t="shared" si="962"/>
        <v>3.5671217418751996E-2</v>
      </c>
    </row>
    <row r="487" spans="1:20" x14ac:dyDescent="0.25">
      <c r="A487" s="5">
        <v>44106</v>
      </c>
      <c r="B487">
        <v>67.930000000000007</v>
      </c>
      <c r="C487">
        <v>68.790000000000006</v>
      </c>
      <c r="D487">
        <v>63.86</v>
      </c>
      <c r="E487">
        <v>65.95</v>
      </c>
      <c r="F487">
        <v>71495.958480000001</v>
      </c>
      <c r="G487">
        <v>0</v>
      </c>
      <c r="L487" t="s">
        <v>7</v>
      </c>
      <c r="M487" t="s">
        <v>7</v>
      </c>
      <c r="N487" t="s">
        <v>7</v>
      </c>
      <c r="P487">
        <f t="shared" si="958"/>
        <v>-0.15212981744421886</v>
      </c>
      <c r="Q487">
        <f t="shared" si="959"/>
        <v>-10876.667111561852</v>
      </c>
      <c r="R487">
        <f t="shared" si="960"/>
        <v>3591491.2825713395</v>
      </c>
      <c r="S487">
        <f t="shared" si="961"/>
        <v>35.914912825713394</v>
      </c>
      <c r="T487">
        <f t="shared" si="962"/>
        <v>3.5914912825713394E-2</v>
      </c>
    </row>
    <row r="488" spans="1:20" x14ac:dyDescent="0.25">
      <c r="A488" s="5">
        <v>44105</v>
      </c>
      <c r="B488">
        <v>69.180000000000007</v>
      </c>
      <c r="C488">
        <v>71.03</v>
      </c>
      <c r="D488">
        <v>67.180000000000007</v>
      </c>
      <c r="E488">
        <v>68.06</v>
      </c>
      <c r="F488">
        <v>85616.211469999995</v>
      </c>
      <c r="G488">
        <v>0</v>
      </c>
      <c r="L488" t="s">
        <v>8</v>
      </c>
      <c r="M488" t="s">
        <v>7</v>
      </c>
      <c r="N488" t="s">
        <v>7</v>
      </c>
      <c r="P488">
        <f t="shared" si="958"/>
        <v>-0.54285714285714459</v>
      </c>
      <c r="Q488">
        <f t="shared" si="959"/>
        <v>-46477.371940857287</v>
      </c>
      <c r="R488">
        <f t="shared" si="960"/>
        <v>3602367.9496829011</v>
      </c>
      <c r="S488">
        <f t="shared" si="961"/>
        <v>36.023679496829011</v>
      </c>
      <c r="T488">
        <f t="shared" si="962"/>
        <v>3.6023679496829011E-2</v>
      </c>
    </row>
    <row r="489" spans="1:20" x14ac:dyDescent="0.25">
      <c r="A489" s="5">
        <v>44104</v>
      </c>
      <c r="B489">
        <v>68.489999999999995</v>
      </c>
      <c r="C489">
        <v>69.180000000000007</v>
      </c>
      <c r="D489">
        <v>66.650000000000006</v>
      </c>
      <c r="E489">
        <v>69.17</v>
      </c>
      <c r="F489">
        <v>43568.979220000001</v>
      </c>
      <c r="G489">
        <v>0</v>
      </c>
      <c r="L489" t="s">
        <v>8</v>
      </c>
      <c r="M489" t="s">
        <v>7</v>
      </c>
      <c r="N489" t="s">
        <v>7</v>
      </c>
      <c r="P489">
        <f t="shared" si="958"/>
        <v>0.99209486166007499</v>
      </c>
      <c r="Q489">
        <f t="shared" si="959"/>
        <v>43224.560411936582</v>
      </c>
      <c r="R489">
        <f t="shared" si="960"/>
        <v>3648845.3216237584</v>
      </c>
      <c r="S489">
        <f t="shared" si="961"/>
        <v>36.488453216237588</v>
      </c>
      <c r="T489">
        <f t="shared" si="962"/>
        <v>3.6488453216237587E-2</v>
      </c>
    </row>
    <row r="490" spans="1:20" x14ac:dyDescent="0.25">
      <c r="A490" s="5">
        <v>44103</v>
      </c>
      <c r="B490">
        <v>67.349999999999994</v>
      </c>
      <c r="C490">
        <v>68.819999999999993</v>
      </c>
      <c r="D490">
        <v>66.64</v>
      </c>
      <c r="E490">
        <v>68.45</v>
      </c>
      <c r="F490">
        <v>56185.46643</v>
      </c>
      <c r="G490">
        <v>0</v>
      </c>
      <c r="L490" t="s">
        <v>8</v>
      </c>
      <c r="M490" t="s">
        <v>7</v>
      </c>
      <c r="N490" t="s">
        <v>7</v>
      </c>
      <c r="P490">
        <f t="shared" si="958"/>
        <v>0.66055045871560403</v>
      </c>
      <c r="Q490">
        <f t="shared" si="959"/>
        <v>37113.335623486673</v>
      </c>
      <c r="R490">
        <f t="shared" si="960"/>
        <v>3605620.7612118218</v>
      </c>
      <c r="S490">
        <f t="shared" si="961"/>
        <v>36.056207612118222</v>
      </c>
      <c r="T490">
        <f t="shared" si="962"/>
        <v>3.6056207612118224E-2</v>
      </c>
    </row>
    <row r="491" spans="1:20" x14ac:dyDescent="0.25">
      <c r="A491" s="5">
        <v>44102</v>
      </c>
      <c r="B491">
        <v>68.84</v>
      </c>
      <c r="C491">
        <v>69.98</v>
      </c>
      <c r="D491">
        <v>67.010000000000005</v>
      </c>
      <c r="E491">
        <v>67.349999999999994</v>
      </c>
      <c r="F491">
        <v>61803.691809999997</v>
      </c>
      <c r="G491">
        <v>0</v>
      </c>
      <c r="L491" t="s">
        <v>8</v>
      </c>
      <c r="M491" t="s">
        <v>7</v>
      </c>
      <c r="N491" t="s">
        <v>7</v>
      </c>
      <c r="P491">
        <f t="shared" si="958"/>
        <v>-0.77104377104377819</v>
      </c>
      <c r="Q491">
        <f t="shared" si="959"/>
        <v>-47653.351597609864</v>
      </c>
      <c r="R491">
        <f t="shared" si="960"/>
        <v>3568507.4255883349</v>
      </c>
      <c r="S491">
        <f t="shared" si="961"/>
        <v>35.68507425588335</v>
      </c>
      <c r="T491">
        <f t="shared" si="962"/>
        <v>3.5685074255883353E-2</v>
      </c>
    </row>
    <row r="492" spans="1:20" x14ac:dyDescent="0.25">
      <c r="A492" s="5">
        <v>44101</v>
      </c>
      <c r="B492">
        <v>69</v>
      </c>
      <c r="C492">
        <v>69.98</v>
      </c>
      <c r="D492">
        <v>67.13</v>
      </c>
      <c r="E492">
        <v>68.78</v>
      </c>
      <c r="F492">
        <v>51818.341460000003</v>
      </c>
      <c r="G492">
        <v>0</v>
      </c>
      <c r="L492" t="s">
        <v>8</v>
      </c>
      <c r="M492" t="s">
        <v>7</v>
      </c>
      <c r="N492" t="s">
        <v>7</v>
      </c>
      <c r="P492">
        <f t="shared" si="958"/>
        <v>0.15789473684210578</v>
      </c>
      <c r="Q492">
        <f t="shared" si="959"/>
        <v>8181.8433884210799</v>
      </c>
      <c r="R492">
        <f t="shared" si="960"/>
        <v>3616160.7771859448</v>
      </c>
      <c r="S492">
        <f t="shared" si="961"/>
        <v>36.161607771859451</v>
      </c>
      <c r="T492">
        <f t="shared" si="962"/>
        <v>3.616160777185945E-2</v>
      </c>
    </row>
    <row r="493" spans="1:20" x14ac:dyDescent="0.25">
      <c r="A493" s="5">
        <v>44100</v>
      </c>
      <c r="B493">
        <v>68.59</v>
      </c>
      <c r="C493">
        <v>69.95</v>
      </c>
      <c r="D493">
        <v>68.290000000000006</v>
      </c>
      <c r="E493">
        <v>69.040000000000006</v>
      </c>
      <c r="F493">
        <v>70866.278359999997</v>
      </c>
      <c r="G493">
        <v>0</v>
      </c>
      <c r="L493" t="s">
        <v>8</v>
      </c>
      <c r="M493" t="s">
        <v>7</v>
      </c>
      <c r="N493" t="s">
        <v>7</v>
      </c>
      <c r="P493">
        <f t="shared" si="958"/>
        <v>-9.6385542168672844E-2</v>
      </c>
      <c r="Q493">
        <f t="shared" si="959"/>
        <v>-6830.4846612046877</v>
      </c>
      <c r="R493">
        <f t="shared" si="960"/>
        <v>3607978.9337975238</v>
      </c>
      <c r="S493">
        <f t="shared" si="961"/>
        <v>36.079789337975235</v>
      </c>
      <c r="T493">
        <f t="shared" si="962"/>
        <v>3.6079789337975232E-2</v>
      </c>
    </row>
    <row r="494" spans="1:20" x14ac:dyDescent="0.25">
      <c r="A494" s="5">
        <v>44099</v>
      </c>
      <c r="B494">
        <v>67.77</v>
      </c>
      <c r="C494">
        <v>69.400000000000006</v>
      </c>
      <c r="D494">
        <v>66.52</v>
      </c>
      <c r="E494">
        <v>68.55</v>
      </c>
      <c r="F494">
        <v>63061.978909999998</v>
      </c>
      <c r="G494">
        <v>0</v>
      </c>
      <c r="L494" t="s">
        <v>8</v>
      </c>
      <c r="M494" t="s">
        <v>7</v>
      </c>
      <c r="N494" t="s">
        <v>7</v>
      </c>
      <c r="P494">
        <f t="shared" si="958"/>
        <v>0.40972222222221827</v>
      </c>
      <c r="Q494">
        <f t="shared" si="959"/>
        <v>25837.89413673586</v>
      </c>
      <c r="R494">
        <f t="shared" si="960"/>
        <v>3614809.4184587286</v>
      </c>
      <c r="S494">
        <f t="shared" si="961"/>
        <v>36.148094184587286</v>
      </c>
      <c r="T494">
        <f t="shared" si="962"/>
        <v>3.6148094184587289E-2</v>
      </c>
    </row>
    <row r="495" spans="1:20" x14ac:dyDescent="0.25">
      <c r="A495" s="5">
        <v>44098</v>
      </c>
      <c r="B495">
        <v>64.900000000000006</v>
      </c>
      <c r="C495">
        <v>68.569999999999993</v>
      </c>
      <c r="D495">
        <v>64.33</v>
      </c>
      <c r="E495">
        <v>67.790000000000006</v>
      </c>
      <c r="F495">
        <v>56760.944060000002</v>
      </c>
      <c r="G495">
        <v>0</v>
      </c>
      <c r="L495" t="s">
        <v>7</v>
      </c>
      <c r="M495" t="s">
        <v>7</v>
      </c>
      <c r="N495" t="s">
        <v>7</v>
      </c>
      <c r="P495">
        <f t="shared" si="958"/>
        <v>0.63207547169811895</v>
      </c>
      <c r="Q495">
        <f t="shared" si="959"/>
        <v>35877.200490755044</v>
      </c>
      <c r="R495">
        <f t="shared" si="960"/>
        <v>3588971.5243219929</v>
      </c>
      <c r="S495">
        <f t="shared" si="961"/>
        <v>35.889715243219932</v>
      </c>
      <c r="T495">
        <f t="shared" si="962"/>
        <v>3.5889715243219933E-2</v>
      </c>
    </row>
    <row r="496" spans="1:20" x14ac:dyDescent="0.25">
      <c r="A496" s="5">
        <v>44097</v>
      </c>
      <c r="B496">
        <v>68.14</v>
      </c>
      <c r="C496">
        <v>68.48</v>
      </c>
      <c r="D496">
        <v>64.27</v>
      </c>
      <c r="E496">
        <v>64.86</v>
      </c>
      <c r="F496">
        <v>43121.592680000002</v>
      </c>
      <c r="G496">
        <v>0</v>
      </c>
      <c r="L496" t="s">
        <v>7</v>
      </c>
      <c r="M496" t="s">
        <v>7</v>
      </c>
      <c r="N496" t="s">
        <v>7</v>
      </c>
      <c r="P496">
        <f t="shared" si="958"/>
        <v>-0.71971496437054527</v>
      </c>
      <c r="Q496">
        <f t="shared" si="959"/>
        <v>-31035.255539287366</v>
      </c>
      <c r="R496">
        <f t="shared" si="960"/>
        <v>3553094.3238312379</v>
      </c>
      <c r="S496">
        <f t="shared" si="961"/>
        <v>35.530943238312382</v>
      </c>
      <c r="T496">
        <f t="shared" si="962"/>
        <v>3.5530943238312379E-2</v>
      </c>
    </row>
    <row r="497" spans="1:20" x14ac:dyDescent="0.25">
      <c r="A497" s="5">
        <v>44096</v>
      </c>
      <c r="B497">
        <v>66.87</v>
      </c>
      <c r="C497">
        <v>69.06</v>
      </c>
      <c r="D497">
        <v>66.33</v>
      </c>
      <c r="E497">
        <v>68.12</v>
      </c>
      <c r="F497">
        <v>56642.539629999999</v>
      </c>
      <c r="G497">
        <v>0</v>
      </c>
      <c r="L497" t="s">
        <v>7</v>
      </c>
      <c r="M497" t="s">
        <v>7</v>
      </c>
      <c r="N497" t="s">
        <v>7</v>
      </c>
      <c r="P497">
        <f t="shared" si="958"/>
        <v>0.31135531135531402</v>
      </c>
      <c r="Q497">
        <f t="shared" si="959"/>
        <v>17635.955562454365</v>
      </c>
      <c r="R497">
        <f t="shared" si="960"/>
        <v>3584129.5793705252</v>
      </c>
      <c r="S497">
        <f t="shared" si="961"/>
        <v>35.84129579370525</v>
      </c>
      <c r="T497">
        <f t="shared" si="962"/>
        <v>3.584129579370525E-2</v>
      </c>
    </row>
    <row r="498" spans="1:20" x14ac:dyDescent="0.25">
      <c r="A498" s="5">
        <v>44095</v>
      </c>
      <c r="B498">
        <v>70.75</v>
      </c>
      <c r="C498">
        <v>71.67</v>
      </c>
      <c r="D498">
        <v>64.67</v>
      </c>
      <c r="E498">
        <v>66.81</v>
      </c>
      <c r="F498">
        <v>88307.591310000003</v>
      </c>
      <c r="G498">
        <v>0</v>
      </c>
      <c r="L498" t="s">
        <v>7</v>
      </c>
      <c r="M498" t="s">
        <v>7</v>
      </c>
      <c r="N498" t="s">
        <v>7</v>
      </c>
      <c r="P498">
        <f t="shared" si="958"/>
        <v>-0.3885714285714284</v>
      </c>
      <c r="Q498">
        <f t="shared" si="959"/>
        <v>-34313.806909028557</v>
      </c>
      <c r="R498">
        <f t="shared" si="960"/>
        <v>3566493.623808071</v>
      </c>
      <c r="S498">
        <f t="shared" si="961"/>
        <v>35.664936238080713</v>
      </c>
      <c r="T498">
        <f t="shared" si="962"/>
        <v>3.5664936238080716E-2</v>
      </c>
    </row>
    <row r="499" spans="1:20" x14ac:dyDescent="0.25">
      <c r="A499" s="5">
        <v>44094</v>
      </c>
      <c r="B499">
        <v>72.83</v>
      </c>
      <c r="C499">
        <v>72.97</v>
      </c>
      <c r="D499">
        <v>69.38</v>
      </c>
      <c r="E499">
        <v>70.77</v>
      </c>
      <c r="F499">
        <v>63403.261120000003</v>
      </c>
      <c r="G499">
        <v>0</v>
      </c>
      <c r="L499" t="s">
        <v>7</v>
      </c>
      <c r="M499" t="s">
        <v>8</v>
      </c>
      <c r="N499" t="s">
        <v>7</v>
      </c>
      <c r="P499">
        <f t="shared" si="958"/>
        <v>-0.22562674094707563</v>
      </c>
      <c r="Q499">
        <f t="shared" si="959"/>
        <v>-14305.471171922032</v>
      </c>
      <c r="R499">
        <f t="shared" si="960"/>
        <v>3600807.4307170995</v>
      </c>
      <c r="S499">
        <f t="shared" si="961"/>
        <v>36.008074307170993</v>
      </c>
      <c r="T499">
        <f t="shared" si="962"/>
        <v>3.6008074307170991E-2</v>
      </c>
    </row>
    <row r="500" spans="1:20" x14ac:dyDescent="0.25">
      <c r="A500" s="5">
        <v>44093</v>
      </c>
      <c r="B500">
        <v>72.180000000000007</v>
      </c>
      <c r="C500">
        <v>73.599999999999994</v>
      </c>
      <c r="D500">
        <v>71.34</v>
      </c>
      <c r="E500">
        <v>72.849999999999994</v>
      </c>
      <c r="F500">
        <v>62510.909749999999</v>
      </c>
      <c r="G500">
        <v>0</v>
      </c>
      <c r="L500" t="s">
        <v>7</v>
      </c>
      <c r="M500" t="s">
        <v>8</v>
      </c>
      <c r="N500" t="s">
        <v>7</v>
      </c>
      <c r="P500">
        <f t="shared" si="958"/>
        <v>0.33628318584070527</v>
      </c>
      <c r="Q500">
        <f t="shared" si="959"/>
        <v>21021.367880530805</v>
      </c>
      <c r="R500">
        <f t="shared" si="960"/>
        <v>3615112.9018890215</v>
      </c>
      <c r="S500">
        <f t="shared" si="961"/>
        <v>36.151129018890217</v>
      </c>
      <c r="T500">
        <f t="shared" si="962"/>
        <v>3.615112901889022E-2</v>
      </c>
    </row>
    <row r="501" spans="1:20" x14ac:dyDescent="0.25">
      <c r="A501" s="5">
        <v>44092</v>
      </c>
      <c r="B501">
        <v>73.33</v>
      </c>
      <c r="C501">
        <v>73.739999999999995</v>
      </c>
      <c r="D501">
        <v>70.34</v>
      </c>
      <c r="E501">
        <v>72.239999999999995</v>
      </c>
      <c r="F501">
        <v>56664.503859999997</v>
      </c>
      <c r="G501">
        <v>0</v>
      </c>
      <c r="L501" t="s">
        <v>7</v>
      </c>
      <c r="M501" t="s">
        <v>8</v>
      </c>
      <c r="N501" t="s">
        <v>7</v>
      </c>
      <c r="P501">
        <f t="shared" si="958"/>
        <v>0.1176470588235272</v>
      </c>
      <c r="Q501">
        <f t="shared" si="959"/>
        <v>6666.4122188234041</v>
      </c>
      <c r="R501">
        <f t="shared" si="960"/>
        <v>3594091.5340084909</v>
      </c>
      <c r="S501">
        <f t="shared" si="961"/>
        <v>35.940915340084906</v>
      </c>
      <c r="T501">
        <f t="shared" si="962"/>
        <v>3.5940915340084909E-2</v>
      </c>
    </row>
    <row r="502" spans="1:20" x14ac:dyDescent="0.25">
      <c r="A502" s="5">
        <v>44091</v>
      </c>
      <c r="B502">
        <v>73.02</v>
      </c>
      <c r="C502">
        <v>74.739999999999995</v>
      </c>
      <c r="D502">
        <v>71.34</v>
      </c>
      <c r="E502">
        <v>73.319999999999993</v>
      </c>
      <c r="F502">
        <v>50658.828350000003</v>
      </c>
      <c r="G502">
        <v>0</v>
      </c>
      <c r="L502" t="s">
        <v>7</v>
      </c>
      <c r="M502" t="s">
        <v>8</v>
      </c>
      <c r="N502" t="s">
        <v>7</v>
      </c>
      <c r="P502">
        <f t="shared" si="958"/>
        <v>0.16470588235293807</v>
      </c>
      <c r="Q502">
        <f t="shared" si="959"/>
        <v>8343.8070223527848</v>
      </c>
      <c r="R502">
        <f t="shared" si="960"/>
        <v>3587425.1217896673</v>
      </c>
      <c r="S502">
        <f t="shared" si="961"/>
        <v>35.874251217896671</v>
      </c>
      <c r="T502">
        <f t="shared" si="962"/>
        <v>3.5874251217896669E-2</v>
      </c>
    </row>
    <row r="503" spans="1:20" x14ac:dyDescent="0.25">
      <c r="A503" s="5">
        <v>44090</v>
      </c>
      <c r="B503">
        <v>72.92</v>
      </c>
      <c r="C503">
        <v>74.290000000000006</v>
      </c>
      <c r="D503">
        <v>70.89</v>
      </c>
      <c r="E503">
        <v>73.010000000000005</v>
      </c>
      <c r="F503">
        <v>44873.122960000001</v>
      </c>
      <c r="G503">
        <v>0</v>
      </c>
      <c r="L503" t="s">
        <v>7</v>
      </c>
      <c r="M503" t="s">
        <v>8</v>
      </c>
      <c r="N503" t="s">
        <v>7</v>
      </c>
      <c r="P503">
        <f t="shared" si="958"/>
        <v>0.24705882352941236</v>
      </c>
      <c r="Q503">
        <f t="shared" si="959"/>
        <v>11086.300966588262</v>
      </c>
      <c r="R503">
        <f t="shared" si="960"/>
        <v>3579081.3147673146</v>
      </c>
      <c r="S503">
        <f t="shared" si="961"/>
        <v>35.790813147673148</v>
      </c>
      <c r="T503">
        <f t="shared" si="962"/>
        <v>3.5790813147673149E-2</v>
      </c>
    </row>
    <row r="504" spans="1:20" x14ac:dyDescent="0.25">
      <c r="A504" s="5">
        <v>44089</v>
      </c>
      <c r="B504">
        <v>75.099999999999994</v>
      </c>
      <c r="C504">
        <v>76.12</v>
      </c>
      <c r="D504">
        <v>72.739999999999995</v>
      </c>
      <c r="E504">
        <v>72.95</v>
      </c>
      <c r="F504">
        <v>57739.768909999999</v>
      </c>
      <c r="G504">
        <v>0</v>
      </c>
      <c r="L504" t="s">
        <v>7</v>
      </c>
      <c r="M504" t="s">
        <v>8</v>
      </c>
      <c r="N504" t="s">
        <v>7</v>
      </c>
      <c r="P504">
        <f t="shared" si="958"/>
        <v>-0.8757396449704099</v>
      </c>
      <c r="Q504">
        <f t="shared" si="959"/>
        <v>-50565.004725916908</v>
      </c>
      <c r="R504">
        <f t="shared" si="960"/>
        <v>3567995.0138007263</v>
      </c>
      <c r="S504">
        <f t="shared" si="961"/>
        <v>35.679950138007264</v>
      </c>
      <c r="T504">
        <f t="shared" si="962"/>
        <v>3.5679950138007267E-2</v>
      </c>
    </row>
    <row r="505" spans="1:20" x14ac:dyDescent="0.25">
      <c r="A505" s="5">
        <v>44088</v>
      </c>
      <c r="B505">
        <v>75.53</v>
      </c>
      <c r="C505">
        <v>76.77</v>
      </c>
      <c r="D505">
        <v>73.83</v>
      </c>
      <c r="E505">
        <v>75.13</v>
      </c>
      <c r="F505">
        <v>51854.105029999999</v>
      </c>
      <c r="G505">
        <v>0</v>
      </c>
      <c r="L505" t="s">
        <v>7</v>
      </c>
      <c r="M505" t="s">
        <v>8</v>
      </c>
      <c r="N505" t="s">
        <v>7</v>
      </c>
      <c r="P505">
        <f t="shared" si="958"/>
        <v>-0.11564625850340261</v>
      </c>
      <c r="Q505">
        <f t="shared" si="959"/>
        <v>-5996.7332347619695</v>
      </c>
      <c r="R505">
        <f t="shared" si="960"/>
        <v>3618560.018526643</v>
      </c>
      <c r="S505">
        <f t="shared" si="961"/>
        <v>36.185600185266431</v>
      </c>
      <c r="T505">
        <f t="shared" si="962"/>
        <v>3.6185600185266432E-2</v>
      </c>
    </row>
    <row r="506" spans="1:20" x14ac:dyDescent="0.25">
      <c r="A506" s="5">
        <v>44087</v>
      </c>
      <c r="B506">
        <v>79.34</v>
      </c>
      <c r="C506">
        <v>79.34</v>
      </c>
      <c r="D506">
        <v>73.17</v>
      </c>
      <c r="E506">
        <v>75.53</v>
      </c>
      <c r="F506">
        <v>68354.161980000004</v>
      </c>
      <c r="G506">
        <v>0</v>
      </c>
      <c r="L506" t="s">
        <v>7</v>
      </c>
      <c r="M506" t="s">
        <v>8</v>
      </c>
      <c r="N506" t="s">
        <v>7</v>
      </c>
      <c r="P506">
        <f t="shared" si="958"/>
        <v>-0.23500810372771513</v>
      </c>
      <c r="Q506">
        <f t="shared" si="959"/>
        <v>-16063.781988816883</v>
      </c>
      <c r="R506">
        <f t="shared" si="960"/>
        <v>3624556.7517614048</v>
      </c>
      <c r="S506">
        <f t="shared" si="961"/>
        <v>36.245567517614049</v>
      </c>
      <c r="T506">
        <f t="shared" si="962"/>
        <v>3.6245567517614048E-2</v>
      </c>
    </row>
    <row r="507" spans="1:20" x14ac:dyDescent="0.25">
      <c r="A507" s="5">
        <v>44086</v>
      </c>
      <c r="B507">
        <v>77.05</v>
      </c>
      <c r="C507">
        <v>80.08</v>
      </c>
      <c r="D507">
        <v>75.53</v>
      </c>
      <c r="E507">
        <v>79.34</v>
      </c>
      <c r="F507">
        <v>62943.58582</v>
      </c>
      <c r="G507">
        <v>0</v>
      </c>
      <c r="L507" t="s">
        <v>8</v>
      </c>
      <c r="M507" t="s">
        <v>8</v>
      </c>
      <c r="N507" t="s">
        <v>7</v>
      </c>
      <c r="P507">
        <f t="shared" si="958"/>
        <v>0.67472527472527677</v>
      </c>
      <c r="Q507">
        <f t="shared" si="959"/>
        <v>42469.628234593532</v>
      </c>
      <c r="R507">
        <f t="shared" si="960"/>
        <v>3640620.5337502216</v>
      </c>
      <c r="S507">
        <f t="shared" si="961"/>
        <v>36.406205337502215</v>
      </c>
      <c r="T507">
        <f t="shared" si="962"/>
        <v>3.6406205337502218E-2</v>
      </c>
    </row>
    <row r="508" spans="1:20" x14ac:dyDescent="0.25">
      <c r="A508" s="5">
        <v>44085</v>
      </c>
      <c r="B508">
        <v>76.989999999999995</v>
      </c>
      <c r="C508">
        <v>77.400000000000006</v>
      </c>
      <c r="D508">
        <v>74.569999999999993</v>
      </c>
      <c r="E508">
        <v>77.09</v>
      </c>
      <c r="F508">
        <v>49324.096949999999</v>
      </c>
      <c r="G508">
        <v>0</v>
      </c>
      <c r="L508" t="s">
        <v>8</v>
      </c>
      <c r="M508" t="s">
        <v>8</v>
      </c>
      <c r="N508" t="s">
        <v>7</v>
      </c>
      <c r="P508">
        <f t="shared" si="958"/>
        <v>0.78091872791519368</v>
      </c>
      <c r="Q508">
        <f t="shared" si="959"/>
        <v>38518.111045759681</v>
      </c>
      <c r="R508">
        <f t="shared" si="960"/>
        <v>3598150.9055156279</v>
      </c>
      <c r="S508">
        <f t="shared" si="961"/>
        <v>35.98150905515628</v>
      </c>
      <c r="T508">
        <f t="shared" si="962"/>
        <v>3.5981509055156277E-2</v>
      </c>
    </row>
    <row r="509" spans="1:20" x14ac:dyDescent="0.25">
      <c r="A509" s="5">
        <v>44084</v>
      </c>
      <c r="B509">
        <v>75.540000000000006</v>
      </c>
      <c r="C509">
        <v>77.75</v>
      </c>
      <c r="D509">
        <v>74.98</v>
      </c>
      <c r="E509">
        <v>77.010000000000005</v>
      </c>
      <c r="F509">
        <v>56048.00561</v>
      </c>
      <c r="G509">
        <v>0</v>
      </c>
      <c r="L509" t="s">
        <v>8</v>
      </c>
      <c r="M509" t="s">
        <v>8</v>
      </c>
      <c r="N509" t="s">
        <v>7</v>
      </c>
      <c r="P509">
        <f t="shared" si="958"/>
        <v>0.46570397111913647</v>
      </c>
      <c r="Q509">
        <f t="shared" si="959"/>
        <v>26101.778785884639</v>
      </c>
      <c r="R509">
        <f t="shared" si="960"/>
        <v>3559632.7944698683</v>
      </c>
      <c r="S509">
        <f t="shared" si="961"/>
        <v>35.596327944698686</v>
      </c>
      <c r="T509">
        <f t="shared" si="962"/>
        <v>3.5596327944698684E-2</v>
      </c>
    </row>
    <row r="510" spans="1:20" x14ac:dyDescent="0.25">
      <c r="A510" s="5">
        <v>44083</v>
      </c>
      <c r="B510">
        <v>74.73</v>
      </c>
      <c r="C510">
        <v>77.849999999999994</v>
      </c>
      <c r="D510">
        <v>74.11</v>
      </c>
      <c r="E510">
        <v>75.5</v>
      </c>
      <c r="F510">
        <v>52743.89372</v>
      </c>
      <c r="G510">
        <v>0</v>
      </c>
      <c r="L510" t="s">
        <v>8</v>
      </c>
      <c r="M510" t="s">
        <v>8</v>
      </c>
      <c r="N510" t="s">
        <v>7</v>
      </c>
      <c r="P510">
        <f t="shared" si="958"/>
        <v>-0.25668449197860832</v>
      </c>
      <c r="Q510">
        <f t="shared" si="959"/>
        <v>-13538.53956449191</v>
      </c>
      <c r="R510">
        <f t="shared" si="960"/>
        <v>3533531.0156839835</v>
      </c>
      <c r="S510">
        <f t="shared" si="961"/>
        <v>35.335310156839832</v>
      </c>
      <c r="T510">
        <f t="shared" si="962"/>
        <v>3.5335310156839835E-2</v>
      </c>
    </row>
    <row r="511" spans="1:20" x14ac:dyDescent="0.25">
      <c r="A511" s="5">
        <v>44082</v>
      </c>
      <c r="B511">
        <v>76.14</v>
      </c>
      <c r="C511">
        <v>77.75</v>
      </c>
      <c r="D511">
        <v>70.03</v>
      </c>
      <c r="E511">
        <v>74.739999999999995</v>
      </c>
      <c r="F511">
        <v>133035.05308000001</v>
      </c>
      <c r="G511">
        <v>0</v>
      </c>
      <c r="L511" t="s">
        <v>7</v>
      </c>
      <c r="M511" t="s">
        <v>8</v>
      </c>
      <c r="N511" t="s">
        <v>7</v>
      </c>
      <c r="P511">
        <f t="shared" si="958"/>
        <v>0.22020725388600892</v>
      </c>
      <c r="Q511">
        <f t="shared" si="959"/>
        <v>29295.283709326235</v>
      </c>
      <c r="R511">
        <f t="shared" si="960"/>
        <v>3547069.5552484752</v>
      </c>
      <c r="S511">
        <f t="shared" si="961"/>
        <v>35.470695552484749</v>
      </c>
      <c r="T511">
        <f t="shared" si="962"/>
        <v>3.5470695552484749E-2</v>
      </c>
    </row>
    <row r="512" spans="1:20" x14ac:dyDescent="0.25">
      <c r="A512" s="5">
        <v>44081</v>
      </c>
      <c r="B512">
        <v>70.08</v>
      </c>
      <c r="C512">
        <v>79.319999999999993</v>
      </c>
      <c r="D512">
        <v>65.81</v>
      </c>
      <c r="E512">
        <v>76.05</v>
      </c>
      <c r="F512">
        <v>144971.63097999999</v>
      </c>
      <c r="G512">
        <v>0</v>
      </c>
      <c r="L512" t="s">
        <v>8</v>
      </c>
      <c r="M512" t="s">
        <v>8</v>
      </c>
      <c r="N512" t="s">
        <v>7</v>
      </c>
      <c r="P512">
        <f t="shared" si="958"/>
        <v>0.51591413767579597</v>
      </c>
      <c r="Q512">
        <f t="shared" si="959"/>
        <v>74792.913984500396</v>
      </c>
      <c r="R512">
        <f t="shared" si="960"/>
        <v>3517774.2715391489</v>
      </c>
      <c r="S512">
        <f t="shared" si="961"/>
        <v>35.177742715391489</v>
      </c>
      <c r="T512">
        <f t="shared" si="962"/>
        <v>3.5177742715391487E-2</v>
      </c>
    </row>
    <row r="513" spans="1:20" x14ac:dyDescent="0.25">
      <c r="A513" s="5">
        <v>44080</v>
      </c>
      <c r="B513">
        <v>68.03</v>
      </c>
      <c r="C513">
        <v>71.709999999999994</v>
      </c>
      <c r="D513">
        <v>66.08</v>
      </c>
      <c r="E513">
        <v>70.12</v>
      </c>
      <c r="F513">
        <v>67791.237460000004</v>
      </c>
      <c r="G513">
        <v>0</v>
      </c>
      <c r="L513" t="s">
        <v>8</v>
      </c>
      <c r="M513" t="s">
        <v>8</v>
      </c>
      <c r="N513" t="s">
        <v>7</v>
      </c>
      <c r="P513">
        <f t="shared" si="958"/>
        <v>0.43516873889876007</v>
      </c>
      <c r="Q513">
        <f t="shared" si="959"/>
        <v>29500.627313854584</v>
      </c>
      <c r="R513">
        <f t="shared" si="960"/>
        <v>3442981.3575546485</v>
      </c>
      <c r="S513">
        <f t="shared" si="961"/>
        <v>34.429813575546483</v>
      </c>
      <c r="T513">
        <f t="shared" si="962"/>
        <v>3.4429813575546482E-2</v>
      </c>
    </row>
    <row r="514" spans="1:20" x14ac:dyDescent="0.25">
      <c r="A514" s="5">
        <v>44079</v>
      </c>
      <c r="B514">
        <v>72.599999999999994</v>
      </c>
      <c r="C514">
        <v>74.17</v>
      </c>
      <c r="D514">
        <v>64.95</v>
      </c>
      <c r="E514">
        <v>68.02</v>
      </c>
      <c r="F514">
        <v>114466.49559999999</v>
      </c>
      <c r="G514">
        <v>0</v>
      </c>
      <c r="L514" t="s">
        <v>7</v>
      </c>
      <c r="M514" t="s">
        <v>8</v>
      </c>
      <c r="N514" t="s">
        <v>7</v>
      </c>
      <c r="P514">
        <f t="shared" si="958"/>
        <v>-0.33405639913232243</v>
      </c>
      <c r="Q514">
        <f t="shared" si="959"/>
        <v>-38238.265341431827</v>
      </c>
      <c r="R514">
        <f t="shared" si="960"/>
        <v>3413480.7302407939</v>
      </c>
      <c r="S514">
        <f t="shared" si="961"/>
        <v>34.134807302407935</v>
      </c>
      <c r="T514">
        <f t="shared" si="962"/>
        <v>3.4134807302407935E-2</v>
      </c>
    </row>
    <row r="515" spans="1:20" x14ac:dyDescent="0.25">
      <c r="A515" s="5">
        <v>44078</v>
      </c>
      <c r="B515">
        <v>66.59</v>
      </c>
      <c r="C515">
        <v>74.05</v>
      </c>
      <c r="D515">
        <v>65.88</v>
      </c>
      <c r="E515">
        <v>72.62</v>
      </c>
      <c r="F515">
        <v>150110.77457000001</v>
      </c>
      <c r="G515">
        <v>0</v>
      </c>
      <c r="L515" t="s">
        <v>8</v>
      </c>
      <c r="M515" t="s">
        <v>8</v>
      </c>
      <c r="N515" t="s">
        <v>7</v>
      </c>
      <c r="P515">
        <f t="shared" si="958"/>
        <v>0.64993880048959796</v>
      </c>
      <c r="Q515">
        <f t="shared" si="959"/>
        <v>97562.816764590243</v>
      </c>
      <c r="R515">
        <f t="shared" si="960"/>
        <v>3451718.9955822257</v>
      </c>
      <c r="S515">
        <f t="shared" si="961"/>
        <v>34.517189955822261</v>
      </c>
      <c r="T515">
        <f t="shared" si="962"/>
        <v>3.4517189955822258E-2</v>
      </c>
    </row>
    <row r="516" spans="1:20" x14ac:dyDescent="0.25">
      <c r="A516" s="5">
        <v>44077</v>
      </c>
      <c r="B516">
        <v>83.24</v>
      </c>
      <c r="C516">
        <v>83.6</v>
      </c>
      <c r="D516">
        <v>62</v>
      </c>
      <c r="E516">
        <v>66.599999999999994</v>
      </c>
      <c r="F516">
        <v>125393.99844</v>
      </c>
      <c r="G516">
        <v>0</v>
      </c>
      <c r="L516" t="s">
        <v>7</v>
      </c>
      <c r="M516" t="s">
        <v>7</v>
      </c>
      <c r="N516" t="s">
        <v>7</v>
      </c>
      <c r="P516">
        <f t="shared" si="958"/>
        <v>-0.57407407407407451</v>
      </c>
      <c r="Q516">
        <f t="shared" si="959"/>
        <v>-71985.443548888943</v>
      </c>
      <c r="R516">
        <f t="shared" si="960"/>
        <v>3354156.1788176354</v>
      </c>
      <c r="S516">
        <f t="shared" si="961"/>
        <v>33.541561788176352</v>
      </c>
      <c r="T516">
        <f t="shared" si="962"/>
        <v>3.3541561788176355E-2</v>
      </c>
    </row>
    <row r="517" spans="1:20" x14ac:dyDescent="0.25">
      <c r="A517" s="5">
        <v>44076</v>
      </c>
      <c r="B517">
        <v>89.02</v>
      </c>
      <c r="C517">
        <v>89.71</v>
      </c>
      <c r="D517">
        <v>79.64</v>
      </c>
      <c r="E517">
        <v>83.27</v>
      </c>
      <c r="F517">
        <v>93233.754130000001</v>
      </c>
      <c r="G517">
        <v>0</v>
      </c>
      <c r="L517" t="s">
        <v>7</v>
      </c>
      <c r="M517" t="s">
        <v>7</v>
      </c>
      <c r="N517" t="s">
        <v>8</v>
      </c>
      <c r="P517">
        <f t="shared" si="958"/>
        <v>-0.27904667328699145</v>
      </c>
      <c r="Q517">
        <f t="shared" si="959"/>
        <v>-26016.568928033801</v>
      </c>
      <c r="R517">
        <f t="shared" si="960"/>
        <v>3426141.6223665243</v>
      </c>
      <c r="S517">
        <f t="shared" si="961"/>
        <v>34.261416223665243</v>
      </c>
      <c r="T517">
        <f t="shared" si="962"/>
        <v>3.4261416223665242E-2</v>
      </c>
    </row>
    <row r="518" spans="1:20" x14ac:dyDescent="0.25">
      <c r="A518" s="5">
        <v>44075</v>
      </c>
      <c r="B518">
        <v>86.13</v>
      </c>
      <c r="C518">
        <v>90.72</v>
      </c>
      <c r="D518">
        <v>84.95</v>
      </c>
      <c r="E518">
        <v>89.05</v>
      </c>
      <c r="F518">
        <v>95480.154330000005</v>
      </c>
      <c r="G518">
        <v>0</v>
      </c>
      <c r="L518" t="s">
        <v>8</v>
      </c>
      <c r="M518" t="s">
        <v>7</v>
      </c>
      <c r="N518" t="s">
        <v>8</v>
      </c>
      <c r="P518">
        <f t="shared" ref="P518:P581" si="963">IF(C518=D518,0,((E518-D518)-(C518-E518))/(C518-D518))</f>
        <v>0.42114384748700073</v>
      </c>
      <c r="Q518">
        <f t="shared" ref="Q518:Q581" si="964">F518*P518</f>
        <v>40210.879553188817</v>
      </c>
      <c r="R518">
        <f t="shared" ref="R518:R581" si="965">R519+Q518</f>
        <v>3452158.1912945579</v>
      </c>
      <c r="S518">
        <f t="shared" ref="S518:S581" si="966">R518/100000</f>
        <v>34.521581912945578</v>
      </c>
      <c r="T518">
        <f t="shared" ref="T518:T581" si="967">S518/1000</f>
        <v>3.4521581912945576E-2</v>
      </c>
    </row>
    <row r="519" spans="1:20" x14ac:dyDescent="0.25">
      <c r="A519" s="5">
        <v>44074</v>
      </c>
      <c r="B519">
        <v>88.3</v>
      </c>
      <c r="C519">
        <v>88.95</v>
      </c>
      <c r="D519">
        <v>85.71</v>
      </c>
      <c r="E519">
        <v>86.1</v>
      </c>
      <c r="F519">
        <v>52352.277459999998</v>
      </c>
      <c r="G519">
        <v>0</v>
      </c>
      <c r="L519" t="s">
        <v>8</v>
      </c>
      <c r="M519" t="s">
        <v>7</v>
      </c>
      <c r="N519" t="s">
        <v>8</v>
      </c>
      <c r="P519">
        <f t="shared" si="963"/>
        <v>-0.75925925925925963</v>
      </c>
      <c r="Q519">
        <f t="shared" si="964"/>
        <v>-39748.951404814834</v>
      </c>
      <c r="R519">
        <f t="shared" si="965"/>
        <v>3411947.3117413688</v>
      </c>
      <c r="S519">
        <f t="shared" si="966"/>
        <v>34.11947311741369</v>
      </c>
      <c r="T519">
        <f t="shared" si="967"/>
        <v>3.4119473117413687E-2</v>
      </c>
    </row>
    <row r="520" spans="1:20" x14ac:dyDescent="0.25">
      <c r="A520" s="5">
        <v>44073</v>
      </c>
      <c r="B520">
        <v>84.98</v>
      </c>
      <c r="C520">
        <v>88.9</v>
      </c>
      <c r="D520">
        <v>84.9</v>
      </c>
      <c r="E520">
        <v>88.27</v>
      </c>
      <c r="F520">
        <v>80201.385370000004</v>
      </c>
      <c r="G520">
        <v>0</v>
      </c>
      <c r="L520" t="s">
        <v>8</v>
      </c>
      <c r="M520" t="s">
        <v>7</v>
      </c>
      <c r="N520" t="s">
        <v>8</v>
      </c>
      <c r="P520">
        <f t="shared" si="963"/>
        <v>0.68499999999999517</v>
      </c>
      <c r="Q520">
        <f t="shared" si="964"/>
        <v>54937.948978449618</v>
      </c>
      <c r="R520">
        <f t="shared" si="965"/>
        <v>3451696.2631461835</v>
      </c>
      <c r="S520">
        <f t="shared" si="966"/>
        <v>34.516962631461837</v>
      </c>
      <c r="T520">
        <f t="shared" si="967"/>
        <v>3.4516962631461839E-2</v>
      </c>
    </row>
    <row r="521" spans="1:20" x14ac:dyDescent="0.25">
      <c r="A521" s="5">
        <v>44072</v>
      </c>
      <c r="B521">
        <v>84.96</v>
      </c>
      <c r="C521">
        <v>86.65</v>
      </c>
      <c r="D521">
        <v>84.38</v>
      </c>
      <c r="E521">
        <v>85</v>
      </c>
      <c r="F521">
        <v>36464.818330000002</v>
      </c>
      <c r="G521">
        <v>0</v>
      </c>
      <c r="L521" t="s">
        <v>7</v>
      </c>
      <c r="M521" t="s">
        <v>7</v>
      </c>
      <c r="N521" t="s">
        <v>8</v>
      </c>
      <c r="P521">
        <f t="shared" si="963"/>
        <v>-0.45374449339206896</v>
      </c>
      <c r="Q521">
        <f t="shared" si="964"/>
        <v>-16545.710519779681</v>
      </c>
      <c r="R521">
        <f t="shared" si="965"/>
        <v>3396758.3141677338</v>
      </c>
      <c r="S521">
        <f t="shared" si="966"/>
        <v>33.967583141677338</v>
      </c>
      <c r="T521">
        <f t="shared" si="967"/>
        <v>3.3967583141677339E-2</v>
      </c>
    </row>
    <row r="522" spans="1:20" x14ac:dyDescent="0.25">
      <c r="A522" s="5">
        <v>44071</v>
      </c>
      <c r="B522">
        <v>83.41</v>
      </c>
      <c r="C522">
        <v>85.92</v>
      </c>
      <c r="D522">
        <v>82.4</v>
      </c>
      <c r="E522">
        <v>84.99</v>
      </c>
      <c r="F522">
        <v>42068.112560000001</v>
      </c>
      <c r="G522">
        <v>0</v>
      </c>
      <c r="L522" t="s">
        <v>7</v>
      </c>
      <c r="M522" t="s">
        <v>7</v>
      </c>
      <c r="N522" t="s">
        <v>8</v>
      </c>
      <c r="P522">
        <f t="shared" si="963"/>
        <v>0.47159090909090462</v>
      </c>
      <c r="Q522">
        <f t="shared" si="964"/>
        <v>19838.939445908902</v>
      </c>
      <c r="R522">
        <f t="shared" si="965"/>
        <v>3413304.0246875132</v>
      </c>
      <c r="S522">
        <f t="shared" si="966"/>
        <v>34.133040246875133</v>
      </c>
      <c r="T522">
        <f t="shared" si="967"/>
        <v>3.4133040246875135E-2</v>
      </c>
    </row>
    <row r="523" spans="1:20" x14ac:dyDescent="0.25">
      <c r="A523" s="5">
        <v>44070</v>
      </c>
      <c r="B523">
        <v>85.79</v>
      </c>
      <c r="C523">
        <v>86.53</v>
      </c>
      <c r="D523">
        <v>81.77</v>
      </c>
      <c r="E523">
        <v>83.35</v>
      </c>
      <c r="F523">
        <v>70709.86666</v>
      </c>
      <c r="G523">
        <v>0</v>
      </c>
      <c r="L523" t="s">
        <v>7</v>
      </c>
      <c r="M523" t="s">
        <v>7</v>
      </c>
      <c r="N523" t="s">
        <v>8</v>
      </c>
      <c r="P523">
        <f t="shared" si="963"/>
        <v>-0.33613445378151402</v>
      </c>
      <c r="Q523">
        <f t="shared" si="964"/>
        <v>-23768.02240672279</v>
      </c>
      <c r="R523">
        <f t="shared" si="965"/>
        <v>3393465.0852416041</v>
      </c>
      <c r="S523">
        <f t="shared" si="966"/>
        <v>33.934650852416041</v>
      </c>
      <c r="T523">
        <f t="shared" si="967"/>
        <v>3.3934650852416044E-2</v>
      </c>
    </row>
    <row r="524" spans="1:20" x14ac:dyDescent="0.25">
      <c r="A524" s="5">
        <v>44069</v>
      </c>
      <c r="B524">
        <v>84.5</v>
      </c>
      <c r="C524">
        <v>87.44</v>
      </c>
      <c r="D524">
        <v>83.58</v>
      </c>
      <c r="E524">
        <v>85.8</v>
      </c>
      <c r="F524">
        <v>63162.957159999998</v>
      </c>
      <c r="G524">
        <v>0</v>
      </c>
      <c r="L524" t="s">
        <v>7</v>
      </c>
      <c r="M524" t="s">
        <v>7</v>
      </c>
      <c r="N524" t="s">
        <v>8</v>
      </c>
      <c r="P524">
        <f t="shared" si="963"/>
        <v>0.15025906735751254</v>
      </c>
      <c r="Q524">
        <f t="shared" si="964"/>
        <v>9490.8070344041189</v>
      </c>
      <c r="R524">
        <f t="shared" si="965"/>
        <v>3417233.107648327</v>
      </c>
      <c r="S524">
        <f t="shared" si="966"/>
        <v>34.172331076483268</v>
      </c>
      <c r="T524">
        <f t="shared" si="967"/>
        <v>3.4172331076483264E-2</v>
      </c>
    </row>
    <row r="525" spans="1:20" x14ac:dyDescent="0.25">
      <c r="A525" s="5">
        <v>44068</v>
      </c>
      <c r="B525">
        <v>91.75</v>
      </c>
      <c r="C525">
        <v>91.86</v>
      </c>
      <c r="D525">
        <v>82.53</v>
      </c>
      <c r="E525">
        <v>84.5</v>
      </c>
      <c r="F525">
        <v>83083.557329999996</v>
      </c>
      <c r="G525">
        <v>0</v>
      </c>
      <c r="L525" t="s">
        <v>7</v>
      </c>
      <c r="M525" t="s">
        <v>7</v>
      </c>
      <c r="N525" t="s">
        <v>8</v>
      </c>
      <c r="P525">
        <f t="shared" si="963"/>
        <v>-0.57770632368703123</v>
      </c>
      <c r="Q525">
        <f t="shared" si="964"/>
        <v>-47997.896463954996</v>
      </c>
      <c r="R525">
        <f t="shared" si="965"/>
        <v>3407742.300613923</v>
      </c>
      <c r="S525">
        <f t="shared" si="966"/>
        <v>34.077423006139227</v>
      </c>
      <c r="T525">
        <f t="shared" si="967"/>
        <v>3.4077423006139231E-2</v>
      </c>
    </row>
    <row r="526" spans="1:20" x14ac:dyDescent="0.25">
      <c r="A526" s="5">
        <v>44067</v>
      </c>
      <c r="B526">
        <v>91.46</v>
      </c>
      <c r="C526">
        <v>93.32</v>
      </c>
      <c r="D526">
        <v>89.44</v>
      </c>
      <c r="E526">
        <v>91.82</v>
      </c>
      <c r="F526">
        <v>46794.77115</v>
      </c>
      <c r="G526">
        <v>0</v>
      </c>
      <c r="L526" t="s">
        <v>8</v>
      </c>
      <c r="M526" t="s">
        <v>8</v>
      </c>
      <c r="N526" t="s">
        <v>8</v>
      </c>
      <c r="P526">
        <f t="shared" si="963"/>
        <v>0.22680412371133929</v>
      </c>
      <c r="Q526">
        <f t="shared" si="964"/>
        <v>10613.247064948411</v>
      </c>
      <c r="R526">
        <f t="shared" si="965"/>
        <v>3455740.1970778778</v>
      </c>
      <c r="S526">
        <f t="shared" si="966"/>
        <v>34.557401970778777</v>
      </c>
      <c r="T526">
        <f t="shared" si="967"/>
        <v>3.4557401970778778E-2</v>
      </c>
    </row>
    <row r="527" spans="1:20" x14ac:dyDescent="0.25">
      <c r="A527" s="5">
        <v>44066</v>
      </c>
      <c r="B527">
        <v>90.79</v>
      </c>
      <c r="C527">
        <v>92.96</v>
      </c>
      <c r="D527">
        <v>87.76</v>
      </c>
      <c r="E527">
        <v>91.41</v>
      </c>
      <c r="F527">
        <v>55970.086779999998</v>
      </c>
      <c r="G527">
        <v>0</v>
      </c>
      <c r="L527" t="s">
        <v>8</v>
      </c>
      <c r="M527" t="s">
        <v>8</v>
      </c>
      <c r="N527" t="s">
        <v>8</v>
      </c>
      <c r="P527">
        <f t="shared" si="963"/>
        <v>0.40384615384615363</v>
      </c>
      <c r="Q527">
        <f t="shared" si="964"/>
        <v>22603.304276538449</v>
      </c>
      <c r="R527">
        <f t="shared" si="965"/>
        <v>3445126.9500129293</v>
      </c>
      <c r="S527">
        <f t="shared" si="966"/>
        <v>34.451269500129293</v>
      </c>
      <c r="T527">
        <f t="shared" si="967"/>
        <v>3.4451269500129292E-2</v>
      </c>
    </row>
    <row r="528" spans="1:20" x14ac:dyDescent="0.25">
      <c r="A528" s="5">
        <v>44065</v>
      </c>
      <c r="B528">
        <v>86.77</v>
      </c>
      <c r="C528">
        <v>91.01</v>
      </c>
      <c r="D528">
        <v>85.14</v>
      </c>
      <c r="E528">
        <v>90.82</v>
      </c>
      <c r="F528">
        <v>56258.318330000002</v>
      </c>
      <c r="G528">
        <v>0</v>
      </c>
      <c r="L528" t="s">
        <v>7</v>
      </c>
      <c r="M528" t="s">
        <v>8</v>
      </c>
      <c r="N528" t="s">
        <v>8</v>
      </c>
      <c r="P528">
        <f t="shared" si="963"/>
        <v>0.93526405451447636</v>
      </c>
      <c r="Q528">
        <f t="shared" si="964"/>
        <v>52616.382901481884</v>
      </c>
      <c r="R528">
        <f t="shared" si="965"/>
        <v>3422523.6457363907</v>
      </c>
      <c r="S528">
        <f t="shared" si="966"/>
        <v>34.225236457363906</v>
      </c>
      <c r="T528">
        <f t="shared" si="967"/>
        <v>3.4225236457363903E-2</v>
      </c>
    </row>
    <row r="529" spans="1:20" x14ac:dyDescent="0.25">
      <c r="A529" s="5">
        <v>44064</v>
      </c>
      <c r="B529">
        <v>91.49</v>
      </c>
      <c r="C529">
        <v>95.7</v>
      </c>
      <c r="D529">
        <v>85</v>
      </c>
      <c r="E529">
        <v>86.75</v>
      </c>
      <c r="F529">
        <v>137350.91803999999</v>
      </c>
      <c r="G529">
        <v>0</v>
      </c>
      <c r="L529" t="s">
        <v>7</v>
      </c>
      <c r="M529" t="s">
        <v>8</v>
      </c>
      <c r="N529" t="s">
        <v>8</v>
      </c>
      <c r="P529">
        <f t="shared" si="963"/>
        <v>-0.67289719626168232</v>
      </c>
      <c r="Q529">
        <f t="shared" si="964"/>
        <v>-92423.047653084112</v>
      </c>
      <c r="R529">
        <f t="shared" si="965"/>
        <v>3369907.2628349089</v>
      </c>
      <c r="S529">
        <f t="shared" si="966"/>
        <v>33.699072628349086</v>
      </c>
      <c r="T529">
        <f t="shared" si="967"/>
        <v>3.3699072628349085E-2</v>
      </c>
    </row>
    <row r="530" spans="1:20" x14ac:dyDescent="0.25">
      <c r="A530" s="5">
        <v>44063</v>
      </c>
      <c r="B530">
        <v>87.73</v>
      </c>
      <c r="C530">
        <v>91.66</v>
      </c>
      <c r="D530">
        <v>87.09</v>
      </c>
      <c r="E530">
        <v>91.5</v>
      </c>
      <c r="F530">
        <v>61696.008309999997</v>
      </c>
      <c r="G530">
        <v>0</v>
      </c>
      <c r="L530" t="s">
        <v>7</v>
      </c>
      <c r="M530" t="s">
        <v>8</v>
      </c>
      <c r="N530" t="s">
        <v>8</v>
      </c>
      <c r="P530">
        <f t="shared" si="963"/>
        <v>0.92997811816192699</v>
      </c>
      <c r="Q530">
        <f t="shared" si="964"/>
        <v>57375.937706236407</v>
      </c>
      <c r="R530">
        <f t="shared" si="965"/>
        <v>3462330.3104879931</v>
      </c>
      <c r="S530">
        <f t="shared" si="966"/>
        <v>34.62330310487993</v>
      </c>
      <c r="T530">
        <f t="shared" si="967"/>
        <v>3.4623303104879932E-2</v>
      </c>
    </row>
    <row r="531" spans="1:20" x14ac:dyDescent="0.25">
      <c r="A531" s="5">
        <v>44062</v>
      </c>
      <c r="B531">
        <v>92.71</v>
      </c>
      <c r="C531">
        <v>93.81</v>
      </c>
      <c r="D531">
        <v>86.81</v>
      </c>
      <c r="E531">
        <v>87.72</v>
      </c>
      <c r="F531">
        <v>119015.02374</v>
      </c>
      <c r="G531">
        <v>0</v>
      </c>
      <c r="L531" t="s">
        <v>7</v>
      </c>
      <c r="M531" t="s">
        <v>8</v>
      </c>
      <c r="N531" t="s">
        <v>8</v>
      </c>
      <c r="P531">
        <f t="shared" si="963"/>
        <v>-0.74000000000000099</v>
      </c>
      <c r="Q531">
        <f t="shared" si="964"/>
        <v>-88071.117567600115</v>
      </c>
      <c r="R531">
        <f t="shared" si="965"/>
        <v>3404954.3727817568</v>
      </c>
      <c r="S531">
        <f t="shared" si="966"/>
        <v>34.049543727817571</v>
      </c>
      <c r="T531">
        <f t="shared" si="967"/>
        <v>3.4049543727817572E-2</v>
      </c>
    </row>
    <row r="532" spans="1:20" x14ac:dyDescent="0.25">
      <c r="A532" s="5">
        <v>44061</v>
      </c>
      <c r="B532">
        <v>97.59</v>
      </c>
      <c r="C532">
        <v>98.81</v>
      </c>
      <c r="D532">
        <v>91.67</v>
      </c>
      <c r="E532">
        <v>92.66</v>
      </c>
      <c r="F532">
        <v>86146.553409999993</v>
      </c>
      <c r="G532">
        <v>0</v>
      </c>
      <c r="L532" t="s">
        <v>7</v>
      </c>
      <c r="M532" t="s">
        <v>8</v>
      </c>
      <c r="N532" t="s">
        <v>8</v>
      </c>
      <c r="P532">
        <f t="shared" si="963"/>
        <v>-0.72268907563025353</v>
      </c>
      <c r="Q532">
        <f t="shared" si="964"/>
        <v>-62257.173052605162</v>
      </c>
      <c r="R532">
        <f t="shared" si="965"/>
        <v>3493025.490349357</v>
      </c>
      <c r="S532">
        <f t="shared" si="966"/>
        <v>34.930254903493569</v>
      </c>
      <c r="T532">
        <f t="shared" si="967"/>
        <v>3.4930254903493572E-2</v>
      </c>
    </row>
    <row r="533" spans="1:20" x14ac:dyDescent="0.25">
      <c r="A533" s="5">
        <v>44060</v>
      </c>
      <c r="B533">
        <v>95.06</v>
      </c>
      <c r="C533">
        <v>100.18</v>
      </c>
      <c r="D533">
        <v>92.84</v>
      </c>
      <c r="E533">
        <v>97.62</v>
      </c>
      <c r="F533">
        <v>144314.08124</v>
      </c>
      <c r="G533">
        <v>0</v>
      </c>
      <c r="L533" t="s">
        <v>8</v>
      </c>
      <c r="M533" t="s">
        <v>8</v>
      </c>
      <c r="N533" t="s">
        <v>8</v>
      </c>
      <c r="P533">
        <f t="shared" si="963"/>
        <v>0.30245231607629397</v>
      </c>
      <c r="Q533">
        <f t="shared" si="964"/>
        <v>43648.128113460443</v>
      </c>
      <c r="R533">
        <f t="shared" si="965"/>
        <v>3555282.6634019623</v>
      </c>
      <c r="S533">
        <f t="shared" si="966"/>
        <v>35.552826634019624</v>
      </c>
      <c r="T533">
        <f t="shared" si="967"/>
        <v>3.5552826634019624E-2</v>
      </c>
    </row>
    <row r="534" spans="1:20" x14ac:dyDescent="0.25">
      <c r="A534" s="5">
        <v>44059</v>
      </c>
      <c r="B534">
        <v>93.96</v>
      </c>
      <c r="C534">
        <v>95.34</v>
      </c>
      <c r="D534">
        <v>91.48</v>
      </c>
      <c r="E534">
        <v>95.06</v>
      </c>
      <c r="F534">
        <v>73373.072079999998</v>
      </c>
      <c r="G534">
        <v>0</v>
      </c>
      <c r="L534" t="s">
        <v>8</v>
      </c>
      <c r="M534" t="s">
        <v>7</v>
      </c>
      <c r="N534" t="s">
        <v>8</v>
      </c>
      <c r="P534">
        <f t="shared" si="963"/>
        <v>0.85492227979274549</v>
      </c>
      <c r="Q534">
        <f t="shared" si="964"/>
        <v>62728.274058031042</v>
      </c>
      <c r="R534">
        <f t="shared" si="965"/>
        <v>3511634.535288502</v>
      </c>
      <c r="S534">
        <f t="shared" si="966"/>
        <v>35.11634535288502</v>
      </c>
      <c r="T534">
        <f t="shared" si="967"/>
        <v>3.511634535288502E-2</v>
      </c>
    </row>
    <row r="535" spans="1:20" x14ac:dyDescent="0.25">
      <c r="A535" s="5">
        <v>44058</v>
      </c>
      <c r="B535">
        <v>91.98</v>
      </c>
      <c r="C535">
        <v>95.97</v>
      </c>
      <c r="D535">
        <v>91.12</v>
      </c>
      <c r="E535">
        <v>93.95</v>
      </c>
      <c r="F535">
        <v>121839.35176999999</v>
      </c>
      <c r="G535">
        <v>0</v>
      </c>
      <c r="L535" t="s">
        <v>8</v>
      </c>
      <c r="M535" t="s">
        <v>7</v>
      </c>
      <c r="N535" t="s">
        <v>8</v>
      </c>
      <c r="P535">
        <f t="shared" si="963"/>
        <v>0.16701030927835117</v>
      </c>
      <c r="Q535">
        <f t="shared" si="964"/>
        <v>20348.427821381523</v>
      </c>
      <c r="R535">
        <f t="shared" si="965"/>
        <v>3448906.2612304711</v>
      </c>
      <c r="S535">
        <f t="shared" si="966"/>
        <v>34.489062612304714</v>
      </c>
      <c r="T535">
        <f t="shared" si="967"/>
        <v>3.4489062612304715E-2</v>
      </c>
    </row>
    <row r="536" spans="1:20" x14ac:dyDescent="0.25">
      <c r="A536" s="5">
        <v>44057</v>
      </c>
      <c r="B536">
        <v>92.8</v>
      </c>
      <c r="C536">
        <v>92.87</v>
      </c>
      <c r="D536">
        <v>89.93</v>
      </c>
      <c r="E536">
        <v>92</v>
      </c>
      <c r="F536">
        <v>98465.260699999999</v>
      </c>
      <c r="G536">
        <v>0</v>
      </c>
      <c r="L536" t="s">
        <v>8</v>
      </c>
      <c r="M536" t="s">
        <v>7</v>
      </c>
      <c r="N536" t="s">
        <v>8</v>
      </c>
      <c r="P536">
        <f t="shared" si="963"/>
        <v>0.40816326530611891</v>
      </c>
      <c r="Q536">
        <f t="shared" si="964"/>
        <v>40189.90232653026</v>
      </c>
      <c r="R536">
        <f t="shared" si="965"/>
        <v>3428557.8334090896</v>
      </c>
      <c r="S536">
        <f t="shared" si="966"/>
        <v>34.285578334090893</v>
      </c>
      <c r="T536">
        <f t="shared" si="967"/>
        <v>3.4285578334090891E-2</v>
      </c>
    </row>
    <row r="537" spans="1:20" x14ac:dyDescent="0.25">
      <c r="A537" s="5">
        <v>44056</v>
      </c>
      <c r="B537">
        <v>91.71</v>
      </c>
      <c r="C537">
        <v>93.18</v>
      </c>
      <c r="D537">
        <v>85.72</v>
      </c>
      <c r="E537">
        <v>92.77</v>
      </c>
      <c r="F537">
        <v>89211.776169999997</v>
      </c>
      <c r="G537">
        <v>0</v>
      </c>
      <c r="L537" t="s">
        <v>8</v>
      </c>
      <c r="M537" t="s">
        <v>7</v>
      </c>
      <c r="N537" t="s">
        <v>8</v>
      </c>
      <c r="P537">
        <f t="shared" si="963"/>
        <v>0.89008042895442085</v>
      </c>
      <c r="Q537">
        <f t="shared" si="964"/>
        <v>79405.656001179377</v>
      </c>
      <c r="R537">
        <f t="shared" si="965"/>
        <v>3388367.9310825593</v>
      </c>
      <c r="S537">
        <f t="shared" si="966"/>
        <v>33.883679310825592</v>
      </c>
      <c r="T537">
        <f t="shared" si="967"/>
        <v>3.3883679310825594E-2</v>
      </c>
    </row>
    <row r="538" spans="1:20" x14ac:dyDescent="0.25">
      <c r="A538" s="5">
        <v>44055</v>
      </c>
      <c r="B538">
        <v>88.52</v>
      </c>
      <c r="C538">
        <v>92.13</v>
      </c>
      <c r="D538">
        <v>84.21</v>
      </c>
      <c r="E538">
        <v>91.7</v>
      </c>
      <c r="F538">
        <v>109085.0157</v>
      </c>
      <c r="G538">
        <v>0</v>
      </c>
      <c r="L538" t="s">
        <v>7</v>
      </c>
      <c r="M538" t="s">
        <v>7</v>
      </c>
      <c r="N538" t="s">
        <v>8</v>
      </c>
      <c r="P538">
        <f t="shared" si="963"/>
        <v>0.89141414141414332</v>
      </c>
      <c r="Q538">
        <f t="shared" si="964"/>
        <v>97239.925611363855</v>
      </c>
      <c r="R538">
        <f t="shared" si="965"/>
        <v>3308962.2750813798</v>
      </c>
      <c r="S538">
        <f t="shared" si="966"/>
        <v>33.089622750813795</v>
      </c>
      <c r="T538">
        <f t="shared" si="967"/>
        <v>3.3089622750813792E-2</v>
      </c>
    </row>
    <row r="539" spans="1:20" x14ac:dyDescent="0.25">
      <c r="A539" s="5">
        <v>44054</v>
      </c>
      <c r="B539">
        <v>95.45</v>
      </c>
      <c r="C539">
        <v>96.6</v>
      </c>
      <c r="D539">
        <v>85.73</v>
      </c>
      <c r="E539">
        <v>88.55</v>
      </c>
      <c r="F539">
        <v>115332.81881</v>
      </c>
      <c r="G539">
        <v>0</v>
      </c>
      <c r="L539" t="s">
        <v>7</v>
      </c>
      <c r="M539" t="s">
        <v>7</v>
      </c>
      <c r="N539" t="s">
        <v>8</v>
      </c>
      <c r="P539">
        <f t="shared" si="963"/>
        <v>-0.48114075436982601</v>
      </c>
      <c r="Q539">
        <f t="shared" si="964"/>
        <v>-55491.319445841858</v>
      </c>
      <c r="R539">
        <f t="shared" si="965"/>
        <v>3211722.3494700161</v>
      </c>
      <c r="S539">
        <f t="shared" si="966"/>
        <v>32.117223494700163</v>
      </c>
      <c r="T539">
        <f t="shared" si="967"/>
        <v>3.2117223494700163E-2</v>
      </c>
    </row>
    <row r="540" spans="1:20" x14ac:dyDescent="0.25">
      <c r="A540" s="5">
        <v>44053</v>
      </c>
      <c r="B540">
        <v>97.67</v>
      </c>
      <c r="C540">
        <v>98.43</v>
      </c>
      <c r="D540">
        <v>92.36</v>
      </c>
      <c r="E540">
        <v>95.54</v>
      </c>
      <c r="F540">
        <v>75664.955889999997</v>
      </c>
      <c r="G540">
        <v>0</v>
      </c>
      <c r="L540" t="s">
        <v>7</v>
      </c>
      <c r="M540" t="s">
        <v>8</v>
      </c>
      <c r="N540" t="s">
        <v>8</v>
      </c>
      <c r="P540">
        <f t="shared" si="963"/>
        <v>4.7775947281714318E-2</v>
      </c>
      <c r="Q540">
        <f t="shared" si="964"/>
        <v>3614.9649436738791</v>
      </c>
      <c r="R540">
        <f t="shared" si="965"/>
        <v>3267213.668915858</v>
      </c>
      <c r="S540">
        <f t="shared" si="966"/>
        <v>32.672136689158577</v>
      </c>
      <c r="T540">
        <f t="shared" si="967"/>
        <v>3.2672136689158575E-2</v>
      </c>
    </row>
    <row r="541" spans="1:20" x14ac:dyDescent="0.25">
      <c r="A541" s="5">
        <v>44052</v>
      </c>
      <c r="B541">
        <v>98.34</v>
      </c>
      <c r="C541">
        <v>98.94</v>
      </c>
      <c r="D541">
        <v>94.5</v>
      </c>
      <c r="E541">
        <v>97.72</v>
      </c>
      <c r="F541">
        <v>83012.896810000006</v>
      </c>
      <c r="G541">
        <v>0</v>
      </c>
      <c r="L541" t="s">
        <v>7</v>
      </c>
      <c r="M541" t="s">
        <v>8</v>
      </c>
      <c r="N541" t="s">
        <v>8</v>
      </c>
      <c r="P541">
        <f t="shared" si="963"/>
        <v>0.45045045045045068</v>
      </c>
      <c r="Q541">
        <f t="shared" si="964"/>
        <v>37393.196761261286</v>
      </c>
      <c r="R541">
        <f t="shared" si="965"/>
        <v>3263598.7039721841</v>
      </c>
      <c r="S541">
        <f t="shared" si="966"/>
        <v>32.63598703972184</v>
      </c>
      <c r="T541">
        <f t="shared" si="967"/>
        <v>3.2635987039721842E-2</v>
      </c>
    </row>
    <row r="542" spans="1:20" x14ac:dyDescent="0.25">
      <c r="A542" s="5">
        <v>44051</v>
      </c>
      <c r="B542">
        <v>96.5</v>
      </c>
      <c r="C542">
        <v>102.33</v>
      </c>
      <c r="D542">
        <v>94.63</v>
      </c>
      <c r="E542">
        <v>98.36</v>
      </c>
      <c r="F542">
        <v>113719.73439</v>
      </c>
      <c r="G542">
        <v>0</v>
      </c>
      <c r="L542" t="s">
        <v>8</v>
      </c>
      <c r="M542" t="s">
        <v>8</v>
      </c>
      <c r="N542" t="s">
        <v>8</v>
      </c>
      <c r="P542">
        <f t="shared" si="963"/>
        <v>-3.1168831168830492E-2</v>
      </c>
      <c r="Q542">
        <f t="shared" si="964"/>
        <v>-3544.5112017661568</v>
      </c>
      <c r="R542">
        <f t="shared" si="965"/>
        <v>3226205.5072109229</v>
      </c>
      <c r="S542">
        <f t="shared" si="966"/>
        <v>32.262055072109227</v>
      </c>
      <c r="T542">
        <f t="shared" si="967"/>
        <v>3.2262055072109226E-2</v>
      </c>
    </row>
    <row r="543" spans="1:20" x14ac:dyDescent="0.25">
      <c r="A543" s="5">
        <v>44050</v>
      </c>
      <c r="B543">
        <v>100.41</v>
      </c>
      <c r="C543">
        <v>103.92</v>
      </c>
      <c r="D543">
        <v>92.66</v>
      </c>
      <c r="E543">
        <v>96.53</v>
      </c>
      <c r="F543">
        <v>181984.5931</v>
      </c>
      <c r="G543">
        <v>0</v>
      </c>
      <c r="L543" t="s">
        <v>7</v>
      </c>
      <c r="M543" t="s">
        <v>8</v>
      </c>
      <c r="N543" t="s">
        <v>8</v>
      </c>
      <c r="P543">
        <f t="shared" si="963"/>
        <v>-0.31261101243339207</v>
      </c>
      <c r="Q543">
        <f t="shared" si="964"/>
        <v>-56890.387896269895</v>
      </c>
      <c r="R543">
        <f t="shared" si="965"/>
        <v>3229750.0184126892</v>
      </c>
      <c r="S543">
        <f t="shared" si="966"/>
        <v>32.297500184126889</v>
      </c>
      <c r="T543">
        <f t="shared" si="967"/>
        <v>3.2297500184126887E-2</v>
      </c>
    </row>
    <row r="544" spans="1:20" x14ac:dyDescent="0.25">
      <c r="A544" s="5">
        <v>44049</v>
      </c>
      <c r="B544">
        <v>92.19</v>
      </c>
      <c r="C544">
        <v>104.8</v>
      </c>
      <c r="D544">
        <v>90.1</v>
      </c>
      <c r="E544">
        <v>100.42</v>
      </c>
      <c r="F544">
        <v>279733.19010000001</v>
      </c>
      <c r="G544">
        <v>0</v>
      </c>
      <c r="L544" t="s">
        <v>8</v>
      </c>
      <c r="M544" t="s">
        <v>8</v>
      </c>
      <c r="N544" t="s">
        <v>8</v>
      </c>
      <c r="P544">
        <f t="shared" si="963"/>
        <v>0.40408163265306196</v>
      </c>
      <c r="Q544">
        <f t="shared" si="964"/>
        <v>113035.04416285735</v>
      </c>
      <c r="R544">
        <f t="shared" si="965"/>
        <v>3286640.4063089592</v>
      </c>
      <c r="S544">
        <f t="shared" si="966"/>
        <v>32.86640406308959</v>
      </c>
      <c r="T544">
        <f t="shared" si="967"/>
        <v>3.2866404063089591E-2</v>
      </c>
    </row>
    <row r="545" spans="1:20" x14ac:dyDescent="0.25">
      <c r="A545" s="5">
        <v>44048</v>
      </c>
      <c r="B545">
        <v>86.9</v>
      </c>
      <c r="C545">
        <v>93.55</v>
      </c>
      <c r="D545">
        <v>85.86</v>
      </c>
      <c r="E545">
        <v>92.2</v>
      </c>
      <c r="F545">
        <v>148393.51048999999</v>
      </c>
      <c r="G545">
        <v>0</v>
      </c>
      <c r="L545" t="s">
        <v>8</v>
      </c>
      <c r="M545" t="s">
        <v>8</v>
      </c>
      <c r="N545" t="s">
        <v>8</v>
      </c>
      <c r="P545">
        <f t="shared" si="963"/>
        <v>0.64889466840052157</v>
      </c>
      <c r="Q545">
        <f t="shared" si="964"/>
        <v>96291.757782197863</v>
      </c>
      <c r="R545">
        <f t="shared" si="965"/>
        <v>3173605.3621461019</v>
      </c>
      <c r="S545">
        <f t="shared" si="966"/>
        <v>31.736053621461018</v>
      </c>
      <c r="T545">
        <f t="shared" si="967"/>
        <v>3.1736053621461015E-2</v>
      </c>
    </row>
    <row r="546" spans="1:20" x14ac:dyDescent="0.25">
      <c r="A546" s="5">
        <v>44047</v>
      </c>
      <c r="B546">
        <v>87.72</v>
      </c>
      <c r="C546">
        <v>89.19</v>
      </c>
      <c r="D546">
        <v>84.88</v>
      </c>
      <c r="E546">
        <v>86.88</v>
      </c>
      <c r="F546">
        <v>75733.644520000002</v>
      </c>
      <c r="G546">
        <v>0</v>
      </c>
      <c r="L546" t="s">
        <v>7</v>
      </c>
      <c r="M546" t="s">
        <v>7</v>
      </c>
      <c r="N546" t="s">
        <v>8</v>
      </c>
      <c r="P546">
        <f t="shared" si="963"/>
        <v>-7.1925754060325309E-2</v>
      </c>
      <c r="Q546">
        <f t="shared" si="964"/>
        <v>-5447.1994898376233</v>
      </c>
      <c r="R546">
        <f t="shared" si="965"/>
        <v>3077313.6043639039</v>
      </c>
      <c r="S546">
        <f t="shared" si="966"/>
        <v>30.773136043639038</v>
      </c>
      <c r="T546">
        <f t="shared" si="967"/>
        <v>3.077313604363904E-2</v>
      </c>
    </row>
    <row r="547" spans="1:20" x14ac:dyDescent="0.25">
      <c r="A547" s="5">
        <v>44046</v>
      </c>
      <c r="B547">
        <v>85.29</v>
      </c>
      <c r="C547">
        <v>89.73</v>
      </c>
      <c r="D547">
        <v>83.78</v>
      </c>
      <c r="E547">
        <v>87.72</v>
      </c>
      <c r="F547">
        <v>134901.02137</v>
      </c>
      <c r="G547">
        <v>0</v>
      </c>
      <c r="L547" t="s">
        <v>7</v>
      </c>
      <c r="M547" t="s">
        <v>7</v>
      </c>
      <c r="N547" t="s">
        <v>8</v>
      </c>
      <c r="P547">
        <f t="shared" si="963"/>
        <v>0.32436974789915829</v>
      </c>
      <c r="Q547">
        <f t="shared" si="964"/>
        <v>43757.810293125869</v>
      </c>
      <c r="R547">
        <f t="shared" si="965"/>
        <v>3082760.8038537414</v>
      </c>
      <c r="S547">
        <f t="shared" si="966"/>
        <v>30.827608038537413</v>
      </c>
      <c r="T547">
        <f t="shared" si="967"/>
        <v>3.0827608038537412E-2</v>
      </c>
    </row>
    <row r="548" spans="1:20" x14ac:dyDescent="0.25">
      <c r="A548" s="5">
        <v>44045</v>
      </c>
      <c r="B548">
        <v>93.06</v>
      </c>
      <c r="C548">
        <v>95.55</v>
      </c>
      <c r="D548">
        <v>78.599999999999994</v>
      </c>
      <c r="E548">
        <v>85.29</v>
      </c>
      <c r="F548">
        <v>219477.37972999999</v>
      </c>
      <c r="G548">
        <v>0</v>
      </c>
      <c r="L548" t="s">
        <v>8</v>
      </c>
      <c r="M548" t="s">
        <v>7</v>
      </c>
      <c r="N548" t="s">
        <v>8</v>
      </c>
      <c r="P548">
        <f t="shared" si="963"/>
        <v>-0.21061946902654741</v>
      </c>
      <c r="Q548">
        <f t="shared" si="964"/>
        <v>-46226.209182070517</v>
      </c>
      <c r="R548">
        <f t="shared" si="965"/>
        <v>3039002.9935606155</v>
      </c>
      <c r="S548">
        <f t="shared" si="966"/>
        <v>30.390029935606155</v>
      </c>
      <c r="T548">
        <f t="shared" si="967"/>
        <v>3.0390029935606154E-2</v>
      </c>
    </row>
    <row r="549" spans="1:20" x14ac:dyDescent="0.25">
      <c r="A549" s="5">
        <v>44044</v>
      </c>
      <c r="B549">
        <v>82.4</v>
      </c>
      <c r="C549">
        <v>94.14</v>
      </c>
      <c r="D549">
        <v>81.8</v>
      </c>
      <c r="E549">
        <v>93.13</v>
      </c>
      <c r="F549">
        <v>184659.37417</v>
      </c>
      <c r="G549">
        <v>0</v>
      </c>
      <c r="L549" t="s">
        <v>8</v>
      </c>
      <c r="M549" t="s">
        <v>8</v>
      </c>
      <c r="N549" t="s">
        <v>8</v>
      </c>
      <c r="P549">
        <f t="shared" si="963"/>
        <v>0.83630470016207381</v>
      </c>
      <c r="Q549">
        <f t="shared" si="964"/>
        <v>154431.50254735805</v>
      </c>
      <c r="R549">
        <f t="shared" si="965"/>
        <v>3085229.202742686</v>
      </c>
      <c r="S549">
        <f t="shared" si="966"/>
        <v>30.852292027426859</v>
      </c>
      <c r="T549">
        <f t="shared" si="967"/>
        <v>3.0852292027426859E-2</v>
      </c>
    </row>
    <row r="550" spans="1:20" x14ac:dyDescent="0.25">
      <c r="A550" s="5">
        <v>44043</v>
      </c>
      <c r="B550">
        <v>81.17</v>
      </c>
      <c r="C550">
        <v>83.68</v>
      </c>
      <c r="D550">
        <v>79.94</v>
      </c>
      <c r="E550">
        <v>82.45</v>
      </c>
      <c r="F550">
        <v>72195.536489999999</v>
      </c>
      <c r="G550">
        <v>0</v>
      </c>
      <c r="L550" t="s">
        <v>7</v>
      </c>
      <c r="M550" t="s">
        <v>8</v>
      </c>
      <c r="N550" t="s">
        <v>7</v>
      </c>
      <c r="P550">
        <f t="shared" si="963"/>
        <v>0.34224598930481231</v>
      </c>
      <c r="Q550">
        <f t="shared" si="964"/>
        <v>24708.632809411727</v>
      </c>
      <c r="R550">
        <f t="shared" si="965"/>
        <v>2930797.7001953279</v>
      </c>
      <c r="S550">
        <f t="shared" si="966"/>
        <v>29.307977001953279</v>
      </c>
      <c r="T550">
        <f t="shared" si="967"/>
        <v>2.930797700195328E-2</v>
      </c>
    </row>
    <row r="551" spans="1:20" x14ac:dyDescent="0.25">
      <c r="A551" s="5">
        <v>44042</v>
      </c>
      <c r="B551">
        <v>81.39</v>
      </c>
      <c r="C551">
        <v>82.41</v>
      </c>
      <c r="D551">
        <v>79.2</v>
      </c>
      <c r="E551">
        <v>81.150000000000006</v>
      </c>
      <c r="F551">
        <v>72279.6633</v>
      </c>
      <c r="G551">
        <v>0</v>
      </c>
      <c r="L551" t="s">
        <v>7</v>
      </c>
      <c r="M551" t="s">
        <v>8</v>
      </c>
      <c r="N551" t="s">
        <v>7</v>
      </c>
      <c r="P551">
        <f t="shared" si="963"/>
        <v>0.21495327102804151</v>
      </c>
      <c r="Q551">
        <f t="shared" si="964"/>
        <v>15536.750055140486</v>
      </c>
      <c r="R551">
        <f t="shared" si="965"/>
        <v>2906089.0673859161</v>
      </c>
      <c r="S551">
        <f t="shared" si="966"/>
        <v>29.060890673859163</v>
      </c>
      <c r="T551">
        <f t="shared" si="967"/>
        <v>2.9060890673859162E-2</v>
      </c>
    </row>
    <row r="552" spans="1:20" x14ac:dyDescent="0.25">
      <c r="A552" s="5">
        <v>44041</v>
      </c>
      <c r="B552">
        <v>79.849999999999994</v>
      </c>
      <c r="C552">
        <v>84.58</v>
      </c>
      <c r="D552">
        <v>78.900000000000006</v>
      </c>
      <c r="E552">
        <v>81.38</v>
      </c>
      <c r="F552">
        <v>119087.77145</v>
      </c>
      <c r="G552">
        <v>0</v>
      </c>
      <c r="L552" t="s">
        <v>8</v>
      </c>
      <c r="M552" t="s">
        <v>8</v>
      </c>
      <c r="N552" t="s">
        <v>7</v>
      </c>
      <c r="P552">
        <f t="shared" si="963"/>
        <v>-0.12676056338028416</v>
      </c>
      <c r="Q552">
        <f t="shared" si="964"/>
        <v>-15095.63300070452</v>
      </c>
      <c r="R552">
        <f t="shared" si="965"/>
        <v>2890552.3173307758</v>
      </c>
      <c r="S552">
        <f t="shared" si="966"/>
        <v>28.905523173307756</v>
      </c>
      <c r="T552">
        <f t="shared" si="967"/>
        <v>2.8905523173307756E-2</v>
      </c>
    </row>
    <row r="553" spans="1:20" x14ac:dyDescent="0.25">
      <c r="A553" s="5">
        <v>44040</v>
      </c>
      <c r="B553">
        <v>77.59</v>
      </c>
      <c r="C553">
        <v>80.97</v>
      </c>
      <c r="D553">
        <v>75.97</v>
      </c>
      <c r="E553">
        <v>79.819999999999993</v>
      </c>
      <c r="F553">
        <v>107440.29158</v>
      </c>
      <c r="G553">
        <v>0</v>
      </c>
      <c r="L553" t="s">
        <v>8</v>
      </c>
      <c r="M553" t="s">
        <v>8</v>
      </c>
      <c r="N553" t="s">
        <v>7</v>
      </c>
      <c r="P553">
        <f t="shared" si="963"/>
        <v>0.5399999999999977</v>
      </c>
      <c r="Q553">
        <f t="shared" si="964"/>
        <v>58017.757453199752</v>
      </c>
      <c r="R553">
        <f t="shared" si="965"/>
        <v>2905647.9503314802</v>
      </c>
      <c r="S553">
        <f t="shared" si="966"/>
        <v>29.056479503314801</v>
      </c>
      <c r="T553">
        <f t="shared" si="967"/>
        <v>2.9056479503314799E-2</v>
      </c>
    </row>
    <row r="554" spans="1:20" x14ac:dyDescent="0.25">
      <c r="A554" s="5">
        <v>44039</v>
      </c>
      <c r="B554">
        <v>75.290000000000006</v>
      </c>
      <c r="C554">
        <v>79.23</v>
      </c>
      <c r="D554">
        <v>73.23</v>
      </c>
      <c r="E554">
        <v>77.55</v>
      </c>
      <c r="F554">
        <v>136938.87528000001</v>
      </c>
      <c r="G554">
        <v>0</v>
      </c>
      <c r="L554" t="s">
        <v>8</v>
      </c>
      <c r="M554" t="s">
        <v>8</v>
      </c>
      <c r="N554" t="s">
        <v>7</v>
      </c>
      <c r="P554">
        <f t="shared" si="963"/>
        <v>0.43999999999999773</v>
      </c>
      <c r="Q554">
        <f t="shared" si="964"/>
        <v>60253.10512319969</v>
      </c>
      <c r="R554">
        <f t="shared" si="965"/>
        <v>2847630.1928782803</v>
      </c>
      <c r="S554">
        <f t="shared" si="966"/>
        <v>28.476301928782803</v>
      </c>
      <c r="T554">
        <f t="shared" si="967"/>
        <v>2.8476301928782803E-2</v>
      </c>
    </row>
    <row r="555" spans="1:20" x14ac:dyDescent="0.25">
      <c r="A555" s="5">
        <v>44038</v>
      </c>
      <c r="B555">
        <v>74.66</v>
      </c>
      <c r="C555">
        <v>77.45</v>
      </c>
      <c r="D555">
        <v>74.180000000000007</v>
      </c>
      <c r="E555">
        <v>75.3</v>
      </c>
      <c r="F555">
        <v>77931.462050000002</v>
      </c>
      <c r="G555">
        <v>0</v>
      </c>
      <c r="L555" t="s">
        <v>8</v>
      </c>
      <c r="M555" t="s">
        <v>8</v>
      </c>
      <c r="N555" t="s">
        <v>7</v>
      </c>
      <c r="P555">
        <f t="shared" si="963"/>
        <v>-0.31498470948012741</v>
      </c>
      <c r="Q555">
        <f t="shared" si="964"/>
        <v>-24547.218933180826</v>
      </c>
      <c r="R555">
        <f t="shared" si="965"/>
        <v>2787377.0877550808</v>
      </c>
      <c r="S555">
        <f t="shared" si="966"/>
        <v>27.873770877550808</v>
      </c>
      <c r="T555">
        <f t="shared" si="967"/>
        <v>2.7873770877550809E-2</v>
      </c>
    </row>
    <row r="556" spans="1:20" x14ac:dyDescent="0.25">
      <c r="A556" s="5">
        <v>44037</v>
      </c>
      <c r="B556">
        <v>71.98</v>
      </c>
      <c r="C556">
        <v>74.95</v>
      </c>
      <c r="D556">
        <v>71.97</v>
      </c>
      <c r="E556">
        <v>74.650000000000006</v>
      </c>
      <c r="F556">
        <v>51346.663740000004</v>
      </c>
      <c r="G556">
        <v>0</v>
      </c>
      <c r="L556" t="s">
        <v>8</v>
      </c>
      <c r="M556" t="s">
        <v>7</v>
      </c>
      <c r="N556" t="s">
        <v>7</v>
      </c>
      <c r="P556">
        <f t="shared" si="963"/>
        <v>0.79865771812080755</v>
      </c>
      <c r="Q556">
        <f t="shared" si="964"/>
        <v>41008.409295704812</v>
      </c>
      <c r="R556">
        <f t="shared" si="965"/>
        <v>2811924.3066882617</v>
      </c>
      <c r="S556">
        <f t="shared" si="966"/>
        <v>28.119243066882618</v>
      </c>
      <c r="T556">
        <f t="shared" si="967"/>
        <v>2.8119243066882616E-2</v>
      </c>
    </row>
    <row r="557" spans="1:20" x14ac:dyDescent="0.25">
      <c r="A557" s="5">
        <v>44036</v>
      </c>
      <c r="B557">
        <v>73.33</v>
      </c>
      <c r="C557">
        <v>73.430000000000007</v>
      </c>
      <c r="D557">
        <v>71.23</v>
      </c>
      <c r="E557">
        <v>71.94</v>
      </c>
      <c r="F557">
        <v>39291.942150000003</v>
      </c>
      <c r="G557">
        <v>0</v>
      </c>
      <c r="L557" t="s">
        <v>8</v>
      </c>
      <c r="M557" t="s">
        <v>7</v>
      </c>
      <c r="N557" t="s">
        <v>7</v>
      </c>
      <c r="P557">
        <f t="shared" si="963"/>
        <v>-0.35454545454546105</v>
      </c>
      <c r="Q557">
        <f t="shared" si="964"/>
        <v>-13930.779489545712</v>
      </c>
      <c r="R557">
        <f t="shared" si="965"/>
        <v>2770915.897392557</v>
      </c>
      <c r="S557">
        <f t="shared" si="966"/>
        <v>27.709158973925572</v>
      </c>
      <c r="T557">
        <f t="shared" si="967"/>
        <v>2.7709158973925573E-2</v>
      </c>
    </row>
    <row r="558" spans="1:20" x14ac:dyDescent="0.25">
      <c r="A558" s="5">
        <v>44035</v>
      </c>
      <c r="B558">
        <v>73.42</v>
      </c>
      <c r="C558">
        <v>73.989999999999995</v>
      </c>
      <c r="D558">
        <v>72.489999999999995</v>
      </c>
      <c r="E558">
        <v>73.349999999999994</v>
      </c>
      <c r="F558">
        <v>47534.362939999999</v>
      </c>
      <c r="G558">
        <v>0</v>
      </c>
      <c r="L558" t="s">
        <v>8</v>
      </c>
      <c r="M558" t="s">
        <v>7</v>
      </c>
      <c r="N558" t="s">
        <v>7</v>
      </c>
      <c r="P558">
        <f t="shared" si="963"/>
        <v>0.14666666666666592</v>
      </c>
      <c r="Q558">
        <f t="shared" si="964"/>
        <v>6971.7065645332978</v>
      </c>
      <c r="R558">
        <f t="shared" si="965"/>
        <v>2784846.6768821026</v>
      </c>
      <c r="S558">
        <f t="shared" si="966"/>
        <v>27.848466768821027</v>
      </c>
      <c r="T558">
        <f t="shared" si="967"/>
        <v>2.7848466768821026E-2</v>
      </c>
    </row>
    <row r="559" spans="1:20" x14ac:dyDescent="0.25">
      <c r="A559" s="5">
        <v>44034</v>
      </c>
      <c r="B559">
        <v>71.069999999999993</v>
      </c>
      <c r="C559">
        <v>73.5</v>
      </c>
      <c r="D559">
        <v>71.069999999999993</v>
      </c>
      <c r="E559">
        <v>73.38</v>
      </c>
      <c r="F559">
        <v>60391.392509999998</v>
      </c>
      <c r="G559">
        <v>0</v>
      </c>
      <c r="L559" t="s">
        <v>8</v>
      </c>
      <c r="M559" t="s">
        <v>7</v>
      </c>
      <c r="N559" t="s">
        <v>7</v>
      </c>
      <c r="P559">
        <f t="shared" si="963"/>
        <v>0.90123456790123113</v>
      </c>
      <c r="Q559">
        <f t="shared" si="964"/>
        <v>54426.810533703494</v>
      </c>
      <c r="R559">
        <f t="shared" si="965"/>
        <v>2777874.9703175691</v>
      </c>
      <c r="S559">
        <f t="shared" si="966"/>
        <v>27.778749703175691</v>
      </c>
      <c r="T559">
        <f t="shared" si="967"/>
        <v>2.777874970317569E-2</v>
      </c>
    </row>
    <row r="560" spans="1:20" x14ac:dyDescent="0.25">
      <c r="A560" s="5">
        <v>44033</v>
      </c>
      <c r="B560">
        <v>68.84</v>
      </c>
      <c r="C560">
        <v>71.239999999999995</v>
      </c>
      <c r="D560">
        <v>68.66</v>
      </c>
      <c r="E560">
        <v>71.09</v>
      </c>
      <c r="F560">
        <v>41908.903749999998</v>
      </c>
      <c r="G560">
        <v>0</v>
      </c>
      <c r="L560" t="s">
        <v>7</v>
      </c>
      <c r="M560" t="s">
        <v>7</v>
      </c>
      <c r="N560" t="s">
        <v>7</v>
      </c>
      <c r="P560">
        <f t="shared" si="963"/>
        <v>0.88372093023256471</v>
      </c>
      <c r="Q560">
        <f t="shared" si="964"/>
        <v>37035.775406977016</v>
      </c>
      <c r="R560">
        <f t="shared" si="965"/>
        <v>2723448.1597838658</v>
      </c>
      <c r="S560">
        <f t="shared" si="966"/>
        <v>27.234481597838659</v>
      </c>
      <c r="T560">
        <f t="shared" si="967"/>
        <v>2.7234481597838658E-2</v>
      </c>
    </row>
    <row r="561" spans="1:104" x14ac:dyDescent="0.25">
      <c r="A561" s="5">
        <v>44032</v>
      </c>
      <c r="B561">
        <v>70.349999999999994</v>
      </c>
      <c r="C561">
        <v>70.42</v>
      </c>
      <c r="D561">
        <v>68.61</v>
      </c>
      <c r="E561">
        <v>68.86</v>
      </c>
      <c r="F561">
        <v>26974.054059999999</v>
      </c>
      <c r="G561">
        <v>0</v>
      </c>
      <c r="L561" t="s">
        <v>7</v>
      </c>
      <c r="M561" t="s">
        <v>7</v>
      </c>
      <c r="N561" t="s">
        <v>7</v>
      </c>
      <c r="P561">
        <f t="shared" si="963"/>
        <v>-0.72375690607734844</v>
      </c>
      <c r="Q561">
        <f t="shared" si="964"/>
        <v>-19522.657910828737</v>
      </c>
      <c r="R561">
        <f t="shared" si="965"/>
        <v>2686412.3843768886</v>
      </c>
      <c r="S561">
        <f t="shared" si="966"/>
        <v>26.864123843768887</v>
      </c>
      <c r="T561">
        <f t="shared" si="967"/>
        <v>2.6864123843768888E-2</v>
      </c>
      <c r="CZ561" t="s">
        <v>7</v>
      </c>
    </row>
    <row r="562" spans="1:104" x14ac:dyDescent="0.25">
      <c r="A562" s="5">
        <v>44031</v>
      </c>
      <c r="B562">
        <v>69.2</v>
      </c>
      <c r="C562">
        <v>70.42</v>
      </c>
      <c r="D562">
        <v>68.73</v>
      </c>
      <c r="E562">
        <v>70.349999999999994</v>
      </c>
      <c r="F562">
        <v>24125.732599999999</v>
      </c>
      <c r="G562">
        <v>0</v>
      </c>
      <c r="L562" t="s">
        <v>7</v>
      </c>
      <c r="M562" t="s">
        <v>7</v>
      </c>
      <c r="N562" t="s">
        <v>7</v>
      </c>
      <c r="P562">
        <f t="shared" si="963"/>
        <v>0.91715976331360061</v>
      </c>
      <c r="Q562">
        <f t="shared" si="964"/>
        <v>22127.151201183216</v>
      </c>
      <c r="R562">
        <f t="shared" si="965"/>
        <v>2705935.0422877176</v>
      </c>
      <c r="S562">
        <f t="shared" si="966"/>
        <v>27.059350422877177</v>
      </c>
      <c r="T562">
        <f t="shared" si="967"/>
        <v>2.7059350422877177E-2</v>
      </c>
      <c r="CZ562" t="s">
        <v>7</v>
      </c>
    </row>
    <row r="563" spans="1:104" x14ac:dyDescent="0.25">
      <c r="A563" s="5">
        <v>44030</v>
      </c>
      <c r="B563">
        <v>69.52</v>
      </c>
      <c r="C563">
        <v>69.7</v>
      </c>
      <c r="D563">
        <v>68.63</v>
      </c>
      <c r="E563">
        <v>69.2</v>
      </c>
      <c r="F563">
        <v>20300.08423</v>
      </c>
      <c r="G563">
        <v>0</v>
      </c>
      <c r="L563" t="s">
        <v>7</v>
      </c>
      <c r="M563" t="s">
        <v>7</v>
      </c>
      <c r="N563" t="s">
        <v>7</v>
      </c>
      <c r="P563">
        <f t="shared" si="963"/>
        <v>6.5420560747670012E-2</v>
      </c>
      <c r="Q563">
        <f t="shared" si="964"/>
        <v>1328.0428935515331</v>
      </c>
      <c r="R563">
        <f t="shared" si="965"/>
        <v>2683807.8910865341</v>
      </c>
      <c r="S563">
        <f t="shared" si="966"/>
        <v>26.838078910865342</v>
      </c>
      <c r="T563">
        <f t="shared" si="967"/>
        <v>2.6838078910865343E-2</v>
      </c>
      <c r="CZ563" t="s">
        <v>7</v>
      </c>
    </row>
    <row r="564" spans="1:104" x14ac:dyDescent="0.25">
      <c r="A564" s="5">
        <v>44029</v>
      </c>
      <c r="B564">
        <v>69.3</v>
      </c>
      <c r="C564">
        <v>70.099999999999994</v>
      </c>
      <c r="D564">
        <v>68.73</v>
      </c>
      <c r="E564">
        <v>69.58</v>
      </c>
      <c r="F564">
        <v>29715.228060000001</v>
      </c>
      <c r="G564">
        <v>0</v>
      </c>
      <c r="L564" t="s">
        <v>7</v>
      </c>
      <c r="M564" t="s">
        <v>7</v>
      </c>
      <c r="N564" t="s">
        <v>7</v>
      </c>
      <c r="P564">
        <f t="shared" si="963"/>
        <v>0.24087591240875958</v>
      </c>
      <c r="Q564">
        <f t="shared" si="964"/>
        <v>7157.682671386875</v>
      </c>
      <c r="R564">
        <f t="shared" si="965"/>
        <v>2682479.8481929824</v>
      </c>
      <c r="S564">
        <f t="shared" si="966"/>
        <v>26.824798481929825</v>
      </c>
      <c r="T564">
        <f t="shared" si="967"/>
        <v>2.6824798481929826E-2</v>
      </c>
    </row>
    <row r="565" spans="1:104" x14ac:dyDescent="0.25">
      <c r="A565" s="5">
        <v>44028</v>
      </c>
      <c r="B565">
        <v>71.11</v>
      </c>
      <c r="C565">
        <v>71.41</v>
      </c>
      <c r="D565">
        <v>68.05</v>
      </c>
      <c r="E565">
        <v>69.28</v>
      </c>
      <c r="F565">
        <v>49571.98171</v>
      </c>
      <c r="G565">
        <v>0</v>
      </c>
      <c r="L565" t="s">
        <v>7</v>
      </c>
      <c r="M565" t="s">
        <v>7</v>
      </c>
      <c r="N565" t="s">
        <v>7</v>
      </c>
      <c r="P565">
        <f t="shared" si="963"/>
        <v>-0.26785714285714035</v>
      </c>
      <c r="Q565">
        <f t="shared" si="964"/>
        <v>-13278.209386607019</v>
      </c>
      <c r="R565">
        <f t="shared" si="965"/>
        <v>2675322.1655215956</v>
      </c>
      <c r="S565">
        <f t="shared" si="966"/>
        <v>26.753221655215956</v>
      </c>
      <c r="T565">
        <f t="shared" si="967"/>
        <v>2.6753221655215955E-2</v>
      </c>
    </row>
    <row r="566" spans="1:104" x14ac:dyDescent="0.25">
      <c r="A566" s="5">
        <v>44027</v>
      </c>
      <c r="B566">
        <v>71.97</v>
      </c>
      <c r="C566">
        <v>72.239999999999995</v>
      </c>
      <c r="D566">
        <v>70.55</v>
      </c>
      <c r="E566">
        <v>71.12</v>
      </c>
      <c r="F566">
        <v>49624.302199999998</v>
      </c>
      <c r="G566">
        <v>0</v>
      </c>
      <c r="L566" t="s">
        <v>7</v>
      </c>
      <c r="M566" t="s">
        <v>7</v>
      </c>
      <c r="N566" t="s">
        <v>7</v>
      </c>
      <c r="P566">
        <f t="shared" si="963"/>
        <v>-0.32544378698223886</v>
      </c>
      <c r="Q566">
        <f t="shared" si="964"/>
        <v>-16149.920834319046</v>
      </c>
      <c r="R566">
        <f t="shared" si="965"/>
        <v>2688600.3749082028</v>
      </c>
      <c r="S566">
        <f t="shared" si="966"/>
        <v>26.886003749082029</v>
      </c>
      <c r="T566">
        <f t="shared" si="967"/>
        <v>2.6886003749082028E-2</v>
      </c>
    </row>
    <row r="567" spans="1:104" x14ac:dyDescent="0.25">
      <c r="A567" s="5">
        <v>44026</v>
      </c>
      <c r="B567">
        <v>71.83</v>
      </c>
      <c r="C567">
        <v>72.61</v>
      </c>
      <c r="D567">
        <v>70.02</v>
      </c>
      <c r="E567">
        <v>71.819999999999993</v>
      </c>
      <c r="F567">
        <v>57652.428180000003</v>
      </c>
      <c r="G567">
        <v>0</v>
      </c>
      <c r="L567" t="s">
        <v>7</v>
      </c>
      <c r="M567" t="s">
        <v>7</v>
      </c>
      <c r="N567" t="s">
        <v>7</v>
      </c>
      <c r="P567">
        <f t="shared" si="963"/>
        <v>0.38996138996138596</v>
      </c>
      <c r="Q567">
        <f t="shared" si="964"/>
        <v>22482.221027721778</v>
      </c>
      <c r="R567">
        <f t="shared" si="965"/>
        <v>2704750.295742522</v>
      </c>
      <c r="S567">
        <f t="shared" si="966"/>
        <v>27.04750295742522</v>
      </c>
      <c r="T567">
        <f t="shared" si="967"/>
        <v>2.704750295742522E-2</v>
      </c>
    </row>
    <row r="568" spans="1:104" x14ac:dyDescent="0.25">
      <c r="A568" s="5">
        <v>44025</v>
      </c>
      <c r="B568">
        <v>72.13</v>
      </c>
      <c r="C568">
        <v>75.72</v>
      </c>
      <c r="D568">
        <v>70.930000000000007</v>
      </c>
      <c r="E568">
        <v>71.84</v>
      </c>
      <c r="F568">
        <v>84435.762480000005</v>
      </c>
      <c r="G568">
        <v>0</v>
      </c>
      <c r="L568" t="s">
        <v>8</v>
      </c>
      <c r="M568" t="s">
        <v>7</v>
      </c>
      <c r="N568" t="s">
        <v>7</v>
      </c>
      <c r="P568">
        <f t="shared" si="963"/>
        <v>-0.62004175365344549</v>
      </c>
      <c r="Q568">
        <f t="shared" si="964"/>
        <v>-52353.698239165002</v>
      </c>
      <c r="R568">
        <f t="shared" si="965"/>
        <v>2682268.0747148003</v>
      </c>
      <c r="S568">
        <f t="shared" si="966"/>
        <v>26.822680747148002</v>
      </c>
      <c r="T568">
        <f t="shared" si="967"/>
        <v>2.6822680747148001E-2</v>
      </c>
    </row>
    <row r="569" spans="1:104" x14ac:dyDescent="0.25">
      <c r="A569" s="5">
        <v>44024</v>
      </c>
      <c r="B569">
        <v>72.680000000000007</v>
      </c>
      <c r="C569">
        <v>73.17</v>
      </c>
      <c r="D569">
        <v>70.819999999999993</v>
      </c>
      <c r="E569">
        <v>72.05</v>
      </c>
      <c r="F569">
        <v>62953.676050000002</v>
      </c>
      <c r="G569">
        <v>0</v>
      </c>
      <c r="L569" t="s">
        <v>8</v>
      </c>
      <c r="M569" t="s">
        <v>7</v>
      </c>
      <c r="N569" t="s">
        <v>7</v>
      </c>
      <c r="P569">
        <f t="shared" si="963"/>
        <v>4.6808510638297461E-2</v>
      </c>
      <c r="Q569">
        <f t="shared" si="964"/>
        <v>2946.7678151063574</v>
      </c>
      <c r="R569">
        <f t="shared" si="965"/>
        <v>2734621.7729539652</v>
      </c>
      <c r="S569">
        <f t="shared" si="966"/>
        <v>27.346217729539653</v>
      </c>
      <c r="T569">
        <f t="shared" si="967"/>
        <v>2.7346217729539653E-2</v>
      </c>
    </row>
    <row r="570" spans="1:104" x14ac:dyDescent="0.25">
      <c r="A570" s="5">
        <v>44023</v>
      </c>
      <c r="B570">
        <v>71.819999999999993</v>
      </c>
      <c r="C570">
        <v>73</v>
      </c>
      <c r="D570">
        <v>71.319999999999993</v>
      </c>
      <c r="E570">
        <v>72.680000000000007</v>
      </c>
      <c r="F570">
        <v>39543.607470000003</v>
      </c>
      <c r="G570">
        <v>0</v>
      </c>
      <c r="L570" t="s">
        <v>8</v>
      </c>
      <c r="M570" t="s">
        <v>7</v>
      </c>
      <c r="N570" t="s">
        <v>7</v>
      </c>
      <c r="P570">
        <f t="shared" si="963"/>
        <v>0.61904761904762873</v>
      </c>
      <c r="Q570">
        <f t="shared" si="964"/>
        <v>24479.376052857526</v>
      </c>
      <c r="R570">
        <f t="shared" si="965"/>
        <v>2731675.0051388587</v>
      </c>
      <c r="S570">
        <f t="shared" si="966"/>
        <v>27.316750051388588</v>
      </c>
      <c r="T570">
        <f t="shared" si="967"/>
        <v>2.7316750051388589E-2</v>
      </c>
    </row>
    <row r="571" spans="1:104" x14ac:dyDescent="0.25">
      <c r="A571" s="5">
        <v>44022</v>
      </c>
      <c r="B571">
        <v>71.849999999999994</v>
      </c>
      <c r="C571">
        <v>71.94</v>
      </c>
      <c r="D571">
        <v>70.16</v>
      </c>
      <c r="E571">
        <v>71.75</v>
      </c>
      <c r="F571">
        <v>41398.106520000001</v>
      </c>
      <c r="G571">
        <v>0</v>
      </c>
      <c r="L571" t="s">
        <v>8</v>
      </c>
      <c r="M571" t="s">
        <v>7</v>
      </c>
      <c r="N571" t="s">
        <v>7</v>
      </c>
      <c r="P571">
        <f t="shared" si="963"/>
        <v>0.78651685393258697</v>
      </c>
      <c r="Q571">
        <f t="shared" si="964"/>
        <v>32560.308498876519</v>
      </c>
      <c r="R571">
        <f t="shared" si="965"/>
        <v>2707195.6290860013</v>
      </c>
      <c r="S571">
        <f t="shared" si="966"/>
        <v>27.071956290860012</v>
      </c>
      <c r="T571">
        <f t="shared" si="967"/>
        <v>2.7071956290860011E-2</v>
      </c>
    </row>
    <row r="572" spans="1:104" x14ac:dyDescent="0.25">
      <c r="A572" s="5">
        <v>44021</v>
      </c>
      <c r="B572">
        <v>72.7</v>
      </c>
      <c r="C572">
        <v>73.88</v>
      </c>
      <c r="D572">
        <v>70.489999999999995</v>
      </c>
      <c r="E572">
        <v>71.86</v>
      </c>
      <c r="F572">
        <v>58625.639430000003</v>
      </c>
      <c r="G572">
        <v>0</v>
      </c>
      <c r="L572" t="s">
        <v>8</v>
      </c>
      <c r="M572" t="s">
        <v>7</v>
      </c>
      <c r="N572" t="s">
        <v>7</v>
      </c>
      <c r="P572">
        <f t="shared" si="963"/>
        <v>-0.19174041297934849</v>
      </c>
      <c r="Q572">
        <f t="shared" si="964"/>
        <v>-11240.904315486578</v>
      </c>
      <c r="R572">
        <f t="shared" si="965"/>
        <v>2674635.3205871247</v>
      </c>
      <c r="S572">
        <f t="shared" si="966"/>
        <v>26.746353205871248</v>
      </c>
      <c r="T572">
        <f t="shared" si="967"/>
        <v>2.6746353205871248E-2</v>
      </c>
    </row>
    <row r="573" spans="1:104" x14ac:dyDescent="0.25">
      <c r="A573" s="5">
        <v>44020</v>
      </c>
      <c r="B573">
        <v>69.92</v>
      </c>
      <c r="C573">
        <v>73.28</v>
      </c>
      <c r="D573">
        <v>69.45</v>
      </c>
      <c r="E573">
        <v>72.7</v>
      </c>
      <c r="F573">
        <v>71627.662060000002</v>
      </c>
      <c r="G573">
        <v>0</v>
      </c>
      <c r="L573" t="s">
        <v>8</v>
      </c>
      <c r="M573" t="s">
        <v>7</v>
      </c>
      <c r="N573" t="s">
        <v>7</v>
      </c>
      <c r="P573">
        <f t="shared" si="963"/>
        <v>0.69712793733681533</v>
      </c>
      <c r="Q573">
        <f t="shared" si="964"/>
        <v>49933.644308146264</v>
      </c>
      <c r="R573">
        <f t="shared" si="965"/>
        <v>2685876.2249026112</v>
      </c>
      <c r="S573">
        <f t="shared" si="966"/>
        <v>26.858762249026114</v>
      </c>
      <c r="T573">
        <f t="shared" si="967"/>
        <v>2.6858762249026114E-2</v>
      </c>
    </row>
    <row r="574" spans="1:104" x14ac:dyDescent="0.25">
      <c r="A574" s="5">
        <v>44019</v>
      </c>
      <c r="B574">
        <v>70.27</v>
      </c>
      <c r="C574">
        <v>70.98</v>
      </c>
      <c r="D574">
        <v>69.14</v>
      </c>
      <c r="E574">
        <v>69.92</v>
      </c>
      <c r="F574">
        <v>40320.353560000003</v>
      </c>
      <c r="G574">
        <v>0</v>
      </c>
      <c r="L574" t="s">
        <v>8</v>
      </c>
      <c r="M574" t="s">
        <v>7</v>
      </c>
      <c r="N574" t="s">
        <v>7</v>
      </c>
      <c r="P574">
        <f t="shared" si="963"/>
        <v>-0.1521739130434786</v>
      </c>
      <c r="Q574">
        <f t="shared" si="964"/>
        <v>-6135.7059765217537</v>
      </c>
      <c r="R574">
        <f t="shared" si="965"/>
        <v>2635942.5805944651</v>
      </c>
      <c r="S574">
        <f t="shared" si="966"/>
        <v>26.359425805944653</v>
      </c>
      <c r="T574">
        <f t="shared" si="967"/>
        <v>2.6359425805944654E-2</v>
      </c>
    </row>
    <row r="575" spans="1:104" x14ac:dyDescent="0.25">
      <c r="A575" s="5">
        <v>44018</v>
      </c>
      <c r="B575">
        <v>67.28</v>
      </c>
      <c r="C575">
        <v>70.680000000000007</v>
      </c>
      <c r="D575">
        <v>67.03</v>
      </c>
      <c r="E575">
        <v>70.260000000000005</v>
      </c>
      <c r="F575">
        <v>57122.839030000003</v>
      </c>
      <c r="G575">
        <v>0</v>
      </c>
      <c r="L575" t="s">
        <v>8</v>
      </c>
      <c r="M575" t="s">
        <v>7</v>
      </c>
      <c r="N575" t="s">
        <v>7</v>
      </c>
      <c r="P575">
        <f t="shared" si="963"/>
        <v>0.76986301369862953</v>
      </c>
      <c r="Q575">
        <f t="shared" si="964"/>
        <v>43976.7610066575</v>
      </c>
      <c r="R575">
        <f t="shared" si="965"/>
        <v>2642078.2865709867</v>
      </c>
      <c r="S575">
        <f t="shared" si="966"/>
        <v>26.420782865709867</v>
      </c>
      <c r="T575">
        <f t="shared" si="967"/>
        <v>2.6420782865709869E-2</v>
      </c>
    </row>
    <row r="576" spans="1:104" x14ac:dyDescent="0.25">
      <c r="A576" s="5">
        <v>44017</v>
      </c>
      <c r="B576">
        <v>67.62</v>
      </c>
      <c r="C576">
        <v>67.760000000000005</v>
      </c>
      <c r="D576">
        <v>65.66</v>
      </c>
      <c r="E576">
        <v>67.239999999999995</v>
      </c>
      <c r="F576">
        <v>27308.101849999999</v>
      </c>
      <c r="G576">
        <v>0</v>
      </c>
      <c r="L576" t="s">
        <v>8</v>
      </c>
      <c r="M576" t="s">
        <v>7</v>
      </c>
      <c r="N576" t="s">
        <v>7</v>
      </c>
      <c r="P576">
        <f t="shared" si="963"/>
        <v>0.50476190476189697</v>
      </c>
      <c r="Q576">
        <f t="shared" si="964"/>
        <v>13784.089505237882</v>
      </c>
      <c r="R576">
        <f t="shared" si="965"/>
        <v>2598101.5255643292</v>
      </c>
      <c r="S576">
        <f t="shared" si="966"/>
        <v>25.981015255643293</v>
      </c>
      <c r="T576">
        <f t="shared" si="967"/>
        <v>2.5981015255643291E-2</v>
      </c>
    </row>
    <row r="577" spans="1:20" x14ac:dyDescent="0.25">
      <c r="A577" s="5">
        <v>44016</v>
      </c>
      <c r="B577">
        <v>66.38</v>
      </c>
      <c r="C577">
        <v>68.260000000000005</v>
      </c>
      <c r="D577">
        <v>66.239999999999995</v>
      </c>
      <c r="E577">
        <v>67.63</v>
      </c>
      <c r="F577">
        <v>32009.084180000002</v>
      </c>
      <c r="G577">
        <v>0</v>
      </c>
      <c r="L577" t="s">
        <v>8</v>
      </c>
      <c r="M577" t="s">
        <v>7</v>
      </c>
      <c r="N577" t="s">
        <v>7</v>
      </c>
      <c r="P577">
        <f t="shared" si="963"/>
        <v>0.37623762376236985</v>
      </c>
      <c r="Q577">
        <f t="shared" si="964"/>
        <v>12043.021770692865</v>
      </c>
      <c r="R577">
        <f t="shared" si="965"/>
        <v>2584317.4360590912</v>
      </c>
      <c r="S577">
        <f t="shared" si="966"/>
        <v>25.843174360590911</v>
      </c>
      <c r="T577">
        <f t="shared" si="967"/>
        <v>2.5843174360590911E-2</v>
      </c>
    </row>
    <row r="578" spans="1:20" x14ac:dyDescent="0.25">
      <c r="A578" s="5">
        <v>44015</v>
      </c>
      <c r="B578">
        <v>66.58</v>
      </c>
      <c r="C578">
        <v>67.12</v>
      </c>
      <c r="D578">
        <v>65.849999999999994</v>
      </c>
      <c r="E578">
        <v>66.459999999999994</v>
      </c>
      <c r="F578">
        <v>39256.79118</v>
      </c>
      <c r="G578">
        <v>0</v>
      </c>
      <c r="L578" t="s">
        <v>8</v>
      </c>
      <c r="M578" t="s">
        <v>7</v>
      </c>
      <c r="N578" t="s">
        <v>7</v>
      </c>
      <c r="P578">
        <f t="shared" si="963"/>
        <v>-3.9370078740166112E-2</v>
      </c>
      <c r="Q578">
        <f t="shared" si="964"/>
        <v>-1545.5429598428586</v>
      </c>
      <c r="R578">
        <f t="shared" si="965"/>
        <v>2572274.4142883983</v>
      </c>
      <c r="S578">
        <f t="shared" si="966"/>
        <v>25.722744142883982</v>
      </c>
      <c r="T578">
        <f t="shared" si="967"/>
        <v>2.5722744142883981E-2</v>
      </c>
    </row>
    <row r="579" spans="1:20" x14ac:dyDescent="0.25">
      <c r="A579" s="5">
        <v>44014</v>
      </c>
      <c r="B579">
        <v>68.319999999999993</v>
      </c>
      <c r="C579">
        <v>68.849999999999994</v>
      </c>
      <c r="D579">
        <v>65.400000000000006</v>
      </c>
      <c r="E579">
        <v>66.62</v>
      </c>
      <c r="F579">
        <v>42226.903449999998</v>
      </c>
      <c r="G579">
        <v>0</v>
      </c>
      <c r="L579" t="s">
        <v>8</v>
      </c>
      <c r="M579" t="s">
        <v>7</v>
      </c>
      <c r="N579" t="s">
        <v>7</v>
      </c>
      <c r="P579">
        <f t="shared" si="963"/>
        <v>-0.29275362318840414</v>
      </c>
      <c r="Q579">
        <f t="shared" si="964"/>
        <v>-12362.078981014422</v>
      </c>
      <c r="R579">
        <f t="shared" si="965"/>
        <v>2573819.9572482412</v>
      </c>
      <c r="S579">
        <f t="shared" si="966"/>
        <v>25.738199572482412</v>
      </c>
      <c r="T579">
        <f t="shared" si="967"/>
        <v>2.5738199572482412E-2</v>
      </c>
    </row>
    <row r="580" spans="1:20" x14ac:dyDescent="0.25">
      <c r="A580" s="5">
        <v>44013</v>
      </c>
      <c r="B580">
        <v>68.16</v>
      </c>
      <c r="C580">
        <v>69.02</v>
      </c>
      <c r="D580">
        <v>67.290000000000006</v>
      </c>
      <c r="E580">
        <v>68.31</v>
      </c>
      <c r="F580">
        <v>34539.680820000001</v>
      </c>
      <c r="G580">
        <v>0</v>
      </c>
      <c r="L580" t="s">
        <v>8</v>
      </c>
      <c r="M580" t="s">
        <v>7</v>
      </c>
      <c r="N580" t="s">
        <v>7</v>
      </c>
      <c r="P580">
        <f t="shared" si="963"/>
        <v>0.17919075144508909</v>
      </c>
      <c r="Q580">
        <f t="shared" si="964"/>
        <v>6189.1913608093309</v>
      </c>
      <c r="R580">
        <f t="shared" si="965"/>
        <v>2586182.0362292556</v>
      </c>
      <c r="S580">
        <f t="shared" si="966"/>
        <v>25.861820362292555</v>
      </c>
      <c r="T580">
        <f t="shared" si="967"/>
        <v>2.5861820362292554E-2</v>
      </c>
    </row>
    <row r="581" spans="1:20" x14ac:dyDescent="0.25">
      <c r="A581" s="5">
        <v>44012</v>
      </c>
      <c r="B581">
        <v>69.02</v>
      </c>
      <c r="C581">
        <v>69.22</v>
      </c>
      <c r="D581">
        <v>67.45</v>
      </c>
      <c r="E581">
        <v>68.11</v>
      </c>
      <c r="F581">
        <v>29539.150519999999</v>
      </c>
      <c r="G581">
        <v>0</v>
      </c>
      <c r="L581" t="s">
        <v>8</v>
      </c>
      <c r="M581" t="s">
        <v>7</v>
      </c>
      <c r="N581" t="s">
        <v>7</v>
      </c>
      <c r="P581">
        <f t="shared" si="963"/>
        <v>-0.25423728813559537</v>
      </c>
      <c r="Q581">
        <f t="shared" si="964"/>
        <v>-7509.9535220339621</v>
      </c>
      <c r="R581">
        <f t="shared" si="965"/>
        <v>2579992.8448684462</v>
      </c>
      <c r="S581">
        <f t="shared" si="966"/>
        <v>25.799928448684462</v>
      </c>
      <c r="T581">
        <f t="shared" si="967"/>
        <v>2.5799928448684461E-2</v>
      </c>
    </row>
    <row r="582" spans="1:20" x14ac:dyDescent="0.25">
      <c r="A582" s="5">
        <v>44011</v>
      </c>
      <c r="B582">
        <v>67.709999999999994</v>
      </c>
      <c r="C582">
        <v>69.3</v>
      </c>
      <c r="D582">
        <v>66.760000000000005</v>
      </c>
      <c r="E582">
        <v>68.930000000000007</v>
      </c>
      <c r="F582">
        <v>43636.276239999999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68">IF(C582=D582,0,((E582-D582)-(C582-E582))/(C582-D582))</f>
        <v>0.70866141732284138</v>
      </c>
      <c r="Q582">
        <f t="shared" ref="Q582:Q645" si="969">F582*P582</f>
        <v>30923.345366929429</v>
      </c>
      <c r="R582">
        <f t="shared" ref="R582:R645" si="970">R583+Q582</f>
        <v>2587502.7983904802</v>
      </c>
      <c r="S582">
        <f t="shared" ref="S582:S645" si="971">R582/100000</f>
        <v>25.875027983904801</v>
      </c>
      <c r="T582">
        <f t="shared" ref="T582:T645" si="972">S582/1000</f>
        <v>2.58750279839048E-2</v>
      </c>
    </row>
    <row r="583" spans="1:20" x14ac:dyDescent="0.25">
      <c r="A583" s="5">
        <v>44010</v>
      </c>
      <c r="B583">
        <v>66.930000000000007</v>
      </c>
      <c r="C583">
        <v>68.67</v>
      </c>
      <c r="D583">
        <v>66.069999999999993</v>
      </c>
      <c r="E583">
        <v>67.7</v>
      </c>
      <c r="F583">
        <v>25112.631010000001</v>
      </c>
      <c r="G583">
        <v>0</v>
      </c>
      <c r="L583" t="s">
        <v>7</v>
      </c>
      <c r="M583" t="s">
        <v>7</v>
      </c>
      <c r="N583" t="s">
        <v>7</v>
      </c>
      <c r="P583">
        <f t="shared" si="968"/>
        <v>0.25384615384615716</v>
      </c>
      <c r="Q583">
        <f t="shared" si="969"/>
        <v>6374.7447948462377</v>
      </c>
      <c r="R583">
        <f t="shared" si="970"/>
        <v>2556579.4530235506</v>
      </c>
      <c r="S583">
        <f t="shared" si="971"/>
        <v>25.565794530235507</v>
      </c>
      <c r="T583">
        <f t="shared" si="972"/>
        <v>2.5565794530235508E-2</v>
      </c>
    </row>
    <row r="584" spans="1:20" x14ac:dyDescent="0.25">
      <c r="A584" s="5">
        <v>44009</v>
      </c>
      <c r="B584">
        <v>70.66</v>
      </c>
      <c r="C584">
        <v>71.180000000000007</v>
      </c>
      <c r="D584">
        <v>65.14</v>
      </c>
      <c r="E584">
        <v>66.92</v>
      </c>
      <c r="F584">
        <v>43141.6368</v>
      </c>
      <c r="G584">
        <v>0</v>
      </c>
      <c r="L584" t="s">
        <v>7</v>
      </c>
      <c r="M584" t="s">
        <v>7</v>
      </c>
      <c r="N584" t="s">
        <v>7</v>
      </c>
      <c r="P584">
        <f t="shared" si="968"/>
        <v>-0.41059602649006643</v>
      </c>
      <c r="Q584">
        <f t="shared" si="969"/>
        <v>-17713.784646357624</v>
      </c>
      <c r="R584">
        <f t="shared" si="970"/>
        <v>2550204.7082287045</v>
      </c>
      <c r="S584">
        <f t="shared" si="971"/>
        <v>25.502047082287046</v>
      </c>
      <c r="T584">
        <f t="shared" si="972"/>
        <v>2.5502047082287045E-2</v>
      </c>
    </row>
    <row r="585" spans="1:20" x14ac:dyDescent="0.25">
      <c r="A585" s="5">
        <v>44008</v>
      </c>
      <c r="B585">
        <v>71.08</v>
      </c>
      <c r="C585">
        <v>71.569999999999993</v>
      </c>
      <c r="D585">
        <v>69.709999999999994</v>
      </c>
      <c r="E585">
        <v>70.680000000000007</v>
      </c>
      <c r="F585">
        <v>21882.472010000001</v>
      </c>
      <c r="G585">
        <v>0</v>
      </c>
      <c r="L585" t="s">
        <v>7</v>
      </c>
      <c r="M585" t="s">
        <v>7</v>
      </c>
      <c r="N585" t="s">
        <v>7</v>
      </c>
      <c r="P585">
        <f t="shared" si="968"/>
        <v>4.3010752688186417E-2</v>
      </c>
      <c r="Q585">
        <f t="shared" si="969"/>
        <v>941.18159182827162</v>
      </c>
      <c r="R585">
        <f t="shared" si="970"/>
        <v>2567918.4928750619</v>
      </c>
      <c r="S585">
        <f t="shared" si="971"/>
        <v>25.679184928750619</v>
      </c>
      <c r="T585">
        <f t="shared" si="972"/>
        <v>2.5679184928750619E-2</v>
      </c>
    </row>
    <row r="586" spans="1:20" x14ac:dyDescent="0.25">
      <c r="A586" s="5">
        <v>44007</v>
      </c>
      <c r="B586">
        <v>72.39</v>
      </c>
      <c r="C586">
        <v>72.430000000000007</v>
      </c>
      <c r="D586">
        <v>70.040000000000006</v>
      </c>
      <c r="E586">
        <v>71.11</v>
      </c>
      <c r="F586">
        <v>26674.848020000001</v>
      </c>
      <c r="G586">
        <v>0</v>
      </c>
      <c r="L586" t="s">
        <v>7</v>
      </c>
      <c r="M586" t="s">
        <v>7</v>
      </c>
      <c r="N586" t="s">
        <v>7</v>
      </c>
      <c r="P586">
        <f t="shared" si="968"/>
        <v>-0.10460251046025697</v>
      </c>
      <c r="Q586">
        <f t="shared" si="969"/>
        <v>-2790.256069037815</v>
      </c>
      <c r="R586">
        <f t="shared" si="970"/>
        <v>2566977.3112832336</v>
      </c>
      <c r="S586">
        <f t="shared" si="971"/>
        <v>25.669773112832335</v>
      </c>
      <c r="T586">
        <f t="shared" si="972"/>
        <v>2.5669773112832334E-2</v>
      </c>
    </row>
    <row r="587" spans="1:20" x14ac:dyDescent="0.25">
      <c r="A587" s="5">
        <v>44006</v>
      </c>
      <c r="B587">
        <v>74.06</v>
      </c>
      <c r="C587">
        <v>75.3</v>
      </c>
      <c r="D587">
        <v>70.760000000000005</v>
      </c>
      <c r="E587">
        <v>72.42</v>
      </c>
      <c r="F587">
        <v>60080.006370000003</v>
      </c>
      <c r="G587">
        <v>0</v>
      </c>
      <c r="L587" t="s">
        <v>8</v>
      </c>
      <c r="M587" t="s">
        <v>7</v>
      </c>
      <c r="N587" t="s">
        <v>7</v>
      </c>
      <c r="P587">
        <f t="shared" si="968"/>
        <v>-0.26872246696035262</v>
      </c>
      <c r="Q587">
        <f t="shared" si="969"/>
        <v>-16144.847526740101</v>
      </c>
      <c r="R587">
        <f t="shared" si="970"/>
        <v>2569767.5673522712</v>
      </c>
      <c r="S587">
        <f t="shared" si="971"/>
        <v>25.697675673522713</v>
      </c>
      <c r="T587">
        <f t="shared" si="972"/>
        <v>2.5697675673522713E-2</v>
      </c>
    </row>
    <row r="588" spans="1:20" x14ac:dyDescent="0.25">
      <c r="A588" s="5">
        <v>44005</v>
      </c>
      <c r="B588">
        <v>72.319999999999993</v>
      </c>
      <c r="C588">
        <v>76.42</v>
      </c>
      <c r="D588">
        <v>71.52</v>
      </c>
      <c r="E588">
        <v>74.010000000000005</v>
      </c>
      <c r="F588">
        <v>68535.863419999994</v>
      </c>
      <c r="G588">
        <v>0</v>
      </c>
      <c r="L588" t="s">
        <v>8</v>
      </c>
      <c r="M588" t="s">
        <v>7</v>
      </c>
      <c r="N588" t="s">
        <v>7</v>
      </c>
      <c r="P588">
        <f t="shared" si="968"/>
        <v>1.6326530612247432E-2</v>
      </c>
      <c r="Q588">
        <f t="shared" si="969"/>
        <v>1118.952872163439</v>
      </c>
      <c r="R588">
        <f t="shared" si="970"/>
        <v>2585912.4148790115</v>
      </c>
      <c r="S588">
        <f t="shared" si="971"/>
        <v>25.859124148790116</v>
      </c>
      <c r="T588">
        <f t="shared" si="972"/>
        <v>2.5859124148790116E-2</v>
      </c>
    </row>
    <row r="589" spans="1:20" x14ac:dyDescent="0.25">
      <c r="A589" s="5">
        <v>44004</v>
      </c>
      <c r="B589">
        <v>70.14</v>
      </c>
      <c r="C589">
        <v>72.81</v>
      </c>
      <c r="D589">
        <v>70.02</v>
      </c>
      <c r="E589">
        <v>72.33</v>
      </c>
      <c r="F589">
        <v>27962.041730000001</v>
      </c>
      <c r="G589">
        <v>0</v>
      </c>
      <c r="L589" t="s">
        <v>7</v>
      </c>
      <c r="M589" t="s">
        <v>7</v>
      </c>
      <c r="N589" t="s">
        <v>7</v>
      </c>
      <c r="P589">
        <f t="shared" si="968"/>
        <v>0.65591397849462163</v>
      </c>
      <c r="Q589">
        <f t="shared" si="969"/>
        <v>18340.694037956931</v>
      </c>
      <c r="R589">
        <f t="shared" si="970"/>
        <v>2584793.4620068478</v>
      </c>
      <c r="S589">
        <f t="shared" si="971"/>
        <v>25.847934620068479</v>
      </c>
      <c r="T589">
        <f t="shared" si="972"/>
        <v>2.5847934620068479E-2</v>
      </c>
    </row>
    <row r="590" spans="1:20" x14ac:dyDescent="0.25">
      <c r="A590" s="5">
        <v>44003</v>
      </c>
      <c r="B590">
        <v>71.02</v>
      </c>
      <c r="C590">
        <v>71.37</v>
      </c>
      <c r="D590">
        <v>69.959999999999994</v>
      </c>
      <c r="E590">
        <v>70.14</v>
      </c>
      <c r="F590">
        <v>16877.097460000001</v>
      </c>
      <c r="G590">
        <v>0</v>
      </c>
      <c r="L590" t="s">
        <v>7</v>
      </c>
      <c r="M590" t="s">
        <v>7</v>
      </c>
      <c r="N590" t="s">
        <v>7</v>
      </c>
      <c r="P590">
        <f t="shared" si="968"/>
        <v>-0.74468085106382209</v>
      </c>
      <c r="Q590">
        <f t="shared" si="969"/>
        <v>-12568.05129999987</v>
      </c>
      <c r="R590">
        <f t="shared" si="970"/>
        <v>2566452.7679688907</v>
      </c>
      <c r="S590">
        <f t="shared" si="971"/>
        <v>25.664527679688906</v>
      </c>
      <c r="T590">
        <f t="shared" si="972"/>
        <v>2.5664527679688905E-2</v>
      </c>
    </row>
    <row r="591" spans="1:20" x14ac:dyDescent="0.25">
      <c r="A591" s="5">
        <v>44002</v>
      </c>
      <c r="B591">
        <v>70.08</v>
      </c>
      <c r="C591">
        <v>71.2</v>
      </c>
      <c r="D591">
        <v>69.180000000000007</v>
      </c>
      <c r="E591">
        <v>71.010000000000005</v>
      </c>
      <c r="F591">
        <v>23835.71053</v>
      </c>
      <c r="G591">
        <v>0</v>
      </c>
      <c r="L591" t="s">
        <v>7</v>
      </c>
      <c r="M591" t="s">
        <v>7</v>
      </c>
      <c r="N591" t="s">
        <v>7</v>
      </c>
      <c r="P591">
        <f t="shared" si="968"/>
        <v>0.81188118811881371</v>
      </c>
      <c r="Q591">
        <f t="shared" si="969"/>
        <v>19351.764984752521</v>
      </c>
      <c r="R591">
        <f t="shared" si="970"/>
        <v>2579020.8192688907</v>
      </c>
      <c r="S591">
        <f t="shared" si="971"/>
        <v>25.790208192688908</v>
      </c>
      <c r="T591">
        <f t="shared" si="972"/>
        <v>2.5790208192688908E-2</v>
      </c>
    </row>
    <row r="592" spans="1:20" x14ac:dyDescent="0.25">
      <c r="A592" s="5">
        <v>44001</v>
      </c>
      <c r="B592">
        <v>71.44</v>
      </c>
      <c r="C592">
        <v>71.44</v>
      </c>
      <c r="D592">
        <v>69.87</v>
      </c>
      <c r="E592">
        <v>70.099999999999994</v>
      </c>
      <c r="F592">
        <v>23931.354149999999</v>
      </c>
      <c r="G592">
        <v>0</v>
      </c>
      <c r="L592" t="s">
        <v>8</v>
      </c>
      <c r="M592" t="s">
        <v>7</v>
      </c>
      <c r="N592" t="s">
        <v>7</v>
      </c>
      <c r="P592">
        <f t="shared" si="968"/>
        <v>-0.70700636942676331</v>
      </c>
      <c r="Q592">
        <f t="shared" si="969"/>
        <v>-16919.619813057605</v>
      </c>
      <c r="R592">
        <f t="shared" si="970"/>
        <v>2559669.0542841381</v>
      </c>
      <c r="S592">
        <f t="shared" si="971"/>
        <v>25.596690542841383</v>
      </c>
      <c r="T592">
        <f t="shared" si="972"/>
        <v>2.5596690542841385E-2</v>
      </c>
    </row>
    <row r="593" spans="1:20" x14ac:dyDescent="0.25">
      <c r="A593" s="5">
        <v>44000</v>
      </c>
      <c r="B593">
        <v>72.430000000000007</v>
      </c>
      <c r="C593">
        <v>72.650000000000006</v>
      </c>
      <c r="D593">
        <v>70.680000000000007</v>
      </c>
      <c r="E593">
        <v>71.459999999999994</v>
      </c>
      <c r="F593">
        <v>22382.293679999999</v>
      </c>
      <c r="G593">
        <v>0</v>
      </c>
      <c r="L593" t="s">
        <v>8</v>
      </c>
      <c r="M593" t="s">
        <v>7</v>
      </c>
      <c r="N593" t="s">
        <v>7</v>
      </c>
      <c r="P593">
        <f t="shared" si="968"/>
        <v>-0.20812182741118032</v>
      </c>
      <c r="Q593">
        <f t="shared" si="969"/>
        <v>-4658.2438623353119</v>
      </c>
      <c r="R593">
        <f t="shared" si="970"/>
        <v>2576588.6740971957</v>
      </c>
      <c r="S593">
        <f t="shared" si="971"/>
        <v>25.765886740971958</v>
      </c>
      <c r="T593">
        <f t="shared" si="972"/>
        <v>2.5765886740971959E-2</v>
      </c>
    </row>
    <row r="594" spans="1:20" x14ac:dyDescent="0.25">
      <c r="A594" s="5">
        <v>43999</v>
      </c>
      <c r="B594">
        <v>72.66</v>
      </c>
      <c r="C594">
        <v>73.510000000000005</v>
      </c>
      <c r="D594">
        <v>70.83</v>
      </c>
      <c r="E594">
        <v>72.42</v>
      </c>
      <c r="F594">
        <v>24981.86909</v>
      </c>
      <c r="G594">
        <v>0</v>
      </c>
      <c r="L594" t="s">
        <v>8</v>
      </c>
      <c r="M594" t="s">
        <v>7</v>
      </c>
      <c r="N594" t="s">
        <v>7</v>
      </c>
      <c r="P594">
        <f t="shared" si="968"/>
        <v>0.18656716417910399</v>
      </c>
      <c r="Q594">
        <f t="shared" si="969"/>
        <v>4660.796472014913</v>
      </c>
      <c r="R594">
        <f t="shared" si="970"/>
        <v>2581246.9179595308</v>
      </c>
      <c r="S594">
        <f t="shared" si="971"/>
        <v>25.812469179595308</v>
      </c>
      <c r="T594">
        <f t="shared" si="972"/>
        <v>2.5812469179595308E-2</v>
      </c>
    </row>
    <row r="595" spans="1:20" x14ac:dyDescent="0.25">
      <c r="A595" s="5">
        <v>43998</v>
      </c>
      <c r="B595">
        <v>71.86</v>
      </c>
      <c r="C595">
        <v>73.180000000000007</v>
      </c>
      <c r="D595">
        <v>71.400000000000006</v>
      </c>
      <c r="E595">
        <v>72.63</v>
      </c>
      <c r="F595">
        <v>35170.238700000002</v>
      </c>
      <c r="G595">
        <v>0</v>
      </c>
      <c r="L595" t="s">
        <v>7</v>
      </c>
      <c r="M595" t="s">
        <v>7</v>
      </c>
      <c r="N595" t="s">
        <v>7</v>
      </c>
      <c r="P595">
        <f t="shared" si="968"/>
        <v>0.38202247191009997</v>
      </c>
      <c r="Q595">
        <f t="shared" si="969"/>
        <v>13435.821525842262</v>
      </c>
      <c r="R595">
        <f t="shared" si="970"/>
        <v>2576586.121487516</v>
      </c>
      <c r="S595">
        <f t="shared" si="971"/>
        <v>25.765861214875159</v>
      </c>
      <c r="T595">
        <f t="shared" si="972"/>
        <v>2.576586121487516E-2</v>
      </c>
    </row>
    <row r="596" spans="1:20" x14ac:dyDescent="0.25">
      <c r="A596" s="5">
        <v>43997</v>
      </c>
      <c r="B596">
        <v>72.55</v>
      </c>
      <c r="C596">
        <v>72.62</v>
      </c>
      <c r="D596">
        <v>68.5</v>
      </c>
      <c r="E596">
        <v>71.77</v>
      </c>
      <c r="F596">
        <v>48047.056759999999</v>
      </c>
      <c r="G596">
        <v>0</v>
      </c>
      <c r="L596" t="s">
        <v>7</v>
      </c>
      <c r="M596" t="s">
        <v>7</v>
      </c>
      <c r="N596" t="s">
        <v>7</v>
      </c>
      <c r="P596">
        <f t="shared" si="968"/>
        <v>0.58737864077669533</v>
      </c>
      <c r="Q596">
        <f t="shared" si="969"/>
        <v>28221.81489300953</v>
      </c>
      <c r="R596">
        <f t="shared" si="970"/>
        <v>2563150.2999616736</v>
      </c>
      <c r="S596">
        <f t="shared" si="971"/>
        <v>25.631502999616735</v>
      </c>
      <c r="T596">
        <f t="shared" si="972"/>
        <v>2.5631502999616737E-2</v>
      </c>
    </row>
    <row r="597" spans="1:20" x14ac:dyDescent="0.25">
      <c r="A597" s="5">
        <v>43996</v>
      </c>
      <c r="B597">
        <v>74.19</v>
      </c>
      <c r="C597">
        <v>74.36</v>
      </c>
      <c r="D597">
        <v>71.94</v>
      </c>
      <c r="E597">
        <v>72.56</v>
      </c>
      <c r="F597">
        <v>25223.590189999999</v>
      </c>
      <c r="G597">
        <v>0</v>
      </c>
      <c r="L597" t="s">
        <v>7</v>
      </c>
      <c r="M597" t="s">
        <v>8</v>
      </c>
      <c r="N597" t="s">
        <v>7</v>
      </c>
      <c r="P597">
        <f t="shared" si="968"/>
        <v>-0.48760330578512057</v>
      </c>
      <c r="Q597">
        <f t="shared" si="969"/>
        <v>-12299.105960413137</v>
      </c>
      <c r="R597">
        <f t="shared" si="970"/>
        <v>2534928.485068664</v>
      </c>
      <c r="S597">
        <f t="shared" si="971"/>
        <v>25.34928485068664</v>
      </c>
      <c r="T597">
        <f t="shared" si="972"/>
        <v>2.5349284850686639E-2</v>
      </c>
    </row>
    <row r="598" spans="1:20" x14ac:dyDescent="0.25">
      <c r="A598" s="5">
        <v>43995</v>
      </c>
      <c r="B598">
        <v>73.27</v>
      </c>
      <c r="C598">
        <v>74.39</v>
      </c>
      <c r="D598">
        <v>72.56</v>
      </c>
      <c r="E598">
        <v>74.180000000000007</v>
      </c>
      <c r="F598">
        <v>22517.90796</v>
      </c>
      <c r="G598">
        <v>0</v>
      </c>
      <c r="L598" t="s">
        <v>7</v>
      </c>
      <c r="M598" t="s">
        <v>8</v>
      </c>
      <c r="N598" t="s">
        <v>7</v>
      </c>
      <c r="P598">
        <f t="shared" si="968"/>
        <v>0.77049180327869515</v>
      </c>
      <c r="Q598">
        <f t="shared" si="969"/>
        <v>17349.863510164083</v>
      </c>
      <c r="R598">
        <f t="shared" si="970"/>
        <v>2547227.5910290773</v>
      </c>
      <c r="S598">
        <f t="shared" si="971"/>
        <v>25.472275910290772</v>
      </c>
      <c r="T598">
        <f t="shared" si="972"/>
        <v>2.5472275910290772E-2</v>
      </c>
    </row>
    <row r="599" spans="1:20" x14ac:dyDescent="0.25">
      <c r="A599" s="5">
        <v>43994</v>
      </c>
      <c r="B599">
        <v>72.239999999999995</v>
      </c>
      <c r="C599">
        <v>74.87</v>
      </c>
      <c r="D599">
        <v>71.069999999999993</v>
      </c>
      <c r="E599">
        <v>73.27</v>
      </c>
      <c r="F599">
        <v>42187.333809999996</v>
      </c>
      <c r="G599">
        <v>0</v>
      </c>
      <c r="L599" t="s">
        <v>7</v>
      </c>
      <c r="M599" t="s">
        <v>8</v>
      </c>
      <c r="N599" t="s">
        <v>7</v>
      </c>
      <c r="P599">
        <f t="shared" si="968"/>
        <v>0.15789473684210328</v>
      </c>
      <c r="Q599">
        <f t="shared" si="969"/>
        <v>6661.1579699999156</v>
      </c>
      <c r="R599">
        <f t="shared" si="970"/>
        <v>2529877.7275189133</v>
      </c>
      <c r="S599">
        <f t="shared" si="971"/>
        <v>25.298777275189135</v>
      </c>
      <c r="T599">
        <f t="shared" si="972"/>
        <v>2.5298777275189133E-2</v>
      </c>
    </row>
    <row r="600" spans="1:20" x14ac:dyDescent="0.25">
      <c r="A600" s="5">
        <v>43993</v>
      </c>
      <c r="B600">
        <v>78.23</v>
      </c>
      <c r="C600">
        <v>78.709999999999994</v>
      </c>
      <c r="D600">
        <v>71.760000000000005</v>
      </c>
      <c r="E600">
        <v>72.239999999999995</v>
      </c>
      <c r="F600">
        <v>69195.782219999994</v>
      </c>
      <c r="G600">
        <v>0</v>
      </c>
      <c r="L600" t="s">
        <v>7</v>
      </c>
      <c r="M600" t="s">
        <v>8</v>
      </c>
      <c r="N600" t="s">
        <v>7</v>
      </c>
      <c r="P600">
        <f t="shared" si="968"/>
        <v>-0.86187050359712503</v>
      </c>
      <c r="Q600">
        <f t="shared" si="969"/>
        <v>-59637.803668748384</v>
      </c>
      <c r="R600">
        <f t="shared" si="970"/>
        <v>2523216.5695489133</v>
      </c>
      <c r="S600">
        <f t="shared" si="971"/>
        <v>25.232165695489133</v>
      </c>
      <c r="T600">
        <f t="shared" si="972"/>
        <v>2.5232165695489132E-2</v>
      </c>
    </row>
    <row r="601" spans="1:20" x14ac:dyDescent="0.25">
      <c r="A601" s="5">
        <v>43992</v>
      </c>
      <c r="B601">
        <v>77.45</v>
      </c>
      <c r="C601">
        <v>78.349999999999994</v>
      </c>
      <c r="D601">
        <v>77.02</v>
      </c>
      <c r="E601">
        <v>78.209999999999994</v>
      </c>
      <c r="F601">
        <v>30382.50707</v>
      </c>
      <c r="G601">
        <v>0</v>
      </c>
      <c r="L601" t="s">
        <v>7</v>
      </c>
      <c r="M601" t="s">
        <v>8</v>
      </c>
      <c r="N601" t="s">
        <v>7</v>
      </c>
      <c r="P601">
        <f t="shared" si="968"/>
        <v>0.78947368421052522</v>
      </c>
      <c r="Q601">
        <f t="shared" si="969"/>
        <v>23986.18979210523</v>
      </c>
      <c r="R601">
        <f t="shared" si="970"/>
        <v>2582854.3732176619</v>
      </c>
      <c r="S601">
        <f t="shared" si="971"/>
        <v>25.82854373217662</v>
      </c>
      <c r="T601">
        <f t="shared" si="972"/>
        <v>2.582854373217662E-2</v>
      </c>
    </row>
    <row r="602" spans="1:20" x14ac:dyDescent="0.25">
      <c r="A602" s="5">
        <v>43991</v>
      </c>
      <c r="B602">
        <v>77.790000000000006</v>
      </c>
      <c r="C602">
        <v>78.03</v>
      </c>
      <c r="D602">
        <v>76.59</v>
      </c>
      <c r="E602">
        <v>77.42</v>
      </c>
      <c r="F602">
        <v>23087.519629999999</v>
      </c>
      <c r="G602">
        <v>0</v>
      </c>
      <c r="L602" t="s">
        <v>7</v>
      </c>
      <c r="M602" t="s">
        <v>8</v>
      </c>
      <c r="N602" t="s">
        <v>7</v>
      </c>
      <c r="P602">
        <f t="shared" si="968"/>
        <v>0.15277777777777724</v>
      </c>
      <c r="Q602">
        <f t="shared" si="969"/>
        <v>3527.2599434722097</v>
      </c>
      <c r="R602">
        <f t="shared" si="970"/>
        <v>2558868.1834255564</v>
      </c>
      <c r="S602">
        <f t="shared" si="971"/>
        <v>25.588681834255564</v>
      </c>
      <c r="T602">
        <f t="shared" si="972"/>
        <v>2.5588681834255562E-2</v>
      </c>
    </row>
    <row r="603" spans="1:20" x14ac:dyDescent="0.25">
      <c r="A603" s="5">
        <v>43990</v>
      </c>
      <c r="B603">
        <v>78</v>
      </c>
      <c r="C603">
        <v>78.349999999999994</v>
      </c>
      <c r="D603">
        <v>77</v>
      </c>
      <c r="E603">
        <v>77.77</v>
      </c>
      <c r="F603">
        <v>23624.540779999999</v>
      </c>
      <c r="G603">
        <v>0</v>
      </c>
      <c r="L603" t="s">
        <v>7</v>
      </c>
      <c r="M603" t="s">
        <v>8</v>
      </c>
      <c r="N603" t="s">
        <v>7</v>
      </c>
      <c r="P603">
        <f t="shared" si="968"/>
        <v>0.14074074074073964</v>
      </c>
      <c r="Q603">
        <f t="shared" si="969"/>
        <v>3324.9353690370108</v>
      </c>
      <c r="R603">
        <f t="shared" si="970"/>
        <v>2555340.9234820842</v>
      </c>
      <c r="S603">
        <f t="shared" si="971"/>
        <v>25.55340923482084</v>
      </c>
      <c r="T603">
        <f t="shared" si="972"/>
        <v>2.5553409234820839E-2</v>
      </c>
    </row>
    <row r="604" spans="1:20" x14ac:dyDescent="0.25">
      <c r="A604" s="5">
        <v>43989</v>
      </c>
      <c r="B604">
        <v>78.31</v>
      </c>
      <c r="C604">
        <v>78.77</v>
      </c>
      <c r="D604">
        <v>75.819999999999993</v>
      </c>
      <c r="E604">
        <v>77.989999999999995</v>
      </c>
      <c r="F604">
        <v>31826.943309999999</v>
      </c>
      <c r="G604">
        <v>0</v>
      </c>
      <c r="L604" t="s">
        <v>7</v>
      </c>
      <c r="M604" t="s">
        <v>8</v>
      </c>
      <c r="N604" t="s">
        <v>7</v>
      </c>
      <c r="P604">
        <f t="shared" si="968"/>
        <v>0.47118644067796583</v>
      </c>
      <c r="Q604">
        <f t="shared" si="969"/>
        <v>14996.424135898296</v>
      </c>
      <c r="R604">
        <f t="shared" si="970"/>
        <v>2552015.9881130471</v>
      </c>
      <c r="S604">
        <f t="shared" si="971"/>
        <v>25.520159881130471</v>
      </c>
      <c r="T604">
        <f t="shared" si="972"/>
        <v>2.5520159881130471E-2</v>
      </c>
    </row>
    <row r="605" spans="1:20" x14ac:dyDescent="0.25">
      <c r="A605" s="5">
        <v>43988</v>
      </c>
      <c r="B605">
        <v>77.84</v>
      </c>
      <c r="C605">
        <v>79.22</v>
      </c>
      <c r="D605">
        <v>77.06</v>
      </c>
      <c r="E605">
        <v>78.3</v>
      </c>
      <c r="F605">
        <v>28314.397150000001</v>
      </c>
      <c r="G605">
        <v>0</v>
      </c>
      <c r="L605" t="s">
        <v>8</v>
      </c>
      <c r="M605" t="s">
        <v>8</v>
      </c>
      <c r="N605" t="s">
        <v>7</v>
      </c>
      <c r="P605">
        <f t="shared" si="968"/>
        <v>0.14814814814814523</v>
      </c>
      <c r="Q605">
        <f t="shared" si="969"/>
        <v>4194.7255037036211</v>
      </c>
      <c r="R605">
        <f t="shared" si="970"/>
        <v>2537019.5639771488</v>
      </c>
      <c r="S605">
        <f t="shared" si="971"/>
        <v>25.370195639771488</v>
      </c>
      <c r="T605">
        <f t="shared" si="972"/>
        <v>2.5370195639771487E-2</v>
      </c>
    </row>
    <row r="606" spans="1:20" x14ac:dyDescent="0.25">
      <c r="A606" s="5">
        <v>43987</v>
      </c>
      <c r="B606">
        <v>78.52</v>
      </c>
      <c r="C606">
        <v>79.819999999999993</v>
      </c>
      <c r="D606">
        <v>77.72</v>
      </c>
      <c r="E606">
        <v>77.81</v>
      </c>
      <c r="F606">
        <v>44672.781199999998</v>
      </c>
      <c r="G606">
        <v>0</v>
      </c>
      <c r="L606" t="s">
        <v>8</v>
      </c>
      <c r="M606" t="s">
        <v>8</v>
      </c>
      <c r="N606" t="s">
        <v>7</v>
      </c>
      <c r="P606">
        <f t="shared" si="968"/>
        <v>-0.91428571428571082</v>
      </c>
      <c r="Q606">
        <f t="shared" si="969"/>
        <v>-40843.68566857127</v>
      </c>
      <c r="R606">
        <f t="shared" si="970"/>
        <v>2532824.8384734453</v>
      </c>
      <c r="S606">
        <f t="shared" si="971"/>
        <v>25.328248384734454</v>
      </c>
      <c r="T606">
        <f t="shared" si="972"/>
        <v>2.5328248384734454E-2</v>
      </c>
    </row>
    <row r="607" spans="1:20" x14ac:dyDescent="0.25">
      <c r="A607" s="5">
        <v>43986</v>
      </c>
      <c r="B607">
        <v>78.23</v>
      </c>
      <c r="C607">
        <v>79.150000000000006</v>
      </c>
      <c r="D607">
        <v>76.64</v>
      </c>
      <c r="E607">
        <v>78.599999999999994</v>
      </c>
      <c r="F607">
        <v>58446.265119999996</v>
      </c>
      <c r="G607">
        <v>0</v>
      </c>
      <c r="L607" t="s">
        <v>8</v>
      </c>
      <c r="M607" t="s">
        <v>8</v>
      </c>
      <c r="N607" t="s">
        <v>7</v>
      </c>
      <c r="P607">
        <f t="shared" si="968"/>
        <v>0.56175298804780061</v>
      </c>
      <c r="Q607">
        <f t="shared" si="969"/>
        <v>32832.364071393946</v>
      </c>
      <c r="R607">
        <f t="shared" si="970"/>
        <v>2573668.5241420167</v>
      </c>
      <c r="S607">
        <f t="shared" si="971"/>
        <v>25.736685241420165</v>
      </c>
      <c r="T607">
        <f t="shared" si="972"/>
        <v>2.5736685241420164E-2</v>
      </c>
    </row>
    <row r="608" spans="1:20" x14ac:dyDescent="0.25">
      <c r="A608" s="5">
        <v>43985</v>
      </c>
      <c r="B608">
        <v>78.180000000000007</v>
      </c>
      <c r="C608">
        <v>78.67</v>
      </c>
      <c r="D608">
        <v>76.63</v>
      </c>
      <c r="E608">
        <v>78.2</v>
      </c>
      <c r="F608">
        <v>59641.529309999998</v>
      </c>
      <c r="G608">
        <v>0</v>
      </c>
      <c r="L608" t="s">
        <v>8</v>
      </c>
      <c r="M608" t="s">
        <v>8</v>
      </c>
      <c r="N608" t="s">
        <v>7</v>
      </c>
      <c r="P608">
        <f t="shared" si="968"/>
        <v>0.53921568627451233</v>
      </c>
      <c r="Q608">
        <f t="shared" si="969"/>
        <v>32159.648157353091</v>
      </c>
      <c r="R608">
        <f t="shared" si="970"/>
        <v>2540836.1600706228</v>
      </c>
      <c r="S608">
        <f t="shared" si="971"/>
        <v>25.408361600706229</v>
      </c>
      <c r="T608">
        <f t="shared" si="972"/>
        <v>2.5408361600706229E-2</v>
      </c>
    </row>
    <row r="609" spans="1:20" x14ac:dyDescent="0.25">
      <c r="A609" s="5">
        <v>43984</v>
      </c>
      <c r="B609">
        <v>80.08</v>
      </c>
      <c r="C609">
        <v>82.28</v>
      </c>
      <c r="D609">
        <v>76.010000000000005</v>
      </c>
      <c r="E609">
        <v>78.260000000000005</v>
      </c>
      <c r="F609">
        <v>108927.88649</v>
      </c>
      <c r="G609">
        <v>0</v>
      </c>
      <c r="L609" t="s">
        <v>8</v>
      </c>
      <c r="M609" t="s">
        <v>8</v>
      </c>
      <c r="N609" t="s">
        <v>7</v>
      </c>
      <c r="P609">
        <f t="shared" si="968"/>
        <v>-0.28229665071770288</v>
      </c>
      <c r="Q609">
        <f t="shared" si="969"/>
        <v>-30749.977525885119</v>
      </c>
      <c r="R609">
        <f t="shared" si="970"/>
        <v>2508676.5119132698</v>
      </c>
      <c r="S609">
        <f t="shared" si="971"/>
        <v>25.086765119132696</v>
      </c>
      <c r="T609">
        <f t="shared" si="972"/>
        <v>2.5086765119132697E-2</v>
      </c>
    </row>
    <row r="610" spans="1:20" x14ac:dyDescent="0.25">
      <c r="A610" s="5">
        <v>43983</v>
      </c>
      <c r="B610">
        <v>76.319999999999993</v>
      </c>
      <c r="C610">
        <v>80.400000000000006</v>
      </c>
      <c r="D610">
        <v>75.59</v>
      </c>
      <c r="E610">
        <v>80.06</v>
      </c>
      <c r="F610">
        <v>92745.697870000004</v>
      </c>
      <c r="G610">
        <v>0</v>
      </c>
      <c r="L610" t="s">
        <v>8</v>
      </c>
      <c r="M610" t="s">
        <v>8</v>
      </c>
      <c r="N610" t="s">
        <v>7</v>
      </c>
      <c r="P610">
        <f t="shared" si="968"/>
        <v>0.85862785862785729</v>
      </c>
      <c r="Q610">
        <f t="shared" si="969"/>
        <v>79634.039959064321</v>
      </c>
      <c r="R610">
        <f t="shared" si="970"/>
        <v>2539426.489439155</v>
      </c>
      <c r="S610">
        <f t="shared" si="971"/>
        <v>25.394264894391551</v>
      </c>
      <c r="T610">
        <f t="shared" si="972"/>
        <v>2.539426489439155E-2</v>
      </c>
    </row>
    <row r="611" spans="1:20" x14ac:dyDescent="0.25">
      <c r="A611" s="5">
        <v>43982</v>
      </c>
      <c r="B611">
        <v>79.010000000000005</v>
      </c>
      <c r="C611">
        <v>80.88</v>
      </c>
      <c r="D611">
        <v>75.55</v>
      </c>
      <c r="E611">
        <v>76.33</v>
      </c>
      <c r="F611">
        <v>77435.083589999995</v>
      </c>
      <c r="G611">
        <v>0</v>
      </c>
      <c r="L611" t="s">
        <v>8</v>
      </c>
      <c r="M611" t="s">
        <v>8</v>
      </c>
      <c r="N611" t="s">
        <v>7</v>
      </c>
      <c r="P611">
        <f t="shared" si="968"/>
        <v>-0.70731707317073123</v>
      </c>
      <c r="Q611">
        <f t="shared" si="969"/>
        <v>-54771.156685609712</v>
      </c>
      <c r="R611">
        <f t="shared" si="970"/>
        <v>2459792.4494800908</v>
      </c>
      <c r="S611">
        <f t="shared" si="971"/>
        <v>24.597924494800907</v>
      </c>
      <c r="T611">
        <f t="shared" si="972"/>
        <v>2.4597924494800905E-2</v>
      </c>
    </row>
    <row r="612" spans="1:20" x14ac:dyDescent="0.25">
      <c r="A612" s="5">
        <v>43981</v>
      </c>
      <c r="B612">
        <v>74.17</v>
      </c>
      <c r="C612">
        <v>79.680000000000007</v>
      </c>
      <c r="D612">
        <v>73.52</v>
      </c>
      <c r="E612">
        <v>79.010000000000005</v>
      </c>
      <c r="F612">
        <v>103075.68133000001</v>
      </c>
      <c r="G612">
        <v>0</v>
      </c>
      <c r="L612" t="s">
        <v>8</v>
      </c>
      <c r="M612" t="s">
        <v>8</v>
      </c>
      <c r="N612" t="s">
        <v>7</v>
      </c>
      <c r="P612">
        <f t="shared" si="968"/>
        <v>0.78246753246753231</v>
      </c>
      <c r="Q612">
        <f t="shared" si="969"/>
        <v>80653.374027694794</v>
      </c>
      <c r="R612">
        <f t="shared" si="970"/>
        <v>2514563.6061657006</v>
      </c>
      <c r="S612">
        <f t="shared" si="971"/>
        <v>25.145636061657004</v>
      </c>
      <c r="T612">
        <f t="shared" si="972"/>
        <v>2.5145636061657005E-2</v>
      </c>
    </row>
    <row r="613" spans="1:20" x14ac:dyDescent="0.25">
      <c r="A613" s="5">
        <v>43980</v>
      </c>
      <c r="B613">
        <v>75.08</v>
      </c>
      <c r="C613">
        <v>75.599999999999994</v>
      </c>
      <c r="D613">
        <v>73.31</v>
      </c>
      <c r="E613">
        <v>74.16</v>
      </c>
      <c r="F613">
        <v>47813.935160000001</v>
      </c>
      <c r="G613">
        <v>0</v>
      </c>
      <c r="L613" t="s">
        <v>7</v>
      </c>
      <c r="M613" t="s">
        <v>8</v>
      </c>
      <c r="N613" t="s">
        <v>7</v>
      </c>
      <c r="P613">
        <f t="shared" si="968"/>
        <v>-0.25764192139738229</v>
      </c>
      <c r="Q613">
        <f t="shared" si="969"/>
        <v>-12318.874124192254</v>
      </c>
      <c r="R613">
        <f t="shared" si="970"/>
        <v>2433910.232138006</v>
      </c>
      <c r="S613">
        <f t="shared" si="971"/>
        <v>24.339102321380061</v>
      </c>
      <c r="T613">
        <f t="shared" si="972"/>
        <v>2.4339102321380059E-2</v>
      </c>
    </row>
    <row r="614" spans="1:20" x14ac:dyDescent="0.25">
      <c r="A614" s="5">
        <v>43979</v>
      </c>
      <c r="B614">
        <v>73.599999999999994</v>
      </c>
      <c r="C614">
        <v>75.3</v>
      </c>
      <c r="D614">
        <v>72.430000000000007</v>
      </c>
      <c r="E614">
        <v>75.06</v>
      </c>
      <c r="F614">
        <v>43733.680970000001</v>
      </c>
      <c r="G614">
        <v>0</v>
      </c>
      <c r="L614" t="s">
        <v>7</v>
      </c>
      <c r="M614" t="s">
        <v>8</v>
      </c>
      <c r="N614" t="s">
        <v>7</v>
      </c>
      <c r="P614">
        <f t="shared" si="968"/>
        <v>0.83275261324042116</v>
      </c>
      <c r="Q614">
        <f t="shared" si="969"/>
        <v>36419.337114390379</v>
      </c>
      <c r="R614">
        <f t="shared" si="970"/>
        <v>2446229.1062621982</v>
      </c>
      <c r="S614">
        <f t="shared" si="971"/>
        <v>24.462291062621983</v>
      </c>
      <c r="T614">
        <f t="shared" si="972"/>
        <v>2.4462291062621981E-2</v>
      </c>
    </row>
    <row r="615" spans="1:20" x14ac:dyDescent="0.25">
      <c r="A615" s="5">
        <v>43978</v>
      </c>
      <c r="B615">
        <v>72.61</v>
      </c>
      <c r="C615">
        <v>74.680000000000007</v>
      </c>
      <c r="D615">
        <v>72.319999999999993</v>
      </c>
      <c r="E615">
        <v>73.599999999999994</v>
      </c>
      <c r="F615">
        <v>47054.301019999999</v>
      </c>
      <c r="G615">
        <v>0</v>
      </c>
      <c r="L615" t="s">
        <v>7</v>
      </c>
      <c r="M615" t="s">
        <v>8</v>
      </c>
      <c r="N615" t="s">
        <v>7</v>
      </c>
      <c r="P615">
        <f t="shared" si="968"/>
        <v>8.4745762711859102E-2</v>
      </c>
      <c r="Q615">
        <f t="shared" si="969"/>
        <v>3987.6526288133095</v>
      </c>
      <c r="R615">
        <f t="shared" si="970"/>
        <v>2409809.7691478077</v>
      </c>
      <c r="S615">
        <f t="shared" si="971"/>
        <v>24.098097691478078</v>
      </c>
      <c r="T615">
        <f t="shared" si="972"/>
        <v>2.4098097691478079E-2</v>
      </c>
    </row>
    <row r="616" spans="1:20" x14ac:dyDescent="0.25">
      <c r="A616" s="5">
        <v>43977</v>
      </c>
      <c r="B616">
        <v>73.56</v>
      </c>
      <c r="C616">
        <v>73.86</v>
      </c>
      <c r="D616">
        <v>71.260000000000005</v>
      </c>
      <c r="E616">
        <v>72.61</v>
      </c>
      <c r="F616">
        <v>44621.448980000001</v>
      </c>
      <c r="G616">
        <v>0</v>
      </c>
      <c r="L616" t="s">
        <v>7</v>
      </c>
      <c r="M616" t="s">
        <v>8</v>
      </c>
      <c r="N616" t="s">
        <v>7</v>
      </c>
      <c r="P616">
        <f t="shared" si="968"/>
        <v>3.8461538461536361E-2</v>
      </c>
      <c r="Q616">
        <f t="shared" si="969"/>
        <v>1716.2095761537526</v>
      </c>
      <c r="R616">
        <f t="shared" si="970"/>
        <v>2405822.1165189943</v>
      </c>
      <c r="S616">
        <f t="shared" si="971"/>
        <v>24.058221165189945</v>
      </c>
      <c r="T616">
        <f t="shared" si="972"/>
        <v>2.4058221165189946E-2</v>
      </c>
    </row>
    <row r="617" spans="1:20" x14ac:dyDescent="0.25">
      <c r="A617" s="5">
        <v>43976</v>
      </c>
      <c r="B617">
        <v>71.67</v>
      </c>
      <c r="C617">
        <v>73.73</v>
      </c>
      <c r="D617">
        <v>70.930000000000007</v>
      </c>
      <c r="E617">
        <v>73.599999999999994</v>
      </c>
      <c r="F617">
        <v>33454.71688</v>
      </c>
      <c r="G617">
        <v>0</v>
      </c>
      <c r="L617" t="s">
        <v>7</v>
      </c>
      <c r="M617" t="s">
        <v>8</v>
      </c>
      <c r="N617" t="s">
        <v>7</v>
      </c>
      <c r="P617">
        <f t="shared" si="968"/>
        <v>0.90714285714285015</v>
      </c>
      <c r="Q617">
        <f t="shared" si="969"/>
        <v>30348.207455428339</v>
      </c>
      <c r="R617">
        <f t="shared" si="970"/>
        <v>2404105.9069428407</v>
      </c>
      <c r="S617">
        <f t="shared" si="971"/>
        <v>24.041059069428407</v>
      </c>
      <c r="T617">
        <f t="shared" si="972"/>
        <v>2.4041059069428408E-2</v>
      </c>
    </row>
    <row r="618" spans="1:20" x14ac:dyDescent="0.25">
      <c r="A618" s="5">
        <v>43975</v>
      </c>
      <c r="B618">
        <v>73.849999999999994</v>
      </c>
      <c r="C618">
        <v>75.459999999999994</v>
      </c>
      <c r="D618">
        <v>71.58</v>
      </c>
      <c r="E618">
        <v>71.67</v>
      </c>
      <c r="F618">
        <v>57680.89114</v>
      </c>
      <c r="G618">
        <v>0</v>
      </c>
      <c r="L618" t="s">
        <v>7</v>
      </c>
      <c r="M618" t="s">
        <v>8</v>
      </c>
      <c r="N618" t="s">
        <v>7</v>
      </c>
      <c r="P618">
        <f t="shared" si="968"/>
        <v>-0.95360824742267858</v>
      </c>
      <c r="Q618">
        <f t="shared" si="969"/>
        <v>-55004.973509793708</v>
      </c>
      <c r="R618">
        <f t="shared" si="970"/>
        <v>2373757.6994874123</v>
      </c>
      <c r="S618">
        <f t="shared" si="971"/>
        <v>23.737576994874125</v>
      </c>
      <c r="T618">
        <f t="shared" si="972"/>
        <v>2.3737576994874124E-2</v>
      </c>
    </row>
    <row r="619" spans="1:20" x14ac:dyDescent="0.25">
      <c r="A619" s="5">
        <v>43974</v>
      </c>
      <c r="B619">
        <v>74.77</v>
      </c>
      <c r="C619">
        <v>75.8</v>
      </c>
      <c r="D619">
        <v>73.36</v>
      </c>
      <c r="E619">
        <v>73.87</v>
      </c>
      <c r="F619">
        <v>48331.100050000001</v>
      </c>
      <c r="G619">
        <v>0</v>
      </c>
      <c r="L619" t="s">
        <v>7</v>
      </c>
      <c r="M619" t="s">
        <v>8</v>
      </c>
      <c r="N619" t="s">
        <v>7</v>
      </c>
      <c r="P619">
        <f t="shared" si="968"/>
        <v>-0.58196721311474953</v>
      </c>
      <c r="Q619">
        <f t="shared" si="969"/>
        <v>-28127.115602868631</v>
      </c>
      <c r="R619">
        <f t="shared" si="970"/>
        <v>2428762.672997206</v>
      </c>
      <c r="S619">
        <f t="shared" si="971"/>
        <v>24.287626729972061</v>
      </c>
      <c r="T619">
        <f t="shared" si="972"/>
        <v>2.4287626729972062E-2</v>
      </c>
    </row>
    <row r="620" spans="1:20" x14ac:dyDescent="0.25">
      <c r="A620" s="5">
        <v>43973</v>
      </c>
      <c r="B620">
        <v>73.12</v>
      </c>
      <c r="C620">
        <v>75.569999999999993</v>
      </c>
      <c r="D620">
        <v>72.400000000000006</v>
      </c>
      <c r="E620">
        <v>74.77</v>
      </c>
      <c r="F620">
        <v>55764.866520000003</v>
      </c>
      <c r="G620">
        <v>0</v>
      </c>
      <c r="L620" t="s">
        <v>7</v>
      </c>
      <c r="M620" t="s">
        <v>8</v>
      </c>
      <c r="N620" t="s">
        <v>7</v>
      </c>
      <c r="P620">
        <f t="shared" si="968"/>
        <v>0.49526813880126164</v>
      </c>
      <c r="Q620">
        <f t="shared" si="969"/>
        <v>27618.56165186119</v>
      </c>
      <c r="R620">
        <f t="shared" si="970"/>
        <v>2456889.7886000746</v>
      </c>
      <c r="S620">
        <f t="shared" si="971"/>
        <v>24.568897886000745</v>
      </c>
      <c r="T620">
        <f t="shared" si="972"/>
        <v>2.4568897886000744E-2</v>
      </c>
    </row>
    <row r="621" spans="1:20" x14ac:dyDescent="0.25">
      <c r="A621" s="5">
        <v>43972</v>
      </c>
      <c r="B621">
        <v>78.33</v>
      </c>
      <c r="C621">
        <v>78.62</v>
      </c>
      <c r="D621">
        <v>71</v>
      </c>
      <c r="E621">
        <v>73.09</v>
      </c>
      <c r="F621">
        <v>78273.130250000002</v>
      </c>
      <c r="G621">
        <v>0</v>
      </c>
      <c r="L621" t="s">
        <v>7</v>
      </c>
      <c r="M621" t="s">
        <v>8</v>
      </c>
      <c r="N621" t="s">
        <v>7</v>
      </c>
      <c r="P621">
        <f t="shared" si="968"/>
        <v>-0.45144356955380521</v>
      </c>
      <c r="Q621">
        <f t="shared" si="969"/>
        <v>-35335.90132020993</v>
      </c>
      <c r="R621">
        <f t="shared" si="970"/>
        <v>2429271.2269482133</v>
      </c>
      <c r="S621">
        <f t="shared" si="971"/>
        <v>24.292712269482134</v>
      </c>
      <c r="T621">
        <f t="shared" si="972"/>
        <v>2.4292712269482136E-2</v>
      </c>
    </row>
    <row r="622" spans="1:20" x14ac:dyDescent="0.25">
      <c r="A622" s="5">
        <v>43971</v>
      </c>
      <c r="B622">
        <v>77.209999999999994</v>
      </c>
      <c r="C622">
        <v>78.61</v>
      </c>
      <c r="D622">
        <v>74.73</v>
      </c>
      <c r="E622">
        <v>78.349999999999994</v>
      </c>
      <c r="F622">
        <v>82734.156229999993</v>
      </c>
      <c r="G622">
        <v>0</v>
      </c>
      <c r="L622" t="s">
        <v>8</v>
      </c>
      <c r="M622" t="s">
        <v>8</v>
      </c>
      <c r="N622" t="s">
        <v>7</v>
      </c>
      <c r="P622">
        <f t="shared" si="968"/>
        <v>0.86597938144329623</v>
      </c>
      <c r="Q622">
        <f t="shared" si="969"/>
        <v>71646.073436288425</v>
      </c>
      <c r="R622">
        <f t="shared" si="970"/>
        <v>2464607.128268423</v>
      </c>
      <c r="S622">
        <f t="shared" si="971"/>
        <v>24.646071282684229</v>
      </c>
      <c r="T622">
        <f t="shared" si="972"/>
        <v>2.4646071282684229E-2</v>
      </c>
    </row>
    <row r="623" spans="1:20" x14ac:dyDescent="0.25">
      <c r="A623" s="5">
        <v>43970</v>
      </c>
      <c r="B623">
        <v>76.209999999999994</v>
      </c>
      <c r="C623">
        <v>77.25</v>
      </c>
      <c r="D623">
        <v>73.98</v>
      </c>
      <c r="E623">
        <v>77.150000000000006</v>
      </c>
      <c r="F623">
        <v>57472.092819999998</v>
      </c>
      <c r="G623">
        <v>0</v>
      </c>
      <c r="L623" t="s">
        <v>8</v>
      </c>
      <c r="M623" t="s">
        <v>8</v>
      </c>
      <c r="N623" t="s">
        <v>7</v>
      </c>
      <c r="P623">
        <f t="shared" si="968"/>
        <v>0.93883792048930004</v>
      </c>
      <c r="Q623">
        <f t="shared" si="969"/>
        <v>53956.980109296826</v>
      </c>
      <c r="R623">
        <f t="shared" si="970"/>
        <v>2392961.0548321344</v>
      </c>
      <c r="S623">
        <f t="shared" si="971"/>
        <v>23.929610548321342</v>
      </c>
      <c r="T623">
        <f t="shared" si="972"/>
        <v>2.3929610548321344E-2</v>
      </c>
    </row>
    <row r="624" spans="1:20" x14ac:dyDescent="0.25">
      <c r="A624" s="5">
        <v>43969</v>
      </c>
      <c r="B624">
        <v>75.02</v>
      </c>
      <c r="C624">
        <v>78.36</v>
      </c>
      <c r="D624">
        <v>74.84</v>
      </c>
      <c r="E624">
        <v>76.2</v>
      </c>
      <c r="F624">
        <v>71217.277000000002</v>
      </c>
      <c r="G624">
        <v>0</v>
      </c>
      <c r="L624" t="s">
        <v>8</v>
      </c>
      <c r="M624" t="s">
        <v>8</v>
      </c>
      <c r="N624" t="s">
        <v>7</v>
      </c>
      <c r="P624">
        <f t="shared" si="968"/>
        <v>-0.22727272727272671</v>
      </c>
      <c r="Q624">
        <f t="shared" si="969"/>
        <v>-16185.744772727234</v>
      </c>
      <c r="R624">
        <f t="shared" si="970"/>
        <v>2339004.0747228377</v>
      </c>
      <c r="S624">
        <f t="shared" si="971"/>
        <v>23.390040747228376</v>
      </c>
      <c r="T624">
        <f t="shared" si="972"/>
        <v>2.3390040747228377E-2</v>
      </c>
    </row>
    <row r="625" spans="1:20" x14ac:dyDescent="0.25">
      <c r="A625" s="5">
        <v>43968</v>
      </c>
      <c r="B625">
        <v>73.650000000000006</v>
      </c>
      <c r="C625">
        <v>77.19</v>
      </c>
      <c r="D625">
        <v>73.47</v>
      </c>
      <c r="E625">
        <v>75.03</v>
      </c>
      <c r="F625">
        <v>75524.743300000002</v>
      </c>
      <c r="G625">
        <v>0</v>
      </c>
      <c r="L625" t="s">
        <v>8</v>
      </c>
      <c r="M625" t="s">
        <v>8</v>
      </c>
      <c r="N625" t="s">
        <v>7</v>
      </c>
      <c r="P625">
        <f t="shared" si="968"/>
        <v>-0.16129032258064369</v>
      </c>
      <c r="Q625">
        <f t="shared" si="969"/>
        <v>-12181.410209677308</v>
      </c>
      <c r="R625">
        <f t="shared" si="970"/>
        <v>2355189.8194955648</v>
      </c>
      <c r="S625">
        <f t="shared" si="971"/>
        <v>23.551898194955648</v>
      </c>
      <c r="T625">
        <f t="shared" si="972"/>
        <v>2.3551898194955647E-2</v>
      </c>
    </row>
    <row r="626" spans="1:20" x14ac:dyDescent="0.25">
      <c r="A626" s="5">
        <v>43967</v>
      </c>
      <c r="B626">
        <v>72.45</v>
      </c>
      <c r="C626">
        <v>74.48</v>
      </c>
      <c r="D626">
        <v>72.09</v>
      </c>
      <c r="E626">
        <v>73.709999999999994</v>
      </c>
      <c r="F626">
        <v>45053.214809999998</v>
      </c>
      <c r="G626">
        <v>0</v>
      </c>
      <c r="L626" t="s">
        <v>8</v>
      </c>
      <c r="M626" t="s">
        <v>7</v>
      </c>
      <c r="N626" t="s">
        <v>7</v>
      </c>
      <c r="P626">
        <f t="shared" si="968"/>
        <v>0.35564853556484516</v>
      </c>
      <c r="Q626">
        <f t="shared" si="969"/>
        <v>16023.109869664893</v>
      </c>
      <c r="R626">
        <f t="shared" si="970"/>
        <v>2367371.229705242</v>
      </c>
      <c r="S626">
        <f t="shared" si="971"/>
        <v>23.673712297052418</v>
      </c>
      <c r="T626">
        <f t="shared" si="972"/>
        <v>2.3673712297052417E-2</v>
      </c>
    </row>
    <row r="627" spans="1:20" x14ac:dyDescent="0.25">
      <c r="A627" s="5">
        <v>43966</v>
      </c>
      <c r="B627">
        <v>74.540000000000006</v>
      </c>
      <c r="C627">
        <v>74.959999999999994</v>
      </c>
      <c r="D627">
        <v>71.83</v>
      </c>
      <c r="E627">
        <v>72.44</v>
      </c>
      <c r="F627">
        <v>57496.113989999998</v>
      </c>
      <c r="G627">
        <v>0</v>
      </c>
      <c r="L627" t="s">
        <v>8</v>
      </c>
      <c r="M627" t="s">
        <v>7</v>
      </c>
      <c r="N627" t="s">
        <v>7</v>
      </c>
      <c r="P627">
        <f t="shared" si="968"/>
        <v>-0.61022364217252378</v>
      </c>
      <c r="Q627">
        <f t="shared" si="969"/>
        <v>-35085.488089744395</v>
      </c>
      <c r="R627">
        <f t="shared" si="970"/>
        <v>2351348.119835577</v>
      </c>
      <c r="S627">
        <f t="shared" si="971"/>
        <v>23.51348119835577</v>
      </c>
      <c r="T627">
        <f t="shared" si="972"/>
        <v>2.3513481198355769E-2</v>
      </c>
    </row>
    <row r="628" spans="1:20" x14ac:dyDescent="0.25">
      <c r="A628" s="5">
        <v>43965</v>
      </c>
      <c r="B628">
        <v>73.84</v>
      </c>
      <c r="C628">
        <v>75.86</v>
      </c>
      <c r="D628">
        <v>73.14</v>
      </c>
      <c r="E628">
        <v>74.56</v>
      </c>
      <c r="F628">
        <v>53605.548990000003</v>
      </c>
      <c r="G628">
        <v>0</v>
      </c>
      <c r="L628" t="s">
        <v>8</v>
      </c>
      <c r="M628" t="s">
        <v>7</v>
      </c>
      <c r="N628" t="s">
        <v>7</v>
      </c>
      <c r="P628">
        <f t="shared" si="968"/>
        <v>4.4117647058825218E-2</v>
      </c>
      <c r="Q628">
        <f t="shared" si="969"/>
        <v>2364.9506907353848</v>
      </c>
      <c r="R628">
        <f t="shared" si="970"/>
        <v>2386433.6079253214</v>
      </c>
      <c r="S628">
        <f t="shared" si="971"/>
        <v>23.864336079253214</v>
      </c>
      <c r="T628">
        <f t="shared" si="972"/>
        <v>2.3864336079253215E-2</v>
      </c>
    </row>
    <row r="629" spans="1:20" x14ac:dyDescent="0.25">
      <c r="A629" s="5">
        <v>43964</v>
      </c>
      <c r="B629">
        <v>73.22</v>
      </c>
      <c r="C629">
        <v>74.8</v>
      </c>
      <c r="D629">
        <v>72.180000000000007</v>
      </c>
      <c r="E629">
        <v>73.81</v>
      </c>
      <c r="F629">
        <v>53489.665589999997</v>
      </c>
      <c r="G629">
        <v>0</v>
      </c>
      <c r="L629" t="s">
        <v>8</v>
      </c>
      <c r="M629" t="s">
        <v>7</v>
      </c>
      <c r="N629" t="s">
        <v>7</v>
      </c>
      <c r="P629">
        <f t="shared" si="968"/>
        <v>0.24427480916030647</v>
      </c>
      <c r="Q629">
        <f t="shared" si="969"/>
        <v>13066.177854045862</v>
      </c>
      <c r="R629">
        <f t="shared" si="970"/>
        <v>2384068.6572345858</v>
      </c>
      <c r="S629">
        <f t="shared" si="971"/>
        <v>23.840686572345859</v>
      </c>
      <c r="T629">
        <f t="shared" si="972"/>
        <v>2.3840686572345858E-2</v>
      </c>
    </row>
    <row r="630" spans="1:20" x14ac:dyDescent="0.25">
      <c r="A630" s="5">
        <v>43963</v>
      </c>
      <c r="B630">
        <v>69.739999999999995</v>
      </c>
      <c r="C630">
        <v>75.03</v>
      </c>
      <c r="D630">
        <v>69.34</v>
      </c>
      <c r="E630">
        <v>73.31</v>
      </c>
      <c r="F630">
        <v>84472.008749999994</v>
      </c>
      <c r="G630">
        <v>0</v>
      </c>
      <c r="L630" t="s">
        <v>8</v>
      </c>
      <c r="M630" t="s">
        <v>7</v>
      </c>
      <c r="N630" t="s">
        <v>7</v>
      </c>
      <c r="P630">
        <f t="shared" si="968"/>
        <v>0.39543057996485076</v>
      </c>
      <c r="Q630">
        <f t="shared" si="969"/>
        <v>33402.815410808449</v>
      </c>
      <c r="R630">
        <f t="shared" si="970"/>
        <v>2371002.4793805401</v>
      </c>
      <c r="S630">
        <f t="shared" si="971"/>
        <v>23.710024793805403</v>
      </c>
      <c r="T630">
        <f t="shared" si="972"/>
        <v>2.3710024793805403E-2</v>
      </c>
    </row>
    <row r="631" spans="1:20" x14ac:dyDescent="0.25">
      <c r="A631" s="5">
        <v>43962</v>
      </c>
      <c r="B631">
        <v>72.16</v>
      </c>
      <c r="C631">
        <v>73.459999999999994</v>
      </c>
      <c r="D631">
        <v>66.11</v>
      </c>
      <c r="E631">
        <v>69.73</v>
      </c>
      <c r="F631">
        <v>129034.47344</v>
      </c>
      <c r="G631">
        <v>0</v>
      </c>
      <c r="L631" t="s">
        <v>7</v>
      </c>
      <c r="M631" t="s">
        <v>7</v>
      </c>
      <c r="N631" t="s">
        <v>7</v>
      </c>
      <c r="P631">
        <f t="shared" si="968"/>
        <v>-1.4965986394555824E-2</v>
      </c>
      <c r="Q631">
        <f t="shared" si="969"/>
        <v>-1931.1281739317149</v>
      </c>
      <c r="R631">
        <f t="shared" si="970"/>
        <v>2337599.6639697314</v>
      </c>
      <c r="S631">
        <f t="shared" si="971"/>
        <v>23.375996639697313</v>
      </c>
      <c r="T631">
        <f t="shared" si="972"/>
        <v>2.3375996639697312E-2</v>
      </c>
    </row>
    <row r="632" spans="1:20" x14ac:dyDescent="0.25">
      <c r="A632" s="5">
        <v>43961</v>
      </c>
      <c r="B632">
        <v>79.61</v>
      </c>
      <c r="C632">
        <v>79.63</v>
      </c>
      <c r="D632">
        <v>68.400000000000006</v>
      </c>
      <c r="E632">
        <v>72.099999999999994</v>
      </c>
      <c r="F632">
        <v>175512.38769</v>
      </c>
      <c r="G632">
        <v>0</v>
      </c>
      <c r="L632" t="s">
        <v>7</v>
      </c>
      <c r="M632" t="s">
        <v>7</v>
      </c>
      <c r="N632" t="s">
        <v>8</v>
      </c>
      <c r="P632">
        <f t="shared" si="968"/>
        <v>-0.34105075690115905</v>
      </c>
      <c r="Q632">
        <f t="shared" si="969"/>
        <v>-59858.632667204169</v>
      </c>
      <c r="R632">
        <f t="shared" si="970"/>
        <v>2339530.7921436629</v>
      </c>
      <c r="S632">
        <f t="shared" si="971"/>
        <v>23.395307921436629</v>
      </c>
      <c r="T632">
        <f t="shared" si="972"/>
        <v>2.3395307921436629E-2</v>
      </c>
    </row>
    <row r="633" spans="1:20" x14ac:dyDescent="0.25">
      <c r="A633" s="5">
        <v>43960</v>
      </c>
      <c r="B633">
        <v>81.790000000000006</v>
      </c>
      <c r="C633">
        <v>82.5</v>
      </c>
      <c r="D633">
        <v>79.03</v>
      </c>
      <c r="E633">
        <v>79.59</v>
      </c>
      <c r="F633">
        <v>69717.815640000001</v>
      </c>
      <c r="G633">
        <v>0</v>
      </c>
      <c r="L633" t="s">
        <v>8</v>
      </c>
      <c r="M633" t="s">
        <v>8</v>
      </c>
      <c r="N633" t="s">
        <v>8</v>
      </c>
      <c r="P633">
        <f t="shared" si="968"/>
        <v>-0.67723342939481124</v>
      </c>
      <c r="Q633">
        <f t="shared" si="969"/>
        <v>-47215.235375792407</v>
      </c>
      <c r="R633">
        <f t="shared" si="970"/>
        <v>2399389.4248108673</v>
      </c>
      <c r="S633">
        <f t="shared" si="971"/>
        <v>23.993894248108674</v>
      </c>
      <c r="T633">
        <f t="shared" si="972"/>
        <v>2.3993894248108674E-2</v>
      </c>
    </row>
    <row r="634" spans="1:20" x14ac:dyDescent="0.25">
      <c r="A634" s="5">
        <v>43959</v>
      </c>
      <c r="B634">
        <v>78.78</v>
      </c>
      <c r="C634">
        <v>83.26</v>
      </c>
      <c r="D634">
        <v>77</v>
      </c>
      <c r="E634">
        <v>81.8</v>
      </c>
      <c r="F634">
        <v>104474.49072</v>
      </c>
      <c r="G634">
        <v>0</v>
      </c>
      <c r="L634" t="s">
        <v>8</v>
      </c>
      <c r="M634" t="s">
        <v>8</v>
      </c>
      <c r="N634" t="s">
        <v>8</v>
      </c>
      <c r="P634">
        <f t="shared" si="968"/>
        <v>0.53354632587859208</v>
      </c>
      <c r="Q634">
        <f t="shared" si="969"/>
        <v>55741.980671693062</v>
      </c>
      <c r="R634">
        <f t="shared" si="970"/>
        <v>2446604.6601866595</v>
      </c>
      <c r="S634">
        <f t="shared" si="971"/>
        <v>24.466046601866594</v>
      </c>
      <c r="T634">
        <f t="shared" si="972"/>
        <v>2.4466046601866593E-2</v>
      </c>
    </row>
    <row r="635" spans="1:20" x14ac:dyDescent="0.25">
      <c r="A635" s="5">
        <v>43958</v>
      </c>
      <c r="B635">
        <v>77.150000000000006</v>
      </c>
      <c r="C635">
        <v>80.180000000000007</v>
      </c>
      <c r="D635">
        <v>76.290000000000006</v>
      </c>
      <c r="E635">
        <v>78.760000000000005</v>
      </c>
      <c r="F635">
        <v>80057.505120000002</v>
      </c>
      <c r="G635">
        <v>0</v>
      </c>
      <c r="L635" t="s">
        <v>7</v>
      </c>
      <c r="M635" t="s">
        <v>8</v>
      </c>
      <c r="N635" t="s">
        <v>8</v>
      </c>
      <c r="P635">
        <f t="shared" si="968"/>
        <v>0.26992287917737712</v>
      </c>
      <c r="Q635">
        <f t="shared" si="969"/>
        <v>21609.352281748012</v>
      </c>
      <c r="R635">
        <f t="shared" si="970"/>
        <v>2390862.6795149664</v>
      </c>
      <c r="S635">
        <f t="shared" si="971"/>
        <v>23.908626795149665</v>
      </c>
      <c r="T635">
        <f t="shared" si="972"/>
        <v>2.3908626795149664E-2</v>
      </c>
    </row>
    <row r="636" spans="1:20" x14ac:dyDescent="0.25">
      <c r="A636" s="5">
        <v>43957</v>
      </c>
      <c r="B636">
        <v>79.45</v>
      </c>
      <c r="C636">
        <v>80.98</v>
      </c>
      <c r="D636">
        <v>76.650000000000006</v>
      </c>
      <c r="E636">
        <v>77.11</v>
      </c>
      <c r="F636">
        <v>55658.293960000003</v>
      </c>
      <c r="G636">
        <v>0</v>
      </c>
      <c r="L636" t="s">
        <v>7</v>
      </c>
      <c r="M636" t="s">
        <v>8</v>
      </c>
      <c r="N636" t="s">
        <v>8</v>
      </c>
      <c r="P636">
        <f t="shared" si="968"/>
        <v>-0.78752886836027991</v>
      </c>
      <c r="Q636">
        <f t="shared" si="969"/>
        <v>-43832.513257182603</v>
      </c>
      <c r="R636">
        <f t="shared" si="970"/>
        <v>2369253.3272332186</v>
      </c>
      <c r="S636">
        <f t="shared" si="971"/>
        <v>23.692533272332184</v>
      </c>
      <c r="T636">
        <f t="shared" si="972"/>
        <v>2.3692533272332183E-2</v>
      </c>
    </row>
    <row r="637" spans="1:20" x14ac:dyDescent="0.25">
      <c r="A637" s="5">
        <v>43956</v>
      </c>
      <c r="B637">
        <v>79.540000000000006</v>
      </c>
      <c r="C637">
        <v>81.13</v>
      </c>
      <c r="D637">
        <v>77.62</v>
      </c>
      <c r="E637">
        <v>79.37</v>
      </c>
      <c r="F637">
        <v>47651.491739999998</v>
      </c>
      <c r="G637">
        <v>0</v>
      </c>
      <c r="L637" t="s">
        <v>7</v>
      </c>
      <c r="M637" t="s">
        <v>8</v>
      </c>
      <c r="N637" t="s">
        <v>8</v>
      </c>
      <c r="P637">
        <f t="shared" si="968"/>
        <v>-2.8490028490002653E-3</v>
      </c>
      <c r="Q637">
        <f t="shared" si="969"/>
        <v>-135.75923572637259</v>
      </c>
      <c r="R637">
        <f t="shared" si="970"/>
        <v>2413085.8404904013</v>
      </c>
      <c r="S637">
        <f t="shared" si="971"/>
        <v>24.130858404904014</v>
      </c>
      <c r="T637">
        <f t="shared" si="972"/>
        <v>2.4130858404904015E-2</v>
      </c>
    </row>
    <row r="638" spans="1:20" x14ac:dyDescent="0.25">
      <c r="A638" s="5">
        <v>43955</v>
      </c>
      <c r="B638">
        <v>81.09</v>
      </c>
      <c r="C638">
        <v>81.2</v>
      </c>
      <c r="D638">
        <v>75.36</v>
      </c>
      <c r="E638">
        <v>79.540000000000006</v>
      </c>
      <c r="F638">
        <v>88955.28744</v>
      </c>
      <c r="G638">
        <v>0</v>
      </c>
      <c r="L638" t="s">
        <v>7</v>
      </c>
      <c r="M638" t="s">
        <v>8</v>
      </c>
      <c r="N638" t="s">
        <v>8</v>
      </c>
      <c r="P638">
        <f t="shared" si="968"/>
        <v>0.43150684931507</v>
      </c>
      <c r="Q638">
        <f t="shared" si="969"/>
        <v>38384.815813150817</v>
      </c>
      <c r="R638">
        <f t="shared" si="970"/>
        <v>2413221.5997261275</v>
      </c>
      <c r="S638">
        <f t="shared" si="971"/>
        <v>24.132215997261273</v>
      </c>
      <c r="T638">
        <f t="shared" si="972"/>
        <v>2.4132215997261272E-2</v>
      </c>
    </row>
    <row r="639" spans="1:20" x14ac:dyDescent="0.25">
      <c r="A639" s="5">
        <v>43954</v>
      </c>
      <c r="B639">
        <v>83.29</v>
      </c>
      <c r="C639">
        <v>83.88</v>
      </c>
      <c r="D639">
        <v>79.8</v>
      </c>
      <c r="E639">
        <v>81.069999999999993</v>
      </c>
      <c r="F639">
        <v>64986.63162</v>
      </c>
      <c r="G639">
        <v>0</v>
      </c>
      <c r="L639" t="s">
        <v>7</v>
      </c>
      <c r="M639" t="s">
        <v>8</v>
      </c>
      <c r="N639" t="s">
        <v>8</v>
      </c>
      <c r="P639">
        <f t="shared" si="968"/>
        <v>-0.37745098039215857</v>
      </c>
      <c r="Q639">
        <f t="shared" si="969"/>
        <v>-24529.267817353051</v>
      </c>
      <c r="R639">
        <f t="shared" si="970"/>
        <v>2374836.7839129767</v>
      </c>
      <c r="S639">
        <f t="shared" si="971"/>
        <v>23.748367839129767</v>
      </c>
      <c r="T639">
        <f t="shared" si="972"/>
        <v>2.3748367839129765E-2</v>
      </c>
    </row>
    <row r="640" spans="1:20" x14ac:dyDescent="0.25">
      <c r="A640" s="5">
        <v>43953</v>
      </c>
      <c r="B640">
        <v>82.93</v>
      </c>
      <c r="C640">
        <v>83.76</v>
      </c>
      <c r="D640">
        <v>81.599999999999994</v>
      </c>
      <c r="E640">
        <v>83.26</v>
      </c>
      <c r="F640">
        <v>57455.69932</v>
      </c>
      <c r="G640">
        <v>0</v>
      </c>
      <c r="L640" t="s">
        <v>7</v>
      </c>
      <c r="M640" t="s">
        <v>8</v>
      </c>
      <c r="N640" t="s">
        <v>8</v>
      </c>
      <c r="P640">
        <f t="shared" si="968"/>
        <v>0.53703703703703931</v>
      </c>
      <c r="Q640">
        <f t="shared" si="969"/>
        <v>30855.838523703835</v>
      </c>
      <c r="R640">
        <f t="shared" si="970"/>
        <v>2399366.0517303296</v>
      </c>
      <c r="S640">
        <f t="shared" si="971"/>
        <v>23.993660517303297</v>
      </c>
      <c r="T640">
        <f t="shared" si="972"/>
        <v>2.3993660517303297E-2</v>
      </c>
    </row>
    <row r="641" spans="1:20" x14ac:dyDescent="0.25">
      <c r="A641" s="5">
        <v>43952</v>
      </c>
      <c r="B641">
        <v>80.72</v>
      </c>
      <c r="C641">
        <v>83.98</v>
      </c>
      <c r="D641">
        <v>80.72</v>
      </c>
      <c r="E641">
        <v>82.95</v>
      </c>
      <c r="F641">
        <v>85529.756859999994</v>
      </c>
      <c r="G641">
        <v>0</v>
      </c>
      <c r="L641" t="s">
        <v>7</v>
      </c>
      <c r="M641" t="s">
        <v>8</v>
      </c>
      <c r="N641" t="s">
        <v>8</v>
      </c>
      <c r="P641">
        <f t="shared" si="968"/>
        <v>0.36809815950920277</v>
      </c>
      <c r="Q641">
        <f t="shared" si="969"/>
        <v>31483.346083435608</v>
      </c>
      <c r="R641">
        <f t="shared" si="970"/>
        <v>2368510.213206626</v>
      </c>
      <c r="S641">
        <f t="shared" si="971"/>
        <v>23.685102132066259</v>
      </c>
      <c r="T641">
        <f t="shared" si="972"/>
        <v>2.368510213206626E-2</v>
      </c>
    </row>
    <row r="642" spans="1:20" x14ac:dyDescent="0.25">
      <c r="A642" s="5">
        <v>43951</v>
      </c>
      <c r="B642">
        <v>85.38</v>
      </c>
      <c r="C642">
        <v>88.77</v>
      </c>
      <c r="D642">
        <v>80.239999999999995</v>
      </c>
      <c r="E642">
        <v>80.739999999999995</v>
      </c>
      <c r="F642">
        <v>204337.47107</v>
      </c>
      <c r="G642">
        <v>0</v>
      </c>
      <c r="L642" t="s">
        <v>8</v>
      </c>
      <c r="M642" t="s">
        <v>8</v>
      </c>
      <c r="N642" t="s">
        <v>8</v>
      </c>
      <c r="P642">
        <f t="shared" si="968"/>
        <v>-0.88276670574443139</v>
      </c>
      <c r="Q642">
        <f t="shared" si="969"/>
        <v>-180382.31619661197</v>
      </c>
      <c r="R642">
        <f t="shared" si="970"/>
        <v>2337026.8671231903</v>
      </c>
      <c r="S642">
        <f t="shared" si="971"/>
        <v>23.370268671231901</v>
      </c>
      <c r="T642">
        <f t="shared" si="972"/>
        <v>2.3370268671231903E-2</v>
      </c>
    </row>
    <row r="643" spans="1:20" x14ac:dyDescent="0.25">
      <c r="A643" s="5">
        <v>43950</v>
      </c>
      <c r="B643">
        <v>82.23</v>
      </c>
      <c r="C643">
        <v>86.1</v>
      </c>
      <c r="D643">
        <v>82.01</v>
      </c>
      <c r="E643">
        <v>85.36</v>
      </c>
      <c r="F643">
        <v>158868.61637999999</v>
      </c>
      <c r="G643">
        <v>0</v>
      </c>
      <c r="L643" t="s">
        <v>7</v>
      </c>
      <c r="M643" t="s">
        <v>8</v>
      </c>
      <c r="N643" t="s">
        <v>8</v>
      </c>
      <c r="P643">
        <f t="shared" si="968"/>
        <v>0.6381418092909551</v>
      </c>
      <c r="Q643">
        <f t="shared" si="969"/>
        <v>101380.70629628385</v>
      </c>
      <c r="R643">
        <f t="shared" si="970"/>
        <v>2517409.1833198024</v>
      </c>
      <c r="S643">
        <f t="shared" si="971"/>
        <v>25.174091833198023</v>
      </c>
      <c r="T643">
        <f t="shared" si="972"/>
        <v>2.5174091833198024E-2</v>
      </c>
    </row>
    <row r="644" spans="1:20" x14ac:dyDescent="0.25">
      <c r="A644" s="5">
        <v>43949</v>
      </c>
      <c r="B644">
        <v>82.73</v>
      </c>
      <c r="C644">
        <v>83.13</v>
      </c>
      <c r="D644">
        <v>79.75</v>
      </c>
      <c r="E644">
        <v>82.21</v>
      </c>
      <c r="F644">
        <v>90956.577829999995</v>
      </c>
      <c r="G644">
        <v>0</v>
      </c>
      <c r="L644" t="s">
        <v>7</v>
      </c>
      <c r="M644" t="s">
        <v>8</v>
      </c>
      <c r="N644" t="s">
        <v>8</v>
      </c>
      <c r="P644">
        <f t="shared" si="968"/>
        <v>0.4556213017751462</v>
      </c>
      <c r="Q644">
        <f t="shared" si="969"/>
        <v>41441.754395917</v>
      </c>
      <c r="R644">
        <f t="shared" si="970"/>
        <v>2416028.4770235186</v>
      </c>
      <c r="S644">
        <f t="shared" si="971"/>
        <v>24.160284770235187</v>
      </c>
      <c r="T644">
        <f t="shared" si="972"/>
        <v>2.4160284770235185E-2</v>
      </c>
    </row>
    <row r="645" spans="1:20" x14ac:dyDescent="0.25">
      <c r="A645" s="5">
        <v>43948</v>
      </c>
      <c r="B645">
        <v>84.15</v>
      </c>
      <c r="C645">
        <v>84.6</v>
      </c>
      <c r="D645">
        <v>80.03</v>
      </c>
      <c r="E645">
        <v>82.75</v>
      </c>
      <c r="F645">
        <v>116450.1682</v>
      </c>
      <c r="G645">
        <v>0</v>
      </c>
      <c r="L645" t="s">
        <v>7</v>
      </c>
      <c r="M645" t="s">
        <v>8</v>
      </c>
      <c r="N645" t="s">
        <v>8</v>
      </c>
      <c r="P645">
        <f t="shared" si="968"/>
        <v>0.19037199124726606</v>
      </c>
      <c r="Q645">
        <f t="shared" si="969"/>
        <v>22168.850401313059</v>
      </c>
      <c r="R645">
        <f t="shared" si="970"/>
        <v>2374586.7226276016</v>
      </c>
      <c r="S645">
        <f t="shared" si="971"/>
        <v>23.745867226276015</v>
      </c>
      <c r="T645">
        <f t="shared" si="972"/>
        <v>2.3745867226276016E-2</v>
      </c>
    </row>
    <row r="646" spans="1:20" x14ac:dyDescent="0.25">
      <c r="A646" s="5">
        <v>43947</v>
      </c>
      <c r="B646">
        <v>85.75</v>
      </c>
      <c r="C646">
        <v>87.5</v>
      </c>
      <c r="D646">
        <v>81.93</v>
      </c>
      <c r="E646">
        <v>84.12</v>
      </c>
      <c r="F646">
        <v>123447.45116</v>
      </c>
      <c r="G646">
        <v>0</v>
      </c>
      <c r="L646" t="s">
        <v>7</v>
      </c>
      <c r="M646" t="s">
        <v>8</v>
      </c>
      <c r="N646" t="s">
        <v>8</v>
      </c>
      <c r="P646">
        <f t="shared" ref="P646:P709" si="973">IF(C646=D646,0,((E646-D646)-(C646-E646))/(C646-D646))</f>
        <v>-0.21364452423698368</v>
      </c>
      <c r="Q646">
        <f t="shared" ref="Q646:Q709" si="974">F646*P646</f>
        <v>-26373.871971346478</v>
      </c>
      <c r="R646">
        <f t="shared" ref="R646:R709" si="975">R647+Q646</f>
        <v>2352417.8722262885</v>
      </c>
      <c r="S646">
        <f t="shared" ref="S646:S709" si="976">R646/100000</f>
        <v>23.524178722262885</v>
      </c>
      <c r="T646">
        <f t="shared" ref="T646:T709" si="977">S646/1000</f>
        <v>2.3524178722262885E-2</v>
      </c>
    </row>
    <row r="647" spans="1:20" x14ac:dyDescent="0.25">
      <c r="A647" s="5">
        <v>43946</v>
      </c>
      <c r="B647">
        <v>81.38</v>
      </c>
      <c r="C647">
        <v>88.19</v>
      </c>
      <c r="D647">
        <v>80.45</v>
      </c>
      <c r="E647">
        <v>85.78</v>
      </c>
      <c r="F647">
        <v>110382.02632999999</v>
      </c>
      <c r="G647">
        <v>0</v>
      </c>
      <c r="L647" t="s">
        <v>8</v>
      </c>
      <c r="M647" t="s">
        <v>8</v>
      </c>
      <c r="N647" t="s">
        <v>8</v>
      </c>
      <c r="P647">
        <f t="shared" si="973"/>
        <v>0.37726098191214519</v>
      </c>
      <c r="Q647">
        <f t="shared" si="974"/>
        <v>41642.831638708063</v>
      </c>
      <c r="R647">
        <f t="shared" si="975"/>
        <v>2378791.744197635</v>
      </c>
      <c r="S647">
        <f t="shared" si="976"/>
        <v>23.787917441976351</v>
      </c>
      <c r="T647">
        <f t="shared" si="977"/>
        <v>2.378791744197635E-2</v>
      </c>
    </row>
    <row r="648" spans="1:20" x14ac:dyDescent="0.25">
      <c r="A648" s="5">
        <v>43945</v>
      </c>
      <c r="B648">
        <v>81.260000000000005</v>
      </c>
      <c r="C648">
        <v>82.93</v>
      </c>
      <c r="D648">
        <v>80.48</v>
      </c>
      <c r="E648">
        <v>81.37</v>
      </c>
      <c r="F648">
        <v>60986.315710000003</v>
      </c>
      <c r="G648">
        <v>0</v>
      </c>
      <c r="L648" t="s">
        <v>8</v>
      </c>
      <c r="M648" t="s">
        <v>8</v>
      </c>
      <c r="N648" t="s">
        <v>8</v>
      </c>
      <c r="P648">
        <f t="shared" si="973"/>
        <v>-0.27346938775510243</v>
      </c>
      <c r="Q648">
        <f t="shared" si="974"/>
        <v>-16677.890418653085</v>
      </c>
      <c r="R648">
        <f t="shared" si="975"/>
        <v>2337148.9125589267</v>
      </c>
      <c r="S648">
        <f t="shared" si="976"/>
        <v>23.371489125589267</v>
      </c>
      <c r="T648">
        <f t="shared" si="977"/>
        <v>2.3371489125589267E-2</v>
      </c>
    </row>
    <row r="649" spans="1:20" x14ac:dyDescent="0.25">
      <c r="A649" s="5">
        <v>43944</v>
      </c>
      <c r="B649">
        <v>80.84</v>
      </c>
      <c r="C649">
        <v>84.61</v>
      </c>
      <c r="D649">
        <v>78.88</v>
      </c>
      <c r="E649">
        <v>81.260000000000005</v>
      </c>
      <c r="F649">
        <v>147824.2194</v>
      </c>
      <c r="G649">
        <v>0</v>
      </c>
      <c r="L649" t="s">
        <v>8</v>
      </c>
      <c r="M649" t="s">
        <v>8</v>
      </c>
      <c r="N649" t="s">
        <v>8</v>
      </c>
      <c r="P649">
        <f t="shared" si="973"/>
        <v>-0.16928446771378428</v>
      </c>
      <c r="Q649">
        <f t="shared" si="974"/>
        <v>-25024.344296334664</v>
      </c>
      <c r="R649">
        <f t="shared" si="975"/>
        <v>2353826.8029775796</v>
      </c>
      <c r="S649">
        <f t="shared" si="976"/>
        <v>23.538268029775796</v>
      </c>
      <c r="T649">
        <f t="shared" si="977"/>
        <v>2.3538268029775797E-2</v>
      </c>
    </row>
    <row r="650" spans="1:20" x14ac:dyDescent="0.25">
      <c r="A650" s="5">
        <v>43943</v>
      </c>
      <c r="B650">
        <v>74.459999999999994</v>
      </c>
      <c r="C650">
        <v>82.1</v>
      </c>
      <c r="D650">
        <v>74.06</v>
      </c>
      <c r="E650">
        <v>80.8</v>
      </c>
      <c r="F650">
        <v>136483.49150999999</v>
      </c>
      <c r="G650">
        <v>0</v>
      </c>
      <c r="L650" t="s">
        <v>8</v>
      </c>
      <c r="M650" t="s">
        <v>8</v>
      </c>
      <c r="N650" t="s">
        <v>8</v>
      </c>
      <c r="P650">
        <f t="shared" si="973"/>
        <v>0.67661691542288593</v>
      </c>
      <c r="Q650">
        <f t="shared" si="974"/>
        <v>92347.039031641834</v>
      </c>
      <c r="R650">
        <f t="shared" si="975"/>
        <v>2378851.1472739144</v>
      </c>
      <c r="S650">
        <f t="shared" si="976"/>
        <v>23.788511472739145</v>
      </c>
      <c r="T650">
        <f t="shared" si="977"/>
        <v>2.3788511472739145E-2</v>
      </c>
    </row>
    <row r="651" spans="1:20" x14ac:dyDescent="0.25">
      <c r="A651" s="5">
        <v>43942</v>
      </c>
      <c r="B651">
        <v>74.290000000000006</v>
      </c>
      <c r="C651">
        <v>75.930000000000007</v>
      </c>
      <c r="D651">
        <v>72.92</v>
      </c>
      <c r="E651">
        <v>74.48</v>
      </c>
      <c r="F651">
        <v>96123.860939999999</v>
      </c>
      <c r="G651">
        <v>0</v>
      </c>
      <c r="L651" t="s">
        <v>7</v>
      </c>
      <c r="M651" t="s">
        <v>8</v>
      </c>
      <c r="N651" t="s">
        <v>8</v>
      </c>
      <c r="P651">
        <f t="shared" si="973"/>
        <v>3.6544850498338617E-2</v>
      </c>
      <c r="Q651">
        <f t="shared" si="974"/>
        <v>3512.8321273753909</v>
      </c>
      <c r="R651">
        <f t="shared" si="975"/>
        <v>2286504.1082422724</v>
      </c>
      <c r="S651">
        <f t="shared" si="976"/>
        <v>22.865041082422724</v>
      </c>
      <c r="T651">
        <f t="shared" si="977"/>
        <v>2.2865041082422724E-2</v>
      </c>
    </row>
    <row r="652" spans="1:20" x14ac:dyDescent="0.25">
      <c r="A652" s="5">
        <v>43941</v>
      </c>
      <c r="B652">
        <v>80.27</v>
      </c>
      <c r="C652">
        <v>82.8</v>
      </c>
      <c r="D652">
        <v>72.709999999999994</v>
      </c>
      <c r="E652">
        <v>74.290000000000006</v>
      </c>
      <c r="F652">
        <v>174399.25211</v>
      </c>
      <c r="G652">
        <v>0</v>
      </c>
      <c r="L652" t="s">
        <v>7</v>
      </c>
      <c r="M652" t="s">
        <v>8</v>
      </c>
      <c r="N652" t="s">
        <v>8</v>
      </c>
      <c r="P652">
        <f t="shared" si="973"/>
        <v>-0.68681863230921469</v>
      </c>
      <c r="Q652">
        <f t="shared" si="974"/>
        <v>-119780.65580994013</v>
      </c>
      <c r="R652">
        <f t="shared" si="975"/>
        <v>2282991.2761148969</v>
      </c>
      <c r="S652">
        <f t="shared" si="976"/>
        <v>22.829912761148968</v>
      </c>
      <c r="T652">
        <f t="shared" si="977"/>
        <v>2.2829912761148968E-2</v>
      </c>
    </row>
    <row r="653" spans="1:20" x14ac:dyDescent="0.25">
      <c r="A653" s="5">
        <v>43940</v>
      </c>
      <c r="B653">
        <v>80.2</v>
      </c>
      <c r="C653">
        <v>83.46</v>
      </c>
      <c r="D653">
        <v>77.28</v>
      </c>
      <c r="E653">
        <v>80.23</v>
      </c>
      <c r="F653">
        <v>144719.87604</v>
      </c>
      <c r="G653">
        <v>0</v>
      </c>
      <c r="L653" t="s">
        <v>8</v>
      </c>
      <c r="M653" t="s">
        <v>8</v>
      </c>
      <c r="N653" t="s">
        <v>8</v>
      </c>
      <c r="P653">
        <f t="shared" si="973"/>
        <v>-4.5307443365693728E-2</v>
      </c>
      <c r="Q653">
        <f t="shared" si="974"/>
        <v>-6556.8875875725171</v>
      </c>
      <c r="R653">
        <f t="shared" si="975"/>
        <v>2402771.9319248372</v>
      </c>
      <c r="S653">
        <f t="shared" si="976"/>
        <v>24.027719319248373</v>
      </c>
      <c r="T653">
        <f t="shared" si="977"/>
        <v>2.4027719319248374E-2</v>
      </c>
    </row>
    <row r="654" spans="1:20" x14ac:dyDescent="0.25">
      <c r="A654" s="5">
        <v>43939</v>
      </c>
      <c r="B654">
        <v>76.290000000000006</v>
      </c>
      <c r="C654">
        <v>80.5</v>
      </c>
      <c r="D654">
        <v>76.13</v>
      </c>
      <c r="E654">
        <v>80.16</v>
      </c>
      <c r="F654">
        <v>102156.38065000001</v>
      </c>
      <c r="G654">
        <v>0</v>
      </c>
      <c r="L654" t="s">
        <v>8</v>
      </c>
      <c r="M654" t="s">
        <v>7</v>
      </c>
      <c r="N654" t="s">
        <v>8</v>
      </c>
      <c r="P654">
        <f t="shared" si="973"/>
        <v>0.84439359267734415</v>
      </c>
      <c r="Q654">
        <f t="shared" si="974"/>
        <v>86260.19327196783</v>
      </c>
      <c r="R654">
        <f t="shared" si="975"/>
        <v>2409328.8195124096</v>
      </c>
      <c r="S654">
        <f t="shared" si="976"/>
        <v>24.093288195124096</v>
      </c>
      <c r="T654">
        <f t="shared" si="977"/>
        <v>2.4093288195124095E-2</v>
      </c>
    </row>
    <row r="655" spans="1:20" x14ac:dyDescent="0.25">
      <c r="A655" s="5">
        <v>43938</v>
      </c>
      <c r="B655">
        <v>76.12</v>
      </c>
      <c r="C655">
        <v>78.09</v>
      </c>
      <c r="D655">
        <v>74.540000000000006</v>
      </c>
      <c r="E655">
        <v>76.31</v>
      </c>
      <c r="F655">
        <v>84369.647589999993</v>
      </c>
      <c r="G655">
        <v>0</v>
      </c>
      <c r="L655" t="s">
        <v>8</v>
      </c>
      <c r="M655" t="s">
        <v>7</v>
      </c>
      <c r="N655" t="s">
        <v>8</v>
      </c>
      <c r="P655">
        <f t="shared" si="973"/>
        <v>-2.8169014084521477E-3</v>
      </c>
      <c r="Q655">
        <f t="shared" si="974"/>
        <v>-237.66097912688232</v>
      </c>
      <c r="R655">
        <f t="shared" si="975"/>
        <v>2323068.6262404416</v>
      </c>
      <c r="S655">
        <f t="shared" si="976"/>
        <v>23.230686262404415</v>
      </c>
      <c r="T655">
        <f t="shared" si="977"/>
        <v>2.3230686262404415E-2</v>
      </c>
    </row>
    <row r="656" spans="1:20" x14ac:dyDescent="0.25">
      <c r="A656" s="5">
        <v>43937</v>
      </c>
      <c r="B656">
        <v>70.7</v>
      </c>
      <c r="C656">
        <v>77.41</v>
      </c>
      <c r="D656">
        <v>67.45</v>
      </c>
      <c r="E656">
        <v>76.09</v>
      </c>
      <c r="F656">
        <v>137246.50524</v>
      </c>
      <c r="G656">
        <v>0</v>
      </c>
      <c r="L656" t="s">
        <v>7</v>
      </c>
      <c r="M656" t="s">
        <v>7</v>
      </c>
      <c r="N656" t="s">
        <v>8</v>
      </c>
      <c r="P656">
        <f t="shared" si="973"/>
        <v>0.73493975903614583</v>
      </c>
      <c r="Q656">
        <f t="shared" si="974"/>
        <v>100867.91348963873</v>
      </c>
      <c r="R656">
        <f t="shared" si="975"/>
        <v>2323306.2872195686</v>
      </c>
      <c r="S656">
        <f t="shared" si="976"/>
        <v>23.233062872195685</v>
      </c>
      <c r="T656">
        <f t="shared" si="977"/>
        <v>2.3233062872195686E-2</v>
      </c>
    </row>
    <row r="657" spans="1:20" x14ac:dyDescent="0.25">
      <c r="A657" s="5">
        <v>43936</v>
      </c>
      <c r="B657">
        <v>72.319999999999993</v>
      </c>
      <c r="C657">
        <v>73.709999999999994</v>
      </c>
      <c r="D657">
        <v>70.08</v>
      </c>
      <c r="E657">
        <v>70.7</v>
      </c>
      <c r="F657">
        <v>60325.398950000003</v>
      </c>
      <c r="G657">
        <v>0</v>
      </c>
      <c r="L657" t="s">
        <v>7</v>
      </c>
      <c r="M657" t="s">
        <v>8</v>
      </c>
      <c r="N657" t="s">
        <v>8</v>
      </c>
      <c r="P657">
        <f t="shared" si="973"/>
        <v>-0.65840220385674642</v>
      </c>
      <c r="Q657">
        <f t="shared" si="974"/>
        <v>-39718.375617217454</v>
      </c>
      <c r="R657">
        <f t="shared" si="975"/>
        <v>2222438.3737299298</v>
      </c>
      <c r="S657">
        <f t="shared" si="976"/>
        <v>22.224383737299299</v>
      </c>
      <c r="T657">
        <f t="shared" si="977"/>
        <v>2.2224383737299298E-2</v>
      </c>
    </row>
    <row r="658" spans="1:20" x14ac:dyDescent="0.25">
      <c r="A658" s="5">
        <v>43935</v>
      </c>
      <c r="B658">
        <v>73.180000000000007</v>
      </c>
      <c r="C658">
        <v>74.55</v>
      </c>
      <c r="D658">
        <v>71.86</v>
      </c>
      <c r="E658">
        <v>72.319999999999993</v>
      </c>
      <c r="F658">
        <v>84751.443400000004</v>
      </c>
      <c r="G658">
        <v>0</v>
      </c>
      <c r="L658" t="s">
        <v>7</v>
      </c>
      <c r="M658" t="s">
        <v>8</v>
      </c>
      <c r="N658" t="s">
        <v>8</v>
      </c>
      <c r="P658">
        <f t="shared" si="973"/>
        <v>-0.65799256505576642</v>
      </c>
      <c r="Q658">
        <f t="shared" si="974"/>
        <v>-55765.819634944608</v>
      </c>
      <c r="R658">
        <f t="shared" si="975"/>
        <v>2262156.7493471471</v>
      </c>
      <c r="S658">
        <f t="shared" si="976"/>
        <v>22.621567493471471</v>
      </c>
      <c r="T658">
        <f t="shared" si="977"/>
        <v>2.2621567493471471E-2</v>
      </c>
    </row>
    <row r="659" spans="1:20" x14ac:dyDescent="0.25">
      <c r="A659" s="5">
        <v>43934</v>
      </c>
      <c r="B659">
        <v>74.09</v>
      </c>
      <c r="C659">
        <v>74.09</v>
      </c>
      <c r="D659">
        <v>70.48</v>
      </c>
      <c r="E659">
        <v>73.13</v>
      </c>
      <c r="F659">
        <v>159135.83509000001</v>
      </c>
      <c r="G659">
        <v>0</v>
      </c>
      <c r="L659" t="s">
        <v>7</v>
      </c>
      <c r="M659" t="s">
        <v>8</v>
      </c>
      <c r="N659" t="s">
        <v>8</v>
      </c>
      <c r="P659">
        <f t="shared" si="973"/>
        <v>0.46814404432132517</v>
      </c>
      <c r="Q659">
        <f t="shared" si="974"/>
        <v>74498.493435484052</v>
      </c>
      <c r="R659">
        <f t="shared" si="975"/>
        <v>2317922.5689820917</v>
      </c>
      <c r="S659">
        <f t="shared" si="976"/>
        <v>23.179225689820917</v>
      </c>
      <c r="T659">
        <f t="shared" si="977"/>
        <v>2.3179225689820917E-2</v>
      </c>
    </row>
    <row r="660" spans="1:20" x14ac:dyDescent="0.25">
      <c r="A660" s="5">
        <v>43933</v>
      </c>
      <c r="B660">
        <v>74.98</v>
      </c>
      <c r="C660">
        <v>78.33</v>
      </c>
      <c r="D660">
        <v>72.91</v>
      </c>
      <c r="E660">
        <v>74.099999999999994</v>
      </c>
      <c r="F660">
        <v>136706.44746</v>
      </c>
      <c r="G660">
        <v>0</v>
      </c>
      <c r="L660" t="s">
        <v>7</v>
      </c>
      <c r="M660" t="s">
        <v>8</v>
      </c>
      <c r="N660" t="s">
        <v>8</v>
      </c>
      <c r="P660">
        <f t="shared" si="973"/>
        <v>-0.56088560885608951</v>
      </c>
      <c r="Q660">
        <f t="shared" si="974"/>
        <v>-76676.679018155104</v>
      </c>
      <c r="R660">
        <f t="shared" si="975"/>
        <v>2243424.0755466078</v>
      </c>
      <c r="S660">
        <f t="shared" si="976"/>
        <v>22.434240755466078</v>
      </c>
      <c r="T660">
        <f t="shared" si="977"/>
        <v>2.243424075546608E-2</v>
      </c>
    </row>
    <row r="661" spans="1:20" x14ac:dyDescent="0.25">
      <c r="A661" s="5">
        <v>43932</v>
      </c>
      <c r="B661">
        <v>74.099999999999994</v>
      </c>
      <c r="C661">
        <v>78.010000000000005</v>
      </c>
      <c r="D661">
        <v>73.05</v>
      </c>
      <c r="E661">
        <v>74.97</v>
      </c>
      <c r="F661">
        <v>196064.74127999999</v>
      </c>
      <c r="G661">
        <v>0</v>
      </c>
      <c r="L661" t="s">
        <v>8</v>
      </c>
      <c r="M661" t="s">
        <v>8</v>
      </c>
      <c r="N661" t="s">
        <v>8</v>
      </c>
      <c r="P661">
        <f t="shared" si="973"/>
        <v>-0.22580645161290377</v>
      </c>
      <c r="Q661">
        <f t="shared" si="974"/>
        <v>-44272.683514838813</v>
      </c>
      <c r="R661">
        <f t="shared" si="975"/>
        <v>2320100.754564763</v>
      </c>
      <c r="S661">
        <f t="shared" si="976"/>
        <v>23.201007545647631</v>
      </c>
      <c r="T661">
        <f t="shared" si="977"/>
        <v>2.320100754564763E-2</v>
      </c>
    </row>
    <row r="662" spans="1:20" x14ac:dyDescent="0.25">
      <c r="A662" s="5">
        <v>43931</v>
      </c>
      <c r="B662">
        <v>82.84</v>
      </c>
      <c r="C662">
        <v>83.29</v>
      </c>
      <c r="D662">
        <v>69.88</v>
      </c>
      <c r="E662">
        <v>74.099999999999994</v>
      </c>
      <c r="F662">
        <v>265980.02240000002</v>
      </c>
      <c r="G662">
        <v>0</v>
      </c>
      <c r="L662" t="s">
        <v>7</v>
      </c>
      <c r="M662" t="s">
        <v>8</v>
      </c>
      <c r="N662" t="s">
        <v>8</v>
      </c>
      <c r="P662">
        <f t="shared" si="973"/>
        <v>-0.37061894108874044</v>
      </c>
      <c r="Q662">
        <f t="shared" si="974"/>
        <v>-98577.234252647468</v>
      </c>
      <c r="R662">
        <f t="shared" si="975"/>
        <v>2364373.4380796021</v>
      </c>
      <c r="S662">
        <f t="shared" si="976"/>
        <v>23.643734380796023</v>
      </c>
      <c r="T662">
        <f t="shared" si="977"/>
        <v>2.3643734380796023E-2</v>
      </c>
    </row>
    <row r="663" spans="1:20" x14ac:dyDescent="0.25">
      <c r="A663" s="5">
        <v>43930</v>
      </c>
      <c r="B663">
        <v>75.52</v>
      </c>
      <c r="C663">
        <v>84.42</v>
      </c>
      <c r="D663">
        <v>74.03</v>
      </c>
      <c r="E663">
        <v>82.83</v>
      </c>
      <c r="F663">
        <v>224050.73019999999</v>
      </c>
      <c r="G663">
        <v>0</v>
      </c>
      <c r="L663" t="s">
        <v>8</v>
      </c>
      <c r="M663" t="s">
        <v>8</v>
      </c>
      <c r="N663" t="s">
        <v>8</v>
      </c>
      <c r="P663">
        <f t="shared" si="973"/>
        <v>0.69393647738209752</v>
      </c>
      <c r="Q663">
        <f t="shared" si="974"/>
        <v>155476.97446987472</v>
      </c>
      <c r="R663">
        <f t="shared" si="975"/>
        <v>2462950.6723322496</v>
      </c>
      <c r="S663">
        <f t="shared" si="976"/>
        <v>24.629506723322496</v>
      </c>
      <c r="T663">
        <f t="shared" si="977"/>
        <v>2.4629506723322495E-2</v>
      </c>
    </row>
    <row r="664" spans="1:20" x14ac:dyDescent="0.25">
      <c r="A664" s="5">
        <v>43929</v>
      </c>
      <c r="B664">
        <v>72.25</v>
      </c>
      <c r="C664">
        <v>76.599999999999994</v>
      </c>
      <c r="D664">
        <v>71.13</v>
      </c>
      <c r="E664">
        <v>75.52</v>
      </c>
      <c r="F664">
        <v>136538.15875999999</v>
      </c>
      <c r="G664">
        <v>0</v>
      </c>
      <c r="L664" t="s">
        <v>8</v>
      </c>
      <c r="M664" t="s">
        <v>8</v>
      </c>
      <c r="N664" t="s">
        <v>8</v>
      </c>
      <c r="P664">
        <f t="shared" si="973"/>
        <v>0.60511882998171895</v>
      </c>
      <c r="Q664">
        <f t="shared" si="974"/>
        <v>82621.81087670938</v>
      </c>
      <c r="R664">
        <f t="shared" si="975"/>
        <v>2307473.6978623751</v>
      </c>
      <c r="S664">
        <f t="shared" si="976"/>
        <v>23.074736978623751</v>
      </c>
      <c r="T664">
        <f t="shared" si="977"/>
        <v>2.307473697862375E-2</v>
      </c>
    </row>
    <row r="665" spans="1:20" x14ac:dyDescent="0.25">
      <c r="A665" s="5">
        <v>43928</v>
      </c>
      <c r="B665">
        <v>73.17</v>
      </c>
      <c r="C665">
        <v>76.16</v>
      </c>
      <c r="D665">
        <v>70.22</v>
      </c>
      <c r="E665">
        <v>72.22</v>
      </c>
      <c r="F665">
        <v>161074.78881999999</v>
      </c>
      <c r="G665">
        <v>0</v>
      </c>
      <c r="L665" t="s">
        <v>8</v>
      </c>
      <c r="M665" t="s">
        <v>8</v>
      </c>
      <c r="N665" t="s">
        <v>8</v>
      </c>
      <c r="P665">
        <f t="shared" si="973"/>
        <v>-0.32659932659932633</v>
      </c>
      <c r="Q665">
        <f t="shared" si="974"/>
        <v>-52606.917560740694</v>
      </c>
      <c r="R665">
        <f t="shared" si="975"/>
        <v>2224851.8869856657</v>
      </c>
      <c r="S665">
        <f t="shared" si="976"/>
        <v>22.248518869856657</v>
      </c>
      <c r="T665">
        <f t="shared" si="977"/>
        <v>2.2248518869856657E-2</v>
      </c>
    </row>
    <row r="666" spans="1:20" x14ac:dyDescent="0.25">
      <c r="A666" s="5">
        <v>43927</v>
      </c>
      <c r="B666">
        <v>66.88</v>
      </c>
      <c r="C666">
        <v>73.349999999999994</v>
      </c>
      <c r="D666">
        <v>66.819999999999993</v>
      </c>
      <c r="E666">
        <v>73.19</v>
      </c>
      <c r="F666">
        <v>141591.29831000001</v>
      </c>
      <c r="G666">
        <v>0</v>
      </c>
      <c r="L666" t="s">
        <v>8</v>
      </c>
      <c r="M666" t="s">
        <v>8</v>
      </c>
      <c r="N666" t="s">
        <v>8</v>
      </c>
      <c r="P666">
        <f t="shared" si="973"/>
        <v>0.95099540581929665</v>
      </c>
      <c r="Q666">
        <f t="shared" si="974"/>
        <v>134652.67419679955</v>
      </c>
      <c r="R666">
        <f t="shared" si="975"/>
        <v>2277458.8045464065</v>
      </c>
      <c r="S666">
        <f t="shared" si="976"/>
        <v>22.774588045464064</v>
      </c>
      <c r="T666">
        <f t="shared" si="977"/>
        <v>2.2774588045464065E-2</v>
      </c>
    </row>
    <row r="667" spans="1:20" x14ac:dyDescent="0.25">
      <c r="A667" s="5">
        <v>43926</v>
      </c>
      <c r="B667">
        <v>68.55</v>
      </c>
      <c r="C667">
        <v>68.78</v>
      </c>
      <c r="D667">
        <v>65.8</v>
      </c>
      <c r="E667">
        <v>66.89</v>
      </c>
      <c r="F667">
        <v>62283.818550000004</v>
      </c>
      <c r="G667">
        <v>0</v>
      </c>
      <c r="L667" t="s">
        <v>7</v>
      </c>
      <c r="M667" t="s">
        <v>7</v>
      </c>
      <c r="N667" t="s">
        <v>8</v>
      </c>
      <c r="P667">
        <f t="shared" si="973"/>
        <v>-0.26845637583892484</v>
      </c>
      <c r="Q667">
        <f t="shared" si="974"/>
        <v>-16720.488201342199</v>
      </c>
      <c r="R667">
        <f t="shared" si="975"/>
        <v>2142806.1303496067</v>
      </c>
      <c r="S667">
        <f t="shared" si="976"/>
        <v>21.428061303496069</v>
      </c>
      <c r="T667">
        <f t="shared" si="977"/>
        <v>2.142806130349607E-2</v>
      </c>
    </row>
    <row r="668" spans="1:20" x14ac:dyDescent="0.25">
      <c r="A668" s="5">
        <v>43925</v>
      </c>
      <c r="B668">
        <v>67.38</v>
      </c>
      <c r="C668">
        <v>69.37</v>
      </c>
      <c r="D668">
        <v>66.66</v>
      </c>
      <c r="E668">
        <v>68.459999999999994</v>
      </c>
      <c r="F668">
        <v>111380.92827999999</v>
      </c>
      <c r="G668">
        <v>0</v>
      </c>
      <c r="L668" t="s">
        <v>7</v>
      </c>
      <c r="M668" t="s">
        <v>7</v>
      </c>
      <c r="N668" t="s">
        <v>8</v>
      </c>
      <c r="P668">
        <f t="shared" si="973"/>
        <v>0.32841328413283533</v>
      </c>
      <c r="Q668">
        <f t="shared" si="974"/>
        <v>36578.976446198591</v>
      </c>
      <c r="R668">
        <f t="shared" si="975"/>
        <v>2159526.6185509488</v>
      </c>
      <c r="S668">
        <f t="shared" si="976"/>
        <v>21.595266185509487</v>
      </c>
      <c r="T668">
        <f t="shared" si="977"/>
        <v>2.1595266185509488E-2</v>
      </c>
    </row>
    <row r="669" spans="1:20" x14ac:dyDescent="0.25">
      <c r="A669" s="5">
        <v>43924</v>
      </c>
      <c r="B669">
        <v>67.5</v>
      </c>
      <c r="C669">
        <v>70.290000000000006</v>
      </c>
      <c r="D669">
        <v>66.209999999999994</v>
      </c>
      <c r="E669">
        <v>67.400000000000006</v>
      </c>
      <c r="F669">
        <v>94563.645269999994</v>
      </c>
      <c r="G669">
        <v>0</v>
      </c>
      <c r="L669" t="s">
        <v>7</v>
      </c>
      <c r="M669" t="s">
        <v>7</v>
      </c>
      <c r="N669" t="s">
        <v>8</v>
      </c>
      <c r="P669">
        <f t="shared" si="973"/>
        <v>-0.41666666666666258</v>
      </c>
      <c r="Q669">
        <f t="shared" si="974"/>
        <v>-39401.518862499608</v>
      </c>
      <c r="R669">
        <f t="shared" si="975"/>
        <v>2122947.64210475</v>
      </c>
      <c r="S669">
        <f t="shared" si="976"/>
        <v>21.229476421047501</v>
      </c>
      <c r="T669">
        <f t="shared" si="977"/>
        <v>2.12294764210475E-2</v>
      </c>
    </row>
    <row r="670" spans="1:20" x14ac:dyDescent="0.25">
      <c r="A670" s="5">
        <v>43923</v>
      </c>
      <c r="B670">
        <v>66.05</v>
      </c>
      <c r="C670">
        <v>71.760000000000005</v>
      </c>
      <c r="D670">
        <v>65.010000000000005</v>
      </c>
      <c r="E670">
        <v>67.510000000000005</v>
      </c>
      <c r="F670">
        <v>111332.83190999999</v>
      </c>
      <c r="G670">
        <v>0</v>
      </c>
      <c r="L670" t="s">
        <v>8</v>
      </c>
      <c r="M670" t="s">
        <v>7</v>
      </c>
      <c r="N670" t="s">
        <v>8</v>
      </c>
      <c r="P670">
        <f t="shared" si="973"/>
        <v>-0.25925925925925924</v>
      </c>
      <c r="Q670">
        <f t="shared" si="974"/>
        <v>-28864.06753222222</v>
      </c>
      <c r="R670">
        <f t="shared" si="975"/>
        <v>2162349.1609672494</v>
      </c>
      <c r="S670">
        <f t="shared" si="976"/>
        <v>21.623491609672495</v>
      </c>
      <c r="T670">
        <f t="shared" si="977"/>
        <v>2.1623491609672495E-2</v>
      </c>
    </row>
    <row r="671" spans="1:20" x14ac:dyDescent="0.25">
      <c r="A671" s="5">
        <v>43922</v>
      </c>
      <c r="B671">
        <v>64.98</v>
      </c>
      <c r="C671">
        <v>66.7</v>
      </c>
      <c r="D671">
        <v>62.4</v>
      </c>
      <c r="E671">
        <v>66.03</v>
      </c>
      <c r="F671">
        <v>83277.090299999996</v>
      </c>
      <c r="G671">
        <v>0</v>
      </c>
      <c r="L671" t="s">
        <v>7</v>
      </c>
      <c r="M671" t="s">
        <v>7</v>
      </c>
      <c r="N671" t="s">
        <v>8</v>
      </c>
      <c r="P671">
        <f t="shared" si="973"/>
        <v>0.6883720930232553</v>
      </c>
      <c r="Q671">
        <f t="shared" si="974"/>
        <v>57325.624950697631</v>
      </c>
      <c r="R671">
        <f t="shared" si="975"/>
        <v>2191213.2284994717</v>
      </c>
      <c r="S671">
        <f t="shared" si="976"/>
        <v>21.912132284994716</v>
      </c>
      <c r="T671">
        <f t="shared" si="977"/>
        <v>2.1912132284994716E-2</v>
      </c>
    </row>
    <row r="672" spans="1:20" x14ac:dyDescent="0.25">
      <c r="A672" s="5">
        <v>43921</v>
      </c>
      <c r="B672">
        <v>65.81</v>
      </c>
      <c r="C672">
        <v>66.400000000000006</v>
      </c>
      <c r="D672">
        <v>64.05</v>
      </c>
      <c r="E672">
        <v>64.97</v>
      </c>
      <c r="F672">
        <v>76470.952990000005</v>
      </c>
      <c r="G672">
        <v>0</v>
      </c>
      <c r="L672" t="s">
        <v>8</v>
      </c>
      <c r="M672" t="s">
        <v>7</v>
      </c>
      <c r="N672" t="s">
        <v>8</v>
      </c>
      <c r="P672">
        <f t="shared" si="973"/>
        <v>-0.21702127659574608</v>
      </c>
      <c r="Q672">
        <f t="shared" si="974"/>
        <v>-16595.823840383087</v>
      </c>
      <c r="R672">
        <f t="shared" si="975"/>
        <v>2133887.603548774</v>
      </c>
      <c r="S672">
        <f t="shared" si="976"/>
        <v>21.33887603548774</v>
      </c>
      <c r="T672">
        <f t="shared" si="977"/>
        <v>2.1338876035487741E-2</v>
      </c>
    </row>
    <row r="673" spans="1:20" x14ac:dyDescent="0.25">
      <c r="A673" s="5">
        <v>43920</v>
      </c>
      <c r="B673">
        <v>60.46</v>
      </c>
      <c r="C673">
        <v>67.47</v>
      </c>
      <c r="D673">
        <v>60.41</v>
      </c>
      <c r="E673">
        <v>65.81</v>
      </c>
      <c r="F673">
        <v>92652.39172</v>
      </c>
      <c r="G673">
        <v>0</v>
      </c>
      <c r="L673" t="s">
        <v>8</v>
      </c>
      <c r="M673" t="s">
        <v>7</v>
      </c>
      <c r="N673" t="s">
        <v>8</v>
      </c>
      <c r="P673">
        <f t="shared" si="973"/>
        <v>0.52974504249291898</v>
      </c>
      <c r="Q673">
        <f t="shared" si="974"/>
        <v>49082.145188781971</v>
      </c>
      <c r="R673">
        <f t="shared" si="975"/>
        <v>2150483.427389157</v>
      </c>
      <c r="S673">
        <f t="shared" si="976"/>
        <v>21.504834273891571</v>
      </c>
      <c r="T673">
        <f t="shared" si="977"/>
        <v>2.1504834273891573E-2</v>
      </c>
    </row>
    <row r="674" spans="1:20" x14ac:dyDescent="0.25">
      <c r="A674" s="5">
        <v>43919</v>
      </c>
      <c r="B674">
        <v>65.27</v>
      </c>
      <c r="C674">
        <v>65.8</v>
      </c>
      <c r="D674">
        <v>60.36</v>
      </c>
      <c r="E674">
        <v>60.46</v>
      </c>
      <c r="F674">
        <v>74588.724050000004</v>
      </c>
      <c r="G674">
        <v>0</v>
      </c>
      <c r="L674" t="s">
        <v>7</v>
      </c>
      <c r="M674" t="s">
        <v>7</v>
      </c>
      <c r="N674" t="s">
        <v>8</v>
      </c>
      <c r="P674">
        <f t="shared" si="973"/>
        <v>-0.96323529411764652</v>
      </c>
      <c r="Q674">
        <f t="shared" si="974"/>
        <v>-71846.491548161735</v>
      </c>
      <c r="R674">
        <f t="shared" si="975"/>
        <v>2101401.2822003751</v>
      </c>
      <c r="S674">
        <f t="shared" si="976"/>
        <v>21.01401282200375</v>
      </c>
      <c r="T674">
        <f t="shared" si="977"/>
        <v>2.1014012822003748E-2</v>
      </c>
    </row>
    <row r="675" spans="1:20" x14ac:dyDescent="0.25">
      <c r="A675" s="5">
        <v>43918</v>
      </c>
      <c r="B675">
        <v>67.59</v>
      </c>
      <c r="C675">
        <v>67.59</v>
      </c>
      <c r="D675">
        <v>61.93</v>
      </c>
      <c r="E675">
        <v>65.209999999999994</v>
      </c>
      <c r="F675">
        <v>155120.81075</v>
      </c>
      <c r="G675">
        <v>0</v>
      </c>
      <c r="L675" t="s">
        <v>7</v>
      </c>
      <c r="M675" t="s">
        <v>7</v>
      </c>
      <c r="N675" t="s">
        <v>8</v>
      </c>
      <c r="P675">
        <f t="shared" si="973"/>
        <v>0.15901060070671091</v>
      </c>
      <c r="Q675">
        <f t="shared" si="974"/>
        <v>24665.85329946952</v>
      </c>
      <c r="R675">
        <f t="shared" si="975"/>
        <v>2173247.7737485371</v>
      </c>
      <c r="S675">
        <f t="shared" si="976"/>
        <v>21.732477737485372</v>
      </c>
      <c r="T675">
        <f t="shared" si="977"/>
        <v>2.1732477737485371E-2</v>
      </c>
    </row>
    <row r="676" spans="1:20" x14ac:dyDescent="0.25">
      <c r="A676" s="5">
        <v>43917</v>
      </c>
      <c r="B676">
        <v>68.17</v>
      </c>
      <c r="C676">
        <v>73.08</v>
      </c>
      <c r="D676">
        <v>66.760000000000005</v>
      </c>
      <c r="E676">
        <v>67.59</v>
      </c>
      <c r="F676">
        <v>142671.23629999999</v>
      </c>
      <c r="G676">
        <v>0</v>
      </c>
      <c r="L676" t="s">
        <v>8</v>
      </c>
      <c r="M676" t="s">
        <v>7</v>
      </c>
      <c r="N676" t="s">
        <v>8</v>
      </c>
      <c r="P676">
        <f t="shared" si="973"/>
        <v>-0.737341772151899</v>
      </c>
      <c r="Q676">
        <f t="shared" si="974"/>
        <v>-105197.46220854434</v>
      </c>
      <c r="R676">
        <f t="shared" si="975"/>
        <v>2148581.9204490674</v>
      </c>
      <c r="S676">
        <f t="shared" si="976"/>
        <v>21.485819204490674</v>
      </c>
      <c r="T676">
        <f t="shared" si="977"/>
        <v>2.1485819204490674E-2</v>
      </c>
    </row>
    <row r="677" spans="1:20" x14ac:dyDescent="0.25">
      <c r="A677" s="5">
        <v>43916</v>
      </c>
      <c r="B677">
        <v>67.81</v>
      </c>
      <c r="C677">
        <v>68.650000000000006</v>
      </c>
      <c r="D677">
        <v>66.48</v>
      </c>
      <c r="E677">
        <v>68.23</v>
      </c>
      <c r="F677">
        <v>70904.734630000006</v>
      </c>
      <c r="G677">
        <v>0</v>
      </c>
      <c r="L677" t="s">
        <v>7</v>
      </c>
      <c r="M677" t="s">
        <v>7</v>
      </c>
      <c r="N677" t="s">
        <v>8</v>
      </c>
      <c r="P677">
        <f t="shared" si="973"/>
        <v>0.61290322580645029</v>
      </c>
      <c r="Q677">
        <f t="shared" si="974"/>
        <v>43457.740579677331</v>
      </c>
      <c r="R677">
        <f t="shared" si="975"/>
        <v>2253779.3826576117</v>
      </c>
      <c r="S677">
        <f t="shared" si="976"/>
        <v>22.537793826576117</v>
      </c>
      <c r="T677">
        <f t="shared" si="977"/>
        <v>2.2537793826576117E-2</v>
      </c>
    </row>
    <row r="678" spans="1:20" x14ac:dyDescent="0.25">
      <c r="A678" s="5">
        <v>43915</v>
      </c>
      <c r="B678">
        <v>69.510000000000005</v>
      </c>
      <c r="C678">
        <v>70.42</v>
      </c>
      <c r="D678">
        <v>66.23</v>
      </c>
      <c r="E678">
        <v>67.72</v>
      </c>
      <c r="F678">
        <v>104935.72796</v>
      </c>
      <c r="G678">
        <v>0</v>
      </c>
      <c r="L678" t="s">
        <v>7</v>
      </c>
      <c r="M678" t="s">
        <v>7</v>
      </c>
      <c r="N678" t="s">
        <v>8</v>
      </c>
      <c r="P678">
        <f t="shared" si="973"/>
        <v>-0.288782816229119</v>
      </c>
      <c r="Q678">
        <f t="shared" si="974"/>
        <v>-30303.635043341506</v>
      </c>
      <c r="R678">
        <f t="shared" si="975"/>
        <v>2210321.6420779345</v>
      </c>
      <c r="S678">
        <f t="shared" si="976"/>
        <v>22.103216420779344</v>
      </c>
      <c r="T678">
        <f t="shared" si="977"/>
        <v>2.2103216420779344E-2</v>
      </c>
    </row>
    <row r="679" spans="1:20" x14ac:dyDescent="0.25">
      <c r="A679" s="5">
        <v>43914</v>
      </c>
      <c r="B679">
        <v>70.84</v>
      </c>
      <c r="C679">
        <v>71.48</v>
      </c>
      <c r="D679">
        <v>67.06</v>
      </c>
      <c r="E679">
        <v>69.53</v>
      </c>
      <c r="F679">
        <v>126750.56914000001</v>
      </c>
      <c r="G679">
        <v>0</v>
      </c>
      <c r="L679" t="s">
        <v>8</v>
      </c>
      <c r="M679" t="s">
        <v>7</v>
      </c>
      <c r="N679" t="s">
        <v>8</v>
      </c>
      <c r="P679">
        <f t="shared" si="973"/>
        <v>0.11764705882352847</v>
      </c>
      <c r="Q679">
        <f t="shared" si="974"/>
        <v>14911.831663529292</v>
      </c>
      <c r="R679">
        <f t="shared" si="975"/>
        <v>2240625.2771212761</v>
      </c>
      <c r="S679">
        <f t="shared" si="976"/>
        <v>22.40625277121276</v>
      </c>
      <c r="T679">
        <f t="shared" si="977"/>
        <v>2.2406252771212758E-2</v>
      </c>
    </row>
    <row r="680" spans="1:20" x14ac:dyDescent="0.25">
      <c r="A680" s="5">
        <v>43913</v>
      </c>
      <c r="B680">
        <v>62.44</v>
      </c>
      <c r="C680">
        <v>71.349999999999994</v>
      </c>
      <c r="D680">
        <v>61.2</v>
      </c>
      <c r="E680">
        <v>70.87</v>
      </c>
      <c r="F680">
        <v>165283.61723</v>
      </c>
      <c r="G680">
        <v>0</v>
      </c>
      <c r="L680" t="s">
        <v>7</v>
      </c>
      <c r="M680" t="s">
        <v>7</v>
      </c>
      <c r="N680" t="s">
        <v>8</v>
      </c>
      <c r="P680">
        <f t="shared" si="973"/>
        <v>0.9054187192118246</v>
      </c>
      <c r="Q680">
        <f t="shared" si="974"/>
        <v>149650.88101908407</v>
      </c>
      <c r="R680">
        <f t="shared" si="975"/>
        <v>2225713.4454577467</v>
      </c>
      <c r="S680">
        <f t="shared" si="976"/>
        <v>22.257134454577468</v>
      </c>
      <c r="T680">
        <f t="shared" si="977"/>
        <v>2.2257134454577467E-2</v>
      </c>
    </row>
    <row r="681" spans="1:20" x14ac:dyDescent="0.25">
      <c r="A681" s="5">
        <v>43912</v>
      </c>
      <c r="B681">
        <v>71.37</v>
      </c>
      <c r="C681">
        <v>73.56</v>
      </c>
      <c r="D681">
        <v>61.64</v>
      </c>
      <c r="E681">
        <v>62.44</v>
      </c>
      <c r="F681">
        <v>213394.9344</v>
      </c>
      <c r="G681">
        <v>0</v>
      </c>
      <c r="L681" t="s">
        <v>7</v>
      </c>
      <c r="M681" t="s">
        <v>7</v>
      </c>
      <c r="N681" t="s">
        <v>8</v>
      </c>
      <c r="P681">
        <f t="shared" si="973"/>
        <v>-0.86577181208053744</v>
      </c>
      <c r="Q681">
        <f t="shared" si="974"/>
        <v>-184751.31904429541</v>
      </c>
      <c r="R681">
        <f t="shared" si="975"/>
        <v>2076062.5644386627</v>
      </c>
      <c r="S681">
        <f t="shared" si="976"/>
        <v>20.760625644386629</v>
      </c>
      <c r="T681">
        <f t="shared" si="977"/>
        <v>2.0760625644386629E-2</v>
      </c>
    </row>
    <row r="682" spans="1:20" x14ac:dyDescent="0.25">
      <c r="A682" s="5">
        <v>43911</v>
      </c>
      <c r="B682">
        <v>71.760000000000005</v>
      </c>
      <c r="C682">
        <v>75.569999999999993</v>
      </c>
      <c r="D682">
        <v>67.63</v>
      </c>
      <c r="E682">
        <v>71.37</v>
      </c>
      <c r="F682">
        <v>298477.33756999997</v>
      </c>
      <c r="G682">
        <v>0</v>
      </c>
      <c r="L682" t="s">
        <v>7</v>
      </c>
      <c r="M682" t="s">
        <v>8</v>
      </c>
      <c r="N682" t="s">
        <v>8</v>
      </c>
      <c r="P682">
        <f t="shared" si="973"/>
        <v>-5.7934508816118349E-2</v>
      </c>
      <c r="Q682">
        <f t="shared" si="974"/>
        <v>-17292.137944860697</v>
      </c>
      <c r="R682">
        <f t="shared" si="975"/>
        <v>2260813.8834829582</v>
      </c>
      <c r="S682">
        <f t="shared" si="976"/>
        <v>22.608138834829582</v>
      </c>
      <c r="T682">
        <f t="shared" si="977"/>
        <v>2.260813883482958E-2</v>
      </c>
    </row>
    <row r="683" spans="1:20" x14ac:dyDescent="0.25">
      <c r="A683" s="5">
        <v>43910</v>
      </c>
      <c r="B683">
        <v>65.53</v>
      </c>
      <c r="C683">
        <v>77.97</v>
      </c>
      <c r="D683">
        <v>62.44</v>
      </c>
      <c r="E683">
        <v>71.78</v>
      </c>
      <c r="F683">
        <v>362997.64844000002</v>
      </c>
      <c r="G683">
        <v>0</v>
      </c>
      <c r="L683" t="s">
        <v>8</v>
      </c>
      <c r="M683" t="s">
        <v>8</v>
      </c>
      <c r="N683" t="s">
        <v>8</v>
      </c>
      <c r="P683">
        <f t="shared" si="973"/>
        <v>0.20283322601416648</v>
      </c>
      <c r="Q683">
        <f t="shared" si="974"/>
        <v>73627.984068641468</v>
      </c>
      <c r="R683">
        <f t="shared" si="975"/>
        <v>2278106.021427819</v>
      </c>
      <c r="S683">
        <f t="shared" si="976"/>
        <v>22.781060214278192</v>
      </c>
      <c r="T683">
        <f t="shared" si="977"/>
        <v>2.2781060214278191E-2</v>
      </c>
    </row>
    <row r="684" spans="1:20" x14ac:dyDescent="0.25">
      <c r="A684" s="5">
        <v>43909</v>
      </c>
      <c r="B684">
        <v>62.5</v>
      </c>
      <c r="C684">
        <v>70.09</v>
      </c>
      <c r="D684">
        <v>56.61</v>
      </c>
      <c r="E684">
        <v>65.47</v>
      </c>
      <c r="F684">
        <v>372525.60411000001</v>
      </c>
      <c r="G684">
        <v>0</v>
      </c>
      <c r="L684" t="s">
        <v>8</v>
      </c>
      <c r="M684" t="s">
        <v>8</v>
      </c>
      <c r="N684" t="s">
        <v>8</v>
      </c>
      <c r="P684">
        <f t="shared" si="973"/>
        <v>0.31454005934718055</v>
      </c>
      <c r="Q684">
        <f t="shared" si="974"/>
        <v>117174.22562510369</v>
      </c>
      <c r="R684">
        <f t="shared" si="975"/>
        <v>2204478.0373591776</v>
      </c>
      <c r="S684">
        <f t="shared" si="976"/>
        <v>22.044780373591777</v>
      </c>
      <c r="T684">
        <f t="shared" si="977"/>
        <v>2.2044780373591779E-2</v>
      </c>
    </row>
    <row r="685" spans="1:20" x14ac:dyDescent="0.25">
      <c r="A685" s="5">
        <v>43908</v>
      </c>
      <c r="B685">
        <v>45.58</v>
      </c>
      <c r="C685">
        <v>63</v>
      </c>
      <c r="D685">
        <v>45</v>
      </c>
      <c r="E685">
        <v>62.64</v>
      </c>
      <c r="F685">
        <v>373823.33500000002</v>
      </c>
      <c r="G685">
        <v>0</v>
      </c>
      <c r="L685" t="s">
        <v>8</v>
      </c>
      <c r="M685" t="s">
        <v>8</v>
      </c>
      <c r="N685" t="s">
        <v>8</v>
      </c>
      <c r="P685">
        <f t="shared" si="973"/>
        <v>0.96000000000000008</v>
      </c>
      <c r="Q685">
        <f t="shared" si="974"/>
        <v>358870.40160000004</v>
      </c>
      <c r="R685">
        <f t="shared" si="975"/>
        <v>2087303.811734074</v>
      </c>
      <c r="S685">
        <f t="shared" si="976"/>
        <v>20.873038117340741</v>
      </c>
      <c r="T685">
        <f t="shared" si="977"/>
        <v>2.0873038117340741E-2</v>
      </c>
    </row>
    <row r="686" spans="1:20" x14ac:dyDescent="0.25">
      <c r="A686" s="5">
        <v>43907</v>
      </c>
      <c r="B686">
        <v>43.12</v>
      </c>
      <c r="C686">
        <v>46.8</v>
      </c>
      <c r="D686">
        <v>42.33</v>
      </c>
      <c r="E686">
        <v>45.57</v>
      </c>
      <c r="F686">
        <v>122766.30757</v>
      </c>
      <c r="G686">
        <v>0</v>
      </c>
      <c r="L686" t="s">
        <v>8</v>
      </c>
      <c r="M686" t="s">
        <v>8</v>
      </c>
      <c r="N686" t="s">
        <v>8</v>
      </c>
      <c r="P686">
        <f t="shared" si="973"/>
        <v>0.44966442953020258</v>
      </c>
      <c r="Q686">
        <f t="shared" si="974"/>
        <v>55203.641658993445</v>
      </c>
      <c r="R686">
        <f t="shared" si="975"/>
        <v>1728433.410134074</v>
      </c>
      <c r="S686">
        <f t="shared" si="976"/>
        <v>17.28433410134074</v>
      </c>
      <c r="T686">
        <f t="shared" si="977"/>
        <v>1.728433410134074E-2</v>
      </c>
    </row>
    <row r="687" spans="1:20" x14ac:dyDescent="0.25">
      <c r="A687" s="5">
        <v>43906</v>
      </c>
      <c r="B687">
        <v>47.23</v>
      </c>
      <c r="C687">
        <v>47.69</v>
      </c>
      <c r="D687">
        <v>38.49</v>
      </c>
      <c r="E687">
        <v>43.12</v>
      </c>
      <c r="F687">
        <v>164413.95329</v>
      </c>
      <c r="G687">
        <v>0</v>
      </c>
      <c r="L687" t="s">
        <v>7</v>
      </c>
      <c r="M687" t="s">
        <v>7</v>
      </c>
      <c r="N687" t="s">
        <v>8</v>
      </c>
      <c r="P687">
        <f t="shared" si="973"/>
        <v>6.5217391304342601E-3</v>
      </c>
      <c r="Q687">
        <f t="shared" si="974"/>
        <v>1072.2649127607838</v>
      </c>
      <c r="R687">
        <f t="shared" si="975"/>
        <v>1673229.7684750806</v>
      </c>
      <c r="S687">
        <f t="shared" si="976"/>
        <v>16.732297684750804</v>
      </c>
      <c r="T687">
        <f t="shared" si="977"/>
        <v>1.6732297684750805E-2</v>
      </c>
    </row>
    <row r="688" spans="1:20" x14ac:dyDescent="0.25">
      <c r="A688" s="5">
        <v>43905</v>
      </c>
      <c r="B688">
        <v>45.94</v>
      </c>
      <c r="C688">
        <v>50.91</v>
      </c>
      <c r="D688">
        <v>45.4</v>
      </c>
      <c r="E688">
        <v>47.31</v>
      </c>
      <c r="F688">
        <v>92324.254870000004</v>
      </c>
      <c r="G688">
        <v>0</v>
      </c>
      <c r="L688" t="s">
        <v>7</v>
      </c>
      <c r="M688" t="s">
        <v>8</v>
      </c>
      <c r="N688" t="s">
        <v>8</v>
      </c>
      <c r="P688">
        <f t="shared" si="973"/>
        <v>-0.30671506352086952</v>
      </c>
      <c r="Q688">
        <f t="shared" si="974"/>
        <v>-28317.239696968998</v>
      </c>
      <c r="R688">
        <f t="shared" si="975"/>
        <v>1672157.5035623198</v>
      </c>
      <c r="S688">
        <f t="shared" si="976"/>
        <v>16.721575035623196</v>
      </c>
      <c r="T688">
        <f t="shared" si="977"/>
        <v>1.6721575035623198E-2</v>
      </c>
    </row>
    <row r="689" spans="1:20" x14ac:dyDescent="0.25">
      <c r="A689" s="5">
        <v>43904</v>
      </c>
      <c r="B689">
        <v>51.21</v>
      </c>
      <c r="C689">
        <v>51.21</v>
      </c>
      <c r="D689">
        <v>45.13</v>
      </c>
      <c r="E689">
        <v>45.97</v>
      </c>
      <c r="F689">
        <v>138714.83937</v>
      </c>
      <c r="G689">
        <v>0</v>
      </c>
      <c r="L689" t="s">
        <v>8</v>
      </c>
      <c r="M689" t="s">
        <v>8</v>
      </c>
      <c r="N689" t="s">
        <v>8</v>
      </c>
      <c r="P689">
        <f t="shared" si="973"/>
        <v>-0.72368421052631693</v>
      </c>
      <c r="Q689">
        <f t="shared" si="974"/>
        <v>-100385.73901776332</v>
      </c>
      <c r="R689">
        <f t="shared" si="975"/>
        <v>1700474.7432592888</v>
      </c>
      <c r="S689">
        <f t="shared" si="976"/>
        <v>17.00474743259289</v>
      </c>
      <c r="T689">
        <f t="shared" si="977"/>
        <v>1.7004747432592889E-2</v>
      </c>
    </row>
    <row r="690" spans="1:20" x14ac:dyDescent="0.25">
      <c r="A690" s="5">
        <v>43903</v>
      </c>
      <c r="B690">
        <v>44.38</v>
      </c>
      <c r="C690">
        <v>53</v>
      </c>
      <c r="D690">
        <v>31.33</v>
      </c>
      <c r="E690">
        <v>51.16</v>
      </c>
      <c r="F690">
        <v>303365.10054000001</v>
      </c>
      <c r="G690">
        <v>0</v>
      </c>
      <c r="L690" t="s">
        <v>7</v>
      </c>
      <c r="M690" t="s">
        <v>7</v>
      </c>
      <c r="N690" t="s">
        <v>7</v>
      </c>
      <c r="P690">
        <f t="shared" si="973"/>
        <v>0.83017997231195173</v>
      </c>
      <c r="Q690">
        <f t="shared" si="974"/>
        <v>251847.63076670966</v>
      </c>
      <c r="R690">
        <f t="shared" si="975"/>
        <v>1800860.4822770522</v>
      </c>
      <c r="S690">
        <f t="shared" si="976"/>
        <v>18.008604822770522</v>
      </c>
      <c r="T690">
        <f t="shared" si="977"/>
        <v>1.8008604822770523E-2</v>
      </c>
    </row>
    <row r="691" spans="1:20" x14ac:dyDescent="0.25">
      <c r="A691" s="5">
        <v>43902</v>
      </c>
      <c r="B691">
        <v>72.239999999999995</v>
      </c>
      <c r="C691">
        <v>72.55</v>
      </c>
      <c r="D691">
        <v>40.98</v>
      </c>
      <c r="E691">
        <v>44.4</v>
      </c>
      <c r="F691">
        <v>257910.65484999999</v>
      </c>
      <c r="G691">
        <v>0</v>
      </c>
      <c r="L691" t="s">
        <v>7</v>
      </c>
      <c r="M691" t="s">
        <v>7</v>
      </c>
      <c r="N691" t="s">
        <v>7</v>
      </c>
      <c r="P691">
        <f t="shared" si="973"/>
        <v>-0.78333861260690518</v>
      </c>
      <c r="Q691">
        <f t="shared" si="974"/>
        <v>-202031.37454673738</v>
      </c>
      <c r="R691">
        <f t="shared" si="975"/>
        <v>1549012.8515103427</v>
      </c>
      <c r="S691">
        <f t="shared" si="976"/>
        <v>15.490128515103427</v>
      </c>
      <c r="T691">
        <f t="shared" si="977"/>
        <v>1.5490128515103428E-2</v>
      </c>
    </row>
    <row r="692" spans="1:20" x14ac:dyDescent="0.25">
      <c r="A692" s="5">
        <v>43901</v>
      </c>
      <c r="B692">
        <v>74.73</v>
      </c>
      <c r="C692">
        <v>75.34</v>
      </c>
      <c r="D692">
        <v>67.11</v>
      </c>
      <c r="E692">
        <v>72.239999999999995</v>
      </c>
      <c r="F692">
        <v>84538.988450000004</v>
      </c>
      <c r="G692">
        <v>0</v>
      </c>
      <c r="L692" t="s">
        <v>7</v>
      </c>
      <c r="M692" t="s">
        <v>7</v>
      </c>
      <c r="N692" t="s">
        <v>7</v>
      </c>
      <c r="P692">
        <f t="shared" si="973"/>
        <v>0.24665856622114046</v>
      </c>
      <c r="Q692">
        <f t="shared" si="974"/>
        <v>20852.265680862554</v>
      </c>
      <c r="R692">
        <f t="shared" si="975"/>
        <v>1751044.2260570801</v>
      </c>
      <c r="S692">
        <f t="shared" si="976"/>
        <v>17.510442260570802</v>
      </c>
      <c r="T692">
        <f t="shared" si="977"/>
        <v>1.7510442260570802E-2</v>
      </c>
    </row>
    <row r="693" spans="1:20" x14ac:dyDescent="0.25">
      <c r="A693" s="5">
        <v>43900</v>
      </c>
      <c r="B693">
        <v>73.61</v>
      </c>
      <c r="C693">
        <v>76.400000000000006</v>
      </c>
      <c r="D693">
        <v>71.400000000000006</v>
      </c>
      <c r="E693">
        <v>74.599999999999994</v>
      </c>
      <c r="F693">
        <v>96811.514859999996</v>
      </c>
      <c r="G693">
        <v>0</v>
      </c>
      <c r="L693" t="s">
        <v>8</v>
      </c>
      <c r="M693" t="s">
        <v>7</v>
      </c>
      <c r="N693" t="s">
        <v>7</v>
      </c>
      <c r="P693">
        <f t="shared" si="973"/>
        <v>0.27999999999999547</v>
      </c>
      <c r="Q693">
        <f t="shared" si="974"/>
        <v>27107.22416079956</v>
      </c>
      <c r="R693">
        <f t="shared" si="975"/>
        <v>1730191.9603762175</v>
      </c>
      <c r="S693">
        <f t="shared" si="976"/>
        <v>17.301919603762176</v>
      </c>
      <c r="T693">
        <f t="shared" si="977"/>
        <v>1.7301919603762175E-2</v>
      </c>
    </row>
    <row r="694" spans="1:20" x14ac:dyDescent="0.25">
      <c r="A694" s="5">
        <v>43899</v>
      </c>
      <c r="B694">
        <v>73.739999999999995</v>
      </c>
      <c r="C694">
        <v>75.62</v>
      </c>
      <c r="D694">
        <v>67.709999999999994</v>
      </c>
      <c r="E694">
        <v>73.650000000000006</v>
      </c>
      <c r="F694">
        <v>159048.24197999999</v>
      </c>
      <c r="G694">
        <v>0</v>
      </c>
      <c r="L694" t="s">
        <v>7</v>
      </c>
      <c r="M694" t="s">
        <v>7</v>
      </c>
      <c r="N694" t="s">
        <v>7</v>
      </c>
      <c r="P694">
        <f t="shared" si="973"/>
        <v>0.50189633375474185</v>
      </c>
      <c r="Q694">
        <f t="shared" si="974"/>
        <v>79825.729539899025</v>
      </c>
      <c r="R694">
        <f t="shared" si="975"/>
        <v>1703084.736215418</v>
      </c>
      <c r="S694">
        <f t="shared" si="976"/>
        <v>17.03084736215418</v>
      </c>
      <c r="T694">
        <f t="shared" si="977"/>
        <v>1.703084736215418E-2</v>
      </c>
    </row>
    <row r="695" spans="1:20" x14ac:dyDescent="0.25">
      <c r="A695" s="5">
        <v>43898</v>
      </c>
      <c r="B695">
        <v>88.11</v>
      </c>
      <c r="C695">
        <v>88.11</v>
      </c>
      <c r="D695">
        <v>72.760000000000005</v>
      </c>
      <c r="E695">
        <v>73.7</v>
      </c>
      <c r="F695">
        <v>115784.84570000001</v>
      </c>
      <c r="G695">
        <v>0</v>
      </c>
      <c r="L695" t="s">
        <v>7</v>
      </c>
      <c r="M695" t="s">
        <v>7</v>
      </c>
      <c r="N695" t="s">
        <v>7</v>
      </c>
      <c r="P695">
        <f t="shared" si="973"/>
        <v>-0.87752442996742697</v>
      </c>
      <c r="Q695">
        <f t="shared" si="974"/>
        <v>-101604.03072175899</v>
      </c>
      <c r="R695">
        <f t="shared" si="975"/>
        <v>1623259.006675519</v>
      </c>
      <c r="S695">
        <f t="shared" si="976"/>
        <v>16.23259006675519</v>
      </c>
      <c r="T695">
        <f t="shared" si="977"/>
        <v>1.623259006675519E-2</v>
      </c>
    </row>
    <row r="696" spans="1:20" x14ac:dyDescent="0.25">
      <c r="A696" s="5">
        <v>43897</v>
      </c>
      <c r="B696">
        <v>93.93</v>
      </c>
      <c r="C696">
        <v>94.25</v>
      </c>
      <c r="D696">
        <v>87.39</v>
      </c>
      <c r="E696">
        <v>88.12</v>
      </c>
      <c r="F696">
        <v>50339.224199999997</v>
      </c>
      <c r="G696">
        <v>0</v>
      </c>
      <c r="L696" t="s">
        <v>7</v>
      </c>
      <c r="M696" t="s">
        <v>8</v>
      </c>
      <c r="N696" t="s">
        <v>7</v>
      </c>
      <c r="P696">
        <f t="shared" si="973"/>
        <v>-0.78717201166180639</v>
      </c>
      <c r="Q696">
        <f t="shared" si="974"/>
        <v>-39625.628379008682</v>
      </c>
      <c r="R696">
        <f t="shared" si="975"/>
        <v>1724863.037397278</v>
      </c>
      <c r="S696">
        <f t="shared" si="976"/>
        <v>17.24863037397278</v>
      </c>
      <c r="T696">
        <f t="shared" si="977"/>
        <v>1.7248630373972781E-2</v>
      </c>
    </row>
    <row r="697" spans="1:20" x14ac:dyDescent="0.25">
      <c r="A697" s="5">
        <v>43896</v>
      </c>
      <c r="B697">
        <v>89.8</v>
      </c>
      <c r="C697">
        <v>94.24</v>
      </c>
      <c r="D697">
        <v>89.01</v>
      </c>
      <c r="E697">
        <v>93.94</v>
      </c>
      <c r="F697">
        <v>60705.255799999999</v>
      </c>
      <c r="G697">
        <v>0</v>
      </c>
      <c r="L697" t="s">
        <v>8</v>
      </c>
      <c r="M697" t="s">
        <v>8</v>
      </c>
      <c r="N697" t="s">
        <v>7</v>
      </c>
      <c r="P697">
        <f t="shared" si="973"/>
        <v>0.8852772466539206</v>
      </c>
      <c r="Q697">
        <f t="shared" si="974"/>
        <v>53740.981712045941</v>
      </c>
      <c r="R697">
        <f t="shared" si="975"/>
        <v>1764488.6657762867</v>
      </c>
      <c r="S697">
        <f t="shared" si="976"/>
        <v>17.644886657762868</v>
      </c>
      <c r="T697">
        <f t="shared" si="977"/>
        <v>1.7644886657762867E-2</v>
      </c>
    </row>
    <row r="698" spans="1:20" x14ac:dyDescent="0.25">
      <c r="A698" s="5">
        <v>43895</v>
      </c>
      <c r="B698">
        <v>86.88</v>
      </c>
      <c r="C698">
        <v>92.53</v>
      </c>
      <c r="D698">
        <v>86.86</v>
      </c>
      <c r="E698">
        <v>89.87</v>
      </c>
      <c r="F698">
        <v>57209.496039999998</v>
      </c>
      <c r="G698">
        <v>0</v>
      </c>
      <c r="L698" t="s">
        <v>8</v>
      </c>
      <c r="M698" t="s">
        <v>8</v>
      </c>
      <c r="N698" t="s">
        <v>7</v>
      </c>
      <c r="P698">
        <f t="shared" si="973"/>
        <v>6.1728395061729883E-2</v>
      </c>
      <c r="Q698">
        <f t="shared" si="974"/>
        <v>3531.4503728395912</v>
      </c>
      <c r="R698">
        <f t="shared" si="975"/>
        <v>1710747.6840642409</v>
      </c>
      <c r="S698">
        <f t="shared" si="976"/>
        <v>17.107476840642409</v>
      </c>
      <c r="T698">
        <f t="shared" si="977"/>
        <v>1.710747684064241E-2</v>
      </c>
    </row>
    <row r="699" spans="1:20" x14ac:dyDescent="0.25">
      <c r="A699" s="5">
        <v>43894</v>
      </c>
      <c r="B699">
        <v>88.57</v>
      </c>
      <c r="C699">
        <v>90.05</v>
      </c>
      <c r="D699">
        <v>85.36</v>
      </c>
      <c r="E699">
        <v>86.88</v>
      </c>
      <c r="F699">
        <v>35757.869850000003</v>
      </c>
      <c r="G699">
        <v>0</v>
      </c>
      <c r="L699" t="s">
        <v>7</v>
      </c>
      <c r="M699" t="s">
        <v>8</v>
      </c>
      <c r="N699" t="s">
        <v>7</v>
      </c>
      <c r="P699">
        <f t="shared" si="973"/>
        <v>-0.35181236673774124</v>
      </c>
      <c r="Q699">
        <f t="shared" si="974"/>
        <v>-12580.060821428622</v>
      </c>
      <c r="R699">
        <f t="shared" si="975"/>
        <v>1707216.2336914013</v>
      </c>
      <c r="S699">
        <f t="shared" si="976"/>
        <v>17.072162336914012</v>
      </c>
      <c r="T699">
        <f t="shared" si="977"/>
        <v>1.7072162336914012E-2</v>
      </c>
    </row>
    <row r="700" spans="1:20" x14ac:dyDescent="0.25">
      <c r="A700" s="5">
        <v>43893</v>
      </c>
      <c r="B700">
        <v>90.31</v>
      </c>
      <c r="C700">
        <v>90.62</v>
      </c>
      <c r="D700">
        <v>87.04</v>
      </c>
      <c r="E700">
        <v>88.56</v>
      </c>
      <c r="F700">
        <v>54079.454019999997</v>
      </c>
      <c r="G700">
        <v>0</v>
      </c>
      <c r="L700" t="s">
        <v>8</v>
      </c>
      <c r="M700" t="s">
        <v>8</v>
      </c>
      <c r="N700" t="s">
        <v>7</v>
      </c>
      <c r="P700">
        <f t="shared" si="973"/>
        <v>-0.15083798882681745</v>
      </c>
      <c r="Q700">
        <f t="shared" si="974"/>
        <v>-8157.2360812291481</v>
      </c>
      <c r="R700">
        <f t="shared" si="975"/>
        <v>1719796.29451283</v>
      </c>
      <c r="S700">
        <f t="shared" si="976"/>
        <v>17.1979629451283</v>
      </c>
      <c r="T700">
        <f t="shared" si="977"/>
        <v>1.7197962945128299E-2</v>
      </c>
    </row>
    <row r="701" spans="1:20" x14ac:dyDescent="0.25">
      <c r="A701" s="5">
        <v>43892</v>
      </c>
      <c r="B701">
        <v>84.58</v>
      </c>
      <c r="C701">
        <v>92.04</v>
      </c>
      <c r="D701">
        <v>84.05</v>
      </c>
      <c r="E701">
        <v>90.26</v>
      </c>
      <c r="F701">
        <v>85511.560649999999</v>
      </c>
      <c r="G701">
        <v>0</v>
      </c>
      <c r="L701" t="s">
        <v>8</v>
      </c>
      <c r="M701" t="s">
        <v>8</v>
      </c>
      <c r="N701" t="s">
        <v>7</v>
      </c>
      <c r="P701">
        <f t="shared" si="973"/>
        <v>0.55444305381727177</v>
      </c>
      <c r="Q701">
        <f t="shared" si="974"/>
        <v>47411.29082346685</v>
      </c>
      <c r="R701">
        <f t="shared" si="975"/>
        <v>1727953.530594059</v>
      </c>
      <c r="S701">
        <f t="shared" si="976"/>
        <v>17.279535305940591</v>
      </c>
      <c r="T701">
        <f t="shared" si="977"/>
        <v>1.7279535305940591E-2</v>
      </c>
    </row>
    <row r="702" spans="1:20" x14ac:dyDescent="0.25">
      <c r="A702" s="5">
        <v>43891</v>
      </c>
      <c r="B702">
        <v>85.24</v>
      </c>
      <c r="C702">
        <v>89.98</v>
      </c>
      <c r="D702">
        <v>83.02</v>
      </c>
      <c r="E702">
        <v>84.59</v>
      </c>
      <c r="F702">
        <v>74133.243419999999</v>
      </c>
      <c r="G702">
        <v>0</v>
      </c>
      <c r="L702" t="s">
        <v>7</v>
      </c>
      <c r="M702" t="s">
        <v>8</v>
      </c>
      <c r="N702" t="s">
        <v>7</v>
      </c>
      <c r="P702">
        <f t="shared" si="973"/>
        <v>-0.54885057471264209</v>
      </c>
      <c r="Q702">
        <f t="shared" si="974"/>
        <v>-40688.07325637919</v>
      </c>
      <c r="R702">
        <f t="shared" si="975"/>
        <v>1680542.2397705922</v>
      </c>
      <c r="S702">
        <f t="shared" si="976"/>
        <v>16.805422397705922</v>
      </c>
      <c r="T702">
        <f t="shared" si="977"/>
        <v>1.6805422397705921E-2</v>
      </c>
    </row>
    <row r="703" spans="1:20" x14ac:dyDescent="0.25">
      <c r="A703" s="5">
        <v>43890</v>
      </c>
      <c r="B703">
        <v>88.02</v>
      </c>
      <c r="C703">
        <v>90.38</v>
      </c>
      <c r="D703">
        <v>85.03</v>
      </c>
      <c r="E703">
        <v>85.35</v>
      </c>
      <c r="F703">
        <v>62442.928720000004</v>
      </c>
      <c r="G703">
        <v>0</v>
      </c>
      <c r="L703" t="s">
        <v>8</v>
      </c>
      <c r="M703" t="s">
        <v>8</v>
      </c>
      <c r="N703" t="s">
        <v>7</v>
      </c>
      <c r="P703">
        <f t="shared" si="973"/>
        <v>-0.88037383177570339</v>
      </c>
      <c r="Q703">
        <f t="shared" si="974"/>
        <v>-54973.12042452352</v>
      </c>
      <c r="R703">
        <f t="shared" si="975"/>
        <v>1721230.3130269714</v>
      </c>
      <c r="S703">
        <f t="shared" si="976"/>
        <v>17.212303130269714</v>
      </c>
      <c r="T703">
        <f t="shared" si="977"/>
        <v>1.7212303130269713E-2</v>
      </c>
    </row>
    <row r="704" spans="1:20" x14ac:dyDescent="0.25">
      <c r="A704" s="5">
        <v>43889</v>
      </c>
      <c r="B704">
        <v>89.88</v>
      </c>
      <c r="C704">
        <v>92.87</v>
      </c>
      <c r="D704">
        <v>83.03</v>
      </c>
      <c r="E704">
        <v>88.09</v>
      </c>
      <c r="F704">
        <v>152053.62302</v>
      </c>
      <c r="G704">
        <v>0</v>
      </c>
      <c r="L704" t="s">
        <v>7</v>
      </c>
      <c r="M704" t="s">
        <v>8</v>
      </c>
      <c r="N704" t="s">
        <v>7</v>
      </c>
      <c r="P704">
        <f t="shared" si="973"/>
        <v>2.8455284552845635E-2</v>
      </c>
      <c r="Q704">
        <f t="shared" si="974"/>
        <v>4326.7291103252192</v>
      </c>
      <c r="R704">
        <f t="shared" si="975"/>
        <v>1776203.4334514949</v>
      </c>
      <c r="S704">
        <f t="shared" si="976"/>
        <v>17.762034334514951</v>
      </c>
      <c r="T704">
        <f t="shared" si="977"/>
        <v>1.776203433451495E-2</v>
      </c>
    </row>
    <row r="705" spans="1:20" x14ac:dyDescent="0.25">
      <c r="A705" s="5">
        <v>43888</v>
      </c>
      <c r="B705">
        <v>84.33</v>
      </c>
      <c r="C705">
        <v>94.2</v>
      </c>
      <c r="D705">
        <v>79.73</v>
      </c>
      <c r="E705">
        <v>89.88</v>
      </c>
      <c r="F705">
        <v>159594.60258999999</v>
      </c>
      <c r="G705">
        <v>0</v>
      </c>
      <c r="L705" t="s">
        <v>8</v>
      </c>
      <c r="M705" t="s">
        <v>8</v>
      </c>
      <c r="N705" t="s">
        <v>7</v>
      </c>
      <c r="P705">
        <f t="shared" si="973"/>
        <v>0.40290255701451172</v>
      </c>
      <c r="Q705">
        <f t="shared" si="974"/>
        <v>64301.073469225812</v>
      </c>
      <c r="R705">
        <f t="shared" si="975"/>
        <v>1771876.7043411697</v>
      </c>
      <c r="S705">
        <f t="shared" si="976"/>
        <v>17.718767043411695</v>
      </c>
      <c r="T705">
        <f t="shared" si="977"/>
        <v>1.7718767043411694E-2</v>
      </c>
    </row>
    <row r="706" spans="1:20" x14ac:dyDescent="0.25">
      <c r="A706" s="5">
        <v>43887</v>
      </c>
      <c r="B706">
        <v>95.52</v>
      </c>
      <c r="C706">
        <v>96.68</v>
      </c>
      <c r="D706">
        <v>79.08</v>
      </c>
      <c r="E706">
        <v>84.29</v>
      </c>
      <c r="F706">
        <v>157030.83444999999</v>
      </c>
      <c r="G706">
        <v>0</v>
      </c>
      <c r="L706" t="s">
        <v>7</v>
      </c>
      <c r="M706" t="s">
        <v>7</v>
      </c>
      <c r="N706" t="s">
        <v>7</v>
      </c>
      <c r="P706">
        <f t="shared" si="973"/>
        <v>-0.40795454545454485</v>
      </c>
      <c r="Q706">
        <f t="shared" si="974"/>
        <v>-64061.442690397627</v>
      </c>
      <c r="R706">
        <f t="shared" si="975"/>
        <v>1707575.6308719439</v>
      </c>
      <c r="S706">
        <f t="shared" si="976"/>
        <v>17.075756308719438</v>
      </c>
      <c r="T706">
        <f t="shared" si="977"/>
        <v>1.7075756308719436E-2</v>
      </c>
    </row>
    <row r="707" spans="1:20" x14ac:dyDescent="0.25">
      <c r="A707" s="5">
        <v>43886</v>
      </c>
      <c r="B707">
        <v>103.4</v>
      </c>
      <c r="C707">
        <v>103.56</v>
      </c>
      <c r="D707">
        <v>94.51</v>
      </c>
      <c r="E707">
        <v>95.52</v>
      </c>
      <c r="F707">
        <v>92335.283070000005</v>
      </c>
      <c r="G707">
        <v>0</v>
      </c>
      <c r="L707" t="s">
        <v>7</v>
      </c>
      <c r="M707" t="s">
        <v>7</v>
      </c>
      <c r="N707" t="s">
        <v>7</v>
      </c>
      <c r="P707">
        <f t="shared" si="973"/>
        <v>-0.77679558011049921</v>
      </c>
      <c r="Q707">
        <f t="shared" si="974"/>
        <v>-71725.639777027813</v>
      </c>
      <c r="R707">
        <f t="shared" si="975"/>
        <v>1771637.0735623415</v>
      </c>
      <c r="S707">
        <f t="shared" si="976"/>
        <v>17.716370735623414</v>
      </c>
      <c r="T707">
        <f t="shared" si="977"/>
        <v>1.7716370735623415E-2</v>
      </c>
    </row>
    <row r="708" spans="1:20" x14ac:dyDescent="0.25">
      <c r="A708" s="5">
        <v>43885</v>
      </c>
      <c r="B708">
        <v>108.05</v>
      </c>
      <c r="C708">
        <v>108.93</v>
      </c>
      <c r="D708">
        <v>99.55</v>
      </c>
      <c r="E708">
        <v>103.41</v>
      </c>
      <c r="F708">
        <v>70242.871570000003</v>
      </c>
      <c r="G708">
        <v>0</v>
      </c>
      <c r="L708" t="s">
        <v>7</v>
      </c>
      <c r="M708" t="s">
        <v>7</v>
      </c>
      <c r="N708" t="s">
        <v>8</v>
      </c>
      <c r="P708">
        <f t="shared" si="973"/>
        <v>-0.17697228144989435</v>
      </c>
      <c r="Q708">
        <f t="shared" si="974"/>
        <v>-12431.041237334823</v>
      </c>
      <c r="R708">
        <f t="shared" si="975"/>
        <v>1843362.7133393693</v>
      </c>
      <c r="S708">
        <f t="shared" si="976"/>
        <v>18.433627133393692</v>
      </c>
      <c r="T708">
        <f t="shared" si="977"/>
        <v>1.8433627133393693E-2</v>
      </c>
    </row>
    <row r="709" spans="1:20" x14ac:dyDescent="0.25">
      <c r="A709" s="5">
        <v>43884</v>
      </c>
      <c r="B709">
        <v>103.75</v>
      </c>
      <c r="C709">
        <v>109.29</v>
      </c>
      <c r="D709">
        <v>103.4</v>
      </c>
      <c r="E709">
        <v>108.09</v>
      </c>
      <c r="F709">
        <v>60858.177660000001</v>
      </c>
      <c r="G709">
        <v>0</v>
      </c>
      <c r="L709" t="s">
        <v>8</v>
      </c>
      <c r="M709" t="s">
        <v>7</v>
      </c>
      <c r="N709" t="s">
        <v>8</v>
      </c>
      <c r="P709">
        <f t="shared" si="973"/>
        <v>0.59252971137521127</v>
      </c>
      <c r="Q709">
        <f t="shared" si="974"/>
        <v>36060.278443701129</v>
      </c>
      <c r="R709">
        <f t="shared" si="975"/>
        <v>1855793.754576704</v>
      </c>
      <c r="S709">
        <f t="shared" si="976"/>
        <v>18.557937545767039</v>
      </c>
      <c r="T709">
        <f t="shared" si="977"/>
        <v>1.8557937545767039E-2</v>
      </c>
    </row>
    <row r="710" spans="1:20" x14ac:dyDescent="0.25">
      <c r="A710" s="5">
        <v>43883</v>
      </c>
      <c r="B710">
        <v>107.51</v>
      </c>
      <c r="C710">
        <v>109.36</v>
      </c>
      <c r="D710">
        <v>102.75</v>
      </c>
      <c r="E710">
        <v>103.79</v>
      </c>
      <c r="F710">
        <v>82172.026060000004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78">IF(C710=D710,0,((E710-D710)-(C710-E710))/(C710-D710))</f>
        <v>-0.68532526475037625</v>
      </c>
      <c r="Q710">
        <f t="shared" ref="Q710:Q766" si="979">F710*P710</f>
        <v>-56314.565514644317</v>
      </c>
      <c r="R710">
        <f t="shared" ref="R710:R766" si="980">R711+Q710</f>
        <v>1819733.4761330029</v>
      </c>
      <c r="S710">
        <f t="shared" ref="S710:S766" si="981">R710/100000</f>
        <v>18.19733476133003</v>
      </c>
      <c r="T710">
        <f t="shared" ref="T710:T766" si="982">S710/1000</f>
        <v>1.8197334761330029E-2</v>
      </c>
    </row>
    <row r="711" spans="1:20" x14ac:dyDescent="0.25">
      <c r="A711" s="5">
        <v>43882</v>
      </c>
      <c r="B711">
        <v>104.76</v>
      </c>
      <c r="C711">
        <v>110.17</v>
      </c>
      <c r="D711">
        <v>102.89</v>
      </c>
      <c r="E711">
        <v>107.39</v>
      </c>
      <c r="F711">
        <v>87336.876940000002</v>
      </c>
      <c r="G711">
        <v>0</v>
      </c>
      <c r="L711" t="s">
        <v>8</v>
      </c>
      <c r="M711" t="s">
        <v>7</v>
      </c>
      <c r="N711" t="s">
        <v>8</v>
      </c>
      <c r="P711">
        <f t="shared" si="978"/>
        <v>0.23626373626373606</v>
      </c>
      <c r="Q711">
        <f t="shared" si="979"/>
        <v>20634.536859450531</v>
      </c>
      <c r="R711">
        <f t="shared" si="980"/>
        <v>1876048.0416476473</v>
      </c>
      <c r="S711">
        <f t="shared" si="981"/>
        <v>18.760480416476472</v>
      </c>
      <c r="T711">
        <f t="shared" si="982"/>
        <v>1.8760480416476471E-2</v>
      </c>
    </row>
    <row r="712" spans="1:20" x14ac:dyDescent="0.25">
      <c r="A712" s="5">
        <v>43881</v>
      </c>
      <c r="B712">
        <v>104.78</v>
      </c>
      <c r="C712">
        <v>107.25</v>
      </c>
      <c r="D712">
        <v>98.89</v>
      </c>
      <c r="E712">
        <v>104.82</v>
      </c>
      <c r="F712">
        <v>99713.8802</v>
      </c>
      <c r="G712">
        <v>0</v>
      </c>
      <c r="L712" t="s">
        <v>7</v>
      </c>
      <c r="M712" t="s">
        <v>7</v>
      </c>
      <c r="N712" t="s">
        <v>8</v>
      </c>
      <c r="P712">
        <f t="shared" si="978"/>
        <v>0.41866028708133807</v>
      </c>
      <c r="Q712">
        <f t="shared" si="979"/>
        <v>41746.241710526148</v>
      </c>
      <c r="R712">
        <f t="shared" si="980"/>
        <v>1855413.5047881966</v>
      </c>
      <c r="S712">
        <f t="shared" si="981"/>
        <v>18.554135047881967</v>
      </c>
      <c r="T712">
        <f t="shared" si="982"/>
        <v>1.8554135047881969E-2</v>
      </c>
    </row>
    <row r="713" spans="1:20" x14ac:dyDescent="0.25">
      <c r="A713" s="5">
        <v>43880</v>
      </c>
      <c r="B713">
        <v>115.53</v>
      </c>
      <c r="C713">
        <v>115.81</v>
      </c>
      <c r="D713">
        <v>104.36</v>
      </c>
      <c r="E713">
        <v>104.87</v>
      </c>
      <c r="F713">
        <v>82092.621780000001</v>
      </c>
      <c r="G713">
        <v>0</v>
      </c>
      <c r="L713" t="s">
        <v>7</v>
      </c>
      <c r="M713" t="s">
        <v>7</v>
      </c>
      <c r="N713" t="s">
        <v>8</v>
      </c>
      <c r="P713">
        <f t="shared" si="978"/>
        <v>-0.91091703056768469</v>
      </c>
      <c r="Q713">
        <f t="shared" si="979"/>
        <v>-74779.567263353645</v>
      </c>
      <c r="R713">
        <f t="shared" si="980"/>
        <v>1813667.2630776705</v>
      </c>
      <c r="S713">
        <f t="shared" si="981"/>
        <v>18.136672630776705</v>
      </c>
      <c r="T713">
        <f t="shared" si="982"/>
        <v>1.8136672630776705E-2</v>
      </c>
    </row>
    <row r="714" spans="1:20" x14ac:dyDescent="0.25">
      <c r="A714" s="5">
        <v>43879</v>
      </c>
      <c r="B714">
        <v>114.63</v>
      </c>
      <c r="C714">
        <v>117.47</v>
      </c>
      <c r="D714">
        <v>107.01</v>
      </c>
      <c r="E714">
        <v>115.56</v>
      </c>
      <c r="F714">
        <v>97913.982279999997</v>
      </c>
      <c r="G714">
        <v>0</v>
      </c>
      <c r="L714" t="s">
        <v>7</v>
      </c>
      <c r="M714" t="s">
        <v>7</v>
      </c>
      <c r="N714" t="s">
        <v>8</v>
      </c>
      <c r="P714">
        <f t="shared" si="978"/>
        <v>0.63479923518164483</v>
      </c>
      <c r="Q714">
        <f t="shared" si="979"/>
        <v>62155.721064933125</v>
      </c>
      <c r="R714">
        <f t="shared" si="980"/>
        <v>1888446.8303410241</v>
      </c>
      <c r="S714">
        <f t="shared" si="981"/>
        <v>18.884468303410241</v>
      </c>
      <c r="T714">
        <f t="shared" si="982"/>
        <v>1.8884468303410239E-2</v>
      </c>
    </row>
    <row r="715" spans="1:20" x14ac:dyDescent="0.25">
      <c r="A715" s="5">
        <v>43878</v>
      </c>
      <c r="B715">
        <v>110.61</v>
      </c>
      <c r="C715">
        <v>116.43</v>
      </c>
      <c r="D715">
        <v>102</v>
      </c>
      <c r="E715">
        <v>114.66</v>
      </c>
      <c r="F715">
        <v>149796.32801999999</v>
      </c>
      <c r="G715">
        <v>0</v>
      </c>
      <c r="L715" t="s">
        <v>8</v>
      </c>
      <c r="M715" t="s">
        <v>7</v>
      </c>
      <c r="N715" t="s">
        <v>8</v>
      </c>
      <c r="P715">
        <f t="shared" si="978"/>
        <v>0.75467775467775333</v>
      </c>
      <c r="Q715">
        <f t="shared" si="979"/>
        <v>113047.95648910581</v>
      </c>
      <c r="R715">
        <f t="shared" si="980"/>
        <v>1826291.109276091</v>
      </c>
      <c r="S715">
        <f t="shared" si="981"/>
        <v>18.262911092760909</v>
      </c>
      <c r="T715">
        <f t="shared" si="982"/>
        <v>1.826291109276091E-2</v>
      </c>
    </row>
    <row r="716" spans="1:20" x14ac:dyDescent="0.25">
      <c r="A716" s="5">
        <v>43877</v>
      </c>
      <c r="B716">
        <v>120.73</v>
      </c>
      <c r="C716">
        <v>123.54</v>
      </c>
      <c r="D716">
        <v>100.94</v>
      </c>
      <c r="E716">
        <v>110.73</v>
      </c>
      <c r="F716">
        <v>143417.65517000001</v>
      </c>
      <c r="G716">
        <v>0</v>
      </c>
      <c r="L716" t="s">
        <v>7</v>
      </c>
      <c r="M716" t="s">
        <v>7</v>
      </c>
      <c r="N716" t="s">
        <v>8</v>
      </c>
      <c r="P716">
        <f t="shared" si="978"/>
        <v>-0.13362831858407057</v>
      </c>
      <c r="Q716">
        <f t="shared" si="979"/>
        <v>-19164.660115637136</v>
      </c>
      <c r="R716">
        <f t="shared" si="980"/>
        <v>1713243.1527869853</v>
      </c>
      <c r="S716">
        <f t="shared" si="981"/>
        <v>17.132431527869851</v>
      </c>
      <c r="T716">
        <f t="shared" si="982"/>
        <v>1.7132431527869852E-2</v>
      </c>
    </row>
    <row r="717" spans="1:20" x14ac:dyDescent="0.25">
      <c r="A717" s="5">
        <v>43876</v>
      </c>
      <c r="B717">
        <v>133.36000000000001</v>
      </c>
      <c r="C717">
        <v>133.36000000000001</v>
      </c>
      <c r="D717">
        <v>115.79</v>
      </c>
      <c r="E717">
        <v>120.73</v>
      </c>
      <c r="F717">
        <v>88911.830360000007</v>
      </c>
      <c r="G717">
        <v>0</v>
      </c>
      <c r="L717" t="s">
        <v>7</v>
      </c>
      <c r="M717" t="s">
        <v>8</v>
      </c>
      <c r="N717" t="s">
        <v>8</v>
      </c>
      <c r="P717">
        <f t="shared" si="978"/>
        <v>-0.43767785998861747</v>
      </c>
      <c r="Q717">
        <f t="shared" si="979"/>
        <v>-38914.739639635794</v>
      </c>
      <c r="R717">
        <f t="shared" si="980"/>
        <v>1732407.8129026224</v>
      </c>
      <c r="S717">
        <f t="shared" si="981"/>
        <v>17.324078129026223</v>
      </c>
      <c r="T717">
        <f t="shared" si="982"/>
        <v>1.7324078129026223E-2</v>
      </c>
    </row>
    <row r="718" spans="1:20" x14ac:dyDescent="0.25">
      <c r="A718" s="5">
        <v>43875</v>
      </c>
      <c r="B718">
        <v>131.09</v>
      </c>
      <c r="C718">
        <v>134.47999999999999</v>
      </c>
      <c r="D718">
        <v>128.15</v>
      </c>
      <c r="E718">
        <v>133.34</v>
      </c>
      <c r="F718">
        <v>60645.632980000002</v>
      </c>
      <c r="G718">
        <v>0</v>
      </c>
      <c r="L718" t="s">
        <v>7</v>
      </c>
      <c r="M718" t="s">
        <v>8</v>
      </c>
      <c r="N718" t="s">
        <v>8</v>
      </c>
      <c r="P718">
        <f t="shared" si="978"/>
        <v>0.63981042654028775</v>
      </c>
      <c r="Q718">
        <f t="shared" si="979"/>
        <v>38801.708304739543</v>
      </c>
      <c r="R718">
        <f t="shared" si="980"/>
        <v>1771322.5525422583</v>
      </c>
      <c r="S718">
        <f t="shared" si="981"/>
        <v>17.713225525422583</v>
      </c>
      <c r="T718">
        <f t="shared" si="982"/>
        <v>1.7713225525422583E-2</v>
      </c>
    </row>
    <row r="719" spans="1:20" x14ac:dyDescent="0.25">
      <c r="A719" s="5">
        <v>43874</v>
      </c>
      <c r="B719">
        <v>133.52000000000001</v>
      </c>
      <c r="C719">
        <v>137.87</v>
      </c>
      <c r="D719">
        <v>127.4</v>
      </c>
      <c r="E719">
        <v>131.18</v>
      </c>
      <c r="F719">
        <v>124426.26497</v>
      </c>
      <c r="G719">
        <v>0</v>
      </c>
      <c r="L719" t="s">
        <v>7</v>
      </c>
      <c r="M719" t="s">
        <v>8</v>
      </c>
      <c r="N719" t="s">
        <v>8</v>
      </c>
      <c r="P719">
        <f t="shared" si="978"/>
        <v>-0.27793696275071605</v>
      </c>
      <c r="Q719">
        <f t="shared" si="979"/>
        <v>-34582.658172177617</v>
      </c>
      <c r="R719">
        <f t="shared" si="980"/>
        <v>1732520.8442375187</v>
      </c>
      <c r="S719">
        <f t="shared" si="981"/>
        <v>17.325208442375189</v>
      </c>
      <c r="T719">
        <f t="shared" si="982"/>
        <v>1.732520844237519E-2</v>
      </c>
    </row>
    <row r="720" spans="1:20" x14ac:dyDescent="0.25">
      <c r="A720" s="5">
        <v>43873</v>
      </c>
      <c r="B720">
        <v>129.25</v>
      </c>
      <c r="C720">
        <v>137</v>
      </c>
      <c r="D720">
        <v>128.30000000000001</v>
      </c>
      <c r="E720">
        <v>133.53</v>
      </c>
      <c r="F720">
        <v>121111.05759</v>
      </c>
      <c r="G720">
        <v>0</v>
      </c>
      <c r="L720" t="s">
        <v>8</v>
      </c>
      <c r="M720" t="s">
        <v>8</v>
      </c>
      <c r="N720" t="s">
        <v>8</v>
      </c>
      <c r="P720">
        <f t="shared" si="978"/>
        <v>0.20229885057471186</v>
      </c>
      <c r="Q720">
        <f t="shared" si="979"/>
        <v>24500.627742344732</v>
      </c>
      <c r="R720">
        <f t="shared" si="980"/>
        <v>1767103.5024096963</v>
      </c>
      <c r="S720">
        <f t="shared" si="981"/>
        <v>17.671035024096962</v>
      </c>
      <c r="T720">
        <f t="shared" si="982"/>
        <v>1.7671035024096962E-2</v>
      </c>
    </row>
    <row r="721" spans="1:20" x14ac:dyDescent="0.25">
      <c r="A721" s="5">
        <v>43872</v>
      </c>
      <c r="B721">
        <v>127.58</v>
      </c>
      <c r="C721">
        <v>134.02000000000001</v>
      </c>
      <c r="D721">
        <v>123.83</v>
      </c>
      <c r="E721">
        <v>129.19999999999999</v>
      </c>
      <c r="F721">
        <v>99561.391050000006</v>
      </c>
      <c r="G721">
        <v>0</v>
      </c>
      <c r="L721" t="s">
        <v>8</v>
      </c>
      <c r="M721" t="s">
        <v>8</v>
      </c>
      <c r="N721" t="s">
        <v>8</v>
      </c>
      <c r="P721">
        <f t="shared" si="978"/>
        <v>5.3974484789005704E-2</v>
      </c>
      <c r="Q721">
        <f t="shared" si="979"/>
        <v>5373.7747868004735</v>
      </c>
      <c r="R721">
        <f t="shared" si="980"/>
        <v>1742602.8746673516</v>
      </c>
      <c r="S721">
        <f t="shared" si="981"/>
        <v>17.426028746673516</v>
      </c>
      <c r="T721">
        <f t="shared" si="982"/>
        <v>1.7426028746673518E-2</v>
      </c>
    </row>
    <row r="722" spans="1:20" x14ac:dyDescent="0.25">
      <c r="A722" s="5">
        <v>43871</v>
      </c>
      <c r="B722">
        <v>128.58000000000001</v>
      </c>
      <c r="C722">
        <v>128.72999999999999</v>
      </c>
      <c r="D722">
        <v>122.53</v>
      </c>
      <c r="E722">
        <v>127.58</v>
      </c>
      <c r="F722">
        <v>89108.261899999998</v>
      </c>
      <c r="G722">
        <v>0</v>
      </c>
      <c r="L722" t="s">
        <v>7</v>
      </c>
      <c r="M722" t="s">
        <v>8</v>
      </c>
      <c r="N722" t="s">
        <v>8</v>
      </c>
      <c r="P722">
        <f t="shared" si="978"/>
        <v>0.62903225806451823</v>
      </c>
      <c r="Q722">
        <f t="shared" si="979"/>
        <v>56051.971195161474</v>
      </c>
      <c r="R722">
        <f t="shared" si="980"/>
        <v>1737229.0998805512</v>
      </c>
      <c r="S722">
        <f t="shared" si="981"/>
        <v>17.372290998805511</v>
      </c>
      <c r="T722">
        <f t="shared" si="982"/>
        <v>1.7372290998805509E-2</v>
      </c>
    </row>
    <row r="723" spans="1:20" x14ac:dyDescent="0.25">
      <c r="A723" s="5">
        <v>43870</v>
      </c>
      <c r="B723">
        <v>126.26</v>
      </c>
      <c r="C723">
        <v>130.53</v>
      </c>
      <c r="D723">
        <v>123.25</v>
      </c>
      <c r="E723">
        <v>128.51</v>
      </c>
      <c r="F723">
        <v>88598.016510000001</v>
      </c>
      <c r="G723">
        <v>0</v>
      </c>
      <c r="L723" t="s">
        <v>8</v>
      </c>
      <c r="M723" t="s">
        <v>8</v>
      </c>
      <c r="N723" t="s">
        <v>8</v>
      </c>
      <c r="P723">
        <f t="shared" si="978"/>
        <v>0.44505494505494231</v>
      </c>
      <c r="Q723">
        <f t="shared" si="979"/>
        <v>39430.985369834925</v>
      </c>
      <c r="R723">
        <f t="shared" si="980"/>
        <v>1681177.1286853896</v>
      </c>
      <c r="S723">
        <f t="shared" si="981"/>
        <v>16.811771286853897</v>
      </c>
      <c r="T723">
        <f t="shared" si="982"/>
        <v>1.6811771286853898E-2</v>
      </c>
    </row>
    <row r="724" spans="1:20" x14ac:dyDescent="0.25">
      <c r="A724" s="5">
        <v>43869</v>
      </c>
      <c r="B724">
        <v>118.57</v>
      </c>
      <c r="C724">
        <v>131.68</v>
      </c>
      <c r="D724">
        <v>113</v>
      </c>
      <c r="E724">
        <v>126.29</v>
      </c>
      <c r="F724">
        <v>220745.16462</v>
      </c>
      <c r="G724">
        <v>0</v>
      </c>
      <c r="L724" t="s">
        <v>8</v>
      </c>
      <c r="M724" t="s">
        <v>8</v>
      </c>
      <c r="N724" t="s">
        <v>8</v>
      </c>
      <c r="P724">
        <f t="shared" si="978"/>
        <v>0.42291220556745196</v>
      </c>
      <c r="Q724">
        <f t="shared" si="979"/>
        <v>93355.824437794465</v>
      </c>
      <c r="R724">
        <f t="shared" si="980"/>
        <v>1641746.1433155548</v>
      </c>
      <c r="S724">
        <f t="shared" si="981"/>
        <v>16.417461433155548</v>
      </c>
      <c r="T724">
        <f t="shared" si="982"/>
        <v>1.6417461433155547E-2</v>
      </c>
    </row>
    <row r="725" spans="1:20" x14ac:dyDescent="0.25">
      <c r="A725" s="5">
        <v>43868</v>
      </c>
      <c r="B725">
        <v>120.23</v>
      </c>
      <c r="C725">
        <v>122.86</v>
      </c>
      <c r="D725">
        <v>117.61</v>
      </c>
      <c r="E725">
        <v>118.68</v>
      </c>
      <c r="F725">
        <v>75647.505640000003</v>
      </c>
      <c r="G725">
        <v>0</v>
      </c>
      <c r="L725" t="s">
        <v>8</v>
      </c>
      <c r="M725" t="s">
        <v>8</v>
      </c>
      <c r="N725" t="s">
        <v>7</v>
      </c>
      <c r="P725">
        <f t="shared" si="978"/>
        <v>-0.59238095238094957</v>
      </c>
      <c r="Q725">
        <f t="shared" si="979"/>
        <v>-44812.141436266458</v>
      </c>
      <c r="R725">
        <f t="shared" si="980"/>
        <v>1548390.3188777603</v>
      </c>
      <c r="S725">
        <f t="shared" si="981"/>
        <v>15.483903188777603</v>
      </c>
      <c r="T725">
        <f t="shared" si="982"/>
        <v>1.5483903188777603E-2</v>
      </c>
    </row>
    <row r="726" spans="1:20" x14ac:dyDescent="0.25">
      <c r="A726" s="5">
        <v>43867</v>
      </c>
      <c r="B726">
        <v>122.86</v>
      </c>
      <c r="C726">
        <v>124.6</v>
      </c>
      <c r="D726">
        <v>117.61</v>
      </c>
      <c r="E726">
        <v>120.32</v>
      </c>
      <c r="F726">
        <v>112592.22637</v>
      </c>
      <c r="G726">
        <v>0</v>
      </c>
      <c r="L726" t="s">
        <v>8</v>
      </c>
      <c r="M726" t="s">
        <v>8</v>
      </c>
      <c r="N726" t="s">
        <v>7</v>
      </c>
      <c r="P726">
        <f t="shared" si="978"/>
        <v>-0.22460658082975801</v>
      </c>
      <c r="Q726">
        <f t="shared" si="979"/>
        <v>-25288.954992975818</v>
      </c>
      <c r="R726">
        <f t="shared" si="980"/>
        <v>1593202.4603140268</v>
      </c>
      <c r="S726">
        <f t="shared" si="981"/>
        <v>15.932024603140269</v>
      </c>
      <c r="T726">
        <f t="shared" si="982"/>
        <v>1.593202460314027E-2</v>
      </c>
    </row>
    <row r="727" spans="1:20" x14ac:dyDescent="0.25">
      <c r="A727" s="5">
        <v>43866</v>
      </c>
      <c r="B727">
        <v>110.82</v>
      </c>
      <c r="C727">
        <v>124.67</v>
      </c>
      <c r="D727">
        <v>109.75</v>
      </c>
      <c r="E727">
        <v>122.98</v>
      </c>
      <c r="F727">
        <v>169805.66858999999</v>
      </c>
      <c r="G727">
        <v>0</v>
      </c>
      <c r="L727" t="s">
        <v>8</v>
      </c>
      <c r="M727" t="s">
        <v>8</v>
      </c>
      <c r="N727" t="s">
        <v>7</v>
      </c>
      <c r="P727">
        <f t="shared" si="978"/>
        <v>0.77345844504021477</v>
      </c>
      <c r="Q727">
        <f t="shared" si="979"/>
        <v>131337.62838663542</v>
      </c>
      <c r="R727">
        <f t="shared" si="980"/>
        <v>1618491.4153070026</v>
      </c>
      <c r="S727">
        <f t="shared" si="981"/>
        <v>16.184914153070025</v>
      </c>
      <c r="T727">
        <f t="shared" si="982"/>
        <v>1.6184914153070024E-2</v>
      </c>
    </row>
    <row r="728" spans="1:20" x14ac:dyDescent="0.25">
      <c r="A728" s="5">
        <v>43865</v>
      </c>
      <c r="B728">
        <v>115.31</v>
      </c>
      <c r="C728">
        <v>115.7</v>
      </c>
      <c r="D728">
        <v>108.4</v>
      </c>
      <c r="E728">
        <v>110.87</v>
      </c>
      <c r="F728">
        <v>86540.260729999995</v>
      </c>
      <c r="G728">
        <v>0</v>
      </c>
      <c r="L728" t="s">
        <v>7</v>
      </c>
      <c r="M728" t="s">
        <v>8</v>
      </c>
      <c r="N728" t="s">
        <v>7</v>
      </c>
      <c r="P728">
        <f t="shared" si="978"/>
        <v>-0.32328767123287677</v>
      </c>
      <c r="Q728">
        <f t="shared" si="979"/>
        <v>-27977.399359287676</v>
      </c>
      <c r="R728">
        <f t="shared" si="980"/>
        <v>1487153.7869203673</v>
      </c>
      <c r="S728">
        <f t="shared" si="981"/>
        <v>14.871537869203673</v>
      </c>
      <c r="T728">
        <f t="shared" si="982"/>
        <v>1.4871537869203673E-2</v>
      </c>
    </row>
    <row r="729" spans="1:20" x14ac:dyDescent="0.25">
      <c r="A729" s="5">
        <v>43864</v>
      </c>
      <c r="B729">
        <v>114.28</v>
      </c>
      <c r="C729">
        <v>117.34</v>
      </c>
      <c r="D729">
        <v>113.7</v>
      </c>
      <c r="E729">
        <v>115.34</v>
      </c>
      <c r="F729">
        <v>76529.208849999995</v>
      </c>
      <c r="G729">
        <v>0</v>
      </c>
      <c r="L729" t="s">
        <v>7</v>
      </c>
      <c r="M729" t="s">
        <v>8</v>
      </c>
      <c r="N729" t="s">
        <v>7</v>
      </c>
      <c r="P729">
        <f t="shared" si="978"/>
        <v>-9.890109890109873E-2</v>
      </c>
      <c r="Q729">
        <f t="shared" si="979"/>
        <v>-7568.8228532966896</v>
      </c>
      <c r="R729">
        <f t="shared" si="980"/>
        <v>1515131.186279655</v>
      </c>
      <c r="S729">
        <f t="shared" si="981"/>
        <v>15.15131186279655</v>
      </c>
      <c r="T729">
        <f t="shared" si="982"/>
        <v>1.515131186279655E-2</v>
      </c>
    </row>
    <row r="730" spans="1:20" x14ac:dyDescent="0.25">
      <c r="A730" s="5">
        <v>43863</v>
      </c>
      <c r="B730">
        <v>116.71</v>
      </c>
      <c r="C730">
        <v>117.43</v>
      </c>
      <c r="D730">
        <v>112.51</v>
      </c>
      <c r="E730">
        <v>114.29</v>
      </c>
      <c r="F730">
        <v>81464.222510000007</v>
      </c>
      <c r="G730">
        <v>0</v>
      </c>
      <c r="L730" t="s">
        <v>7</v>
      </c>
      <c r="M730" t="s">
        <v>8</v>
      </c>
      <c r="N730" t="s">
        <v>7</v>
      </c>
      <c r="P730">
        <f t="shared" si="978"/>
        <v>-0.27642276422764206</v>
      </c>
      <c r="Q730">
        <f t="shared" si="979"/>
        <v>-22518.565571869902</v>
      </c>
      <c r="R730">
        <f t="shared" si="980"/>
        <v>1522700.0091329517</v>
      </c>
      <c r="S730">
        <f t="shared" si="981"/>
        <v>15.227000091329517</v>
      </c>
      <c r="T730">
        <f t="shared" si="982"/>
        <v>1.5227000091329516E-2</v>
      </c>
    </row>
    <row r="731" spans="1:20" x14ac:dyDescent="0.25">
      <c r="A731" s="5">
        <v>43862</v>
      </c>
      <c r="B731">
        <v>115.96</v>
      </c>
      <c r="C731">
        <v>119.87</v>
      </c>
      <c r="D731">
        <v>114.65</v>
      </c>
      <c r="E731">
        <v>116.7</v>
      </c>
      <c r="F731">
        <v>82998.745920000001</v>
      </c>
      <c r="G731">
        <v>0</v>
      </c>
      <c r="L731" t="s">
        <v>7</v>
      </c>
      <c r="M731" t="s">
        <v>8</v>
      </c>
      <c r="N731" t="s">
        <v>7</v>
      </c>
      <c r="P731">
        <f t="shared" si="978"/>
        <v>-0.214559386973181</v>
      </c>
      <c r="Q731">
        <f t="shared" si="979"/>
        <v>-17808.160044138007</v>
      </c>
      <c r="R731">
        <f t="shared" si="980"/>
        <v>1545218.5747048217</v>
      </c>
      <c r="S731">
        <f t="shared" si="981"/>
        <v>15.452185747048217</v>
      </c>
      <c r="T731">
        <f t="shared" si="982"/>
        <v>1.5452185747048217E-2</v>
      </c>
    </row>
    <row r="732" spans="1:20" x14ac:dyDescent="0.25">
      <c r="A732" s="5">
        <v>43861</v>
      </c>
      <c r="B732">
        <v>121.88</v>
      </c>
      <c r="C732">
        <v>124.5</v>
      </c>
      <c r="D732">
        <v>112.84</v>
      </c>
      <c r="E732">
        <v>115.85</v>
      </c>
      <c r="F732">
        <v>142316.15963000001</v>
      </c>
      <c r="G732">
        <v>0</v>
      </c>
      <c r="L732" t="s">
        <v>7</v>
      </c>
      <c r="M732" t="s">
        <v>8</v>
      </c>
      <c r="N732" t="s">
        <v>7</v>
      </c>
      <c r="P732">
        <f t="shared" si="978"/>
        <v>-0.48370497427101339</v>
      </c>
      <c r="Q732">
        <f t="shared" si="979"/>
        <v>-68839.034332178591</v>
      </c>
      <c r="R732">
        <f t="shared" si="980"/>
        <v>1563026.7347489598</v>
      </c>
      <c r="S732">
        <f t="shared" si="981"/>
        <v>15.630267347489598</v>
      </c>
      <c r="T732">
        <f t="shared" si="982"/>
        <v>1.5630267347489599E-2</v>
      </c>
    </row>
    <row r="733" spans="1:20" x14ac:dyDescent="0.25">
      <c r="A733" s="5">
        <v>43860</v>
      </c>
      <c r="B733">
        <v>121.84</v>
      </c>
      <c r="C733">
        <v>125.35</v>
      </c>
      <c r="D733">
        <v>117.68</v>
      </c>
      <c r="E733">
        <v>121.9</v>
      </c>
      <c r="F733">
        <v>196208.67566000001</v>
      </c>
      <c r="G733">
        <v>0</v>
      </c>
      <c r="L733" t="s">
        <v>7</v>
      </c>
      <c r="M733" t="s">
        <v>8</v>
      </c>
      <c r="N733" t="s">
        <v>7</v>
      </c>
      <c r="P733">
        <f t="shared" si="978"/>
        <v>0.10039113428944087</v>
      </c>
      <c r="Q733">
        <f t="shared" si="979"/>
        <v>19697.61150693641</v>
      </c>
      <c r="R733">
        <f t="shared" si="980"/>
        <v>1631865.7690811383</v>
      </c>
      <c r="S733">
        <f t="shared" si="981"/>
        <v>16.318657690811381</v>
      </c>
      <c r="T733">
        <f t="shared" si="982"/>
        <v>1.6318657690811381E-2</v>
      </c>
    </row>
    <row r="734" spans="1:20" x14ac:dyDescent="0.25">
      <c r="A734" s="5">
        <v>43859</v>
      </c>
      <c r="B734">
        <v>115.75</v>
      </c>
      <c r="C734">
        <v>128.69999999999999</v>
      </c>
      <c r="D734">
        <v>114.82</v>
      </c>
      <c r="E734">
        <v>121.97</v>
      </c>
      <c r="F734">
        <v>274384.65046999999</v>
      </c>
      <c r="G734">
        <v>0</v>
      </c>
      <c r="L734" t="s">
        <v>8</v>
      </c>
      <c r="M734" t="s">
        <v>8</v>
      </c>
      <c r="N734" t="s">
        <v>7</v>
      </c>
      <c r="P734">
        <f t="shared" si="978"/>
        <v>3.0259365994237467E-2</v>
      </c>
      <c r="Q734">
        <f t="shared" si="979"/>
        <v>8302.705561772651</v>
      </c>
      <c r="R734">
        <f t="shared" si="980"/>
        <v>1612168.1575742019</v>
      </c>
      <c r="S734">
        <f t="shared" si="981"/>
        <v>16.12168157574202</v>
      </c>
      <c r="T734">
        <f t="shared" si="982"/>
        <v>1.6121681575742019E-2</v>
      </c>
    </row>
    <row r="735" spans="1:20" x14ac:dyDescent="0.25">
      <c r="A735" s="5">
        <v>43858</v>
      </c>
      <c r="B735">
        <v>112.73</v>
      </c>
      <c r="C735">
        <v>117.8</v>
      </c>
      <c r="D735">
        <v>111.05</v>
      </c>
      <c r="E735">
        <v>115.91</v>
      </c>
      <c r="F735">
        <v>175783.486</v>
      </c>
      <c r="G735">
        <v>0</v>
      </c>
      <c r="L735" t="s">
        <v>7</v>
      </c>
      <c r="M735" t="s">
        <v>8</v>
      </c>
      <c r="N735" t="s">
        <v>7</v>
      </c>
      <c r="P735">
        <f t="shared" si="978"/>
        <v>0.43999999999999984</v>
      </c>
      <c r="Q735">
        <f t="shared" si="979"/>
        <v>77344.733839999972</v>
      </c>
      <c r="R735">
        <f t="shared" si="980"/>
        <v>1603865.4520124292</v>
      </c>
      <c r="S735">
        <f t="shared" si="981"/>
        <v>16.038654520124293</v>
      </c>
      <c r="T735">
        <f t="shared" si="982"/>
        <v>1.6038654520124294E-2</v>
      </c>
    </row>
    <row r="736" spans="1:20" x14ac:dyDescent="0.25">
      <c r="A736" s="5">
        <v>43857</v>
      </c>
      <c r="B736">
        <v>111.09</v>
      </c>
      <c r="C736">
        <v>119.65</v>
      </c>
      <c r="D736">
        <v>111.09</v>
      </c>
      <c r="E736">
        <v>112.78</v>
      </c>
      <c r="F736">
        <v>266810.90862</v>
      </c>
      <c r="G736">
        <v>0</v>
      </c>
      <c r="L736" t="s">
        <v>8</v>
      </c>
      <c r="M736" t="s">
        <v>8</v>
      </c>
      <c r="N736" t="s">
        <v>7</v>
      </c>
      <c r="P736">
        <f t="shared" si="978"/>
        <v>-0.60514018691588845</v>
      </c>
      <c r="Q736">
        <f t="shared" si="979"/>
        <v>-161458.00311350482</v>
      </c>
      <c r="R736">
        <f t="shared" si="980"/>
        <v>1526520.7181724294</v>
      </c>
      <c r="S736">
        <f t="shared" si="981"/>
        <v>15.265207181724294</v>
      </c>
      <c r="T736">
        <f t="shared" si="982"/>
        <v>1.5265207181724295E-2</v>
      </c>
    </row>
    <row r="737" spans="1:20" x14ac:dyDescent="0.25">
      <c r="A737" s="5">
        <v>43856</v>
      </c>
      <c r="B737">
        <v>101.31</v>
      </c>
      <c r="C737">
        <v>112.75</v>
      </c>
      <c r="D737">
        <v>99.74</v>
      </c>
      <c r="E737">
        <v>111.01</v>
      </c>
      <c r="F737">
        <v>243277.33812</v>
      </c>
      <c r="G737">
        <v>0</v>
      </c>
      <c r="L737" t="s">
        <v>8</v>
      </c>
      <c r="M737" t="s">
        <v>8</v>
      </c>
      <c r="N737" t="s">
        <v>7</v>
      </c>
      <c r="P737">
        <f t="shared" si="978"/>
        <v>0.73251345119139211</v>
      </c>
      <c r="Q737">
        <f t="shared" si="979"/>
        <v>178203.9225429364</v>
      </c>
      <c r="R737">
        <f t="shared" si="980"/>
        <v>1687978.7212859341</v>
      </c>
      <c r="S737">
        <f t="shared" si="981"/>
        <v>16.879787212859341</v>
      </c>
      <c r="T737">
        <f t="shared" si="982"/>
        <v>1.6879787212859342E-2</v>
      </c>
    </row>
    <row r="738" spans="1:20" x14ac:dyDescent="0.25">
      <c r="A738" s="5">
        <v>43855</v>
      </c>
      <c r="B738">
        <v>100.22</v>
      </c>
      <c r="C738">
        <v>104</v>
      </c>
      <c r="D738">
        <v>97.35</v>
      </c>
      <c r="E738">
        <v>101.31</v>
      </c>
      <c r="F738">
        <v>77539.54621</v>
      </c>
      <c r="G738">
        <v>0</v>
      </c>
      <c r="L738" t="s">
        <v>8</v>
      </c>
      <c r="M738" t="s">
        <v>7</v>
      </c>
      <c r="N738" t="s">
        <v>7</v>
      </c>
      <c r="P738">
        <f t="shared" si="978"/>
        <v>0.19097744360902394</v>
      </c>
      <c r="Q738">
        <f t="shared" si="979"/>
        <v>14808.30431378958</v>
      </c>
      <c r="R738">
        <f t="shared" si="980"/>
        <v>1509774.7987429977</v>
      </c>
      <c r="S738">
        <f t="shared" si="981"/>
        <v>15.097747987429978</v>
      </c>
      <c r="T738">
        <f t="shared" si="982"/>
        <v>1.5097747987429978E-2</v>
      </c>
    </row>
    <row r="739" spans="1:20" x14ac:dyDescent="0.25">
      <c r="A739" s="5">
        <v>43854</v>
      </c>
      <c r="B739">
        <v>102.72</v>
      </c>
      <c r="C739">
        <v>104</v>
      </c>
      <c r="D739">
        <v>93.42</v>
      </c>
      <c r="E739">
        <v>100.11</v>
      </c>
      <c r="F739">
        <v>168568.21366000001</v>
      </c>
      <c r="G739">
        <v>0</v>
      </c>
      <c r="L739" t="s">
        <v>7</v>
      </c>
      <c r="M739" t="s">
        <v>7</v>
      </c>
      <c r="N739" t="s">
        <v>7</v>
      </c>
      <c r="P739">
        <f t="shared" si="978"/>
        <v>0.26465028355387499</v>
      </c>
      <c r="Q739">
        <f t="shared" si="979"/>
        <v>44611.625543289185</v>
      </c>
      <c r="R739">
        <f t="shared" si="980"/>
        <v>1494966.4944292081</v>
      </c>
      <c r="S739">
        <f t="shared" si="981"/>
        <v>14.949664944292081</v>
      </c>
      <c r="T739">
        <f t="shared" si="982"/>
        <v>1.4949664944292082E-2</v>
      </c>
    </row>
    <row r="740" spans="1:20" x14ac:dyDescent="0.25">
      <c r="A740" s="5">
        <v>43853</v>
      </c>
      <c r="B740">
        <v>107.79</v>
      </c>
      <c r="C740">
        <v>108.07</v>
      </c>
      <c r="D740">
        <v>98.2</v>
      </c>
      <c r="E740">
        <v>102.72</v>
      </c>
      <c r="F740">
        <v>139568.00361000001</v>
      </c>
      <c r="G740">
        <v>0</v>
      </c>
      <c r="L740" t="s">
        <v>7</v>
      </c>
      <c r="M740" t="s">
        <v>8</v>
      </c>
      <c r="N740" t="s">
        <v>7</v>
      </c>
      <c r="P740">
        <f t="shared" si="978"/>
        <v>-8.4093211752786126E-2</v>
      </c>
      <c r="Q740">
        <f t="shared" si="979"/>
        <v>-11736.721681489349</v>
      </c>
      <c r="R740">
        <f t="shared" si="980"/>
        <v>1450354.868885919</v>
      </c>
      <c r="S740">
        <f t="shared" si="981"/>
        <v>14.50354868885919</v>
      </c>
      <c r="T740">
        <f t="shared" si="982"/>
        <v>1.450354868885919E-2</v>
      </c>
    </row>
    <row r="741" spans="1:20" x14ac:dyDescent="0.25">
      <c r="A741" s="5">
        <v>43852</v>
      </c>
      <c r="B741">
        <v>110.48</v>
      </c>
      <c r="C741">
        <v>113</v>
      </c>
      <c r="D741">
        <v>106.69</v>
      </c>
      <c r="E741">
        <v>107.8</v>
      </c>
      <c r="F741">
        <v>118156.00877</v>
      </c>
      <c r="G741">
        <v>0</v>
      </c>
      <c r="L741" t="s">
        <v>8</v>
      </c>
      <c r="M741" t="s">
        <v>8</v>
      </c>
      <c r="N741" t="s">
        <v>7</v>
      </c>
      <c r="P741">
        <f t="shared" si="978"/>
        <v>-0.64817749603803521</v>
      </c>
      <c r="Q741">
        <f t="shared" si="979"/>
        <v>-76586.065906386735</v>
      </c>
      <c r="R741">
        <f t="shared" si="980"/>
        <v>1462091.5905674084</v>
      </c>
      <c r="S741">
        <f t="shared" si="981"/>
        <v>14.620915905674083</v>
      </c>
      <c r="T741">
        <f t="shared" si="982"/>
        <v>1.4620915905674083E-2</v>
      </c>
    </row>
    <row r="742" spans="1:20" x14ac:dyDescent="0.25">
      <c r="A742" s="5">
        <v>43851</v>
      </c>
      <c r="B742">
        <v>109.91</v>
      </c>
      <c r="C742">
        <v>114.38</v>
      </c>
      <c r="D742">
        <v>104.67</v>
      </c>
      <c r="E742">
        <v>110.5</v>
      </c>
      <c r="F742">
        <v>200347.1881</v>
      </c>
      <c r="G742">
        <v>0</v>
      </c>
      <c r="L742" t="s">
        <v>7</v>
      </c>
      <c r="M742" t="s">
        <v>8</v>
      </c>
      <c r="N742" t="s">
        <v>7</v>
      </c>
      <c r="P742">
        <f t="shared" si="978"/>
        <v>0.20082389289392422</v>
      </c>
      <c r="Q742">
        <f t="shared" si="979"/>
        <v>40234.502244593285</v>
      </c>
      <c r="R742">
        <f t="shared" si="980"/>
        <v>1538677.6564737952</v>
      </c>
      <c r="S742">
        <f t="shared" si="981"/>
        <v>15.386776564737952</v>
      </c>
      <c r="T742">
        <f t="shared" si="982"/>
        <v>1.5386776564737952E-2</v>
      </c>
    </row>
    <row r="743" spans="1:20" x14ac:dyDescent="0.25">
      <c r="A743" s="5">
        <v>43850</v>
      </c>
      <c r="B743">
        <v>104.95</v>
      </c>
      <c r="C743">
        <v>115.66</v>
      </c>
      <c r="D743">
        <v>99.3</v>
      </c>
      <c r="E743">
        <v>109.91</v>
      </c>
      <c r="F743">
        <v>282175.47117999999</v>
      </c>
      <c r="G743">
        <v>0</v>
      </c>
      <c r="L743" t="s">
        <v>8</v>
      </c>
      <c r="M743" t="s">
        <v>8</v>
      </c>
      <c r="N743" t="s">
        <v>7</v>
      </c>
      <c r="P743">
        <f t="shared" si="978"/>
        <v>0.2970660146699266</v>
      </c>
      <c r="Q743">
        <f t="shared" si="979"/>
        <v>83824.742661051336</v>
      </c>
      <c r="R743">
        <f t="shared" si="980"/>
        <v>1498443.1542292018</v>
      </c>
      <c r="S743">
        <f t="shared" si="981"/>
        <v>14.984431542292018</v>
      </c>
      <c r="T743">
        <f t="shared" si="982"/>
        <v>1.4984431542292018E-2</v>
      </c>
    </row>
    <row r="744" spans="1:20" x14ac:dyDescent="0.25">
      <c r="A744" s="5">
        <v>43849</v>
      </c>
      <c r="B744">
        <v>101.15</v>
      </c>
      <c r="C744">
        <v>109.26</v>
      </c>
      <c r="D744">
        <v>91.84</v>
      </c>
      <c r="E744">
        <v>104.92</v>
      </c>
      <c r="F744">
        <v>325639.51620999997</v>
      </c>
      <c r="G744">
        <v>0</v>
      </c>
      <c r="L744" t="s">
        <v>7</v>
      </c>
      <c r="M744" t="s">
        <v>7</v>
      </c>
      <c r="N744" t="s">
        <v>7</v>
      </c>
      <c r="P744">
        <f t="shared" si="978"/>
        <v>0.50172215843857604</v>
      </c>
      <c r="Q744">
        <f t="shared" si="979"/>
        <v>163380.56094577487</v>
      </c>
      <c r="R744">
        <f t="shared" si="980"/>
        <v>1414618.4115681504</v>
      </c>
      <c r="S744">
        <f t="shared" si="981"/>
        <v>14.146184115681503</v>
      </c>
      <c r="T744">
        <f t="shared" si="982"/>
        <v>1.4146184115681503E-2</v>
      </c>
    </row>
    <row r="745" spans="1:20" x14ac:dyDescent="0.25">
      <c r="A745" s="5">
        <v>43848</v>
      </c>
      <c r="B745">
        <v>113.23</v>
      </c>
      <c r="C745">
        <v>116.5</v>
      </c>
      <c r="D745">
        <v>95</v>
      </c>
      <c r="E745">
        <v>101.15</v>
      </c>
      <c r="F745">
        <v>472538.86203999998</v>
      </c>
      <c r="G745">
        <v>0</v>
      </c>
      <c r="L745" t="s">
        <v>7</v>
      </c>
      <c r="M745" t="s">
        <v>7</v>
      </c>
      <c r="N745" t="s">
        <v>7</v>
      </c>
      <c r="P745">
        <f t="shared" si="978"/>
        <v>-0.42790697674418554</v>
      </c>
      <c r="Q745">
        <f t="shared" si="979"/>
        <v>-202202.67584967418</v>
      </c>
      <c r="R745">
        <f t="shared" si="980"/>
        <v>1251237.8506223755</v>
      </c>
      <c r="S745">
        <f t="shared" si="981"/>
        <v>12.512378506223754</v>
      </c>
      <c r="T745">
        <f t="shared" si="982"/>
        <v>1.2512378506223755E-2</v>
      </c>
    </row>
    <row r="746" spans="1:20" x14ac:dyDescent="0.25">
      <c r="A746" s="5">
        <v>43847</v>
      </c>
      <c r="B746">
        <v>127.46</v>
      </c>
      <c r="C746">
        <v>128</v>
      </c>
      <c r="D746">
        <v>109</v>
      </c>
      <c r="E746">
        <v>113.04</v>
      </c>
      <c r="F746">
        <v>321461.42979000002</v>
      </c>
      <c r="G746">
        <v>0</v>
      </c>
      <c r="L746" t="s">
        <v>7</v>
      </c>
      <c r="M746" t="s">
        <v>7</v>
      </c>
      <c r="N746" t="s">
        <v>8</v>
      </c>
      <c r="P746">
        <f t="shared" si="978"/>
        <v>-0.57473684210526255</v>
      </c>
      <c r="Q746">
        <f t="shared" si="979"/>
        <v>-184755.7270161472</v>
      </c>
      <c r="R746">
        <f t="shared" si="980"/>
        <v>1453440.5264720498</v>
      </c>
      <c r="S746">
        <f t="shared" si="981"/>
        <v>14.534405264720498</v>
      </c>
      <c r="T746">
        <f t="shared" si="982"/>
        <v>1.4534405264720497E-2</v>
      </c>
    </row>
    <row r="747" spans="1:20" x14ac:dyDescent="0.25">
      <c r="A747" s="5">
        <v>43846</v>
      </c>
      <c r="B747">
        <v>133.79</v>
      </c>
      <c r="C747">
        <v>134.75</v>
      </c>
      <c r="D747">
        <v>112.58</v>
      </c>
      <c r="E747">
        <v>127.45</v>
      </c>
      <c r="F747">
        <v>532642.16816999996</v>
      </c>
      <c r="G747">
        <v>0</v>
      </c>
      <c r="L747" t="s">
        <v>7</v>
      </c>
      <c r="M747" t="s">
        <v>7</v>
      </c>
      <c r="N747" t="s">
        <v>8</v>
      </c>
      <c r="P747">
        <f t="shared" si="978"/>
        <v>0.34145241317095204</v>
      </c>
      <c r="Q747">
        <f t="shared" si="979"/>
        <v>181871.95367825453</v>
      </c>
      <c r="R747">
        <f t="shared" si="980"/>
        <v>1638196.253488197</v>
      </c>
      <c r="S747">
        <f t="shared" si="981"/>
        <v>16.381962534881971</v>
      </c>
      <c r="T747">
        <f t="shared" si="982"/>
        <v>1.6381962534881972E-2</v>
      </c>
    </row>
    <row r="748" spans="1:20" x14ac:dyDescent="0.25">
      <c r="A748" s="5">
        <v>43845</v>
      </c>
      <c r="B748">
        <v>89.28</v>
      </c>
      <c r="C748">
        <v>150</v>
      </c>
      <c r="D748">
        <v>88.09</v>
      </c>
      <c r="E748">
        <v>133.6</v>
      </c>
      <c r="F748">
        <v>942507.16816</v>
      </c>
      <c r="G748">
        <v>0</v>
      </c>
      <c r="L748" t="s">
        <v>8</v>
      </c>
      <c r="M748" t="s">
        <v>8</v>
      </c>
      <c r="N748" t="s">
        <v>8</v>
      </c>
      <c r="P748">
        <f t="shared" si="978"/>
        <v>0.47019867549668853</v>
      </c>
      <c r="Q748">
        <f t="shared" si="979"/>
        <v>443165.62211496668</v>
      </c>
      <c r="R748">
        <f t="shared" si="980"/>
        <v>1456324.2998099425</v>
      </c>
      <c r="S748">
        <f t="shared" si="981"/>
        <v>14.563242998099424</v>
      </c>
      <c r="T748">
        <f t="shared" si="982"/>
        <v>1.4563242998099425E-2</v>
      </c>
    </row>
    <row r="749" spans="1:20" x14ac:dyDescent="0.25">
      <c r="A749" s="5">
        <v>43844</v>
      </c>
      <c r="B749">
        <v>69.44</v>
      </c>
      <c r="C749">
        <v>89.93</v>
      </c>
      <c r="D749">
        <v>69.319999999999993</v>
      </c>
      <c r="E749">
        <v>89.28</v>
      </c>
      <c r="F749">
        <v>576172.27797000005</v>
      </c>
      <c r="G749">
        <v>0</v>
      </c>
      <c r="L749" t="s">
        <v>8</v>
      </c>
      <c r="M749" t="s">
        <v>8</v>
      </c>
      <c r="N749" t="s">
        <v>8</v>
      </c>
      <c r="P749">
        <f t="shared" si="978"/>
        <v>0.93692382338670499</v>
      </c>
      <c r="Q749">
        <f t="shared" si="979"/>
        <v>539829.53360507987</v>
      </c>
      <c r="R749">
        <f t="shared" si="980"/>
        <v>1013158.6776949759</v>
      </c>
      <c r="S749">
        <f t="shared" si="981"/>
        <v>10.131586776949758</v>
      </c>
      <c r="T749">
        <f t="shared" si="982"/>
        <v>1.0131586776949758E-2</v>
      </c>
    </row>
    <row r="750" spans="1:20" x14ac:dyDescent="0.25">
      <c r="A750" s="5">
        <v>43843</v>
      </c>
      <c r="B750">
        <v>66.22</v>
      </c>
      <c r="C750">
        <v>71.2</v>
      </c>
      <c r="D750">
        <v>63.67</v>
      </c>
      <c r="E750">
        <v>69.430000000000007</v>
      </c>
      <c r="F750">
        <v>155549.12880000001</v>
      </c>
      <c r="G750">
        <v>0</v>
      </c>
      <c r="L750" t="s">
        <v>8</v>
      </c>
      <c r="M750" t="s">
        <v>8</v>
      </c>
      <c r="N750" t="s">
        <v>8</v>
      </c>
      <c r="P750">
        <f t="shared" si="978"/>
        <v>0.52988047808765049</v>
      </c>
      <c r="Q750">
        <f t="shared" si="979"/>
        <v>82422.446734661527</v>
      </c>
      <c r="R750">
        <f t="shared" si="980"/>
        <v>473329.14408989606</v>
      </c>
      <c r="S750">
        <f t="shared" si="981"/>
        <v>4.7332914408989604</v>
      </c>
      <c r="T750">
        <f t="shared" si="982"/>
        <v>4.7332914408989603E-3</v>
      </c>
    </row>
    <row r="751" spans="1:20" x14ac:dyDescent="0.25">
      <c r="A751" s="5">
        <v>43842</v>
      </c>
      <c r="B751">
        <v>63.43</v>
      </c>
      <c r="C751">
        <v>68.099999999999994</v>
      </c>
      <c r="D751">
        <v>62.12</v>
      </c>
      <c r="E751">
        <v>66.19</v>
      </c>
      <c r="F751">
        <v>221143.40758999999</v>
      </c>
      <c r="G751">
        <v>0</v>
      </c>
      <c r="L751" t="s">
        <v>8</v>
      </c>
      <c r="M751" t="s">
        <v>8</v>
      </c>
      <c r="N751" t="s">
        <v>8</v>
      </c>
      <c r="P751">
        <f t="shared" si="978"/>
        <v>0.36120401337792724</v>
      </c>
      <c r="Q751">
        <f t="shared" si="979"/>
        <v>79877.886353578768</v>
      </c>
      <c r="R751">
        <f t="shared" si="980"/>
        <v>390906.69735523453</v>
      </c>
      <c r="S751">
        <f t="shared" si="981"/>
        <v>3.9090669735523451</v>
      </c>
      <c r="T751">
        <f t="shared" si="982"/>
        <v>3.9090669735523447E-3</v>
      </c>
    </row>
    <row r="752" spans="1:20" x14ac:dyDescent="0.25">
      <c r="A752" s="5">
        <v>43841</v>
      </c>
      <c r="B752">
        <v>56.84</v>
      </c>
      <c r="C752">
        <v>67.849999999999994</v>
      </c>
      <c r="D752">
        <v>55.74</v>
      </c>
      <c r="E752">
        <v>63.46</v>
      </c>
      <c r="F752">
        <v>288575.83841000003</v>
      </c>
      <c r="G752">
        <v>0</v>
      </c>
      <c r="L752" t="s">
        <v>8</v>
      </c>
      <c r="M752" t="s">
        <v>8</v>
      </c>
      <c r="N752" t="s">
        <v>8</v>
      </c>
      <c r="P752">
        <f t="shared" si="978"/>
        <v>0.27497935590421202</v>
      </c>
      <c r="Q752">
        <f t="shared" si="979"/>
        <v>79352.39817549978</v>
      </c>
      <c r="R752">
        <f t="shared" si="980"/>
        <v>311028.81100165576</v>
      </c>
      <c r="S752">
        <f t="shared" si="981"/>
        <v>3.1102881100165578</v>
      </c>
      <c r="T752">
        <f t="shared" si="982"/>
        <v>3.1102881100165576E-3</v>
      </c>
    </row>
    <row r="753" spans="1:20" x14ac:dyDescent="0.25">
      <c r="A753" s="5">
        <v>43840</v>
      </c>
      <c r="B753">
        <v>50.52</v>
      </c>
      <c r="C753">
        <v>56.89</v>
      </c>
      <c r="D753">
        <v>49.75</v>
      </c>
      <c r="E753">
        <v>56.88</v>
      </c>
      <c r="F753">
        <v>141518.35183999999</v>
      </c>
      <c r="G753">
        <v>0</v>
      </c>
      <c r="L753" t="s">
        <v>8</v>
      </c>
      <c r="M753" t="s">
        <v>8</v>
      </c>
      <c r="N753" t="s">
        <v>8</v>
      </c>
      <c r="P753">
        <f t="shared" si="978"/>
        <v>0.99719887955182129</v>
      </c>
      <c r="Q753">
        <f t="shared" si="979"/>
        <v>141121.94189086842</v>
      </c>
      <c r="R753">
        <f t="shared" si="980"/>
        <v>231676.41282615601</v>
      </c>
      <c r="S753">
        <f t="shared" si="981"/>
        <v>2.3167641282615601</v>
      </c>
      <c r="T753">
        <f t="shared" si="982"/>
        <v>2.31676412826156E-3</v>
      </c>
    </row>
    <row r="754" spans="1:20" x14ac:dyDescent="0.25">
      <c r="A754" s="5">
        <v>43839</v>
      </c>
      <c r="B754">
        <v>52.43</v>
      </c>
      <c r="C754">
        <v>53.2</v>
      </c>
      <c r="D754">
        <v>49.88</v>
      </c>
      <c r="E754">
        <v>50.54</v>
      </c>
      <c r="F754">
        <v>58151.445849999996</v>
      </c>
      <c r="G754">
        <v>0</v>
      </c>
      <c r="L754" t="s">
        <v>7</v>
      </c>
      <c r="M754" t="s">
        <v>8</v>
      </c>
      <c r="N754" t="s">
        <v>8</v>
      </c>
      <c r="P754">
        <f t="shared" si="978"/>
        <v>-0.60240963855421892</v>
      </c>
      <c r="Q754">
        <f t="shared" si="979"/>
        <v>-35030.991475903735</v>
      </c>
      <c r="R754">
        <f t="shared" si="980"/>
        <v>90554.470935287609</v>
      </c>
      <c r="S754">
        <f t="shared" si="981"/>
        <v>0.90554470935287612</v>
      </c>
      <c r="T754">
        <f t="shared" si="982"/>
        <v>9.0554470935287612E-4</v>
      </c>
    </row>
    <row r="755" spans="1:20" x14ac:dyDescent="0.25">
      <c r="A755" s="5">
        <v>43838</v>
      </c>
      <c r="B755">
        <v>54.63</v>
      </c>
      <c r="C755">
        <v>57</v>
      </c>
      <c r="D755">
        <v>51.28</v>
      </c>
      <c r="E755">
        <v>52.42</v>
      </c>
      <c r="F755">
        <v>80441.568969999993</v>
      </c>
      <c r="G755">
        <v>0</v>
      </c>
      <c r="L755" t="s">
        <v>7</v>
      </c>
      <c r="M755" t="s">
        <v>8</v>
      </c>
      <c r="N755" t="s">
        <v>8</v>
      </c>
      <c r="P755">
        <f t="shared" si="978"/>
        <v>-0.60139860139860113</v>
      </c>
      <c r="Q755">
        <f t="shared" si="979"/>
        <v>-48377.447072867108</v>
      </c>
      <c r="R755">
        <f t="shared" si="980"/>
        <v>125585.46241119134</v>
      </c>
      <c r="S755">
        <f t="shared" si="981"/>
        <v>1.2558546241119135</v>
      </c>
      <c r="T755">
        <f t="shared" si="982"/>
        <v>1.2558546241119134E-3</v>
      </c>
    </row>
    <row r="756" spans="1:20" x14ac:dyDescent="0.25">
      <c r="A756" s="5">
        <v>43837</v>
      </c>
      <c r="B756">
        <v>56.56</v>
      </c>
      <c r="C756">
        <v>57.6</v>
      </c>
      <c r="D756">
        <v>53.4</v>
      </c>
      <c r="E756">
        <v>54.62</v>
      </c>
      <c r="F756">
        <v>131285.58058000001</v>
      </c>
      <c r="G756">
        <v>0</v>
      </c>
      <c r="L756" t="s">
        <v>7</v>
      </c>
      <c r="M756" t="s">
        <v>8</v>
      </c>
      <c r="N756" t="s">
        <v>8</v>
      </c>
      <c r="P756">
        <f t="shared" si="978"/>
        <v>-0.41904761904762</v>
      </c>
      <c r="Q756">
        <f t="shared" si="979"/>
        <v>-55014.909957333461</v>
      </c>
      <c r="R756">
        <f t="shared" si="980"/>
        <v>173962.90948405844</v>
      </c>
      <c r="S756">
        <f t="shared" si="981"/>
        <v>1.7396290948405844</v>
      </c>
      <c r="T756">
        <f t="shared" si="982"/>
        <v>1.7396290948405843E-3</v>
      </c>
    </row>
    <row r="757" spans="1:20" x14ac:dyDescent="0.25">
      <c r="A757" s="5">
        <v>43836</v>
      </c>
      <c r="B757">
        <v>51.16</v>
      </c>
      <c r="C757">
        <v>57.64</v>
      </c>
      <c r="D757">
        <v>50.74</v>
      </c>
      <c r="E757">
        <v>56.57</v>
      </c>
      <c r="F757">
        <v>218402.53834</v>
      </c>
      <c r="G757">
        <v>0</v>
      </c>
      <c r="L757" t="s">
        <v>8</v>
      </c>
      <c r="M757" t="s">
        <v>8</v>
      </c>
      <c r="N757" t="s">
        <v>8</v>
      </c>
      <c r="P757">
        <f t="shared" si="978"/>
        <v>0.68985507246376798</v>
      </c>
      <c r="Q757">
        <f t="shared" si="979"/>
        <v>150666.09891281158</v>
      </c>
      <c r="R757">
        <f t="shared" si="980"/>
        <v>228977.81944139191</v>
      </c>
      <c r="S757">
        <f t="shared" si="981"/>
        <v>2.2897781944139193</v>
      </c>
      <c r="T757">
        <f t="shared" si="982"/>
        <v>2.2897781944139191E-3</v>
      </c>
    </row>
    <row r="758" spans="1:20" x14ac:dyDescent="0.25">
      <c r="A758" s="5">
        <v>43835</v>
      </c>
      <c r="B758">
        <v>46.18</v>
      </c>
      <c r="C758">
        <v>53.28</v>
      </c>
      <c r="D758">
        <v>46.17</v>
      </c>
      <c r="E758">
        <v>51.17</v>
      </c>
      <c r="F758">
        <v>237688.33038</v>
      </c>
      <c r="G758">
        <v>0</v>
      </c>
      <c r="L758" t="s">
        <v>8</v>
      </c>
      <c r="M758" t="s">
        <v>8</v>
      </c>
      <c r="N758" t="s">
        <v>7</v>
      </c>
      <c r="P758">
        <f t="shared" si="978"/>
        <v>0.40646976090014075</v>
      </c>
      <c r="Q758">
        <f t="shared" si="979"/>
        <v>96613.118818312258</v>
      </c>
      <c r="R758">
        <f t="shared" si="980"/>
        <v>78311.72052858035</v>
      </c>
      <c r="S758">
        <f t="shared" si="981"/>
        <v>0.78311720528580353</v>
      </c>
      <c r="T758">
        <f t="shared" si="982"/>
        <v>7.831172052858035E-4</v>
      </c>
    </row>
    <row r="759" spans="1:20" x14ac:dyDescent="0.25">
      <c r="A759" s="5">
        <v>43834</v>
      </c>
      <c r="B759">
        <v>43.92</v>
      </c>
      <c r="C759">
        <v>48</v>
      </c>
      <c r="D759">
        <v>43.05</v>
      </c>
      <c r="E759">
        <v>46.19</v>
      </c>
      <c r="F759">
        <v>318745.74381999997</v>
      </c>
      <c r="G759">
        <v>0</v>
      </c>
      <c r="L759" t="s">
        <v>8</v>
      </c>
      <c r="M759" t="s">
        <v>8</v>
      </c>
      <c r="N759" t="s">
        <v>7</v>
      </c>
      <c r="P759">
        <f t="shared" si="978"/>
        <v>0.2686868686868682</v>
      </c>
      <c r="Q759">
        <f t="shared" si="979"/>
        <v>85642.79581426247</v>
      </c>
      <c r="R759">
        <f t="shared" si="980"/>
        <v>-18301.398289731907</v>
      </c>
      <c r="S759">
        <f t="shared" si="981"/>
        <v>-0.18301398289731907</v>
      </c>
      <c r="T759">
        <f t="shared" si="982"/>
        <v>-1.8301398289731908E-4</v>
      </c>
    </row>
    <row r="760" spans="1:20" x14ac:dyDescent="0.25">
      <c r="A760" s="5">
        <v>43833</v>
      </c>
      <c r="B760">
        <v>40.020000000000003</v>
      </c>
      <c r="C760">
        <v>43.99</v>
      </c>
      <c r="D760">
        <v>39.94</v>
      </c>
      <c r="E760">
        <v>43.92</v>
      </c>
      <c r="F760">
        <v>37446.337099999997</v>
      </c>
      <c r="G760">
        <v>0</v>
      </c>
      <c r="L760" t="s">
        <v>8</v>
      </c>
      <c r="M760" t="s">
        <v>8</v>
      </c>
      <c r="N760" t="s">
        <v>7</v>
      </c>
      <c r="P760">
        <f t="shared" si="978"/>
        <v>0.96543209876543201</v>
      </c>
      <c r="Q760">
        <f t="shared" si="979"/>
        <v>36151.895817530858</v>
      </c>
      <c r="R760">
        <f t="shared" si="980"/>
        <v>-103944.19410399438</v>
      </c>
      <c r="S760">
        <f t="shared" si="981"/>
        <v>-1.0394419410399438</v>
      </c>
      <c r="T760">
        <f t="shared" si="982"/>
        <v>-1.0394419410399438E-3</v>
      </c>
    </row>
    <row r="761" spans="1:20" x14ac:dyDescent="0.25">
      <c r="A761" s="5">
        <v>43832</v>
      </c>
      <c r="B761">
        <v>41.82</v>
      </c>
      <c r="C761">
        <v>41.82</v>
      </c>
      <c r="D761">
        <v>39.93</v>
      </c>
      <c r="E761">
        <v>40.04</v>
      </c>
      <c r="F761">
        <v>18821.67698</v>
      </c>
      <c r="G761">
        <v>0</v>
      </c>
      <c r="L761" t="s">
        <v>7</v>
      </c>
      <c r="M761" t="s">
        <v>8</v>
      </c>
      <c r="N761" t="s">
        <v>7</v>
      </c>
      <c r="P761">
        <f t="shared" si="978"/>
        <v>-0.88359788359788427</v>
      </c>
      <c r="Q761">
        <f t="shared" si="979"/>
        <v>-16630.793945291018</v>
      </c>
      <c r="R761">
        <f t="shared" si="980"/>
        <v>-140096.08992152524</v>
      </c>
      <c r="S761">
        <f t="shared" si="981"/>
        <v>-1.4009608992152525</v>
      </c>
      <c r="T761">
        <f t="shared" si="982"/>
        <v>-1.4009608992152525E-3</v>
      </c>
    </row>
    <row r="762" spans="1:20" x14ac:dyDescent="0.25">
      <c r="A762" s="5">
        <v>43831</v>
      </c>
      <c r="B762">
        <v>41.17</v>
      </c>
      <c r="C762">
        <v>42.71</v>
      </c>
      <c r="D762">
        <v>40.92</v>
      </c>
      <c r="E762">
        <v>41.84</v>
      </c>
      <c r="F762">
        <v>15016.01814</v>
      </c>
      <c r="G762">
        <v>0</v>
      </c>
      <c r="L762" t="s">
        <v>7</v>
      </c>
      <c r="M762" t="s">
        <v>8</v>
      </c>
      <c r="N762" t="s">
        <v>7</v>
      </c>
      <c r="P762">
        <f t="shared" si="978"/>
        <v>2.7932960893857144E-2</v>
      </c>
      <c r="Q762">
        <f t="shared" si="979"/>
        <v>419.44184748606949</v>
      </c>
      <c r="R762">
        <f t="shared" si="980"/>
        <v>-123465.29597623424</v>
      </c>
      <c r="S762">
        <f t="shared" si="981"/>
        <v>-1.2346529597623424</v>
      </c>
      <c r="T762">
        <f t="shared" si="982"/>
        <v>-1.2346529597623424E-3</v>
      </c>
    </row>
    <row r="763" spans="1:20" x14ac:dyDescent="0.25">
      <c r="A763" s="5">
        <v>43830</v>
      </c>
      <c r="B763">
        <v>42.25</v>
      </c>
      <c r="C763">
        <v>42.77</v>
      </c>
      <c r="D763">
        <v>41.02</v>
      </c>
      <c r="E763">
        <v>41.16</v>
      </c>
      <c r="F763">
        <v>22137.533189999998</v>
      </c>
      <c r="G763">
        <v>0</v>
      </c>
      <c r="L763" t="s">
        <v>7</v>
      </c>
      <c r="M763" t="s">
        <v>8</v>
      </c>
      <c r="N763" t="s">
        <v>7</v>
      </c>
      <c r="P763">
        <f t="shared" si="978"/>
        <v>-0.84000000000000752</v>
      </c>
      <c r="Q763">
        <f t="shared" si="979"/>
        <v>-18595.527879600166</v>
      </c>
      <c r="R763">
        <f t="shared" si="980"/>
        <v>-123884.73782372031</v>
      </c>
      <c r="S763">
        <f t="shared" si="981"/>
        <v>-1.2388473782372031</v>
      </c>
      <c r="T763">
        <f t="shared" si="982"/>
        <v>-1.2388473782372032E-3</v>
      </c>
    </row>
    <row r="764" spans="1:20" x14ac:dyDescent="0.25">
      <c r="A764" s="5">
        <v>43829</v>
      </c>
      <c r="B764">
        <v>44.56</v>
      </c>
      <c r="C764">
        <v>44.67</v>
      </c>
      <c r="D764">
        <v>42.07</v>
      </c>
      <c r="E764">
        <v>42.26</v>
      </c>
      <c r="F764">
        <v>30253.93836</v>
      </c>
      <c r="G764">
        <v>0</v>
      </c>
      <c r="L764" t="s">
        <v>7</v>
      </c>
      <c r="M764" t="s">
        <v>8</v>
      </c>
      <c r="N764" t="s">
        <v>7</v>
      </c>
      <c r="P764">
        <f t="shared" si="978"/>
        <v>-0.8538461538461557</v>
      </c>
      <c r="Q764">
        <f t="shared" si="979"/>
        <v>-25832.208907384673</v>
      </c>
      <c r="R764">
        <f t="shared" si="980"/>
        <v>-105289.20994412014</v>
      </c>
      <c r="S764">
        <f t="shared" si="981"/>
        <v>-1.0528920994412014</v>
      </c>
      <c r="T764">
        <f t="shared" si="982"/>
        <v>-1.0528920994412015E-3</v>
      </c>
    </row>
    <row r="765" spans="1:20" x14ac:dyDescent="0.25">
      <c r="A765" s="5">
        <v>43828</v>
      </c>
      <c r="B765">
        <v>41.79</v>
      </c>
      <c r="C765">
        <v>45.02</v>
      </c>
      <c r="D765">
        <v>41.25</v>
      </c>
      <c r="E765">
        <v>44.54</v>
      </c>
      <c r="F765">
        <v>75666.834470000002</v>
      </c>
      <c r="G765">
        <v>0</v>
      </c>
      <c r="L765" t="s">
        <v>8</v>
      </c>
      <c r="M765" t="s">
        <v>8</v>
      </c>
      <c r="N765" t="s">
        <v>7</v>
      </c>
      <c r="P765">
        <f t="shared" si="978"/>
        <v>0.74535809018567445</v>
      </c>
      <c r="Q765">
        <f t="shared" si="979"/>
        <v>56398.887230954759</v>
      </c>
      <c r="R765">
        <f t="shared" si="980"/>
        <v>-79457.00103673547</v>
      </c>
      <c r="S765">
        <f t="shared" si="981"/>
        <v>-0.79457001036735475</v>
      </c>
      <c r="T765">
        <f t="shared" si="982"/>
        <v>-7.9457001036735474E-4</v>
      </c>
    </row>
    <row r="766" spans="1:20" x14ac:dyDescent="0.25">
      <c r="A766" s="5">
        <v>43827</v>
      </c>
      <c r="B766">
        <v>39.6</v>
      </c>
      <c r="C766">
        <v>42.92</v>
      </c>
      <c r="D766">
        <v>39.46</v>
      </c>
      <c r="E766">
        <v>41.78</v>
      </c>
      <c r="F766">
        <v>64842.717190000003</v>
      </c>
      <c r="G766">
        <v>0</v>
      </c>
      <c r="L766" t="s">
        <v>8</v>
      </c>
      <c r="M766" t="s">
        <v>7</v>
      </c>
      <c r="N766" t="s">
        <v>7</v>
      </c>
      <c r="P766">
        <f t="shared" si="978"/>
        <v>0.34104046242774549</v>
      </c>
      <c r="Q766">
        <f t="shared" si="979"/>
        <v>22113.990255549124</v>
      </c>
      <c r="R766">
        <f t="shared" si="980"/>
        <v>-135855.88826769023</v>
      </c>
      <c r="S766">
        <f t="shared" si="981"/>
        <v>-1.3585588826769024</v>
      </c>
      <c r="T766">
        <f t="shared" si="982"/>
        <v>-1.3585588826769024E-3</v>
      </c>
    </row>
    <row r="767" spans="1:20" x14ac:dyDescent="0.25">
      <c r="A767" s="5">
        <v>43826</v>
      </c>
      <c r="B767">
        <v>39.89</v>
      </c>
      <c r="C767">
        <v>40.39</v>
      </c>
      <c r="D767">
        <v>38.270000000000003</v>
      </c>
      <c r="E767">
        <v>39.630000000000003</v>
      </c>
      <c r="F767">
        <v>38302.596189999997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983">IF(C767=D767,0,((E767-D767)-(C767-E767))/(C767-D767))</f>
        <v>0.28301886792452929</v>
      </c>
      <c r="Q767">
        <f t="shared" ref="Q767:Q830" si="984">F767*P767</f>
        <v>10840.357412264188</v>
      </c>
      <c r="R767">
        <f t="shared" ref="R767:R830" si="985">R768+Q767</f>
        <v>-157969.87852323934</v>
      </c>
      <c r="S767">
        <f t="shared" ref="S767:S830" si="986">R767/100000</f>
        <v>-1.5796987852323934</v>
      </c>
      <c r="T767">
        <f t="shared" ref="T767:T830" si="987">S767/1000</f>
        <v>-1.5796987852323935E-3</v>
      </c>
    </row>
    <row r="768" spans="1:20" x14ac:dyDescent="0.25">
      <c r="A768" s="5">
        <v>43825</v>
      </c>
      <c r="B768">
        <v>40.72</v>
      </c>
      <c r="C768">
        <v>40.96</v>
      </c>
      <c r="D768">
        <v>38.200000000000003</v>
      </c>
      <c r="E768">
        <v>39.89</v>
      </c>
      <c r="F768">
        <v>95998.385710000002</v>
      </c>
      <c r="G768">
        <v>0</v>
      </c>
      <c r="L768" t="s">
        <v>7</v>
      </c>
      <c r="M768" t="s">
        <v>7</v>
      </c>
      <c r="N768" t="s">
        <v>7</v>
      </c>
      <c r="P768">
        <f t="shared" si="983"/>
        <v>0.22463768115941954</v>
      </c>
      <c r="Q768">
        <f t="shared" si="984"/>
        <v>21564.854760941958</v>
      </c>
      <c r="R768">
        <f t="shared" si="985"/>
        <v>-168810.23593550353</v>
      </c>
      <c r="S768">
        <f t="shared" si="986"/>
        <v>-1.6881023593550353</v>
      </c>
      <c r="T768">
        <f t="shared" si="987"/>
        <v>-1.6881023593550352E-3</v>
      </c>
    </row>
    <row r="769" spans="1:20" x14ac:dyDescent="0.25">
      <c r="A769" s="5">
        <v>43824</v>
      </c>
      <c r="B769">
        <v>41.6</v>
      </c>
      <c r="C769">
        <v>41.74</v>
      </c>
      <c r="D769">
        <v>40.18</v>
      </c>
      <c r="E769">
        <v>40.74</v>
      </c>
      <c r="F769">
        <v>28790.11606</v>
      </c>
      <c r="G769">
        <v>0</v>
      </c>
      <c r="L769" t="s">
        <v>7</v>
      </c>
      <c r="M769" t="s">
        <v>7</v>
      </c>
      <c r="N769" t="s">
        <v>7</v>
      </c>
      <c r="P769">
        <f t="shared" si="983"/>
        <v>-0.28205128205128016</v>
      </c>
      <c r="Q769">
        <f t="shared" si="984"/>
        <v>-8120.2891451281512</v>
      </c>
      <c r="R769">
        <f t="shared" si="985"/>
        <v>-190375.09069644549</v>
      </c>
      <c r="S769">
        <f t="shared" si="986"/>
        <v>-1.9037509069644549</v>
      </c>
      <c r="T769">
        <f t="shared" si="987"/>
        <v>-1.903750906964455E-3</v>
      </c>
    </row>
    <row r="770" spans="1:20" x14ac:dyDescent="0.25">
      <c r="A770" s="5">
        <v>43823</v>
      </c>
      <c r="B770">
        <v>42.89</v>
      </c>
      <c r="C770">
        <v>42.95</v>
      </c>
      <c r="D770">
        <v>41.32</v>
      </c>
      <c r="E770">
        <v>41.64</v>
      </c>
      <c r="F770">
        <v>30790.008030000001</v>
      </c>
      <c r="G770">
        <v>0</v>
      </c>
      <c r="L770" t="s">
        <v>7</v>
      </c>
      <c r="M770" t="s">
        <v>7</v>
      </c>
      <c r="N770" t="s">
        <v>7</v>
      </c>
      <c r="P770">
        <f t="shared" si="983"/>
        <v>-0.60736196319018432</v>
      </c>
      <c r="Q770">
        <f t="shared" si="984"/>
        <v>-18700.679723742342</v>
      </c>
      <c r="R770">
        <f t="shared" si="985"/>
        <v>-182254.80155131733</v>
      </c>
      <c r="S770">
        <f t="shared" si="986"/>
        <v>-1.8225480155131732</v>
      </c>
      <c r="T770">
        <f t="shared" si="987"/>
        <v>-1.8225480155131732E-3</v>
      </c>
    </row>
    <row r="771" spans="1:20" x14ac:dyDescent="0.25">
      <c r="A771" s="5">
        <v>43822</v>
      </c>
      <c r="B771">
        <v>44.22</v>
      </c>
      <c r="C771">
        <v>44.83</v>
      </c>
      <c r="D771">
        <v>42.5</v>
      </c>
      <c r="E771">
        <v>42.91</v>
      </c>
      <c r="F771">
        <v>18325.141179999999</v>
      </c>
      <c r="G771">
        <v>0</v>
      </c>
      <c r="L771" t="s">
        <v>8</v>
      </c>
      <c r="M771" t="s">
        <v>7</v>
      </c>
      <c r="N771" t="s">
        <v>7</v>
      </c>
      <c r="P771">
        <f t="shared" si="983"/>
        <v>-0.64806866952789965</v>
      </c>
      <c r="Q771">
        <f t="shared" si="984"/>
        <v>-11875.949863433525</v>
      </c>
      <c r="R771">
        <f t="shared" si="985"/>
        <v>-163554.121827575</v>
      </c>
      <c r="S771">
        <f t="shared" si="986"/>
        <v>-1.6355412182757501</v>
      </c>
      <c r="T771">
        <f t="shared" si="987"/>
        <v>-1.63554121827575E-3</v>
      </c>
    </row>
    <row r="772" spans="1:20" x14ac:dyDescent="0.25">
      <c r="A772" s="5">
        <v>43821</v>
      </c>
      <c r="B772">
        <v>42.6</v>
      </c>
      <c r="C772">
        <v>44.3</v>
      </c>
      <c r="D772">
        <v>42.46</v>
      </c>
      <c r="E772">
        <v>44.16</v>
      </c>
      <c r="F772">
        <v>15264.76216</v>
      </c>
      <c r="G772">
        <v>0</v>
      </c>
      <c r="L772" t="s">
        <v>7</v>
      </c>
      <c r="M772" t="s">
        <v>7</v>
      </c>
      <c r="N772" t="s">
        <v>7</v>
      </c>
      <c r="P772">
        <f t="shared" si="983"/>
        <v>0.84782608695652084</v>
      </c>
      <c r="Q772">
        <f t="shared" si="984"/>
        <v>12941.863570434769</v>
      </c>
      <c r="R772">
        <f t="shared" si="985"/>
        <v>-151678.17196414148</v>
      </c>
      <c r="S772">
        <f t="shared" si="986"/>
        <v>-1.5167817196414148</v>
      </c>
      <c r="T772">
        <f t="shared" si="987"/>
        <v>-1.5167817196414149E-3</v>
      </c>
    </row>
    <row r="773" spans="1:20" x14ac:dyDescent="0.25">
      <c r="A773" s="5">
        <v>43820</v>
      </c>
      <c r="B773">
        <v>43.23</v>
      </c>
      <c r="C773">
        <v>43.31</v>
      </c>
      <c r="D773">
        <v>42.42</v>
      </c>
      <c r="E773">
        <v>42.64</v>
      </c>
      <c r="F773">
        <v>7220.1428500000002</v>
      </c>
      <c r="G773">
        <v>0</v>
      </c>
      <c r="L773" t="s">
        <v>7</v>
      </c>
      <c r="M773" t="s">
        <v>7</v>
      </c>
      <c r="N773" t="s">
        <v>7</v>
      </c>
      <c r="P773">
        <f t="shared" si="983"/>
        <v>-0.50561797752809279</v>
      </c>
      <c r="Q773">
        <f t="shared" si="984"/>
        <v>-3650.63402528092</v>
      </c>
      <c r="R773">
        <f t="shared" si="985"/>
        <v>-164620.03553457625</v>
      </c>
      <c r="S773">
        <f t="shared" si="986"/>
        <v>-1.6462003553457625</v>
      </c>
      <c r="T773">
        <f t="shared" si="987"/>
        <v>-1.6462003553457624E-3</v>
      </c>
    </row>
    <row r="774" spans="1:20" x14ac:dyDescent="0.25">
      <c r="A774" s="5">
        <v>43819</v>
      </c>
      <c r="B774">
        <v>42.76</v>
      </c>
      <c r="C774">
        <v>43.59</v>
      </c>
      <c r="D774">
        <v>42.1</v>
      </c>
      <c r="E774">
        <v>43.25</v>
      </c>
      <c r="F774">
        <v>19435.140640000001</v>
      </c>
      <c r="G774">
        <v>0</v>
      </c>
      <c r="L774" t="s">
        <v>7</v>
      </c>
      <c r="M774" t="s">
        <v>7</v>
      </c>
      <c r="N774" t="s">
        <v>7</v>
      </c>
      <c r="P774">
        <f t="shared" si="983"/>
        <v>0.5436241610738215</v>
      </c>
      <c r="Q774">
        <f t="shared" si="984"/>
        <v>10565.412025771735</v>
      </c>
      <c r="R774">
        <f t="shared" si="985"/>
        <v>-160969.40150929533</v>
      </c>
      <c r="S774">
        <f t="shared" si="986"/>
        <v>-1.6096940150929533</v>
      </c>
      <c r="T774">
        <f t="shared" si="987"/>
        <v>-1.6096940150929532E-3</v>
      </c>
    </row>
    <row r="775" spans="1:20" x14ac:dyDescent="0.25">
      <c r="A775" s="5">
        <v>43818</v>
      </c>
      <c r="B775">
        <v>44.54</v>
      </c>
      <c r="C775">
        <v>44.88</v>
      </c>
      <c r="D775">
        <v>42.12</v>
      </c>
      <c r="E775">
        <v>42.76</v>
      </c>
      <c r="F775">
        <v>25950.577509999999</v>
      </c>
      <c r="G775">
        <v>0</v>
      </c>
      <c r="L775" t="s">
        <v>7</v>
      </c>
      <c r="M775" t="s">
        <v>7</v>
      </c>
      <c r="N775" t="s">
        <v>7</v>
      </c>
      <c r="P775">
        <f t="shared" si="983"/>
        <v>-0.53623188405797151</v>
      </c>
      <c r="Q775">
        <f t="shared" si="984"/>
        <v>-13915.527070579723</v>
      </c>
      <c r="R775">
        <f t="shared" si="985"/>
        <v>-171534.81353506708</v>
      </c>
      <c r="S775">
        <f t="shared" si="986"/>
        <v>-1.7153481353506708</v>
      </c>
      <c r="T775">
        <f t="shared" si="987"/>
        <v>-1.7153481353506708E-3</v>
      </c>
    </row>
    <row r="776" spans="1:20" x14ac:dyDescent="0.25">
      <c r="A776" s="5">
        <v>43817</v>
      </c>
      <c r="B776">
        <v>41.24</v>
      </c>
      <c r="C776">
        <v>45.63</v>
      </c>
      <c r="D776">
        <v>39.979999999999997</v>
      </c>
      <c r="E776">
        <v>44.47</v>
      </c>
      <c r="F776">
        <v>45199.917829999999</v>
      </c>
      <c r="G776">
        <v>0</v>
      </c>
      <c r="L776" t="s">
        <v>8</v>
      </c>
      <c r="M776" t="s">
        <v>7</v>
      </c>
      <c r="N776" t="s">
        <v>7</v>
      </c>
      <c r="P776">
        <f t="shared" si="983"/>
        <v>0.58938053097345044</v>
      </c>
      <c r="Q776">
        <f t="shared" si="984"/>
        <v>26639.95157060173</v>
      </c>
      <c r="R776">
        <f t="shared" si="985"/>
        <v>-157619.28646448735</v>
      </c>
      <c r="S776">
        <f t="shared" si="986"/>
        <v>-1.5761928646448735</v>
      </c>
      <c r="T776">
        <f t="shared" si="987"/>
        <v>-1.5761928646448734E-3</v>
      </c>
    </row>
    <row r="777" spans="1:20" x14ac:dyDescent="0.25">
      <c r="A777" s="5">
        <v>43816</v>
      </c>
      <c r="B777">
        <v>45.96</v>
      </c>
      <c r="C777">
        <v>46.11</v>
      </c>
      <c r="D777">
        <v>40.340000000000003</v>
      </c>
      <c r="E777">
        <v>41.17</v>
      </c>
      <c r="F777">
        <v>61137.659269999996</v>
      </c>
      <c r="G777">
        <v>0</v>
      </c>
      <c r="L777" t="s">
        <v>7</v>
      </c>
      <c r="M777" t="s">
        <v>7</v>
      </c>
      <c r="N777" t="s">
        <v>7</v>
      </c>
      <c r="P777">
        <f t="shared" si="983"/>
        <v>-0.71230502599653422</v>
      </c>
      <c r="Q777">
        <f t="shared" si="984"/>
        <v>-43548.661975684598</v>
      </c>
      <c r="R777">
        <f t="shared" si="985"/>
        <v>-184259.23803508907</v>
      </c>
      <c r="S777">
        <f t="shared" si="986"/>
        <v>-1.8425923803508908</v>
      </c>
      <c r="T777">
        <f t="shared" si="987"/>
        <v>-1.8425923803508909E-3</v>
      </c>
    </row>
    <row r="778" spans="1:20" x14ac:dyDescent="0.25">
      <c r="A778" s="5">
        <v>43815</v>
      </c>
      <c r="B778">
        <v>50.77</v>
      </c>
      <c r="C778">
        <v>50.83</v>
      </c>
      <c r="D778">
        <v>41.81</v>
      </c>
      <c r="E778">
        <v>45.97</v>
      </c>
      <c r="F778">
        <v>46469.462639999998</v>
      </c>
      <c r="G778">
        <v>0</v>
      </c>
      <c r="L778" t="s">
        <v>7</v>
      </c>
      <c r="M778" t="s">
        <v>7</v>
      </c>
      <c r="N778" t="s">
        <v>7</v>
      </c>
      <c r="P778">
        <f t="shared" si="983"/>
        <v>-7.760532150776088E-2</v>
      </c>
      <c r="Q778">
        <f t="shared" si="984"/>
        <v>-3606.2775884700827</v>
      </c>
      <c r="R778">
        <f t="shared" si="985"/>
        <v>-140710.57605940447</v>
      </c>
      <c r="S778">
        <f t="shared" si="986"/>
        <v>-1.4071057605940447</v>
      </c>
      <c r="T778">
        <f t="shared" si="987"/>
        <v>-1.4071057605940446E-3</v>
      </c>
    </row>
    <row r="779" spans="1:20" x14ac:dyDescent="0.25">
      <c r="A779" s="5">
        <v>43814</v>
      </c>
      <c r="B779">
        <v>49.52</v>
      </c>
      <c r="C779">
        <v>51.22</v>
      </c>
      <c r="D779">
        <v>48.93</v>
      </c>
      <c r="E779">
        <v>50.8</v>
      </c>
      <c r="F779">
        <v>11770.82641</v>
      </c>
      <c r="G779">
        <v>0</v>
      </c>
      <c r="L779" t="s">
        <v>7</v>
      </c>
      <c r="M779" t="s">
        <v>7</v>
      </c>
      <c r="N779" t="s">
        <v>7</v>
      </c>
      <c r="P779">
        <f t="shared" si="983"/>
        <v>0.63318777292576256</v>
      </c>
      <c r="Q779">
        <f t="shared" si="984"/>
        <v>7453.1433600436485</v>
      </c>
      <c r="R779">
        <f t="shared" si="985"/>
        <v>-137104.29847093439</v>
      </c>
      <c r="S779">
        <f t="shared" si="986"/>
        <v>-1.3710429847093439</v>
      </c>
      <c r="T779">
        <f t="shared" si="987"/>
        <v>-1.3710429847093438E-3</v>
      </c>
    </row>
    <row r="780" spans="1:20" x14ac:dyDescent="0.25">
      <c r="A780" s="5">
        <v>43813</v>
      </c>
      <c r="B780">
        <v>50.7</v>
      </c>
      <c r="C780">
        <v>51.25</v>
      </c>
      <c r="D780">
        <v>49</v>
      </c>
      <c r="E780">
        <v>49.52</v>
      </c>
      <c r="F780">
        <v>12601.113950000001</v>
      </c>
      <c r="G780">
        <v>0</v>
      </c>
      <c r="L780" t="s">
        <v>7</v>
      </c>
      <c r="M780" t="s">
        <v>7</v>
      </c>
      <c r="N780" t="s">
        <v>7</v>
      </c>
      <c r="P780">
        <f t="shared" si="983"/>
        <v>-0.53777777777777502</v>
      </c>
      <c r="Q780">
        <f t="shared" si="984"/>
        <v>-6776.5990575555215</v>
      </c>
      <c r="R780">
        <f t="shared" si="985"/>
        <v>-144557.44183097803</v>
      </c>
      <c r="S780">
        <f t="shared" si="986"/>
        <v>-1.4455744183097803</v>
      </c>
      <c r="T780">
        <f t="shared" si="987"/>
        <v>-1.4455744183097803E-3</v>
      </c>
    </row>
    <row r="781" spans="1:20" x14ac:dyDescent="0.25">
      <c r="A781" s="5">
        <v>43812</v>
      </c>
      <c r="B781">
        <v>49.82</v>
      </c>
      <c r="C781">
        <v>50.87</v>
      </c>
      <c r="D781">
        <v>49.7</v>
      </c>
      <c r="E781">
        <v>50.69</v>
      </c>
      <c r="F781">
        <v>13086.45471</v>
      </c>
      <c r="G781">
        <v>0</v>
      </c>
      <c r="L781" t="s">
        <v>7</v>
      </c>
      <c r="M781" t="s">
        <v>7</v>
      </c>
      <c r="N781" t="s">
        <v>7</v>
      </c>
      <c r="P781">
        <f t="shared" si="983"/>
        <v>0.6923076923076914</v>
      </c>
      <c r="Q781">
        <f t="shared" si="984"/>
        <v>9059.8532607692196</v>
      </c>
      <c r="R781">
        <f t="shared" si="985"/>
        <v>-137780.84277342251</v>
      </c>
      <c r="S781">
        <f t="shared" si="986"/>
        <v>-1.3778084277342251</v>
      </c>
      <c r="T781">
        <f t="shared" si="987"/>
        <v>-1.3778084277342251E-3</v>
      </c>
    </row>
    <row r="782" spans="1:20" x14ac:dyDescent="0.25">
      <c r="A782" s="5">
        <v>43811</v>
      </c>
      <c r="B782">
        <v>49.71</v>
      </c>
      <c r="C782">
        <v>50.6</v>
      </c>
      <c r="D782">
        <v>48.44</v>
      </c>
      <c r="E782">
        <v>49.84</v>
      </c>
      <c r="F782">
        <v>15200.48761</v>
      </c>
      <c r="G782">
        <v>0</v>
      </c>
      <c r="L782" t="s">
        <v>7</v>
      </c>
      <c r="M782" t="s">
        <v>7</v>
      </c>
      <c r="N782" t="s">
        <v>7</v>
      </c>
      <c r="P782">
        <f t="shared" si="983"/>
        <v>0.29629629629629933</v>
      </c>
      <c r="Q782">
        <f t="shared" si="984"/>
        <v>4503.848180740787</v>
      </c>
      <c r="R782">
        <f t="shared" si="985"/>
        <v>-146840.69603419173</v>
      </c>
      <c r="S782">
        <f t="shared" si="986"/>
        <v>-1.4684069603419172</v>
      </c>
      <c r="T782">
        <f t="shared" si="987"/>
        <v>-1.4684069603419171E-3</v>
      </c>
    </row>
    <row r="783" spans="1:20" x14ac:dyDescent="0.25">
      <c r="A783" s="5">
        <v>43810</v>
      </c>
      <c r="B783">
        <v>49.91</v>
      </c>
      <c r="C783">
        <v>50.77</v>
      </c>
      <c r="D783">
        <v>49.22</v>
      </c>
      <c r="E783">
        <v>49.67</v>
      </c>
      <c r="F783">
        <v>18238.49826</v>
      </c>
      <c r="G783">
        <v>0</v>
      </c>
      <c r="L783" t="s">
        <v>7</v>
      </c>
      <c r="M783" t="s">
        <v>7</v>
      </c>
      <c r="N783" t="s">
        <v>7</v>
      </c>
      <c r="P783">
        <f t="shared" si="983"/>
        <v>-0.41935483870967533</v>
      </c>
      <c r="Q783">
        <f t="shared" si="984"/>
        <v>-7648.4024961289942</v>
      </c>
      <c r="R783">
        <f t="shared" si="985"/>
        <v>-151344.54421493251</v>
      </c>
      <c r="S783">
        <f t="shared" si="986"/>
        <v>-1.5134454421493251</v>
      </c>
      <c r="T783">
        <f t="shared" si="987"/>
        <v>-1.5134454421493252E-3</v>
      </c>
    </row>
    <row r="784" spans="1:20" x14ac:dyDescent="0.25">
      <c r="A784" s="5">
        <v>43809</v>
      </c>
      <c r="B784">
        <v>51.12</v>
      </c>
      <c r="C784">
        <v>51.75</v>
      </c>
      <c r="D784">
        <v>49.27</v>
      </c>
      <c r="E784">
        <v>49.89</v>
      </c>
      <c r="F784">
        <v>16393.719290000001</v>
      </c>
      <c r="G784">
        <v>0</v>
      </c>
      <c r="L784" t="s">
        <v>7</v>
      </c>
      <c r="M784" t="s">
        <v>7</v>
      </c>
      <c r="N784" t="s">
        <v>7</v>
      </c>
      <c r="P784">
        <f t="shared" si="983"/>
        <v>-0.50000000000000144</v>
      </c>
      <c r="Q784">
        <f t="shared" si="984"/>
        <v>-8196.8596450000241</v>
      </c>
      <c r="R784">
        <f t="shared" si="985"/>
        <v>-143696.14171880353</v>
      </c>
      <c r="S784">
        <f t="shared" si="986"/>
        <v>-1.4369614171880352</v>
      </c>
      <c r="T784">
        <f t="shared" si="987"/>
        <v>-1.4369614171880353E-3</v>
      </c>
    </row>
    <row r="785" spans="1:20" x14ac:dyDescent="0.25">
      <c r="A785" s="5">
        <v>43808</v>
      </c>
      <c r="B785">
        <v>51.84</v>
      </c>
      <c r="C785">
        <v>53.09</v>
      </c>
      <c r="D785">
        <v>50.62</v>
      </c>
      <c r="E785">
        <v>51.16</v>
      </c>
      <c r="F785">
        <v>32800.27519</v>
      </c>
      <c r="G785">
        <v>0</v>
      </c>
      <c r="L785" t="s">
        <v>8</v>
      </c>
      <c r="M785" t="s">
        <v>7</v>
      </c>
      <c r="N785" t="s">
        <v>7</v>
      </c>
      <c r="P785">
        <f t="shared" si="983"/>
        <v>-0.56275303643724872</v>
      </c>
      <c r="Q785">
        <f t="shared" si="984"/>
        <v>-18458.454459149856</v>
      </c>
      <c r="R785">
        <f t="shared" si="985"/>
        <v>-135499.28207380351</v>
      </c>
      <c r="S785">
        <f t="shared" si="986"/>
        <v>-1.3549928207380351</v>
      </c>
      <c r="T785">
        <f t="shared" si="987"/>
        <v>-1.354992820738035E-3</v>
      </c>
    </row>
    <row r="786" spans="1:20" x14ac:dyDescent="0.25">
      <c r="A786" s="5">
        <v>43807</v>
      </c>
      <c r="B786">
        <v>52.38</v>
      </c>
      <c r="C786">
        <v>52.49</v>
      </c>
      <c r="D786">
        <v>51.53</v>
      </c>
      <c r="E786">
        <v>51.77</v>
      </c>
      <c r="F786">
        <v>11673.831</v>
      </c>
      <c r="G786">
        <v>0</v>
      </c>
      <c r="L786" t="s">
        <v>8</v>
      </c>
      <c r="M786" t="s">
        <v>7</v>
      </c>
      <c r="N786" t="s">
        <v>7</v>
      </c>
      <c r="P786">
        <f t="shared" si="983"/>
        <v>-0.49999999999999628</v>
      </c>
      <c r="Q786">
        <f t="shared" si="984"/>
        <v>-5836.9154999999564</v>
      </c>
      <c r="R786">
        <f t="shared" si="985"/>
        <v>-117040.82761465365</v>
      </c>
      <c r="S786">
        <f t="shared" si="986"/>
        <v>-1.1704082761465364</v>
      </c>
      <c r="T786">
        <f t="shared" si="987"/>
        <v>-1.1704082761465364E-3</v>
      </c>
    </row>
    <row r="787" spans="1:20" x14ac:dyDescent="0.25">
      <c r="A787" s="5">
        <v>43806</v>
      </c>
      <c r="B787">
        <v>52.5</v>
      </c>
      <c r="C787">
        <v>53.44</v>
      </c>
      <c r="D787">
        <v>51.45</v>
      </c>
      <c r="E787">
        <v>52.39</v>
      </c>
      <c r="F787">
        <v>31395.134109999999</v>
      </c>
      <c r="G787">
        <v>0</v>
      </c>
      <c r="L787" t="s">
        <v>8</v>
      </c>
      <c r="M787" t="s">
        <v>7</v>
      </c>
      <c r="N787" t="s">
        <v>7</v>
      </c>
      <c r="P787">
        <f t="shared" si="983"/>
        <v>-5.5276381909547596E-2</v>
      </c>
      <c r="Q787">
        <f t="shared" si="984"/>
        <v>-1735.4094231658246</v>
      </c>
      <c r="R787">
        <f t="shared" si="985"/>
        <v>-111203.91211465369</v>
      </c>
      <c r="S787">
        <f t="shared" si="986"/>
        <v>-1.112039121146537</v>
      </c>
      <c r="T787">
        <f t="shared" si="987"/>
        <v>-1.112039121146537E-3</v>
      </c>
    </row>
    <row r="788" spans="1:20" x14ac:dyDescent="0.25">
      <c r="A788" s="5">
        <v>43805</v>
      </c>
      <c r="B788">
        <v>49.95</v>
      </c>
      <c r="C788">
        <v>52.93</v>
      </c>
      <c r="D788">
        <v>49.7</v>
      </c>
      <c r="E788">
        <v>52.5</v>
      </c>
      <c r="F788">
        <v>29135.22407</v>
      </c>
      <c r="G788">
        <v>0</v>
      </c>
      <c r="L788" t="s">
        <v>8</v>
      </c>
      <c r="M788" t="s">
        <v>7</v>
      </c>
      <c r="N788" t="s">
        <v>7</v>
      </c>
      <c r="P788">
        <f t="shared" si="983"/>
        <v>0.73374613003095968</v>
      </c>
      <c r="Q788">
        <f t="shared" si="984"/>
        <v>21377.857908947368</v>
      </c>
      <c r="R788">
        <f t="shared" si="985"/>
        <v>-109468.50269148787</v>
      </c>
      <c r="S788">
        <f t="shared" si="986"/>
        <v>-1.0946850269148787</v>
      </c>
      <c r="T788">
        <f t="shared" si="987"/>
        <v>-1.0946850269148787E-3</v>
      </c>
    </row>
    <row r="789" spans="1:20" x14ac:dyDescent="0.25">
      <c r="A789" s="5">
        <v>43804</v>
      </c>
      <c r="B789">
        <v>50.18</v>
      </c>
      <c r="C789">
        <v>51.48</v>
      </c>
      <c r="D789">
        <v>49.27</v>
      </c>
      <c r="E789">
        <v>49.96</v>
      </c>
      <c r="F789">
        <v>23162.223379999999</v>
      </c>
      <c r="G789">
        <v>0</v>
      </c>
      <c r="L789" t="s">
        <v>7</v>
      </c>
      <c r="M789" t="s">
        <v>7</v>
      </c>
      <c r="N789" t="s">
        <v>7</v>
      </c>
      <c r="P789">
        <f t="shared" si="983"/>
        <v>-0.37556561085972878</v>
      </c>
      <c r="Q789">
        <f t="shared" si="984"/>
        <v>-8698.9345725791918</v>
      </c>
      <c r="R789">
        <f t="shared" si="985"/>
        <v>-130846.36060043523</v>
      </c>
      <c r="S789">
        <f t="shared" si="986"/>
        <v>-1.3084636060043524</v>
      </c>
      <c r="T789">
        <f t="shared" si="987"/>
        <v>-1.3084636060043523E-3</v>
      </c>
    </row>
    <row r="790" spans="1:20" x14ac:dyDescent="0.25">
      <c r="A790" s="5">
        <v>43803</v>
      </c>
      <c r="B790">
        <v>51.31</v>
      </c>
      <c r="C790">
        <v>53.05</v>
      </c>
      <c r="D790">
        <v>49.37</v>
      </c>
      <c r="E790">
        <v>50.22</v>
      </c>
      <c r="F790">
        <v>29195.628850000001</v>
      </c>
      <c r="G790">
        <v>0</v>
      </c>
      <c r="L790" t="s">
        <v>7</v>
      </c>
      <c r="M790" t="s">
        <v>7</v>
      </c>
      <c r="N790" t="s">
        <v>7</v>
      </c>
      <c r="P790">
        <f t="shared" si="983"/>
        <v>-0.53804347826086873</v>
      </c>
      <c r="Q790">
        <f t="shared" si="984"/>
        <v>-15708.517696467368</v>
      </c>
      <c r="R790">
        <f t="shared" si="985"/>
        <v>-122147.42602785604</v>
      </c>
      <c r="S790">
        <f t="shared" si="986"/>
        <v>-1.2214742602785604</v>
      </c>
      <c r="T790">
        <f t="shared" si="987"/>
        <v>-1.2214742602785604E-3</v>
      </c>
    </row>
    <row r="791" spans="1:20" x14ac:dyDescent="0.25">
      <c r="A791" s="5">
        <v>43802</v>
      </c>
      <c r="B791">
        <v>51.62</v>
      </c>
      <c r="C791">
        <v>52.16</v>
      </c>
      <c r="D791">
        <v>50.67</v>
      </c>
      <c r="E791">
        <v>51.29</v>
      </c>
      <c r="F791">
        <v>16138.59844</v>
      </c>
      <c r="G791">
        <v>0</v>
      </c>
      <c r="L791" t="s">
        <v>7</v>
      </c>
      <c r="M791" t="s">
        <v>8</v>
      </c>
      <c r="N791" t="s">
        <v>7</v>
      </c>
      <c r="P791">
        <f t="shared" si="983"/>
        <v>-0.16778523489932942</v>
      </c>
      <c r="Q791">
        <f t="shared" si="984"/>
        <v>-2707.8185302013512</v>
      </c>
      <c r="R791">
        <f t="shared" si="985"/>
        <v>-106438.90833138867</v>
      </c>
      <c r="S791">
        <f t="shared" si="986"/>
        <v>-1.0643890833138867</v>
      </c>
      <c r="T791">
        <f t="shared" si="987"/>
        <v>-1.0643890833138866E-3</v>
      </c>
    </row>
    <row r="792" spans="1:20" x14ac:dyDescent="0.25">
      <c r="A792" s="5">
        <v>43801</v>
      </c>
      <c r="B792">
        <v>53.09</v>
      </c>
      <c r="C792">
        <v>53.77</v>
      </c>
      <c r="D792">
        <v>51.45</v>
      </c>
      <c r="E792">
        <v>51.6</v>
      </c>
      <c r="F792">
        <v>14665.770570000001</v>
      </c>
      <c r="G792">
        <v>0</v>
      </c>
      <c r="L792" t="s">
        <v>7</v>
      </c>
      <c r="M792" t="s">
        <v>8</v>
      </c>
      <c r="N792" t="s">
        <v>7</v>
      </c>
      <c r="P792">
        <f t="shared" si="983"/>
        <v>-0.87068965517241503</v>
      </c>
      <c r="Q792">
        <f t="shared" si="984"/>
        <v>-12769.334720431054</v>
      </c>
      <c r="R792">
        <f t="shared" si="985"/>
        <v>-103731.08980118732</v>
      </c>
      <c r="S792">
        <f t="shared" si="986"/>
        <v>-1.0373108980118733</v>
      </c>
      <c r="T792">
        <f t="shared" si="987"/>
        <v>-1.0373108980118733E-3</v>
      </c>
    </row>
    <row r="793" spans="1:20" x14ac:dyDescent="0.25">
      <c r="A793" s="5">
        <v>43800</v>
      </c>
      <c r="B793">
        <v>54.99</v>
      </c>
      <c r="C793">
        <v>55.03</v>
      </c>
      <c r="D793">
        <v>52.22</v>
      </c>
      <c r="E793">
        <v>53.08</v>
      </c>
      <c r="F793">
        <v>18466.048869999999</v>
      </c>
      <c r="G793">
        <v>0</v>
      </c>
      <c r="L793" t="s">
        <v>7</v>
      </c>
      <c r="M793" t="s">
        <v>8</v>
      </c>
      <c r="N793" t="s">
        <v>7</v>
      </c>
      <c r="P793">
        <f t="shared" si="983"/>
        <v>-0.38790035587188704</v>
      </c>
      <c r="Q793">
        <f t="shared" si="984"/>
        <v>-7162.9869282206573</v>
      </c>
      <c r="R793">
        <f t="shared" si="985"/>
        <v>-90961.755080756266</v>
      </c>
      <c r="S793">
        <f t="shared" si="986"/>
        <v>-0.90961755080756268</v>
      </c>
      <c r="T793">
        <f t="shared" si="987"/>
        <v>-9.0961755080756269E-4</v>
      </c>
    </row>
    <row r="794" spans="1:20" x14ac:dyDescent="0.25">
      <c r="A794" s="5">
        <v>43799</v>
      </c>
      <c r="B794">
        <v>57.03</v>
      </c>
      <c r="C794">
        <v>58.01</v>
      </c>
      <c r="D794">
        <v>54.45</v>
      </c>
      <c r="E794">
        <v>54.99</v>
      </c>
      <c r="F794">
        <v>21048.192220000001</v>
      </c>
      <c r="G794">
        <v>0</v>
      </c>
      <c r="L794" t="s">
        <v>7</v>
      </c>
      <c r="M794" t="s">
        <v>8</v>
      </c>
      <c r="N794" t="s">
        <v>7</v>
      </c>
      <c r="P794">
        <f t="shared" si="983"/>
        <v>-0.6966292134831461</v>
      </c>
      <c r="Q794">
        <f t="shared" si="984"/>
        <v>-14662.785591460675</v>
      </c>
      <c r="R794">
        <f t="shared" si="985"/>
        <v>-83798.768152535602</v>
      </c>
      <c r="S794">
        <f t="shared" si="986"/>
        <v>-0.83798768152535597</v>
      </c>
      <c r="T794">
        <f t="shared" si="987"/>
        <v>-8.3798768152535601E-4</v>
      </c>
    </row>
    <row r="795" spans="1:20" x14ac:dyDescent="0.25">
      <c r="A795" s="5">
        <v>43798</v>
      </c>
      <c r="B795">
        <v>52.29</v>
      </c>
      <c r="C795">
        <v>59.29</v>
      </c>
      <c r="D795">
        <v>52.19</v>
      </c>
      <c r="E795">
        <v>56.98</v>
      </c>
      <c r="F795">
        <v>46877.831429999998</v>
      </c>
      <c r="G795">
        <v>0</v>
      </c>
      <c r="L795" t="s">
        <v>8</v>
      </c>
      <c r="M795" t="s">
        <v>8</v>
      </c>
      <c r="N795" t="s">
        <v>7</v>
      </c>
      <c r="P795">
        <f t="shared" si="983"/>
        <v>0.3492957746478868</v>
      </c>
      <c r="Q795">
        <f t="shared" si="984"/>
        <v>16374.228443154905</v>
      </c>
      <c r="R795">
        <f t="shared" si="985"/>
        <v>-69135.982561074925</v>
      </c>
      <c r="S795">
        <f t="shared" si="986"/>
        <v>-0.69135982561074927</v>
      </c>
      <c r="T795">
        <f t="shared" si="987"/>
        <v>-6.9135982561074926E-4</v>
      </c>
    </row>
    <row r="796" spans="1:20" x14ac:dyDescent="0.25">
      <c r="A796" s="5">
        <v>43797</v>
      </c>
      <c r="B796">
        <v>50.41</v>
      </c>
      <c r="C796">
        <v>55.03</v>
      </c>
      <c r="D796">
        <v>49.11</v>
      </c>
      <c r="E796">
        <v>52.28</v>
      </c>
      <c r="F796">
        <v>69738.706090000007</v>
      </c>
      <c r="G796">
        <v>0</v>
      </c>
      <c r="L796" t="s">
        <v>8</v>
      </c>
      <c r="M796" t="s">
        <v>7</v>
      </c>
      <c r="N796" t="s">
        <v>7</v>
      </c>
      <c r="P796">
        <f t="shared" si="983"/>
        <v>7.0945945945946221E-2</v>
      </c>
      <c r="Q796">
        <f t="shared" si="984"/>
        <v>4947.6784726013711</v>
      </c>
      <c r="R796">
        <f t="shared" si="985"/>
        <v>-85510.21100422983</v>
      </c>
      <c r="S796">
        <f t="shared" si="986"/>
        <v>-0.8551021100422983</v>
      </c>
      <c r="T796">
        <f t="shared" si="987"/>
        <v>-8.5510211004229835E-4</v>
      </c>
    </row>
    <row r="797" spans="1:20" x14ac:dyDescent="0.25">
      <c r="A797" s="5">
        <v>43796</v>
      </c>
      <c r="B797">
        <v>50.18</v>
      </c>
      <c r="C797">
        <v>52.67</v>
      </c>
      <c r="D797">
        <v>47.99</v>
      </c>
      <c r="E797">
        <v>50.41</v>
      </c>
      <c r="F797">
        <v>42070.065289999999</v>
      </c>
      <c r="G797">
        <v>0</v>
      </c>
      <c r="L797" t="s">
        <v>8</v>
      </c>
      <c r="M797" t="s">
        <v>7</v>
      </c>
      <c r="N797" t="s">
        <v>7</v>
      </c>
      <c r="P797">
        <f t="shared" si="983"/>
        <v>3.4188034188031943E-2</v>
      </c>
      <c r="Q797">
        <f t="shared" si="984"/>
        <v>1438.2928304272559</v>
      </c>
      <c r="R797">
        <f t="shared" si="985"/>
        <v>-90457.889476831202</v>
      </c>
      <c r="S797">
        <f t="shared" si="986"/>
        <v>-0.90457889476831199</v>
      </c>
      <c r="T797">
        <f t="shared" si="987"/>
        <v>-9.0457889476831203E-4</v>
      </c>
    </row>
    <row r="798" spans="1:20" x14ac:dyDescent="0.25">
      <c r="A798" s="5">
        <v>43795</v>
      </c>
      <c r="B798">
        <v>49.78</v>
      </c>
      <c r="C798">
        <v>51.02</v>
      </c>
      <c r="D798">
        <v>49.5</v>
      </c>
      <c r="E798">
        <v>50.18</v>
      </c>
      <c r="F798">
        <v>32722.616050000001</v>
      </c>
      <c r="G798">
        <v>0</v>
      </c>
      <c r="L798" t="s">
        <v>7</v>
      </c>
      <c r="M798" t="s">
        <v>7</v>
      </c>
      <c r="N798" t="s">
        <v>7</v>
      </c>
      <c r="P798">
        <f t="shared" si="983"/>
        <v>-0.10526315789473906</v>
      </c>
      <c r="Q798">
        <f t="shared" si="984"/>
        <v>-3444.4859000000724</v>
      </c>
      <c r="R798">
        <f t="shared" si="985"/>
        <v>-91896.182307258452</v>
      </c>
      <c r="S798">
        <f t="shared" si="986"/>
        <v>-0.91896182307258456</v>
      </c>
      <c r="T798">
        <f t="shared" si="987"/>
        <v>-9.1896182307258452E-4</v>
      </c>
    </row>
    <row r="799" spans="1:20" x14ac:dyDescent="0.25">
      <c r="A799" s="5">
        <v>43794</v>
      </c>
      <c r="B799">
        <v>50.92</v>
      </c>
      <c r="C799">
        <v>53.77</v>
      </c>
      <c r="D799">
        <v>47.7</v>
      </c>
      <c r="E799">
        <v>49.78</v>
      </c>
      <c r="F799">
        <v>39885.850659999996</v>
      </c>
      <c r="G799">
        <v>0</v>
      </c>
      <c r="L799" t="s">
        <v>7</v>
      </c>
      <c r="M799" t="s">
        <v>7</v>
      </c>
      <c r="N799" t="s">
        <v>7</v>
      </c>
      <c r="P799">
        <f t="shared" si="983"/>
        <v>-0.31466227347611264</v>
      </c>
      <c r="Q799">
        <f t="shared" si="984"/>
        <v>-12550.572448204306</v>
      </c>
      <c r="R799">
        <f t="shared" si="985"/>
        <v>-88451.69640725838</v>
      </c>
      <c r="S799">
        <f t="shared" si="986"/>
        <v>-0.88451696407258384</v>
      </c>
      <c r="T799">
        <f t="shared" si="987"/>
        <v>-8.8451696407258382E-4</v>
      </c>
    </row>
    <row r="800" spans="1:20" x14ac:dyDescent="0.25">
      <c r="A800" s="5">
        <v>43793</v>
      </c>
      <c r="B800">
        <v>54.44</v>
      </c>
      <c r="C800">
        <v>54.67</v>
      </c>
      <c r="D800">
        <v>50.52</v>
      </c>
      <c r="E800">
        <v>50.89</v>
      </c>
      <c r="F800">
        <v>27388.490460000001</v>
      </c>
      <c r="G800">
        <v>0</v>
      </c>
      <c r="L800" t="s">
        <v>7</v>
      </c>
      <c r="M800" t="s">
        <v>7</v>
      </c>
      <c r="N800" t="s">
        <v>7</v>
      </c>
      <c r="P800">
        <f t="shared" si="983"/>
        <v>-0.82168674698795297</v>
      </c>
      <c r="Q800">
        <f t="shared" si="984"/>
        <v>-22504.759630987985</v>
      </c>
      <c r="R800">
        <f t="shared" si="985"/>
        <v>-75901.123959054079</v>
      </c>
      <c r="S800">
        <f t="shared" si="986"/>
        <v>-0.75901123959054084</v>
      </c>
      <c r="T800">
        <f t="shared" si="987"/>
        <v>-7.5901123959054085E-4</v>
      </c>
    </row>
    <row r="801" spans="1:20" x14ac:dyDescent="0.25">
      <c r="A801" s="5">
        <v>43792</v>
      </c>
      <c r="B801">
        <v>55.07</v>
      </c>
      <c r="C801">
        <v>56.81</v>
      </c>
      <c r="D801">
        <v>53.53</v>
      </c>
      <c r="E801">
        <v>54.43</v>
      </c>
      <c r="F801">
        <v>34668.350189999997</v>
      </c>
      <c r="G801">
        <v>0</v>
      </c>
      <c r="L801" t="s">
        <v>7</v>
      </c>
      <c r="M801" t="s">
        <v>7</v>
      </c>
      <c r="N801" t="s">
        <v>7</v>
      </c>
      <c r="P801">
        <f t="shared" si="983"/>
        <v>-0.45121951219512302</v>
      </c>
      <c r="Q801">
        <f t="shared" si="984"/>
        <v>-15643.0360613415</v>
      </c>
      <c r="R801">
        <f t="shared" si="985"/>
        <v>-53396.364328066091</v>
      </c>
      <c r="S801">
        <f t="shared" si="986"/>
        <v>-0.53396364328066093</v>
      </c>
      <c r="T801">
        <f t="shared" si="987"/>
        <v>-5.3396364328066087E-4</v>
      </c>
    </row>
    <row r="802" spans="1:20" x14ac:dyDescent="0.25">
      <c r="A802" s="5">
        <v>43791</v>
      </c>
      <c r="B802">
        <v>60.37</v>
      </c>
      <c r="C802">
        <v>61.01</v>
      </c>
      <c r="D802">
        <v>53.14</v>
      </c>
      <c r="E802">
        <v>55.08</v>
      </c>
      <c r="F802">
        <v>40360.301749999999</v>
      </c>
      <c r="G802">
        <v>0</v>
      </c>
      <c r="L802" t="s">
        <v>7</v>
      </c>
      <c r="M802" t="s">
        <v>7</v>
      </c>
      <c r="N802" t="s">
        <v>7</v>
      </c>
      <c r="P802">
        <f t="shared" si="983"/>
        <v>-0.50698856416772597</v>
      </c>
      <c r="Q802">
        <f t="shared" si="984"/>
        <v>-20462.211433608656</v>
      </c>
      <c r="R802">
        <f t="shared" si="985"/>
        <v>-37753.328266724595</v>
      </c>
      <c r="S802">
        <f t="shared" si="986"/>
        <v>-0.37753328266724595</v>
      </c>
      <c r="T802">
        <f t="shared" si="987"/>
        <v>-3.7753328266724594E-4</v>
      </c>
    </row>
    <row r="803" spans="1:20" x14ac:dyDescent="0.25">
      <c r="A803" s="5">
        <v>43790</v>
      </c>
      <c r="B803">
        <v>63.56</v>
      </c>
      <c r="C803">
        <v>64.430000000000007</v>
      </c>
      <c r="D803">
        <v>59.33</v>
      </c>
      <c r="E803">
        <v>60.35</v>
      </c>
      <c r="F803">
        <v>17722.009450000001</v>
      </c>
      <c r="G803">
        <v>0</v>
      </c>
      <c r="L803" t="s">
        <v>7</v>
      </c>
      <c r="M803" t="s">
        <v>7</v>
      </c>
      <c r="N803" t="s">
        <v>7</v>
      </c>
      <c r="P803">
        <f t="shared" si="983"/>
        <v>-0.59999999999999942</v>
      </c>
      <c r="Q803">
        <f t="shared" si="984"/>
        <v>-10633.20566999999</v>
      </c>
      <c r="R803">
        <f t="shared" si="985"/>
        <v>-17291.116833115939</v>
      </c>
      <c r="S803">
        <f t="shared" si="986"/>
        <v>-0.17291116833115938</v>
      </c>
      <c r="T803">
        <f t="shared" si="987"/>
        <v>-1.7291116833115938E-4</v>
      </c>
    </row>
    <row r="804" spans="1:20" x14ac:dyDescent="0.25">
      <c r="A804" s="5">
        <v>43789</v>
      </c>
      <c r="B804">
        <v>65.25</v>
      </c>
      <c r="C804">
        <v>65.72</v>
      </c>
      <c r="D804">
        <v>63.1</v>
      </c>
      <c r="E804">
        <v>63.56</v>
      </c>
      <c r="F804">
        <v>17149.882900000001</v>
      </c>
      <c r="G804">
        <v>0</v>
      </c>
      <c r="L804" t="s">
        <v>7</v>
      </c>
      <c r="M804" t="s">
        <v>7</v>
      </c>
      <c r="N804" t="s">
        <v>7</v>
      </c>
      <c r="P804">
        <f t="shared" si="983"/>
        <v>-0.64885496183206004</v>
      </c>
      <c r="Q804">
        <f t="shared" si="984"/>
        <v>-11127.786614503799</v>
      </c>
      <c r="R804">
        <f t="shared" si="985"/>
        <v>-6657.9111631159476</v>
      </c>
      <c r="S804">
        <f t="shared" si="986"/>
        <v>-6.6579111631159482E-2</v>
      </c>
      <c r="T804">
        <f t="shared" si="987"/>
        <v>-6.6579111631159476E-5</v>
      </c>
    </row>
    <row r="805" spans="1:20" x14ac:dyDescent="0.25">
      <c r="A805" s="5">
        <v>43788</v>
      </c>
      <c r="B805">
        <v>64.239999999999995</v>
      </c>
      <c r="C805">
        <v>65.680000000000007</v>
      </c>
      <c r="D805">
        <v>62.87</v>
      </c>
      <c r="E805">
        <v>65.239999999999995</v>
      </c>
      <c r="F805">
        <v>11141.031000000001</v>
      </c>
      <c r="G805">
        <v>0</v>
      </c>
      <c r="L805" t="s">
        <v>7</v>
      </c>
      <c r="M805" t="s">
        <v>7</v>
      </c>
      <c r="N805" t="s">
        <v>7</v>
      </c>
      <c r="P805">
        <f t="shared" si="983"/>
        <v>0.6868327402135157</v>
      </c>
      <c r="Q805">
        <f t="shared" si="984"/>
        <v>7652.0248505337258</v>
      </c>
      <c r="R805">
        <f t="shared" si="985"/>
        <v>4469.8754513878512</v>
      </c>
      <c r="S805">
        <f t="shared" si="986"/>
        <v>4.4698754513878509E-2</v>
      </c>
      <c r="T805">
        <f t="shared" si="987"/>
        <v>4.4698754513878511E-5</v>
      </c>
    </row>
    <row r="806" spans="1:20" x14ac:dyDescent="0.25">
      <c r="A806" s="5">
        <v>43787</v>
      </c>
      <c r="B806">
        <v>67.67</v>
      </c>
      <c r="C806">
        <v>67.790000000000006</v>
      </c>
      <c r="D806">
        <v>63.29</v>
      </c>
      <c r="E806">
        <v>64.239999999999995</v>
      </c>
      <c r="F806">
        <v>11567.104499999999</v>
      </c>
      <c r="G806">
        <v>0</v>
      </c>
      <c r="L806" t="s">
        <v>7</v>
      </c>
      <c r="M806" t="s">
        <v>8</v>
      </c>
      <c r="N806" t="s">
        <v>7</v>
      </c>
      <c r="P806">
        <f t="shared" si="983"/>
        <v>-0.57777777777778039</v>
      </c>
      <c r="Q806">
        <f t="shared" si="984"/>
        <v>-6683.215933333363</v>
      </c>
      <c r="R806">
        <f t="shared" si="985"/>
        <v>-3182.1493991458747</v>
      </c>
      <c r="S806">
        <f t="shared" si="986"/>
        <v>-3.1821493991458748E-2</v>
      </c>
      <c r="T806">
        <f t="shared" si="987"/>
        <v>-3.1821493991458747E-5</v>
      </c>
    </row>
    <row r="807" spans="1:20" x14ac:dyDescent="0.25">
      <c r="A807" s="5">
        <v>43786</v>
      </c>
      <c r="B807">
        <v>67.92</v>
      </c>
      <c r="C807">
        <v>68.349999999999994</v>
      </c>
      <c r="D807">
        <v>67.05</v>
      </c>
      <c r="E807">
        <v>67.67</v>
      </c>
      <c r="F807">
        <v>5563.9535500000002</v>
      </c>
      <c r="G807">
        <v>0</v>
      </c>
      <c r="L807" t="s">
        <v>7</v>
      </c>
      <c r="M807" t="s">
        <v>8</v>
      </c>
      <c r="N807" t="s">
        <v>7</v>
      </c>
      <c r="P807">
        <f t="shared" si="983"/>
        <v>-4.6153846153837073E-2</v>
      </c>
      <c r="Q807">
        <f t="shared" si="984"/>
        <v>-256.79785615379564</v>
      </c>
      <c r="R807">
        <f t="shared" si="985"/>
        <v>3501.0665341874883</v>
      </c>
      <c r="S807">
        <f t="shared" si="986"/>
        <v>3.5010665341874886E-2</v>
      </c>
      <c r="T807">
        <f t="shared" si="987"/>
        <v>3.5010665341874889E-5</v>
      </c>
    </row>
    <row r="808" spans="1:20" x14ac:dyDescent="0.25">
      <c r="A808" s="5">
        <v>43785</v>
      </c>
      <c r="B808">
        <v>68.03</v>
      </c>
      <c r="C808">
        <v>68.180000000000007</v>
      </c>
      <c r="D808">
        <v>67.28</v>
      </c>
      <c r="E808">
        <v>67.91</v>
      </c>
      <c r="F808">
        <v>4272.0581400000001</v>
      </c>
      <c r="G808">
        <v>0</v>
      </c>
      <c r="L808" t="s">
        <v>7</v>
      </c>
      <c r="M808" t="s">
        <v>8</v>
      </c>
      <c r="N808" t="s">
        <v>7</v>
      </c>
      <c r="P808">
        <f t="shared" si="983"/>
        <v>0.39999999999998104</v>
      </c>
      <c r="Q808">
        <f t="shared" si="984"/>
        <v>1708.823255999919</v>
      </c>
      <c r="R808">
        <f t="shared" si="985"/>
        <v>3757.864390341284</v>
      </c>
      <c r="S808">
        <f t="shared" si="986"/>
        <v>3.7578643903412839E-2</v>
      </c>
      <c r="T808">
        <f t="shared" si="987"/>
        <v>3.757864390341284E-5</v>
      </c>
    </row>
    <row r="809" spans="1:20" x14ac:dyDescent="0.25">
      <c r="A809" s="5">
        <v>43784</v>
      </c>
      <c r="B809">
        <v>68.75</v>
      </c>
      <c r="C809">
        <v>69.680000000000007</v>
      </c>
      <c r="D809">
        <v>66.510000000000005</v>
      </c>
      <c r="E809">
        <v>68.02</v>
      </c>
      <c r="F809">
        <v>9922.5408900000002</v>
      </c>
      <c r="G809">
        <v>0</v>
      </c>
      <c r="L809" t="s">
        <v>7</v>
      </c>
      <c r="M809" t="s">
        <v>8</v>
      </c>
      <c r="N809" t="s">
        <v>7</v>
      </c>
      <c r="P809">
        <f t="shared" si="983"/>
        <v>-4.7318611987387953E-2</v>
      </c>
      <c r="Q809">
        <f t="shared" si="984"/>
        <v>-469.52086230290115</v>
      </c>
      <c r="R809">
        <f t="shared" si="985"/>
        <v>2049.0411343413653</v>
      </c>
      <c r="S809">
        <f t="shared" si="986"/>
        <v>2.0490411343413652E-2</v>
      </c>
      <c r="T809">
        <f t="shared" si="987"/>
        <v>2.0490411343413652E-5</v>
      </c>
    </row>
    <row r="810" spans="1:20" x14ac:dyDescent="0.25">
      <c r="A810" s="5">
        <v>43783</v>
      </c>
      <c r="B810">
        <v>69.790000000000006</v>
      </c>
      <c r="C810">
        <v>69.89</v>
      </c>
      <c r="D810">
        <v>68.22</v>
      </c>
      <c r="E810">
        <v>68.75</v>
      </c>
      <c r="F810">
        <v>4886.4481500000002</v>
      </c>
      <c r="G810">
        <v>0</v>
      </c>
      <c r="L810" t="s">
        <v>8</v>
      </c>
      <c r="M810" t="s">
        <v>8</v>
      </c>
      <c r="N810" t="s">
        <v>7</v>
      </c>
      <c r="P810">
        <f t="shared" si="983"/>
        <v>-0.36526946107784358</v>
      </c>
      <c r="Q810">
        <f t="shared" si="984"/>
        <v>-1784.8702823353258</v>
      </c>
      <c r="R810">
        <f t="shared" si="985"/>
        <v>2518.5619966442664</v>
      </c>
      <c r="S810">
        <f t="shared" si="986"/>
        <v>2.5185619966442665E-2</v>
      </c>
      <c r="T810">
        <f t="shared" si="987"/>
        <v>2.5185619966442665E-5</v>
      </c>
    </row>
    <row r="811" spans="1:20" x14ac:dyDescent="0.25">
      <c r="A811" s="5">
        <v>43782</v>
      </c>
      <c r="B811">
        <v>70.260000000000005</v>
      </c>
      <c r="C811">
        <v>70.77</v>
      </c>
      <c r="D811">
        <v>69.510000000000005</v>
      </c>
      <c r="E811">
        <v>69.72</v>
      </c>
      <c r="F811">
        <v>8491.11384</v>
      </c>
      <c r="G811">
        <v>0</v>
      </c>
      <c r="L811" t="s">
        <v>8</v>
      </c>
      <c r="M811" t="s">
        <v>8</v>
      </c>
      <c r="N811" t="s">
        <v>7</v>
      </c>
      <c r="P811">
        <f t="shared" si="983"/>
        <v>-0.66666666666667418</v>
      </c>
      <c r="Q811">
        <f t="shared" si="984"/>
        <v>-5660.7425600000633</v>
      </c>
      <c r="R811">
        <f t="shared" si="985"/>
        <v>4303.4322789795924</v>
      </c>
      <c r="S811">
        <f t="shared" si="986"/>
        <v>4.3034322789795923E-2</v>
      </c>
      <c r="T811">
        <f t="shared" si="987"/>
        <v>4.3034322789795925E-5</v>
      </c>
    </row>
    <row r="812" spans="1:20" x14ac:dyDescent="0.25">
      <c r="A812" s="5">
        <v>43781</v>
      </c>
      <c r="B812">
        <v>70.150000000000006</v>
      </c>
      <c r="C812">
        <v>70.73</v>
      </c>
      <c r="D812">
        <v>68.81</v>
      </c>
      <c r="E812">
        <v>70.209999999999994</v>
      </c>
      <c r="F812">
        <v>10428.45522</v>
      </c>
      <c r="G812">
        <v>0</v>
      </c>
      <c r="L812" t="s">
        <v>8</v>
      </c>
      <c r="M812" t="s">
        <v>8</v>
      </c>
      <c r="N812" t="s">
        <v>7</v>
      </c>
      <c r="P812">
        <f t="shared" si="983"/>
        <v>0.45833333333332316</v>
      </c>
      <c r="Q812">
        <f t="shared" si="984"/>
        <v>4779.7086424998934</v>
      </c>
      <c r="R812">
        <f t="shared" si="985"/>
        <v>9964.1748389796558</v>
      </c>
      <c r="S812">
        <f t="shared" si="986"/>
        <v>9.9641748389796558E-2</v>
      </c>
      <c r="T812">
        <f t="shared" si="987"/>
        <v>9.9641748389796563E-5</v>
      </c>
    </row>
    <row r="813" spans="1:20" x14ac:dyDescent="0.25">
      <c r="A813" s="5">
        <v>43780</v>
      </c>
      <c r="B813">
        <v>71.42</v>
      </c>
      <c r="C813">
        <v>72.52</v>
      </c>
      <c r="D813">
        <v>69.349999999999994</v>
      </c>
      <c r="E813">
        <v>70.150000000000006</v>
      </c>
      <c r="F813">
        <v>13132.63725</v>
      </c>
      <c r="G813">
        <v>0</v>
      </c>
      <c r="L813" t="s">
        <v>8</v>
      </c>
      <c r="M813" t="s">
        <v>8</v>
      </c>
      <c r="N813" t="s">
        <v>7</v>
      </c>
      <c r="P813">
        <f t="shared" si="983"/>
        <v>-0.49526813880125492</v>
      </c>
      <c r="Q813">
        <f t="shared" si="984"/>
        <v>-6504.1768083595307</v>
      </c>
      <c r="R813">
        <f t="shared" si="985"/>
        <v>5184.4661964797633</v>
      </c>
      <c r="S813">
        <f t="shared" si="986"/>
        <v>5.1844661964797631E-2</v>
      </c>
      <c r="T813">
        <f t="shared" si="987"/>
        <v>5.1844661964797634E-5</v>
      </c>
    </row>
    <row r="814" spans="1:20" x14ac:dyDescent="0.25">
      <c r="A814" s="5">
        <v>43779</v>
      </c>
      <c r="B814">
        <v>69.59</v>
      </c>
      <c r="C814">
        <v>72.09</v>
      </c>
      <c r="D814">
        <v>69.16</v>
      </c>
      <c r="E814">
        <v>71.41</v>
      </c>
      <c r="F814">
        <v>16709.06206</v>
      </c>
      <c r="G814">
        <v>0</v>
      </c>
      <c r="L814" t="s">
        <v>8</v>
      </c>
      <c r="M814" t="s">
        <v>8</v>
      </c>
      <c r="N814" t="s">
        <v>7</v>
      </c>
      <c r="P814">
        <f t="shared" si="983"/>
        <v>0.53583617747439916</v>
      </c>
      <c r="Q814">
        <f t="shared" si="984"/>
        <v>8953.3199434129092</v>
      </c>
      <c r="R814">
        <f t="shared" si="985"/>
        <v>11688.643004839294</v>
      </c>
      <c r="S814">
        <f t="shared" si="986"/>
        <v>0.11688643004839294</v>
      </c>
      <c r="T814">
        <f t="shared" si="987"/>
        <v>1.1688643004839294E-4</v>
      </c>
    </row>
    <row r="815" spans="1:20" x14ac:dyDescent="0.25">
      <c r="A815" s="5">
        <v>43778</v>
      </c>
      <c r="B815">
        <v>69.290000000000006</v>
      </c>
      <c r="C815">
        <v>70.430000000000007</v>
      </c>
      <c r="D815">
        <v>68.98</v>
      </c>
      <c r="E815">
        <v>69.58</v>
      </c>
      <c r="F815">
        <v>9182.0051500000009</v>
      </c>
      <c r="G815">
        <v>0</v>
      </c>
      <c r="L815" t="s">
        <v>7</v>
      </c>
      <c r="M815" t="s">
        <v>8</v>
      </c>
      <c r="N815" t="s">
        <v>7</v>
      </c>
      <c r="P815">
        <f t="shared" si="983"/>
        <v>-0.17241379310345775</v>
      </c>
      <c r="Q815">
        <f t="shared" si="984"/>
        <v>-1583.1043362069838</v>
      </c>
      <c r="R815">
        <f t="shared" si="985"/>
        <v>2735.3230614263857</v>
      </c>
      <c r="S815">
        <f t="shared" si="986"/>
        <v>2.7353230614263858E-2</v>
      </c>
      <c r="T815">
        <f t="shared" si="987"/>
        <v>2.7353230614263858E-5</v>
      </c>
    </row>
    <row r="816" spans="1:20" x14ac:dyDescent="0.25">
      <c r="A816" s="5">
        <v>43777</v>
      </c>
      <c r="B816">
        <v>72.180000000000007</v>
      </c>
      <c r="C816">
        <v>72.650000000000006</v>
      </c>
      <c r="D816">
        <v>67.819999999999993</v>
      </c>
      <c r="E816">
        <v>69.319999999999993</v>
      </c>
      <c r="F816">
        <v>10119.21429</v>
      </c>
      <c r="G816">
        <v>0</v>
      </c>
      <c r="L816" t="s">
        <v>7</v>
      </c>
      <c r="M816" t="s">
        <v>8</v>
      </c>
      <c r="N816" t="s">
        <v>7</v>
      </c>
      <c r="P816">
        <f t="shared" si="983"/>
        <v>-0.37888198757764135</v>
      </c>
      <c r="Q816">
        <f t="shared" si="984"/>
        <v>-3833.9880229192709</v>
      </c>
      <c r="R816">
        <f t="shared" si="985"/>
        <v>4318.4273976333698</v>
      </c>
      <c r="S816">
        <f t="shared" si="986"/>
        <v>4.3184273976333697E-2</v>
      </c>
      <c r="T816">
        <f t="shared" si="987"/>
        <v>4.3184273976333698E-5</v>
      </c>
    </row>
    <row r="817" spans="1:20" x14ac:dyDescent="0.25">
      <c r="A817" s="5">
        <v>43776</v>
      </c>
      <c r="B817">
        <v>74.099999999999994</v>
      </c>
      <c r="C817">
        <v>74.569999999999993</v>
      </c>
      <c r="D817">
        <v>71.38</v>
      </c>
      <c r="E817">
        <v>72.180000000000007</v>
      </c>
      <c r="F817">
        <v>11113.14006</v>
      </c>
      <c r="G817">
        <v>0</v>
      </c>
      <c r="L817" t="s">
        <v>7</v>
      </c>
      <c r="M817" t="s">
        <v>8</v>
      </c>
      <c r="N817" t="s">
        <v>7</v>
      </c>
      <c r="P817">
        <f t="shared" si="983"/>
        <v>-0.49843260188087024</v>
      </c>
      <c r="Q817">
        <f t="shared" si="984"/>
        <v>-5539.1513151723302</v>
      </c>
      <c r="R817">
        <f t="shared" si="985"/>
        <v>8152.4154205526411</v>
      </c>
      <c r="S817">
        <f t="shared" si="986"/>
        <v>8.1524154205526417E-2</v>
      </c>
      <c r="T817">
        <f t="shared" si="987"/>
        <v>8.1524154205526414E-5</v>
      </c>
    </row>
    <row r="818" spans="1:20" x14ac:dyDescent="0.25">
      <c r="A818" s="5">
        <v>43775</v>
      </c>
      <c r="B818">
        <v>74.33</v>
      </c>
      <c r="C818">
        <v>74.81</v>
      </c>
      <c r="D818">
        <v>72.83</v>
      </c>
      <c r="E818">
        <v>74.09</v>
      </c>
      <c r="F818">
        <v>13609.30242</v>
      </c>
      <c r="G818">
        <v>0</v>
      </c>
      <c r="L818" t="s">
        <v>7</v>
      </c>
      <c r="M818" t="s">
        <v>8</v>
      </c>
      <c r="N818" t="s">
        <v>7</v>
      </c>
      <c r="P818">
        <f t="shared" si="983"/>
        <v>0.27272727272727532</v>
      </c>
      <c r="Q818">
        <f t="shared" si="984"/>
        <v>3711.6279327273078</v>
      </c>
      <c r="R818">
        <f t="shared" si="985"/>
        <v>13691.566735724971</v>
      </c>
      <c r="S818">
        <f t="shared" si="986"/>
        <v>0.13691566735724972</v>
      </c>
      <c r="T818">
        <f t="shared" si="987"/>
        <v>1.3691566735724972E-4</v>
      </c>
    </row>
    <row r="819" spans="1:20" x14ac:dyDescent="0.25">
      <c r="A819" s="5">
        <v>43774</v>
      </c>
      <c r="B819">
        <v>72.69</v>
      </c>
      <c r="C819">
        <v>74.709999999999994</v>
      </c>
      <c r="D819">
        <v>71.459999999999994</v>
      </c>
      <c r="E819">
        <v>74.34</v>
      </c>
      <c r="F819">
        <v>13298.63802</v>
      </c>
      <c r="G819">
        <v>0</v>
      </c>
      <c r="L819" t="s">
        <v>7</v>
      </c>
      <c r="M819" t="s">
        <v>8</v>
      </c>
      <c r="N819" t="s">
        <v>7</v>
      </c>
      <c r="P819">
        <f t="shared" si="983"/>
        <v>0.77230769230769825</v>
      </c>
      <c r="Q819">
        <f t="shared" si="984"/>
        <v>10270.640440061617</v>
      </c>
      <c r="R819">
        <f t="shared" si="985"/>
        <v>9979.9388029976635</v>
      </c>
      <c r="S819">
        <f t="shared" si="986"/>
        <v>9.9799388029976635E-2</v>
      </c>
      <c r="T819">
        <f t="shared" si="987"/>
        <v>9.9799388029976637E-5</v>
      </c>
    </row>
    <row r="820" spans="1:20" x14ac:dyDescent="0.25">
      <c r="A820" s="5">
        <v>43773</v>
      </c>
      <c r="B820">
        <v>71.17</v>
      </c>
      <c r="C820">
        <v>73.66</v>
      </c>
      <c r="D820">
        <v>70.8</v>
      </c>
      <c r="E820">
        <v>72.69</v>
      </c>
      <c r="F820">
        <v>14046.87916</v>
      </c>
      <c r="G820">
        <v>0</v>
      </c>
      <c r="L820" t="s">
        <v>7</v>
      </c>
      <c r="M820" t="s">
        <v>8</v>
      </c>
      <c r="N820" t="s">
        <v>7</v>
      </c>
      <c r="P820">
        <f t="shared" si="983"/>
        <v>0.32167832167832233</v>
      </c>
      <c r="Q820">
        <f t="shared" si="984"/>
        <v>4518.5765130070022</v>
      </c>
      <c r="R820">
        <f t="shared" si="985"/>
        <v>-290.70163706395397</v>
      </c>
      <c r="S820">
        <f t="shared" si="986"/>
        <v>-2.9070163706395396E-3</v>
      </c>
      <c r="T820">
        <f t="shared" si="987"/>
        <v>-2.9070163706395397E-6</v>
      </c>
    </row>
    <row r="821" spans="1:20" x14ac:dyDescent="0.25">
      <c r="A821" s="5">
        <v>43772</v>
      </c>
      <c r="B821">
        <v>72.14</v>
      </c>
      <c r="C821">
        <v>72.72</v>
      </c>
      <c r="D821">
        <v>70.319999999999993</v>
      </c>
      <c r="E821">
        <v>71.16</v>
      </c>
      <c r="F821">
        <v>6769.4239600000001</v>
      </c>
      <c r="G821">
        <v>0</v>
      </c>
      <c r="L821" t="s">
        <v>7</v>
      </c>
      <c r="M821" t="s">
        <v>8</v>
      </c>
      <c r="N821" t="s">
        <v>7</v>
      </c>
      <c r="P821">
        <f t="shared" si="983"/>
        <v>-0.29999999999999882</v>
      </c>
      <c r="Q821">
        <f t="shared" si="984"/>
        <v>-2030.827187999992</v>
      </c>
      <c r="R821">
        <f t="shared" si="985"/>
        <v>-4809.2781500709561</v>
      </c>
      <c r="S821">
        <f t="shared" si="986"/>
        <v>-4.8092781500709558E-2</v>
      </c>
      <c r="T821">
        <f t="shared" si="987"/>
        <v>-4.8092781500709557E-5</v>
      </c>
    </row>
    <row r="822" spans="1:20" x14ac:dyDescent="0.25">
      <c r="A822" s="5">
        <v>43771</v>
      </c>
      <c r="B822">
        <v>71.849999999999994</v>
      </c>
      <c r="C822">
        <v>72.569999999999993</v>
      </c>
      <c r="D822">
        <v>71.400000000000006</v>
      </c>
      <c r="E822">
        <v>72.12</v>
      </c>
      <c r="F822">
        <v>5768.6172900000001</v>
      </c>
      <c r="G822">
        <v>0</v>
      </c>
      <c r="L822" t="s">
        <v>7</v>
      </c>
      <c r="M822" t="s">
        <v>8</v>
      </c>
      <c r="N822" t="s">
        <v>7</v>
      </c>
      <c r="P822">
        <f t="shared" si="983"/>
        <v>0.23076923076924197</v>
      </c>
      <c r="Q822">
        <f t="shared" si="984"/>
        <v>1331.2193746154492</v>
      </c>
      <c r="R822">
        <f t="shared" si="985"/>
        <v>-2778.4509620709641</v>
      </c>
      <c r="S822">
        <f t="shared" si="986"/>
        <v>-2.7784509620709642E-2</v>
      </c>
      <c r="T822">
        <f t="shared" si="987"/>
        <v>-2.7784509620709643E-5</v>
      </c>
    </row>
    <row r="823" spans="1:20" x14ac:dyDescent="0.25">
      <c r="A823" s="5">
        <v>43770</v>
      </c>
      <c r="B823">
        <v>71.41</v>
      </c>
      <c r="C823">
        <v>72.14</v>
      </c>
      <c r="D823">
        <v>70.17</v>
      </c>
      <c r="E823">
        <v>71.81</v>
      </c>
      <c r="F823">
        <v>7899.5649599999997</v>
      </c>
      <c r="G823">
        <v>0</v>
      </c>
      <c r="L823" t="s">
        <v>7</v>
      </c>
      <c r="M823" t="s">
        <v>8</v>
      </c>
      <c r="N823" t="s">
        <v>7</v>
      </c>
      <c r="P823">
        <f t="shared" si="983"/>
        <v>0.66497461928934165</v>
      </c>
      <c r="Q823">
        <f t="shared" si="984"/>
        <v>5253.0102018274229</v>
      </c>
      <c r="R823">
        <f t="shared" si="985"/>
        <v>-4109.6703366864131</v>
      </c>
      <c r="S823">
        <f t="shared" si="986"/>
        <v>-4.1096703366864128E-2</v>
      </c>
      <c r="T823">
        <f t="shared" si="987"/>
        <v>-4.1096703366864129E-5</v>
      </c>
    </row>
    <row r="824" spans="1:20" x14ac:dyDescent="0.25">
      <c r="A824" s="5">
        <v>43769</v>
      </c>
      <c r="B824">
        <v>72.09</v>
      </c>
      <c r="C824">
        <v>72.83</v>
      </c>
      <c r="D824">
        <v>69.760000000000005</v>
      </c>
      <c r="E824">
        <v>71.47</v>
      </c>
      <c r="F824">
        <v>8970.1916700000002</v>
      </c>
      <c r="G824">
        <v>0</v>
      </c>
      <c r="L824" t="s">
        <v>7</v>
      </c>
      <c r="M824" t="s">
        <v>8</v>
      </c>
      <c r="N824" t="s">
        <v>7</v>
      </c>
      <c r="P824">
        <f t="shared" si="983"/>
        <v>0.11400651465797886</v>
      </c>
      <c r="Q824">
        <f t="shared" si="984"/>
        <v>1022.6602881107349</v>
      </c>
      <c r="R824">
        <f t="shared" si="985"/>
        <v>-9362.6805385138359</v>
      </c>
      <c r="S824">
        <f t="shared" si="986"/>
        <v>-9.3626805385138359E-2</v>
      </c>
      <c r="T824">
        <f t="shared" si="987"/>
        <v>-9.3626805385138356E-5</v>
      </c>
    </row>
    <row r="825" spans="1:20" x14ac:dyDescent="0.25">
      <c r="A825" s="5">
        <v>43768</v>
      </c>
      <c r="B825">
        <v>72.98</v>
      </c>
      <c r="C825">
        <v>74.7</v>
      </c>
      <c r="D825">
        <v>71.040000000000006</v>
      </c>
      <c r="E825">
        <v>72.05</v>
      </c>
      <c r="F825">
        <v>16050.694</v>
      </c>
      <c r="G825">
        <v>0</v>
      </c>
      <c r="L825" t="s">
        <v>7</v>
      </c>
      <c r="M825" t="s">
        <v>8</v>
      </c>
      <c r="N825" t="s">
        <v>7</v>
      </c>
      <c r="P825">
        <f t="shared" si="983"/>
        <v>-0.44808743169399351</v>
      </c>
      <c r="Q825">
        <f t="shared" si="984"/>
        <v>-7192.1142513661916</v>
      </c>
      <c r="R825">
        <f t="shared" si="985"/>
        <v>-10385.340826624571</v>
      </c>
      <c r="S825">
        <f t="shared" si="986"/>
        <v>-0.10385340826624571</v>
      </c>
      <c r="T825">
        <f t="shared" si="987"/>
        <v>-1.0385340826624572E-4</v>
      </c>
    </row>
    <row r="826" spans="1:20" x14ac:dyDescent="0.25">
      <c r="A826" s="5">
        <v>43767</v>
      </c>
      <c r="B826">
        <v>71.62</v>
      </c>
      <c r="C826">
        <v>76.400000000000006</v>
      </c>
      <c r="D826">
        <v>71.290000000000006</v>
      </c>
      <c r="E826">
        <v>72.98</v>
      </c>
      <c r="F826">
        <v>20480.55632</v>
      </c>
      <c r="G826">
        <v>0</v>
      </c>
      <c r="L826" t="s">
        <v>7</v>
      </c>
      <c r="M826" t="s">
        <v>8</v>
      </c>
      <c r="N826" t="s">
        <v>7</v>
      </c>
      <c r="P826">
        <f t="shared" si="983"/>
        <v>-0.33855185909980512</v>
      </c>
      <c r="Q826">
        <f t="shared" si="984"/>
        <v>-6933.7304175342633</v>
      </c>
      <c r="R826">
        <f t="shared" si="985"/>
        <v>-3193.2265752583789</v>
      </c>
      <c r="S826">
        <f t="shared" si="986"/>
        <v>-3.1932265752583788E-2</v>
      </c>
      <c r="T826">
        <f t="shared" si="987"/>
        <v>-3.193226575258379E-5</v>
      </c>
    </row>
    <row r="827" spans="1:20" x14ac:dyDescent="0.25">
      <c r="A827" s="5">
        <v>43766</v>
      </c>
      <c r="B827">
        <v>71.84</v>
      </c>
      <c r="C827">
        <v>76.73</v>
      </c>
      <c r="D827">
        <v>71.59</v>
      </c>
      <c r="E827">
        <v>71.62</v>
      </c>
      <c r="F827">
        <v>21112.083009999998</v>
      </c>
      <c r="G827">
        <v>0</v>
      </c>
      <c r="L827" t="s">
        <v>8</v>
      </c>
      <c r="M827" t="s">
        <v>8</v>
      </c>
      <c r="N827" t="s">
        <v>7</v>
      </c>
      <c r="P827">
        <f t="shared" si="983"/>
        <v>-0.98832684824902683</v>
      </c>
      <c r="Q827">
        <f t="shared" si="984"/>
        <v>-20865.638461245126</v>
      </c>
      <c r="R827">
        <f t="shared" si="985"/>
        <v>3740.5038422758844</v>
      </c>
      <c r="S827">
        <f t="shared" si="986"/>
        <v>3.7405038422758843E-2</v>
      </c>
      <c r="T827">
        <f t="shared" si="987"/>
        <v>3.7405038422758842E-5</v>
      </c>
    </row>
    <row r="828" spans="1:20" x14ac:dyDescent="0.25">
      <c r="A828" s="5">
        <v>43765</v>
      </c>
      <c r="B828">
        <v>70.510000000000005</v>
      </c>
      <c r="C828">
        <v>74.16</v>
      </c>
      <c r="D828">
        <v>69.02</v>
      </c>
      <c r="E828">
        <v>71.849999999999994</v>
      </c>
      <c r="F828">
        <v>19709.161800000002</v>
      </c>
      <c r="G828">
        <v>0</v>
      </c>
      <c r="L828" t="s">
        <v>7</v>
      </c>
      <c r="M828" t="s">
        <v>8</v>
      </c>
      <c r="N828" t="s">
        <v>7</v>
      </c>
      <c r="P828">
        <f t="shared" si="983"/>
        <v>0.10116731517509649</v>
      </c>
      <c r="Q828">
        <f t="shared" si="984"/>
        <v>1993.9229836575721</v>
      </c>
      <c r="R828">
        <f t="shared" si="985"/>
        <v>24606.14230352101</v>
      </c>
      <c r="S828">
        <f t="shared" si="986"/>
        <v>0.24606142303521011</v>
      </c>
      <c r="T828">
        <f t="shared" si="987"/>
        <v>2.4606142303521011E-4</v>
      </c>
    </row>
    <row r="829" spans="1:20" x14ac:dyDescent="0.25">
      <c r="A829" s="5">
        <v>43764</v>
      </c>
      <c r="B829">
        <v>70.31</v>
      </c>
      <c r="C829">
        <v>74.42</v>
      </c>
      <c r="D829">
        <v>67.319999999999993</v>
      </c>
      <c r="E829">
        <v>70.45</v>
      </c>
      <c r="F829">
        <v>38196.336969999997</v>
      </c>
      <c r="G829">
        <v>0</v>
      </c>
      <c r="L829" t="s">
        <v>8</v>
      </c>
      <c r="M829" t="s">
        <v>8</v>
      </c>
      <c r="N829" t="s">
        <v>7</v>
      </c>
      <c r="P829">
        <f t="shared" si="983"/>
        <v>-0.11830985915492792</v>
      </c>
      <c r="Q829">
        <f t="shared" si="984"/>
        <v>-4519.0032471548657</v>
      </c>
      <c r="R829">
        <f t="shared" si="985"/>
        <v>22612.219319863438</v>
      </c>
      <c r="S829">
        <f t="shared" si="986"/>
        <v>0.22612219319863439</v>
      </c>
      <c r="T829">
        <f t="shared" si="987"/>
        <v>2.2612219319863438E-4</v>
      </c>
    </row>
    <row r="830" spans="1:20" x14ac:dyDescent="0.25">
      <c r="A830" s="5">
        <v>43763</v>
      </c>
      <c r="B830">
        <v>62.35</v>
      </c>
      <c r="C830">
        <v>70.64</v>
      </c>
      <c r="D830">
        <v>62.29</v>
      </c>
      <c r="E830">
        <v>70.31</v>
      </c>
      <c r="F830">
        <v>20621.81451</v>
      </c>
      <c r="G830">
        <v>0</v>
      </c>
      <c r="L830" t="s">
        <v>8</v>
      </c>
      <c r="M830" t="s">
        <v>8</v>
      </c>
      <c r="N830" t="s">
        <v>7</v>
      </c>
      <c r="P830">
        <f t="shared" si="983"/>
        <v>0.92095808383233579</v>
      </c>
      <c r="Q830">
        <f t="shared" si="984"/>
        <v>18991.826776275459</v>
      </c>
      <c r="R830">
        <f t="shared" si="985"/>
        <v>27131.222567018303</v>
      </c>
      <c r="S830">
        <f t="shared" si="986"/>
        <v>0.27131222567018304</v>
      </c>
      <c r="T830">
        <f t="shared" si="987"/>
        <v>2.7131222567018301E-4</v>
      </c>
    </row>
    <row r="831" spans="1:20" x14ac:dyDescent="0.25">
      <c r="A831" s="5">
        <v>43762</v>
      </c>
      <c r="B831">
        <v>62.72</v>
      </c>
      <c r="C831">
        <v>63.08</v>
      </c>
      <c r="D831">
        <v>61.2</v>
      </c>
      <c r="E831">
        <v>62.31</v>
      </c>
      <c r="F831">
        <v>8947.2646800000002</v>
      </c>
      <c r="G831">
        <v>0</v>
      </c>
      <c r="L831" t="s">
        <v>7</v>
      </c>
      <c r="M831" t="s">
        <v>7</v>
      </c>
      <c r="N831" t="s">
        <v>7</v>
      </c>
      <c r="P831">
        <f t="shared" ref="P831:P894" si="988">IF(C831=D831,0,((E831-D831)-(C831-E831))/(C831-D831))</f>
        <v>0.18085106382978949</v>
      </c>
      <c r="Q831">
        <f t="shared" ref="Q831:Q894" si="989">F831*P831</f>
        <v>1618.1223357447011</v>
      </c>
      <c r="R831">
        <f t="shared" ref="R831:R894" si="990">R832+Q831</f>
        <v>8139.3957907428467</v>
      </c>
      <c r="S831">
        <f t="shared" ref="S831:S894" si="991">R831/100000</f>
        <v>8.1393957907428469E-2</v>
      </c>
      <c r="T831">
        <f t="shared" ref="T831:T894" si="992">S831/1000</f>
        <v>8.1393957907428466E-5</v>
      </c>
    </row>
    <row r="832" spans="1:20" x14ac:dyDescent="0.25">
      <c r="A832" s="5">
        <v>43761</v>
      </c>
      <c r="B832">
        <v>67.2</v>
      </c>
      <c r="C832">
        <v>67.3</v>
      </c>
      <c r="D832">
        <v>61.42</v>
      </c>
      <c r="E832">
        <v>62.72</v>
      </c>
      <c r="F832">
        <v>11429.556920000001</v>
      </c>
      <c r="G832">
        <v>0</v>
      </c>
      <c r="L832" t="s">
        <v>8</v>
      </c>
      <c r="M832" t="s">
        <v>7</v>
      </c>
      <c r="N832" t="s">
        <v>7</v>
      </c>
      <c r="P832">
        <f t="shared" si="988"/>
        <v>-0.5578231292517013</v>
      </c>
      <c r="Q832">
        <f t="shared" si="989"/>
        <v>-6375.6712070748372</v>
      </c>
      <c r="R832">
        <f t="shared" si="990"/>
        <v>6521.273454998146</v>
      </c>
      <c r="S832">
        <f t="shared" si="991"/>
        <v>6.5212734549981458E-2</v>
      </c>
      <c r="T832">
        <f t="shared" si="992"/>
        <v>6.5212734549981453E-5</v>
      </c>
    </row>
    <row r="833" spans="1:20" x14ac:dyDescent="0.25">
      <c r="A833" s="5">
        <v>43760</v>
      </c>
      <c r="B833">
        <v>68.510000000000005</v>
      </c>
      <c r="C833">
        <v>69.459999999999994</v>
      </c>
      <c r="D833">
        <v>58</v>
      </c>
      <c r="E833">
        <v>67.209999999999994</v>
      </c>
      <c r="F833">
        <v>13825.58113</v>
      </c>
      <c r="G833">
        <v>0</v>
      </c>
      <c r="L833" t="s">
        <v>7</v>
      </c>
      <c r="M833" t="s">
        <v>7</v>
      </c>
      <c r="N833" t="s">
        <v>7</v>
      </c>
      <c r="P833">
        <f t="shared" si="988"/>
        <v>0.60732984293193693</v>
      </c>
      <c r="Q833">
        <f t="shared" si="989"/>
        <v>8396.6880161256522</v>
      </c>
      <c r="R833">
        <f t="shared" si="990"/>
        <v>12896.944662072983</v>
      </c>
      <c r="S833">
        <f t="shared" si="991"/>
        <v>0.12896944662072984</v>
      </c>
      <c r="T833">
        <f t="shared" si="992"/>
        <v>1.2896944662072984E-4</v>
      </c>
    </row>
    <row r="834" spans="1:20" x14ac:dyDescent="0.25">
      <c r="A834" s="5">
        <v>43759</v>
      </c>
      <c r="B834">
        <v>69.16</v>
      </c>
      <c r="C834">
        <v>69.77</v>
      </c>
      <c r="D834">
        <v>67.8</v>
      </c>
      <c r="E834">
        <v>68.55</v>
      </c>
      <c r="F834">
        <v>9223.4334299999991</v>
      </c>
      <c r="G834">
        <v>0</v>
      </c>
      <c r="L834" t="s">
        <v>7</v>
      </c>
      <c r="M834" t="s">
        <v>7</v>
      </c>
      <c r="N834" t="s">
        <v>7</v>
      </c>
      <c r="P834">
        <f t="shared" si="988"/>
        <v>-0.23857868020304523</v>
      </c>
      <c r="Q834">
        <f t="shared" si="989"/>
        <v>-2200.5145746700464</v>
      </c>
      <c r="R834">
        <f t="shared" si="990"/>
        <v>4500.2566459473319</v>
      </c>
      <c r="S834">
        <f t="shared" si="991"/>
        <v>4.5002566459473321E-2</v>
      </c>
      <c r="T834">
        <f t="shared" si="992"/>
        <v>4.5002566459473322E-5</v>
      </c>
    </row>
    <row r="835" spans="1:20" x14ac:dyDescent="0.25">
      <c r="A835" s="5">
        <v>43758</v>
      </c>
      <c r="B835">
        <v>67.39</v>
      </c>
      <c r="C835">
        <v>69.92</v>
      </c>
      <c r="D835">
        <v>66.900000000000006</v>
      </c>
      <c r="E835">
        <v>69.16</v>
      </c>
      <c r="F835">
        <v>4281.89858</v>
      </c>
      <c r="G835">
        <v>0</v>
      </c>
      <c r="L835" t="s">
        <v>7</v>
      </c>
      <c r="M835" t="s">
        <v>7</v>
      </c>
      <c r="N835" t="s">
        <v>7</v>
      </c>
      <c r="P835">
        <f t="shared" si="988"/>
        <v>0.49668874172185024</v>
      </c>
      <c r="Q835">
        <f t="shared" si="989"/>
        <v>2126.7708178807775</v>
      </c>
      <c r="R835">
        <f t="shared" si="990"/>
        <v>6700.7712206173783</v>
      </c>
      <c r="S835">
        <f t="shared" si="991"/>
        <v>6.7007712206173783E-2</v>
      </c>
      <c r="T835">
        <f t="shared" si="992"/>
        <v>6.7007712206173788E-5</v>
      </c>
    </row>
    <row r="836" spans="1:20" x14ac:dyDescent="0.25">
      <c r="A836" s="5">
        <v>43757</v>
      </c>
      <c r="B836">
        <v>67.92</v>
      </c>
      <c r="C836">
        <v>68.760000000000005</v>
      </c>
      <c r="D836">
        <v>67.09</v>
      </c>
      <c r="E836">
        <v>67.38</v>
      </c>
      <c r="F836">
        <v>5741.7793899999997</v>
      </c>
      <c r="G836">
        <v>0</v>
      </c>
      <c r="L836" t="s">
        <v>7</v>
      </c>
      <c r="M836" t="s">
        <v>7</v>
      </c>
      <c r="N836" t="s">
        <v>7</v>
      </c>
      <c r="P836">
        <f t="shared" si="988"/>
        <v>-0.65269461077845303</v>
      </c>
      <c r="Q836">
        <f t="shared" si="989"/>
        <v>-3747.6284641317934</v>
      </c>
      <c r="R836">
        <f t="shared" si="990"/>
        <v>4574.0004027366003</v>
      </c>
      <c r="S836">
        <f t="shared" si="991"/>
        <v>4.5740004027366006E-2</v>
      </c>
      <c r="T836">
        <f t="shared" si="992"/>
        <v>4.5740004027366005E-5</v>
      </c>
    </row>
    <row r="837" spans="1:20" x14ac:dyDescent="0.25">
      <c r="A837" s="5">
        <v>43756</v>
      </c>
      <c r="B837">
        <v>68.930000000000007</v>
      </c>
      <c r="C837">
        <v>69.11</v>
      </c>
      <c r="D837">
        <v>66.81</v>
      </c>
      <c r="E837">
        <v>67.95</v>
      </c>
      <c r="F837">
        <v>6833.3200200000001</v>
      </c>
      <c r="G837">
        <v>0</v>
      </c>
      <c r="L837" t="s">
        <v>7</v>
      </c>
      <c r="M837" t="s">
        <v>7</v>
      </c>
      <c r="N837" t="s">
        <v>7</v>
      </c>
      <c r="P837">
        <f t="shared" si="988"/>
        <v>-8.6956521739113245E-3</v>
      </c>
      <c r="Q837">
        <f t="shared" si="989"/>
        <v>-59.420174086944776</v>
      </c>
      <c r="R837">
        <f t="shared" si="990"/>
        <v>8321.6288668683937</v>
      </c>
      <c r="S837">
        <f t="shared" si="991"/>
        <v>8.3216288668683941E-2</v>
      </c>
      <c r="T837">
        <f t="shared" si="992"/>
        <v>8.3216288668683938E-5</v>
      </c>
    </row>
    <row r="838" spans="1:20" x14ac:dyDescent="0.25">
      <c r="A838" s="5">
        <v>43755</v>
      </c>
      <c r="B838">
        <v>68.02</v>
      </c>
      <c r="C838">
        <v>70.23</v>
      </c>
      <c r="D838">
        <v>67.17</v>
      </c>
      <c r="E838">
        <v>68.88</v>
      </c>
      <c r="F838">
        <v>5750.1737300000004</v>
      </c>
      <c r="G838">
        <v>0</v>
      </c>
      <c r="L838" t="s">
        <v>7</v>
      </c>
      <c r="M838" t="s">
        <v>7</v>
      </c>
      <c r="N838" t="s">
        <v>7</v>
      </c>
      <c r="P838">
        <f t="shared" si="988"/>
        <v>0.1176470588235245</v>
      </c>
      <c r="Q838">
        <f t="shared" si="989"/>
        <v>676.49102705879534</v>
      </c>
      <c r="R838">
        <f t="shared" si="990"/>
        <v>8381.0490409553386</v>
      </c>
      <c r="S838">
        <f t="shared" si="991"/>
        <v>8.3810490409553393E-2</v>
      </c>
      <c r="T838">
        <f t="shared" si="992"/>
        <v>8.3810490409553392E-5</v>
      </c>
    </row>
    <row r="839" spans="1:20" x14ac:dyDescent="0.25">
      <c r="A839" s="5">
        <v>43754</v>
      </c>
      <c r="B839">
        <v>71.31</v>
      </c>
      <c r="C839">
        <v>71.64</v>
      </c>
      <c r="D839">
        <v>66.83</v>
      </c>
      <c r="E839">
        <v>68.040000000000006</v>
      </c>
      <c r="F839">
        <v>16726.267739999999</v>
      </c>
      <c r="G839">
        <v>0</v>
      </c>
      <c r="L839" t="s">
        <v>7</v>
      </c>
      <c r="M839" t="s">
        <v>7</v>
      </c>
      <c r="N839" t="s">
        <v>7</v>
      </c>
      <c r="P839">
        <f t="shared" si="988"/>
        <v>-0.4968814968814938</v>
      </c>
      <c r="Q839">
        <f t="shared" si="989"/>
        <v>-8310.9729518918393</v>
      </c>
      <c r="R839">
        <f t="shared" si="990"/>
        <v>7704.5580138965433</v>
      </c>
      <c r="S839">
        <f t="shared" si="991"/>
        <v>7.7045580138965439E-2</v>
      </c>
      <c r="T839">
        <f t="shared" si="992"/>
        <v>7.7045580138965437E-5</v>
      </c>
    </row>
    <row r="840" spans="1:20" x14ac:dyDescent="0.25">
      <c r="A840" s="5">
        <v>43753</v>
      </c>
      <c r="B840">
        <v>71.17</v>
      </c>
      <c r="C840">
        <v>73.61</v>
      </c>
      <c r="D840">
        <v>70.569999999999993</v>
      </c>
      <c r="E840">
        <v>71.38</v>
      </c>
      <c r="F840">
        <v>18073.41489</v>
      </c>
      <c r="G840">
        <v>0</v>
      </c>
      <c r="L840" t="s">
        <v>8</v>
      </c>
      <c r="M840" t="s">
        <v>7</v>
      </c>
      <c r="N840" t="s">
        <v>7</v>
      </c>
      <c r="P840">
        <f t="shared" si="988"/>
        <v>-0.46710526315789436</v>
      </c>
      <c r="Q840">
        <f t="shared" si="989"/>
        <v>-8442.1872183552568</v>
      </c>
      <c r="R840">
        <f t="shared" si="990"/>
        <v>16015.530965788383</v>
      </c>
      <c r="S840">
        <f t="shared" si="991"/>
        <v>0.16015530965788383</v>
      </c>
      <c r="T840">
        <f t="shared" si="992"/>
        <v>1.6015530965788382E-4</v>
      </c>
    </row>
    <row r="841" spans="1:20" x14ac:dyDescent="0.25">
      <c r="A841" s="5">
        <v>43752</v>
      </c>
      <c r="B841">
        <v>70.34</v>
      </c>
      <c r="C841">
        <v>71.61</v>
      </c>
      <c r="D841">
        <v>70</v>
      </c>
      <c r="E841">
        <v>71.150000000000006</v>
      </c>
      <c r="F841">
        <v>6828.3612499999999</v>
      </c>
      <c r="G841">
        <v>0</v>
      </c>
      <c r="L841" t="s">
        <v>8</v>
      </c>
      <c r="M841" t="s">
        <v>7</v>
      </c>
      <c r="N841" t="s">
        <v>7</v>
      </c>
      <c r="P841">
        <f t="shared" si="988"/>
        <v>0.42857142857143615</v>
      </c>
      <c r="Q841">
        <f t="shared" si="989"/>
        <v>2926.4405357143373</v>
      </c>
      <c r="R841">
        <f t="shared" si="990"/>
        <v>24457.71818414364</v>
      </c>
      <c r="S841">
        <f t="shared" si="991"/>
        <v>0.2445771818414364</v>
      </c>
      <c r="T841">
        <f t="shared" si="992"/>
        <v>2.4457718184143639E-4</v>
      </c>
    </row>
    <row r="842" spans="1:20" x14ac:dyDescent="0.25">
      <c r="A842" s="5">
        <v>43751</v>
      </c>
      <c r="B842">
        <v>70.56</v>
      </c>
      <c r="C842">
        <v>71.88</v>
      </c>
      <c r="D842">
        <v>70.16</v>
      </c>
      <c r="E842">
        <v>70.41</v>
      </c>
      <c r="F842">
        <v>3978.0663199999999</v>
      </c>
      <c r="G842">
        <v>0</v>
      </c>
      <c r="L842" t="s">
        <v>8</v>
      </c>
      <c r="M842" t="s">
        <v>7</v>
      </c>
      <c r="N842" t="s">
        <v>7</v>
      </c>
      <c r="P842">
        <f t="shared" si="988"/>
        <v>-0.70930232558139517</v>
      </c>
      <c r="Q842">
        <f t="shared" si="989"/>
        <v>-2821.6516920930226</v>
      </c>
      <c r="R842">
        <f t="shared" si="990"/>
        <v>21531.277648429303</v>
      </c>
      <c r="S842">
        <f t="shared" si="991"/>
        <v>0.21531277648429303</v>
      </c>
      <c r="T842">
        <f t="shared" si="992"/>
        <v>2.1531277648429304E-4</v>
      </c>
    </row>
    <row r="843" spans="1:20" x14ac:dyDescent="0.25">
      <c r="A843" s="5">
        <v>43750</v>
      </c>
      <c r="B843">
        <v>69.44</v>
      </c>
      <c r="C843">
        <v>73.33</v>
      </c>
      <c r="D843">
        <v>69.400000000000006</v>
      </c>
      <c r="E843">
        <v>70.61</v>
      </c>
      <c r="F843">
        <v>7468.4833200000003</v>
      </c>
      <c r="G843">
        <v>0</v>
      </c>
      <c r="L843" t="s">
        <v>8</v>
      </c>
      <c r="M843" t="s">
        <v>7</v>
      </c>
      <c r="N843" t="s">
        <v>7</v>
      </c>
      <c r="P843">
        <f t="shared" si="988"/>
        <v>-0.38422391857506566</v>
      </c>
      <c r="Q843">
        <f t="shared" si="989"/>
        <v>-2869.5699270229161</v>
      </c>
      <c r="R843">
        <f t="shared" si="990"/>
        <v>24352.929340522325</v>
      </c>
      <c r="S843">
        <f t="shared" si="991"/>
        <v>0.24352929340522325</v>
      </c>
      <c r="T843">
        <f t="shared" si="992"/>
        <v>2.4352929340522325E-4</v>
      </c>
    </row>
    <row r="844" spans="1:20" x14ac:dyDescent="0.25">
      <c r="A844" s="5">
        <v>43749</v>
      </c>
      <c r="B844">
        <v>72.569999999999993</v>
      </c>
      <c r="C844">
        <v>73.69</v>
      </c>
      <c r="D844">
        <v>69.31</v>
      </c>
      <c r="E844">
        <v>69.45</v>
      </c>
      <c r="F844">
        <v>16142.9208</v>
      </c>
      <c r="G844">
        <v>0</v>
      </c>
      <c r="L844" t="s">
        <v>8</v>
      </c>
      <c r="M844" t="s">
        <v>7</v>
      </c>
      <c r="N844" t="s">
        <v>7</v>
      </c>
      <c r="P844">
        <f t="shared" si="988"/>
        <v>-0.93607305936073026</v>
      </c>
      <c r="Q844">
        <f t="shared" si="989"/>
        <v>-15110.953260273967</v>
      </c>
      <c r="R844">
        <f t="shared" si="990"/>
        <v>27222.499267545241</v>
      </c>
      <c r="S844">
        <f t="shared" si="991"/>
        <v>0.27222499267545242</v>
      </c>
      <c r="T844">
        <f t="shared" si="992"/>
        <v>2.7222499267545242E-4</v>
      </c>
    </row>
    <row r="845" spans="1:20" x14ac:dyDescent="0.25">
      <c r="A845" s="5">
        <v>43748</v>
      </c>
      <c r="B845">
        <v>73.63</v>
      </c>
      <c r="C845">
        <v>74.430000000000007</v>
      </c>
      <c r="D845">
        <v>70.510000000000005</v>
      </c>
      <c r="E845">
        <v>72.599999999999994</v>
      </c>
      <c r="F845">
        <v>11351.68535</v>
      </c>
      <c r="G845">
        <v>0</v>
      </c>
      <c r="L845" t="s">
        <v>8</v>
      </c>
      <c r="M845" t="s">
        <v>7</v>
      </c>
      <c r="N845" t="s">
        <v>7</v>
      </c>
      <c r="P845">
        <f t="shared" si="988"/>
        <v>6.6326530612238921E-2</v>
      </c>
      <c r="Q845">
        <f t="shared" si="989"/>
        <v>752.91790586727905</v>
      </c>
      <c r="R845">
        <f t="shared" si="990"/>
        <v>42333.452527819209</v>
      </c>
      <c r="S845">
        <f t="shared" si="991"/>
        <v>0.4233345252781921</v>
      </c>
      <c r="T845">
        <f t="shared" si="992"/>
        <v>4.2333452527819207E-4</v>
      </c>
    </row>
    <row r="846" spans="1:20" x14ac:dyDescent="0.25">
      <c r="A846" s="5">
        <v>43747</v>
      </c>
      <c r="B846">
        <v>70.62</v>
      </c>
      <c r="C846">
        <v>74.87</v>
      </c>
      <c r="D846">
        <v>70.37</v>
      </c>
      <c r="E846">
        <v>73.680000000000007</v>
      </c>
      <c r="F846">
        <v>21821.632549999998</v>
      </c>
      <c r="G846">
        <v>0</v>
      </c>
      <c r="L846" t="s">
        <v>8</v>
      </c>
      <c r="M846" t="s">
        <v>7</v>
      </c>
      <c r="N846" t="s">
        <v>7</v>
      </c>
      <c r="P846">
        <f t="shared" si="988"/>
        <v>0.47111111111111215</v>
      </c>
      <c r="Q846">
        <f t="shared" si="989"/>
        <v>10280.413556888911</v>
      </c>
      <c r="R846">
        <f t="shared" si="990"/>
        <v>41580.534621951927</v>
      </c>
      <c r="S846">
        <f t="shared" si="991"/>
        <v>0.41580534621951926</v>
      </c>
      <c r="T846">
        <f t="shared" si="992"/>
        <v>4.1580534621951925E-4</v>
      </c>
    </row>
    <row r="847" spans="1:20" x14ac:dyDescent="0.25">
      <c r="A847" s="5">
        <v>43746</v>
      </c>
      <c r="B847">
        <v>70.739999999999995</v>
      </c>
      <c r="C847">
        <v>74</v>
      </c>
      <c r="D847">
        <v>70.08</v>
      </c>
      <c r="E847">
        <v>70.680000000000007</v>
      </c>
      <c r="F847">
        <v>24484.98862</v>
      </c>
      <c r="G847">
        <v>0</v>
      </c>
      <c r="L847" t="s">
        <v>8</v>
      </c>
      <c r="M847" t="s">
        <v>7</v>
      </c>
      <c r="N847" t="s">
        <v>7</v>
      </c>
      <c r="P847">
        <f t="shared" si="988"/>
        <v>-0.69387755102040394</v>
      </c>
      <c r="Q847">
        <f t="shared" si="989"/>
        <v>-16989.583940408062</v>
      </c>
      <c r="R847">
        <f t="shared" si="990"/>
        <v>31300.121065063016</v>
      </c>
      <c r="S847">
        <f t="shared" si="991"/>
        <v>0.31300121065063019</v>
      </c>
      <c r="T847">
        <f t="shared" si="992"/>
        <v>3.1300121065063017E-4</v>
      </c>
    </row>
    <row r="848" spans="1:20" x14ac:dyDescent="0.25">
      <c r="A848" s="5">
        <v>43745</v>
      </c>
      <c r="B848">
        <v>69.38</v>
      </c>
      <c r="C848">
        <v>71.97</v>
      </c>
      <c r="D848">
        <v>68.28</v>
      </c>
      <c r="E848">
        <v>70.739999999999995</v>
      </c>
      <c r="F848">
        <v>9907.7954699999991</v>
      </c>
      <c r="G848">
        <v>0</v>
      </c>
      <c r="L848" t="s">
        <v>7</v>
      </c>
      <c r="M848" t="s">
        <v>7</v>
      </c>
      <c r="N848" t="s">
        <v>7</v>
      </c>
      <c r="P848">
        <f t="shared" si="988"/>
        <v>0.33333333333333076</v>
      </c>
      <c r="Q848">
        <f t="shared" si="989"/>
        <v>3302.5984899999744</v>
      </c>
      <c r="R848">
        <f t="shared" si="990"/>
        <v>48289.705005471078</v>
      </c>
      <c r="S848">
        <f t="shared" si="991"/>
        <v>0.48289705005471079</v>
      </c>
      <c r="T848">
        <f t="shared" si="992"/>
        <v>4.8289705005471079E-4</v>
      </c>
    </row>
    <row r="849" spans="1:20" x14ac:dyDescent="0.25">
      <c r="A849" s="5">
        <v>43744</v>
      </c>
      <c r="B849">
        <v>69.83</v>
      </c>
      <c r="C849">
        <v>70.87</v>
      </c>
      <c r="D849">
        <v>67.849999999999994</v>
      </c>
      <c r="E849">
        <v>69.31</v>
      </c>
      <c r="F849">
        <v>8764.0491000000002</v>
      </c>
      <c r="G849">
        <v>0</v>
      </c>
      <c r="L849" t="s">
        <v>7</v>
      </c>
      <c r="M849" t="s">
        <v>7</v>
      </c>
      <c r="N849" t="s">
        <v>7</v>
      </c>
      <c r="P849">
        <f t="shared" si="988"/>
        <v>-3.3112582781454958E-2</v>
      </c>
      <c r="Q849">
        <f t="shared" si="989"/>
        <v>-290.20030132448585</v>
      </c>
      <c r="R849">
        <f t="shared" si="990"/>
        <v>44987.106515471103</v>
      </c>
      <c r="S849">
        <f t="shared" si="991"/>
        <v>0.44987106515471104</v>
      </c>
      <c r="T849">
        <f t="shared" si="992"/>
        <v>4.4987106515471102E-4</v>
      </c>
    </row>
    <row r="850" spans="1:20" x14ac:dyDescent="0.25">
      <c r="A850" s="5">
        <v>43743</v>
      </c>
      <c r="B850">
        <v>69.45</v>
      </c>
      <c r="C850">
        <v>70</v>
      </c>
      <c r="D850">
        <v>68.61</v>
      </c>
      <c r="E850">
        <v>69.77</v>
      </c>
      <c r="F850">
        <v>3839.3568</v>
      </c>
      <c r="G850">
        <v>0</v>
      </c>
      <c r="L850" t="s">
        <v>7</v>
      </c>
      <c r="M850" t="s">
        <v>7</v>
      </c>
      <c r="N850" t="s">
        <v>7</v>
      </c>
      <c r="P850">
        <f t="shared" si="988"/>
        <v>0.66906474820143325</v>
      </c>
      <c r="Q850">
        <f t="shared" si="989"/>
        <v>2568.7782906474604</v>
      </c>
      <c r="R850">
        <f t="shared" si="990"/>
        <v>45277.306816795586</v>
      </c>
      <c r="S850">
        <f t="shared" si="991"/>
        <v>0.45277306816795587</v>
      </c>
      <c r="T850">
        <f t="shared" si="992"/>
        <v>4.5277306816795588E-4</v>
      </c>
    </row>
    <row r="851" spans="1:20" x14ac:dyDescent="0.25">
      <c r="A851" s="5">
        <v>43742</v>
      </c>
      <c r="B851">
        <v>69.22</v>
      </c>
      <c r="C851">
        <v>70.08</v>
      </c>
      <c r="D851">
        <v>68.150000000000006</v>
      </c>
      <c r="E851">
        <v>69.45</v>
      </c>
      <c r="F851">
        <v>5225.3780299999999</v>
      </c>
      <c r="G851">
        <v>0</v>
      </c>
      <c r="L851" t="s">
        <v>7</v>
      </c>
      <c r="M851" t="s">
        <v>7</v>
      </c>
      <c r="N851" t="s">
        <v>7</v>
      </c>
      <c r="P851">
        <f t="shared" si="988"/>
        <v>0.34715025906735975</v>
      </c>
      <c r="Q851">
        <f t="shared" si="989"/>
        <v>1813.9913368393898</v>
      </c>
      <c r="R851">
        <f t="shared" si="990"/>
        <v>42708.528526148126</v>
      </c>
      <c r="S851">
        <f t="shared" si="991"/>
        <v>0.42708528526148126</v>
      </c>
      <c r="T851">
        <f t="shared" si="992"/>
        <v>4.2708528526148127E-4</v>
      </c>
    </row>
    <row r="852" spans="1:20" x14ac:dyDescent="0.25">
      <c r="A852" s="5">
        <v>43741</v>
      </c>
      <c r="B852">
        <v>70.55</v>
      </c>
      <c r="C852">
        <v>70.760000000000005</v>
      </c>
      <c r="D852">
        <v>67.86</v>
      </c>
      <c r="E852">
        <v>69.209999999999994</v>
      </c>
      <c r="F852">
        <v>9449.1725600000009</v>
      </c>
      <c r="G852">
        <v>0</v>
      </c>
      <c r="L852" t="s">
        <v>7</v>
      </c>
      <c r="M852" t="s">
        <v>7</v>
      </c>
      <c r="N852" t="s">
        <v>7</v>
      </c>
      <c r="P852">
        <f t="shared" si="988"/>
        <v>-6.8965517241385055E-2</v>
      </c>
      <c r="Q852">
        <f t="shared" si="989"/>
        <v>-651.66707310350262</v>
      </c>
      <c r="R852">
        <f t="shared" si="990"/>
        <v>40894.537189308736</v>
      </c>
      <c r="S852">
        <f t="shared" si="991"/>
        <v>0.40894537189308738</v>
      </c>
      <c r="T852">
        <f t="shared" si="992"/>
        <v>4.0894537189308737E-4</v>
      </c>
    </row>
    <row r="853" spans="1:20" x14ac:dyDescent="0.25">
      <c r="A853" s="5">
        <v>43740</v>
      </c>
      <c r="B853">
        <v>69.98</v>
      </c>
      <c r="C853">
        <v>70.7</v>
      </c>
      <c r="D853">
        <v>68.92</v>
      </c>
      <c r="E853">
        <v>70.510000000000005</v>
      </c>
      <c r="F853">
        <v>4479.0351899999996</v>
      </c>
      <c r="G853">
        <v>0</v>
      </c>
      <c r="L853" t="s">
        <v>8</v>
      </c>
      <c r="M853" t="s">
        <v>7</v>
      </c>
      <c r="N853" t="s">
        <v>7</v>
      </c>
      <c r="P853">
        <f t="shared" si="988"/>
        <v>0.78651685393258697</v>
      </c>
      <c r="Q853">
        <f t="shared" si="989"/>
        <v>3522.8366662921467</v>
      </c>
      <c r="R853">
        <f t="shared" si="990"/>
        <v>41546.20426241224</v>
      </c>
      <c r="S853">
        <f t="shared" si="991"/>
        <v>0.4154620426241224</v>
      </c>
      <c r="T853">
        <f t="shared" si="992"/>
        <v>4.154620426241224E-4</v>
      </c>
    </row>
    <row r="854" spans="1:20" x14ac:dyDescent="0.25">
      <c r="A854" s="5">
        <v>43739</v>
      </c>
      <c r="B854">
        <v>70.989999999999995</v>
      </c>
      <c r="C854">
        <v>72.489999999999995</v>
      </c>
      <c r="D854">
        <v>69.12</v>
      </c>
      <c r="E854">
        <v>69.98</v>
      </c>
      <c r="F854">
        <v>7984.0047199999999</v>
      </c>
      <c r="G854">
        <v>0</v>
      </c>
      <c r="L854" t="s">
        <v>8</v>
      </c>
      <c r="M854" t="s">
        <v>7</v>
      </c>
      <c r="N854" t="s">
        <v>7</v>
      </c>
      <c r="P854">
        <f t="shared" si="988"/>
        <v>-0.489614243323441</v>
      </c>
      <c r="Q854">
        <f t="shared" si="989"/>
        <v>-3909.0824296735814</v>
      </c>
      <c r="R854">
        <f t="shared" si="990"/>
        <v>38023.367596120093</v>
      </c>
      <c r="S854">
        <f t="shared" si="991"/>
        <v>0.38023367596120095</v>
      </c>
      <c r="T854">
        <f t="shared" si="992"/>
        <v>3.8023367596120097E-4</v>
      </c>
    </row>
    <row r="855" spans="1:20" x14ac:dyDescent="0.25">
      <c r="A855" s="5">
        <v>43738</v>
      </c>
      <c r="B855">
        <v>68.87</v>
      </c>
      <c r="C855">
        <v>71.959999999999994</v>
      </c>
      <c r="D855">
        <v>66.540000000000006</v>
      </c>
      <c r="E855">
        <v>70.94</v>
      </c>
      <c r="F855">
        <v>9429.9854799999994</v>
      </c>
      <c r="G855">
        <v>0</v>
      </c>
      <c r="L855" t="s">
        <v>7</v>
      </c>
      <c r="M855" t="s">
        <v>7</v>
      </c>
      <c r="N855" t="s">
        <v>7</v>
      </c>
      <c r="P855">
        <f t="shared" si="988"/>
        <v>0.62361623616236217</v>
      </c>
      <c r="Q855">
        <f t="shared" si="989"/>
        <v>5880.6920521033262</v>
      </c>
      <c r="R855">
        <f t="shared" si="990"/>
        <v>41932.450025793674</v>
      </c>
      <c r="S855">
        <f t="shared" si="991"/>
        <v>0.41932450025793672</v>
      </c>
      <c r="T855">
        <f t="shared" si="992"/>
        <v>4.1932450025793669E-4</v>
      </c>
    </row>
    <row r="856" spans="1:20" x14ac:dyDescent="0.25">
      <c r="A856" s="5">
        <v>43737</v>
      </c>
      <c r="B856">
        <v>70.72</v>
      </c>
      <c r="C856">
        <v>71.3</v>
      </c>
      <c r="D856">
        <v>67.31</v>
      </c>
      <c r="E856">
        <v>68.86</v>
      </c>
      <c r="F856">
        <v>6482.9253399999998</v>
      </c>
      <c r="G856">
        <v>0</v>
      </c>
      <c r="L856" t="s">
        <v>7</v>
      </c>
      <c r="M856" t="s">
        <v>7</v>
      </c>
      <c r="N856" t="s">
        <v>7</v>
      </c>
      <c r="P856">
        <f t="shared" si="988"/>
        <v>-0.22305764411027612</v>
      </c>
      <c r="Q856">
        <f t="shared" si="989"/>
        <v>-1446.0660532832107</v>
      </c>
      <c r="R856">
        <f t="shared" si="990"/>
        <v>36051.75797369035</v>
      </c>
      <c r="S856">
        <f t="shared" si="991"/>
        <v>0.36051757973690352</v>
      </c>
      <c r="T856">
        <f t="shared" si="992"/>
        <v>3.6051757973690353E-4</v>
      </c>
    </row>
    <row r="857" spans="1:20" x14ac:dyDescent="0.25">
      <c r="A857" s="5">
        <v>43736</v>
      </c>
      <c r="B857">
        <v>71.25</v>
      </c>
      <c r="C857">
        <v>72.13</v>
      </c>
      <c r="D857">
        <v>69.86</v>
      </c>
      <c r="E857">
        <v>70.78</v>
      </c>
      <c r="F857">
        <v>7004.5467900000003</v>
      </c>
      <c r="G857">
        <v>0</v>
      </c>
      <c r="L857" t="s">
        <v>8</v>
      </c>
      <c r="M857" t="s">
        <v>7</v>
      </c>
      <c r="N857" t="s">
        <v>7</v>
      </c>
      <c r="P857">
        <f t="shared" si="988"/>
        <v>-0.18942731277532748</v>
      </c>
      <c r="Q857">
        <f t="shared" si="989"/>
        <v>-1326.8524756387462</v>
      </c>
      <c r="R857">
        <f t="shared" si="990"/>
        <v>37497.824026973562</v>
      </c>
      <c r="S857">
        <f t="shared" si="991"/>
        <v>0.37497824026973564</v>
      </c>
      <c r="T857">
        <f t="shared" si="992"/>
        <v>3.7497824026973563E-4</v>
      </c>
    </row>
    <row r="858" spans="1:20" x14ac:dyDescent="0.25">
      <c r="A858" s="5">
        <v>43735</v>
      </c>
      <c r="B858">
        <v>68.66</v>
      </c>
      <c r="C858">
        <v>72.31</v>
      </c>
      <c r="D858">
        <v>66.33</v>
      </c>
      <c r="E858">
        <v>71.27</v>
      </c>
      <c r="F858">
        <v>10977.74231</v>
      </c>
      <c r="G858">
        <v>0</v>
      </c>
      <c r="L858" t="s">
        <v>8</v>
      </c>
      <c r="M858" t="s">
        <v>7</v>
      </c>
      <c r="N858" t="s">
        <v>7</v>
      </c>
      <c r="P858">
        <f t="shared" si="988"/>
        <v>0.65217391304347638</v>
      </c>
      <c r="Q858">
        <f t="shared" si="989"/>
        <v>7159.3971586956313</v>
      </c>
      <c r="R858">
        <f t="shared" si="990"/>
        <v>38824.67650261231</v>
      </c>
      <c r="S858">
        <f t="shared" si="991"/>
        <v>0.3882467650261231</v>
      </c>
      <c r="T858">
        <f t="shared" si="992"/>
        <v>3.8824676502612309E-4</v>
      </c>
    </row>
    <row r="859" spans="1:20" x14ac:dyDescent="0.25">
      <c r="A859" s="5">
        <v>43734</v>
      </c>
      <c r="B859">
        <v>72.709999999999994</v>
      </c>
      <c r="C859">
        <v>73.38</v>
      </c>
      <c r="D859">
        <v>65.569999999999993</v>
      </c>
      <c r="E859">
        <v>68.7</v>
      </c>
      <c r="F859">
        <v>15327.99257</v>
      </c>
      <c r="G859">
        <v>0</v>
      </c>
      <c r="L859" t="s">
        <v>7</v>
      </c>
      <c r="M859" t="s">
        <v>7</v>
      </c>
      <c r="N859" t="s">
        <v>7</v>
      </c>
      <c r="P859">
        <f t="shared" si="988"/>
        <v>-0.19846350832266102</v>
      </c>
      <c r="Q859">
        <f t="shared" si="989"/>
        <v>-3042.0471809858814</v>
      </c>
      <c r="R859">
        <f t="shared" si="990"/>
        <v>31665.279343916682</v>
      </c>
      <c r="S859">
        <f t="shared" si="991"/>
        <v>0.3166527934391668</v>
      </c>
      <c r="T859">
        <f t="shared" si="992"/>
        <v>3.166527934391668E-4</v>
      </c>
    </row>
    <row r="860" spans="1:20" x14ac:dyDescent="0.25">
      <c r="A860" s="5">
        <v>43733</v>
      </c>
      <c r="B860">
        <v>71.5</v>
      </c>
      <c r="C860">
        <v>76.09</v>
      </c>
      <c r="D860">
        <v>69.150000000000006</v>
      </c>
      <c r="E860">
        <v>72.69</v>
      </c>
      <c r="F860">
        <v>20954.937140000002</v>
      </c>
      <c r="G860">
        <v>0</v>
      </c>
      <c r="L860" t="s">
        <v>8</v>
      </c>
      <c r="M860" t="s">
        <v>7</v>
      </c>
      <c r="N860" t="s">
        <v>7</v>
      </c>
      <c r="P860">
        <f t="shared" si="988"/>
        <v>2.0172910662822247E-2</v>
      </c>
      <c r="Q860">
        <f t="shared" si="989"/>
        <v>422.72207487027595</v>
      </c>
      <c r="R860">
        <f t="shared" si="990"/>
        <v>34707.326524902564</v>
      </c>
      <c r="S860">
        <f t="shared" si="991"/>
        <v>0.34707326524902565</v>
      </c>
      <c r="T860">
        <f t="shared" si="992"/>
        <v>3.4707326524902564E-4</v>
      </c>
    </row>
    <row r="861" spans="1:20" x14ac:dyDescent="0.25">
      <c r="A861" s="5">
        <v>43732</v>
      </c>
      <c r="B861">
        <v>86.78</v>
      </c>
      <c r="C861">
        <v>88.04</v>
      </c>
      <c r="D861">
        <v>66.92</v>
      </c>
      <c r="E861">
        <v>71.790000000000006</v>
      </c>
      <c r="F861">
        <v>17338.515370000001</v>
      </c>
      <c r="G861">
        <v>0</v>
      </c>
      <c r="L861" t="s">
        <v>7</v>
      </c>
      <c r="M861" t="s">
        <v>7</v>
      </c>
      <c r="N861" t="s">
        <v>7</v>
      </c>
      <c r="P861">
        <f t="shared" si="988"/>
        <v>-0.53882575757575724</v>
      </c>
      <c r="Q861">
        <f t="shared" si="989"/>
        <v>-9342.4386794791608</v>
      </c>
      <c r="R861">
        <f t="shared" si="990"/>
        <v>34284.60445003229</v>
      </c>
      <c r="S861">
        <f t="shared" si="991"/>
        <v>0.34284604450032291</v>
      </c>
      <c r="T861">
        <f t="shared" si="992"/>
        <v>3.4284604450032292E-4</v>
      </c>
    </row>
    <row r="862" spans="1:20" x14ac:dyDescent="0.25">
      <c r="A862" s="5">
        <v>43731</v>
      </c>
      <c r="B862">
        <v>90.8</v>
      </c>
      <c r="C862">
        <v>90.8</v>
      </c>
      <c r="D862">
        <v>86.75</v>
      </c>
      <c r="E862">
        <v>86.78</v>
      </c>
      <c r="F862">
        <v>9200.1329000000005</v>
      </c>
      <c r="G862">
        <v>0</v>
      </c>
      <c r="L862" t="s">
        <v>7</v>
      </c>
      <c r="M862" t="s">
        <v>7</v>
      </c>
      <c r="N862" t="s">
        <v>7</v>
      </c>
      <c r="P862">
        <f t="shared" si="988"/>
        <v>-0.98518518518518461</v>
      </c>
      <c r="Q862">
        <f t="shared" si="989"/>
        <v>-9063.8346348148098</v>
      </c>
      <c r="R862">
        <f t="shared" si="990"/>
        <v>43627.043129511454</v>
      </c>
      <c r="S862">
        <f t="shared" si="991"/>
        <v>0.43627043129511456</v>
      </c>
      <c r="T862">
        <f t="shared" si="992"/>
        <v>4.3627043129511458E-4</v>
      </c>
    </row>
    <row r="863" spans="1:20" x14ac:dyDescent="0.25">
      <c r="A863" s="5">
        <v>43730</v>
      </c>
      <c r="B863">
        <v>92.94</v>
      </c>
      <c r="C863">
        <v>93.9</v>
      </c>
      <c r="D863">
        <v>90.6</v>
      </c>
      <c r="E863">
        <v>90.64</v>
      </c>
      <c r="F863">
        <v>5271.5605699999996</v>
      </c>
      <c r="G863">
        <v>0</v>
      </c>
      <c r="L863" t="s">
        <v>7</v>
      </c>
      <c r="M863" t="s">
        <v>8</v>
      </c>
      <c r="N863" t="s">
        <v>7</v>
      </c>
      <c r="P863">
        <f t="shared" si="988"/>
        <v>-0.97575757575757205</v>
      </c>
      <c r="Q863">
        <f t="shared" si="989"/>
        <v>-5143.7651622424046</v>
      </c>
      <c r="R863">
        <f t="shared" si="990"/>
        <v>52690.877764326266</v>
      </c>
      <c r="S863">
        <f t="shared" si="991"/>
        <v>0.5269087776432626</v>
      </c>
      <c r="T863">
        <f t="shared" si="992"/>
        <v>5.2690877764326259E-4</v>
      </c>
    </row>
    <row r="864" spans="1:20" x14ac:dyDescent="0.25">
      <c r="A864" s="5">
        <v>43729</v>
      </c>
      <c r="B864">
        <v>96.77</v>
      </c>
      <c r="C864">
        <v>96.83</v>
      </c>
      <c r="D864">
        <v>92.61</v>
      </c>
      <c r="E864">
        <v>93</v>
      </c>
      <c r="F864">
        <v>6863.7504099999996</v>
      </c>
      <c r="G864">
        <v>0</v>
      </c>
      <c r="L864" t="s">
        <v>7</v>
      </c>
      <c r="M864" t="s">
        <v>8</v>
      </c>
      <c r="N864" t="s">
        <v>7</v>
      </c>
      <c r="P864">
        <f t="shared" si="988"/>
        <v>-0.81516587677725083</v>
      </c>
      <c r="Q864">
        <f t="shared" si="989"/>
        <v>-5595.0951209478644</v>
      </c>
      <c r="R864">
        <f t="shared" si="990"/>
        <v>57834.642926568667</v>
      </c>
      <c r="S864">
        <f t="shared" si="991"/>
        <v>0.57834642926568669</v>
      </c>
      <c r="T864">
        <f t="shared" si="992"/>
        <v>5.7834642926568667E-4</v>
      </c>
    </row>
    <row r="865" spans="1:20" x14ac:dyDescent="0.25">
      <c r="A865" s="5">
        <v>43728</v>
      </c>
      <c r="B865">
        <v>99.7</v>
      </c>
      <c r="C865">
        <v>100.07</v>
      </c>
      <c r="D865">
        <v>95.28</v>
      </c>
      <c r="E865">
        <v>96.73</v>
      </c>
      <c r="F865">
        <v>9710.7845899999993</v>
      </c>
      <c r="G865">
        <v>0</v>
      </c>
      <c r="L865" t="s">
        <v>7</v>
      </c>
      <c r="M865" t="s">
        <v>8</v>
      </c>
      <c r="N865" t="s">
        <v>7</v>
      </c>
      <c r="P865">
        <f t="shared" si="988"/>
        <v>-0.39457202505218986</v>
      </c>
      <c r="Q865">
        <f t="shared" si="989"/>
        <v>-3831.6039405218989</v>
      </c>
      <c r="R865">
        <f t="shared" si="990"/>
        <v>63429.738047516534</v>
      </c>
      <c r="S865">
        <f t="shared" si="991"/>
        <v>0.63429738047516537</v>
      </c>
      <c r="T865">
        <f t="shared" si="992"/>
        <v>6.342973804751654E-4</v>
      </c>
    </row>
    <row r="866" spans="1:20" x14ac:dyDescent="0.25">
      <c r="A866" s="5">
        <v>43727</v>
      </c>
      <c r="B866">
        <v>97.8</v>
      </c>
      <c r="C866">
        <v>104.4</v>
      </c>
      <c r="D866">
        <v>90.6</v>
      </c>
      <c r="E866">
        <v>99.7</v>
      </c>
      <c r="F866">
        <v>37130.163269999997</v>
      </c>
      <c r="G866">
        <v>0</v>
      </c>
      <c r="L866" t="s">
        <v>8</v>
      </c>
      <c r="M866" t="s">
        <v>8</v>
      </c>
      <c r="N866" t="s">
        <v>7</v>
      </c>
      <c r="P866">
        <f t="shared" si="988"/>
        <v>0.31884057971014507</v>
      </c>
      <c r="Q866">
        <f t="shared" si="989"/>
        <v>11838.602781739135</v>
      </c>
      <c r="R866">
        <f t="shared" si="990"/>
        <v>67261.341988038432</v>
      </c>
      <c r="S866">
        <f t="shared" si="991"/>
        <v>0.67261341988038437</v>
      </c>
      <c r="T866">
        <f t="shared" si="992"/>
        <v>6.7261341988038433E-4</v>
      </c>
    </row>
    <row r="867" spans="1:20" x14ac:dyDescent="0.25">
      <c r="A867" s="5">
        <v>43726</v>
      </c>
      <c r="B867">
        <v>94.1</v>
      </c>
      <c r="C867">
        <v>99.23</v>
      </c>
      <c r="D867">
        <v>94.09</v>
      </c>
      <c r="E867">
        <v>97.8</v>
      </c>
      <c r="F867">
        <v>13548.082839999999</v>
      </c>
      <c r="G867">
        <v>0</v>
      </c>
      <c r="L867" t="s">
        <v>8</v>
      </c>
      <c r="M867" t="s">
        <v>8</v>
      </c>
      <c r="N867" t="s">
        <v>7</v>
      </c>
      <c r="P867">
        <f t="shared" si="988"/>
        <v>0.44357976653696241</v>
      </c>
      <c r="Q867">
        <f t="shared" si="989"/>
        <v>6009.6554231906266</v>
      </c>
      <c r="R867">
        <f t="shared" si="990"/>
        <v>55422.739206299302</v>
      </c>
      <c r="S867">
        <f t="shared" si="991"/>
        <v>0.55422739206299299</v>
      </c>
      <c r="T867">
        <f t="shared" si="992"/>
        <v>5.5422739206299298E-4</v>
      </c>
    </row>
    <row r="868" spans="1:20" x14ac:dyDescent="0.25">
      <c r="A868" s="5">
        <v>43725</v>
      </c>
      <c r="B868">
        <v>92.49</v>
      </c>
      <c r="C868">
        <v>99.78</v>
      </c>
      <c r="D868">
        <v>90.6</v>
      </c>
      <c r="E868">
        <v>94.1</v>
      </c>
      <c r="F868">
        <v>15073.75207</v>
      </c>
      <c r="G868">
        <v>0</v>
      </c>
      <c r="L868" t="s">
        <v>8</v>
      </c>
      <c r="M868" t="s">
        <v>8</v>
      </c>
      <c r="N868" t="s">
        <v>7</v>
      </c>
      <c r="P868">
        <f t="shared" si="988"/>
        <v>-0.23747276688453214</v>
      </c>
      <c r="Q868">
        <f t="shared" si="989"/>
        <v>-3579.6056113943441</v>
      </c>
      <c r="R868">
        <f t="shared" si="990"/>
        <v>49413.083783108676</v>
      </c>
      <c r="S868">
        <f t="shared" si="991"/>
        <v>0.49413083783108674</v>
      </c>
      <c r="T868">
        <f t="shared" si="992"/>
        <v>4.9413083783108669E-4</v>
      </c>
    </row>
    <row r="869" spans="1:20" x14ac:dyDescent="0.25">
      <c r="A869" s="5">
        <v>43724</v>
      </c>
      <c r="B869">
        <v>88.89</v>
      </c>
      <c r="C869">
        <v>94.24</v>
      </c>
      <c r="D869">
        <v>87.87</v>
      </c>
      <c r="E869">
        <v>92.49</v>
      </c>
      <c r="F869">
        <v>13108.235119999999</v>
      </c>
      <c r="G869">
        <v>0</v>
      </c>
      <c r="L869" t="s">
        <v>7</v>
      </c>
      <c r="M869" t="s">
        <v>7</v>
      </c>
      <c r="N869" t="s">
        <v>7</v>
      </c>
      <c r="P869">
        <f t="shared" si="988"/>
        <v>0.45054945054944973</v>
      </c>
      <c r="Q869">
        <f t="shared" si="989"/>
        <v>5905.9081309889998</v>
      </c>
      <c r="R869">
        <f t="shared" si="990"/>
        <v>52992.689394503017</v>
      </c>
      <c r="S869">
        <f t="shared" si="991"/>
        <v>0.52992689394503012</v>
      </c>
      <c r="T869">
        <f t="shared" si="992"/>
        <v>5.299268939450301E-4</v>
      </c>
    </row>
    <row r="870" spans="1:20" x14ac:dyDescent="0.25">
      <c r="A870" s="5">
        <v>43723</v>
      </c>
      <c r="B870">
        <v>91.12</v>
      </c>
      <c r="C870">
        <v>91.45</v>
      </c>
      <c r="D870">
        <v>88.42</v>
      </c>
      <c r="E870">
        <v>88.89</v>
      </c>
      <c r="F870">
        <v>5463.7018900000003</v>
      </c>
      <c r="G870">
        <v>0</v>
      </c>
      <c r="L870" t="s">
        <v>7</v>
      </c>
      <c r="M870" t="s">
        <v>7</v>
      </c>
      <c r="N870" t="s">
        <v>7</v>
      </c>
      <c r="P870">
        <f t="shared" si="988"/>
        <v>-0.68976897689769068</v>
      </c>
      <c r="Q870">
        <f t="shared" si="989"/>
        <v>-3768.6920627392792</v>
      </c>
      <c r="R870">
        <f t="shared" si="990"/>
        <v>47086.781263514014</v>
      </c>
      <c r="S870">
        <f t="shared" si="991"/>
        <v>0.47086781263514016</v>
      </c>
      <c r="T870">
        <f t="shared" si="992"/>
        <v>4.7086781263514015E-4</v>
      </c>
    </row>
    <row r="871" spans="1:20" x14ac:dyDescent="0.25">
      <c r="A871" s="5">
        <v>43722</v>
      </c>
      <c r="B871">
        <v>93.49</v>
      </c>
      <c r="C871">
        <v>95.39</v>
      </c>
      <c r="D871">
        <v>90.17</v>
      </c>
      <c r="E871">
        <v>91.26</v>
      </c>
      <c r="F871">
        <v>11597.57228</v>
      </c>
      <c r="G871">
        <v>0</v>
      </c>
      <c r="L871" t="s">
        <v>8</v>
      </c>
      <c r="M871" t="s">
        <v>7</v>
      </c>
      <c r="N871" t="s">
        <v>7</v>
      </c>
      <c r="P871">
        <f t="shared" si="988"/>
        <v>-0.58237547892720165</v>
      </c>
      <c r="Q871">
        <f t="shared" si="989"/>
        <v>-6754.1417109578379</v>
      </c>
      <c r="R871">
        <f t="shared" si="990"/>
        <v>50855.473326253297</v>
      </c>
      <c r="S871">
        <f t="shared" si="991"/>
        <v>0.50855473326253298</v>
      </c>
      <c r="T871">
        <f t="shared" si="992"/>
        <v>5.0855473326253298E-4</v>
      </c>
    </row>
    <row r="872" spans="1:20" x14ac:dyDescent="0.25">
      <c r="A872" s="5">
        <v>43721</v>
      </c>
      <c r="B872">
        <v>85.31</v>
      </c>
      <c r="C872">
        <v>94.88</v>
      </c>
      <c r="D872">
        <v>84.45</v>
      </c>
      <c r="E872">
        <v>93.49</v>
      </c>
      <c r="F872">
        <v>12887.209989999999</v>
      </c>
      <c r="G872">
        <v>0</v>
      </c>
      <c r="L872" t="s">
        <v>7</v>
      </c>
      <c r="M872" t="s">
        <v>7</v>
      </c>
      <c r="N872" t="s">
        <v>7</v>
      </c>
      <c r="P872">
        <f t="shared" si="988"/>
        <v>0.73346116970278019</v>
      </c>
      <c r="Q872">
        <f t="shared" si="989"/>
        <v>9452.2681134707545</v>
      </c>
      <c r="R872">
        <f t="shared" si="990"/>
        <v>57609.615037211137</v>
      </c>
      <c r="S872">
        <f t="shared" si="991"/>
        <v>0.57609615037211137</v>
      </c>
      <c r="T872">
        <f t="shared" si="992"/>
        <v>5.7609615037211136E-4</v>
      </c>
    </row>
    <row r="873" spans="1:20" x14ac:dyDescent="0.25">
      <c r="A873" s="5">
        <v>43720</v>
      </c>
      <c r="B873">
        <v>82.75</v>
      </c>
      <c r="C873">
        <v>98.77</v>
      </c>
      <c r="D873">
        <v>81.33</v>
      </c>
      <c r="E873">
        <v>85.25</v>
      </c>
      <c r="F873">
        <v>16973.239850000002</v>
      </c>
      <c r="G873">
        <v>0</v>
      </c>
      <c r="L873" t="s">
        <v>8</v>
      </c>
      <c r="M873" t="s">
        <v>8</v>
      </c>
      <c r="N873" t="s">
        <v>7</v>
      </c>
      <c r="P873">
        <f t="shared" si="988"/>
        <v>-0.55045871559632997</v>
      </c>
      <c r="Q873">
        <f t="shared" si="989"/>
        <v>-9343.0678073394447</v>
      </c>
      <c r="R873">
        <f t="shared" si="990"/>
        <v>48157.346923740384</v>
      </c>
      <c r="S873">
        <f t="shared" si="991"/>
        <v>0.48157346923740385</v>
      </c>
      <c r="T873">
        <f t="shared" si="992"/>
        <v>4.8157346923740388E-4</v>
      </c>
    </row>
    <row r="874" spans="1:20" x14ac:dyDescent="0.25">
      <c r="A874" s="5">
        <v>43719</v>
      </c>
      <c r="B874">
        <v>83.16</v>
      </c>
      <c r="C874">
        <v>84.84</v>
      </c>
      <c r="D874">
        <v>81.8</v>
      </c>
      <c r="E874">
        <v>82.44</v>
      </c>
      <c r="F874">
        <v>3784.3373499999998</v>
      </c>
      <c r="G874">
        <v>0</v>
      </c>
      <c r="L874" t="s">
        <v>7</v>
      </c>
      <c r="M874" t="s">
        <v>7</v>
      </c>
      <c r="N874" t="s">
        <v>7</v>
      </c>
      <c r="P874">
        <f t="shared" si="988"/>
        <v>-0.5789473684210531</v>
      </c>
      <c r="Q874">
        <f t="shared" si="989"/>
        <v>-2190.9321500000015</v>
      </c>
      <c r="R874">
        <f t="shared" si="990"/>
        <v>57500.414731079829</v>
      </c>
      <c r="S874">
        <f t="shared" si="991"/>
        <v>0.5750041473107983</v>
      </c>
      <c r="T874">
        <f t="shared" si="992"/>
        <v>5.7500414731079827E-4</v>
      </c>
    </row>
    <row r="875" spans="1:20" x14ac:dyDescent="0.25">
      <c r="A875" s="5">
        <v>43718</v>
      </c>
      <c r="B875">
        <v>86.38</v>
      </c>
      <c r="C875">
        <v>87</v>
      </c>
      <c r="D875">
        <v>82.26</v>
      </c>
      <c r="E875">
        <v>83.11</v>
      </c>
      <c r="F875">
        <v>4433.4645</v>
      </c>
      <c r="G875">
        <v>0</v>
      </c>
      <c r="L875" t="s">
        <v>7</v>
      </c>
      <c r="M875" t="s">
        <v>7</v>
      </c>
      <c r="N875" t="s">
        <v>7</v>
      </c>
      <c r="P875">
        <f t="shared" si="988"/>
        <v>-0.64135021097046618</v>
      </c>
      <c r="Q875">
        <f t="shared" si="989"/>
        <v>-2843.4033924050723</v>
      </c>
      <c r="R875">
        <f t="shared" si="990"/>
        <v>59691.346881079829</v>
      </c>
      <c r="S875">
        <f t="shared" si="991"/>
        <v>0.59691346881079832</v>
      </c>
      <c r="T875">
        <f t="shared" si="992"/>
        <v>5.9691346881079836E-4</v>
      </c>
    </row>
    <row r="876" spans="1:20" x14ac:dyDescent="0.25">
      <c r="A876" s="5">
        <v>43717</v>
      </c>
      <c r="B876">
        <v>87.4</v>
      </c>
      <c r="C876">
        <v>88.87</v>
      </c>
      <c r="D876">
        <v>85.24</v>
      </c>
      <c r="E876">
        <v>86</v>
      </c>
      <c r="F876">
        <v>4149.8329400000002</v>
      </c>
      <c r="G876">
        <v>0</v>
      </c>
      <c r="L876" t="s">
        <v>8</v>
      </c>
      <c r="M876" t="s">
        <v>7</v>
      </c>
      <c r="N876" t="s">
        <v>7</v>
      </c>
      <c r="P876">
        <f t="shared" si="988"/>
        <v>-0.58126721763085232</v>
      </c>
      <c r="Q876">
        <f t="shared" si="989"/>
        <v>-2412.16184666666</v>
      </c>
      <c r="R876">
        <f t="shared" si="990"/>
        <v>62534.750273484904</v>
      </c>
      <c r="S876">
        <f t="shared" si="991"/>
        <v>0.62534750273484907</v>
      </c>
      <c r="T876">
        <f t="shared" si="992"/>
        <v>6.2534750273484903E-4</v>
      </c>
    </row>
    <row r="877" spans="1:20" x14ac:dyDescent="0.25">
      <c r="A877" s="5">
        <v>43716</v>
      </c>
      <c r="B877">
        <v>83.82</v>
      </c>
      <c r="C877">
        <v>87.63</v>
      </c>
      <c r="D877">
        <v>83.77</v>
      </c>
      <c r="E877">
        <v>87.62</v>
      </c>
      <c r="F877">
        <v>4370.7734099999998</v>
      </c>
      <c r="G877">
        <v>0</v>
      </c>
      <c r="L877" t="s">
        <v>8</v>
      </c>
      <c r="M877" t="s">
        <v>7</v>
      </c>
      <c r="N877" t="s">
        <v>7</v>
      </c>
      <c r="P877">
        <f t="shared" si="988"/>
        <v>0.99481865284974569</v>
      </c>
      <c r="Q877">
        <f t="shared" si="989"/>
        <v>4348.1269156476892</v>
      </c>
      <c r="R877">
        <f t="shared" si="990"/>
        <v>64946.912120151566</v>
      </c>
      <c r="S877">
        <f t="shared" si="991"/>
        <v>0.64946912120151568</v>
      </c>
      <c r="T877">
        <f t="shared" si="992"/>
        <v>6.4946912120151569E-4</v>
      </c>
    </row>
    <row r="878" spans="1:20" x14ac:dyDescent="0.25">
      <c r="A878" s="5">
        <v>43715</v>
      </c>
      <c r="B878">
        <v>80.02</v>
      </c>
      <c r="C878">
        <v>84.4</v>
      </c>
      <c r="D878">
        <v>79.739999999999995</v>
      </c>
      <c r="E878">
        <v>83.82</v>
      </c>
      <c r="F878">
        <v>3793.6828799999998</v>
      </c>
      <c r="G878">
        <v>0</v>
      </c>
      <c r="L878" t="s">
        <v>8</v>
      </c>
      <c r="M878" t="s">
        <v>7</v>
      </c>
      <c r="N878" t="s">
        <v>7</v>
      </c>
      <c r="P878">
        <f t="shared" si="988"/>
        <v>0.75107296137338575</v>
      </c>
      <c r="Q878">
        <f t="shared" si="989"/>
        <v>2849.3326351931146</v>
      </c>
      <c r="R878">
        <f t="shared" si="990"/>
        <v>60598.785204503874</v>
      </c>
      <c r="S878">
        <f t="shared" si="991"/>
        <v>0.6059878520450388</v>
      </c>
      <c r="T878">
        <f t="shared" si="992"/>
        <v>6.059878520450388E-4</v>
      </c>
    </row>
    <row r="879" spans="1:20" x14ac:dyDescent="0.25">
      <c r="A879" s="5">
        <v>43714</v>
      </c>
      <c r="B879">
        <v>80.08</v>
      </c>
      <c r="C879">
        <v>82.93</v>
      </c>
      <c r="D879">
        <v>77.489999999999995</v>
      </c>
      <c r="E879">
        <v>80.02</v>
      </c>
      <c r="F879">
        <v>6714.8060800000003</v>
      </c>
      <c r="G879">
        <v>0</v>
      </c>
      <c r="L879" t="s">
        <v>7</v>
      </c>
      <c r="M879" t="s">
        <v>7</v>
      </c>
      <c r="N879" t="s">
        <v>7</v>
      </c>
      <c r="P879">
        <f t="shared" si="988"/>
        <v>-6.9852941176472214E-2</v>
      </c>
      <c r="Q879">
        <f t="shared" si="989"/>
        <v>-469.04895411765801</v>
      </c>
      <c r="R879">
        <f t="shared" si="990"/>
        <v>57749.452569310757</v>
      </c>
      <c r="S879">
        <f t="shared" si="991"/>
        <v>0.57749452569310755</v>
      </c>
      <c r="T879">
        <f t="shared" si="992"/>
        <v>5.7749452569310755E-4</v>
      </c>
    </row>
    <row r="880" spans="1:20" x14ac:dyDescent="0.25">
      <c r="A880" s="5">
        <v>43713</v>
      </c>
      <c r="B880">
        <v>80.900000000000006</v>
      </c>
      <c r="C880">
        <v>81.89</v>
      </c>
      <c r="D880">
        <v>79.83</v>
      </c>
      <c r="E880">
        <v>80.08</v>
      </c>
      <c r="F880">
        <v>1890.57482</v>
      </c>
      <c r="G880">
        <v>0</v>
      </c>
      <c r="L880" t="s">
        <v>8</v>
      </c>
      <c r="M880" t="s">
        <v>7</v>
      </c>
      <c r="N880" t="s">
        <v>7</v>
      </c>
      <c r="P880">
        <f t="shared" si="988"/>
        <v>-0.75728155339805847</v>
      </c>
      <c r="Q880">
        <f t="shared" si="989"/>
        <v>-1431.6974365048547</v>
      </c>
      <c r="R880">
        <f t="shared" si="990"/>
        <v>58218.501523428415</v>
      </c>
      <c r="S880">
        <f t="shared" si="991"/>
        <v>0.58218501523428412</v>
      </c>
      <c r="T880">
        <f t="shared" si="992"/>
        <v>5.8218501523428414E-4</v>
      </c>
    </row>
    <row r="881" spans="1:20" x14ac:dyDescent="0.25">
      <c r="A881" s="5">
        <v>43712</v>
      </c>
      <c r="B881">
        <v>82.79</v>
      </c>
      <c r="C881">
        <v>82.8</v>
      </c>
      <c r="D881">
        <v>79.900000000000006</v>
      </c>
      <c r="E881">
        <v>80.900000000000006</v>
      </c>
      <c r="F881">
        <v>3411.60925</v>
      </c>
      <c r="G881">
        <v>0</v>
      </c>
      <c r="L881" t="s">
        <v>8</v>
      </c>
      <c r="M881" t="s">
        <v>7</v>
      </c>
      <c r="N881" t="s">
        <v>7</v>
      </c>
      <c r="P881">
        <f t="shared" si="988"/>
        <v>-0.31034482758620485</v>
      </c>
      <c r="Q881">
        <f t="shared" si="989"/>
        <v>-1058.7752844827517</v>
      </c>
      <c r="R881">
        <f t="shared" si="990"/>
        <v>59650.198959933266</v>
      </c>
      <c r="S881">
        <f t="shared" si="991"/>
        <v>0.59650198959933265</v>
      </c>
      <c r="T881">
        <f t="shared" si="992"/>
        <v>5.9650198959933264E-4</v>
      </c>
    </row>
    <row r="882" spans="1:20" x14ac:dyDescent="0.25">
      <c r="A882" s="5">
        <v>43711</v>
      </c>
      <c r="B882">
        <v>81.23</v>
      </c>
      <c r="C882">
        <v>83.68</v>
      </c>
      <c r="D882">
        <v>79.91</v>
      </c>
      <c r="E882">
        <v>82.83</v>
      </c>
      <c r="F882">
        <v>5065.7743899999996</v>
      </c>
      <c r="G882">
        <v>0</v>
      </c>
      <c r="L882" t="s">
        <v>8</v>
      </c>
      <c r="M882" t="s">
        <v>7</v>
      </c>
      <c r="N882" t="s">
        <v>7</v>
      </c>
      <c r="P882">
        <f t="shared" si="988"/>
        <v>0.549071618037132</v>
      </c>
      <c r="Q882">
        <f t="shared" si="989"/>
        <v>2781.472940928365</v>
      </c>
      <c r="R882">
        <f t="shared" si="990"/>
        <v>60708.974244416015</v>
      </c>
      <c r="S882">
        <f t="shared" si="991"/>
        <v>0.60708974244416014</v>
      </c>
      <c r="T882">
        <f t="shared" si="992"/>
        <v>6.0708974244416019E-4</v>
      </c>
    </row>
    <row r="883" spans="1:20" x14ac:dyDescent="0.25">
      <c r="A883" s="5">
        <v>43710</v>
      </c>
      <c r="B883">
        <v>79.36</v>
      </c>
      <c r="C883">
        <v>83.2</v>
      </c>
      <c r="D883">
        <v>79.260000000000005</v>
      </c>
      <c r="E883">
        <v>81.239999999999995</v>
      </c>
      <c r="F883">
        <v>5316.6432599999998</v>
      </c>
      <c r="G883">
        <v>0</v>
      </c>
      <c r="L883" t="s">
        <v>8</v>
      </c>
      <c r="M883" t="s">
        <v>7</v>
      </c>
      <c r="N883" t="s">
        <v>7</v>
      </c>
      <c r="P883">
        <f t="shared" si="988"/>
        <v>5.0761421319750815E-3</v>
      </c>
      <c r="Q883">
        <f t="shared" si="989"/>
        <v>26.988036852767348</v>
      </c>
      <c r="R883">
        <f t="shared" si="990"/>
        <v>57927.501303487647</v>
      </c>
      <c r="S883">
        <f t="shared" si="991"/>
        <v>0.5792750130348765</v>
      </c>
      <c r="T883">
        <f t="shared" si="992"/>
        <v>5.7927501303487654E-4</v>
      </c>
    </row>
    <row r="884" spans="1:20" x14ac:dyDescent="0.25">
      <c r="A884" s="5">
        <v>43709</v>
      </c>
      <c r="B884">
        <v>79.86</v>
      </c>
      <c r="C884">
        <v>80.459999999999994</v>
      </c>
      <c r="D884">
        <v>78.010000000000005</v>
      </c>
      <c r="E884">
        <v>79.319999999999993</v>
      </c>
      <c r="F884">
        <v>1488.86699</v>
      </c>
      <c r="G884">
        <v>0</v>
      </c>
      <c r="L884" t="s">
        <v>7</v>
      </c>
      <c r="M884" t="s">
        <v>7</v>
      </c>
      <c r="N884" t="s">
        <v>7</v>
      </c>
      <c r="P884">
        <f t="shared" si="988"/>
        <v>6.9387755102036028E-2</v>
      </c>
      <c r="Q884">
        <f t="shared" si="989"/>
        <v>103.30913808162552</v>
      </c>
      <c r="R884">
        <f t="shared" si="990"/>
        <v>57900.51326663488</v>
      </c>
      <c r="S884">
        <f t="shared" si="991"/>
        <v>0.57900513266634879</v>
      </c>
      <c r="T884">
        <f t="shared" si="992"/>
        <v>5.7900513266634878E-4</v>
      </c>
    </row>
    <row r="885" spans="1:20" x14ac:dyDescent="0.25">
      <c r="A885" s="5">
        <v>43708</v>
      </c>
      <c r="B885">
        <v>80.37</v>
      </c>
      <c r="C885">
        <v>82.47</v>
      </c>
      <c r="D885">
        <v>78.2</v>
      </c>
      <c r="E885">
        <v>79.86</v>
      </c>
      <c r="F885">
        <v>6106.9245099999998</v>
      </c>
      <c r="G885">
        <v>0</v>
      </c>
      <c r="L885" t="s">
        <v>7</v>
      </c>
      <c r="M885" t="s">
        <v>7</v>
      </c>
      <c r="N885" t="s">
        <v>7</v>
      </c>
      <c r="P885">
        <f t="shared" si="988"/>
        <v>-0.22248243559719058</v>
      </c>
      <c r="Q885">
        <f t="shared" si="989"/>
        <v>-1358.6834389929795</v>
      </c>
      <c r="R885">
        <f t="shared" si="990"/>
        <v>57797.204128553254</v>
      </c>
      <c r="S885">
        <f t="shared" si="991"/>
        <v>0.57797204128553259</v>
      </c>
      <c r="T885">
        <f t="shared" si="992"/>
        <v>5.7797204128553256E-4</v>
      </c>
    </row>
    <row r="886" spans="1:20" x14ac:dyDescent="0.25">
      <c r="A886" s="5">
        <v>43707</v>
      </c>
      <c r="B886">
        <v>79.92</v>
      </c>
      <c r="C886">
        <v>81.900000000000006</v>
      </c>
      <c r="D886">
        <v>78.67</v>
      </c>
      <c r="E886">
        <v>80.2</v>
      </c>
      <c r="F886">
        <v>5551.5050099999999</v>
      </c>
      <c r="G886">
        <v>0</v>
      </c>
      <c r="L886" t="s">
        <v>7</v>
      </c>
      <c r="M886" t="s">
        <v>7</v>
      </c>
      <c r="N886" t="s">
        <v>7</v>
      </c>
      <c r="P886">
        <f t="shared" si="988"/>
        <v>-5.2631578947368883E-2</v>
      </c>
      <c r="Q886">
        <f t="shared" si="989"/>
        <v>-292.18447421052889</v>
      </c>
      <c r="R886">
        <f t="shared" si="990"/>
        <v>59155.887567546233</v>
      </c>
      <c r="S886">
        <f t="shared" si="991"/>
        <v>0.59155887567546228</v>
      </c>
      <c r="T886">
        <f t="shared" si="992"/>
        <v>5.9155887567546232E-4</v>
      </c>
    </row>
    <row r="887" spans="1:20" x14ac:dyDescent="0.25">
      <c r="A887" s="5">
        <v>43706</v>
      </c>
      <c r="B887">
        <v>84.65</v>
      </c>
      <c r="C887">
        <v>84.65</v>
      </c>
      <c r="D887">
        <v>77.8</v>
      </c>
      <c r="E887">
        <v>79.78</v>
      </c>
      <c r="F887">
        <v>3302.6941900000002</v>
      </c>
      <c r="G887">
        <v>0</v>
      </c>
      <c r="L887" t="s">
        <v>7</v>
      </c>
      <c r="M887" t="s">
        <v>7</v>
      </c>
      <c r="N887" t="s">
        <v>7</v>
      </c>
      <c r="P887">
        <f t="shared" si="988"/>
        <v>-0.42189781021897765</v>
      </c>
      <c r="Q887">
        <f t="shared" si="989"/>
        <v>-1393.3994465839403</v>
      </c>
      <c r="R887">
        <f t="shared" si="990"/>
        <v>59448.072041756765</v>
      </c>
      <c r="S887">
        <f t="shared" si="991"/>
        <v>0.59448072041756761</v>
      </c>
      <c r="T887">
        <f t="shared" si="992"/>
        <v>5.944807204175676E-4</v>
      </c>
    </row>
    <row r="888" spans="1:20" x14ac:dyDescent="0.25">
      <c r="A888" s="5">
        <v>43705</v>
      </c>
      <c r="B888">
        <v>90.71</v>
      </c>
      <c r="C888">
        <v>90.71</v>
      </c>
      <c r="D888">
        <v>84.5</v>
      </c>
      <c r="E888">
        <v>84.7</v>
      </c>
      <c r="F888">
        <v>3206.0893999999998</v>
      </c>
      <c r="G888">
        <v>0</v>
      </c>
      <c r="L888" t="s">
        <v>7</v>
      </c>
      <c r="M888" t="s">
        <v>7</v>
      </c>
      <c r="N888" t="s">
        <v>7</v>
      </c>
      <c r="P888">
        <f t="shared" si="988"/>
        <v>-0.93558776167471724</v>
      </c>
      <c r="Q888">
        <f t="shared" si="989"/>
        <v>-2999.5780054750371</v>
      </c>
      <c r="R888">
        <f t="shared" si="990"/>
        <v>60841.471488340707</v>
      </c>
      <c r="S888">
        <f t="shared" si="991"/>
        <v>0.60841471488340704</v>
      </c>
      <c r="T888">
        <f t="shared" si="992"/>
        <v>6.0841471488340708E-4</v>
      </c>
    </row>
    <row r="889" spans="1:20" x14ac:dyDescent="0.25">
      <c r="A889" s="5">
        <v>43704</v>
      </c>
      <c r="B889">
        <v>91.96</v>
      </c>
      <c r="C889">
        <v>92.27</v>
      </c>
      <c r="D889">
        <v>89.95</v>
      </c>
      <c r="E889">
        <v>90.72</v>
      </c>
      <c r="F889">
        <v>2214.1712699999998</v>
      </c>
      <c r="G889">
        <v>0</v>
      </c>
      <c r="L889" t="s">
        <v>8</v>
      </c>
      <c r="M889" t="s">
        <v>7</v>
      </c>
      <c r="N889" t="s">
        <v>7</v>
      </c>
      <c r="P889">
        <f t="shared" si="988"/>
        <v>-0.33620689655172564</v>
      </c>
      <c r="Q889">
        <f t="shared" si="989"/>
        <v>-744.41965112069295</v>
      </c>
      <c r="R889">
        <f t="shared" si="990"/>
        <v>63841.049493815743</v>
      </c>
      <c r="S889">
        <f t="shared" si="991"/>
        <v>0.63841049493815738</v>
      </c>
      <c r="T889">
        <f t="shared" si="992"/>
        <v>6.3841049493815736E-4</v>
      </c>
    </row>
    <row r="890" spans="1:20" x14ac:dyDescent="0.25">
      <c r="A890" s="5">
        <v>43703</v>
      </c>
      <c r="B890">
        <v>91.51</v>
      </c>
      <c r="C890">
        <v>93.44</v>
      </c>
      <c r="D890">
        <v>91</v>
      </c>
      <c r="E890">
        <v>92.28</v>
      </c>
      <c r="F890">
        <v>1985.2683099999999</v>
      </c>
      <c r="G890">
        <v>0</v>
      </c>
      <c r="L890" t="s">
        <v>8</v>
      </c>
      <c r="M890" t="s">
        <v>7</v>
      </c>
      <c r="N890" t="s">
        <v>7</v>
      </c>
      <c r="P890">
        <f t="shared" si="988"/>
        <v>4.9180327868854366E-2</v>
      </c>
      <c r="Q890">
        <f t="shared" si="989"/>
        <v>97.63614639344641</v>
      </c>
      <c r="R890">
        <f t="shared" si="990"/>
        <v>64585.469144936433</v>
      </c>
      <c r="S890">
        <f t="shared" si="991"/>
        <v>0.64585469144936436</v>
      </c>
      <c r="T890">
        <f t="shared" si="992"/>
        <v>6.4585469144936441E-4</v>
      </c>
    </row>
    <row r="891" spans="1:20" x14ac:dyDescent="0.25">
      <c r="A891" s="5">
        <v>43702</v>
      </c>
      <c r="B891">
        <v>92.36</v>
      </c>
      <c r="C891">
        <v>93.3</v>
      </c>
      <c r="D891">
        <v>90.61</v>
      </c>
      <c r="E891">
        <v>91.26</v>
      </c>
      <c r="F891">
        <v>1318.0006699999999</v>
      </c>
      <c r="G891">
        <v>0</v>
      </c>
      <c r="L891" t="s">
        <v>8</v>
      </c>
      <c r="M891" t="s">
        <v>7</v>
      </c>
      <c r="N891" t="s">
        <v>7</v>
      </c>
      <c r="P891">
        <f t="shared" si="988"/>
        <v>-0.51672862453531132</v>
      </c>
      <c r="Q891">
        <f t="shared" si="989"/>
        <v>-681.04867334571873</v>
      </c>
      <c r="R891">
        <f t="shared" si="990"/>
        <v>64487.832998542988</v>
      </c>
      <c r="S891">
        <f t="shared" si="991"/>
        <v>0.64487832998542993</v>
      </c>
      <c r="T891">
        <f t="shared" si="992"/>
        <v>6.4487832998542992E-4</v>
      </c>
    </row>
    <row r="892" spans="1:20" x14ac:dyDescent="0.25">
      <c r="A892" s="5">
        <v>43701</v>
      </c>
      <c r="B892">
        <v>93.26</v>
      </c>
      <c r="C892">
        <v>93.49</v>
      </c>
      <c r="D892">
        <v>89.94</v>
      </c>
      <c r="E892">
        <v>92.09</v>
      </c>
      <c r="F892">
        <v>2090.94904</v>
      </c>
      <c r="G892">
        <v>0</v>
      </c>
      <c r="L892" t="s">
        <v>8</v>
      </c>
      <c r="M892" t="s">
        <v>7</v>
      </c>
      <c r="N892" t="s">
        <v>7</v>
      </c>
      <c r="P892">
        <f t="shared" si="988"/>
        <v>0.21126760563380698</v>
      </c>
      <c r="Q892">
        <f t="shared" si="989"/>
        <v>441.74979718310726</v>
      </c>
      <c r="R892">
        <f t="shared" si="990"/>
        <v>65168.88167188871</v>
      </c>
      <c r="S892">
        <f t="shared" si="991"/>
        <v>0.65168881671888712</v>
      </c>
      <c r="T892">
        <f t="shared" si="992"/>
        <v>6.5168881671888717E-4</v>
      </c>
    </row>
    <row r="893" spans="1:20" x14ac:dyDescent="0.25">
      <c r="A893" s="5">
        <v>43700</v>
      </c>
      <c r="B893">
        <v>90.77</v>
      </c>
      <c r="C893">
        <v>96.42</v>
      </c>
      <c r="D893">
        <v>90.01</v>
      </c>
      <c r="E893">
        <v>93.55</v>
      </c>
      <c r="F893">
        <v>4953.9422199999999</v>
      </c>
      <c r="G893">
        <v>0</v>
      </c>
      <c r="L893" t="s">
        <v>8</v>
      </c>
      <c r="M893" t="s">
        <v>7</v>
      </c>
      <c r="N893" t="s">
        <v>7</v>
      </c>
      <c r="P893">
        <f t="shared" si="988"/>
        <v>0.1045241809672368</v>
      </c>
      <c r="Q893">
        <f t="shared" si="989"/>
        <v>517.80675310451477</v>
      </c>
      <c r="R893">
        <f t="shared" si="990"/>
        <v>64727.131874705599</v>
      </c>
      <c r="S893">
        <f t="shared" si="991"/>
        <v>0.64727131874705601</v>
      </c>
      <c r="T893">
        <f t="shared" si="992"/>
        <v>6.4727131874705603E-4</v>
      </c>
    </row>
    <row r="894" spans="1:20" x14ac:dyDescent="0.25">
      <c r="A894" s="5">
        <v>43699</v>
      </c>
      <c r="B894">
        <v>90.15</v>
      </c>
      <c r="C894">
        <v>92.18</v>
      </c>
      <c r="D894">
        <v>88</v>
      </c>
      <c r="E894">
        <v>90.84</v>
      </c>
      <c r="F894">
        <v>2229.2540300000001</v>
      </c>
      <c r="G894">
        <v>0</v>
      </c>
      <c r="L894" t="s">
        <v>7</v>
      </c>
      <c r="M894" t="s">
        <v>7</v>
      </c>
      <c r="N894" t="s">
        <v>7</v>
      </c>
      <c r="P894">
        <f t="shared" si="988"/>
        <v>0.35885167464114776</v>
      </c>
      <c r="Q894">
        <f t="shared" si="989"/>
        <v>799.97154186602745</v>
      </c>
      <c r="R894">
        <f t="shared" si="990"/>
        <v>64209.325121601083</v>
      </c>
      <c r="S894">
        <f t="shared" si="991"/>
        <v>0.6420932512160108</v>
      </c>
      <c r="T894">
        <f t="shared" si="992"/>
        <v>6.4209325121601082E-4</v>
      </c>
    </row>
    <row r="895" spans="1:20" x14ac:dyDescent="0.25">
      <c r="A895" s="5">
        <v>43698</v>
      </c>
      <c r="B895">
        <v>93.49</v>
      </c>
      <c r="C895">
        <v>93.68</v>
      </c>
      <c r="D895">
        <v>87.11</v>
      </c>
      <c r="E895">
        <v>90.16</v>
      </c>
      <c r="F895">
        <v>4477.6121499999999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993">IF(C895=D895,0,((E895-D895)-(C895-E895))/(C895-D895))</f>
        <v>-7.1537290715374818E-2</v>
      </c>
      <c r="Q895">
        <f t="shared" ref="Q895:Q958" si="994">F895*P895</f>
        <v>-320.31624208524448</v>
      </c>
      <c r="R895">
        <f t="shared" ref="R895:R958" si="995">R896+Q895</f>
        <v>63409.353579735056</v>
      </c>
      <c r="S895">
        <f t="shared" ref="S895:S958" si="996">R895/100000</f>
        <v>0.6340935357973505</v>
      </c>
      <c r="T895">
        <f t="shared" ref="T895:T958" si="997">S895/1000</f>
        <v>6.3409353579735046E-4</v>
      </c>
    </row>
    <row r="896" spans="1:20" x14ac:dyDescent="0.25">
      <c r="A896" s="5">
        <v>43697</v>
      </c>
      <c r="B896">
        <v>97.42</v>
      </c>
      <c r="C896">
        <v>97.42</v>
      </c>
      <c r="D896">
        <v>93.19</v>
      </c>
      <c r="E896">
        <v>93.5</v>
      </c>
      <c r="F896">
        <v>2734.0670399999999</v>
      </c>
      <c r="G896">
        <v>0</v>
      </c>
      <c r="L896" t="s">
        <v>8</v>
      </c>
      <c r="M896" t="s">
        <v>7</v>
      </c>
      <c r="N896" t="s">
        <v>7</v>
      </c>
      <c r="P896">
        <f t="shared" si="993"/>
        <v>-0.85342789598108648</v>
      </c>
      <c r="Q896">
        <f t="shared" si="994"/>
        <v>-2333.329081418437</v>
      </c>
      <c r="R896">
        <f t="shared" si="995"/>
        <v>63729.669821820302</v>
      </c>
      <c r="S896">
        <f t="shared" si="996"/>
        <v>0.63729669821820301</v>
      </c>
      <c r="T896">
        <f t="shared" si="997"/>
        <v>6.3729669821820296E-4</v>
      </c>
    </row>
    <row r="897" spans="1:20" x14ac:dyDescent="0.25">
      <c r="A897" s="5">
        <v>43696</v>
      </c>
      <c r="B897">
        <v>94.56</v>
      </c>
      <c r="C897">
        <v>97.5</v>
      </c>
      <c r="D897">
        <v>93.8</v>
      </c>
      <c r="E897">
        <v>97.14</v>
      </c>
      <c r="F897">
        <v>2591.54043</v>
      </c>
      <c r="G897">
        <v>0</v>
      </c>
      <c r="L897" t="s">
        <v>8</v>
      </c>
      <c r="M897" t="s">
        <v>7</v>
      </c>
      <c r="N897" t="s">
        <v>7</v>
      </c>
      <c r="P897">
        <f t="shared" si="993"/>
        <v>0.80540540540540584</v>
      </c>
      <c r="Q897">
        <f t="shared" si="994"/>
        <v>2087.2406706486499</v>
      </c>
      <c r="R897">
        <f t="shared" si="995"/>
        <v>66062.998903238738</v>
      </c>
      <c r="S897">
        <f t="shared" si="996"/>
        <v>0.66062998903238734</v>
      </c>
      <c r="T897">
        <f t="shared" si="997"/>
        <v>6.6062998903238738E-4</v>
      </c>
    </row>
    <row r="898" spans="1:20" x14ac:dyDescent="0.25">
      <c r="A898" s="5">
        <v>43695</v>
      </c>
      <c r="B898">
        <v>91.82</v>
      </c>
      <c r="C898">
        <v>96.6</v>
      </c>
      <c r="D898">
        <v>91.25</v>
      </c>
      <c r="E898">
        <v>94.78</v>
      </c>
      <c r="F898">
        <v>2757.7107799999999</v>
      </c>
      <c r="G898">
        <v>0</v>
      </c>
      <c r="L898" t="s">
        <v>7</v>
      </c>
      <c r="M898" t="s">
        <v>7</v>
      </c>
      <c r="N898" t="s">
        <v>7</v>
      </c>
      <c r="P898">
        <f t="shared" si="993"/>
        <v>0.3196261682243009</v>
      </c>
      <c r="Q898">
        <f t="shared" si="994"/>
        <v>881.43652968224796</v>
      </c>
      <c r="R898">
        <f t="shared" si="995"/>
        <v>63975.758232590088</v>
      </c>
      <c r="S898">
        <f t="shared" si="996"/>
        <v>0.63975758232590085</v>
      </c>
      <c r="T898">
        <f t="shared" si="997"/>
        <v>6.3975758232590085E-4</v>
      </c>
    </row>
    <row r="899" spans="1:20" x14ac:dyDescent="0.25">
      <c r="A899" s="5">
        <v>43694</v>
      </c>
      <c r="B899">
        <v>93.08</v>
      </c>
      <c r="C899">
        <v>93.47</v>
      </c>
      <c r="D899">
        <v>90.66</v>
      </c>
      <c r="E899">
        <v>91.63</v>
      </c>
      <c r="F899">
        <v>2097.7829499999998</v>
      </c>
      <c r="G899">
        <v>0</v>
      </c>
      <c r="L899" t="s">
        <v>7</v>
      </c>
      <c r="M899" t="s">
        <v>7</v>
      </c>
      <c r="N899" t="s">
        <v>7</v>
      </c>
      <c r="P899">
        <f t="shared" si="993"/>
        <v>-0.30960854092526829</v>
      </c>
      <c r="Q899">
        <f t="shared" si="994"/>
        <v>-649.49151832740495</v>
      </c>
      <c r="R899">
        <f t="shared" si="995"/>
        <v>63094.321702907837</v>
      </c>
      <c r="S899">
        <f t="shared" si="996"/>
        <v>0.63094321702907841</v>
      </c>
      <c r="T899">
        <f t="shared" si="997"/>
        <v>6.3094321702907843E-4</v>
      </c>
    </row>
    <row r="900" spans="1:20" x14ac:dyDescent="0.25">
      <c r="A900" s="5">
        <v>43693</v>
      </c>
      <c r="B900">
        <v>94.63</v>
      </c>
      <c r="C900">
        <v>95.25</v>
      </c>
      <c r="D900">
        <v>91.14</v>
      </c>
      <c r="E900">
        <v>93.15</v>
      </c>
      <c r="F900">
        <v>2778.1420499999999</v>
      </c>
      <c r="G900">
        <v>0</v>
      </c>
      <c r="L900" t="s">
        <v>7</v>
      </c>
      <c r="M900" t="s">
        <v>7</v>
      </c>
      <c r="N900" t="s">
        <v>7</v>
      </c>
      <c r="P900">
        <f t="shared" si="993"/>
        <v>-2.1897810218975477E-2</v>
      </c>
      <c r="Q900">
        <f t="shared" si="994"/>
        <v>-60.835227372255481</v>
      </c>
      <c r="R900">
        <f t="shared" si="995"/>
        <v>63743.813221235243</v>
      </c>
      <c r="S900">
        <f t="shared" si="996"/>
        <v>0.63743813221235246</v>
      </c>
      <c r="T900">
        <f t="shared" si="997"/>
        <v>6.3743813221235244E-4</v>
      </c>
    </row>
    <row r="901" spans="1:20" x14ac:dyDescent="0.25">
      <c r="A901" s="5">
        <v>43692</v>
      </c>
      <c r="B901">
        <v>96.05</v>
      </c>
      <c r="C901">
        <v>97.41</v>
      </c>
      <c r="D901">
        <v>92.88</v>
      </c>
      <c r="E901">
        <v>94.75</v>
      </c>
      <c r="F901">
        <v>2323.3605699999998</v>
      </c>
      <c r="G901">
        <v>0</v>
      </c>
      <c r="L901" t="s">
        <v>7</v>
      </c>
      <c r="M901" t="s">
        <v>7</v>
      </c>
      <c r="N901" t="s">
        <v>7</v>
      </c>
      <c r="P901">
        <f t="shared" si="993"/>
        <v>-0.17439293598233815</v>
      </c>
      <c r="Q901">
        <f t="shared" si="994"/>
        <v>-405.17767114789865</v>
      </c>
      <c r="R901">
        <f t="shared" si="995"/>
        <v>63804.648448607499</v>
      </c>
      <c r="S901">
        <f t="shared" si="996"/>
        <v>0.63804648448607504</v>
      </c>
      <c r="T901">
        <f t="shared" si="997"/>
        <v>6.3804648448607503E-4</v>
      </c>
    </row>
    <row r="902" spans="1:20" x14ac:dyDescent="0.25">
      <c r="A902" s="5">
        <v>43691</v>
      </c>
      <c r="B902">
        <v>101.45</v>
      </c>
      <c r="C902">
        <v>102.69</v>
      </c>
      <c r="D902">
        <v>94.91</v>
      </c>
      <c r="E902">
        <v>95.99</v>
      </c>
      <c r="F902">
        <v>4283.6528099999996</v>
      </c>
      <c r="G902">
        <v>0</v>
      </c>
      <c r="L902" t="s">
        <v>7</v>
      </c>
      <c r="M902" t="s">
        <v>7</v>
      </c>
      <c r="N902" t="s">
        <v>7</v>
      </c>
      <c r="P902">
        <f t="shared" si="993"/>
        <v>-0.72236503856041179</v>
      </c>
      <c r="Q902">
        <f t="shared" si="994"/>
        <v>-3094.3610272750661</v>
      </c>
      <c r="R902">
        <f t="shared" si="995"/>
        <v>64209.826119755395</v>
      </c>
      <c r="S902">
        <f t="shared" si="996"/>
        <v>0.64209826119755398</v>
      </c>
      <c r="T902">
        <f t="shared" si="997"/>
        <v>6.4209826119755395E-4</v>
      </c>
    </row>
    <row r="903" spans="1:20" x14ac:dyDescent="0.25">
      <c r="A903" s="5">
        <v>43690</v>
      </c>
      <c r="B903">
        <v>104.41</v>
      </c>
      <c r="C903">
        <v>107.86</v>
      </c>
      <c r="D903">
        <v>100.65</v>
      </c>
      <c r="E903">
        <v>101.42</v>
      </c>
      <c r="F903">
        <v>7584.1410699999997</v>
      </c>
      <c r="G903">
        <v>0</v>
      </c>
      <c r="L903" t="s">
        <v>7</v>
      </c>
      <c r="M903" t="s">
        <v>7</v>
      </c>
      <c r="N903" t="s">
        <v>7</v>
      </c>
      <c r="P903">
        <f t="shared" si="993"/>
        <v>-0.78640776699029213</v>
      </c>
      <c r="Q903">
        <f t="shared" si="994"/>
        <v>-5964.2274433980647</v>
      </c>
      <c r="R903">
        <f t="shared" si="995"/>
        <v>67304.187147030461</v>
      </c>
      <c r="S903">
        <f t="shared" si="996"/>
        <v>0.67304187147030459</v>
      </c>
      <c r="T903">
        <f t="shared" si="997"/>
        <v>6.7304187147030454E-4</v>
      </c>
    </row>
    <row r="904" spans="1:20" x14ac:dyDescent="0.25">
      <c r="A904" s="5">
        <v>43689</v>
      </c>
      <c r="B904">
        <v>106.53</v>
      </c>
      <c r="C904">
        <v>106.83</v>
      </c>
      <c r="D904">
        <v>102.16</v>
      </c>
      <c r="E904">
        <v>104.45</v>
      </c>
      <c r="F904">
        <v>2555.3550300000002</v>
      </c>
      <c r="G904">
        <v>0</v>
      </c>
      <c r="L904" t="s">
        <v>8</v>
      </c>
      <c r="M904" t="s">
        <v>7</v>
      </c>
      <c r="N904" t="s">
        <v>7</v>
      </c>
      <c r="P904">
        <f t="shared" si="993"/>
        <v>-1.9271948608134724E-2</v>
      </c>
      <c r="Q904">
        <f t="shared" si="994"/>
        <v>-49.246670813698572</v>
      </c>
      <c r="R904">
        <f t="shared" si="995"/>
        <v>73268.414590428525</v>
      </c>
      <c r="S904">
        <f t="shared" si="996"/>
        <v>0.73268414590428521</v>
      </c>
      <c r="T904">
        <f t="shared" si="997"/>
        <v>7.3268414590428523E-4</v>
      </c>
    </row>
    <row r="905" spans="1:20" x14ac:dyDescent="0.25">
      <c r="A905" s="5">
        <v>43688</v>
      </c>
      <c r="B905">
        <v>98.99</v>
      </c>
      <c r="C905">
        <v>108.48</v>
      </c>
      <c r="D905">
        <v>98.98</v>
      </c>
      <c r="E905">
        <v>106.53</v>
      </c>
      <c r="F905">
        <v>7426.2345999999998</v>
      </c>
      <c r="G905">
        <v>0</v>
      </c>
      <c r="L905" t="s">
        <v>8</v>
      </c>
      <c r="M905" t="s">
        <v>7</v>
      </c>
      <c r="N905" t="s">
        <v>7</v>
      </c>
      <c r="P905">
        <f t="shared" si="993"/>
        <v>0.58947368421052571</v>
      </c>
      <c r="Q905">
        <f t="shared" si="994"/>
        <v>4377.5698694736793</v>
      </c>
      <c r="R905">
        <f t="shared" si="995"/>
        <v>73317.661261242218</v>
      </c>
      <c r="S905">
        <f t="shared" si="996"/>
        <v>0.73317661261242217</v>
      </c>
      <c r="T905">
        <f t="shared" si="997"/>
        <v>7.3317661261242215E-4</v>
      </c>
    </row>
    <row r="906" spans="1:20" x14ac:dyDescent="0.25">
      <c r="A906" s="5">
        <v>43687</v>
      </c>
      <c r="B906">
        <v>103.79</v>
      </c>
      <c r="C906">
        <v>104.39</v>
      </c>
      <c r="D906">
        <v>97.41</v>
      </c>
      <c r="E906">
        <v>99.29</v>
      </c>
      <c r="F906">
        <v>4229.5068799999999</v>
      </c>
      <c r="G906">
        <v>0</v>
      </c>
      <c r="L906" t="s">
        <v>7</v>
      </c>
      <c r="M906" t="s">
        <v>7</v>
      </c>
      <c r="N906" t="s">
        <v>7</v>
      </c>
      <c r="P906">
        <f t="shared" si="993"/>
        <v>-0.46131805157592876</v>
      </c>
      <c r="Q906">
        <f t="shared" si="994"/>
        <v>-1951.1478730085855</v>
      </c>
      <c r="R906">
        <f t="shared" si="995"/>
        <v>68940.091391768539</v>
      </c>
      <c r="S906">
        <f t="shared" si="996"/>
        <v>0.68940091391768543</v>
      </c>
      <c r="T906">
        <f t="shared" si="997"/>
        <v>6.8940091391768541E-4</v>
      </c>
    </row>
    <row r="907" spans="1:20" x14ac:dyDescent="0.25">
      <c r="A907" s="5">
        <v>43686</v>
      </c>
      <c r="B907">
        <v>105.95</v>
      </c>
      <c r="C907">
        <v>105.95</v>
      </c>
      <c r="D907">
        <v>102.61</v>
      </c>
      <c r="E907">
        <v>103.52</v>
      </c>
      <c r="F907">
        <v>2016.4259500000001</v>
      </c>
      <c r="G907">
        <v>0</v>
      </c>
      <c r="L907" t="s">
        <v>7</v>
      </c>
      <c r="M907" t="s">
        <v>7</v>
      </c>
      <c r="N907" t="s">
        <v>7</v>
      </c>
      <c r="P907">
        <f t="shared" si="993"/>
        <v>-0.45508982035928403</v>
      </c>
      <c r="Q907">
        <f t="shared" si="994"/>
        <v>-917.65492335329861</v>
      </c>
      <c r="R907">
        <f t="shared" si="995"/>
        <v>70891.239264777119</v>
      </c>
      <c r="S907">
        <f t="shared" si="996"/>
        <v>0.70891239264777117</v>
      </c>
      <c r="T907">
        <f t="shared" si="997"/>
        <v>7.0891239264777119E-4</v>
      </c>
    </row>
    <row r="908" spans="1:20" x14ac:dyDescent="0.25">
      <c r="A908" s="5">
        <v>43685</v>
      </c>
      <c r="B908">
        <v>107.38</v>
      </c>
      <c r="C908">
        <v>107.83</v>
      </c>
      <c r="D908">
        <v>103.84</v>
      </c>
      <c r="E908">
        <v>105.96</v>
      </c>
      <c r="F908">
        <v>1817.4027799999999</v>
      </c>
      <c r="G908">
        <v>0</v>
      </c>
      <c r="L908" t="s">
        <v>7</v>
      </c>
      <c r="M908" t="s">
        <v>7</v>
      </c>
      <c r="N908" t="s">
        <v>7</v>
      </c>
      <c r="P908">
        <f t="shared" si="993"/>
        <v>6.2656641604006538E-2</v>
      </c>
      <c r="Q908">
        <f t="shared" si="994"/>
        <v>113.87235463658513</v>
      </c>
      <c r="R908">
        <f t="shared" si="995"/>
        <v>71808.89418813042</v>
      </c>
      <c r="S908">
        <f t="shared" si="996"/>
        <v>0.71808894188130423</v>
      </c>
      <c r="T908">
        <f t="shared" si="997"/>
        <v>7.1808894188130426E-4</v>
      </c>
    </row>
    <row r="909" spans="1:20" x14ac:dyDescent="0.25">
      <c r="A909" s="5">
        <v>43684</v>
      </c>
      <c r="B909">
        <v>106.53</v>
      </c>
      <c r="C909">
        <v>110.82</v>
      </c>
      <c r="D909">
        <v>105.57</v>
      </c>
      <c r="E909">
        <v>107.38</v>
      </c>
      <c r="F909">
        <v>3475.93505</v>
      </c>
      <c r="G909">
        <v>0</v>
      </c>
      <c r="L909" t="s">
        <v>7</v>
      </c>
      <c r="M909" t="s">
        <v>7</v>
      </c>
      <c r="N909" t="s">
        <v>7</v>
      </c>
      <c r="P909">
        <f t="shared" si="993"/>
        <v>-0.31047619047618963</v>
      </c>
      <c r="Q909">
        <f t="shared" si="994"/>
        <v>-1079.1950726666637</v>
      </c>
      <c r="R909">
        <f t="shared" si="995"/>
        <v>71695.02183349384</v>
      </c>
      <c r="S909">
        <f t="shared" si="996"/>
        <v>0.71695021833493844</v>
      </c>
      <c r="T909">
        <f t="shared" si="997"/>
        <v>7.169502183349384E-4</v>
      </c>
    </row>
    <row r="910" spans="1:20" x14ac:dyDescent="0.25">
      <c r="A910" s="5">
        <v>43683</v>
      </c>
      <c r="B910">
        <v>110.11</v>
      </c>
      <c r="C910">
        <v>111.58</v>
      </c>
      <c r="D910">
        <v>103.94</v>
      </c>
      <c r="E910">
        <v>106.58</v>
      </c>
      <c r="F910">
        <v>5539.98225</v>
      </c>
      <c r="G910">
        <v>0</v>
      </c>
      <c r="L910" t="s">
        <v>7</v>
      </c>
      <c r="M910" t="s">
        <v>7</v>
      </c>
      <c r="N910" t="s">
        <v>7</v>
      </c>
      <c r="P910">
        <f t="shared" si="993"/>
        <v>-0.30890052356020931</v>
      </c>
      <c r="Q910">
        <f t="shared" si="994"/>
        <v>-1711.3034175392663</v>
      </c>
      <c r="R910">
        <f t="shared" si="995"/>
        <v>72774.216906160509</v>
      </c>
      <c r="S910">
        <f t="shared" si="996"/>
        <v>0.72774216906160505</v>
      </c>
      <c r="T910">
        <f t="shared" si="997"/>
        <v>7.2774216906160507E-4</v>
      </c>
    </row>
    <row r="911" spans="1:20" x14ac:dyDescent="0.25">
      <c r="A911" s="5">
        <v>43682</v>
      </c>
      <c r="B911">
        <v>106.1</v>
      </c>
      <c r="C911">
        <v>112.65</v>
      </c>
      <c r="D911">
        <v>106.1</v>
      </c>
      <c r="E911">
        <v>110.28</v>
      </c>
      <c r="F911">
        <v>5050.8191100000004</v>
      </c>
      <c r="G911">
        <v>0</v>
      </c>
      <c r="L911" t="s">
        <v>8</v>
      </c>
      <c r="M911" t="s">
        <v>7</v>
      </c>
      <c r="N911" t="s">
        <v>7</v>
      </c>
      <c r="P911">
        <f t="shared" si="993"/>
        <v>0.27633587786259528</v>
      </c>
      <c r="Q911">
        <f t="shared" si="994"/>
        <v>1395.7225326870223</v>
      </c>
      <c r="R911">
        <f t="shared" si="995"/>
        <v>74485.520323699777</v>
      </c>
      <c r="S911">
        <f t="shared" si="996"/>
        <v>0.74485520323699772</v>
      </c>
      <c r="T911">
        <f t="shared" si="997"/>
        <v>7.4485520323699776E-4</v>
      </c>
    </row>
    <row r="912" spans="1:20" x14ac:dyDescent="0.25">
      <c r="A912" s="5">
        <v>43681</v>
      </c>
      <c r="B912">
        <v>106.55</v>
      </c>
      <c r="C912">
        <v>107.32</v>
      </c>
      <c r="D912">
        <v>102.89</v>
      </c>
      <c r="E912">
        <v>106.1</v>
      </c>
      <c r="F912">
        <v>2818.19994</v>
      </c>
      <c r="G912">
        <v>0</v>
      </c>
      <c r="L912" t="s">
        <v>7</v>
      </c>
      <c r="M912" t="s">
        <v>7</v>
      </c>
      <c r="N912" t="s">
        <v>7</v>
      </c>
      <c r="P912">
        <f t="shared" si="993"/>
        <v>0.4492099322799093</v>
      </c>
      <c r="Q912">
        <f t="shared" si="994"/>
        <v>1265.9634041986444</v>
      </c>
      <c r="R912">
        <f t="shared" si="995"/>
        <v>73089.797791012752</v>
      </c>
      <c r="S912">
        <f t="shared" si="996"/>
        <v>0.73089797791012756</v>
      </c>
      <c r="T912">
        <f t="shared" si="997"/>
        <v>7.3089797791012754E-4</v>
      </c>
    </row>
    <row r="913" spans="1:20" x14ac:dyDescent="0.25">
      <c r="A913" s="5">
        <v>43680</v>
      </c>
      <c r="B913">
        <v>104.89</v>
      </c>
      <c r="C913">
        <v>108.05</v>
      </c>
      <c r="D913">
        <v>104.89</v>
      </c>
      <c r="E913">
        <v>106.58</v>
      </c>
      <c r="F913">
        <v>2813.24026</v>
      </c>
      <c r="G913">
        <v>0</v>
      </c>
      <c r="L913" t="s">
        <v>8</v>
      </c>
      <c r="M913" t="s">
        <v>7</v>
      </c>
      <c r="N913" t="s">
        <v>7</v>
      </c>
      <c r="P913">
        <f t="shared" si="993"/>
        <v>6.9620253164556681E-2</v>
      </c>
      <c r="Q913">
        <f t="shared" si="994"/>
        <v>195.85849911392327</v>
      </c>
      <c r="R913">
        <f t="shared" si="995"/>
        <v>71823.834386814109</v>
      </c>
      <c r="S913">
        <f t="shared" si="996"/>
        <v>0.71823834386814112</v>
      </c>
      <c r="T913">
        <f t="shared" si="997"/>
        <v>7.1823834386814116E-4</v>
      </c>
    </row>
    <row r="914" spans="1:20" x14ac:dyDescent="0.25">
      <c r="A914" s="5">
        <v>43679</v>
      </c>
      <c r="B914">
        <v>106.57</v>
      </c>
      <c r="C914">
        <v>109.24</v>
      </c>
      <c r="D914">
        <v>103.97</v>
      </c>
      <c r="E914">
        <v>104.83</v>
      </c>
      <c r="F914">
        <v>3768.5476600000002</v>
      </c>
      <c r="G914">
        <v>0</v>
      </c>
      <c r="L914" t="s">
        <v>8</v>
      </c>
      <c r="M914" t="s">
        <v>7</v>
      </c>
      <c r="N914" t="s">
        <v>7</v>
      </c>
      <c r="P914">
        <f t="shared" si="993"/>
        <v>-0.6736242884250474</v>
      </c>
      <c r="Q914">
        <f t="shared" si="994"/>
        <v>-2538.5852358633774</v>
      </c>
      <c r="R914">
        <f t="shared" si="995"/>
        <v>71627.975887700188</v>
      </c>
      <c r="S914">
        <f t="shared" si="996"/>
        <v>0.7162797588770019</v>
      </c>
      <c r="T914">
        <f t="shared" si="997"/>
        <v>7.1627975887700193E-4</v>
      </c>
    </row>
    <row r="915" spans="1:20" x14ac:dyDescent="0.25">
      <c r="A915" s="5">
        <v>43678</v>
      </c>
      <c r="B915">
        <v>108.76</v>
      </c>
      <c r="C915">
        <v>109.05</v>
      </c>
      <c r="D915">
        <v>104.72</v>
      </c>
      <c r="E915">
        <v>106.54</v>
      </c>
      <c r="F915">
        <v>2552.71605</v>
      </c>
      <c r="G915">
        <v>0</v>
      </c>
      <c r="L915" t="s">
        <v>8</v>
      </c>
      <c r="M915" t="s">
        <v>7</v>
      </c>
      <c r="N915" t="s">
        <v>7</v>
      </c>
      <c r="P915">
        <f t="shared" si="993"/>
        <v>-0.1593533487297884</v>
      </c>
      <c r="Q915">
        <f t="shared" si="994"/>
        <v>-406.78385092377795</v>
      </c>
      <c r="R915">
        <f t="shared" si="995"/>
        <v>74166.561123563559</v>
      </c>
      <c r="S915">
        <f t="shared" si="996"/>
        <v>0.74166561123563557</v>
      </c>
      <c r="T915">
        <f t="shared" si="997"/>
        <v>7.4166561123563553E-4</v>
      </c>
    </row>
    <row r="916" spans="1:20" x14ac:dyDescent="0.25">
      <c r="A916" s="5">
        <v>43677</v>
      </c>
      <c r="B916">
        <v>104.85</v>
      </c>
      <c r="C916">
        <v>108.88</v>
      </c>
      <c r="D916">
        <v>103.5</v>
      </c>
      <c r="E916">
        <v>108.67</v>
      </c>
      <c r="F916">
        <v>4724.7483300000004</v>
      </c>
      <c r="G916">
        <v>0</v>
      </c>
      <c r="L916" t="s">
        <v>8</v>
      </c>
      <c r="M916" t="s">
        <v>7</v>
      </c>
      <c r="N916" t="s">
        <v>7</v>
      </c>
      <c r="P916">
        <f t="shared" si="993"/>
        <v>0.92193308550186104</v>
      </c>
      <c r="Q916">
        <f t="shared" si="994"/>
        <v>4355.9018060966655</v>
      </c>
      <c r="R916">
        <f t="shared" si="995"/>
        <v>74573.344974487336</v>
      </c>
      <c r="S916">
        <f t="shared" si="996"/>
        <v>0.74573344974487332</v>
      </c>
      <c r="T916">
        <f t="shared" si="997"/>
        <v>7.4573344974487334E-4</v>
      </c>
    </row>
    <row r="917" spans="1:20" x14ac:dyDescent="0.25">
      <c r="A917" s="5">
        <v>43676</v>
      </c>
      <c r="B917">
        <v>105.57</v>
      </c>
      <c r="C917">
        <v>107.74</v>
      </c>
      <c r="D917">
        <v>103.86</v>
      </c>
      <c r="E917">
        <v>104.83</v>
      </c>
      <c r="F917">
        <v>2843.07719</v>
      </c>
      <c r="G917">
        <v>0</v>
      </c>
      <c r="L917" t="s">
        <v>8</v>
      </c>
      <c r="M917" t="s">
        <v>7</v>
      </c>
      <c r="N917" t="s">
        <v>7</v>
      </c>
      <c r="P917">
        <f t="shared" si="993"/>
        <v>-0.5</v>
      </c>
      <c r="Q917">
        <f t="shared" si="994"/>
        <v>-1421.538595</v>
      </c>
      <c r="R917">
        <f t="shared" si="995"/>
        <v>70217.443168390673</v>
      </c>
      <c r="S917">
        <f t="shared" si="996"/>
        <v>0.7021744316839067</v>
      </c>
      <c r="T917">
        <f t="shared" si="997"/>
        <v>7.0217443168390668E-4</v>
      </c>
    </row>
    <row r="918" spans="1:20" x14ac:dyDescent="0.25">
      <c r="A918" s="5">
        <v>43675</v>
      </c>
      <c r="B918">
        <v>107.95</v>
      </c>
      <c r="C918">
        <v>109.63</v>
      </c>
      <c r="D918">
        <v>104.26</v>
      </c>
      <c r="E918">
        <v>105.78</v>
      </c>
      <c r="F918">
        <v>3695.0483399999998</v>
      </c>
      <c r="G918">
        <v>0</v>
      </c>
      <c r="L918" t="s">
        <v>8</v>
      </c>
      <c r="M918" t="s">
        <v>7</v>
      </c>
      <c r="N918" t="s">
        <v>7</v>
      </c>
      <c r="P918">
        <f t="shared" si="993"/>
        <v>-0.43389199255121091</v>
      </c>
      <c r="Q918">
        <f t="shared" si="994"/>
        <v>-1603.2518868156442</v>
      </c>
      <c r="R918">
        <f t="shared" si="995"/>
        <v>71638.981763390679</v>
      </c>
      <c r="S918">
        <f t="shared" si="996"/>
        <v>0.71638981763390674</v>
      </c>
      <c r="T918">
        <f t="shared" si="997"/>
        <v>7.1638981763390676E-4</v>
      </c>
    </row>
    <row r="919" spans="1:20" x14ac:dyDescent="0.25">
      <c r="A919" s="5">
        <v>43674</v>
      </c>
      <c r="B919">
        <v>110.48</v>
      </c>
      <c r="C919">
        <v>112.14</v>
      </c>
      <c r="D919">
        <v>102.76</v>
      </c>
      <c r="E919">
        <v>107.86</v>
      </c>
      <c r="F919">
        <v>2386.5061999999998</v>
      </c>
      <c r="G919">
        <v>0</v>
      </c>
      <c r="L919" t="s">
        <v>7</v>
      </c>
      <c r="M919" t="s">
        <v>7</v>
      </c>
      <c r="N919" t="s">
        <v>7</v>
      </c>
      <c r="P919">
        <f t="shared" si="993"/>
        <v>8.7420042643922558E-2</v>
      </c>
      <c r="Q919">
        <f t="shared" si="994"/>
        <v>208.62847377398555</v>
      </c>
      <c r="R919">
        <f t="shared" si="995"/>
        <v>73242.233650206326</v>
      </c>
      <c r="S919">
        <f t="shared" si="996"/>
        <v>0.73242233650206323</v>
      </c>
      <c r="T919">
        <f t="shared" si="997"/>
        <v>7.3242233650206324E-4</v>
      </c>
    </row>
    <row r="920" spans="1:20" x14ac:dyDescent="0.25">
      <c r="A920" s="5">
        <v>43673</v>
      </c>
      <c r="B920">
        <v>114.52</v>
      </c>
      <c r="C920">
        <v>116.72</v>
      </c>
      <c r="D920">
        <v>108.57</v>
      </c>
      <c r="E920">
        <v>110.75</v>
      </c>
      <c r="F920">
        <v>2887.3568700000001</v>
      </c>
      <c r="G920">
        <v>0</v>
      </c>
      <c r="L920" t="s">
        <v>7</v>
      </c>
      <c r="M920" t="s">
        <v>8</v>
      </c>
      <c r="N920" t="s">
        <v>7</v>
      </c>
      <c r="P920">
        <f t="shared" si="993"/>
        <v>-0.46503067484662447</v>
      </c>
      <c r="Q920">
        <f t="shared" si="994"/>
        <v>-1342.7095137791373</v>
      </c>
      <c r="R920">
        <f t="shared" si="995"/>
        <v>73033.605176432335</v>
      </c>
      <c r="S920">
        <f t="shared" si="996"/>
        <v>0.73033605176432337</v>
      </c>
      <c r="T920">
        <f t="shared" si="997"/>
        <v>7.3033605176432335E-4</v>
      </c>
    </row>
    <row r="921" spans="1:20" x14ac:dyDescent="0.25">
      <c r="A921" s="5">
        <v>43672</v>
      </c>
      <c r="B921">
        <v>114.82</v>
      </c>
      <c r="C921">
        <v>115.48</v>
      </c>
      <c r="D921">
        <v>111.74</v>
      </c>
      <c r="E921">
        <v>115.13</v>
      </c>
      <c r="F921">
        <v>2707.09692</v>
      </c>
      <c r="G921">
        <v>0</v>
      </c>
      <c r="L921" t="s">
        <v>8</v>
      </c>
      <c r="M921" t="s">
        <v>8</v>
      </c>
      <c r="N921" t="s">
        <v>7</v>
      </c>
      <c r="P921">
        <f t="shared" si="993"/>
        <v>0.8128342245989264</v>
      </c>
      <c r="Q921">
        <f t="shared" si="994"/>
        <v>2200.4210258823418</v>
      </c>
      <c r="R921">
        <f t="shared" si="995"/>
        <v>74376.314690211468</v>
      </c>
      <c r="S921">
        <f t="shared" si="996"/>
        <v>0.74376314690211465</v>
      </c>
      <c r="T921">
        <f t="shared" si="997"/>
        <v>7.4376314690211465E-4</v>
      </c>
    </row>
    <row r="922" spans="1:20" x14ac:dyDescent="0.25">
      <c r="A922" s="5">
        <v>43671</v>
      </c>
      <c r="B922">
        <v>109.38</v>
      </c>
      <c r="C922">
        <v>116.16</v>
      </c>
      <c r="D922">
        <v>108.99</v>
      </c>
      <c r="E922">
        <v>114.65</v>
      </c>
      <c r="F922">
        <v>4319.9602999999997</v>
      </c>
      <c r="G922">
        <v>0</v>
      </c>
      <c r="L922" t="s">
        <v>8</v>
      </c>
      <c r="M922" t="s">
        <v>8</v>
      </c>
      <c r="N922" t="s">
        <v>7</v>
      </c>
      <c r="P922">
        <f t="shared" si="993"/>
        <v>0.57880055788005846</v>
      </c>
      <c r="Q922">
        <f t="shared" si="994"/>
        <v>2500.3954316597046</v>
      </c>
      <c r="R922">
        <f t="shared" si="995"/>
        <v>72175.893664329124</v>
      </c>
      <c r="S922">
        <f t="shared" si="996"/>
        <v>0.72175893664329127</v>
      </c>
      <c r="T922">
        <f t="shared" si="997"/>
        <v>7.2175893664329122E-4</v>
      </c>
    </row>
    <row r="923" spans="1:20" x14ac:dyDescent="0.25">
      <c r="A923" s="5">
        <v>43670</v>
      </c>
      <c r="B923">
        <v>109.21</v>
      </c>
      <c r="C923">
        <v>111.44</v>
      </c>
      <c r="D923">
        <v>106.82</v>
      </c>
      <c r="E923">
        <v>109.82</v>
      </c>
      <c r="F923">
        <v>2466.9633800000001</v>
      </c>
      <c r="G923">
        <v>0</v>
      </c>
      <c r="L923" t="s">
        <v>7</v>
      </c>
      <c r="M923" t="s">
        <v>8</v>
      </c>
      <c r="N923" t="s">
        <v>7</v>
      </c>
      <c r="P923">
        <f t="shared" si="993"/>
        <v>0.29870129870129741</v>
      </c>
      <c r="Q923">
        <f t="shared" si="994"/>
        <v>736.88516545454229</v>
      </c>
      <c r="R923">
        <f t="shared" si="995"/>
        <v>69675.498232669415</v>
      </c>
      <c r="S923">
        <f t="shared" si="996"/>
        <v>0.69675498232669419</v>
      </c>
      <c r="T923">
        <f t="shared" si="997"/>
        <v>6.9675498232669422E-4</v>
      </c>
    </row>
    <row r="924" spans="1:20" x14ac:dyDescent="0.25">
      <c r="A924" s="5">
        <v>43669</v>
      </c>
      <c r="B924">
        <v>114.37</v>
      </c>
      <c r="C924">
        <v>114.7</v>
      </c>
      <c r="D924">
        <v>108.83</v>
      </c>
      <c r="E924">
        <v>109.1</v>
      </c>
      <c r="F924">
        <v>3679.0374099999999</v>
      </c>
      <c r="G924">
        <v>0</v>
      </c>
      <c r="L924" t="s">
        <v>7</v>
      </c>
      <c r="M924" t="s">
        <v>8</v>
      </c>
      <c r="N924" t="s">
        <v>7</v>
      </c>
      <c r="P924">
        <f t="shared" si="993"/>
        <v>-0.90800681431005248</v>
      </c>
      <c r="Q924">
        <f t="shared" si="994"/>
        <v>-3340.5910383816063</v>
      </c>
      <c r="R924">
        <f t="shared" si="995"/>
        <v>68938.613067214872</v>
      </c>
      <c r="S924">
        <f t="shared" si="996"/>
        <v>0.68938613067214871</v>
      </c>
      <c r="T924">
        <f t="shared" si="997"/>
        <v>6.8938613067214872E-4</v>
      </c>
    </row>
    <row r="925" spans="1:20" x14ac:dyDescent="0.25">
      <c r="A925" s="5">
        <v>43668</v>
      </c>
      <c r="B925">
        <v>118.65</v>
      </c>
      <c r="C925">
        <v>119.32</v>
      </c>
      <c r="D925">
        <v>112.2</v>
      </c>
      <c r="E925">
        <v>114.59</v>
      </c>
      <c r="F925">
        <v>3839.3330000000001</v>
      </c>
      <c r="G925">
        <v>0</v>
      </c>
      <c r="L925" t="s">
        <v>8</v>
      </c>
      <c r="M925" t="s">
        <v>8</v>
      </c>
      <c r="N925" t="s">
        <v>7</v>
      </c>
      <c r="P925">
        <f t="shared" si="993"/>
        <v>-0.32865168539325734</v>
      </c>
      <c r="Q925">
        <f t="shared" si="994"/>
        <v>-1261.8032612359509</v>
      </c>
      <c r="R925">
        <f t="shared" si="995"/>
        <v>72279.20410559648</v>
      </c>
      <c r="S925">
        <f t="shared" si="996"/>
        <v>0.72279204105596484</v>
      </c>
      <c r="T925">
        <f t="shared" si="997"/>
        <v>7.2279204105596482E-4</v>
      </c>
    </row>
    <row r="926" spans="1:20" x14ac:dyDescent="0.25">
      <c r="A926" s="5">
        <v>43667</v>
      </c>
      <c r="B926">
        <v>116.1</v>
      </c>
      <c r="C926">
        <v>119.25</v>
      </c>
      <c r="D926">
        <v>115.55</v>
      </c>
      <c r="E926">
        <v>118.32</v>
      </c>
      <c r="F926">
        <v>2571.4545499999999</v>
      </c>
      <c r="G926">
        <v>0</v>
      </c>
      <c r="L926" t="s">
        <v>8</v>
      </c>
      <c r="M926" t="s">
        <v>8</v>
      </c>
      <c r="N926" t="s">
        <v>7</v>
      </c>
      <c r="P926">
        <f t="shared" si="993"/>
        <v>0.49729729729729399</v>
      </c>
      <c r="Q926">
        <f t="shared" si="994"/>
        <v>1278.7773978378293</v>
      </c>
      <c r="R926">
        <f t="shared" si="995"/>
        <v>73541.007366832433</v>
      </c>
      <c r="S926">
        <f t="shared" si="996"/>
        <v>0.73541007366832434</v>
      </c>
      <c r="T926">
        <f t="shared" si="997"/>
        <v>7.354100736683243E-4</v>
      </c>
    </row>
    <row r="927" spans="1:20" x14ac:dyDescent="0.25">
      <c r="A927" s="5">
        <v>43666</v>
      </c>
      <c r="B927">
        <v>112.38</v>
      </c>
      <c r="C927">
        <v>120.31</v>
      </c>
      <c r="D927">
        <v>112.24</v>
      </c>
      <c r="E927">
        <v>116.19</v>
      </c>
      <c r="F927">
        <v>4421.8172800000002</v>
      </c>
      <c r="G927">
        <v>0</v>
      </c>
      <c r="L927" t="s">
        <v>8</v>
      </c>
      <c r="M927" t="s">
        <v>8</v>
      </c>
      <c r="N927" t="s">
        <v>7</v>
      </c>
      <c r="P927">
        <f t="shared" si="993"/>
        <v>-2.1065675340768468E-2</v>
      </c>
      <c r="Q927">
        <f t="shared" si="994"/>
        <v>-93.148567236679909</v>
      </c>
      <c r="R927">
        <f t="shared" si="995"/>
        <v>72262.229968994608</v>
      </c>
      <c r="S927">
        <f t="shared" si="996"/>
        <v>0.72262229968994607</v>
      </c>
      <c r="T927">
        <f t="shared" si="997"/>
        <v>7.2262229968994606E-4</v>
      </c>
    </row>
    <row r="928" spans="1:20" x14ac:dyDescent="0.25">
      <c r="A928" s="5">
        <v>43665</v>
      </c>
      <c r="B928">
        <v>110.02</v>
      </c>
      <c r="C928">
        <v>113.7</v>
      </c>
      <c r="D928">
        <v>106.52</v>
      </c>
      <c r="E928">
        <v>112.35</v>
      </c>
      <c r="F928">
        <v>5475.2122900000004</v>
      </c>
      <c r="G928">
        <v>0</v>
      </c>
      <c r="L928" t="s">
        <v>8</v>
      </c>
      <c r="M928" t="s">
        <v>8</v>
      </c>
      <c r="N928" t="s">
        <v>7</v>
      </c>
      <c r="P928">
        <f t="shared" si="993"/>
        <v>0.62395543175487267</v>
      </c>
      <c r="Q928">
        <f t="shared" si="994"/>
        <v>3416.2884483565354</v>
      </c>
      <c r="R928">
        <f t="shared" si="995"/>
        <v>72355.378536231292</v>
      </c>
      <c r="S928">
        <f t="shared" si="996"/>
        <v>0.72355378536231296</v>
      </c>
      <c r="T928">
        <f t="shared" si="997"/>
        <v>7.2355378536231299E-4</v>
      </c>
    </row>
    <row r="929" spans="1:20" x14ac:dyDescent="0.25">
      <c r="A929" s="5">
        <v>43664</v>
      </c>
      <c r="B929">
        <v>102.13</v>
      </c>
      <c r="C929">
        <v>111.79</v>
      </c>
      <c r="D929">
        <v>99.04</v>
      </c>
      <c r="E929">
        <v>109.98</v>
      </c>
      <c r="F929">
        <v>11844.013999999999</v>
      </c>
      <c r="G929">
        <v>0</v>
      </c>
      <c r="L929" t="s">
        <v>8</v>
      </c>
      <c r="M929" t="s">
        <v>7</v>
      </c>
      <c r="N929" t="s">
        <v>7</v>
      </c>
      <c r="P929">
        <f t="shared" si="993"/>
        <v>0.71607843137254867</v>
      </c>
      <c r="Q929">
        <f t="shared" si="994"/>
        <v>8481.2429662745053</v>
      </c>
      <c r="R929">
        <f t="shared" si="995"/>
        <v>68939.090087874763</v>
      </c>
      <c r="S929">
        <f t="shared" si="996"/>
        <v>0.68939090087874766</v>
      </c>
      <c r="T929">
        <f t="shared" si="997"/>
        <v>6.893909008787477E-4</v>
      </c>
    </row>
    <row r="930" spans="1:20" x14ac:dyDescent="0.25">
      <c r="A930" s="5">
        <v>43663</v>
      </c>
      <c r="B930">
        <v>100.04</v>
      </c>
      <c r="C930">
        <v>107.29</v>
      </c>
      <c r="D930">
        <v>95.3</v>
      </c>
      <c r="E930">
        <v>102.26</v>
      </c>
      <c r="F930">
        <v>9741.4042499999996</v>
      </c>
      <c r="G930">
        <v>0</v>
      </c>
      <c r="L930" t="s">
        <v>7</v>
      </c>
      <c r="M930" t="s">
        <v>7</v>
      </c>
      <c r="N930" t="s">
        <v>7</v>
      </c>
      <c r="P930">
        <f t="shared" si="993"/>
        <v>0.16096747289407884</v>
      </c>
      <c r="Q930">
        <f t="shared" si="994"/>
        <v>1568.0492245621394</v>
      </c>
      <c r="R930">
        <f t="shared" si="995"/>
        <v>60457.847121600258</v>
      </c>
      <c r="S930">
        <f t="shared" si="996"/>
        <v>0.60457847121600261</v>
      </c>
      <c r="T930">
        <f t="shared" si="997"/>
        <v>6.0457847121600256E-4</v>
      </c>
    </row>
    <row r="931" spans="1:20" x14ac:dyDescent="0.25">
      <c r="A931" s="5">
        <v>43662</v>
      </c>
      <c r="B931">
        <v>120.65</v>
      </c>
      <c r="C931">
        <v>123.92</v>
      </c>
      <c r="D931">
        <v>98.62</v>
      </c>
      <c r="E931">
        <v>99.62</v>
      </c>
      <c r="F931">
        <v>8900.9370299999991</v>
      </c>
      <c r="G931">
        <v>0</v>
      </c>
      <c r="L931" t="s">
        <v>7</v>
      </c>
      <c r="M931" t="s">
        <v>7</v>
      </c>
      <c r="N931" t="s">
        <v>7</v>
      </c>
      <c r="P931">
        <f t="shared" si="993"/>
        <v>-0.92094861660079053</v>
      </c>
      <c r="Q931">
        <f t="shared" si="994"/>
        <v>-8197.3056442292491</v>
      </c>
      <c r="R931">
        <f t="shared" si="995"/>
        <v>58889.797897038115</v>
      </c>
      <c r="S931">
        <f t="shared" si="996"/>
        <v>0.58889797897038121</v>
      </c>
      <c r="T931">
        <f t="shared" si="997"/>
        <v>5.8889797897038122E-4</v>
      </c>
    </row>
    <row r="932" spans="1:20" x14ac:dyDescent="0.25">
      <c r="A932" s="5">
        <v>43661</v>
      </c>
      <c r="B932">
        <v>122.64</v>
      </c>
      <c r="C932">
        <v>124.74</v>
      </c>
      <c r="D932">
        <v>116.91</v>
      </c>
      <c r="E932">
        <v>120.92</v>
      </c>
      <c r="F932">
        <v>5634.4275799999996</v>
      </c>
      <c r="G932">
        <v>0</v>
      </c>
      <c r="L932" t="s">
        <v>7</v>
      </c>
      <c r="M932" t="s">
        <v>7</v>
      </c>
      <c r="N932" t="s">
        <v>7</v>
      </c>
      <c r="P932">
        <f t="shared" si="993"/>
        <v>2.4265644955301657E-2</v>
      </c>
      <c r="Q932">
        <f t="shared" si="994"/>
        <v>136.72301918263952</v>
      </c>
      <c r="R932">
        <f t="shared" si="995"/>
        <v>67087.103541267366</v>
      </c>
      <c r="S932">
        <f t="shared" si="996"/>
        <v>0.67087103541267368</v>
      </c>
      <c r="T932">
        <f t="shared" si="997"/>
        <v>6.7087103541267363E-4</v>
      </c>
    </row>
    <row r="933" spans="1:20" x14ac:dyDescent="0.25">
      <c r="A933" s="5">
        <v>43660</v>
      </c>
      <c r="B933">
        <v>140.41</v>
      </c>
      <c r="C933">
        <v>140.97999999999999</v>
      </c>
      <c r="D933">
        <v>122.11</v>
      </c>
      <c r="E933">
        <v>123.01</v>
      </c>
      <c r="F933">
        <v>4077.87356</v>
      </c>
      <c r="G933">
        <v>0</v>
      </c>
      <c r="L933" t="s">
        <v>7</v>
      </c>
      <c r="M933" t="s">
        <v>7</v>
      </c>
      <c r="N933" t="s">
        <v>7</v>
      </c>
      <c r="P933">
        <f t="shared" si="993"/>
        <v>-0.90461049284578632</v>
      </c>
      <c r="Q933">
        <f t="shared" si="994"/>
        <v>-3688.8872108744013</v>
      </c>
      <c r="R933">
        <f t="shared" si="995"/>
        <v>66950.380522084728</v>
      </c>
      <c r="S933">
        <f t="shared" si="996"/>
        <v>0.66950380522084729</v>
      </c>
      <c r="T933">
        <f t="shared" si="997"/>
        <v>6.6950380522084725E-4</v>
      </c>
    </row>
    <row r="934" spans="1:20" x14ac:dyDescent="0.25">
      <c r="A934" s="5">
        <v>43659</v>
      </c>
      <c r="B934">
        <v>143</v>
      </c>
      <c r="C934">
        <v>143.99</v>
      </c>
      <c r="D934">
        <v>136.72999999999999</v>
      </c>
      <c r="E934">
        <v>140.56</v>
      </c>
      <c r="F934">
        <v>4405.2416300000004</v>
      </c>
      <c r="G934">
        <v>0</v>
      </c>
      <c r="L934" t="s">
        <v>7</v>
      </c>
      <c r="M934" t="s">
        <v>7</v>
      </c>
      <c r="N934" t="s">
        <v>7</v>
      </c>
      <c r="P934">
        <f t="shared" si="993"/>
        <v>5.5096418732783002E-2</v>
      </c>
      <c r="Q934">
        <f t="shared" si="994"/>
        <v>242.71303746556754</v>
      </c>
      <c r="R934">
        <f t="shared" si="995"/>
        <v>70639.267732959124</v>
      </c>
      <c r="S934">
        <f t="shared" si="996"/>
        <v>0.70639267732959121</v>
      </c>
      <c r="T934">
        <f t="shared" si="997"/>
        <v>7.063926773295912E-4</v>
      </c>
    </row>
    <row r="935" spans="1:20" x14ac:dyDescent="0.25">
      <c r="A935" s="5">
        <v>43658</v>
      </c>
      <c r="B935">
        <v>143.36000000000001</v>
      </c>
      <c r="C935">
        <v>148.72</v>
      </c>
      <c r="D935">
        <v>141.16</v>
      </c>
      <c r="E935">
        <v>143.01</v>
      </c>
      <c r="F935">
        <v>3444.1922300000001</v>
      </c>
      <c r="G935">
        <v>0</v>
      </c>
      <c r="L935" t="s">
        <v>8</v>
      </c>
      <c r="M935" t="s">
        <v>7</v>
      </c>
      <c r="N935" t="s">
        <v>7</v>
      </c>
      <c r="P935">
        <f t="shared" si="993"/>
        <v>-0.51058201058201225</v>
      </c>
      <c r="Q935">
        <f t="shared" si="994"/>
        <v>-1758.5425936243444</v>
      </c>
      <c r="R935">
        <f t="shared" si="995"/>
        <v>70396.554695493556</v>
      </c>
      <c r="S935">
        <f t="shared" si="996"/>
        <v>0.70396554695493552</v>
      </c>
      <c r="T935">
        <f t="shared" si="997"/>
        <v>7.0396554695493553E-4</v>
      </c>
    </row>
    <row r="936" spans="1:20" x14ac:dyDescent="0.25">
      <c r="A936" s="5">
        <v>43657</v>
      </c>
      <c r="B936">
        <v>150.62</v>
      </c>
      <c r="C936">
        <v>150.86000000000001</v>
      </c>
      <c r="D936">
        <v>135.46</v>
      </c>
      <c r="E936">
        <v>143.41999999999999</v>
      </c>
      <c r="F936">
        <v>4280.2282699999996</v>
      </c>
      <c r="G936">
        <v>0</v>
      </c>
      <c r="L936" t="s">
        <v>7</v>
      </c>
      <c r="M936" t="s">
        <v>7</v>
      </c>
      <c r="N936" t="s">
        <v>7</v>
      </c>
      <c r="P936">
        <f t="shared" si="993"/>
        <v>3.3766233766230724E-2</v>
      </c>
      <c r="Q936">
        <f t="shared" si="994"/>
        <v>144.52718833764931</v>
      </c>
      <c r="R936">
        <f t="shared" si="995"/>
        <v>72155.097289117897</v>
      </c>
      <c r="S936">
        <f t="shared" si="996"/>
        <v>0.72155097289117898</v>
      </c>
      <c r="T936">
        <f t="shared" si="997"/>
        <v>7.2155097289117902E-4</v>
      </c>
    </row>
    <row r="937" spans="1:20" x14ac:dyDescent="0.25">
      <c r="A937" s="5">
        <v>43656</v>
      </c>
      <c r="B937">
        <v>156.46</v>
      </c>
      <c r="C937">
        <v>157.78</v>
      </c>
      <c r="D937">
        <v>142.88</v>
      </c>
      <c r="E937">
        <v>150.66</v>
      </c>
      <c r="F937">
        <v>3880.0951700000001</v>
      </c>
      <c r="G937">
        <v>0</v>
      </c>
      <c r="L937" t="s">
        <v>7</v>
      </c>
      <c r="M937" t="s">
        <v>7</v>
      </c>
      <c r="N937" t="s">
        <v>8</v>
      </c>
      <c r="P937">
        <f t="shared" si="993"/>
        <v>4.429530201342257E-2</v>
      </c>
      <c r="Q937">
        <f t="shared" si="994"/>
        <v>171.8699873959722</v>
      </c>
      <c r="R937">
        <f t="shared" si="995"/>
        <v>72010.570100780242</v>
      </c>
      <c r="S937">
        <f t="shared" si="996"/>
        <v>0.72010570100780247</v>
      </c>
      <c r="T937">
        <f t="shared" si="997"/>
        <v>7.2010570100780244E-4</v>
      </c>
    </row>
    <row r="938" spans="1:20" x14ac:dyDescent="0.25">
      <c r="A938" s="5">
        <v>43655</v>
      </c>
      <c r="B938">
        <v>159.33000000000001</v>
      </c>
      <c r="C938">
        <v>162.31</v>
      </c>
      <c r="D938">
        <v>152.56</v>
      </c>
      <c r="E938">
        <v>156</v>
      </c>
      <c r="F938">
        <v>4318.3576999999996</v>
      </c>
      <c r="G938">
        <v>0</v>
      </c>
      <c r="L938" t="s">
        <v>8</v>
      </c>
      <c r="M938" t="s">
        <v>7</v>
      </c>
      <c r="N938" t="s">
        <v>8</v>
      </c>
      <c r="P938">
        <f t="shared" si="993"/>
        <v>-0.29435897435897485</v>
      </c>
      <c r="Q938">
        <f t="shared" si="994"/>
        <v>-1271.1473434871814</v>
      </c>
      <c r="R938">
        <f t="shared" si="995"/>
        <v>71838.700113384271</v>
      </c>
      <c r="S938">
        <f t="shared" si="996"/>
        <v>0.71838700113384268</v>
      </c>
      <c r="T938">
        <f t="shared" si="997"/>
        <v>7.1838700113384271E-4</v>
      </c>
    </row>
    <row r="939" spans="1:20" x14ac:dyDescent="0.25">
      <c r="A939" s="5">
        <v>43654</v>
      </c>
      <c r="B939">
        <v>157.52000000000001</v>
      </c>
      <c r="C939">
        <v>159.62</v>
      </c>
      <c r="D939">
        <v>155.77000000000001</v>
      </c>
      <c r="E939">
        <v>158.78</v>
      </c>
      <c r="F939">
        <v>3817.66417</v>
      </c>
      <c r="G939">
        <v>0</v>
      </c>
      <c r="L939" t="s">
        <v>8</v>
      </c>
      <c r="M939" t="s">
        <v>7</v>
      </c>
      <c r="N939" t="s">
        <v>8</v>
      </c>
      <c r="P939">
        <f t="shared" si="993"/>
        <v>0.56363636363636127</v>
      </c>
      <c r="Q939">
        <f t="shared" si="994"/>
        <v>2151.7743503636275</v>
      </c>
      <c r="R939">
        <f t="shared" si="995"/>
        <v>73109.847456871459</v>
      </c>
      <c r="S939">
        <f t="shared" si="996"/>
        <v>0.73109847456871457</v>
      </c>
      <c r="T939">
        <f t="shared" si="997"/>
        <v>7.3109847456871453E-4</v>
      </c>
    </row>
    <row r="940" spans="1:20" x14ac:dyDescent="0.25">
      <c r="A940" s="5">
        <v>43653</v>
      </c>
      <c r="B940">
        <v>154.41999999999999</v>
      </c>
      <c r="C940">
        <v>158.96</v>
      </c>
      <c r="D940">
        <v>152.69</v>
      </c>
      <c r="E940">
        <v>157.52000000000001</v>
      </c>
      <c r="F940">
        <v>1989.4530099999999</v>
      </c>
      <c r="G940">
        <v>0</v>
      </c>
      <c r="L940" t="s">
        <v>8</v>
      </c>
      <c r="M940" t="s">
        <v>7</v>
      </c>
      <c r="N940" t="s">
        <v>8</v>
      </c>
      <c r="P940">
        <f t="shared" si="993"/>
        <v>0.54066985645933163</v>
      </c>
      <c r="Q940">
        <f t="shared" si="994"/>
        <v>1075.6372733492851</v>
      </c>
      <c r="R940">
        <f t="shared" si="995"/>
        <v>70958.073106507829</v>
      </c>
      <c r="S940">
        <f t="shared" si="996"/>
        <v>0.70958073106507824</v>
      </c>
      <c r="T940">
        <f t="shared" si="997"/>
        <v>7.0958073106507829E-4</v>
      </c>
    </row>
    <row r="941" spans="1:20" x14ac:dyDescent="0.25">
      <c r="A941" s="5">
        <v>43652</v>
      </c>
      <c r="B941">
        <v>154.19999999999999</v>
      </c>
      <c r="C941">
        <v>157.91999999999999</v>
      </c>
      <c r="D941">
        <v>153.16999999999999</v>
      </c>
      <c r="E941">
        <v>154.35</v>
      </c>
      <c r="F941">
        <v>2077.2509700000001</v>
      </c>
      <c r="G941">
        <v>0</v>
      </c>
      <c r="L941" t="s">
        <v>8</v>
      </c>
      <c r="M941" t="s">
        <v>7</v>
      </c>
      <c r="N941" t="s">
        <v>8</v>
      </c>
      <c r="P941">
        <f t="shared" si="993"/>
        <v>-0.50315789473683925</v>
      </c>
      <c r="Q941">
        <f t="shared" si="994"/>
        <v>-1045.1852249052572</v>
      </c>
      <c r="R941">
        <f t="shared" si="995"/>
        <v>69882.435833158539</v>
      </c>
      <c r="S941">
        <f t="shared" si="996"/>
        <v>0.6988243583315854</v>
      </c>
      <c r="T941">
        <f t="shared" si="997"/>
        <v>6.9882435833158545E-4</v>
      </c>
    </row>
    <row r="942" spans="1:20" x14ac:dyDescent="0.25">
      <c r="A942" s="5">
        <v>43651</v>
      </c>
      <c r="B942">
        <v>155.26</v>
      </c>
      <c r="C942">
        <v>155.91</v>
      </c>
      <c r="D942">
        <v>151.35</v>
      </c>
      <c r="E942">
        <v>154.13999999999999</v>
      </c>
      <c r="F942">
        <v>1806.7532799999999</v>
      </c>
      <c r="G942">
        <v>0</v>
      </c>
      <c r="L942" t="s">
        <v>8</v>
      </c>
      <c r="M942" t="s">
        <v>7</v>
      </c>
      <c r="N942" t="s">
        <v>8</v>
      </c>
      <c r="P942">
        <f t="shared" si="993"/>
        <v>0.22368421052631168</v>
      </c>
      <c r="Q942">
        <f t="shared" si="994"/>
        <v>404.14218105262415</v>
      </c>
      <c r="R942">
        <f t="shared" si="995"/>
        <v>70927.6210580638</v>
      </c>
      <c r="S942">
        <f t="shared" si="996"/>
        <v>0.70927621058063794</v>
      </c>
      <c r="T942">
        <f t="shared" si="997"/>
        <v>7.0927621058063789E-4</v>
      </c>
    </row>
    <row r="943" spans="1:20" x14ac:dyDescent="0.25">
      <c r="A943" s="5">
        <v>43650</v>
      </c>
      <c r="B943">
        <v>157.44999999999999</v>
      </c>
      <c r="C943">
        <v>161.88999999999999</v>
      </c>
      <c r="D943">
        <v>153.87</v>
      </c>
      <c r="E943">
        <v>155.26</v>
      </c>
      <c r="F943">
        <v>4095.8843099999999</v>
      </c>
      <c r="G943">
        <v>0</v>
      </c>
      <c r="L943" t="s">
        <v>8</v>
      </c>
      <c r="M943" t="s">
        <v>7</v>
      </c>
      <c r="N943" t="s">
        <v>8</v>
      </c>
      <c r="P943">
        <f t="shared" si="993"/>
        <v>-0.65336658354114974</v>
      </c>
      <c r="Q943">
        <f t="shared" si="994"/>
        <v>-2676.1139382044994</v>
      </c>
      <c r="R943">
        <f t="shared" si="995"/>
        <v>70523.478877011177</v>
      </c>
      <c r="S943">
        <f t="shared" si="996"/>
        <v>0.70523478877011181</v>
      </c>
      <c r="T943">
        <f t="shared" si="997"/>
        <v>7.0523478877011184E-4</v>
      </c>
    </row>
    <row r="944" spans="1:20" x14ac:dyDescent="0.25">
      <c r="A944" s="5">
        <v>43649</v>
      </c>
      <c r="B944">
        <v>152.19</v>
      </c>
      <c r="C944">
        <v>158.05000000000001</v>
      </c>
      <c r="D944">
        <v>152.19</v>
      </c>
      <c r="E944">
        <v>157.80000000000001</v>
      </c>
      <c r="F944">
        <v>3075.4020999999998</v>
      </c>
      <c r="G944">
        <v>0</v>
      </c>
      <c r="L944" t="s">
        <v>8</v>
      </c>
      <c r="M944" t="s">
        <v>7</v>
      </c>
      <c r="N944" t="s">
        <v>8</v>
      </c>
      <c r="P944">
        <f t="shared" si="993"/>
        <v>0.91467576791808891</v>
      </c>
      <c r="Q944">
        <f t="shared" si="994"/>
        <v>2812.995777474403</v>
      </c>
      <c r="R944">
        <f t="shared" si="995"/>
        <v>73199.59281521567</v>
      </c>
      <c r="S944">
        <f t="shared" si="996"/>
        <v>0.73199592815215675</v>
      </c>
      <c r="T944">
        <f t="shared" si="997"/>
        <v>7.3199592815215674E-4</v>
      </c>
    </row>
    <row r="945" spans="1:20" x14ac:dyDescent="0.25">
      <c r="A945" s="5">
        <v>43648</v>
      </c>
      <c r="B945">
        <v>155.22999999999999</v>
      </c>
      <c r="C945">
        <v>156.03</v>
      </c>
      <c r="D945">
        <v>145.91999999999999</v>
      </c>
      <c r="E945">
        <v>151.97999999999999</v>
      </c>
      <c r="F945">
        <v>6312.1963400000004</v>
      </c>
      <c r="G945">
        <v>0</v>
      </c>
      <c r="L945" t="s">
        <v>7</v>
      </c>
      <c r="M945" t="s">
        <v>7</v>
      </c>
      <c r="N945" t="s">
        <v>8</v>
      </c>
      <c r="P945">
        <f t="shared" si="993"/>
        <v>0.1988130563798208</v>
      </c>
      <c r="Q945">
        <f t="shared" si="994"/>
        <v>1254.9470468249185</v>
      </c>
      <c r="R945">
        <f t="shared" si="995"/>
        <v>70386.597037741274</v>
      </c>
      <c r="S945">
        <f t="shared" si="996"/>
        <v>0.70386597037741272</v>
      </c>
      <c r="T945">
        <f t="shared" si="997"/>
        <v>7.0386597037741267E-4</v>
      </c>
    </row>
    <row r="946" spans="1:20" x14ac:dyDescent="0.25">
      <c r="A946" s="5">
        <v>43647</v>
      </c>
      <c r="B946">
        <v>157.18</v>
      </c>
      <c r="C946">
        <v>162.72</v>
      </c>
      <c r="D946">
        <v>147.11000000000001</v>
      </c>
      <c r="E946">
        <v>154.76</v>
      </c>
      <c r="F946">
        <v>4960.2572399999999</v>
      </c>
      <c r="G946">
        <v>0</v>
      </c>
      <c r="L946" t="s">
        <v>7</v>
      </c>
      <c r="M946" t="s">
        <v>7</v>
      </c>
      <c r="N946" t="s">
        <v>8</v>
      </c>
      <c r="P946">
        <f t="shared" si="993"/>
        <v>-1.9859064702116014E-2</v>
      </c>
      <c r="Q946">
        <f t="shared" si="994"/>
        <v>-98.506069468299401</v>
      </c>
      <c r="R946">
        <f t="shared" si="995"/>
        <v>69131.649990916354</v>
      </c>
      <c r="S946">
        <f t="shared" si="996"/>
        <v>0.69131649990916355</v>
      </c>
      <c r="T946">
        <f t="shared" si="997"/>
        <v>6.9131649990916352E-4</v>
      </c>
    </row>
    <row r="947" spans="1:20" x14ac:dyDescent="0.25">
      <c r="A947" s="5">
        <v>43646</v>
      </c>
      <c r="B947">
        <v>169.17</v>
      </c>
      <c r="C947">
        <v>171.54</v>
      </c>
      <c r="D947">
        <v>154</v>
      </c>
      <c r="E947">
        <v>157.31</v>
      </c>
      <c r="F947">
        <v>4784.8259500000004</v>
      </c>
      <c r="G947">
        <v>0</v>
      </c>
      <c r="L947" t="s">
        <v>7</v>
      </c>
      <c r="M947" t="s">
        <v>7</v>
      </c>
      <c r="N947" t="s">
        <v>8</v>
      </c>
      <c r="P947">
        <f t="shared" si="993"/>
        <v>-0.6225769669327248</v>
      </c>
      <c r="Q947">
        <f t="shared" si="994"/>
        <v>-2978.9224272519937</v>
      </c>
      <c r="R947">
        <f t="shared" si="995"/>
        <v>69230.156060384659</v>
      </c>
      <c r="S947">
        <f t="shared" si="996"/>
        <v>0.69230156060384662</v>
      </c>
      <c r="T947">
        <f t="shared" si="997"/>
        <v>6.9230156060384664E-4</v>
      </c>
    </row>
    <row r="948" spans="1:20" x14ac:dyDescent="0.25">
      <c r="A948" s="5">
        <v>43645</v>
      </c>
      <c r="B948">
        <v>170.83</v>
      </c>
      <c r="C948">
        <v>171.59</v>
      </c>
      <c r="D948">
        <v>162.94</v>
      </c>
      <c r="E948">
        <v>169.17</v>
      </c>
      <c r="F948">
        <v>3664.2136999999998</v>
      </c>
      <c r="G948">
        <v>0</v>
      </c>
      <c r="L948" t="s">
        <v>8</v>
      </c>
      <c r="M948" t="s">
        <v>7</v>
      </c>
      <c r="N948" t="s">
        <v>8</v>
      </c>
      <c r="P948">
        <f t="shared" si="993"/>
        <v>0.44046242774566141</v>
      </c>
      <c r="Q948">
        <f t="shared" si="994"/>
        <v>1613.9484620809126</v>
      </c>
      <c r="R948">
        <f t="shared" si="995"/>
        <v>72209.078487636652</v>
      </c>
      <c r="S948">
        <f t="shared" si="996"/>
        <v>0.72209078487636658</v>
      </c>
      <c r="T948">
        <f t="shared" si="997"/>
        <v>7.2209078487636658E-4</v>
      </c>
    </row>
    <row r="949" spans="1:20" x14ac:dyDescent="0.25">
      <c r="A949" s="5">
        <v>43644</v>
      </c>
      <c r="B949">
        <v>158.05000000000001</v>
      </c>
      <c r="C949">
        <v>171.28</v>
      </c>
      <c r="D949">
        <v>155.69</v>
      </c>
      <c r="E949">
        <v>170.83</v>
      </c>
      <c r="F949">
        <v>4156.3992099999996</v>
      </c>
      <c r="G949">
        <v>0</v>
      </c>
      <c r="L949" t="s">
        <v>8</v>
      </c>
      <c r="M949" t="s">
        <v>7</v>
      </c>
      <c r="N949" t="s">
        <v>8</v>
      </c>
      <c r="P949">
        <f t="shared" si="993"/>
        <v>0.94227068633739719</v>
      </c>
      <c r="Q949">
        <f t="shared" si="994"/>
        <v>3916.4531362989151</v>
      </c>
      <c r="R949">
        <f t="shared" si="995"/>
        <v>70595.130025555743</v>
      </c>
      <c r="S949">
        <f t="shared" si="996"/>
        <v>0.70595130025555741</v>
      </c>
      <c r="T949">
        <f t="shared" si="997"/>
        <v>7.0595130025555741E-4</v>
      </c>
    </row>
    <row r="950" spans="1:20" x14ac:dyDescent="0.25">
      <c r="A950" s="5">
        <v>43643</v>
      </c>
      <c r="B950">
        <v>175.28</v>
      </c>
      <c r="C950">
        <v>177.44</v>
      </c>
      <c r="D950">
        <v>150.16</v>
      </c>
      <c r="E950">
        <v>158.72999999999999</v>
      </c>
      <c r="F950">
        <v>9148.7187200000008</v>
      </c>
      <c r="G950">
        <v>0</v>
      </c>
      <c r="L950" t="s">
        <v>7</v>
      </c>
      <c r="M950" t="s">
        <v>7</v>
      </c>
      <c r="N950" t="s">
        <v>8</v>
      </c>
      <c r="P950">
        <f t="shared" si="993"/>
        <v>-0.3717008797653964</v>
      </c>
      <c r="Q950">
        <f t="shared" si="994"/>
        <v>-3400.5867969501514</v>
      </c>
      <c r="R950">
        <f t="shared" si="995"/>
        <v>66678.676889256822</v>
      </c>
      <c r="S950">
        <f t="shared" si="996"/>
        <v>0.66678676889256827</v>
      </c>
      <c r="T950">
        <f t="shared" si="997"/>
        <v>6.6678676889256826E-4</v>
      </c>
    </row>
    <row r="951" spans="1:20" x14ac:dyDescent="0.25">
      <c r="A951" s="5">
        <v>43642</v>
      </c>
      <c r="B951">
        <v>178.66</v>
      </c>
      <c r="C951">
        <v>189.54</v>
      </c>
      <c r="D951">
        <v>165.15</v>
      </c>
      <c r="E951">
        <v>175.41</v>
      </c>
      <c r="F951">
        <v>13965.186030000001</v>
      </c>
      <c r="G951">
        <v>0</v>
      </c>
      <c r="L951" t="s">
        <v>8</v>
      </c>
      <c r="M951" t="s">
        <v>8</v>
      </c>
      <c r="N951" t="s">
        <v>8</v>
      </c>
      <c r="P951">
        <f t="shared" si="993"/>
        <v>-0.15867158671586742</v>
      </c>
      <c r="Q951">
        <f t="shared" si="994"/>
        <v>-2215.8782261623655</v>
      </c>
      <c r="R951">
        <f t="shared" si="995"/>
        <v>70079.263686206978</v>
      </c>
      <c r="S951">
        <f t="shared" si="996"/>
        <v>0.70079263686206983</v>
      </c>
      <c r="T951">
        <f t="shared" si="997"/>
        <v>7.007926368620698E-4</v>
      </c>
    </row>
    <row r="952" spans="1:20" x14ac:dyDescent="0.25">
      <c r="A952" s="5">
        <v>43641</v>
      </c>
      <c r="B952">
        <v>176.38</v>
      </c>
      <c r="C952">
        <v>180.72</v>
      </c>
      <c r="D952">
        <v>174.7</v>
      </c>
      <c r="E952">
        <v>178.38</v>
      </c>
      <c r="F952">
        <v>5141.0800900000004</v>
      </c>
      <c r="G952">
        <v>0</v>
      </c>
      <c r="L952" t="s">
        <v>8</v>
      </c>
      <c r="M952" t="s">
        <v>8</v>
      </c>
      <c r="N952" t="s">
        <v>8</v>
      </c>
      <c r="P952">
        <f t="shared" si="993"/>
        <v>0.22259136212624603</v>
      </c>
      <c r="Q952">
        <f t="shared" si="994"/>
        <v>1144.3600200332237</v>
      </c>
      <c r="R952">
        <f t="shared" si="995"/>
        <v>72295.141912369349</v>
      </c>
      <c r="S952">
        <f t="shared" si="996"/>
        <v>0.72295141912369354</v>
      </c>
      <c r="T952">
        <f t="shared" si="997"/>
        <v>7.2295141912369354E-4</v>
      </c>
    </row>
    <row r="953" spans="1:20" x14ac:dyDescent="0.25">
      <c r="A953" s="5">
        <v>43640</v>
      </c>
      <c r="B953">
        <v>174.3</v>
      </c>
      <c r="C953">
        <v>179.83</v>
      </c>
      <c r="D953">
        <v>171.5</v>
      </c>
      <c r="E953">
        <v>176.33</v>
      </c>
      <c r="F953">
        <v>4580.3616199999997</v>
      </c>
      <c r="G953">
        <v>0</v>
      </c>
      <c r="L953" t="s">
        <v>8</v>
      </c>
      <c r="M953" t="s">
        <v>8</v>
      </c>
      <c r="N953" t="s">
        <v>8</v>
      </c>
      <c r="P953">
        <f t="shared" si="993"/>
        <v>0.15966386554621975</v>
      </c>
      <c r="Q953">
        <f t="shared" si="994"/>
        <v>731.31824184874529</v>
      </c>
      <c r="R953">
        <f t="shared" si="995"/>
        <v>71150.781892336119</v>
      </c>
      <c r="S953">
        <f t="shared" si="996"/>
        <v>0.71150781892336123</v>
      </c>
      <c r="T953">
        <f t="shared" si="997"/>
        <v>7.115078189233612E-4</v>
      </c>
    </row>
    <row r="954" spans="1:20" x14ac:dyDescent="0.25">
      <c r="A954" s="5">
        <v>43639</v>
      </c>
      <c r="B954">
        <v>176.9</v>
      </c>
      <c r="C954">
        <v>181.16</v>
      </c>
      <c r="D954">
        <v>171.09</v>
      </c>
      <c r="E954">
        <v>174.3</v>
      </c>
      <c r="F954">
        <v>5491.41482</v>
      </c>
      <c r="G954">
        <v>0</v>
      </c>
      <c r="L954" t="s">
        <v>8</v>
      </c>
      <c r="M954" t="s">
        <v>8</v>
      </c>
      <c r="N954" t="s">
        <v>8</v>
      </c>
      <c r="P954">
        <f t="shared" si="993"/>
        <v>-0.36246276067527106</v>
      </c>
      <c r="Q954">
        <f t="shared" si="994"/>
        <v>-1990.4333756702968</v>
      </c>
      <c r="R954">
        <f t="shared" si="995"/>
        <v>70419.463650487378</v>
      </c>
      <c r="S954">
        <f t="shared" si="996"/>
        <v>0.70419463650487379</v>
      </c>
      <c r="T954">
        <f t="shared" si="997"/>
        <v>7.0419463650487376E-4</v>
      </c>
    </row>
    <row r="955" spans="1:20" x14ac:dyDescent="0.25">
      <c r="A955" s="5">
        <v>43638</v>
      </c>
      <c r="B955">
        <v>166.83</v>
      </c>
      <c r="C955">
        <v>180.58</v>
      </c>
      <c r="D955">
        <v>164.35</v>
      </c>
      <c r="E955">
        <v>176.9</v>
      </c>
      <c r="F955">
        <v>10524.652400000001</v>
      </c>
      <c r="G955">
        <v>0</v>
      </c>
      <c r="L955" t="s">
        <v>8</v>
      </c>
      <c r="M955" t="s">
        <v>8</v>
      </c>
      <c r="N955" t="s">
        <v>8</v>
      </c>
      <c r="P955">
        <f t="shared" si="993"/>
        <v>0.54651879235982714</v>
      </c>
      <c r="Q955">
        <f t="shared" si="994"/>
        <v>5751.920319654957</v>
      </c>
      <c r="R955">
        <f t="shared" si="995"/>
        <v>72409.897026157676</v>
      </c>
      <c r="S955">
        <f t="shared" si="996"/>
        <v>0.72409897026157677</v>
      </c>
      <c r="T955">
        <f t="shared" si="997"/>
        <v>7.2409897026157676E-4</v>
      </c>
    </row>
    <row r="956" spans="1:20" x14ac:dyDescent="0.25">
      <c r="A956" s="5">
        <v>43637</v>
      </c>
      <c r="B956">
        <v>161.76</v>
      </c>
      <c r="C956">
        <v>167.83</v>
      </c>
      <c r="D956">
        <v>160.85</v>
      </c>
      <c r="E956">
        <v>167.16</v>
      </c>
      <c r="F956">
        <v>5450.8128100000004</v>
      </c>
      <c r="G956">
        <v>0</v>
      </c>
      <c r="L956" t="s">
        <v>8</v>
      </c>
      <c r="M956" t="s">
        <v>8</v>
      </c>
      <c r="N956" t="s">
        <v>8</v>
      </c>
      <c r="P956">
        <f t="shared" si="993"/>
        <v>0.80802292263609909</v>
      </c>
      <c r="Q956">
        <f t="shared" si="994"/>
        <v>4404.3816974784886</v>
      </c>
      <c r="R956">
        <f t="shared" si="995"/>
        <v>66657.976706502712</v>
      </c>
      <c r="S956">
        <f t="shared" si="996"/>
        <v>0.66657976706502708</v>
      </c>
      <c r="T956">
        <f t="shared" si="997"/>
        <v>6.665797670650271E-4</v>
      </c>
    </row>
    <row r="957" spans="1:20" x14ac:dyDescent="0.25">
      <c r="A957" s="5">
        <v>43636</v>
      </c>
      <c r="B957">
        <v>161.81</v>
      </c>
      <c r="C957">
        <v>162.68</v>
      </c>
      <c r="D957">
        <v>157.65</v>
      </c>
      <c r="E957">
        <v>161.75</v>
      </c>
      <c r="F957">
        <v>3916.6647600000001</v>
      </c>
      <c r="G957">
        <v>0</v>
      </c>
      <c r="L957" t="s">
        <v>8</v>
      </c>
      <c r="M957" t="s">
        <v>8</v>
      </c>
      <c r="N957" t="s">
        <v>8</v>
      </c>
      <c r="P957">
        <f t="shared" si="993"/>
        <v>0.63021868787276081</v>
      </c>
      <c r="Q957">
        <f t="shared" si="994"/>
        <v>2468.3553258846819</v>
      </c>
      <c r="R957">
        <f t="shared" si="995"/>
        <v>62253.595009024226</v>
      </c>
      <c r="S957">
        <f t="shared" si="996"/>
        <v>0.62253595009024221</v>
      </c>
      <c r="T957">
        <f t="shared" si="997"/>
        <v>6.2253595009024217E-4</v>
      </c>
    </row>
    <row r="958" spans="1:20" x14ac:dyDescent="0.25">
      <c r="A958" s="5">
        <v>43635</v>
      </c>
      <c r="B958">
        <v>158.25</v>
      </c>
      <c r="C958">
        <v>162.13999999999999</v>
      </c>
      <c r="D958">
        <v>157.55000000000001</v>
      </c>
      <c r="E958">
        <v>161.81</v>
      </c>
      <c r="F958">
        <v>3588.1469200000001</v>
      </c>
      <c r="G958">
        <v>0</v>
      </c>
      <c r="L958" t="s">
        <v>8</v>
      </c>
      <c r="M958" t="s">
        <v>8</v>
      </c>
      <c r="N958" t="s">
        <v>8</v>
      </c>
      <c r="P958">
        <f t="shared" si="993"/>
        <v>0.85620915032680356</v>
      </c>
      <c r="Q958">
        <f t="shared" si="994"/>
        <v>3072.2042256209375</v>
      </c>
      <c r="R958">
        <f t="shared" si="995"/>
        <v>59785.239683139545</v>
      </c>
      <c r="S958">
        <f t="shared" si="996"/>
        <v>0.59785239683139546</v>
      </c>
      <c r="T958">
        <f t="shared" si="997"/>
        <v>5.978523968313955E-4</v>
      </c>
    </row>
    <row r="959" spans="1:20" x14ac:dyDescent="0.25">
      <c r="A959" s="5">
        <v>43634</v>
      </c>
      <c r="B959">
        <v>158.72999999999999</v>
      </c>
      <c r="C959">
        <v>166.53</v>
      </c>
      <c r="D959">
        <v>154.19999999999999</v>
      </c>
      <c r="E959">
        <v>158.44999999999999</v>
      </c>
      <c r="F959">
        <v>10425.443939999999</v>
      </c>
      <c r="G959">
        <v>0</v>
      </c>
      <c r="L959" t="s">
        <v>8</v>
      </c>
      <c r="M959" t="s">
        <v>8</v>
      </c>
      <c r="N959" t="s">
        <v>8</v>
      </c>
      <c r="P959">
        <f t="shared" ref="P959:P1022" si="998">IF(C959=D959,0,((E959-D959)-(C959-E959))/(C959-D959))</f>
        <v>-0.31062449310624562</v>
      </c>
      <c r="Q959">
        <f t="shared" ref="Q959:Q1022" si="999">F959*P959</f>
        <v>-3238.39823927008</v>
      </c>
      <c r="R959">
        <f t="shared" ref="R959:R1022" si="1000">R960+Q959</f>
        <v>56713.035457518607</v>
      </c>
      <c r="S959">
        <f t="shared" ref="S959:S1022" si="1001">R959/100000</f>
        <v>0.56713035457518601</v>
      </c>
      <c r="T959">
        <f t="shared" ref="T959:T1022" si="1002">S959/1000</f>
        <v>5.6713035457518605E-4</v>
      </c>
    </row>
    <row r="960" spans="1:20" x14ac:dyDescent="0.25">
      <c r="A960" s="5">
        <v>43633</v>
      </c>
      <c r="B960">
        <v>156.25</v>
      </c>
      <c r="C960">
        <v>160.30000000000001</v>
      </c>
      <c r="D960">
        <v>155.1</v>
      </c>
      <c r="E960">
        <v>158.66</v>
      </c>
      <c r="F960">
        <v>3584.3347199999998</v>
      </c>
      <c r="G960">
        <v>0</v>
      </c>
      <c r="L960" t="s">
        <v>8</v>
      </c>
      <c r="M960" t="s">
        <v>8</v>
      </c>
      <c r="N960" t="s">
        <v>8</v>
      </c>
      <c r="P960">
        <f t="shared" si="998"/>
        <v>0.36923076923076559</v>
      </c>
      <c r="Q960">
        <f t="shared" si="999"/>
        <v>1323.4466658461408</v>
      </c>
      <c r="R960">
        <f t="shared" si="1000"/>
        <v>59951.433696788685</v>
      </c>
      <c r="S960">
        <f t="shared" si="1001"/>
        <v>0.59951433696788681</v>
      </c>
      <c r="T960">
        <f t="shared" si="1002"/>
        <v>5.9951433696788685E-4</v>
      </c>
    </row>
    <row r="961" spans="1:20" x14ac:dyDescent="0.25">
      <c r="A961" s="5">
        <v>43632</v>
      </c>
      <c r="B961">
        <v>154.22</v>
      </c>
      <c r="C961">
        <v>160.74</v>
      </c>
      <c r="D961">
        <v>153.72999999999999</v>
      </c>
      <c r="E961">
        <v>155.81</v>
      </c>
      <c r="F961">
        <v>5088.12129</v>
      </c>
      <c r="G961">
        <v>0</v>
      </c>
      <c r="L961" t="s">
        <v>8</v>
      </c>
      <c r="M961" t="s">
        <v>8</v>
      </c>
      <c r="N961" t="s">
        <v>8</v>
      </c>
      <c r="P961">
        <f t="shared" si="998"/>
        <v>-0.40656205420827196</v>
      </c>
      <c r="Q961">
        <f t="shared" si="999"/>
        <v>-2068.6370437232426</v>
      </c>
      <c r="R961">
        <f t="shared" si="1000"/>
        <v>58627.987030942546</v>
      </c>
      <c r="S961">
        <f t="shared" si="1001"/>
        <v>0.58627987030942541</v>
      </c>
      <c r="T961">
        <f t="shared" si="1002"/>
        <v>5.8627987030942543E-4</v>
      </c>
    </row>
    <row r="962" spans="1:20" x14ac:dyDescent="0.25">
      <c r="A962" s="5">
        <v>43631</v>
      </c>
      <c r="B962">
        <v>153.19</v>
      </c>
      <c r="C962">
        <v>156.08000000000001</v>
      </c>
      <c r="D962">
        <v>151.57</v>
      </c>
      <c r="E962">
        <v>154.22</v>
      </c>
      <c r="F962">
        <v>3520.28829</v>
      </c>
      <c r="G962">
        <v>0</v>
      </c>
      <c r="L962" t="s">
        <v>7</v>
      </c>
      <c r="M962" t="s">
        <v>8</v>
      </c>
      <c r="N962" t="s">
        <v>8</v>
      </c>
      <c r="P962">
        <f t="shared" si="998"/>
        <v>0.17516629711751411</v>
      </c>
      <c r="Q962">
        <f t="shared" si="999"/>
        <v>616.63586454544566</v>
      </c>
      <c r="R962">
        <f t="shared" si="1000"/>
        <v>60696.624074665786</v>
      </c>
      <c r="S962">
        <f t="shared" si="1001"/>
        <v>0.60696624074665784</v>
      </c>
      <c r="T962">
        <f t="shared" si="1002"/>
        <v>6.0696624074665787E-4</v>
      </c>
    </row>
    <row r="963" spans="1:20" x14ac:dyDescent="0.25">
      <c r="A963" s="5">
        <v>43630</v>
      </c>
      <c r="B963">
        <v>153.4</v>
      </c>
      <c r="C963">
        <v>155.62</v>
      </c>
      <c r="D963">
        <v>149.1</v>
      </c>
      <c r="E963">
        <v>153.72</v>
      </c>
      <c r="F963">
        <v>4188.78863</v>
      </c>
      <c r="G963">
        <v>0</v>
      </c>
      <c r="L963" t="s">
        <v>7</v>
      </c>
      <c r="M963" t="s">
        <v>8</v>
      </c>
      <c r="N963" t="s">
        <v>8</v>
      </c>
      <c r="P963">
        <f t="shared" si="998"/>
        <v>0.41717791411042859</v>
      </c>
      <c r="Q963">
        <f t="shared" si="999"/>
        <v>1747.4701033128799</v>
      </c>
      <c r="R963">
        <f t="shared" si="1000"/>
        <v>60079.98821012034</v>
      </c>
      <c r="S963">
        <f t="shared" si="1001"/>
        <v>0.60079988210120339</v>
      </c>
      <c r="T963">
        <f t="shared" si="1002"/>
        <v>6.0079988210120334E-4</v>
      </c>
    </row>
    <row r="964" spans="1:20" x14ac:dyDescent="0.25">
      <c r="A964" s="5">
        <v>43629</v>
      </c>
      <c r="B964">
        <v>155.83000000000001</v>
      </c>
      <c r="C964">
        <v>159.21</v>
      </c>
      <c r="D964">
        <v>152.78</v>
      </c>
      <c r="E964">
        <v>153.01</v>
      </c>
      <c r="F964">
        <v>8330.8789400000005</v>
      </c>
      <c r="G964">
        <v>0</v>
      </c>
      <c r="L964" t="s">
        <v>8</v>
      </c>
      <c r="M964" t="s">
        <v>8</v>
      </c>
      <c r="N964" t="s">
        <v>8</v>
      </c>
      <c r="P964">
        <f t="shared" si="998"/>
        <v>-0.928460342146193</v>
      </c>
      <c r="Q964">
        <f t="shared" si="999"/>
        <v>-7734.8907110109139</v>
      </c>
      <c r="R964">
        <f t="shared" si="1000"/>
        <v>58332.51810680746</v>
      </c>
      <c r="S964">
        <f t="shared" si="1001"/>
        <v>0.58332518106807463</v>
      </c>
      <c r="T964">
        <f t="shared" si="1002"/>
        <v>5.8332518106807459E-4</v>
      </c>
    </row>
    <row r="965" spans="1:20" x14ac:dyDescent="0.25">
      <c r="A965" s="5">
        <v>43628</v>
      </c>
      <c r="B965">
        <v>147.21</v>
      </c>
      <c r="C965">
        <v>158.1</v>
      </c>
      <c r="D965">
        <v>146.02000000000001</v>
      </c>
      <c r="E965">
        <v>155.83000000000001</v>
      </c>
      <c r="F965">
        <v>3795.0406699999999</v>
      </c>
      <c r="G965">
        <v>0</v>
      </c>
      <c r="L965" t="s">
        <v>8</v>
      </c>
      <c r="M965" t="s">
        <v>8</v>
      </c>
      <c r="N965" t="s">
        <v>8</v>
      </c>
      <c r="P965">
        <f t="shared" si="998"/>
        <v>0.62417218543046604</v>
      </c>
      <c r="Q965">
        <f t="shared" si="999"/>
        <v>2368.7588287914</v>
      </c>
      <c r="R965">
        <f t="shared" si="1000"/>
        <v>66067.408817818374</v>
      </c>
      <c r="S965">
        <f t="shared" si="1001"/>
        <v>0.66067408817818374</v>
      </c>
      <c r="T965">
        <f t="shared" si="1002"/>
        <v>6.6067408817818371E-4</v>
      </c>
    </row>
    <row r="966" spans="1:20" x14ac:dyDescent="0.25">
      <c r="A966" s="5">
        <v>43627</v>
      </c>
      <c r="B966">
        <v>150.52000000000001</v>
      </c>
      <c r="C966">
        <v>150.83000000000001</v>
      </c>
      <c r="D966">
        <v>143.21</v>
      </c>
      <c r="E966">
        <v>147.21</v>
      </c>
      <c r="F966">
        <v>4293.7174699999996</v>
      </c>
      <c r="G966">
        <v>0</v>
      </c>
      <c r="L966" t="s">
        <v>8</v>
      </c>
      <c r="M966" t="s">
        <v>7</v>
      </c>
      <c r="N966" t="s">
        <v>8</v>
      </c>
      <c r="P966">
        <f t="shared" si="998"/>
        <v>4.986876640419885E-2</v>
      </c>
      <c r="Q966">
        <f t="shared" si="999"/>
        <v>214.12239351705767</v>
      </c>
      <c r="R966">
        <f t="shared" si="1000"/>
        <v>63698.64998902697</v>
      </c>
      <c r="S966">
        <f t="shared" si="1001"/>
        <v>0.63698649989026968</v>
      </c>
      <c r="T966">
        <f t="shared" si="1002"/>
        <v>6.3698649989026967E-4</v>
      </c>
    </row>
    <row r="967" spans="1:20" x14ac:dyDescent="0.25">
      <c r="A967" s="5">
        <v>43626</v>
      </c>
      <c r="B967">
        <v>141.68</v>
      </c>
      <c r="C967">
        <v>151.33000000000001</v>
      </c>
      <c r="D967">
        <v>140.22999999999999</v>
      </c>
      <c r="E967">
        <v>150.16999999999999</v>
      </c>
      <c r="F967">
        <v>7000.8482199999999</v>
      </c>
      <c r="G967">
        <v>0</v>
      </c>
      <c r="L967" t="s">
        <v>8</v>
      </c>
      <c r="M967" t="s">
        <v>7</v>
      </c>
      <c r="N967" t="s">
        <v>8</v>
      </c>
      <c r="P967">
        <f t="shared" si="998"/>
        <v>0.79099099099098691</v>
      </c>
      <c r="Q967">
        <f t="shared" si="999"/>
        <v>5537.6078713152865</v>
      </c>
      <c r="R967">
        <f t="shared" si="1000"/>
        <v>63484.527595509913</v>
      </c>
      <c r="S967">
        <f t="shared" si="1001"/>
        <v>0.6348452759550991</v>
      </c>
      <c r="T967">
        <f t="shared" si="1002"/>
        <v>6.3484527595509914E-4</v>
      </c>
    </row>
    <row r="968" spans="1:20" x14ac:dyDescent="0.25">
      <c r="A968" s="5">
        <v>43625</v>
      </c>
      <c r="B968">
        <v>144.94</v>
      </c>
      <c r="C968">
        <v>146.36000000000001</v>
      </c>
      <c r="D968">
        <v>139.16</v>
      </c>
      <c r="E968">
        <v>141.99</v>
      </c>
      <c r="F968">
        <v>2899.9915299999998</v>
      </c>
      <c r="G968">
        <v>0</v>
      </c>
      <c r="L968" t="s">
        <v>7</v>
      </c>
      <c r="M968" t="s">
        <v>7</v>
      </c>
      <c r="N968" t="s">
        <v>8</v>
      </c>
      <c r="P968">
        <f t="shared" si="998"/>
        <v>-0.21388888888888727</v>
      </c>
      <c r="Q968">
        <f t="shared" si="999"/>
        <v>-620.2759661388842</v>
      </c>
      <c r="R968">
        <f t="shared" si="1000"/>
        <v>57946.919724194624</v>
      </c>
      <c r="S968">
        <f t="shared" si="1001"/>
        <v>0.57946919724194623</v>
      </c>
      <c r="T968">
        <f t="shared" si="1002"/>
        <v>5.7946919724194618E-4</v>
      </c>
    </row>
    <row r="969" spans="1:20" x14ac:dyDescent="0.25">
      <c r="A969" s="5">
        <v>43624</v>
      </c>
      <c r="B969">
        <v>148.44999999999999</v>
      </c>
      <c r="C969">
        <v>150.01</v>
      </c>
      <c r="D969">
        <v>142.63</v>
      </c>
      <c r="E969">
        <v>144.94</v>
      </c>
      <c r="F969">
        <v>1977.25395</v>
      </c>
      <c r="G969">
        <v>0</v>
      </c>
      <c r="L969" t="s">
        <v>8</v>
      </c>
      <c r="M969" t="s">
        <v>7</v>
      </c>
      <c r="N969" t="s">
        <v>8</v>
      </c>
      <c r="P969">
        <f t="shared" si="998"/>
        <v>-0.37398373983739736</v>
      </c>
      <c r="Q969">
        <f t="shared" si="999"/>
        <v>-739.46082682926624</v>
      </c>
      <c r="R969">
        <f t="shared" si="1000"/>
        <v>58567.195690333509</v>
      </c>
      <c r="S969">
        <f t="shared" si="1001"/>
        <v>0.58567195690333507</v>
      </c>
      <c r="T969">
        <f t="shared" si="1002"/>
        <v>5.8567195690333506E-4</v>
      </c>
    </row>
    <row r="970" spans="1:20" x14ac:dyDescent="0.25">
      <c r="A970" s="5">
        <v>43623</v>
      </c>
      <c r="B970">
        <v>143.36000000000001</v>
      </c>
      <c r="C970">
        <v>152.16</v>
      </c>
      <c r="D970">
        <v>141.38999999999999</v>
      </c>
      <c r="E970">
        <v>149.44999999999999</v>
      </c>
      <c r="F970">
        <v>8526.2994799999997</v>
      </c>
      <c r="G970">
        <v>0</v>
      </c>
      <c r="L970" t="s">
        <v>8</v>
      </c>
      <c r="M970" t="s">
        <v>7</v>
      </c>
      <c r="N970" t="s">
        <v>8</v>
      </c>
      <c r="P970">
        <f t="shared" si="998"/>
        <v>0.49675023212627567</v>
      </c>
      <c r="Q970">
        <f t="shared" si="999"/>
        <v>4235.4412458681436</v>
      </c>
      <c r="R970">
        <f t="shared" si="1000"/>
        <v>59306.656517162774</v>
      </c>
      <c r="S970">
        <f t="shared" si="1001"/>
        <v>0.5930665651716277</v>
      </c>
      <c r="T970">
        <f t="shared" si="1002"/>
        <v>5.9306656517162765E-4</v>
      </c>
    </row>
    <row r="971" spans="1:20" x14ac:dyDescent="0.25">
      <c r="A971" s="5">
        <v>43622</v>
      </c>
      <c r="B971">
        <v>146.65</v>
      </c>
      <c r="C971">
        <v>149.22</v>
      </c>
      <c r="D971">
        <v>138.36000000000001</v>
      </c>
      <c r="E971">
        <v>143.18</v>
      </c>
      <c r="F971">
        <v>4018.3775799999999</v>
      </c>
      <c r="G971">
        <v>0</v>
      </c>
      <c r="L971" t="s">
        <v>7</v>
      </c>
      <c r="M971" t="s">
        <v>7</v>
      </c>
      <c r="N971" t="s">
        <v>8</v>
      </c>
      <c r="P971">
        <f t="shared" si="998"/>
        <v>-0.11233885819521183</v>
      </c>
      <c r="Q971">
        <f t="shared" si="999"/>
        <v>-451.41994913443847</v>
      </c>
      <c r="R971">
        <f t="shared" si="1000"/>
        <v>55071.215271294626</v>
      </c>
      <c r="S971">
        <f t="shared" si="1001"/>
        <v>0.55071215271294627</v>
      </c>
      <c r="T971">
        <f t="shared" si="1002"/>
        <v>5.5071215271294631E-4</v>
      </c>
    </row>
    <row r="972" spans="1:20" x14ac:dyDescent="0.25">
      <c r="A972" s="5">
        <v>43621</v>
      </c>
      <c r="B972">
        <v>143.82</v>
      </c>
      <c r="C972">
        <v>148.93</v>
      </c>
      <c r="D972">
        <v>142.08000000000001</v>
      </c>
      <c r="E972">
        <v>146.96</v>
      </c>
      <c r="F972">
        <v>4328.7541899999997</v>
      </c>
      <c r="G972">
        <v>0</v>
      </c>
      <c r="L972" t="s">
        <v>8</v>
      </c>
      <c r="M972" t="s">
        <v>7</v>
      </c>
      <c r="N972" t="s">
        <v>8</v>
      </c>
      <c r="P972">
        <f t="shared" si="998"/>
        <v>0.42481751824817504</v>
      </c>
      <c r="Q972">
        <f t="shared" si="999"/>
        <v>1838.9306121021891</v>
      </c>
      <c r="R972">
        <f t="shared" si="1000"/>
        <v>55522.635220429067</v>
      </c>
      <c r="S972">
        <f t="shared" si="1001"/>
        <v>0.55522635220429062</v>
      </c>
      <c r="T972">
        <f t="shared" si="1002"/>
        <v>5.5522635220429061E-4</v>
      </c>
    </row>
    <row r="973" spans="1:20" x14ac:dyDescent="0.25">
      <c r="A973" s="5">
        <v>43620</v>
      </c>
      <c r="B973">
        <v>155.12</v>
      </c>
      <c r="C973">
        <v>160.34</v>
      </c>
      <c r="D973">
        <v>130</v>
      </c>
      <c r="E973">
        <v>143.83000000000001</v>
      </c>
      <c r="F973">
        <v>8368.3542400000006</v>
      </c>
      <c r="G973">
        <v>0</v>
      </c>
      <c r="L973" t="s">
        <v>7</v>
      </c>
      <c r="M973" t="s">
        <v>7</v>
      </c>
      <c r="N973" t="s">
        <v>8</v>
      </c>
      <c r="P973">
        <f t="shared" si="998"/>
        <v>-8.8332234673697371E-2</v>
      </c>
      <c r="Q973">
        <f t="shared" si="999"/>
        <v>-739.19543056031046</v>
      </c>
      <c r="R973">
        <f t="shared" si="1000"/>
        <v>53683.70460832688</v>
      </c>
      <c r="S973">
        <f t="shared" si="1001"/>
        <v>0.53683704608326877</v>
      </c>
      <c r="T973">
        <f t="shared" si="1002"/>
        <v>5.3683704608326879E-4</v>
      </c>
    </row>
    <row r="974" spans="1:20" x14ac:dyDescent="0.25">
      <c r="A974" s="5">
        <v>43619</v>
      </c>
      <c r="B974">
        <v>165.36</v>
      </c>
      <c r="C974">
        <v>165.36</v>
      </c>
      <c r="D974">
        <v>153.15</v>
      </c>
      <c r="E974">
        <v>155.22</v>
      </c>
      <c r="F974">
        <v>5019.0970299999999</v>
      </c>
      <c r="G974">
        <v>0</v>
      </c>
      <c r="L974" t="s">
        <v>7</v>
      </c>
      <c r="M974" t="s">
        <v>7</v>
      </c>
      <c r="N974" t="s">
        <v>8</v>
      </c>
      <c r="P974">
        <f t="shared" si="998"/>
        <v>-0.66093366093366224</v>
      </c>
      <c r="Q974">
        <f t="shared" si="999"/>
        <v>-3317.290174619171</v>
      </c>
      <c r="R974">
        <f t="shared" si="1000"/>
        <v>54422.900038887194</v>
      </c>
      <c r="S974">
        <f t="shared" si="1001"/>
        <v>0.5442290003888719</v>
      </c>
      <c r="T974">
        <f t="shared" si="1002"/>
        <v>5.442290003888719E-4</v>
      </c>
    </row>
    <row r="975" spans="1:20" x14ac:dyDescent="0.25">
      <c r="A975" s="5">
        <v>43618</v>
      </c>
      <c r="B975">
        <v>163</v>
      </c>
      <c r="C975">
        <v>167.76</v>
      </c>
      <c r="D975">
        <v>161.80000000000001</v>
      </c>
      <c r="E975">
        <v>165.09</v>
      </c>
      <c r="F975">
        <v>3017.61798</v>
      </c>
      <c r="G975">
        <v>0</v>
      </c>
      <c r="L975" t="s">
        <v>7</v>
      </c>
      <c r="M975" t="s">
        <v>7</v>
      </c>
      <c r="N975" t="s">
        <v>8</v>
      </c>
      <c r="P975">
        <f t="shared" si="998"/>
        <v>0.10402684563758502</v>
      </c>
      <c r="Q975">
        <f t="shared" si="999"/>
        <v>313.91327979866111</v>
      </c>
      <c r="R975">
        <f t="shared" si="1000"/>
        <v>57740.190213506365</v>
      </c>
      <c r="S975">
        <f t="shared" si="1001"/>
        <v>0.57740190213506359</v>
      </c>
      <c r="T975">
        <f t="shared" si="1002"/>
        <v>5.7740190213506355E-4</v>
      </c>
    </row>
    <row r="976" spans="1:20" x14ac:dyDescent="0.25">
      <c r="A976" s="5">
        <v>43617</v>
      </c>
      <c r="B976">
        <v>165.97</v>
      </c>
      <c r="C976">
        <v>167.3</v>
      </c>
      <c r="D976">
        <v>161.22</v>
      </c>
      <c r="E976">
        <v>163</v>
      </c>
      <c r="F976">
        <v>3160.6439</v>
      </c>
      <c r="G976">
        <v>0</v>
      </c>
      <c r="L976" t="s">
        <v>7</v>
      </c>
      <c r="M976" t="s">
        <v>7</v>
      </c>
      <c r="N976" t="s">
        <v>8</v>
      </c>
      <c r="P976">
        <f t="shared" si="998"/>
        <v>-0.41447368421052716</v>
      </c>
      <c r="Q976">
        <f t="shared" si="999"/>
        <v>-1310.0037217105289</v>
      </c>
      <c r="R976">
        <f t="shared" si="1000"/>
        <v>57426.276933707704</v>
      </c>
      <c r="S976">
        <f t="shared" si="1001"/>
        <v>0.57426276933707709</v>
      </c>
      <c r="T976">
        <f t="shared" si="1002"/>
        <v>5.7426276933707709E-4</v>
      </c>
    </row>
    <row r="977" spans="1:20" x14ac:dyDescent="0.25">
      <c r="A977" s="5">
        <v>43616</v>
      </c>
      <c r="B977">
        <v>163</v>
      </c>
      <c r="C977">
        <v>166.36</v>
      </c>
      <c r="D977">
        <v>157.01</v>
      </c>
      <c r="E977">
        <v>165.99</v>
      </c>
      <c r="F977">
        <v>4782.4358499999998</v>
      </c>
      <c r="G977">
        <v>0</v>
      </c>
      <c r="L977" t="s">
        <v>7</v>
      </c>
      <c r="M977" t="s">
        <v>7</v>
      </c>
      <c r="N977" t="s">
        <v>8</v>
      </c>
      <c r="P977">
        <f t="shared" si="998"/>
        <v>0.92085561497326129</v>
      </c>
      <c r="Q977">
        <f t="shared" si="999"/>
        <v>4403.9329057219211</v>
      </c>
      <c r="R977">
        <f t="shared" si="1000"/>
        <v>58736.280655418232</v>
      </c>
      <c r="S977">
        <f t="shared" si="1001"/>
        <v>0.58736280655418227</v>
      </c>
      <c r="T977">
        <f t="shared" si="1002"/>
        <v>5.8736280655418229E-4</v>
      </c>
    </row>
    <row r="978" spans="1:20" x14ac:dyDescent="0.25">
      <c r="A978" s="5">
        <v>43615</v>
      </c>
      <c r="B978">
        <v>167.92</v>
      </c>
      <c r="C978">
        <v>175.78</v>
      </c>
      <c r="D978">
        <v>156.06</v>
      </c>
      <c r="E978">
        <v>162.91999999999999</v>
      </c>
      <c r="F978">
        <v>9088.3260399999999</v>
      </c>
      <c r="G978">
        <v>0</v>
      </c>
      <c r="L978" t="s">
        <v>7</v>
      </c>
      <c r="M978" t="s">
        <v>7</v>
      </c>
      <c r="N978" t="s">
        <v>8</v>
      </c>
      <c r="P978">
        <f t="shared" si="998"/>
        <v>-0.3042596348884396</v>
      </c>
      <c r="Q978">
        <f t="shared" si="999"/>
        <v>-2765.2107626774982</v>
      </c>
      <c r="R978">
        <f t="shared" si="1000"/>
        <v>54332.34774969631</v>
      </c>
      <c r="S978">
        <f t="shared" si="1001"/>
        <v>0.54332347749696308</v>
      </c>
      <c r="T978">
        <f t="shared" si="1002"/>
        <v>5.4332347749696305E-4</v>
      </c>
    </row>
    <row r="979" spans="1:20" x14ac:dyDescent="0.25">
      <c r="A979" s="5">
        <v>43614</v>
      </c>
      <c r="B979">
        <v>169.17</v>
      </c>
      <c r="C979">
        <v>175.15</v>
      </c>
      <c r="D979">
        <v>160.44</v>
      </c>
      <c r="E979">
        <v>168.27</v>
      </c>
      <c r="F979">
        <v>5002.5171200000004</v>
      </c>
      <c r="G979">
        <v>0</v>
      </c>
      <c r="L979" t="s">
        <v>7</v>
      </c>
      <c r="M979" t="s">
        <v>7</v>
      </c>
      <c r="N979" t="s">
        <v>8</v>
      </c>
      <c r="P979">
        <f t="shared" si="998"/>
        <v>6.4581917063223415E-2</v>
      </c>
      <c r="Q979">
        <f t="shared" si="999"/>
        <v>323.07214575119531</v>
      </c>
      <c r="R979">
        <f t="shared" si="1000"/>
        <v>57097.558512373806</v>
      </c>
      <c r="S979">
        <f t="shared" si="1001"/>
        <v>0.57097558512373803</v>
      </c>
      <c r="T979">
        <f t="shared" si="1002"/>
        <v>5.7097558512373802E-4</v>
      </c>
    </row>
    <row r="980" spans="1:20" x14ac:dyDescent="0.25">
      <c r="A980" s="5">
        <v>43613</v>
      </c>
      <c r="B980">
        <v>165.48</v>
      </c>
      <c r="C980">
        <v>173.5</v>
      </c>
      <c r="D980">
        <v>162.28</v>
      </c>
      <c r="E980">
        <v>169.66</v>
      </c>
      <c r="F980">
        <v>7023.7835800000003</v>
      </c>
      <c r="G980">
        <v>0</v>
      </c>
      <c r="L980" t="s">
        <v>8</v>
      </c>
      <c r="M980" t="s">
        <v>7</v>
      </c>
      <c r="N980" t="s">
        <v>8</v>
      </c>
      <c r="P980">
        <f t="shared" si="998"/>
        <v>0.31550802139037365</v>
      </c>
      <c r="Q980">
        <f t="shared" si="999"/>
        <v>2216.0600599999952</v>
      </c>
      <c r="R980">
        <f t="shared" si="1000"/>
        <v>56774.486366622608</v>
      </c>
      <c r="S980">
        <f t="shared" si="1001"/>
        <v>0.56774486366622612</v>
      </c>
      <c r="T980">
        <f t="shared" si="1002"/>
        <v>5.6774486366622612E-4</v>
      </c>
    </row>
    <row r="981" spans="1:20" x14ac:dyDescent="0.25">
      <c r="A981" s="5">
        <v>43612</v>
      </c>
      <c r="B981">
        <v>161.66999999999999</v>
      </c>
      <c r="C981">
        <v>169.86</v>
      </c>
      <c r="D981">
        <v>160.94999999999999</v>
      </c>
      <c r="E981">
        <v>165.79</v>
      </c>
      <c r="F981">
        <v>7262.0322999999999</v>
      </c>
      <c r="G981">
        <v>0</v>
      </c>
      <c r="L981" t="s">
        <v>8</v>
      </c>
      <c r="M981" t="s">
        <v>7</v>
      </c>
      <c r="N981" t="s">
        <v>8</v>
      </c>
      <c r="P981">
        <f t="shared" si="998"/>
        <v>8.6419753086417472E-2</v>
      </c>
      <c r="Q981">
        <f t="shared" si="999"/>
        <v>627.58303827158841</v>
      </c>
      <c r="R981">
        <f t="shared" si="1000"/>
        <v>54558.426306622612</v>
      </c>
      <c r="S981">
        <f t="shared" si="1001"/>
        <v>0.54558426306622609</v>
      </c>
      <c r="T981">
        <f t="shared" si="1002"/>
        <v>5.4558426306622614E-4</v>
      </c>
    </row>
    <row r="982" spans="1:20" x14ac:dyDescent="0.25">
      <c r="A982" s="5">
        <v>43611</v>
      </c>
      <c r="B982">
        <v>155.59</v>
      </c>
      <c r="C982">
        <v>164.35</v>
      </c>
      <c r="D982">
        <v>151.47</v>
      </c>
      <c r="E982">
        <v>161.96</v>
      </c>
      <c r="F982">
        <v>3384.9871800000001</v>
      </c>
      <c r="G982">
        <v>0</v>
      </c>
      <c r="L982" t="s">
        <v>7</v>
      </c>
      <c r="M982" t="s">
        <v>7</v>
      </c>
      <c r="N982" t="s">
        <v>8</v>
      </c>
      <c r="P982">
        <f t="shared" si="998"/>
        <v>0.62888198757764169</v>
      </c>
      <c r="Q982">
        <f t="shared" si="999"/>
        <v>2128.7574656832362</v>
      </c>
      <c r="R982">
        <f t="shared" si="1000"/>
        <v>53930.843268351025</v>
      </c>
      <c r="S982">
        <f t="shared" si="1001"/>
        <v>0.53930843268351025</v>
      </c>
      <c r="T982">
        <f t="shared" si="1002"/>
        <v>5.3930843268351028E-4</v>
      </c>
    </row>
    <row r="983" spans="1:20" x14ac:dyDescent="0.25">
      <c r="A983" s="5">
        <v>43610</v>
      </c>
      <c r="B983">
        <v>155.80000000000001</v>
      </c>
      <c r="C983">
        <v>160.19</v>
      </c>
      <c r="D983">
        <v>153.02000000000001</v>
      </c>
      <c r="E983">
        <v>156.02000000000001</v>
      </c>
      <c r="F983">
        <v>2900.3081499999998</v>
      </c>
      <c r="G983">
        <v>0</v>
      </c>
      <c r="L983" t="s">
        <v>8</v>
      </c>
      <c r="M983" t="s">
        <v>7</v>
      </c>
      <c r="N983" t="s">
        <v>8</v>
      </c>
      <c r="P983">
        <f t="shared" si="998"/>
        <v>-0.16317991631799017</v>
      </c>
      <c r="Q983">
        <f t="shared" si="999"/>
        <v>-473.27204121338485</v>
      </c>
      <c r="R983">
        <f t="shared" si="1000"/>
        <v>51802.085802667789</v>
      </c>
      <c r="S983">
        <f t="shared" si="1001"/>
        <v>0.51802085802667786</v>
      </c>
      <c r="T983">
        <f t="shared" si="1002"/>
        <v>5.1802085802667782E-4</v>
      </c>
    </row>
    <row r="984" spans="1:20" x14ac:dyDescent="0.25">
      <c r="A984" s="5">
        <v>43609</v>
      </c>
      <c r="B984">
        <v>154.02000000000001</v>
      </c>
      <c r="C984">
        <v>162.31</v>
      </c>
      <c r="D984">
        <v>153.12</v>
      </c>
      <c r="E984">
        <v>155.80000000000001</v>
      </c>
      <c r="F984">
        <v>5761.6354000000001</v>
      </c>
      <c r="G984">
        <v>0</v>
      </c>
      <c r="L984" t="s">
        <v>8</v>
      </c>
      <c r="M984" t="s">
        <v>7</v>
      </c>
      <c r="N984" t="s">
        <v>8</v>
      </c>
      <c r="P984">
        <f t="shared" si="998"/>
        <v>-0.41675734494015071</v>
      </c>
      <c r="Q984">
        <f t="shared" si="999"/>
        <v>-2401.2038718171834</v>
      </c>
      <c r="R984">
        <f t="shared" si="1000"/>
        <v>52275.357843881175</v>
      </c>
      <c r="S984">
        <f t="shared" si="1001"/>
        <v>0.52275357843881176</v>
      </c>
      <c r="T984">
        <f t="shared" si="1002"/>
        <v>5.2275357843881176E-4</v>
      </c>
    </row>
    <row r="985" spans="1:20" x14ac:dyDescent="0.25">
      <c r="A985" s="5">
        <v>43608</v>
      </c>
      <c r="B985">
        <v>153.87</v>
      </c>
      <c r="C985">
        <v>156.13999999999999</v>
      </c>
      <c r="D985">
        <v>145.61000000000001</v>
      </c>
      <c r="E985">
        <v>154.06</v>
      </c>
      <c r="F985">
        <v>7676.2604099999999</v>
      </c>
      <c r="G985">
        <v>0</v>
      </c>
      <c r="L985" t="s">
        <v>7</v>
      </c>
      <c r="M985" t="s">
        <v>7</v>
      </c>
      <c r="N985" t="s">
        <v>8</v>
      </c>
      <c r="P985">
        <f t="shared" si="998"/>
        <v>0.60493827160494029</v>
      </c>
      <c r="Q985">
        <f t="shared" si="999"/>
        <v>4643.6637048148305</v>
      </c>
      <c r="R985">
        <f t="shared" si="1000"/>
        <v>54676.561715698357</v>
      </c>
      <c r="S985">
        <f t="shared" si="1001"/>
        <v>0.54676561715698357</v>
      </c>
      <c r="T985">
        <f t="shared" si="1002"/>
        <v>5.4676561715698356E-4</v>
      </c>
    </row>
    <row r="986" spans="1:20" x14ac:dyDescent="0.25">
      <c r="A986" s="5">
        <v>43607</v>
      </c>
      <c r="B986">
        <v>165.72</v>
      </c>
      <c r="C986">
        <v>167.97</v>
      </c>
      <c r="D986">
        <v>150.99</v>
      </c>
      <c r="E986">
        <v>153.87</v>
      </c>
      <c r="F986">
        <v>6338.8842500000001</v>
      </c>
      <c r="G986">
        <v>0</v>
      </c>
      <c r="L986" t="s">
        <v>7</v>
      </c>
      <c r="M986" t="s">
        <v>7</v>
      </c>
      <c r="N986" t="s">
        <v>8</v>
      </c>
      <c r="P986">
        <f t="shared" si="998"/>
        <v>-0.66077738515901097</v>
      </c>
      <c r="Q986">
        <f t="shared" si="999"/>
        <v>-4188.5913595406382</v>
      </c>
      <c r="R986">
        <f t="shared" si="1000"/>
        <v>50032.898010883524</v>
      </c>
      <c r="S986">
        <f t="shared" si="1001"/>
        <v>0.5003289801088352</v>
      </c>
      <c r="T986">
        <f t="shared" si="1002"/>
        <v>5.0032898010883521E-4</v>
      </c>
    </row>
    <row r="987" spans="1:20" x14ac:dyDescent="0.25">
      <c r="A987" s="5">
        <v>43606</v>
      </c>
      <c r="B987">
        <v>166.39</v>
      </c>
      <c r="C987">
        <v>168.99</v>
      </c>
      <c r="D987">
        <v>159.03</v>
      </c>
      <c r="E987">
        <v>165.71</v>
      </c>
      <c r="F987">
        <v>11959.54869</v>
      </c>
      <c r="G987">
        <v>0</v>
      </c>
      <c r="L987" t="s">
        <v>8</v>
      </c>
      <c r="M987" t="s">
        <v>8</v>
      </c>
      <c r="N987" t="s">
        <v>8</v>
      </c>
      <c r="P987">
        <f t="shared" si="998"/>
        <v>0.34136546184738986</v>
      </c>
      <c r="Q987">
        <f t="shared" si="999"/>
        <v>4082.5768620481963</v>
      </c>
      <c r="R987">
        <f t="shared" si="1000"/>
        <v>54221.489370424162</v>
      </c>
      <c r="S987">
        <f t="shared" si="1001"/>
        <v>0.54221489370424159</v>
      </c>
      <c r="T987">
        <f t="shared" si="1002"/>
        <v>5.4221489370424153E-4</v>
      </c>
    </row>
    <row r="988" spans="1:20" x14ac:dyDescent="0.25">
      <c r="A988" s="5">
        <v>43605</v>
      </c>
      <c r="B988">
        <v>172.23</v>
      </c>
      <c r="C988">
        <v>176</v>
      </c>
      <c r="D988">
        <v>155.96</v>
      </c>
      <c r="E988">
        <v>166.45</v>
      </c>
      <c r="F988">
        <v>18171.710299999999</v>
      </c>
      <c r="G988">
        <v>0</v>
      </c>
      <c r="L988" t="s">
        <v>7</v>
      </c>
      <c r="M988" t="s">
        <v>8</v>
      </c>
      <c r="N988" t="s">
        <v>8</v>
      </c>
      <c r="P988">
        <f t="shared" si="998"/>
        <v>4.6906187624748984E-2</v>
      </c>
      <c r="Q988">
        <f t="shared" si="999"/>
        <v>852.36565279438355</v>
      </c>
      <c r="R988">
        <f t="shared" si="1000"/>
        <v>50138.912508375965</v>
      </c>
      <c r="S988">
        <f t="shared" si="1001"/>
        <v>0.50138912508375966</v>
      </c>
      <c r="T988">
        <f t="shared" si="1002"/>
        <v>5.0138912508375963E-4</v>
      </c>
    </row>
    <row r="989" spans="1:20" x14ac:dyDescent="0.25">
      <c r="A989" s="5">
        <v>43604</v>
      </c>
      <c r="B989">
        <v>140.54</v>
      </c>
      <c r="C989">
        <v>176.74</v>
      </c>
      <c r="D989">
        <v>140.24</v>
      </c>
      <c r="E989">
        <v>172.14</v>
      </c>
      <c r="F989">
        <v>13297.90897</v>
      </c>
      <c r="G989">
        <v>0</v>
      </c>
      <c r="L989" t="s">
        <v>8</v>
      </c>
      <c r="M989" t="s">
        <v>8</v>
      </c>
      <c r="N989" t="s">
        <v>8</v>
      </c>
      <c r="P989">
        <f t="shared" si="998"/>
        <v>0.74794520547945076</v>
      </c>
      <c r="Q989">
        <f t="shared" si="999"/>
        <v>9946.1072570136821</v>
      </c>
      <c r="R989">
        <f t="shared" si="1000"/>
        <v>49286.546855581582</v>
      </c>
      <c r="S989">
        <f t="shared" si="1001"/>
        <v>0.49286546855581581</v>
      </c>
      <c r="T989">
        <f t="shared" si="1002"/>
        <v>4.9286546855581577E-4</v>
      </c>
    </row>
    <row r="990" spans="1:20" x14ac:dyDescent="0.25">
      <c r="A990" s="5">
        <v>43603</v>
      </c>
      <c r="B990">
        <v>139.44999999999999</v>
      </c>
      <c r="C990">
        <v>144.28</v>
      </c>
      <c r="D990">
        <v>134.05000000000001</v>
      </c>
      <c r="E990">
        <v>141.03</v>
      </c>
      <c r="F990">
        <v>6740.1096699999998</v>
      </c>
      <c r="G990">
        <v>0</v>
      </c>
      <c r="L990" t="s">
        <v>8</v>
      </c>
      <c r="M990" t="s">
        <v>7</v>
      </c>
      <c r="N990" t="s">
        <v>8</v>
      </c>
      <c r="P990">
        <f t="shared" si="998"/>
        <v>0.36461388074291234</v>
      </c>
      <c r="Q990">
        <f t="shared" si="999"/>
        <v>2457.5375434115304</v>
      </c>
      <c r="R990">
        <f t="shared" si="1000"/>
        <v>39340.4395985679</v>
      </c>
      <c r="S990">
        <f t="shared" si="1001"/>
        <v>0.393404395985679</v>
      </c>
      <c r="T990">
        <f t="shared" si="1002"/>
        <v>3.9340439598567901E-4</v>
      </c>
    </row>
    <row r="991" spans="1:20" x14ac:dyDescent="0.25">
      <c r="A991" s="5">
        <v>43602</v>
      </c>
      <c r="B991">
        <v>149.03</v>
      </c>
      <c r="C991">
        <v>150.06</v>
      </c>
      <c r="D991">
        <v>126.97</v>
      </c>
      <c r="E991">
        <v>139.49</v>
      </c>
      <c r="F991">
        <v>11499.03441</v>
      </c>
      <c r="G991">
        <v>0</v>
      </c>
      <c r="L991" t="s">
        <v>7</v>
      </c>
      <c r="M991" t="s">
        <v>7</v>
      </c>
      <c r="N991" t="s">
        <v>8</v>
      </c>
      <c r="P991">
        <f t="shared" si="998"/>
        <v>8.4452143785189115E-2</v>
      </c>
      <c r="Q991">
        <f t="shared" si="999"/>
        <v>971.11810738415727</v>
      </c>
      <c r="R991">
        <f t="shared" si="1000"/>
        <v>36882.902055156366</v>
      </c>
      <c r="S991">
        <f t="shared" si="1001"/>
        <v>0.36882902055156364</v>
      </c>
      <c r="T991">
        <f t="shared" si="1002"/>
        <v>3.6882902055156364E-4</v>
      </c>
    </row>
    <row r="992" spans="1:20" x14ac:dyDescent="0.25">
      <c r="A992" s="5">
        <v>43601</v>
      </c>
      <c r="B992">
        <v>154.07</v>
      </c>
      <c r="C992">
        <v>164.11</v>
      </c>
      <c r="D992">
        <v>143.65</v>
      </c>
      <c r="E992">
        <v>149.03</v>
      </c>
      <c r="F992">
        <v>10560.85745</v>
      </c>
      <c r="G992">
        <v>0</v>
      </c>
      <c r="L992" t="s">
        <v>8</v>
      </c>
      <c r="M992" t="s">
        <v>8</v>
      </c>
      <c r="N992" t="s">
        <v>8</v>
      </c>
      <c r="P992">
        <f t="shared" si="998"/>
        <v>-0.47409579667644247</v>
      </c>
      <c r="Q992">
        <f t="shared" si="999"/>
        <v>-5006.8581263440929</v>
      </c>
      <c r="R992">
        <f t="shared" si="1000"/>
        <v>35911.783947772208</v>
      </c>
      <c r="S992">
        <f t="shared" si="1001"/>
        <v>0.35911783947772208</v>
      </c>
      <c r="T992">
        <f t="shared" si="1002"/>
        <v>3.5911783947772209E-4</v>
      </c>
    </row>
    <row r="993" spans="1:20" x14ac:dyDescent="0.25">
      <c r="A993" s="5">
        <v>43600</v>
      </c>
      <c r="B993">
        <v>141.66999999999999</v>
      </c>
      <c r="C993">
        <v>155.46</v>
      </c>
      <c r="D993">
        <v>140.77000000000001</v>
      </c>
      <c r="E993">
        <v>154.13999999999999</v>
      </c>
      <c r="F993">
        <v>9394.9462999999996</v>
      </c>
      <c r="G993">
        <v>0</v>
      </c>
      <c r="L993" t="s">
        <v>8</v>
      </c>
      <c r="M993" t="s">
        <v>8</v>
      </c>
      <c r="N993" t="s">
        <v>8</v>
      </c>
      <c r="P993">
        <f t="shared" si="998"/>
        <v>0.820285908781481</v>
      </c>
      <c r="Q993">
        <f t="shared" si="999"/>
        <v>7706.5420636487124</v>
      </c>
      <c r="R993">
        <f t="shared" si="1000"/>
        <v>40918.642074116302</v>
      </c>
      <c r="S993">
        <f t="shared" si="1001"/>
        <v>0.40918642074116301</v>
      </c>
      <c r="T993">
        <f t="shared" si="1002"/>
        <v>4.0918642074116301E-4</v>
      </c>
    </row>
    <row r="994" spans="1:20" x14ac:dyDescent="0.25">
      <c r="A994" s="5">
        <v>43599</v>
      </c>
      <c r="B994">
        <v>131.15</v>
      </c>
      <c r="C994">
        <v>142.91</v>
      </c>
      <c r="D994">
        <v>130.53</v>
      </c>
      <c r="E994">
        <v>141.66999999999999</v>
      </c>
      <c r="F994">
        <v>9125.4901800000007</v>
      </c>
      <c r="G994">
        <v>0</v>
      </c>
      <c r="L994" t="s">
        <v>8</v>
      </c>
      <c r="M994" t="s">
        <v>8</v>
      </c>
      <c r="N994" t="s">
        <v>8</v>
      </c>
      <c r="P994">
        <f t="shared" si="998"/>
        <v>0.79967689822293864</v>
      </c>
      <c r="Q994">
        <f t="shared" si="999"/>
        <v>7297.4436819062867</v>
      </c>
      <c r="R994">
        <f t="shared" si="1000"/>
        <v>33212.100010467591</v>
      </c>
      <c r="S994">
        <f t="shared" si="1001"/>
        <v>0.33212100010467593</v>
      </c>
      <c r="T994">
        <f t="shared" si="1002"/>
        <v>3.3212100010467593E-4</v>
      </c>
    </row>
    <row r="995" spans="1:20" x14ac:dyDescent="0.25">
      <c r="A995" s="5">
        <v>43598</v>
      </c>
      <c r="B995">
        <v>125.22</v>
      </c>
      <c r="C995">
        <v>136.38</v>
      </c>
      <c r="D995">
        <v>124.23</v>
      </c>
      <c r="E995">
        <v>130.51</v>
      </c>
      <c r="F995">
        <v>9325.59123</v>
      </c>
      <c r="G995">
        <v>0</v>
      </c>
      <c r="L995" t="s">
        <v>8</v>
      </c>
      <c r="M995" t="s">
        <v>8</v>
      </c>
      <c r="N995" t="s">
        <v>8</v>
      </c>
      <c r="P995">
        <f t="shared" si="998"/>
        <v>3.3744855967076763E-2</v>
      </c>
      <c r="Q995">
        <f t="shared" si="999"/>
        <v>314.69073286418421</v>
      </c>
      <c r="R995">
        <f t="shared" si="1000"/>
        <v>25914.656328561301</v>
      </c>
      <c r="S995">
        <f t="shared" si="1001"/>
        <v>0.25914656328561303</v>
      </c>
      <c r="T995">
        <f t="shared" si="1002"/>
        <v>2.5914656328561301E-4</v>
      </c>
    </row>
    <row r="996" spans="1:20" x14ac:dyDescent="0.25">
      <c r="A996" s="5">
        <v>43597</v>
      </c>
      <c r="B996">
        <v>122.82</v>
      </c>
      <c r="C996">
        <v>127.96</v>
      </c>
      <c r="D996">
        <v>117.13</v>
      </c>
      <c r="E996">
        <v>125.22</v>
      </c>
      <c r="F996">
        <v>6405.0275700000002</v>
      </c>
      <c r="G996">
        <v>0</v>
      </c>
      <c r="L996" t="s">
        <v>8</v>
      </c>
      <c r="M996" t="s">
        <v>8</v>
      </c>
      <c r="N996" t="s">
        <v>8</v>
      </c>
      <c r="P996">
        <f t="shared" si="998"/>
        <v>0.49399815327793256</v>
      </c>
      <c r="Q996">
        <f t="shared" si="999"/>
        <v>3164.0717912742439</v>
      </c>
      <c r="R996">
        <f t="shared" si="1000"/>
        <v>25599.965595697118</v>
      </c>
      <c r="S996">
        <f t="shared" si="1001"/>
        <v>0.25599965595697116</v>
      </c>
      <c r="T996">
        <f t="shared" si="1002"/>
        <v>2.5599965595697117E-4</v>
      </c>
    </row>
    <row r="997" spans="1:20" x14ac:dyDescent="0.25">
      <c r="A997" s="5">
        <v>43596</v>
      </c>
      <c r="B997">
        <v>112.92</v>
      </c>
      <c r="C997">
        <v>126.3</v>
      </c>
      <c r="D997">
        <v>111.77</v>
      </c>
      <c r="E997">
        <v>122.83</v>
      </c>
      <c r="F997">
        <v>7220.1012099999998</v>
      </c>
      <c r="G997">
        <v>0</v>
      </c>
      <c r="L997" t="s">
        <v>8</v>
      </c>
      <c r="M997" t="s">
        <v>8</v>
      </c>
      <c r="N997" t="s">
        <v>8</v>
      </c>
      <c r="P997">
        <f t="shared" si="998"/>
        <v>0.52236751548520322</v>
      </c>
      <c r="Q997">
        <f t="shared" si="999"/>
        <v>3771.5463306194092</v>
      </c>
      <c r="R997">
        <f t="shared" si="1000"/>
        <v>22435.893804422874</v>
      </c>
      <c r="S997">
        <f t="shared" si="1001"/>
        <v>0.22435893804422874</v>
      </c>
      <c r="T997">
        <f t="shared" si="1002"/>
        <v>2.2435893804422874E-4</v>
      </c>
    </row>
    <row r="998" spans="1:20" x14ac:dyDescent="0.25">
      <c r="A998" s="5">
        <v>43595</v>
      </c>
      <c r="B998">
        <v>112.37</v>
      </c>
      <c r="C998">
        <v>115.94</v>
      </c>
      <c r="D998">
        <v>111.09</v>
      </c>
      <c r="E998">
        <v>112.92</v>
      </c>
      <c r="F998">
        <v>2560.8280100000002</v>
      </c>
      <c r="G998">
        <v>0</v>
      </c>
      <c r="L998" t="s">
        <v>7</v>
      </c>
      <c r="M998" t="s">
        <v>7</v>
      </c>
      <c r="N998" t="s">
        <v>8</v>
      </c>
      <c r="P998">
        <f t="shared" si="998"/>
        <v>-0.24536082474226786</v>
      </c>
      <c r="Q998">
        <f t="shared" si="999"/>
        <v>-628.32687255670066</v>
      </c>
      <c r="R998">
        <f t="shared" si="1000"/>
        <v>18664.347473803464</v>
      </c>
      <c r="S998">
        <f t="shared" si="1001"/>
        <v>0.18664347473803464</v>
      </c>
      <c r="T998">
        <f t="shared" si="1002"/>
        <v>1.8664347473803465E-4</v>
      </c>
    </row>
    <row r="999" spans="1:20" x14ac:dyDescent="0.25">
      <c r="A999" s="5">
        <v>43594</v>
      </c>
      <c r="B999">
        <v>117.6</v>
      </c>
      <c r="C999">
        <v>118.81</v>
      </c>
      <c r="D999">
        <v>110.26</v>
      </c>
      <c r="E999">
        <v>112.3</v>
      </c>
      <c r="F999">
        <v>3298.3292200000001</v>
      </c>
      <c r="G999">
        <v>0</v>
      </c>
      <c r="L999" t="s">
        <v>7</v>
      </c>
      <c r="M999" t="s">
        <v>7</v>
      </c>
      <c r="N999" t="s">
        <v>8</v>
      </c>
      <c r="P999">
        <f t="shared" si="998"/>
        <v>-0.52280701754386139</v>
      </c>
      <c r="Q999">
        <f t="shared" si="999"/>
        <v>-1724.3896623859707</v>
      </c>
      <c r="R999">
        <f t="shared" si="1000"/>
        <v>19292.674346360163</v>
      </c>
      <c r="S999">
        <f t="shared" si="1001"/>
        <v>0.19292674346360164</v>
      </c>
      <c r="T999">
        <f t="shared" si="1002"/>
        <v>1.9292674346360164E-4</v>
      </c>
    </row>
    <row r="1000" spans="1:20" x14ac:dyDescent="0.25">
      <c r="A1000" s="5">
        <v>43593</v>
      </c>
      <c r="B1000">
        <v>116.88</v>
      </c>
      <c r="C1000">
        <v>118.71</v>
      </c>
      <c r="D1000">
        <v>115</v>
      </c>
      <c r="E1000">
        <v>117.69</v>
      </c>
      <c r="F1000">
        <v>1182.87689</v>
      </c>
      <c r="G1000">
        <v>0</v>
      </c>
      <c r="L1000" t="s">
        <v>7</v>
      </c>
      <c r="M1000" t="s">
        <v>7</v>
      </c>
      <c r="N1000" t="s">
        <v>8</v>
      </c>
      <c r="P1000">
        <f t="shared" si="998"/>
        <v>0.45013477088948911</v>
      </c>
      <c r="Q1000">
        <f t="shared" si="999"/>
        <v>532.45401787062144</v>
      </c>
      <c r="R1000">
        <f t="shared" si="1000"/>
        <v>21017.064008746132</v>
      </c>
      <c r="S1000">
        <f t="shared" si="1001"/>
        <v>0.21017064008746134</v>
      </c>
      <c r="T1000">
        <f t="shared" si="1002"/>
        <v>2.1017064008746133E-4</v>
      </c>
    </row>
    <row r="1001" spans="1:20" x14ac:dyDescent="0.25">
      <c r="A1001" s="5">
        <v>43592</v>
      </c>
      <c r="B1001">
        <v>120.93</v>
      </c>
      <c r="C1001">
        <v>123.29</v>
      </c>
      <c r="D1001">
        <v>116.58</v>
      </c>
      <c r="E1001">
        <v>117.11</v>
      </c>
      <c r="F1001">
        <v>2895.7094099999999</v>
      </c>
      <c r="G1001">
        <v>0</v>
      </c>
      <c r="L1001" t="s">
        <v>8</v>
      </c>
      <c r="M1001" t="s">
        <v>7</v>
      </c>
      <c r="N1001" t="s">
        <v>8</v>
      </c>
      <c r="P1001">
        <f t="shared" si="998"/>
        <v>-0.84202682563338282</v>
      </c>
      <c r="Q1001">
        <f t="shared" si="999"/>
        <v>-2438.2650024590157</v>
      </c>
      <c r="R1001">
        <f t="shared" si="1000"/>
        <v>20484.60999087551</v>
      </c>
      <c r="S1001">
        <f t="shared" si="1001"/>
        <v>0.2048460999087551</v>
      </c>
      <c r="T1001">
        <f t="shared" si="1002"/>
        <v>2.0484609990875511E-4</v>
      </c>
    </row>
    <row r="1002" spans="1:20" x14ac:dyDescent="0.25">
      <c r="A1002" s="5">
        <v>43591</v>
      </c>
      <c r="B1002">
        <v>118.51</v>
      </c>
      <c r="C1002">
        <v>122.36</v>
      </c>
      <c r="D1002">
        <v>116.26</v>
      </c>
      <c r="E1002">
        <v>120.53</v>
      </c>
      <c r="F1002">
        <v>2218.4490099999998</v>
      </c>
      <c r="G1002">
        <v>0</v>
      </c>
      <c r="L1002" t="s">
        <v>8</v>
      </c>
      <c r="M1002" t="s">
        <v>7</v>
      </c>
      <c r="N1002" t="s">
        <v>8</v>
      </c>
      <c r="P1002">
        <f t="shared" si="998"/>
        <v>0.4</v>
      </c>
      <c r="Q1002">
        <f t="shared" si="999"/>
        <v>887.37960399999997</v>
      </c>
      <c r="R1002">
        <f t="shared" si="1000"/>
        <v>22922.874993334524</v>
      </c>
      <c r="S1002">
        <f t="shared" si="1001"/>
        <v>0.22922874993334524</v>
      </c>
      <c r="T1002">
        <f t="shared" si="1002"/>
        <v>2.2922874993334524E-4</v>
      </c>
    </row>
    <row r="1003" spans="1:20" x14ac:dyDescent="0.25">
      <c r="A1003" s="5">
        <v>43590</v>
      </c>
      <c r="B1003">
        <v>120.22</v>
      </c>
      <c r="C1003">
        <v>120.83</v>
      </c>
      <c r="D1003">
        <v>117.83</v>
      </c>
      <c r="E1003">
        <v>118.63</v>
      </c>
      <c r="F1003">
        <v>1224.0613000000001</v>
      </c>
      <c r="G1003">
        <v>0</v>
      </c>
      <c r="L1003" t="s">
        <v>8</v>
      </c>
      <c r="M1003" t="s">
        <v>7</v>
      </c>
      <c r="N1003" t="s">
        <v>8</v>
      </c>
      <c r="P1003">
        <f t="shared" si="998"/>
        <v>-0.46666666666666856</v>
      </c>
      <c r="Q1003">
        <f t="shared" si="999"/>
        <v>-571.22860666666907</v>
      </c>
      <c r="R1003">
        <f t="shared" si="1000"/>
        <v>22035.495389334523</v>
      </c>
      <c r="S1003">
        <f t="shared" si="1001"/>
        <v>0.22035495389334522</v>
      </c>
      <c r="T1003">
        <f t="shared" si="1002"/>
        <v>2.2035495389334522E-4</v>
      </c>
    </row>
    <row r="1004" spans="1:20" x14ac:dyDescent="0.25">
      <c r="A1004" s="5">
        <v>43589</v>
      </c>
      <c r="B1004">
        <v>121.09</v>
      </c>
      <c r="C1004">
        <v>123.91</v>
      </c>
      <c r="D1004">
        <v>116.58</v>
      </c>
      <c r="E1004">
        <v>120.22</v>
      </c>
      <c r="F1004">
        <v>5075.3024500000001</v>
      </c>
      <c r="G1004">
        <v>0</v>
      </c>
      <c r="L1004" t="s">
        <v>8</v>
      </c>
      <c r="M1004" t="s">
        <v>7</v>
      </c>
      <c r="N1004" t="s">
        <v>8</v>
      </c>
      <c r="P1004">
        <f t="shared" si="998"/>
        <v>-6.8212824010910186E-3</v>
      </c>
      <c r="Q1004">
        <f t="shared" si="999"/>
        <v>-34.620071282399131</v>
      </c>
      <c r="R1004">
        <f t="shared" si="1000"/>
        <v>22606.72399600119</v>
      </c>
      <c r="S1004">
        <f t="shared" si="1001"/>
        <v>0.22606723996001191</v>
      </c>
      <c r="T1004">
        <f t="shared" si="1002"/>
        <v>2.2606723996001192E-4</v>
      </c>
    </row>
    <row r="1005" spans="1:20" x14ac:dyDescent="0.25">
      <c r="A1005" s="5">
        <v>43588</v>
      </c>
      <c r="B1005">
        <v>116.41</v>
      </c>
      <c r="C1005">
        <v>121.57</v>
      </c>
      <c r="D1005">
        <v>115.65</v>
      </c>
      <c r="E1005">
        <v>120.71</v>
      </c>
      <c r="F1005">
        <v>5222.1044700000002</v>
      </c>
      <c r="G1005">
        <v>0</v>
      </c>
      <c r="L1005" t="s">
        <v>8</v>
      </c>
      <c r="M1005" t="s">
        <v>7</v>
      </c>
      <c r="N1005" t="s">
        <v>8</v>
      </c>
      <c r="P1005">
        <f t="shared" si="998"/>
        <v>0.70945945945945899</v>
      </c>
      <c r="Q1005">
        <f t="shared" si="999"/>
        <v>3704.8714145270246</v>
      </c>
      <c r="R1005">
        <f t="shared" si="1000"/>
        <v>22641.34406728359</v>
      </c>
      <c r="S1005">
        <f t="shared" si="1001"/>
        <v>0.22641344067283589</v>
      </c>
      <c r="T1005">
        <f t="shared" si="1002"/>
        <v>2.2641344067283588E-4</v>
      </c>
    </row>
    <row r="1006" spans="1:20" x14ac:dyDescent="0.25">
      <c r="A1006" s="5">
        <v>43587</v>
      </c>
      <c r="B1006">
        <v>116.95</v>
      </c>
      <c r="C1006">
        <v>118.9</v>
      </c>
      <c r="D1006">
        <v>114.9</v>
      </c>
      <c r="E1006">
        <v>117.13</v>
      </c>
      <c r="F1006">
        <v>5429.5305099999996</v>
      </c>
      <c r="G1006">
        <v>0</v>
      </c>
      <c r="L1006" t="s">
        <v>8</v>
      </c>
      <c r="M1006" t="s">
        <v>7</v>
      </c>
      <c r="N1006" t="s">
        <v>8</v>
      </c>
      <c r="P1006">
        <f t="shared" si="998"/>
        <v>0.11499999999999488</v>
      </c>
      <c r="Q1006">
        <f t="shared" si="999"/>
        <v>624.39600864997215</v>
      </c>
      <c r="R1006">
        <f t="shared" si="1000"/>
        <v>18936.472652756565</v>
      </c>
      <c r="S1006">
        <f t="shared" si="1001"/>
        <v>0.18936472652756564</v>
      </c>
      <c r="T1006">
        <f t="shared" si="1002"/>
        <v>1.8936472652756565E-4</v>
      </c>
    </row>
    <row r="1007" spans="1:20" x14ac:dyDescent="0.25">
      <c r="A1007" s="5">
        <v>43586</v>
      </c>
      <c r="B1007">
        <v>111.04</v>
      </c>
      <c r="C1007">
        <v>119.41</v>
      </c>
      <c r="D1007">
        <v>110.98</v>
      </c>
      <c r="E1007">
        <v>116.47</v>
      </c>
      <c r="F1007">
        <v>3771.2511399999999</v>
      </c>
      <c r="G1007">
        <v>0</v>
      </c>
      <c r="L1007" t="s">
        <v>8</v>
      </c>
      <c r="M1007" t="s">
        <v>7</v>
      </c>
      <c r="N1007" t="s">
        <v>8</v>
      </c>
      <c r="P1007">
        <f t="shared" si="998"/>
        <v>0.30249110320284689</v>
      </c>
      <c r="Q1007">
        <f t="shared" si="999"/>
        <v>1140.769917793594</v>
      </c>
      <c r="R1007">
        <f t="shared" si="1000"/>
        <v>18312.076644106593</v>
      </c>
      <c r="S1007">
        <f t="shared" si="1001"/>
        <v>0.18312076644106592</v>
      </c>
      <c r="T1007">
        <f t="shared" si="1002"/>
        <v>1.8312076644106594E-4</v>
      </c>
    </row>
    <row r="1008" spans="1:20" x14ac:dyDescent="0.25">
      <c r="A1008" s="5">
        <v>43585</v>
      </c>
      <c r="B1008">
        <v>107.72</v>
      </c>
      <c r="C1008">
        <v>111.71</v>
      </c>
      <c r="D1008">
        <v>106.93</v>
      </c>
      <c r="E1008">
        <v>110.98</v>
      </c>
      <c r="F1008">
        <v>1939.3073099999999</v>
      </c>
      <c r="G1008">
        <v>0</v>
      </c>
      <c r="L1008" t="s">
        <v>7</v>
      </c>
      <c r="M1008" t="s">
        <v>7</v>
      </c>
      <c r="N1008" t="s">
        <v>8</v>
      </c>
      <c r="P1008">
        <f t="shared" si="998"/>
        <v>0.69456066945607042</v>
      </c>
      <c r="Q1008">
        <f t="shared" si="999"/>
        <v>1346.9665835146511</v>
      </c>
      <c r="R1008">
        <f t="shared" si="1000"/>
        <v>17171.306726313</v>
      </c>
      <c r="S1008">
        <f t="shared" si="1001"/>
        <v>0.17171306726312999</v>
      </c>
      <c r="T1008">
        <f t="shared" si="1002"/>
        <v>1.7171306726312998E-4</v>
      </c>
    </row>
    <row r="1009" spans="1:20" x14ac:dyDescent="0.25">
      <c r="A1009" s="5">
        <v>43584</v>
      </c>
      <c r="B1009">
        <v>110.72</v>
      </c>
      <c r="C1009">
        <v>111.5</v>
      </c>
      <c r="D1009">
        <v>106.77</v>
      </c>
      <c r="E1009">
        <v>107.72</v>
      </c>
      <c r="F1009">
        <v>3402.1825199999998</v>
      </c>
      <c r="G1009">
        <v>0</v>
      </c>
      <c r="L1009" t="s">
        <v>7</v>
      </c>
      <c r="M1009" t="s">
        <v>7</v>
      </c>
      <c r="N1009" t="s">
        <v>8</v>
      </c>
      <c r="P1009">
        <f t="shared" si="998"/>
        <v>-0.59830866807610905</v>
      </c>
      <c r="Q1009">
        <f t="shared" si="999"/>
        <v>-2035.5552920930202</v>
      </c>
      <c r="R1009">
        <f t="shared" si="1000"/>
        <v>15824.340142798348</v>
      </c>
      <c r="S1009">
        <f t="shared" si="1001"/>
        <v>0.15824340142798349</v>
      </c>
      <c r="T1009">
        <f t="shared" si="1002"/>
        <v>1.5824340142798349E-4</v>
      </c>
    </row>
    <row r="1010" spans="1:20" x14ac:dyDescent="0.25">
      <c r="A1010" s="5">
        <v>43583</v>
      </c>
      <c r="B1010">
        <v>110.01</v>
      </c>
      <c r="C1010">
        <v>111.48</v>
      </c>
      <c r="D1010">
        <v>108.88</v>
      </c>
      <c r="E1010">
        <v>110.73</v>
      </c>
      <c r="F1010">
        <v>1248.18569</v>
      </c>
      <c r="G1010">
        <v>0</v>
      </c>
      <c r="L1010" t="s">
        <v>8</v>
      </c>
      <c r="M1010" t="s">
        <v>7</v>
      </c>
      <c r="N1010" t="s">
        <v>8</v>
      </c>
      <c r="P1010">
        <f t="shared" si="998"/>
        <v>0.42307692307692496</v>
      </c>
      <c r="Q1010">
        <f t="shared" si="999"/>
        <v>528.07856115384857</v>
      </c>
      <c r="R1010">
        <f t="shared" si="1000"/>
        <v>17859.895434891368</v>
      </c>
      <c r="S1010">
        <f t="shared" si="1001"/>
        <v>0.17859895434891368</v>
      </c>
      <c r="T1010">
        <f t="shared" si="1002"/>
        <v>1.7859895434891367E-4</v>
      </c>
    </row>
    <row r="1011" spans="1:20" x14ac:dyDescent="0.25">
      <c r="A1011" s="5">
        <v>43582</v>
      </c>
      <c r="B1011">
        <v>110.27</v>
      </c>
      <c r="C1011">
        <v>111.43</v>
      </c>
      <c r="D1011">
        <v>108.76</v>
      </c>
      <c r="E1011">
        <v>110.01</v>
      </c>
      <c r="F1011">
        <v>1345.4534900000001</v>
      </c>
      <c r="G1011">
        <v>0</v>
      </c>
      <c r="L1011" t="s">
        <v>8</v>
      </c>
      <c r="M1011" t="s">
        <v>7</v>
      </c>
      <c r="N1011" t="s">
        <v>8</v>
      </c>
      <c r="P1011">
        <f t="shared" si="998"/>
        <v>-6.3670411985019326E-2</v>
      </c>
      <c r="Q1011">
        <f t="shared" si="999"/>
        <v>-85.665578014982088</v>
      </c>
      <c r="R1011">
        <f t="shared" si="1000"/>
        <v>17331.81687373752</v>
      </c>
      <c r="S1011">
        <f t="shared" si="1001"/>
        <v>0.17331816873737521</v>
      </c>
      <c r="T1011">
        <f t="shared" si="1002"/>
        <v>1.7331816873737522E-4</v>
      </c>
    </row>
    <row r="1012" spans="1:20" x14ac:dyDescent="0.25">
      <c r="A1012" s="5">
        <v>43581</v>
      </c>
      <c r="B1012">
        <v>108.89</v>
      </c>
      <c r="C1012">
        <v>114.33</v>
      </c>
      <c r="D1012">
        <v>106.38</v>
      </c>
      <c r="E1012">
        <v>110.27</v>
      </c>
      <c r="F1012">
        <v>3136.9966399999998</v>
      </c>
      <c r="G1012">
        <v>0</v>
      </c>
      <c r="L1012" t="s">
        <v>8</v>
      </c>
      <c r="M1012" t="s">
        <v>7</v>
      </c>
      <c r="N1012" t="s">
        <v>8</v>
      </c>
      <c r="P1012">
        <f t="shared" si="998"/>
        <v>-2.1383647798742345E-2</v>
      </c>
      <c r="Q1012">
        <f t="shared" si="999"/>
        <v>-67.080431295598132</v>
      </c>
      <c r="R1012">
        <f t="shared" si="1000"/>
        <v>17417.482451752501</v>
      </c>
      <c r="S1012">
        <f t="shared" si="1001"/>
        <v>0.174174824517525</v>
      </c>
      <c r="T1012">
        <f t="shared" si="1002"/>
        <v>1.7417482451752501E-4</v>
      </c>
    </row>
    <row r="1013" spans="1:20" x14ac:dyDescent="0.25">
      <c r="A1013" s="5">
        <v>43580</v>
      </c>
      <c r="B1013">
        <v>115.45</v>
      </c>
      <c r="C1013">
        <v>118</v>
      </c>
      <c r="D1013">
        <v>106.91</v>
      </c>
      <c r="E1013">
        <v>108.89</v>
      </c>
      <c r="F1013">
        <v>4092.0347000000002</v>
      </c>
      <c r="G1013">
        <v>0</v>
      </c>
      <c r="L1013" t="s">
        <v>7</v>
      </c>
      <c r="M1013" t="s">
        <v>7</v>
      </c>
      <c r="N1013" t="s">
        <v>8</v>
      </c>
      <c r="P1013">
        <f t="shared" si="998"/>
        <v>-0.64292155094679826</v>
      </c>
      <c r="Q1013">
        <f t="shared" si="999"/>
        <v>-2630.8572958521163</v>
      </c>
      <c r="R1013">
        <f t="shared" si="1000"/>
        <v>17484.5628830481</v>
      </c>
      <c r="S1013">
        <f t="shared" si="1001"/>
        <v>0.17484562883048099</v>
      </c>
      <c r="T1013">
        <f t="shared" si="1002"/>
        <v>1.7484562883048098E-4</v>
      </c>
    </row>
    <row r="1014" spans="1:20" x14ac:dyDescent="0.25">
      <c r="A1014" s="5">
        <v>43579</v>
      </c>
      <c r="B1014">
        <v>117</v>
      </c>
      <c r="C1014">
        <v>120.28</v>
      </c>
      <c r="D1014">
        <v>110.8</v>
      </c>
      <c r="E1014">
        <v>115.02</v>
      </c>
      <c r="F1014">
        <v>5968.0432499999997</v>
      </c>
      <c r="G1014">
        <v>0</v>
      </c>
      <c r="L1014" t="s">
        <v>7</v>
      </c>
      <c r="M1014" t="s">
        <v>7</v>
      </c>
      <c r="N1014" t="s">
        <v>8</v>
      </c>
      <c r="P1014">
        <f t="shared" si="998"/>
        <v>-0.10970464135021159</v>
      </c>
      <c r="Q1014">
        <f t="shared" si="999"/>
        <v>-654.72204430380111</v>
      </c>
      <c r="R1014">
        <f t="shared" si="1000"/>
        <v>20115.420178900215</v>
      </c>
      <c r="S1014">
        <f t="shared" si="1001"/>
        <v>0.20115420178900215</v>
      </c>
      <c r="T1014">
        <f t="shared" si="1002"/>
        <v>2.0115420178900214E-4</v>
      </c>
    </row>
    <row r="1015" spans="1:20" x14ac:dyDescent="0.25">
      <c r="A1015" s="5">
        <v>43578</v>
      </c>
      <c r="B1015">
        <v>122.15</v>
      </c>
      <c r="C1015">
        <v>125.38</v>
      </c>
      <c r="D1015">
        <v>117.05</v>
      </c>
      <c r="E1015">
        <v>117.05</v>
      </c>
      <c r="F1015">
        <v>1997.6209899999999</v>
      </c>
      <c r="G1015">
        <v>0</v>
      </c>
      <c r="L1015" t="s">
        <v>7</v>
      </c>
      <c r="M1015" t="s">
        <v>7</v>
      </c>
      <c r="N1015" t="s">
        <v>8</v>
      </c>
      <c r="P1015">
        <f t="shared" si="998"/>
        <v>-1</v>
      </c>
      <c r="Q1015">
        <f t="shared" si="999"/>
        <v>-1997.6209899999999</v>
      </c>
      <c r="R1015">
        <f t="shared" si="1000"/>
        <v>20770.142223204017</v>
      </c>
      <c r="S1015">
        <f t="shared" si="1001"/>
        <v>0.20770142223204016</v>
      </c>
      <c r="T1015">
        <f t="shared" si="1002"/>
        <v>2.0770142223204015E-4</v>
      </c>
    </row>
    <row r="1016" spans="1:20" x14ac:dyDescent="0.25">
      <c r="A1016" s="5">
        <v>43577</v>
      </c>
      <c r="B1016">
        <v>121.22</v>
      </c>
      <c r="C1016">
        <v>122.88</v>
      </c>
      <c r="D1016">
        <v>118.75</v>
      </c>
      <c r="E1016">
        <v>121.65</v>
      </c>
      <c r="F1016">
        <v>1540.87078</v>
      </c>
      <c r="G1016">
        <v>0</v>
      </c>
      <c r="L1016" t="s">
        <v>7</v>
      </c>
      <c r="M1016" t="s">
        <v>7</v>
      </c>
      <c r="N1016" t="s">
        <v>8</v>
      </c>
      <c r="P1016">
        <f t="shared" si="998"/>
        <v>0.40435835351090016</v>
      </c>
      <c r="Q1016">
        <f t="shared" si="999"/>
        <v>623.06397157385641</v>
      </c>
      <c r="R1016">
        <f t="shared" si="1000"/>
        <v>22767.763213204016</v>
      </c>
      <c r="S1016">
        <f t="shared" si="1001"/>
        <v>0.22767763213204018</v>
      </c>
      <c r="T1016">
        <f t="shared" si="1002"/>
        <v>2.2767763213204018E-4</v>
      </c>
    </row>
    <row r="1017" spans="1:20" x14ac:dyDescent="0.25">
      <c r="A1017" s="5">
        <v>43576</v>
      </c>
      <c r="B1017">
        <v>123.27</v>
      </c>
      <c r="C1017">
        <v>123.72</v>
      </c>
      <c r="D1017">
        <v>117.22</v>
      </c>
      <c r="E1017">
        <v>121.19</v>
      </c>
      <c r="F1017">
        <v>3007.9715299999998</v>
      </c>
      <c r="G1017">
        <v>0</v>
      </c>
      <c r="L1017" t="s">
        <v>7</v>
      </c>
      <c r="M1017" t="s">
        <v>7</v>
      </c>
      <c r="N1017" t="s">
        <v>8</v>
      </c>
      <c r="P1017">
        <f t="shared" si="998"/>
        <v>0.22153846153846118</v>
      </c>
      <c r="Q1017">
        <f t="shared" si="999"/>
        <v>666.38138510769124</v>
      </c>
      <c r="R1017">
        <f t="shared" si="1000"/>
        <v>22144.699241630158</v>
      </c>
      <c r="S1017">
        <f t="shared" si="1001"/>
        <v>0.22144699241630159</v>
      </c>
      <c r="T1017">
        <f t="shared" si="1002"/>
        <v>2.214469924163016E-4</v>
      </c>
    </row>
    <row r="1018" spans="1:20" x14ac:dyDescent="0.25">
      <c r="A1018" s="5">
        <v>43575</v>
      </c>
      <c r="B1018">
        <v>121.87</v>
      </c>
      <c r="C1018">
        <v>124.47</v>
      </c>
      <c r="D1018">
        <v>121.3</v>
      </c>
      <c r="E1018">
        <v>123.1</v>
      </c>
      <c r="F1018">
        <v>1741.7575400000001</v>
      </c>
      <c r="G1018">
        <v>0</v>
      </c>
      <c r="L1018" t="s">
        <v>7</v>
      </c>
      <c r="M1018" t="s">
        <v>7</v>
      </c>
      <c r="N1018" t="s">
        <v>8</v>
      </c>
      <c r="P1018">
        <f t="shared" si="998"/>
        <v>0.13564668769715849</v>
      </c>
      <c r="Q1018">
        <f t="shared" si="999"/>
        <v>236.26364107255102</v>
      </c>
      <c r="R1018">
        <f t="shared" si="1000"/>
        <v>21478.317856522466</v>
      </c>
      <c r="S1018">
        <f t="shared" si="1001"/>
        <v>0.21478317856522466</v>
      </c>
      <c r="T1018">
        <f t="shared" si="1002"/>
        <v>2.1478317856522467E-4</v>
      </c>
    </row>
    <row r="1019" spans="1:20" x14ac:dyDescent="0.25">
      <c r="A1019" s="5">
        <v>43574</v>
      </c>
      <c r="B1019">
        <v>123.54</v>
      </c>
      <c r="C1019">
        <v>123.82</v>
      </c>
      <c r="D1019">
        <v>119.45</v>
      </c>
      <c r="E1019">
        <v>122.11</v>
      </c>
      <c r="F1019">
        <v>3781.2912000000001</v>
      </c>
      <c r="G1019">
        <v>0</v>
      </c>
      <c r="L1019" t="s">
        <v>7</v>
      </c>
      <c r="M1019" t="s">
        <v>7</v>
      </c>
      <c r="N1019" t="s">
        <v>8</v>
      </c>
      <c r="P1019">
        <f t="shared" si="998"/>
        <v>0.21739130434782722</v>
      </c>
      <c r="Q1019">
        <f t="shared" si="999"/>
        <v>822.01982608696085</v>
      </c>
      <c r="R1019">
        <f t="shared" si="1000"/>
        <v>21242.054215449916</v>
      </c>
      <c r="S1019">
        <f t="shared" si="1001"/>
        <v>0.21242054215449915</v>
      </c>
      <c r="T1019">
        <f t="shared" si="1002"/>
        <v>2.1242054215449914E-4</v>
      </c>
    </row>
    <row r="1020" spans="1:20" x14ac:dyDescent="0.25">
      <c r="A1020" s="5">
        <v>43573</v>
      </c>
      <c r="B1020">
        <v>119.94</v>
      </c>
      <c r="C1020">
        <v>125.59</v>
      </c>
      <c r="D1020">
        <v>119.7</v>
      </c>
      <c r="E1020">
        <v>123.52</v>
      </c>
      <c r="F1020">
        <v>5542.1933799999997</v>
      </c>
      <c r="G1020">
        <v>0</v>
      </c>
      <c r="L1020" t="s">
        <v>7</v>
      </c>
      <c r="M1020" t="s">
        <v>7</v>
      </c>
      <c r="N1020" t="s">
        <v>8</v>
      </c>
      <c r="P1020">
        <f t="shared" si="998"/>
        <v>0.29711375212223867</v>
      </c>
      <c r="Q1020">
        <f t="shared" si="999"/>
        <v>1646.661870118832</v>
      </c>
      <c r="R1020">
        <f t="shared" si="1000"/>
        <v>20420.034389362954</v>
      </c>
      <c r="S1020">
        <f t="shared" si="1001"/>
        <v>0.20420034389362954</v>
      </c>
      <c r="T1020">
        <f t="shared" si="1002"/>
        <v>2.0420034389362953E-4</v>
      </c>
    </row>
    <row r="1021" spans="1:20" x14ac:dyDescent="0.25">
      <c r="A1021" s="5">
        <v>43572</v>
      </c>
      <c r="B1021">
        <v>120.5</v>
      </c>
      <c r="C1021">
        <v>122.33</v>
      </c>
      <c r="D1021">
        <v>118.44</v>
      </c>
      <c r="E1021">
        <v>120.08</v>
      </c>
      <c r="F1021">
        <v>2189.1850899999999</v>
      </c>
      <c r="G1021">
        <v>0</v>
      </c>
      <c r="L1021" t="s">
        <v>7</v>
      </c>
      <c r="M1021" t="s">
        <v>7</v>
      </c>
      <c r="N1021" t="s">
        <v>8</v>
      </c>
      <c r="P1021">
        <f t="shared" si="998"/>
        <v>-0.15681233933161937</v>
      </c>
      <c r="Q1021">
        <f t="shared" si="999"/>
        <v>-343.29123519280165</v>
      </c>
      <c r="R1021">
        <f t="shared" si="1000"/>
        <v>18773.372519244123</v>
      </c>
      <c r="S1021">
        <f t="shared" si="1001"/>
        <v>0.18773372519244125</v>
      </c>
      <c r="T1021">
        <f t="shared" si="1002"/>
        <v>1.8773372519244124E-4</v>
      </c>
    </row>
    <row r="1022" spans="1:20" x14ac:dyDescent="0.25">
      <c r="A1022" s="5">
        <v>43571</v>
      </c>
      <c r="B1022">
        <v>118.48</v>
      </c>
      <c r="C1022">
        <v>131</v>
      </c>
      <c r="D1022">
        <v>115.54</v>
      </c>
      <c r="E1022">
        <v>120.61</v>
      </c>
      <c r="F1022">
        <v>5110.5089799999996</v>
      </c>
      <c r="G1022">
        <v>0</v>
      </c>
      <c r="L1022" t="s">
        <v>8</v>
      </c>
      <c r="M1022" t="s">
        <v>7</v>
      </c>
      <c r="N1022" t="s">
        <v>8</v>
      </c>
      <c r="P1022">
        <f t="shared" si="998"/>
        <v>-0.34411384217335123</v>
      </c>
      <c r="Q1022">
        <f t="shared" si="999"/>
        <v>-1758.5968805692139</v>
      </c>
      <c r="R1022">
        <f t="shared" si="1000"/>
        <v>19116.663754436926</v>
      </c>
      <c r="S1022">
        <f t="shared" si="1001"/>
        <v>0.19116663754436927</v>
      </c>
      <c r="T1022">
        <f t="shared" si="1002"/>
        <v>1.9116663754436926E-4</v>
      </c>
    </row>
    <row r="1023" spans="1:20" x14ac:dyDescent="0.25">
      <c r="A1023" s="5">
        <v>43570</v>
      </c>
      <c r="B1023">
        <v>122.57</v>
      </c>
      <c r="C1023">
        <v>123.78</v>
      </c>
      <c r="D1023">
        <v>115.04</v>
      </c>
      <c r="E1023">
        <v>118.56</v>
      </c>
      <c r="F1023">
        <v>2777.4375700000001</v>
      </c>
      <c r="G1023">
        <v>0</v>
      </c>
      <c r="L1023" t="s">
        <v>7</v>
      </c>
      <c r="M1023" t="s">
        <v>7</v>
      </c>
      <c r="N1023" t="s">
        <v>8</v>
      </c>
      <c r="P1023">
        <f t="shared" ref="P1023:P1041" si="1003">IF(C1023=D1023,0,((E1023-D1023)-(C1023-E1023))/(C1023-D1023))</f>
        <v>-0.19450800915331851</v>
      </c>
      <c r="Q1023">
        <f t="shared" ref="Q1023:Q1041" si="1004">F1023*P1023</f>
        <v>-540.2338522883307</v>
      </c>
      <c r="R1023">
        <f t="shared" ref="R1023:R1041" si="1005">R1024+Q1023</f>
        <v>20875.26063500614</v>
      </c>
      <c r="S1023">
        <f t="shared" ref="S1023:S1041" si="1006">R1023/100000</f>
        <v>0.2087526063500614</v>
      </c>
      <c r="T1023">
        <f t="shared" ref="T1023:T1041" si="1007">S1023/1000</f>
        <v>2.087526063500614E-4</v>
      </c>
    </row>
    <row r="1024" spans="1:20" x14ac:dyDescent="0.25">
      <c r="A1024" s="5">
        <v>43569</v>
      </c>
      <c r="B1024">
        <v>119.1</v>
      </c>
      <c r="C1024">
        <v>123.16</v>
      </c>
      <c r="D1024">
        <v>117.88</v>
      </c>
      <c r="E1024">
        <v>122.57</v>
      </c>
      <c r="F1024">
        <v>1796.90255</v>
      </c>
      <c r="G1024">
        <v>0</v>
      </c>
      <c r="L1024" t="s">
        <v>8</v>
      </c>
      <c r="M1024" t="s">
        <v>7</v>
      </c>
      <c r="N1024" t="s">
        <v>8</v>
      </c>
      <c r="P1024">
        <f t="shared" si="1003"/>
        <v>0.77651515151515027</v>
      </c>
      <c r="Q1024">
        <f t="shared" si="1004"/>
        <v>1395.3220558712098</v>
      </c>
      <c r="R1024">
        <f t="shared" si="1005"/>
        <v>21415.494487294469</v>
      </c>
      <c r="S1024">
        <f t="shared" si="1006"/>
        <v>0.21415494487294467</v>
      </c>
      <c r="T1024">
        <f t="shared" si="1007"/>
        <v>2.1415494487294468E-4</v>
      </c>
    </row>
    <row r="1025" spans="1:20" x14ac:dyDescent="0.25">
      <c r="A1025" s="5">
        <v>43568</v>
      </c>
      <c r="B1025">
        <v>118.72</v>
      </c>
      <c r="C1025">
        <v>119.84</v>
      </c>
      <c r="D1025">
        <v>117.11</v>
      </c>
      <c r="E1025">
        <v>119.1</v>
      </c>
      <c r="F1025">
        <v>1390.2635600000001</v>
      </c>
      <c r="G1025">
        <v>0</v>
      </c>
      <c r="L1025" t="s">
        <v>8</v>
      </c>
      <c r="M1025" t="s">
        <v>7</v>
      </c>
      <c r="N1025" t="s">
        <v>8</v>
      </c>
      <c r="P1025">
        <f t="shared" si="1003"/>
        <v>0.45787545787545203</v>
      </c>
      <c r="Q1025">
        <f t="shared" si="1004"/>
        <v>636.56756410255605</v>
      </c>
      <c r="R1025">
        <f t="shared" si="1005"/>
        <v>20020.17243142326</v>
      </c>
      <c r="S1025">
        <f t="shared" si="1006"/>
        <v>0.20020172431423261</v>
      </c>
      <c r="T1025">
        <f t="shared" si="1007"/>
        <v>2.0020172431423262E-4</v>
      </c>
    </row>
    <row r="1026" spans="1:20" x14ac:dyDescent="0.25">
      <c r="A1026" s="5">
        <v>43567</v>
      </c>
      <c r="B1026">
        <v>122.3</v>
      </c>
      <c r="C1026">
        <v>123.03</v>
      </c>
      <c r="D1026">
        <v>114.98</v>
      </c>
      <c r="E1026">
        <v>118.93</v>
      </c>
      <c r="F1026">
        <v>4715.4185399999997</v>
      </c>
      <c r="G1026">
        <v>0</v>
      </c>
      <c r="L1026" t="s">
        <v>8</v>
      </c>
      <c r="M1026" t="s">
        <v>7</v>
      </c>
      <c r="N1026" t="s">
        <v>8</v>
      </c>
      <c r="P1026">
        <f t="shared" si="1003"/>
        <v>-1.8633540372669753E-2</v>
      </c>
      <c r="Q1026">
        <f t="shared" si="1004"/>
        <v>-87.864941739125456</v>
      </c>
      <c r="R1026">
        <f t="shared" si="1005"/>
        <v>19383.604867320704</v>
      </c>
      <c r="S1026">
        <f t="shared" si="1006"/>
        <v>0.19383604867320703</v>
      </c>
      <c r="T1026">
        <f t="shared" si="1007"/>
        <v>1.9383604867320703E-4</v>
      </c>
    </row>
    <row r="1027" spans="1:20" x14ac:dyDescent="0.25">
      <c r="A1027" s="5">
        <v>43566</v>
      </c>
      <c r="B1027">
        <v>129.72999999999999</v>
      </c>
      <c r="C1027">
        <v>129.84</v>
      </c>
      <c r="D1027">
        <v>113.2</v>
      </c>
      <c r="E1027">
        <v>122.3</v>
      </c>
      <c r="F1027">
        <v>7797.3818700000002</v>
      </c>
      <c r="G1027">
        <v>0</v>
      </c>
      <c r="L1027" t="s">
        <v>7</v>
      </c>
      <c r="M1027" t="s">
        <v>7</v>
      </c>
      <c r="N1027" t="s">
        <v>8</v>
      </c>
      <c r="P1027">
        <f t="shared" si="1003"/>
        <v>9.3749999999999278E-2</v>
      </c>
      <c r="Q1027">
        <f t="shared" si="1004"/>
        <v>731.00455031249442</v>
      </c>
      <c r="R1027">
        <f t="shared" si="1005"/>
        <v>19471.469809059829</v>
      </c>
      <c r="S1027">
        <f t="shared" si="1006"/>
        <v>0.1947146980905983</v>
      </c>
      <c r="T1027">
        <f t="shared" si="1007"/>
        <v>1.9471469809059829E-4</v>
      </c>
    </row>
    <row r="1028" spans="1:20" x14ac:dyDescent="0.25">
      <c r="A1028" s="5">
        <v>43565</v>
      </c>
      <c r="B1028">
        <v>131.32</v>
      </c>
      <c r="C1028">
        <v>133.38</v>
      </c>
      <c r="D1028">
        <v>126.43</v>
      </c>
      <c r="E1028">
        <v>129.74</v>
      </c>
      <c r="F1028">
        <v>4500.6893700000001</v>
      </c>
      <c r="G1028">
        <v>0</v>
      </c>
      <c r="L1028" t="s">
        <v>7</v>
      </c>
      <c r="M1028" t="s">
        <v>7</v>
      </c>
      <c r="N1028" t="s">
        <v>8</v>
      </c>
      <c r="P1028">
        <f t="shared" si="1003"/>
        <v>-4.7482014388486996E-2</v>
      </c>
      <c r="Q1028">
        <f t="shared" si="1004"/>
        <v>-213.70179742445046</v>
      </c>
      <c r="R1028">
        <f t="shared" si="1005"/>
        <v>18740.465258747336</v>
      </c>
      <c r="S1028">
        <f t="shared" si="1006"/>
        <v>0.18740465258747335</v>
      </c>
      <c r="T1028">
        <f t="shared" si="1007"/>
        <v>1.8740465258747336E-4</v>
      </c>
    </row>
    <row r="1029" spans="1:20" x14ac:dyDescent="0.25">
      <c r="A1029" s="5">
        <v>43564</v>
      </c>
      <c r="B1029">
        <v>135.19999999999999</v>
      </c>
      <c r="C1029">
        <v>135.52000000000001</v>
      </c>
      <c r="D1029">
        <v>128.84</v>
      </c>
      <c r="E1029">
        <v>131.4</v>
      </c>
      <c r="F1029">
        <v>3535.6686500000001</v>
      </c>
      <c r="G1029">
        <v>0</v>
      </c>
      <c r="L1029" t="s">
        <v>8</v>
      </c>
      <c r="M1029" t="s">
        <v>7</v>
      </c>
      <c r="N1029" t="s">
        <v>8</v>
      </c>
      <c r="P1029">
        <f t="shared" si="1003"/>
        <v>-0.23353293413173662</v>
      </c>
      <c r="Q1029">
        <f t="shared" si="1004"/>
        <v>-825.6950739520961</v>
      </c>
      <c r="R1029">
        <f t="shared" si="1005"/>
        <v>18954.167056171787</v>
      </c>
      <c r="S1029">
        <f t="shared" si="1006"/>
        <v>0.18954167056171786</v>
      </c>
      <c r="T1029">
        <f t="shared" si="1007"/>
        <v>1.8954167056171785E-4</v>
      </c>
    </row>
    <row r="1030" spans="1:20" x14ac:dyDescent="0.25">
      <c r="A1030" s="5">
        <v>43563</v>
      </c>
      <c r="B1030">
        <v>135.16999999999999</v>
      </c>
      <c r="C1030">
        <v>137.85</v>
      </c>
      <c r="D1030">
        <v>128.66999999999999</v>
      </c>
      <c r="E1030">
        <v>135.30000000000001</v>
      </c>
      <c r="F1030">
        <v>5806.8824500000001</v>
      </c>
      <c r="G1030">
        <v>0</v>
      </c>
      <c r="L1030" t="s">
        <v>8</v>
      </c>
      <c r="M1030" t="s">
        <v>7</v>
      </c>
      <c r="N1030" t="s">
        <v>8</v>
      </c>
      <c r="P1030">
        <f t="shared" si="1003"/>
        <v>0.44444444444444858</v>
      </c>
      <c r="Q1030">
        <f t="shared" si="1004"/>
        <v>2580.8366444444687</v>
      </c>
      <c r="R1030">
        <f t="shared" si="1005"/>
        <v>19779.862130123882</v>
      </c>
      <c r="S1030">
        <f t="shared" si="1006"/>
        <v>0.19779862130123882</v>
      </c>
      <c r="T1030">
        <f t="shared" si="1007"/>
        <v>1.9779862130123882E-4</v>
      </c>
    </row>
    <row r="1031" spans="1:20" x14ac:dyDescent="0.25">
      <c r="A1031" s="5">
        <v>43562</v>
      </c>
      <c r="B1031">
        <v>130.55000000000001</v>
      </c>
      <c r="C1031">
        <v>135.33000000000001</v>
      </c>
      <c r="D1031">
        <v>130.11000000000001</v>
      </c>
      <c r="E1031">
        <v>135.11000000000001</v>
      </c>
      <c r="F1031">
        <v>4221.6207999999997</v>
      </c>
      <c r="G1031">
        <v>0</v>
      </c>
      <c r="L1031" t="s">
        <v>8</v>
      </c>
      <c r="M1031" t="s">
        <v>7</v>
      </c>
      <c r="N1031" t="s">
        <v>8</v>
      </c>
      <c r="P1031">
        <f t="shared" si="1003"/>
        <v>0.9157088122605368</v>
      </c>
      <c r="Q1031">
        <f t="shared" si="1004"/>
        <v>3865.7753685823768</v>
      </c>
      <c r="R1031">
        <f t="shared" si="1005"/>
        <v>17199.025485679413</v>
      </c>
      <c r="S1031">
        <f t="shared" si="1006"/>
        <v>0.17199025485679412</v>
      </c>
      <c r="T1031">
        <f t="shared" si="1007"/>
        <v>1.7199025485679413E-4</v>
      </c>
    </row>
    <row r="1032" spans="1:20" x14ac:dyDescent="0.25">
      <c r="A1032" s="5">
        <v>43561</v>
      </c>
      <c r="B1032">
        <v>132.84</v>
      </c>
      <c r="C1032">
        <v>137.83000000000001</v>
      </c>
      <c r="D1032">
        <v>128.01</v>
      </c>
      <c r="E1032">
        <v>130.93</v>
      </c>
      <c r="F1032">
        <v>4302.7330300000003</v>
      </c>
      <c r="G1032">
        <v>0</v>
      </c>
      <c r="L1032" t="s">
        <v>8</v>
      </c>
      <c r="M1032" t="s">
        <v>7</v>
      </c>
      <c r="N1032" t="s">
        <v>8</v>
      </c>
      <c r="P1032">
        <f t="shared" si="1003"/>
        <v>-0.40529531568227911</v>
      </c>
      <c r="Q1032">
        <f t="shared" si="1004"/>
        <v>-1743.8775416904195</v>
      </c>
      <c r="R1032">
        <f t="shared" si="1005"/>
        <v>13333.250117097037</v>
      </c>
      <c r="S1032">
        <f t="shared" si="1006"/>
        <v>0.13333250117097037</v>
      </c>
      <c r="T1032">
        <f t="shared" si="1007"/>
        <v>1.3333250117097037E-4</v>
      </c>
    </row>
    <row r="1033" spans="1:20" x14ac:dyDescent="0.25">
      <c r="A1033" s="5">
        <v>43560</v>
      </c>
      <c r="B1033">
        <v>122.87</v>
      </c>
      <c r="C1033">
        <v>134.24</v>
      </c>
      <c r="D1033">
        <v>122.87</v>
      </c>
      <c r="E1033">
        <v>132.78</v>
      </c>
      <c r="F1033">
        <v>5803.2608499999997</v>
      </c>
      <c r="G1033">
        <v>0</v>
      </c>
      <c r="L1033" t="s">
        <v>8</v>
      </c>
      <c r="M1033" t="s">
        <v>7</v>
      </c>
      <c r="N1033" t="s">
        <v>8</v>
      </c>
      <c r="P1033">
        <f t="shared" si="1003"/>
        <v>0.74318381706244374</v>
      </c>
      <c r="Q1033">
        <f t="shared" si="1004"/>
        <v>4312.8895499120417</v>
      </c>
      <c r="R1033">
        <f t="shared" si="1005"/>
        <v>15077.127658787456</v>
      </c>
      <c r="S1033">
        <f t="shared" si="1006"/>
        <v>0.15077127658787456</v>
      </c>
      <c r="T1033">
        <f t="shared" si="1007"/>
        <v>1.5077127658787458E-4</v>
      </c>
    </row>
    <row r="1034" spans="1:20" x14ac:dyDescent="0.25">
      <c r="A1034" s="5">
        <v>43559</v>
      </c>
      <c r="B1034">
        <v>123.78</v>
      </c>
      <c r="C1034">
        <v>131.65</v>
      </c>
      <c r="D1034">
        <v>119.02</v>
      </c>
      <c r="E1034">
        <v>122.87</v>
      </c>
      <c r="F1034">
        <v>8434.4321400000008</v>
      </c>
      <c r="G1034">
        <v>0</v>
      </c>
      <c r="L1034" t="s">
        <v>7</v>
      </c>
      <c r="M1034" t="s">
        <v>7</v>
      </c>
      <c r="N1034" t="s">
        <v>8</v>
      </c>
      <c r="P1034">
        <f t="shared" si="1003"/>
        <v>-0.39034045922406879</v>
      </c>
      <c r="Q1034">
        <f t="shared" si="1004"/>
        <v>-3292.3001148218455</v>
      </c>
      <c r="R1034">
        <f t="shared" si="1005"/>
        <v>10764.238108875415</v>
      </c>
      <c r="S1034">
        <f t="shared" si="1006"/>
        <v>0.10764238108875415</v>
      </c>
      <c r="T1034">
        <f t="shared" si="1007"/>
        <v>1.0764238108875415E-4</v>
      </c>
    </row>
    <row r="1035" spans="1:20" x14ac:dyDescent="0.25">
      <c r="A1035" s="5">
        <v>43558</v>
      </c>
      <c r="B1035">
        <v>123.5</v>
      </c>
      <c r="C1035">
        <v>139.1</v>
      </c>
      <c r="D1035">
        <v>118.38</v>
      </c>
      <c r="E1035">
        <v>123.43</v>
      </c>
      <c r="F1035">
        <v>26058.204430000002</v>
      </c>
      <c r="G1035">
        <v>0</v>
      </c>
      <c r="L1035" t="s">
        <v>8</v>
      </c>
      <c r="M1035" t="s">
        <v>8</v>
      </c>
      <c r="N1035" t="s">
        <v>8</v>
      </c>
      <c r="P1035">
        <f t="shared" si="1003"/>
        <v>-0.51254826254826147</v>
      </c>
      <c r="Q1035">
        <f t="shared" si="1004"/>
        <v>-13356.087405723911</v>
      </c>
      <c r="R1035">
        <f t="shared" si="1005"/>
        <v>14056.53822369726</v>
      </c>
      <c r="S1035">
        <f t="shared" si="1006"/>
        <v>0.1405653822369726</v>
      </c>
      <c r="T1035">
        <f t="shared" si="1007"/>
        <v>1.4056538223697259E-4</v>
      </c>
    </row>
    <row r="1036" spans="1:20" x14ac:dyDescent="0.25">
      <c r="A1036" s="5">
        <v>43557</v>
      </c>
      <c r="B1036">
        <v>113.28</v>
      </c>
      <c r="C1036">
        <v>125.84</v>
      </c>
      <c r="D1036">
        <v>111.03</v>
      </c>
      <c r="E1036">
        <v>123.69</v>
      </c>
      <c r="F1036">
        <v>15379.30754</v>
      </c>
      <c r="G1036">
        <v>0</v>
      </c>
      <c r="L1036" t="s">
        <v>8</v>
      </c>
      <c r="M1036" t="s">
        <v>8</v>
      </c>
      <c r="N1036" t="s">
        <v>8</v>
      </c>
      <c r="P1036">
        <f t="shared" si="1003"/>
        <v>0.70965563808237608</v>
      </c>
      <c r="Q1036">
        <f t="shared" si="1004"/>
        <v>10914.012305563798</v>
      </c>
      <c r="R1036">
        <f t="shared" si="1005"/>
        <v>27412.625629421171</v>
      </c>
      <c r="S1036">
        <f t="shared" si="1006"/>
        <v>0.27412625629421172</v>
      </c>
      <c r="T1036">
        <f t="shared" si="1007"/>
        <v>2.7412625629421174E-4</v>
      </c>
    </row>
    <row r="1037" spans="1:20" x14ac:dyDescent="0.25">
      <c r="A1037" s="5">
        <v>43556</v>
      </c>
      <c r="B1037">
        <v>110.5</v>
      </c>
      <c r="C1037">
        <v>120.06</v>
      </c>
      <c r="D1037">
        <v>107.71</v>
      </c>
      <c r="E1037">
        <v>112.97</v>
      </c>
      <c r="F1037">
        <v>16508.936310000001</v>
      </c>
      <c r="G1037">
        <v>0</v>
      </c>
      <c r="L1037" t="s">
        <v>8</v>
      </c>
      <c r="M1037" t="s">
        <v>8</v>
      </c>
      <c r="N1037" t="s">
        <v>8</v>
      </c>
      <c r="P1037">
        <f t="shared" si="1003"/>
        <v>-0.14817813765182161</v>
      </c>
      <c r="Q1037">
        <f t="shared" si="1004"/>
        <v>-2446.2634370283363</v>
      </c>
      <c r="R1037">
        <f t="shared" si="1005"/>
        <v>16498.613323857375</v>
      </c>
      <c r="S1037">
        <f t="shared" si="1006"/>
        <v>0.16498613323857375</v>
      </c>
      <c r="T1037">
        <f t="shared" si="1007"/>
        <v>1.6498613323857376E-4</v>
      </c>
    </row>
    <row r="1038" spans="1:20" x14ac:dyDescent="0.25">
      <c r="A1038" s="5">
        <v>43555</v>
      </c>
      <c r="B1038">
        <v>100.58</v>
      </c>
      <c r="C1038">
        <v>110.89</v>
      </c>
      <c r="D1038">
        <v>99.61</v>
      </c>
      <c r="E1038">
        <v>110.7</v>
      </c>
      <c r="F1038">
        <v>11668.436750000001</v>
      </c>
      <c r="G1038">
        <v>0</v>
      </c>
      <c r="L1038" t="s">
        <v>8</v>
      </c>
      <c r="M1038" t="s">
        <v>8</v>
      </c>
      <c r="N1038" t="s">
        <v>8</v>
      </c>
      <c r="P1038">
        <f t="shared" si="1003"/>
        <v>0.96631205673758902</v>
      </c>
      <c r="Q1038">
        <f t="shared" si="1004"/>
        <v>11275.351114804969</v>
      </c>
      <c r="R1038">
        <f t="shared" si="1005"/>
        <v>18944.876760885712</v>
      </c>
      <c r="S1038">
        <f t="shared" si="1006"/>
        <v>0.18944876760885712</v>
      </c>
      <c r="T1038">
        <f t="shared" si="1007"/>
        <v>1.8944876760885711E-4</v>
      </c>
    </row>
    <row r="1039" spans="1:20" x14ac:dyDescent="0.25">
      <c r="A1039" s="5">
        <v>43554</v>
      </c>
      <c r="B1039">
        <v>98.3</v>
      </c>
      <c r="C1039">
        <v>101</v>
      </c>
      <c r="D1039">
        <v>95.5</v>
      </c>
      <c r="E1039">
        <v>100.78</v>
      </c>
      <c r="F1039">
        <v>3540.2774300000001</v>
      </c>
      <c r="G1039">
        <v>0</v>
      </c>
      <c r="L1039" t="s">
        <v>8</v>
      </c>
      <c r="M1039" t="s">
        <v>8</v>
      </c>
      <c r="N1039" t="s">
        <v>8</v>
      </c>
      <c r="P1039">
        <f t="shared" si="1003"/>
        <v>0.92000000000000037</v>
      </c>
      <c r="Q1039">
        <f t="shared" si="1004"/>
        <v>3257.0552356000012</v>
      </c>
      <c r="R1039">
        <f t="shared" si="1005"/>
        <v>7669.5256460807432</v>
      </c>
      <c r="S1039">
        <f t="shared" si="1006"/>
        <v>7.6695256460807437E-2</v>
      </c>
      <c r="T1039">
        <f t="shared" si="1007"/>
        <v>7.6695256460807435E-5</v>
      </c>
    </row>
    <row r="1040" spans="1:20" x14ac:dyDescent="0.25">
      <c r="A1040" s="5">
        <v>43553</v>
      </c>
      <c r="B1040">
        <v>95.74</v>
      </c>
      <c r="C1040">
        <v>98.19</v>
      </c>
      <c r="D1040">
        <v>94.91</v>
      </c>
      <c r="E1040">
        <v>98.13</v>
      </c>
      <c r="F1040">
        <v>3565.3015500000001</v>
      </c>
      <c r="G1040">
        <v>0</v>
      </c>
      <c r="L1040" t="s">
        <v>8</v>
      </c>
      <c r="M1040" t="s">
        <v>8</v>
      </c>
      <c r="N1040" t="s">
        <v>8</v>
      </c>
      <c r="P1040">
        <f t="shared" si="1003"/>
        <v>0.9634146341463401</v>
      </c>
      <c r="Q1040">
        <f t="shared" si="1004"/>
        <v>3434.8636884146295</v>
      </c>
      <c r="R1040">
        <f t="shared" si="1005"/>
        <v>4412.4704104807424</v>
      </c>
      <c r="S1040">
        <f t="shared" si="1006"/>
        <v>4.4124704104807427E-2</v>
      </c>
      <c r="T1040">
        <f t="shared" si="1007"/>
        <v>4.4124704104807424E-5</v>
      </c>
    </row>
    <row r="1041" spans="1:20" x14ac:dyDescent="0.25">
      <c r="A1041" s="5">
        <v>43552</v>
      </c>
      <c r="B1041">
        <v>90</v>
      </c>
      <c r="C1041">
        <v>98.89</v>
      </c>
      <c r="D1041">
        <v>88</v>
      </c>
      <c r="E1041">
        <v>95.74</v>
      </c>
      <c r="F1041">
        <v>2319.4198700000002</v>
      </c>
      <c r="G1041">
        <v>0</v>
      </c>
      <c r="P1041">
        <f t="shared" si="1003"/>
        <v>0.42148760330578411</v>
      </c>
      <c r="Q1041">
        <f t="shared" si="1004"/>
        <v>977.60672206611343</v>
      </c>
      <c r="R1041">
        <f t="shared" si="1005"/>
        <v>977.60672206611343</v>
      </c>
      <c r="S1041">
        <f t="shared" si="1006"/>
        <v>9.7760672206611346E-3</v>
      </c>
      <c r="T1041">
        <f t="shared" si="1007"/>
        <v>9.776067220661135E-6</v>
      </c>
    </row>
    <row r="1042" spans="1:20" x14ac:dyDescent="0.25">
      <c r="A1042" s="5"/>
      <c r="C1042"/>
      <c r="D1042"/>
    </row>
    <row r="1043" spans="1:20" x14ac:dyDescent="0.25">
      <c r="A1043" s="5"/>
      <c r="C1043"/>
      <c r="D1043"/>
    </row>
    <row r="1044" spans="1:20" x14ac:dyDescent="0.25">
      <c r="A1044" s="5"/>
      <c r="C1044"/>
      <c r="D1044"/>
    </row>
    <row r="1045" spans="1:20" x14ac:dyDescent="0.25">
      <c r="A1045" s="5"/>
      <c r="C1045"/>
      <c r="D1045"/>
    </row>
    <row r="1046" spans="1:20" x14ac:dyDescent="0.25">
      <c r="A1046" s="5"/>
      <c r="C1046"/>
      <c r="D1046"/>
    </row>
    <row r="1047" spans="1:20" x14ac:dyDescent="0.25">
      <c r="A1047" s="5"/>
      <c r="C1047"/>
      <c r="D1047"/>
    </row>
    <row r="1048" spans="1:20" x14ac:dyDescent="0.25">
      <c r="A1048" s="5"/>
      <c r="C1048"/>
      <c r="D1048"/>
    </row>
    <row r="1049" spans="1:20" x14ac:dyDescent="0.25">
      <c r="A1049" s="5"/>
      <c r="C1049"/>
      <c r="D1049"/>
    </row>
    <row r="1050" spans="1:20" x14ac:dyDescent="0.25">
      <c r="A1050" s="5"/>
      <c r="C1050"/>
      <c r="D1050"/>
    </row>
    <row r="1051" spans="1:20" x14ac:dyDescent="0.25">
      <c r="A1051" s="5"/>
      <c r="C1051"/>
      <c r="D1051"/>
    </row>
    <row r="1052" spans="1:20" x14ac:dyDescent="0.25">
      <c r="A1052" s="5"/>
      <c r="C1052"/>
      <c r="D1052"/>
    </row>
    <row r="1053" spans="1:20" x14ac:dyDescent="0.25">
      <c r="A1053" s="5"/>
      <c r="C1053"/>
      <c r="D1053"/>
    </row>
    <row r="1054" spans="1:20" x14ac:dyDescent="0.25">
      <c r="A1054" s="5"/>
      <c r="C1054"/>
      <c r="D1054"/>
    </row>
    <row r="1055" spans="1:20" x14ac:dyDescent="0.25">
      <c r="A1055" s="5"/>
      <c r="C1055"/>
      <c r="D1055"/>
    </row>
    <row r="1056" spans="1:20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D359" sqref="OD35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$A$358</v>
      </c>
      <c r="D111" s="1" t="str">
        <f>ADDRESS(C121-1,D121,1,1)</f>
        <v>$OD$358</v>
      </c>
      <c r="E111"/>
    </row>
    <row r="112" spans="1:5" x14ac:dyDescent="0.25">
      <c r="A112" s="7">
        <v>12164.144957890772</v>
      </c>
      <c r="C112" s="1" t="str">
        <f>ADDRESS(C121,1,1,1)</f>
        <v>$A$359</v>
      </c>
      <c r="D112" s="1" t="str">
        <f>ADDRESS(C121,D121-1,1,1)</f>
        <v>$OC$359</v>
      </c>
      <c r="E112"/>
    </row>
    <row r="113" spans="1:5" x14ac:dyDescent="0.25">
      <c r="A113" s="7">
        <v>11925.63231165762</v>
      </c>
      <c r="C113" s="1" t="str">
        <f>ADDRESS(C121+1,1,1,1)</f>
        <v>$A$360</v>
      </c>
      <c r="D113" s="1" t="str">
        <f>ADDRESS(C121-1,D121+1,1,1)</f>
        <v>$OE$358</v>
      </c>
    </row>
    <row r="114" spans="1:5" x14ac:dyDescent="0.25">
      <c r="A114" s="7">
        <v>11691.796383978059</v>
      </c>
      <c r="C114" s="1" t="str">
        <f>ADDRESS(C121,D121,1,1)</f>
        <v>$OD$359</v>
      </c>
      <c r="D114" s="1" t="str">
        <f>ADDRESS(C121+1,D121+1,1,1)</f>
        <v>$OE$360</v>
      </c>
    </row>
    <row r="115" spans="1:5" x14ac:dyDescent="0.25">
      <c r="A115" s="7">
        <v>11462.545474488292</v>
      </c>
      <c r="C115" s="1" t="str">
        <f>ADDRESS(C121+1,D121,1,1)</f>
        <v>$OD$360</v>
      </c>
    </row>
    <row r="116" spans="1:5" x14ac:dyDescent="0.25">
      <c r="A116" s="7">
        <v>11237.789680870874</v>
      </c>
      <c r="C116" s="1">
        <f>C117-1</f>
        <v>358</v>
      </c>
    </row>
    <row r="117" spans="1:5" x14ac:dyDescent="0.25">
      <c r="A117" s="7">
        <v>11017.440863598895</v>
      </c>
      <c r="C117" s="1">
        <f>C121</f>
        <v>359</v>
      </c>
      <c r="D117" s="1">
        <f>D121</f>
        <v>394</v>
      </c>
    </row>
    <row r="118" spans="1:5" x14ac:dyDescent="0.25">
      <c r="A118" s="7">
        <v>10801.412611371465</v>
      </c>
      <c r="C118" s="1">
        <f>C117+1</f>
        <v>360</v>
      </c>
      <c r="D118" s="1">
        <f>D117+1</f>
        <v>395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359</v>
      </c>
      <c r="D121" s="19">
        <v>394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R359</v>
      </c>
      <c r="D123" s="1" t="str">
        <f>"C"&amp;D121</f>
        <v>C394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91.377476794886562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282" x14ac:dyDescent="0.25">
      <c r="A273" s="7">
        <v>501.71135837085484</v>
      </c>
      <c r="B273"/>
      <c r="C273"/>
      <c r="D273"/>
      <c r="E273"/>
    </row>
    <row r="274" spans="1:282" x14ac:dyDescent="0.25">
      <c r="A274" s="7">
        <v>491.87388075574</v>
      </c>
      <c r="B274"/>
      <c r="C274"/>
      <c r="D274"/>
      <c r="E274"/>
    </row>
    <row r="275" spans="1:282" x14ac:dyDescent="0.25">
      <c r="A275" s="7">
        <v>482.22929485856861</v>
      </c>
      <c r="B275"/>
      <c r="C275"/>
      <c r="D275"/>
      <c r="E275"/>
    </row>
    <row r="276" spans="1:282" x14ac:dyDescent="0.25">
      <c r="A276" s="7">
        <v>472.77381848879276</v>
      </c>
      <c r="B276"/>
      <c r="C276"/>
      <c r="D276"/>
      <c r="E276"/>
      <c r="JQ276" s="27" t="s">
        <v>8</v>
      </c>
    </row>
    <row r="277" spans="1:282" x14ac:dyDescent="0.25">
      <c r="A277" s="7">
        <v>463.50374361646345</v>
      </c>
      <c r="B277"/>
      <c r="C277"/>
      <c r="D277"/>
      <c r="E277"/>
      <c r="JQ277" s="27" t="s">
        <v>8</v>
      </c>
      <c r="JR277" s="27" t="s">
        <v>7</v>
      </c>
    </row>
    <row r="278" spans="1:282" x14ac:dyDescent="0.25">
      <c r="A278" s="7">
        <v>454.41543491810143</v>
      </c>
      <c r="B278"/>
      <c r="C278"/>
      <c r="D278"/>
      <c r="E278"/>
      <c r="JQ278" s="27" t="s">
        <v>8</v>
      </c>
      <c r="JR278" s="27" t="s">
        <v>7</v>
      </c>
    </row>
    <row r="279" spans="1:282" x14ac:dyDescent="0.25">
      <c r="A279" s="7">
        <v>445.50532835107981</v>
      </c>
      <c r="B279"/>
      <c r="C279"/>
      <c r="D279"/>
      <c r="E279"/>
      <c r="JQ279" s="27" t="s">
        <v>8</v>
      </c>
      <c r="JR279" s="27" t="s">
        <v>7</v>
      </c>
    </row>
    <row r="280" spans="1:282" x14ac:dyDescent="0.25">
      <c r="A280" s="7">
        <v>436.76992975596062</v>
      </c>
      <c r="B280"/>
      <c r="C280"/>
      <c r="D280"/>
      <c r="E280"/>
      <c r="JQ280" s="27" t="s">
        <v>8</v>
      </c>
      <c r="JR280" s="27" t="s">
        <v>7</v>
      </c>
      <c r="JS280" s="27" t="s">
        <v>8</v>
      </c>
    </row>
    <row r="281" spans="1:282" x14ac:dyDescent="0.25">
      <c r="A281" s="7">
        <v>428.20581348623591</v>
      </c>
      <c r="B281"/>
      <c r="C281"/>
      <c r="D281"/>
      <c r="E281"/>
      <c r="JQ281" s="27" t="s">
        <v>8</v>
      </c>
      <c r="JR281" s="27" t="s">
        <v>7</v>
      </c>
      <c r="JS281" s="27" t="s">
        <v>8</v>
      </c>
      <c r="JT281" s="27" t="s">
        <v>7</v>
      </c>
    </row>
    <row r="282" spans="1:282" x14ac:dyDescent="0.25">
      <c r="A282" s="7">
        <v>419.80962106493718</v>
      </c>
      <c r="B282"/>
      <c r="C282"/>
      <c r="D282"/>
      <c r="E282"/>
      <c r="JQ282" s="27" t="s">
        <v>8</v>
      </c>
      <c r="JR282" s="27" t="s">
        <v>7</v>
      </c>
      <c r="JS282" s="27" t="s">
        <v>8</v>
      </c>
      <c r="JT282" s="27" t="s">
        <v>7</v>
      </c>
    </row>
    <row r="283" spans="1:282" x14ac:dyDescent="0.25">
      <c r="A283" s="7">
        <v>411.57805986758547</v>
      </c>
      <c r="B283"/>
      <c r="C283"/>
      <c r="D283"/>
      <c r="E283"/>
      <c r="JG283" s="27" t="s">
        <v>8</v>
      </c>
      <c r="JQ283" s="27" t="s">
        <v>8</v>
      </c>
      <c r="JR283" s="27" t="s">
        <v>7</v>
      </c>
      <c r="JS283" s="27" t="s">
        <v>8</v>
      </c>
      <c r="JT283" s="27" t="s">
        <v>7</v>
      </c>
    </row>
    <row r="284" spans="1:282" x14ac:dyDescent="0.25">
      <c r="A284" s="7">
        <v>403.50790183096615</v>
      </c>
      <c r="B284"/>
      <c r="C284"/>
      <c r="D284"/>
      <c r="E284"/>
      <c r="JG284" s="27" t="s">
        <v>8</v>
      </c>
      <c r="JH284" s="27" t="s">
        <v>7</v>
      </c>
      <c r="JQ284" s="27" t="s">
        <v>8</v>
      </c>
      <c r="JR284" s="27" t="s">
        <v>7</v>
      </c>
      <c r="JS284" s="27" t="s">
        <v>8</v>
      </c>
      <c r="JT284" s="27" t="s">
        <v>7</v>
      </c>
    </row>
    <row r="285" spans="1:282" x14ac:dyDescent="0.25">
      <c r="A285" s="7">
        <v>395.59598218722169</v>
      </c>
      <c r="B285"/>
      <c r="C285"/>
      <c r="D285"/>
      <c r="E285"/>
      <c r="JG285" s="27" t="s">
        <v>8</v>
      </c>
      <c r="JH285" s="27" t="s">
        <v>7</v>
      </c>
      <c r="JQ285" s="27" t="s">
        <v>8</v>
      </c>
      <c r="JR285" s="27" t="s">
        <v>7</v>
      </c>
      <c r="JS285" s="27" t="s">
        <v>8</v>
      </c>
      <c r="JT285" s="27" t="s">
        <v>7</v>
      </c>
    </row>
    <row r="286" spans="1:282" x14ac:dyDescent="0.25">
      <c r="A286" s="7">
        <v>387.83919822276636</v>
      </c>
      <c r="B286"/>
      <c r="C286"/>
      <c r="D286"/>
      <c r="E286"/>
      <c r="JG286" s="27" t="s">
        <v>8</v>
      </c>
      <c r="JH286" s="27" t="s">
        <v>7</v>
      </c>
      <c r="JQ286" s="27" t="s">
        <v>8</v>
      </c>
      <c r="JR286" s="27" t="s">
        <v>7</v>
      </c>
      <c r="JS286" s="27" t="s">
        <v>8</v>
      </c>
      <c r="JT286" s="27" t="s">
        <v>7</v>
      </c>
    </row>
    <row r="287" spans="1:282" x14ac:dyDescent="0.25">
      <c r="A287" s="7">
        <v>380.23450806153562</v>
      </c>
      <c r="B287"/>
      <c r="C287"/>
      <c r="D287"/>
      <c r="E287"/>
      <c r="JG287" s="27" t="s">
        <v>8</v>
      </c>
      <c r="JH287" s="27" t="s">
        <v>7</v>
      </c>
      <c r="JQ287" s="27" t="s">
        <v>8</v>
      </c>
      <c r="JR287" s="27" t="s">
        <v>7</v>
      </c>
      <c r="JS287" s="27" t="s">
        <v>8</v>
      </c>
      <c r="JT287" s="27" t="s">
        <v>7</v>
      </c>
      <c r="JU287" s="27" t="s">
        <v>8</v>
      </c>
    </row>
    <row r="288" spans="1:282" x14ac:dyDescent="0.25">
      <c r="A288" s="7">
        <v>372.77892947209375</v>
      </c>
      <c r="B288"/>
      <c r="C288"/>
      <c r="D288"/>
      <c r="E288"/>
      <c r="JG288" s="27" t="s">
        <v>8</v>
      </c>
      <c r="JH288" s="27" t="s">
        <v>7</v>
      </c>
      <c r="JQ288" s="27" t="s">
        <v>8</v>
      </c>
      <c r="JR288" s="27" t="s">
        <v>7</v>
      </c>
      <c r="JS288" s="27" t="s">
        <v>8</v>
      </c>
      <c r="JT288" s="27" t="s">
        <v>7</v>
      </c>
      <c r="JU288" s="27" t="s">
        <v>8</v>
      </c>
      <c r="JV288" s="27" t="s">
        <v>7</v>
      </c>
    </row>
    <row r="289" spans="1:330" x14ac:dyDescent="0.25">
      <c r="A289" s="7">
        <v>365.46953869813115</v>
      </c>
      <c r="B289"/>
      <c r="C289"/>
      <c r="D289"/>
      <c r="E289"/>
      <c r="JG289" s="27" t="s">
        <v>8</v>
      </c>
      <c r="JH289" s="27" t="s">
        <v>7</v>
      </c>
      <c r="JQ289" s="27" t="s">
        <v>8</v>
      </c>
      <c r="JR289" s="27" t="s">
        <v>7</v>
      </c>
      <c r="JS289" s="27" t="s">
        <v>8</v>
      </c>
      <c r="JT289" s="27" t="s">
        <v>7</v>
      </c>
      <c r="JU289" s="27" t="s">
        <v>8</v>
      </c>
      <c r="JV289" s="27" t="s">
        <v>7</v>
      </c>
    </row>
    <row r="290" spans="1:330" x14ac:dyDescent="0.25">
      <c r="A290" s="7">
        <v>358.30346931189325</v>
      </c>
      <c r="B290"/>
      <c r="C290"/>
      <c r="D290"/>
      <c r="E290"/>
      <c r="JG290" s="27" t="s">
        <v>8</v>
      </c>
      <c r="JH290" s="27" t="s">
        <v>7</v>
      </c>
      <c r="JQ290" s="27" t="s">
        <v>8</v>
      </c>
      <c r="JR290" s="27" t="s">
        <v>7</v>
      </c>
      <c r="JT290" s="27" t="s">
        <v>7</v>
      </c>
      <c r="JU290" s="27" t="s">
        <v>8</v>
      </c>
      <c r="JV290" s="27" t="s">
        <v>7</v>
      </c>
    </row>
    <row r="291" spans="1:330" x14ac:dyDescent="0.25">
      <c r="A291" s="7">
        <v>351.27791109009144</v>
      </c>
      <c r="B291"/>
      <c r="C291"/>
      <c r="D291"/>
      <c r="E291"/>
      <c r="JG291" s="27" t="s">
        <v>8</v>
      </c>
      <c r="JH291" s="27" t="s">
        <v>7</v>
      </c>
      <c r="JQ291" s="27" t="s">
        <v>8</v>
      </c>
      <c r="JT291" s="27" t="s">
        <v>7</v>
      </c>
      <c r="JU291" s="27" t="s">
        <v>8</v>
      </c>
      <c r="JV291" s="27" t="s">
        <v>7</v>
      </c>
    </row>
    <row r="292" spans="1:330" x14ac:dyDescent="0.25">
      <c r="A292" s="7">
        <v>344.39010891185433</v>
      </c>
      <c r="B292"/>
      <c r="C292"/>
      <c r="D292"/>
      <c r="E292"/>
      <c r="JG292" s="27" t="s">
        <v>8</v>
      </c>
      <c r="JH292" s="27" t="s">
        <v>7</v>
      </c>
      <c r="JQ292" s="27" t="s">
        <v>8</v>
      </c>
      <c r="JT292" s="27" t="s">
        <v>7</v>
      </c>
      <c r="JU292" s="27" t="s">
        <v>8</v>
      </c>
      <c r="JV292" s="27" t="s">
        <v>7</v>
      </c>
    </row>
    <row r="293" spans="1:330" x14ac:dyDescent="0.25">
      <c r="A293" s="7">
        <v>337.63736167828853</v>
      </c>
      <c r="B293"/>
      <c r="C293"/>
      <c r="D293"/>
      <c r="E293"/>
      <c r="JG293" s="27" t="s">
        <v>8</v>
      </c>
      <c r="JH293" s="27" t="s">
        <v>7</v>
      </c>
      <c r="JQ293" s="27" t="s">
        <v>8</v>
      </c>
      <c r="JT293" s="27" t="s">
        <v>7</v>
      </c>
      <c r="JV293" s="27" t="s">
        <v>7</v>
      </c>
    </row>
    <row r="294" spans="1:330" x14ac:dyDescent="0.25">
      <c r="A294" s="7">
        <v>331.01702125322402</v>
      </c>
      <c r="B294"/>
      <c r="C294"/>
      <c r="D294"/>
      <c r="E294"/>
      <c r="II294" s="27" t="s">
        <v>8</v>
      </c>
      <c r="JG294" s="27" t="s">
        <v>8</v>
      </c>
      <c r="JH294" s="27" t="s">
        <v>7</v>
      </c>
      <c r="JQ294" s="27" t="s">
        <v>8</v>
      </c>
      <c r="JV294" s="27" t="s">
        <v>7</v>
      </c>
    </row>
    <row r="295" spans="1:330" x14ac:dyDescent="0.25">
      <c r="A295" s="7">
        <v>324.52649142472944</v>
      </c>
      <c r="B295"/>
      <c r="C295"/>
      <c r="D295"/>
      <c r="E295"/>
      <c r="II295" s="27" t="s">
        <v>8</v>
      </c>
      <c r="IJ295" s="27" t="s">
        <v>7</v>
      </c>
      <c r="JG295" s="27" t="s">
        <v>8</v>
      </c>
      <c r="JH295" s="27" t="s">
        <v>7</v>
      </c>
      <c r="JI295" s="27" t="s">
        <v>8</v>
      </c>
      <c r="JK295" s="27" t="s">
        <v>8</v>
      </c>
      <c r="JO295" s="27" t="s">
        <v>8</v>
      </c>
      <c r="JQ295" s="27" t="s">
        <v>8</v>
      </c>
      <c r="JV295" s="27" t="s">
        <v>7</v>
      </c>
    </row>
    <row r="296" spans="1:330" x14ac:dyDescent="0.25">
      <c r="A296" s="7">
        <v>318.16322688698966</v>
      </c>
      <c r="B296"/>
      <c r="C296"/>
      <c r="D296"/>
      <c r="E296"/>
      <c r="II296" s="27" t="s">
        <v>8</v>
      </c>
      <c r="IJ296" s="27" t="s">
        <v>7</v>
      </c>
      <c r="JG296" s="27" t="s">
        <v>8</v>
      </c>
      <c r="JH296" s="27" t="s">
        <v>7</v>
      </c>
      <c r="JI296" s="27" t="s">
        <v>8</v>
      </c>
      <c r="JJ296" s="27" t="s">
        <v>7</v>
      </c>
      <c r="JK296" s="27" t="s">
        <v>8</v>
      </c>
      <c r="JL296" s="27" t="s">
        <v>7</v>
      </c>
      <c r="JO296" s="27" t="s">
        <v>8</v>
      </c>
      <c r="JP296" s="27" t="s">
        <v>7</v>
      </c>
      <c r="JQ296" s="27" t="s">
        <v>8</v>
      </c>
      <c r="JV296" s="27" t="s">
        <v>7</v>
      </c>
      <c r="JW296" s="27" t="s">
        <v>8</v>
      </c>
    </row>
    <row r="297" spans="1:330" x14ac:dyDescent="0.25">
      <c r="A297" s="7">
        <v>311.92473224214672</v>
      </c>
      <c r="B297"/>
      <c r="C297"/>
      <c r="D297"/>
      <c r="E297"/>
      <c r="II297" s="27" t="s">
        <v>8</v>
      </c>
      <c r="IJ297" s="27" t="s">
        <v>7</v>
      </c>
      <c r="IK297" s="27" t="s">
        <v>8</v>
      </c>
      <c r="JG297" s="27" t="s">
        <v>8</v>
      </c>
      <c r="JH297" s="27" t="s">
        <v>7</v>
      </c>
      <c r="JI297" s="27" t="s">
        <v>8</v>
      </c>
      <c r="JJ297" s="27" t="s">
        <v>7</v>
      </c>
      <c r="JK297" s="27" t="s">
        <v>8</v>
      </c>
      <c r="JL297" s="27" t="s">
        <v>7</v>
      </c>
      <c r="JO297" s="27" t="s">
        <v>8</v>
      </c>
      <c r="JP297" s="27" t="s">
        <v>7</v>
      </c>
      <c r="JQ297" s="27" t="s">
        <v>8</v>
      </c>
      <c r="JV297" s="27" t="s">
        <v>7</v>
      </c>
      <c r="JW297" s="27" t="s">
        <v>8</v>
      </c>
      <c r="JX297" s="27" t="s">
        <v>7</v>
      </c>
    </row>
    <row r="298" spans="1:330" x14ac:dyDescent="0.25">
      <c r="A298" s="7">
        <v>305.80856102171248</v>
      </c>
      <c r="B298"/>
      <c r="C298"/>
      <c r="D298"/>
      <c r="E298"/>
      <c r="II298" s="27" t="s">
        <v>8</v>
      </c>
      <c r="IJ298" s="27" t="s">
        <v>7</v>
      </c>
      <c r="IK298" s="27" t="s">
        <v>8</v>
      </c>
      <c r="IL298" s="27" t="s">
        <v>7</v>
      </c>
      <c r="JG298" s="27" t="s">
        <v>8</v>
      </c>
      <c r="JH298" s="27" t="s">
        <v>7</v>
      </c>
      <c r="JI298" s="27" t="s">
        <v>8</v>
      </c>
      <c r="JJ298" s="27" t="s">
        <v>7</v>
      </c>
      <c r="JK298" s="27" t="s">
        <v>8</v>
      </c>
      <c r="JL298" s="27" t="s">
        <v>7</v>
      </c>
      <c r="JO298" s="27" t="s">
        <v>8</v>
      </c>
      <c r="JP298" s="27" t="s">
        <v>7</v>
      </c>
      <c r="JV298" s="27" t="s">
        <v>7</v>
      </c>
      <c r="JW298" s="27" t="s">
        <v>8</v>
      </c>
      <c r="JX298" s="27" t="s">
        <v>7</v>
      </c>
    </row>
    <row r="299" spans="1:330" x14ac:dyDescent="0.25">
      <c r="A299" s="7">
        <v>299.81231472716911</v>
      </c>
      <c r="B299"/>
      <c r="C299"/>
      <c r="D299"/>
      <c r="E299"/>
      <c r="II299" s="27" t="s">
        <v>8</v>
      </c>
      <c r="IJ299" s="27" t="s">
        <v>7</v>
      </c>
      <c r="IK299" s="27" t="s">
        <v>8</v>
      </c>
      <c r="IL299" s="27" t="s">
        <v>7</v>
      </c>
      <c r="JG299" s="27" t="s">
        <v>8</v>
      </c>
      <c r="JH299" s="27" t="s">
        <v>7</v>
      </c>
      <c r="JI299" s="27" t="s">
        <v>8</v>
      </c>
      <c r="JJ299" s="27" t="s">
        <v>7</v>
      </c>
      <c r="JK299" s="27" t="s">
        <v>8</v>
      </c>
      <c r="JL299" s="27" t="s">
        <v>7</v>
      </c>
      <c r="JO299" s="27" t="s">
        <v>8</v>
      </c>
      <c r="JV299" s="27" t="s">
        <v>7</v>
      </c>
      <c r="JW299" s="27" t="s">
        <v>8</v>
      </c>
      <c r="JX299" s="27" t="s">
        <v>7</v>
      </c>
    </row>
    <row r="300" spans="1:330" x14ac:dyDescent="0.25">
      <c r="A300" s="7">
        <v>293.93364188938148</v>
      </c>
      <c r="B300"/>
      <c r="C300"/>
      <c r="D300"/>
      <c r="E300"/>
      <c r="IE300" s="27" t="s">
        <v>8</v>
      </c>
      <c r="II300" s="27" t="s">
        <v>8</v>
      </c>
      <c r="IJ300" s="27" t="s">
        <v>7</v>
      </c>
      <c r="IK300" s="27" t="s">
        <v>8</v>
      </c>
      <c r="IL300" s="27" t="s">
        <v>7</v>
      </c>
      <c r="JE300" s="27" t="s">
        <v>8</v>
      </c>
      <c r="JG300" s="27" t="s">
        <v>8</v>
      </c>
      <c r="JH300" s="27" t="s">
        <v>7</v>
      </c>
      <c r="JI300" s="27" t="s">
        <v>8</v>
      </c>
      <c r="JJ300" s="27" t="s">
        <v>7</v>
      </c>
      <c r="JK300" s="27" t="s">
        <v>8</v>
      </c>
      <c r="JL300" s="27" t="s">
        <v>7</v>
      </c>
      <c r="JM300" s="27" t="s">
        <v>8</v>
      </c>
      <c r="JO300" s="27" t="s">
        <v>8</v>
      </c>
      <c r="JV300" s="27" t="s">
        <v>7</v>
      </c>
      <c r="JW300" s="27" t="s">
        <v>8</v>
      </c>
      <c r="JX300" s="27" t="s">
        <v>7</v>
      </c>
    </row>
    <row r="301" spans="1:330" x14ac:dyDescent="0.25">
      <c r="A301" s="7">
        <v>288.17023714645245</v>
      </c>
      <c r="B301"/>
      <c r="C301"/>
      <c r="D301"/>
      <c r="E301"/>
      <c r="IE301" s="27" t="s">
        <v>8</v>
      </c>
      <c r="IF301" s="27" t="s">
        <v>7</v>
      </c>
      <c r="II301" s="27" t="s">
        <v>8</v>
      </c>
      <c r="IJ301" s="27" t="s">
        <v>7</v>
      </c>
      <c r="IK301" s="27" t="s">
        <v>8</v>
      </c>
      <c r="IL301" s="27" t="s">
        <v>7</v>
      </c>
      <c r="JC301" s="27" t="s">
        <v>8</v>
      </c>
      <c r="JE301" s="27" t="s">
        <v>8</v>
      </c>
      <c r="JF301" s="27" t="s">
        <v>7</v>
      </c>
      <c r="JG301" s="27" t="s">
        <v>8</v>
      </c>
      <c r="JH301" s="27" t="s">
        <v>7</v>
      </c>
      <c r="JI301" s="27" t="s">
        <v>8</v>
      </c>
      <c r="JJ301" s="27" t="s">
        <v>7</v>
      </c>
      <c r="JK301" s="27" t="s">
        <v>8</v>
      </c>
      <c r="JL301" s="27" t="s">
        <v>7</v>
      </c>
      <c r="JM301" s="27" t="s">
        <v>8</v>
      </c>
      <c r="JN301" s="27" t="s">
        <v>7</v>
      </c>
      <c r="JO301" s="27" t="s">
        <v>8</v>
      </c>
      <c r="JV301" s="27" t="s">
        <v>7</v>
      </c>
      <c r="JW301" s="27" t="s">
        <v>8</v>
      </c>
      <c r="JX301" s="27" t="s">
        <v>7</v>
      </c>
    </row>
    <row r="302" spans="1:330" x14ac:dyDescent="0.25">
      <c r="A302" s="7">
        <v>282.51984033965925</v>
      </c>
      <c r="B302"/>
      <c r="C302"/>
      <c r="D302"/>
      <c r="E302"/>
      <c r="IE302" s="27" t="s">
        <v>8</v>
      </c>
      <c r="IF302" s="27" t="s">
        <v>7</v>
      </c>
      <c r="II302" s="27" t="s">
        <v>8</v>
      </c>
      <c r="IJ302" s="27" t="s">
        <v>7</v>
      </c>
      <c r="IL302" s="27" t="s">
        <v>7</v>
      </c>
      <c r="JC302" s="27" t="s">
        <v>8</v>
      </c>
      <c r="JD302" s="27" t="s">
        <v>7</v>
      </c>
      <c r="JE302" s="27" t="s">
        <v>8</v>
      </c>
      <c r="JF302" s="27" t="s">
        <v>7</v>
      </c>
      <c r="JG302" s="27" t="s">
        <v>8</v>
      </c>
      <c r="JH302" s="27" t="s">
        <v>7</v>
      </c>
      <c r="JI302" s="27" t="s">
        <v>8</v>
      </c>
      <c r="JJ302" s="27" t="s">
        <v>7</v>
      </c>
      <c r="JK302" s="27" t="s">
        <v>8</v>
      </c>
      <c r="JL302" s="27" t="s">
        <v>7</v>
      </c>
      <c r="JM302" s="27" t="s">
        <v>8</v>
      </c>
      <c r="JN302" s="27" t="s">
        <v>7</v>
      </c>
      <c r="JO302" s="27" t="s">
        <v>8</v>
      </c>
      <c r="JV302" s="27" t="s">
        <v>7</v>
      </c>
      <c r="JX302" s="27" t="s">
        <v>7</v>
      </c>
      <c r="LQ302" s="27" t="s">
        <v>8</v>
      </c>
    </row>
    <row r="303" spans="1:330" x14ac:dyDescent="0.25">
      <c r="A303" s="7">
        <v>276.98023562711688</v>
      </c>
      <c r="B303"/>
      <c r="C303"/>
      <c r="D303"/>
      <c r="E303"/>
      <c r="IE303" s="27" t="s">
        <v>8</v>
      </c>
      <c r="IF303" s="27" t="s">
        <v>7</v>
      </c>
      <c r="II303" s="27" t="s">
        <v>8</v>
      </c>
      <c r="IL303" s="27" t="s">
        <v>7</v>
      </c>
      <c r="JC303" s="27" t="s">
        <v>8</v>
      </c>
      <c r="JD303" s="27" t="s">
        <v>7</v>
      </c>
      <c r="JE303" s="27" t="s">
        <v>8</v>
      </c>
      <c r="JF303" s="27" t="s">
        <v>7</v>
      </c>
      <c r="JH303" s="27" t="s">
        <v>7</v>
      </c>
      <c r="JI303" s="27" t="s">
        <v>8</v>
      </c>
      <c r="JJ303" s="27" t="s">
        <v>7</v>
      </c>
      <c r="JL303" s="27" t="s">
        <v>7</v>
      </c>
      <c r="JM303" s="27" t="s">
        <v>8</v>
      </c>
      <c r="JN303" s="27" t="s">
        <v>7</v>
      </c>
      <c r="JX303" s="27" t="s">
        <v>7</v>
      </c>
      <c r="LQ303" s="27" t="s">
        <v>8</v>
      </c>
      <c r="LR303" s="27" t="s">
        <v>7</v>
      </c>
    </row>
    <row r="304" spans="1:330" x14ac:dyDescent="0.25">
      <c r="A304" s="7">
        <v>271.54925061482049</v>
      </c>
      <c r="B304"/>
      <c r="C304"/>
      <c r="D304"/>
      <c r="E304"/>
      <c r="IE304" s="27" t="s">
        <v>8</v>
      </c>
      <c r="IF304" s="27" t="s">
        <v>7</v>
      </c>
      <c r="IG304" s="27" t="s">
        <v>8</v>
      </c>
      <c r="II304" s="27" t="s">
        <v>8</v>
      </c>
      <c r="IL304" s="27" t="s">
        <v>7</v>
      </c>
      <c r="JC304" s="27" t="s">
        <v>8</v>
      </c>
      <c r="JD304" s="27" t="s">
        <v>7</v>
      </c>
      <c r="JE304" s="27" t="s">
        <v>8</v>
      </c>
      <c r="JH304" s="27" t="s">
        <v>7</v>
      </c>
      <c r="JI304" s="27" t="s">
        <v>8</v>
      </c>
      <c r="JL304" s="27" t="s">
        <v>7</v>
      </c>
      <c r="JM304" s="27" t="s">
        <v>8</v>
      </c>
      <c r="JX304" s="27" t="s">
        <v>7</v>
      </c>
      <c r="LQ304" s="27" t="s">
        <v>8</v>
      </c>
      <c r="LR304" s="27" t="s">
        <v>7</v>
      </c>
    </row>
    <row r="305" spans="1:370" x14ac:dyDescent="0.25">
      <c r="A305" s="7">
        <v>266.22475550472598</v>
      </c>
      <c r="B305"/>
      <c r="C305"/>
      <c r="D305"/>
      <c r="E305"/>
      <c r="IE305" s="27" t="s">
        <v>8</v>
      </c>
      <c r="IF305" s="27" t="s">
        <v>7</v>
      </c>
      <c r="IG305" s="27" t="s">
        <v>8</v>
      </c>
      <c r="IH305" s="27" t="s">
        <v>7</v>
      </c>
      <c r="II305" s="27" t="s">
        <v>8</v>
      </c>
      <c r="IL305" s="27" t="s">
        <v>7</v>
      </c>
      <c r="JC305" s="27" t="s">
        <v>8</v>
      </c>
      <c r="JD305" s="27" t="s">
        <v>7</v>
      </c>
      <c r="JE305" s="27" t="s">
        <v>8</v>
      </c>
      <c r="JH305" s="27" t="s">
        <v>7</v>
      </c>
      <c r="JI305" s="27" t="s">
        <v>8</v>
      </c>
      <c r="JL305" s="27" t="s">
        <v>7</v>
      </c>
      <c r="JM305" s="27" t="s">
        <v>8</v>
      </c>
      <c r="JX305" s="27" t="s">
        <v>7</v>
      </c>
      <c r="LQ305" s="27" t="s">
        <v>8</v>
      </c>
      <c r="LR305" s="27" t="s">
        <v>7</v>
      </c>
      <c r="LU305" s="27" t="s">
        <v>8</v>
      </c>
    </row>
    <row r="306" spans="1:370" x14ac:dyDescent="0.25">
      <c r="A306" s="7">
        <v>261.00466225953528</v>
      </c>
      <c r="B306"/>
      <c r="C306"/>
      <c r="D306"/>
      <c r="E306"/>
      <c r="IE306" s="27" t="s">
        <v>8</v>
      </c>
      <c r="IF306" s="27" t="s">
        <v>7</v>
      </c>
      <c r="IG306" s="27" t="s">
        <v>8</v>
      </c>
      <c r="IH306" s="27" t="s">
        <v>7</v>
      </c>
      <c r="II306" s="27" t="s">
        <v>8</v>
      </c>
      <c r="IL306" s="27" t="s">
        <v>7</v>
      </c>
      <c r="IM306" s="27" t="s">
        <v>8</v>
      </c>
      <c r="JC306" s="27" t="s">
        <v>8</v>
      </c>
      <c r="JD306" s="27" t="s">
        <v>7</v>
      </c>
      <c r="JE306" s="27" t="s">
        <v>8</v>
      </c>
      <c r="JH306" s="27" t="s">
        <v>7</v>
      </c>
      <c r="JI306" s="27" t="s">
        <v>8</v>
      </c>
      <c r="JL306" s="27" t="s">
        <v>7</v>
      </c>
      <c r="JM306" s="27" t="s">
        <v>8</v>
      </c>
      <c r="JX306" s="27" t="s">
        <v>7</v>
      </c>
      <c r="LQ306" s="27" t="s">
        <v>8</v>
      </c>
      <c r="LR306" s="27" t="s">
        <v>7</v>
      </c>
      <c r="LU306" s="27" t="s">
        <v>8</v>
      </c>
      <c r="LV306" s="27" t="s">
        <v>7</v>
      </c>
    </row>
    <row r="307" spans="1:370" x14ac:dyDescent="0.25">
      <c r="A307" s="7">
        <v>255.88692378385809</v>
      </c>
      <c r="B307"/>
      <c r="C307"/>
      <c r="D307"/>
      <c r="E307"/>
      <c r="IE307" s="27" t="s">
        <v>8</v>
      </c>
      <c r="IF307" s="27" t="s">
        <v>7</v>
      </c>
      <c r="IG307" s="27" t="s">
        <v>8</v>
      </c>
      <c r="IH307" s="27" t="s">
        <v>7</v>
      </c>
      <c r="II307" s="27" t="s">
        <v>8</v>
      </c>
      <c r="IL307" s="27" t="s">
        <v>7</v>
      </c>
      <c r="IM307" s="27" t="s">
        <v>8</v>
      </c>
      <c r="IN307" s="27" t="s">
        <v>7</v>
      </c>
      <c r="JC307" s="27" t="s">
        <v>8</v>
      </c>
      <c r="JD307" s="27" t="s">
        <v>7</v>
      </c>
      <c r="JE307" s="27" t="s">
        <v>8</v>
      </c>
      <c r="JH307" s="27" t="s">
        <v>7</v>
      </c>
      <c r="JL307" s="27" t="s">
        <v>7</v>
      </c>
      <c r="JM307" s="27" t="s">
        <v>8</v>
      </c>
      <c r="JX307" s="27" t="s">
        <v>7</v>
      </c>
      <c r="LQ307" s="27" t="s">
        <v>8</v>
      </c>
      <c r="LR307" s="27" t="s">
        <v>7</v>
      </c>
      <c r="LU307" s="27" t="s">
        <v>8</v>
      </c>
      <c r="LV307" s="27" t="s">
        <v>7</v>
      </c>
    </row>
    <row r="308" spans="1:370" x14ac:dyDescent="0.25">
      <c r="A308" s="7">
        <v>250.8695331214295</v>
      </c>
      <c r="B308"/>
      <c r="C308"/>
      <c r="D308"/>
      <c r="E308"/>
      <c r="IE308" s="27" t="s">
        <v>8</v>
      </c>
      <c r="IF308" s="27" t="s">
        <v>7</v>
      </c>
      <c r="IG308" s="27" t="s">
        <v>8</v>
      </c>
      <c r="IH308" s="27" t="s">
        <v>7</v>
      </c>
      <c r="II308" s="27" t="s">
        <v>8</v>
      </c>
      <c r="IL308" s="27" t="s">
        <v>7</v>
      </c>
      <c r="IM308" s="27" t="s">
        <v>8</v>
      </c>
      <c r="IN308" s="27" t="s">
        <v>7</v>
      </c>
      <c r="JC308" s="27" t="s">
        <v>8</v>
      </c>
      <c r="JD308" s="27" t="s">
        <v>7</v>
      </c>
      <c r="JL308" s="27" t="s">
        <v>7</v>
      </c>
      <c r="JM308" s="27" t="s">
        <v>8</v>
      </c>
      <c r="JX308" s="27" t="s">
        <v>7</v>
      </c>
      <c r="LQ308" s="27" t="s">
        <v>8</v>
      </c>
      <c r="LR308" s="27" t="s">
        <v>7</v>
      </c>
      <c r="LU308" s="27" t="s">
        <v>8</v>
      </c>
      <c r="LV308" s="27" t="s">
        <v>7</v>
      </c>
    </row>
    <row r="309" spans="1:370" x14ac:dyDescent="0.25">
      <c r="A309" s="7">
        <v>245.95052266806812</v>
      </c>
      <c r="B309"/>
      <c r="C309"/>
      <c r="D309"/>
      <c r="E309"/>
      <c r="IE309" s="27" t="s">
        <v>8</v>
      </c>
      <c r="IF309" s="27" t="s">
        <v>7</v>
      </c>
      <c r="IG309" s="27" t="s">
        <v>8</v>
      </c>
      <c r="IH309" s="27" t="s">
        <v>7</v>
      </c>
      <c r="II309" s="27" t="s">
        <v>8</v>
      </c>
      <c r="IL309" s="27" t="s">
        <v>7</v>
      </c>
      <c r="IM309" s="27" t="s">
        <v>8</v>
      </c>
      <c r="IN309" s="27" t="s">
        <v>7</v>
      </c>
      <c r="IS309" s="27" t="s">
        <v>8</v>
      </c>
      <c r="IU309" s="27" t="s">
        <v>8</v>
      </c>
      <c r="JA309" s="27" t="s">
        <v>8</v>
      </c>
      <c r="JC309" s="27" t="s">
        <v>8</v>
      </c>
      <c r="JL309" s="27" t="s">
        <v>7</v>
      </c>
      <c r="JM309" s="27" t="s">
        <v>8</v>
      </c>
      <c r="JX309" s="27" t="s">
        <v>7</v>
      </c>
      <c r="LQ309" s="27" t="s">
        <v>8</v>
      </c>
      <c r="LR309" s="27" t="s">
        <v>7</v>
      </c>
      <c r="LS309" s="27" t="s">
        <v>8</v>
      </c>
      <c r="LU309" s="27" t="s">
        <v>8</v>
      </c>
      <c r="LV309" s="27" t="s">
        <v>7</v>
      </c>
      <c r="MW309" s="27" t="s">
        <v>8</v>
      </c>
    </row>
    <row r="310" spans="1:370" x14ac:dyDescent="0.25">
      <c r="A310" s="7">
        <v>241.12796340006679</v>
      </c>
      <c r="B310"/>
      <c r="C310"/>
      <c r="D310"/>
      <c r="E310"/>
      <c r="IE310" s="27" t="s">
        <v>8</v>
      </c>
      <c r="IF310" s="27" t="s">
        <v>7</v>
      </c>
      <c r="IG310" s="27" t="s">
        <v>8</v>
      </c>
      <c r="IH310" s="27" t="s">
        <v>7</v>
      </c>
      <c r="II310" s="27" t="s">
        <v>8</v>
      </c>
      <c r="IL310" s="27" t="s">
        <v>7</v>
      </c>
      <c r="IM310" s="27" t="s">
        <v>8</v>
      </c>
      <c r="IN310" s="27" t="s">
        <v>7</v>
      </c>
      <c r="IS310" s="27" t="s">
        <v>8</v>
      </c>
      <c r="IT310" s="27" t="s">
        <v>7</v>
      </c>
      <c r="IU310" s="27" t="s">
        <v>8</v>
      </c>
      <c r="IV310" s="27" t="s">
        <v>7</v>
      </c>
      <c r="JA310" s="27" t="s">
        <v>8</v>
      </c>
      <c r="JB310" s="27" t="s">
        <v>7</v>
      </c>
      <c r="JC310" s="27" t="s">
        <v>8</v>
      </c>
      <c r="JL310" s="27" t="s">
        <v>7</v>
      </c>
      <c r="JM310" s="27" t="s">
        <v>8</v>
      </c>
      <c r="JX310" s="27" t="s">
        <v>7</v>
      </c>
      <c r="LQ310" s="27" t="s">
        <v>8</v>
      </c>
      <c r="LR310" s="27" t="s">
        <v>7</v>
      </c>
      <c r="LS310" s="27" t="s">
        <v>8</v>
      </c>
      <c r="LT310" s="27" t="s">
        <v>7</v>
      </c>
      <c r="LU310" s="27" t="s">
        <v>8</v>
      </c>
      <c r="LV310" s="27" t="s">
        <v>7</v>
      </c>
      <c r="MW310" s="27" t="s">
        <v>8</v>
      </c>
      <c r="MX310" s="27" t="s">
        <v>7</v>
      </c>
    </row>
    <row r="311" spans="1:370" x14ac:dyDescent="0.25">
      <c r="A311" s="7">
        <v>236.39996411771253</v>
      </c>
      <c r="B311"/>
      <c r="C311"/>
      <c r="D311"/>
      <c r="E311"/>
      <c r="IE311" s="27" t="s">
        <v>8</v>
      </c>
      <c r="IF311" s="27" t="s">
        <v>7</v>
      </c>
      <c r="IG311" s="27" t="s">
        <v>8</v>
      </c>
      <c r="IH311" s="27" t="s">
        <v>7</v>
      </c>
      <c r="IL311" s="27" t="s">
        <v>7</v>
      </c>
      <c r="IM311" s="27" t="s">
        <v>8</v>
      </c>
      <c r="IN311" s="27" t="s">
        <v>7</v>
      </c>
      <c r="IS311" s="27" t="s">
        <v>8</v>
      </c>
      <c r="IT311" s="27" t="s">
        <v>7</v>
      </c>
      <c r="IU311" s="27" t="s">
        <v>8</v>
      </c>
      <c r="IV311" s="27" t="s">
        <v>7</v>
      </c>
      <c r="IW311" s="27" t="s">
        <v>8</v>
      </c>
      <c r="IY311" s="27" t="s">
        <v>8</v>
      </c>
      <c r="JA311" s="27" t="s">
        <v>8</v>
      </c>
      <c r="JB311" s="27" t="s">
        <v>7</v>
      </c>
      <c r="JC311" s="27" t="s">
        <v>8</v>
      </c>
      <c r="JL311" s="27" t="s">
        <v>7</v>
      </c>
      <c r="JX311" s="27" t="s">
        <v>7</v>
      </c>
      <c r="JY311" s="27" t="s">
        <v>8</v>
      </c>
      <c r="LQ311" s="27" t="s">
        <v>8</v>
      </c>
      <c r="LR311" s="27" t="s">
        <v>7</v>
      </c>
      <c r="LS311" s="27" t="s">
        <v>8</v>
      </c>
      <c r="LT311" s="27" t="s">
        <v>7</v>
      </c>
      <c r="LU311" s="27" t="s">
        <v>8</v>
      </c>
      <c r="LV311" s="27" t="s">
        <v>7</v>
      </c>
      <c r="MW311" s="27" t="s">
        <v>8</v>
      </c>
      <c r="MX311" s="27" t="s">
        <v>7</v>
      </c>
      <c r="NA311" s="27" t="s">
        <v>8</v>
      </c>
    </row>
    <row r="312" spans="1:370" x14ac:dyDescent="0.25">
      <c r="A312" s="7">
        <v>231.76467070363972</v>
      </c>
      <c r="B312"/>
      <c r="C312"/>
      <c r="D312"/>
      <c r="E312"/>
      <c r="IE312" s="27" t="s">
        <v>8</v>
      </c>
      <c r="IF312" s="27" t="s">
        <v>7</v>
      </c>
      <c r="IG312" s="27" t="s">
        <v>8</v>
      </c>
      <c r="IL312" s="27" t="s">
        <v>7</v>
      </c>
      <c r="IM312" s="27" t="s">
        <v>8</v>
      </c>
      <c r="IN312" s="27" t="s">
        <v>7</v>
      </c>
      <c r="IQ312" s="27" t="s">
        <v>8</v>
      </c>
      <c r="IS312" s="27" t="s">
        <v>8</v>
      </c>
      <c r="IT312" s="27" t="s">
        <v>7</v>
      </c>
      <c r="IU312" s="27" t="s">
        <v>8</v>
      </c>
      <c r="IV312" s="27" t="s">
        <v>7</v>
      </c>
      <c r="IW312" s="27" t="s">
        <v>8</v>
      </c>
      <c r="IX312" s="27" t="s">
        <v>7</v>
      </c>
      <c r="IY312" s="27" t="s">
        <v>8</v>
      </c>
      <c r="IZ312" s="27" t="s">
        <v>7</v>
      </c>
      <c r="JA312" s="27" t="s">
        <v>8</v>
      </c>
      <c r="JB312" s="27" t="s">
        <v>7</v>
      </c>
      <c r="JC312" s="27" t="s">
        <v>8</v>
      </c>
      <c r="JX312" s="27" t="s">
        <v>7</v>
      </c>
      <c r="JY312" s="27" t="s">
        <v>8</v>
      </c>
      <c r="JZ312" s="27" t="s">
        <v>7</v>
      </c>
      <c r="LQ312" s="27" t="s">
        <v>8</v>
      </c>
      <c r="LR312" s="27" t="s">
        <v>7</v>
      </c>
      <c r="LS312" s="27" t="s">
        <v>8</v>
      </c>
      <c r="LT312" s="27" t="s">
        <v>7</v>
      </c>
      <c r="LU312" s="27" t="s">
        <v>8</v>
      </c>
      <c r="LV312" s="27" t="s">
        <v>7</v>
      </c>
      <c r="MW312" s="27" t="s">
        <v>8</v>
      </c>
      <c r="MX312" s="27" t="s">
        <v>7</v>
      </c>
      <c r="MY312" s="27" t="s">
        <v>8</v>
      </c>
      <c r="NA312" s="27" t="s">
        <v>8</v>
      </c>
      <c r="NB312" s="27" t="s">
        <v>7</v>
      </c>
    </row>
    <row r="313" spans="1:370" x14ac:dyDescent="0.25">
      <c r="A313" s="7">
        <v>227.22026539572522</v>
      </c>
      <c r="B313"/>
      <c r="C313"/>
      <c r="D313"/>
      <c r="E313"/>
      <c r="IE313" s="27" t="s">
        <v>8</v>
      </c>
      <c r="IF313" s="27" t="s">
        <v>7</v>
      </c>
      <c r="IG313" s="27" t="s">
        <v>8</v>
      </c>
      <c r="IL313" s="27" t="s">
        <v>7</v>
      </c>
      <c r="IM313" s="27" t="s">
        <v>8</v>
      </c>
      <c r="IN313" s="27" t="s">
        <v>7</v>
      </c>
      <c r="IQ313" s="27" t="s">
        <v>8</v>
      </c>
      <c r="IR313" s="27" t="s">
        <v>7</v>
      </c>
      <c r="IS313" s="27" t="s">
        <v>8</v>
      </c>
      <c r="IT313" s="27" t="s">
        <v>7</v>
      </c>
      <c r="IU313" s="27" t="s">
        <v>8</v>
      </c>
      <c r="IV313" s="27" t="s">
        <v>7</v>
      </c>
      <c r="IW313" s="27" t="s">
        <v>8</v>
      </c>
      <c r="IX313" s="27" t="s">
        <v>7</v>
      </c>
      <c r="IY313" s="27" t="s">
        <v>8</v>
      </c>
      <c r="IZ313" s="27" t="s">
        <v>7</v>
      </c>
      <c r="JA313" s="27" t="s">
        <v>8</v>
      </c>
      <c r="JB313" s="27" t="s">
        <v>7</v>
      </c>
      <c r="JC313" s="27" t="s">
        <v>8</v>
      </c>
      <c r="JX313" s="27" t="s">
        <v>7</v>
      </c>
      <c r="JY313" s="27" t="s">
        <v>8</v>
      </c>
      <c r="JZ313" s="27" t="s">
        <v>7</v>
      </c>
      <c r="LQ313" s="27" t="s">
        <v>8</v>
      </c>
      <c r="LR313" s="27" t="s">
        <v>7</v>
      </c>
      <c r="LS313" s="27" t="s">
        <v>8</v>
      </c>
      <c r="LT313" s="27" t="s">
        <v>7</v>
      </c>
      <c r="LU313" s="27" t="s">
        <v>8</v>
      </c>
      <c r="LV313" s="27" t="s">
        <v>7</v>
      </c>
      <c r="MW313" s="27" t="s">
        <v>8</v>
      </c>
      <c r="MX313" s="27" t="s">
        <v>7</v>
      </c>
      <c r="MY313" s="27" t="s">
        <v>8</v>
      </c>
      <c r="MZ313" s="27" t="s">
        <v>7</v>
      </c>
      <c r="NA313" s="27" t="s">
        <v>8</v>
      </c>
      <c r="NB313" s="27" t="s">
        <v>7</v>
      </c>
    </row>
    <row r="314" spans="1:370" x14ac:dyDescent="0.25">
      <c r="A314" s="7">
        <v>222.76496607424042</v>
      </c>
      <c r="B314"/>
      <c r="C314"/>
      <c r="D314"/>
      <c r="E314"/>
      <c r="IE314" s="27" t="s">
        <v>8</v>
      </c>
      <c r="IF314" s="27" t="s">
        <v>7</v>
      </c>
      <c r="IG314" s="27" t="s">
        <v>8</v>
      </c>
      <c r="IL314" s="27" t="s">
        <v>7</v>
      </c>
      <c r="IM314" s="27" t="s">
        <v>8</v>
      </c>
      <c r="IN314" s="27" t="s">
        <v>7</v>
      </c>
      <c r="IO314" s="27" t="s">
        <v>8</v>
      </c>
      <c r="IQ314" s="27" t="s">
        <v>8</v>
      </c>
      <c r="IR314" s="27" t="s">
        <v>7</v>
      </c>
      <c r="IS314" s="27" t="s">
        <v>8</v>
      </c>
      <c r="IT314" s="27" t="s">
        <v>7</v>
      </c>
      <c r="IU314" s="27" t="s">
        <v>8</v>
      </c>
      <c r="IV314" s="27" t="s">
        <v>7</v>
      </c>
      <c r="IW314" s="27" t="s">
        <v>8</v>
      </c>
      <c r="IX314" s="27" t="s">
        <v>7</v>
      </c>
      <c r="IZ314" s="27" t="s">
        <v>7</v>
      </c>
      <c r="JA314" s="27" t="s">
        <v>8</v>
      </c>
      <c r="JB314" s="27" t="s">
        <v>7</v>
      </c>
      <c r="JX314" s="27" t="s">
        <v>7</v>
      </c>
      <c r="JY314" s="27" t="s">
        <v>8</v>
      </c>
      <c r="JZ314" s="27" t="s">
        <v>7</v>
      </c>
      <c r="LQ314" s="27" t="s">
        <v>8</v>
      </c>
      <c r="LR314" s="27" t="s">
        <v>7</v>
      </c>
      <c r="LT314" s="27" t="s">
        <v>7</v>
      </c>
      <c r="LU314" s="27" t="s">
        <v>8</v>
      </c>
      <c r="LV314" s="27" t="s">
        <v>7</v>
      </c>
      <c r="MW314" s="27" t="s">
        <v>8</v>
      </c>
      <c r="MX314" s="27" t="s">
        <v>7</v>
      </c>
      <c r="MY314" s="27" t="s">
        <v>8</v>
      </c>
      <c r="MZ314" s="27" t="s">
        <v>7</v>
      </c>
      <c r="NA314" s="27" t="s">
        <v>8</v>
      </c>
      <c r="NB314" s="27" t="s">
        <v>7</v>
      </c>
    </row>
    <row r="315" spans="1:370" x14ac:dyDescent="0.25">
      <c r="A315" s="7">
        <v>218.39702556298079</v>
      </c>
      <c r="B315"/>
      <c r="C315"/>
      <c r="D315"/>
      <c r="E315"/>
      <c r="IE315" s="27" t="s">
        <v>8</v>
      </c>
      <c r="IF315" s="27" t="s">
        <v>7</v>
      </c>
      <c r="IG315" s="27" t="s">
        <v>8</v>
      </c>
      <c r="IL315" s="27" t="s">
        <v>7</v>
      </c>
      <c r="IM315" s="27" t="s">
        <v>8</v>
      </c>
      <c r="IN315" s="27" t="s">
        <v>7</v>
      </c>
      <c r="IO315" s="27" t="s">
        <v>8</v>
      </c>
      <c r="IP315" s="27" t="s">
        <v>7</v>
      </c>
      <c r="IQ315" s="27" t="s">
        <v>8</v>
      </c>
      <c r="IR315" s="27" t="s">
        <v>7</v>
      </c>
      <c r="IS315" s="27" t="s">
        <v>8</v>
      </c>
      <c r="IT315" s="27" t="s">
        <v>7</v>
      </c>
      <c r="IV315" s="27" t="s">
        <v>7</v>
      </c>
      <c r="IW315" s="27" t="s">
        <v>8</v>
      </c>
      <c r="IZ315" s="27" t="s">
        <v>7</v>
      </c>
      <c r="JA315" s="27" t="s">
        <v>8</v>
      </c>
      <c r="JX315" s="27" t="s">
        <v>7</v>
      </c>
      <c r="JY315" s="27" t="s">
        <v>8</v>
      </c>
      <c r="JZ315" s="27" t="s">
        <v>7</v>
      </c>
      <c r="KC315" s="27" t="s">
        <v>8</v>
      </c>
      <c r="KI315" s="27" t="s">
        <v>8</v>
      </c>
      <c r="LQ315" s="27" t="s">
        <v>8</v>
      </c>
      <c r="LT315" s="27" t="s">
        <v>7</v>
      </c>
      <c r="LU315" s="27" t="s">
        <v>8</v>
      </c>
      <c r="LV315" s="27" t="s">
        <v>7</v>
      </c>
      <c r="MA315" s="27" t="s">
        <v>8</v>
      </c>
      <c r="MW315" s="27" t="s">
        <v>8</v>
      </c>
      <c r="MX315" s="27" t="s">
        <v>7</v>
      </c>
      <c r="MY315" s="27" t="s">
        <v>8</v>
      </c>
      <c r="MZ315" s="27" t="s">
        <v>7</v>
      </c>
      <c r="NB315" s="27" t="s">
        <v>7</v>
      </c>
    </row>
    <row r="316" spans="1:370" x14ac:dyDescent="0.25">
      <c r="A316" s="7">
        <v>214.1147309440988</v>
      </c>
      <c r="B316"/>
      <c r="C316"/>
      <c r="D316"/>
      <c r="E316"/>
      <c r="IE316" s="27" t="s">
        <v>8</v>
      </c>
      <c r="IF316" s="27" t="s">
        <v>7</v>
      </c>
      <c r="IG316" s="27" t="s">
        <v>8</v>
      </c>
      <c r="IL316" s="27" t="s">
        <v>7</v>
      </c>
      <c r="IM316" s="27" t="s">
        <v>8</v>
      </c>
      <c r="IN316" s="27" t="s">
        <v>7</v>
      </c>
      <c r="IO316" s="27" t="s">
        <v>8</v>
      </c>
      <c r="IP316" s="27" t="s">
        <v>7</v>
      </c>
      <c r="IQ316" s="27" t="s">
        <v>8</v>
      </c>
      <c r="IR316" s="27" t="s">
        <v>7</v>
      </c>
      <c r="IS316" s="27" t="s">
        <v>8</v>
      </c>
      <c r="IV316" s="27" t="s">
        <v>7</v>
      </c>
      <c r="IZ316" s="27" t="s">
        <v>7</v>
      </c>
      <c r="JA316" s="27" t="s">
        <v>8</v>
      </c>
      <c r="JX316" s="27" t="s">
        <v>7</v>
      </c>
      <c r="JY316" s="27" t="s">
        <v>8</v>
      </c>
      <c r="JZ316" s="27" t="s">
        <v>7</v>
      </c>
      <c r="KC316" s="27" t="s">
        <v>8</v>
      </c>
      <c r="KD316" s="27" t="s">
        <v>7</v>
      </c>
      <c r="KI316" s="27" t="s">
        <v>8</v>
      </c>
      <c r="KJ316" s="27" t="s">
        <v>7</v>
      </c>
      <c r="LO316" s="27" t="s">
        <v>8</v>
      </c>
      <c r="LQ316" s="27" t="s">
        <v>8</v>
      </c>
      <c r="LT316" s="27" t="s">
        <v>7</v>
      </c>
      <c r="LV316" s="27" t="s">
        <v>7</v>
      </c>
      <c r="LY316" s="27" t="s">
        <v>8</v>
      </c>
      <c r="MA316" s="27" t="s">
        <v>8</v>
      </c>
      <c r="MB316" s="27" t="s">
        <v>7</v>
      </c>
      <c r="MW316" s="27" t="s">
        <v>8</v>
      </c>
      <c r="MX316" s="27" t="s">
        <v>7</v>
      </c>
      <c r="NB316" s="27" t="s">
        <v>7</v>
      </c>
      <c r="NE316" s="27" t="s">
        <v>8</v>
      </c>
    </row>
    <row r="317" spans="1:370" x14ac:dyDescent="0.25">
      <c r="A317" s="7">
        <v>209.91640288637137</v>
      </c>
      <c r="B317"/>
      <c r="C317"/>
      <c r="D317"/>
      <c r="E317"/>
      <c r="IE317" s="27" t="s">
        <v>8</v>
      </c>
      <c r="IF317" s="27" t="s">
        <v>7</v>
      </c>
      <c r="IG317" s="27" t="s">
        <v>8</v>
      </c>
      <c r="IL317" s="27" t="s">
        <v>7</v>
      </c>
      <c r="IM317" s="27" t="s">
        <v>8</v>
      </c>
      <c r="IN317" s="27" t="s">
        <v>7</v>
      </c>
      <c r="IO317" s="27" t="s">
        <v>8</v>
      </c>
      <c r="IP317" s="27" t="s">
        <v>7</v>
      </c>
      <c r="IQ317" s="27" t="s">
        <v>8</v>
      </c>
      <c r="IR317" s="27" t="s">
        <v>7</v>
      </c>
      <c r="IS317" s="27" t="s">
        <v>8</v>
      </c>
      <c r="IZ317" s="27" t="s">
        <v>7</v>
      </c>
      <c r="JA317" s="27" t="s">
        <v>8</v>
      </c>
      <c r="JX317" s="27" t="s">
        <v>7</v>
      </c>
      <c r="JY317" s="27" t="s">
        <v>8</v>
      </c>
      <c r="JZ317" s="27" t="s">
        <v>7</v>
      </c>
      <c r="KC317" s="27" t="s">
        <v>8</v>
      </c>
      <c r="KD317" s="27" t="s">
        <v>7</v>
      </c>
      <c r="KE317" s="27" t="s">
        <v>8</v>
      </c>
      <c r="KI317" s="27" t="s">
        <v>8</v>
      </c>
      <c r="KJ317" s="27" t="s">
        <v>7</v>
      </c>
      <c r="LO317" s="27" t="s">
        <v>8</v>
      </c>
      <c r="LP317" s="27" t="s">
        <v>7</v>
      </c>
      <c r="LQ317" s="27" t="s">
        <v>8</v>
      </c>
      <c r="LV317" s="27" t="s">
        <v>7</v>
      </c>
      <c r="LW317" s="27" t="s">
        <v>8</v>
      </c>
      <c r="LY317" s="27" t="s">
        <v>8</v>
      </c>
      <c r="LZ317" s="27" t="s">
        <v>7</v>
      </c>
      <c r="MA317" s="27" t="s">
        <v>8</v>
      </c>
      <c r="MB317" s="27" t="s">
        <v>7</v>
      </c>
      <c r="MQ317" s="27" t="s">
        <v>8</v>
      </c>
      <c r="MW317" s="27" t="s">
        <v>8</v>
      </c>
      <c r="NB317" s="27" t="s">
        <v>7</v>
      </c>
      <c r="NE317" s="27" t="s">
        <v>8</v>
      </c>
      <c r="NF317" s="27" t="s">
        <v>7</v>
      </c>
    </row>
    <row r="318" spans="1:370" x14ac:dyDescent="0.25">
      <c r="A318" s="7">
        <v>205.80039498663859</v>
      </c>
      <c r="B318"/>
      <c r="C318"/>
      <c r="D318"/>
      <c r="E318"/>
      <c r="IE318" s="27" t="s">
        <v>8</v>
      </c>
      <c r="IF318" s="27" t="s">
        <v>7</v>
      </c>
      <c r="IG318" s="27" t="s">
        <v>8</v>
      </c>
      <c r="IL318" s="27" t="s">
        <v>7</v>
      </c>
      <c r="IM318" s="27" t="s">
        <v>8</v>
      </c>
      <c r="IN318" s="27" t="s">
        <v>7</v>
      </c>
      <c r="IO318" s="27" t="s">
        <v>8</v>
      </c>
      <c r="IP318" s="27" t="s">
        <v>7</v>
      </c>
      <c r="IQ318" s="27" t="s">
        <v>8</v>
      </c>
      <c r="IR318" s="27" t="s">
        <v>7</v>
      </c>
      <c r="IS318" s="27" t="s">
        <v>8</v>
      </c>
      <c r="IZ318" s="27" t="s">
        <v>7</v>
      </c>
      <c r="JA318" s="27" t="s">
        <v>8</v>
      </c>
      <c r="JX318" s="27" t="s">
        <v>7</v>
      </c>
      <c r="JY318" s="27" t="s">
        <v>8</v>
      </c>
      <c r="JZ318" s="27" t="s">
        <v>7</v>
      </c>
      <c r="KC318" s="27" t="s">
        <v>8</v>
      </c>
      <c r="KD318" s="27" t="s">
        <v>7</v>
      </c>
      <c r="KE318" s="27" t="s">
        <v>8</v>
      </c>
      <c r="KF318" s="27" t="s">
        <v>7</v>
      </c>
      <c r="KI318" s="27" t="s">
        <v>8</v>
      </c>
      <c r="KJ318" s="27" t="s">
        <v>7</v>
      </c>
      <c r="LO318" s="27" t="s">
        <v>8</v>
      </c>
      <c r="LP318" s="27" t="s">
        <v>7</v>
      </c>
      <c r="LQ318" s="27" t="s">
        <v>8</v>
      </c>
      <c r="LV318" s="27" t="s">
        <v>7</v>
      </c>
      <c r="LW318" s="27" t="s">
        <v>8</v>
      </c>
      <c r="LX318" s="27" t="s">
        <v>7</v>
      </c>
      <c r="LY318" s="27" t="s">
        <v>8</v>
      </c>
      <c r="LZ318" s="27" t="s">
        <v>7</v>
      </c>
      <c r="MA318" s="27" t="s">
        <v>8</v>
      </c>
      <c r="MB318" s="27" t="s">
        <v>7</v>
      </c>
      <c r="MO318" s="27" t="s">
        <v>8</v>
      </c>
      <c r="MQ318" s="27" t="s">
        <v>8</v>
      </c>
      <c r="MR318" s="27" t="s">
        <v>7</v>
      </c>
      <c r="MW318" s="27" t="s">
        <v>8</v>
      </c>
      <c r="NB318" s="27" t="s">
        <v>7</v>
      </c>
      <c r="NC318" s="27" t="s">
        <v>8</v>
      </c>
      <c r="NE318" s="27" t="s">
        <v>8</v>
      </c>
      <c r="NF318" s="27" t="s">
        <v>7</v>
      </c>
    </row>
    <row r="319" spans="1:370" x14ac:dyDescent="0.25">
      <c r="A319" s="7">
        <v>201.76509312415547</v>
      </c>
      <c r="B319"/>
      <c r="C319"/>
      <c r="D319"/>
      <c r="E319"/>
      <c r="IE319" s="27" t="s">
        <v>8</v>
      </c>
      <c r="IF319" s="27" t="s">
        <v>7</v>
      </c>
      <c r="IG319" s="27" t="s">
        <v>8</v>
      </c>
      <c r="IL319" s="27" t="s">
        <v>7</v>
      </c>
      <c r="IN319" s="27" t="s">
        <v>7</v>
      </c>
      <c r="IP319" s="27" t="s">
        <v>7</v>
      </c>
      <c r="IQ319" s="27" t="s">
        <v>8</v>
      </c>
      <c r="IR319" s="27" t="s">
        <v>7</v>
      </c>
      <c r="IS319" s="27" t="s">
        <v>8</v>
      </c>
      <c r="IZ319" s="27" t="s">
        <v>7</v>
      </c>
      <c r="JA319" s="27" t="s">
        <v>8</v>
      </c>
      <c r="JX319" s="27" t="s">
        <v>7</v>
      </c>
      <c r="JY319" s="27" t="s">
        <v>8</v>
      </c>
      <c r="JZ319" s="27" t="s">
        <v>7</v>
      </c>
      <c r="KC319" s="27" t="s">
        <v>8</v>
      </c>
      <c r="KD319" s="27" t="s">
        <v>7</v>
      </c>
      <c r="KE319" s="27" t="s">
        <v>8</v>
      </c>
      <c r="KF319" s="27" t="s">
        <v>7</v>
      </c>
      <c r="KI319" s="27" t="s">
        <v>8</v>
      </c>
      <c r="KJ319" s="27" t="s">
        <v>7</v>
      </c>
      <c r="LO319" s="27" t="s">
        <v>8</v>
      </c>
      <c r="LP319" s="27" t="s">
        <v>7</v>
      </c>
      <c r="LQ319" s="27" t="s">
        <v>8</v>
      </c>
      <c r="LV319" s="27" t="s">
        <v>7</v>
      </c>
      <c r="LW319" s="27" t="s">
        <v>8</v>
      </c>
      <c r="LX319" s="27" t="s">
        <v>7</v>
      </c>
      <c r="LY319" s="27" t="s">
        <v>8</v>
      </c>
      <c r="LZ319" s="27" t="s">
        <v>7</v>
      </c>
      <c r="MA319" s="27" t="s">
        <v>8</v>
      </c>
      <c r="MB319" s="27" t="s">
        <v>7</v>
      </c>
      <c r="MO319" s="27" t="s">
        <v>8</v>
      </c>
      <c r="MP319" s="27" t="s">
        <v>7</v>
      </c>
      <c r="MQ319" s="27" t="s">
        <v>8</v>
      </c>
      <c r="MR319" s="27" t="s">
        <v>7</v>
      </c>
      <c r="MU319" s="27" t="s">
        <v>8</v>
      </c>
      <c r="MW319" s="27" t="s">
        <v>8</v>
      </c>
      <c r="NB319" s="27" t="s">
        <v>7</v>
      </c>
      <c r="NC319" s="27" t="s">
        <v>8</v>
      </c>
      <c r="ND319" s="27" t="s">
        <v>7</v>
      </c>
      <c r="NE319" s="27" t="s">
        <v>8</v>
      </c>
      <c r="NF319" s="27" t="s">
        <v>7</v>
      </c>
    </row>
    <row r="320" spans="1:370" x14ac:dyDescent="0.25">
      <c r="A320" s="7">
        <v>197.80891482760339</v>
      </c>
      <c r="B320"/>
      <c r="C320"/>
      <c r="D320"/>
      <c r="E320"/>
      <c r="IE320" s="27" t="s">
        <v>8</v>
      </c>
      <c r="IF320" s="27" t="s">
        <v>7</v>
      </c>
      <c r="IP320" s="27" t="s">
        <v>7</v>
      </c>
      <c r="IQ320" s="27" t="s">
        <v>8</v>
      </c>
      <c r="IR320" s="27" t="s">
        <v>7</v>
      </c>
      <c r="IZ320" s="27" t="s">
        <v>7</v>
      </c>
      <c r="JA320" s="27" t="s">
        <v>8</v>
      </c>
      <c r="JX320" s="27" t="s">
        <v>7</v>
      </c>
      <c r="JY320" s="27" t="s">
        <v>8</v>
      </c>
      <c r="JZ320" s="27" t="s">
        <v>7</v>
      </c>
      <c r="KC320" s="27" t="s">
        <v>8</v>
      </c>
      <c r="KD320" s="27" t="s">
        <v>7</v>
      </c>
      <c r="KE320" s="27" t="s">
        <v>8</v>
      </c>
      <c r="KF320" s="27" t="s">
        <v>7</v>
      </c>
      <c r="KG320" s="27" t="s">
        <v>8</v>
      </c>
      <c r="KI320" s="27" t="s">
        <v>8</v>
      </c>
      <c r="KJ320" s="27" t="s">
        <v>7</v>
      </c>
      <c r="LO320" s="27" t="s">
        <v>8</v>
      </c>
      <c r="LP320" s="27" t="s">
        <v>7</v>
      </c>
      <c r="LQ320" s="27" t="s">
        <v>8</v>
      </c>
      <c r="LV320" s="27" t="s">
        <v>7</v>
      </c>
      <c r="LW320" s="27" t="s">
        <v>8</v>
      </c>
      <c r="LX320" s="27" t="s">
        <v>7</v>
      </c>
      <c r="LY320" s="27" t="s">
        <v>8</v>
      </c>
      <c r="LZ320" s="27" t="s">
        <v>7</v>
      </c>
      <c r="MB320" s="27" t="s">
        <v>7</v>
      </c>
      <c r="MK320" s="27" t="s">
        <v>8</v>
      </c>
      <c r="MM320" s="27" t="s">
        <v>8</v>
      </c>
      <c r="MO320" s="27" t="s">
        <v>8</v>
      </c>
      <c r="MP320" s="27" t="s">
        <v>7</v>
      </c>
      <c r="MQ320" s="27" t="s">
        <v>8</v>
      </c>
      <c r="MR320" s="27" t="s">
        <v>7</v>
      </c>
      <c r="MS320" s="27" t="s">
        <v>8</v>
      </c>
      <c r="MU320" s="27" t="s">
        <v>8</v>
      </c>
      <c r="MV320" s="27" t="s">
        <v>7</v>
      </c>
      <c r="MW320" s="27" t="s">
        <v>8</v>
      </c>
      <c r="NB320" s="27" t="s">
        <v>7</v>
      </c>
      <c r="NC320" s="27" t="s">
        <v>8</v>
      </c>
      <c r="ND320" s="27" t="s">
        <v>7</v>
      </c>
      <c r="NE320" s="27" t="s">
        <v>8</v>
      </c>
      <c r="NF320" s="27" t="s">
        <v>7</v>
      </c>
    </row>
    <row r="321" spans="1:390" x14ac:dyDescent="0.25">
      <c r="A321" s="7">
        <v>193.93030865451311</v>
      </c>
      <c r="B321"/>
      <c r="C321"/>
      <c r="D321"/>
      <c r="E321"/>
      <c r="IE321" s="27" t="s">
        <v>8</v>
      </c>
      <c r="IP321" s="27" t="s">
        <v>7</v>
      </c>
      <c r="IQ321" s="27" t="s">
        <v>8</v>
      </c>
      <c r="IZ321" s="27" t="s">
        <v>7</v>
      </c>
      <c r="JA321" s="27" t="s">
        <v>8</v>
      </c>
      <c r="JX321" s="27" t="s">
        <v>7</v>
      </c>
      <c r="JY321" s="27" t="s">
        <v>8</v>
      </c>
      <c r="JZ321" s="27" t="s">
        <v>7</v>
      </c>
      <c r="KA321" s="27" t="s">
        <v>8</v>
      </c>
      <c r="KC321" s="27" t="s">
        <v>8</v>
      </c>
      <c r="KD321" s="27" t="s">
        <v>7</v>
      </c>
      <c r="KE321" s="27" t="s">
        <v>8</v>
      </c>
      <c r="KF321" s="27" t="s">
        <v>7</v>
      </c>
      <c r="KG321" s="27" t="s">
        <v>8</v>
      </c>
      <c r="KH321" s="27" t="s">
        <v>7</v>
      </c>
      <c r="KI321" s="27" t="s">
        <v>8</v>
      </c>
      <c r="KJ321" s="27" t="s">
        <v>7</v>
      </c>
      <c r="LO321" s="27" t="s">
        <v>8</v>
      </c>
      <c r="LP321" s="27" t="s">
        <v>7</v>
      </c>
      <c r="LQ321" s="27" t="s">
        <v>8</v>
      </c>
      <c r="LV321" s="27" t="s">
        <v>7</v>
      </c>
      <c r="LW321" s="27" t="s">
        <v>8</v>
      </c>
      <c r="LX321" s="27" t="s">
        <v>7</v>
      </c>
      <c r="LY321" s="27" t="s">
        <v>8</v>
      </c>
      <c r="MB321" s="27" t="s">
        <v>7</v>
      </c>
      <c r="MK321" s="27" t="s">
        <v>8</v>
      </c>
      <c r="ML321" s="27" t="s">
        <v>7</v>
      </c>
      <c r="MM321" s="27" t="s">
        <v>8</v>
      </c>
      <c r="MN321" s="27" t="s">
        <v>7</v>
      </c>
      <c r="MO321" s="27" t="s">
        <v>8</v>
      </c>
      <c r="MP321" s="27" t="s">
        <v>7</v>
      </c>
      <c r="MR321" s="27" t="s">
        <v>7</v>
      </c>
      <c r="MS321" s="27" t="s">
        <v>8</v>
      </c>
      <c r="MT321" s="27" t="s">
        <v>7</v>
      </c>
      <c r="MU321" s="27" t="s">
        <v>8</v>
      </c>
      <c r="MV321" s="27" t="s">
        <v>7</v>
      </c>
      <c r="MW321" s="27" t="s">
        <v>8</v>
      </c>
      <c r="NB321" s="27" t="s">
        <v>7</v>
      </c>
      <c r="NC321" s="27" t="s">
        <v>8</v>
      </c>
      <c r="ND321" s="27" t="s">
        <v>7</v>
      </c>
      <c r="NE321" s="27" t="s">
        <v>8</v>
      </c>
      <c r="NF321" s="27" t="s">
        <v>7</v>
      </c>
    </row>
    <row r="322" spans="1:390" x14ac:dyDescent="0.25">
      <c r="A322" s="7">
        <v>190.127753582856</v>
      </c>
      <c r="B322"/>
      <c r="C322"/>
      <c r="D322"/>
      <c r="E322"/>
      <c r="IE322" s="27" t="s">
        <v>8</v>
      </c>
      <c r="IP322" s="27" t="s">
        <v>7</v>
      </c>
      <c r="IQ322" s="27" t="s">
        <v>8</v>
      </c>
      <c r="IZ322" s="27" t="s">
        <v>7</v>
      </c>
      <c r="JA322" s="27" t="s">
        <v>8</v>
      </c>
      <c r="JX322" s="27" t="s">
        <v>7</v>
      </c>
      <c r="JY322" s="27" t="s">
        <v>8</v>
      </c>
      <c r="JZ322" s="27" t="s">
        <v>7</v>
      </c>
      <c r="KA322" s="27" t="s">
        <v>8</v>
      </c>
      <c r="KB322" s="27" t="s">
        <v>7</v>
      </c>
      <c r="KC322" s="27" t="s">
        <v>8</v>
      </c>
      <c r="KD322" s="27" t="s">
        <v>7</v>
      </c>
      <c r="KE322" s="27" t="s">
        <v>8</v>
      </c>
      <c r="KF322" s="27" t="s">
        <v>7</v>
      </c>
      <c r="KG322" s="27" t="s">
        <v>8</v>
      </c>
      <c r="KH322" s="27" t="s">
        <v>7</v>
      </c>
      <c r="KI322" s="27" t="s">
        <v>8</v>
      </c>
      <c r="KJ322" s="27" t="s">
        <v>7</v>
      </c>
      <c r="KK322" s="27" t="s">
        <v>8</v>
      </c>
      <c r="LO322" s="27" t="s">
        <v>8</v>
      </c>
      <c r="LP322" s="27" t="s">
        <v>7</v>
      </c>
      <c r="LQ322" s="27" t="s">
        <v>8</v>
      </c>
      <c r="LV322" s="27" t="s">
        <v>7</v>
      </c>
      <c r="LW322" s="27" t="s">
        <v>8</v>
      </c>
      <c r="LX322" s="27" t="s">
        <v>7</v>
      </c>
      <c r="MB322" s="27" t="s">
        <v>7</v>
      </c>
      <c r="MK322" s="27" t="s">
        <v>8</v>
      </c>
      <c r="ML322" s="27" t="s">
        <v>7</v>
      </c>
      <c r="MM322" s="27" t="s">
        <v>8</v>
      </c>
      <c r="MN322" s="27" t="s">
        <v>7</v>
      </c>
      <c r="MO322" s="27" t="s">
        <v>8</v>
      </c>
      <c r="MR322" s="27" t="s">
        <v>7</v>
      </c>
      <c r="MS322" s="27" t="s">
        <v>8</v>
      </c>
      <c r="MT322" s="27" t="s">
        <v>7</v>
      </c>
      <c r="MU322" s="27" t="s">
        <v>8</v>
      </c>
      <c r="MV322" s="27" t="s">
        <v>7</v>
      </c>
      <c r="MW322" s="27" t="s">
        <v>8</v>
      </c>
      <c r="NB322" s="27" t="s">
        <v>7</v>
      </c>
      <c r="NC322" s="27" t="s">
        <v>8</v>
      </c>
      <c r="ND322" s="27" t="s">
        <v>7</v>
      </c>
      <c r="NE322" s="27" t="s">
        <v>8</v>
      </c>
      <c r="NF322" s="27" t="s">
        <v>7</v>
      </c>
    </row>
    <row r="323" spans="1:390" x14ac:dyDescent="0.25">
      <c r="A323" s="7">
        <v>186.3997584145647</v>
      </c>
      <c r="B323"/>
      <c r="C323"/>
      <c r="D323"/>
      <c r="E323"/>
      <c r="AG323" s="27" t="s">
        <v>8</v>
      </c>
      <c r="IE323" s="27" t="s">
        <v>8</v>
      </c>
      <c r="IP323" s="27" t="s">
        <v>7</v>
      </c>
      <c r="IQ323" s="27" t="s">
        <v>8</v>
      </c>
      <c r="IZ323" s="27" t="s">
        <v>7</v>
      </c>
      <c r="JA323" s="27" t="s">
        <v>8</v>
      </c>
      <c r="JX323" s="27" t="s">
        <v>7</v>
      </c>
      <c r="JY323" s="27" t="s">
        <v>8</v>
      </c>
      <c r="JZ323" s="27" t="s">
        <v>7</v>
      </c>
      <c r="KA323" s="27" t="s">
        <v>8</v>
      </c>
      <c r="KB323" s="27" t="s">
        <v>7</v>
      </c>
      <c r="KC323" s="27" t="s">
        <v>8</v>
      </c>
      <c r="KD323" s="27" t="s">
        <v>7</v>
      </c>
      <c r="KE323" s="27" t="s">
        <v>8</v>
      </c>
      <c r="KF323" s="27" t="s">
        <v>7</v>
      </c>
      <c r="KG323" s="27" t="s">
        <v>8</v>
      </c>
      <c r="KH323" s="27" t="s">
        <v>7</v>
      </c>
      <c r="KJ323" s="27" t="s">
        <v>7</v>
      </c>
      <c r="KK323" s="27" t="s">
        <v>8</v>
      </c>
      <c r="KL323" s="27" t="s">
        <v>7</v>
      </c>
      <c r="LC323" s="18" t="s">
        <v>8</v>
      </c>
      <c r="LO323" s="27" t="s">
        <v>8</v>
      </c>
      <c r="LP323" s="27" t="s">
        <v>7</v>
      </c>
      <c r="LV323" s="27" t="s">
        <v>7</v>
      </c>
      <c r="MB323" s="27" t="s">
        <v>7</v>
      </c>
      <c r="MK323" s="27" t="s">
        <v>8</v>
      </c>
      <c r="ML323" s="27" t="s">
        <v>7</v>
      </c>
      <c r="MM323" s="27" t="s">
        <v>8</v>
      </c>
      <c r="MN323" s="27" t="s">
        <v>7</v>
      </c>
      <c r="MO323" s="27" t="s">
        <v>8</v>
      </c>
      <c r="MR323" s="27" t="s">
        <v>7</v>
      </c>
      <c r="MS323" s="27" t="s">
        <v>8</v>
      </c>
      <c r="MT323" s="27" t="s">
        <v>7</v>
      </c>
      <c r="MV323" s="27" t="s">
        <v>7</v>
      </c>
      <c r="NB323" s="27" t="s">
        <v>7</v>
      </c>
      <c r="NC323" s="27" t="s">
        <v>8</v>
      </c>
      <c r="ND323" s="27" t="s">
        <v>7</v>
      </c>
      <c r="NF323" s="27" t="s">
        <v>7</v>
      </c>
    </row>
    <row r="324" spans="1:390" x14ac:dyDescent="0.25">
      <c r="A324" s="7">
        <v>182.7448611907497</v>
      </c>
      <c r="B324"/>
      <c r="C324"/>
      <c r="D324"/>
      <c r="E324"/>
      <c r="AG324" s="27" t="s">
        <v>8</v>
      </c>
      <c r="AH324" s="27" t="s">
        <v>7</v>
      </c>
      <c r="IE324" s="27" t="s">
        <v>8</v>
      </c>
      <c r="IP324" s="27" t="s">
        <v>7</v>
      </c>
      <c r="IZ324" s="27" t="s">
        <v>7</v>
      </c>
      <c r="JX324" s="27" t="s">
        <v>7</v>
      </c>
      <c r="JY324" s="27" t="s">
        <v>8</v>
      </c>
      <c r="JZ324" s="27" t="s">
        <v>7</v>
      </c>
      <c r="KA324" s="27" t="s">
        <v>8</v>
      </c>
      <c r="KB324" s="27" t="s">
        <v>7</v>
      </c>
      <c r="KC324" s="27" t="s">
        <v>8</v>
      </c>
      <c r="KD324" s="27" t="s">
        <v>7</v>
      </c>
      <c r="KE324" s="27" t="s">
        <v>8</v>
      </c>
      <c r="KF324" s="27" t="s">
        <v>7</v>
      </c>
      <c r="KG324" s="27" t="s">
        <v>8</v>
      </c>
      <c r="KJ324" s="27" t="s">
        <v>7</v>
      </c>
      <c r="KK324" s="27" t="s">
        <v>8</v>
      </c>
      <c r="KL324" s="27" t="s">
        <v>7</v>
      </c>
      <c r="LC324" s="27" t="s">
        <v>8</v>
      </c>
      <c r="LD324" s="27" t="s">
        <v>7</v>
      </c>
      <c r="LO324" s="27" t="s">
        <v>8</v>
      </c>
      <c r="MB324" s="27" t="s">
        <v>7</v>
      </c>
      <c r="MC324" s="27" t="s">
        <v>8</v>
      </c>
      <c r="MI324" s="27" t="s">
        <v>8</v>
      </c>
      <c r="MK324" s="27" t="s">
        <v>8</v>
      </c>
      <c r="ML324" s="27" t="s">
        <v>7</v>
      </c>
      <c r="MM324" s="27" t="s">
        <v>8</v>
      </c>
      <c r="MN324" s="27" t="s">
        <v>7</v>
      </c>
      <c r="MO324" s="27" t="s">
        <v>8</v>
      </c>
      <c r="MR324" s="27" t="s">
        <v>7</v>
      </c>
      <c r="MS324" s="27" t="s">
        <v>8</v>
      </c>
      <c r="NB324" s="27" t="s">
        <v>7</v>
      </c>
      <c r="NC324" s="27" t="s">
        <v>8</v>
      </c>
      <c r="NF324" s="27" t="s">
        <v>7</v>
      </c>
      <c r="NG324" s="27" t="s">
        <v>8</v>
      </c>
    </row>
    <row r="325" spans="1:390" x14ac:dyDescent="0.25">
      <c r="A325" s="7">
        <v>179.16162861838205</v>
      </c>
      <c r="B325"/>
      <c r="C325"/>
      <c r="D325"/>
      <c r="E325"/>
      <c r="AG325" s="27" t="s">
        <v>8</v>
      </c>
      <c r="AH325" s="27" t="s">
        <v>7</v>
      </c>
      <c r="IE325" s="27" t="s">
        <v>8</v>
      </c>
      <c r="JX325" s="27" t="s">
        <v>7</v>
      </c>
      <c r="JY325" s="27" t="s">
        <v>8</v>
      </c>
      <c r="JZ325" s="27" t="s">
        <v>7</v>
      </c>
      <c r="KA325" s="27" t="s">
        <v>8</v>
      </c>
      <c r="KB325" s="27" t="s">
        <v>7</v>
      </c>
      <c r="KC325" s="27" t="s">
        <v>8</v>
      </c>
      <c r="KD325" s="27" t="s">
        <v>7</v>
      </c>
      <c r="KE325" s="27" t="s">
        <v>8</v>
      </c>
      <c r="KF325" s="27" t="s">
        <v>7</v>
      </c>
      <c r="KG325" s="27" t="s">
        <v>8</v>
      </c>
      <c r="KJ325" s="27" t="s">
        <v>7</v>
      </c>
      <c r="KL325" s="27" t="s">
        <v>7</v>
      </c>
      <c r="KM325" s="27" t="s">
        <v>8</v>
      </c>
      <c r="LC325" s="27" t="s">
        <v>8</v>
      </c>
      <c r="LD325" s="27" t="s">
        <v>7</v>
      </c>
      <c r="LO325" s="27" t="s">
        <v>8</v>
      </c>
      <c r="MB325" s="27" t="s">
        <v>7</v>
      </c>
      <c r="MC325" s="27" t="s">
        <v>8</v>
      </c>
      <c r="MD325" s="27" t="s">
        <v>7</v>
      </c>
      <c r="MI325" s="27" t="s">
        <v>8</v>
      </c>
      <c r="MJ325" s="27" t="s">
        <v>7</v>
      </c>
      <c r="MK325" s="27" t="s">
        <v>8</v>
      </c>
      <c r="ML325" s="27" t="s">
        <v>7</v>
      </c>
      <c r="MM325" s="27" t="s">
        <v>8</v>
      </c>
      <c r="MN325" s="27" t="s">
        <v>7</v>
      </c>
      <c r="MR325" s="27" t="s">
        <v>7</v>
      </c>
      <c r="MS325" s="27" t="s">
        <v>8</v>
      </c>
      <c r="NB325" s="27" t="s">
        <v>7</v>
      </c>
      <c r="NC325" s="27" t="s">
        <v>8</v>
      </c>
      <c r="NF325" s="27" t="s">
        <v>7</v>
      </c>
      <c r="NG325" s="27" t="s">
        <v>8</v>
      </c>
      <c r="NH325" s="27" t="s">
        <v>7</v>
      </c>
    </row>
    <row r="326" spans="1:390" x14ac:dyDescent="0.25">
      <c r="A326" s="7">
        <v>175.6486555082177</v>
      </c>
      <c r="B326"/>
      <c r="C326"/>
      <c r="D326"/>
      <c r="E326"/>
      <c r="S326" s="27" t="s">
        <v>8</v>
      </c>
      <c r="AG326" s="27" t="s">
        <v>8</v>
      </c>
      <c r="AH326" s="27" t="s">
        <v>7</v>
      </c>
      <c r="IE326" s="27" t="s">
        <v>8</v>
      </c>
      <c r="JX326" s="27" t="s">
        <v>7</v>
      </c>
      <c r="JY326" s="27" t="s">
        <v>8</v>
      </c>
      <c r="JZ326" s="27" t="s">
        <v>7</v>
      </c>
      <c r="KA326" s="27" t="s">
        <v>8</v>
      </c>
      <c r="KB326" s="27" t="s">
        <v>7</v>
      </c>
      <c r="KC326" s="27" t="s">
        <v>8</v>
      </c>
      <c r="KD326" s="27" t="s">
        <v>7</v>
      </c>
      <c r="KE326" s="27" t="s">
        <v>8</v>
      </c>
      <c r="KF326" s="27" t="s">
        <v>7</v>
      </c>
      <c r="KG326" s="27" t="s">
        <v>8</v>
      </c>
      <c r="KL326" s="27" t="s">
        <v>7</v>
      </c>
      <c r="KM326" s="27" t="s">
        <v>8</v>
      </c>
      <c r="KN326" s="27" t="s">
        <v>7</v>
      </c>
      <c r="KO326" s="27" t="s">
        <v>8</v>
      </c>
      <c r="LC326" s="27" t="s">
        <v>8</v>
      </c>
      <c r="LD326" s="27" t="s">
        <v>7</v>
      </c>
      <c r="LO326" s="27" t="s">
        <v>8</v>
      </c>
      <c r="MB326" s="27" t="s">
        <v>7</v>
      </c>
      <c r="MC326" s="27" t="s">
        <v>8</v>
      </c>
      <c r="MD326" s="27" t="s">
        <v>7</v>
      </c>
      <c r="MI326" s="27" t="s">
        <v>8</v>
      </c>
      <c r="MJ326" s="27" t="s">
        <v>7</v>
      </c>
      <c r="MK326" s="27" t="s">
        <v>8</v>
      </c>
      <c r="ML326" s="27" t="s">
        <v>7</v>
      </c>
      <c r="MM326" s="27" t="s">
        <v>8</v>
      </c>
      <c r="MR326" s="27" t="s">
        <v>7</v>
      </c>
      <c r="MS326" s="27" t="s">
        <v>8</v>
      </c>
      <c r="NB326" s="27" t="s">
        <v>7</v>
      </c>
      <c r="NC326" s="27" t="s">
        <v>8</v>
      </c>
      <c r="NF326" s="27" t="s">
        <v>7</v>
      </c>
      <c r="NG326" s="27" t="s">
        <v>8</v>
      </c>
      <c r="NH326" s="27" t="s">
        <v>7</v>
      </c>
    </row>
    <row r="327" spans="1:390" x14ac:dyDescent="0.25">
      <c r="A327" s="7">
        <v>172.20456422374284</v>
      </c>
      <c r="B327"/>
      <c r="C327"/>
      <c r="D327"/>
      <c r="E327"/>
      <c r="S327" s="27" t="s">
        <v>8</v>
      </c>
      <c r="T327" s="27" t="s">
        <v>7</v>
      </c>
      <c r="Y327" s="27" t="s">
        <v>8</v>
      </c>
      <c r="AG327" s="27" t="s">
        <v>8</v>
      </c>
      <c r="AH327" s="27" t="s">
        <v>7</v>
      </c>
      <c r="IE327" s="27" t="s">
        <v>8</v>
      </c>
      <c r="JX327" s="27" t="s">
        <v>7</v>
      </c>
      <c r="JY327" s="27" t="s">
        <v>8</v>
      </c>
      <c r="JZ327" s="27" t="s">
        <v>7</v>
      </c>
      <c r="KA327" s="27" t="s">
        <v>8</v>
      </c>
      <c r="KB327" s="27" t="s">
        <v>7</v>
      </c>
      <c r="KC327" s="27" t="s">
        <v>8</v>
      </c>
      <c r="KD327" s="27" t="s">
        <v>7</v>
      </c>
      <c r="KF327" s="27" t="s">
        <v>7</v>
      </c>
      <c r="KG327" s="27" t="s">
        <v>8</v>
      </c>
      <c r="KL327" s="27" t="s">
        <v>7</v>
      </c>
      <c r="KM327" s="27" t="s">
        <v>8</v>
      </c>
      <c r="KN327" s="27" t="s">
        <v>7</v>
      </c>
      <c r="KO327" s="27" t="s">
        <v>8</v>
      </c>
      <c r="KP327" s="27" t="s">
        <v>7</v>
      </c>
      <c r="LC327" s="27" t="s">
        <v>8</v>
      </c>
      <c r="LD327" s="27" t="s">
        <v>7</v>
      </c>
      <c r="LK327" s="27" t="s">
        <v>8</v>
      </c>
      <c r="LM327" s="27" t="s">
        <v>8</v>
      </c>
      <c r="LO327" s="27" t="s">
        <v>8</v>
      </c>
      <c r="MB327" s="27" t="s">
        <v>7</v>
      </c>
      <c r="MC327" s="27" t="s">
        <v>8</v>
      </c>
      <c r="MD327" s="27" t="s">
        <v>7</v>
      </c>
      <c r="MI327" s="27" t="s">
        <v>8</v>
      </c>
      <c r="MJ327" s="27" t="s">
        <v>7</v>
      </c>
      <c r="MK327" s="27" t="s">
        <v>8</v>
      </c>
      <c r="ML327" s="27" t="s">
        <v>7</v>
      </c>
      <c r="MR327" s="27" t="s">
        <v>7</v>
      </c>
      <c r="NB327" s="27" t="s">
        <v>7</v>
      </c>
      <c r="NF327" s="27" t="s">
        <v>7</v>
      </c>
      <c r="NG327" s="27" t="s">
        <v>8</v>
      </c>
      <c r="NH327" s="27" t="s">
        <v>7</v>
      </c>
    </row>
    <row r="328" spans="1:390" x14ac:dyDescent="0.25">
      <c r="A328" s="7">
        <v>168.82800414092435</v>
      </c>
      <c r="B328"/>
      <c r="C328"/>
      <c r="D328"/>
      <c r="E328"/>
      <c r="S328" s="27" t="s">
        <v>8</v>
      </c>
      <c r="T328" s="27" t="s">
        <v>7</v>
      </c>
      <c r="U328" s="27" t="s">
        <v>8</v>
      </c>
      <c r="Y328" s="27" t="s">
        <v>8</v>
      </c>
      <c r="Z328" s="27" t="s">
        <v>7</v>
      </c>
      <c r="AG328" s="27" t="s">
        <v>8</v>
      </c>
      <c r="AH328" s="27" t="s">
        <v>7</v>
      </c>
      <c r="AI328" s="27" t="s">
        <v>8</v>
      </c>
      <c r="IE328" s="27" t="s">
        <v>8</v>
      </c>
      <c r="JX328" s="27" t="s">
        <v>7</v>
      </c>
      <c r="JY328" s="27" t="s">
        <v>8</v>
      </c>
      <c r="JZ328" s="27" t="s">
        <v>7</v>
      </c>
      <c r="KA328" s="27" t="s">
        <v>8</v>
      </c>
      <c r="KB328" s="27" t="s">
        <v>7</v>
      </c>
      <c r="KC328" s="27" t="s">
        <v>8</v>
      </c>
      <c r="KF328" s="27" t="s">
        <v>7</v>
      </c>
      <c r="KG328" s="27" t="s">
        <v>8</v>
      </c>
      <c r="KL328" s="27" t="s">
        <v>7</v>
      </c>
      <c r="KM328" s="27" t="s">
        <v>8</v>
      </c>
      <c r="KN328" s="27" t="s">
        <v>7</v>
      </c>
      <c r="KO328" s="27" t="s">
        <v>8</v>
      </c>
      <c r="KP328" s="27" t="s">
        <v>7</v>
      </c>
      <c r="LC328" s="27" t="s">
        <v>8</v>
      </c>
      <c r="LD328" s="27" t="s">
        <v>7</v>
      </c>
      <c r="LK328" s="27" t="s">
        <v>8</v>
      </c>
      <c r="LL328" s="27" t="s">
        <v>7</v>
      </c>
      <c r="LM328" s="27" t="s">
        <v>8</v>
      </c>
      <c r="LN328" s="27" t="s">
        <v>7</v>
      </c>
      <c r="LO328" s="27" t="s">
        <v>8</v>
      </c>
      <c r="MB328" s="27" t="s">
        <v>7</v>
      </c>
      <c r="MC328" s="27" t="s">
        <v>8</v>
      </c>
      <c r="MD328" s="27" t="s">
        <v>7</v>
      </c>
      <c r="ME328" s="27" t="s">
        <v>8</v>
      </c>
      <c r="MI328" s="27" t="s">
        <v>8</v>
      </c>
      <c r="MJ328" s="27" t="s">
        <v>7</v>
      </c>
      <c r="NF328" s="27" t="s">
        <v>7</v>
      </c>
      <c r="NG328" s="27" t="s">
        <v>8</v>
      </c>
      <c r="NH328" s="27" t="s">
        <v>7</v>
      </c>
    </row>
    <row r="329" spans="1:390" x14ac:dyDescent="0.25">
      <c r="A329" s="7">
        <v>165.51765111855329</v>
      </c>
      <c r="B329"/>
      <c r="C329"/>
      <c r="D329"/>
      <c r="E329"/>
      <c r="S329" s="27" t="s">
        <v>8</v>
      </c>
      <c r="T329" s="27" t="s">
        <v>7</v>
      </c>
      <c r="U329" s="27" t="s">
        <v>8</v>
      </c>
      <c r="V329" s="27" t="s">
        <v>7</v>
      </c>
      <c r="Y329" s="27" t="s">
        <v>8</v>
      </c>
      <c r="Z329" s="27" t="s">
        <v>7</v>
      </c>
      <c r="AG329" s="27" t="s">
        <v>8</v>
      </c>
      <c r="AH329" s="27" t="s">
        <v>7</v>
      </c>
      <c r="AI329" s="27" t="s">
        <v>8</v>
      </c>
      <c r="AJ329" s="27" t="s">
        <v>7</v>
      </c>
      <c r="IE329" s="27" t="s">
        <v>8</v>
      </c>
      <c r="JX329" s="27" t="s">
        <v>7</v>
      </c>
      <c r="JY329" s="27" t="s">
        <v>8</v>
      </c>
      <c r="JZ329" s="27" t="s">
        <v>7</v>
      </c>
      <c r="KB329" s="27" t="s">
        <v>7</v>
      </c>
      <c r="KC329" s="27" t="s">
        <v>8</v>
      </c>
      <c r="KF329" s="27" t="s">
        <v>7</v>
      </c>
      <c r="KL329" s="27" t="s">
        <v>7</v>
      </c>
      <c r="KM329" s="27" t="s">
        <v>8</v>
      </c>
      <c r="KN329" s="27" t="s">
        <v>7</v>
      </c>
      <c r="KO329" s="27" t="s">
        <v>8</v>
      </c>
      <c r="KP329" s="27" t="s">
        <v>7</v>
      </c>
      <c r="LC329" s="27" t="s">
        <v>8</v>
      </c>
      <c r="LD329" s="27" t="s">
        <v>7</v>
      </c>
      <c r="LK329" s="27" t="s">
        <v>8</v>
      </c>
      <c r="LL329" s="27" t="s">
        <v>7</v>
      </c>
      <c r="LM329" s="27" t="s">
        <v>8</v>
      </c>
      <c r="LN329" s="27" t="s">
        <v>7</v>
      </c>
      <c r="LO329" s="27" t="s">
        <v>8</v>
      </c>
      <c r="MB329" s="27" t="s">
        <v>7</v>
      </c>
      <c r="MC329" s="27" t="s">
        <v>8</v>
      </c>
      <c r="MD329" s="27" t="s">
        <v>7</v>
      </c>
      <c r="ME329" s="27" t="s">
        <v>8</v>
      </c>
      <c r="MF329" s="27" t="s">
        <v>7</v>
      </c>
      <c r="MG329" s="27" t="s">
        <v>8</v>
      </c>
      <c r="MI329" s="27" t="s">
        <v>8</v>
      </c>
      <c r="NF329" s="27" t="s">
        <v>7</v>
      </c>
      <c r="NH329" s="27" t="s">
        <v>7</v>
      </c>
    </row>
    <row r="330" spans="1:390" x14ac:dyDescent="0.25">
      <c r="A330" s="7">
        <v>162.2722069789738</v>
      </c>
      <c r="B330"/>
      <c r="C330"/>
      <c r="D330"/>
      <c r="E330"/>
      <c r="Q330" s="27" t="s">
        <v>8</v>
      </c>
      <c r="S330" s="27" t="s">
        <v>8</v>
      </c>
      <c r="T330" s="27" t="s">
        <v>7</v>
      </c>
      <c r="U330" s="27" t="s">
        <v>8</v>
      </c>
      <c r="V330" s="27" t="s">
        <v>7</v>
      </c>
      <c r="W330" s="27" t="s">
        <v>8</v>
      </c>
      <c r="Y330" s="27" t="s">
        <v>8</v>
      </c>
      <c r="Z330" s="27" t="s">
        <v>7</v>
      </c>
      <c r="AG330" s="27" t="s">
        <v>8</v>
      </c>
      <c r="AH330" s="27" t="s">
        <v>7</v>
      </c>
      <c r="AI330" s="27" t="s">
        <v>8</v>
      </c>
      <c r="AJ330" s="27" t="s">
        <v>7</v>
      </c>
      <c r="AK330" s="27" t="s">
        <v>8</v>
      </c>
      <c r="IE330" s="27" t="s">
        <v>8</v>
      </c>
      <c r="JX330" s="27" t="s">
        <v>7</v>
      </c>
      <c r="JY330" s="27" t="s">
        <v>8</v>
      </c>
      <c r="KB330" s="27" t="s">
        <v>7</v>
      </c>
      <c r="KC330" s="27" t="s">
        <v>8</v>
      </c>
      <c r="KL330" s="27" t="s">
        <v>7</v>
      </c>
      <c r="KM330" s="27" t="s">
        <v>8</v>
      </c>
      <c r="KN330" s="27" t="s">
        <v>7</v>
      </c>
      <c r="KO330" s="27" t="s">
        <v>8</v>
      </c>
      <c r="KP330" s="27" t="s">
        <v>7</v>
      </c>
      <c r="LC330" s="27" t="s">
        <v>8</v>
      </c>
      <c r="LD330" s="27" t="s">
        <v>7</v>
      </c>
      <c r="LK330" s="27" t="s">
        <v>8</v>
      </c>
      <c r="LL330" s="27" t="s">
        <v>7</v>
      </c>
      <c r="LM330" s="27" t="s">
        <v>8</v>
      </c>
      <c r="LN330" s="27" t="s">
        <v>7</v>
      </c>
      <c r="LO330" s="27" t="s">
        <v>8</v>
      </c>
      <c r="MB330" s="27" t="s">
        <v>7</v>
      </c>
      <c r="MC330" s="27" t="s">
        <v>8</v>
      </c>
      <c r="MD330" s="27" t="s">
        <v>7</v>
      </c>
      <c r="ME330" s="27" t="s">
        <v>8</v>
      </c>
      <c r="MF330" s="27" t="s">
        <v>7</v>
      </c>
      <c r="MG330" s="27" t="s">
        <v>8</v>
      </c>
      <c r="MH330" s="27" t="s">
        <v>7</v>
      </c>
      <c r="MI330" s="27" t="s">
        <v>8</v>
      </c>
      <c r="NH330" s="27" t="s">
        <v>7</v>
      </c>
    </row>
    <row r="331" spans="1:390" x14ac:dyDescent="0.25">
      <c r="A331" s="7">
        <v>159.09039899899392</v>
      </c>
      <c r="B331"/>
      <c r="C331"/>
      <c r="D331"/>
      <c r="E331"/>
      <c r="Q331" s="27" t="s">
        <v>8</v>
      </c>
      <c r="R331" s="27" t="s">
        <v>7</v>
      </c>
      <c r="S331" s="27" t="s">
        <v>8</v>
      </c>
      <c r="T331" s="27" t="s">
        <v>7</v>
      </c>
      <c r="U331" s="27" t="s">
        <v>8</v>
      </c>
      <c r="V331" s="27" t="s">
        <v>7</v>
      </c>
      <c r="W331" s="27" t="s">
        <v>8</v>
      </c>
      <c r="X331" s="27" t="s">
        <v>7</v>
      </c>
      <c r="Y331" s="27" t="s">
        <v>8</v>
      </c>
      <c r="Z331" s="27" t="s">
        <v>7</v>
      </c>
      <c r="AE331" s="27" t="s">
        <v>8</v>
      </c>
      <c r="AG331" s="27" t="s">
        <v>8</v>
      </c>
      <c r="AH331" s="27" t="s">
        <v>7</v>
      </c>
      <c r="AI331" s="27" t="s">
        <v>8</v>
      </c>
      <c r="AJ331" s="27" t="s">
        <v>7</v>
      </c>
      <c r="AK331" s="27" t="s">
        <v>8</v>
      </c>
      <c r="AL331" s="27" t="s">
        <v>7</v>
      </c>
      <c r="IE331" s="27" t="s">
        <v>8</v>
      </c>
      <c r="JX331" s="27" t="s">
        <v>7</v>
      </c>
      <c r="JY331" s="27" t="s">
        <v>8</v>
      </c>
      <c r="KB331" s="27" t="s">
        <v>7</v>
      </c>
      <c r="KC331" s="27" t="s">
        <v>8</v>
      </c>
      <c r="KL331" s="27" t="s">
        <v>7</v>
      </c>
      <c r="KM331" s="27" t="s">
        <v>8</v>
      </c>
      <c r="KN331" s="27" t="s">
        <v>7</v>
      </c>
      <c r="KO331" s="27" t="s">
        <v>8</v>
      </c>
      <c r="KP331" s="27" t="s">
        <v>7</v>
      </c>
      <c r="LC331" s="27" t="s">
        <v>8</v>
      </c>
      <c r="LD331" s="27" t="s">
        <v>7</v>
      </c>
      <c r="LK331" s="27" t="s">
        <v>8</v>
      </c>
      <c r="LL331" s="27" t="s">
        <v>7</v>
      </c>
      <c r="LM331" s="27" t="s">
        <v>8</v>
      </c>
      <c r="LN331" s="27" t="s">
        <v>7</v>
      </c>
      <c r="MB331" s="27" t="s">
        <v>7</v>
      </c>
      <c r="MC331" s="27" t="s">
        <v>8</v>
      </c>
      <c r="MD331" s="27" t="s">
        <v>7</v>
      </c>
      <c r="MF331" s="27" t="s">
        <v>7</v>
      </c>
      <c r="MG331" s="27" t="s">
        <v>8</v>
      </c>
      <c r="MH331" s="27" t="s">
        <v>7</v>
      </c>
      <c r="MI331" s="27" t="s">
        <v>8</v>
      </c>
      <c r="NH331" s="27" t="s">
        <v>7</v>
      </c>
    </row>
    <row r="332" spans="1:390" x14ac:dyDescent="0.25">
      <c r="A332" s="7">
        <v>155.97097941077834</v>
      </c>
      <c r="B332"/>
      <c r="C332"/>
      <c r="D332"/>
      <c r="E332"/>
      <c r="Q332" s="27" t="s">
        <v>8</v>
      </c>
      <c r="R332" s="27" t="s">
        <v>7</v>
      </c>
      <c r="S332" s="27" t="s">
        <v>8</v>
      </c>
      <c r="T332" s="27" t="s">
        <v>7</v>
      </c>
      <c r="V332" s="27" t="s">
        <v>7</v>
      </c>
      <c r="W332" s="27" t="s">
        <v>8</v>
      </c>
      <c r="X332" s="27" t="s">
        <v>7</v>
      </c>
      <c r="Y332" s="27" t="s">
        <v>8</v>
      </c>
      <c r="Z332" s="27" t="s">
        <v>7</v>
      </c>
      <c r="AE332" s="27" t="s">
        <v>8</v>
      </c>
      <c r="AF332" s="27" t="s">
        <v>7</v>
      </c>
      <c r="AG332" s="27" t="s">
        <v>8</v>
      </c>
      <c r="AH332" s="27" t="s">
        <v>7</v>
      </c>
      <c r="AI332" s="27" t="s">
        <v>8</v>
      </c>
      <c r="AJ332" s="27" t="s">
        <v>7</v>
      </c>
      <c r="AK332" s="27" t="s">
        <v>8</v>
      </c>
      <c r="AL332" s="27" t="s">
        <v>7</v>
      </c>
      <c r="HM332" s="27" t="s">
        <v>8</v>
      </c>
      <c r="IE332" s="27" t="s">
        <v>8</v>
      </c>
      <c r="JX332" s="27" t="s">
        <v>7</v>
      </c>
      <c r="JY332" s="27" t="s">
        <v>8</v>
      </c>
      <c r="KB332" s="27" t="s">
        <v>7</v>
      </c>
      <c r="KC332" s="27" t="s">
        <v>8</v>
      </c>
      <c r="KL332" s="27" t="s">
        <v>7</v>
      </c>
      <c r="KM332" s="27" t="s">
        <v>8</v>
      </c>
      <c r="KN332" s="27" t="s">
        <v>7</v>
      </c>
      <c r="KP332" s="27" t="s">
        <v>7</v>
      </c>
      <c r="LC332" s="27" t="s">
        <v>8</v>
      </c>
      <c r="LD332" s="27" t="s">
        <v>7</v>
      </c>
      <c r="LI332" s="27" t="s">
        <v>8</v>
      </c>
      <c r="LK332" s="27" t="s">
        <v>8</v>
      </c>
      <c r="LL332" s="27" t="s">
        <v>7</v>
      </c>
      <c r="LM332" s="27" t="s">
        <v>8</v>
      </c>
      <c r="MB332" s="27" t="s">
        <v>7</v>
      </c>
      <c r="MF332" s="27" t="s">
        <v>7</v>
      </c>
      <c r="MG332" s="27" t="s">
        <v>8</v>
      </c>
      <c r="MH332" s="27" t="s">
        <v>7</v>
      </c>
      <c r="MI332" s="27" t="s">
        <v>8</v>
      </c>
      <c r="NH332" s="27" t="s">
        <v>7</v>
      </c>
      <c r="NS332" s="27" t="s">
        <v>8</v>
      </c>
      <c r="NW332" s="27" t="s">
        <v>8</v>
      </c>
      <c r="NY332" s="27" t="s">
        <v>8</v>
      </c>
    </row>
    <row r="333" spans="1:390" x14ac:dyDescent="0.25">
      <c r="A333" s="7">
        <v>152.91272491252778</v>
      </c>
      <c r="B333"/>
      <c r="C333"/>
      <c r="D333"/>
      <c r="E333"/>
      <c r="Q333" s="27" t="s">
        <v>8</v>
      </c>
      <c r="R333" s="27" t="s">
        <v>7</v>
      </c>
      <c r="S333" s="27" t="s">
        <v>8</v>
      </c>
      <c r="V333" s="27" t="s">
        <v>7</v>
      </c>
      <c r="W333" s="27" t="s">
        <v>8</v>
      </c>
      <c r="X333" s="27" t="s">
        <v>7</v>
      </c>
      <c r="Z333" s="27" t="s">
        <v>7</v>
      </c>
      <c r="AE333" s="27" t="s">
        <v>8</v>
      </c>
      <c r="AF333" s="27" t="s">
        <v>7</v>
      </c>
      <c r="AG333" s="27" t="s">
        <v>8</v>
      </c>
      <c r="AH333" s="27" t="s">
        <v>7</v>
      </c>
      <c r="AJ333" s="27" t="s">
        <v>7</v>
      </c>
      <c r="AK333" s="27" t="s">
        <v>8</v>
      </c>
      <c r="AL333" s="27" t="s">
        <v>7</v>
      </c>
      <c r="HM333" s="27" t="s">
        <v>8</v>
      </c>
      <c r="HN333" s="27" t="s">
        <v>7</v>
      </c>
      <c r="IE333" s="27" t="s">
        <v>8</v>
      </c>
      <c r="JX333" s="27" t="s">
        <v>7</v>
      </c>
      <c r="JY333" s="27" t="s">
        <v>8</v>
      </c>
      <c r="KB333" s="27" t="s">
        <v>7</v>
      </c>
      <c r="KC333" s="27" t="s">
        <v>8</v>
      </c>
      <c r="KL333" s="27" t="s">
        <v>7</v>
      </c>
      <c r="KP333" s="27" t="s">
        <v>7</v>
      </c>
      <c r="LC333" s="27" t="s">
        <v>8</v>
      </c>
      <c r="LD333" s="27" t="s">
        <v>7</v>
      </c>
      <c r="LI333" s="27" t="s">
        <v>8</v>
      </c>
      <c r="LJ333" s="27" t="s">
        <v>7</v>
      </c>
      <c r="LK333" s="27" t="s">
        <v>8</v>
      </c>
      <c r="LL333" s="27" t="s">
        <v>7</v>
      </c>
      <c r="MF333" s="27" t="s">
        <v>7</v>
      </c>
      <c r="MH333" s="27" t="s">
        <v>7</v>
      </c>
      <c r="MI333" s="27" t="s">
        <v>8</v>
      </c>
      <c r="NH333" s="27" t="s">
        <v>7</v>
      </c>
      <c r="NS333" s="27" t="s">
        <v>8</v>
      </c>
      <c r="NT333" s="27" t="s">
        <v>7</v>
      </c>
      <c r="NW333" s="27" t="s">
        <v>8</v>
      </c>
      <c r="NX333" s="27" t="s">
        <v>7</v>
      </c>
      <c r="NY333" s="27" t="s">
        <v>8</v>
      </c>
      <c r="NZ333" s="27" t="s">
        <v>7</v>
      </c>
    </row>
    <row r="334" spans="1:390" x14ac:dyDescent="0.25">
      <c r="A334" s="7">
        <v>149.91443618875272</v>
      </c>
      <c r="B334"/>
      <c r="C334"/>
      <c r="D334"/>
      <c r="E334"/>
      <c r="Q334" s="27" t="s">
        <v>8</v>
      </c>
      <c r="R334" s="27" t="s">
        <v>7</v>
      </c>
      <c r="S334" s="27" t="s">
        <v>8</v>
      </c>
      <c r="V334" s="27" t="s">
        <v>7</v>
      </c>
      <c r="W334" s="27" t="s">
        <v>8</v>
      </c>
      <c r="Z334" s="27" t="s">
        <v>7</v>
      </c>
      <c r="AC334" s="27" t="s">
        <v>8</v>
      </c>
      <c r="AE334" s="27" t="s">
        <v>8</v>
      </c>
      <c r="AF334" s="27" t="s">
        <v>7</v>
      </c>
      <c r="AJ334" s="27" t="s">
        <v>7</v>
      </c>
      <c r="AK334" s="27" t="s">
        <v>8</v>
      </c>
      <c r="AL334" s="27" t="s">
        <v>7</v>
      </c>
      <c r="CO334" s="27" t="s">
        <v>8</v>
      </c>
      <c r="HM334" s="27" t="s">
        <v>8</v>
      </c>
      <c r="HN334" s="27" t="s">
        <v>7</v>
      </c>
      <c r="IE334" s="27" t="s">
        <v>8</v>
      </c>
      <c r="JX334" s="27" t="s">
        <v>7</v>
      </c>
      <c r="JY334" s="27" t="s">
        <v>8</v>
      </c>
      <c r="KB334" s="27" t="s">
        <v>7</v>
      </c>
      <c r="KC334" s="27" t="s">
        <v>8</v>
      </c>
      <c r="KP334" s="27" t="s">
        <v>7</v>
      </c>
      <c r="LC334" s="27" t="s">
        <v>8</v>
      </c>
      <c r="LD334" s="27" t="s">
        <v>7</v>
      </c>
      <c r="LE334" s="27" t="s">
        <v>8</v>
      </c>
      <c r="LI334" s="27" t="s">
        <v>8</v>
      </c>
      <c r="LJ334" s="27" t="s">
        <v>7</v>
      </c>
      <c r="LK334" s="27" t="s">
        <v>8</v>
      </c>
      <c r="MH334" s="27" t="s">
        <v>7</v>
      </c>
      <c r="MI334" s="27" t="s">
        <v>8</v>
      </c>
      <c r="NH334" s="27" t="s">
        <v>7</v>
      </c>
      <c r="NK334" s="27" t="s">
        <v>8</v>
      </c>
      <c r="NS334" s="27" t="s">
        <v>8</v>
      </c>
      <c r="NT334" s="27" t="s">
        <v>7</v>
      </c>
      <c r="NW334" s="27" t="s">
        <v>8</v>
      </c>
      <c r="NX334" s="27" t="s">
        <v>7</v>
      </c>
      <c r="NY334" s="27" t="s">
        <v>8</v>
      </c>
      <c r="NZ334" s="27" t="s">
        <v>7</v>
      </c>
    </row>
    <row r="335" spans="1:390" x14ac:dyDescent="0.25">
      <c r="A335" s="7">
        <v>146.97493743995364</v>
      </c>
      <c r="B335"/>
      <c r="C335"/>
      <c r="D335"/>
      <c r="E335"/>
      <c r="Q335" s="27" t="s">
        <v>8</v>
      </c>
      <c r="R335" s="27" t="s">
        <v>7</v>
      </c>
      <c r="S335" s="27" t="s">
        <v>8</v>
      </c>
      <c r="V335" s="27" t="s">
        <v>7</v>
      </c>
      <c r="Z335" s="27" t="s">
        <v>7</v>
      </c>
      <c r="AA335" s="27" t="s">
        <v>8</v>
      </c>
      <c r="AC335" s="27" t="s">
        <v>8</v>
      </c>
      <c r="AD335" s="27" t="s">
        <v>7</v>
      </c>
      <c r="AE335" s="27" t="s">
        <v>8</v>
      </c>
      <c r="AJ335" s="27" t="s">
        <v>7</v>
      </c>
      <c r="AL335" s="27" t="s">
        <v>7</v>
      </c>
      <c r="AM335" s="27" t="s">
        <v>8</v>
      </c>
      <c r="CO335" s="27" t="s">
        <v>8</v>
      </c>
      <c r="CP335" s="27" t="s">
        <v>7</v>
      </c>
      <c r="HM335" s="27" t="s">
        <v>8</v>
      </c>
      <c r="HN335" s="27" t="s">
        <v>7</v>
      </c>
      <c r="IE335" s="27" t="s">
        <v>8</v>
      </c>
      <c r="JX335" s="27" t="s">
        <v>7</v>
      </c>
      <c r="JY335" s="27" t="s">
        <v>8</v>
      </c>
      <c r="KB335" s="27" t="s">
        <v>7</v>
      </c>
      <c r="KC335" s="27" t="s">
        <v>8</v>
      </c>
      <c r="KP335" s="27" t="s">
        <v>7</v>
      </c>
      <c r="KS335" s="27" t="s">
        <v>8</v>
      </c>
      <c r="LC335" s="27" t="s">
        <v>8</v>
      </c>
      <c r="LD335" s="27" t="s">
        <v>7</v>
      </c>
      <c r="LE335" s="27" t="s">
        <v>8</v>
      </c>
      <c r="LF335" s="27" t="s">
        <v>7</v>
      </c>
      <c r="LG335" s="27" t="s">
        <v>8</v>
      </c>
      <c r="LI335" s="27" t="s">
        <v>8</v>
      </c>
      <c r="LJ335" s="27" t="s">
        <v>7</v>
      </c>
      <c r="LK335" s="27" t="s">
        <v>8</v>
      </c>
      <c r="MH335" s="27" t="s">
        <v>7</v>
      </c>
      <c r="NH335" s="27" t="s">
        <v>7</v>
      </c>
      <c r="NK335" s="27" t="s">
        <v>8</v>
      </c>
      <c r="NL335" s="27" t="s">
        <v>7</v>
      </c>
      <c r="NS335" s="27" t="s">
        <v>8</v>
      </c>
      <c r="NT335" s="27" t="s">
        <v>7</v>
      </c>
      <c r="NW335" s="27" t="s">
        <v>8</v>
      </c>
      <c r="NX335" s="27" t="s">
        <v>7</v>
      </c>
      <c r="NY335" s="27" t="s">
        <v>8</v>
      </c>
      <c r="NZ335" s="27" t="s">
        <v>7</v>
      </c>
    </row>
    <row r="336" spans="1:390" x14ac:dyDescent="0.25">
      <c r="A336" s="7">
        <v>144.09307592152317</v>
      </c>
      <c r="B336"/>
      <c r="C336"/>
      <c r="D336"/>
      <c r="E336"/>
      <c r="Q336" s="27" t="s">
        <v>8</v>
      </c>
      <c r="R336" s="27" t="s">
        <v>7</v>
      </c>
      <c r="S336" s="27" t="s">
        <v>8</v>
      </c>
      <c r="Z336" s="27" t="s">
        <v>7</v>
      </c>
      <c r="AA336" s="27" t="s">
        <v>8</v>
      </c>
      <c r="AB336" s="27" t="s">
        <v>7</v>
      </c>
      <c r="AC336" s="27" t="s">
        <v>8</v>
      </c>
      <c r="AD336" s="27" t="s">
        <v>7</v>
      </c>
      <c r="AE336" s="27" t="s">
        <v>8</v>
      </c>
      <c r="AL336" s="27" t="s">
        <v>7</v>
      </c>
      <c r="AM336" s="27" t="s">
        <v>8</v>
      </c>
      <c r="AN336" s="27" t="s">
        <v>7</v>
      </c>
      <c r="CO336" s="27" t="s">
        <v>8</v>
      </c>
      <c r="CP336" s="27" t="s">
        <v>7</v>
      </c>
      <c r="HM336" s="27" t="s">
        <v>8</v>
      </c>
      <c r="HN336" s="27" t="s">
        <v>7</v>
      </c>
      <c r="IE336" s="27" t="s">
        <v>8</v>
      </c>
      <c r="JX336" s="27" t="s">
        <v>7</v>
      </c>
      <c r="JY336" s="27" t="s">
        <v>8</v>
      </c>
      <c r="KB336" s="27" t="s">
        <v>7</v>
      </c>
      <c r="KC336" s="27" t="s">
        <v>8</v>
      </c>
      <c r="KP336" s="27" t="s">
        <v>7</v>
      </c>
      <c r="KS336" s="27" t="s">
        <v>8</v>
      </c>
      <c r="KT336" s="27" t="s">
        <v>7</v>
      </c>
      <c r="LC336" s="27" t="s">
        <v>8</v>
      </c>
      <c r="LD336" s="27" t="s">
        <v>7</v>
      </c>
      <c r="LE336" s="27" t="s">
        <v>8</v>
      </c>
      <c r="LF336" s="27" t="s">
        <v>7</v>
      </c>
      <c r="LG336" s="27" t="s">
        <v>8</v>
      </c>
      <c r="LH336" s="27" t="s">
        <v>7</v>
      </c>
      <c r="LI336" s="27" t="s">
        <v>8</v>
      </c>
      <c r="LJ336" s="27" t="s">
        <v>7</v>
      </c>
      <c r="LK336" s="27" t="s">
        <v>8</v>
      </c>
      <c r="NH336" s="27" t="s">
        <v>7</v>
      </c>
      <c r="NI336" s="27" t="s">
        <v>8</v>
      </c>
      <c r="NK336" s="27" t="s">
        <v>8</v>
      </c>
      <c r="NL336" s="27" t="s">
        <v>7</v>
      </c>
      <c r="NS336" s="27" t="s">
        <v>8</v>
      </c>
      <c r="NT336" s="27" t="s">
        <v>7</v>
      </c>
      <c r="NW336" s="27" t="s">
        <v>8</v>
      </c>
      <c r="NX336" s="27" t="s">
        <v>7</v>
      </c>
      <c r="NY336" s="27" t="s">
        <v>8</v>
      </c>
      <c r="NZ336" s="27" t="s">
        <v>7</v>
      </c>
    </row>
    <row r="337" spans="1:390" x14ac:dyDescent="0.25">
      <c r="A337" s="7">
        <v>141.26772149168937</v>
      </c>
      <c r="B337"/>
      <c r="C337"/>
      <c r="D337"/>
      <c r="E337"/>
      <c r="Q337" s="27" t="s">
        <v>8</v>
      </c>
      <c r="R337" s="27" t="s">
        <v>7</v>
      </c>
      <c r="S337" s="27" t="s">
        <v>8</v>
      </c>
      <c r="Z337" s="27" t="s">
        <v>7</v>
      </c>
      <c r="AA337" s="27" t="s">
        <v>8</v>
      </c>
      <c r="AB337" s="27" t="s">
        <v>7</v>
      </c>
      <c r="AC337" s="27" t="s">
        <v>8</v>
      </c>
      <c r="AD337" s="27" t="s">
        <v>7</v>
      </c>
      <c r="AL337" s="27" t="s">
        <v>7</v>
      </c>
      <c r="AM337" s="27" t="s">
        <v>8</v>
      </c>
      <c r="AN337" s="27" t="s">
        <v>7</v>
      </c>
      <c r="CO337" s="27" t="s">
        <v>8</v>
      </c>
      <c r="CP337" s="27" t="s">
        <v>7</v>
      </c>
      <c r="HM337" s="27" t="s">
        <v>8</v>
      </c>
      <c r="HN337" s="27" t="s">
        <v>7</v>
      </c>
      <c r="IE337" s="27" t="s">
        <v>8</v>
      </c>
      <c r="JX337" s="27" t="s">
        <v>7</v>
      </c>
      <c r="KB337" s="27" t="s">
        <v>7</v>
      </c>
      <c r="KC337" s="27" t="s">
        <v>8</v>
      </c>
      <c r="KP337" s="27" t="s">
        <v>7</v>
      </c>
      <c r="KS337" s="27" t="s">
        <v>8</v>
      </c>
      <c r="KT337" s="27" t="s">
        <v>7</v>
      </c>
      <c r="KU337" s="27" t="s">
        <v>8</v>
      </c>
      <c r="LC337" s="27" t="s">
        <v>8</v>
      </c>
      <c r="LD337" s="27" t="s">
        <v>7</v>
      </c>
      <c r="LE337" s="27" t="s">
        <v>8</v>
      </c>
      <c r="LF337" s="27" t="s">
        <v>7</v>
      </c>
      <c r="LG337" s="27" t="s">
        <v>8</v>
      </c>
      <c r="LH337" s="27" t="s">
        <v>7</v>
      </c>
      <c r="LI337" s="27" t="s">
        <v>8</v>
      </c>
      <c r="LJ337" s="27" t="s">
        <v>7</v>
      </c>
      <c r="LK337" s="27" t="s">
        <v>8</v>
      </c>
      <c r="NH337" s="27" t="s">
        <v>7</v>
      </c>
      <c r="NI337" s="27" t="s">
        <v>8</v>
      </c>
      <c r="NJ337" s="27" t="s">
        <v>7</v>
      </c>
      <c r="NK337" s="27" t="s">
        <v>8</v>
      </c>
      <c r="NL337" s="27" t="s">
        <v>7</v>
      </c>
      <c r="NS337" s="27" t="s">
        <v>8</v>
      </c>
      <c r="NT337" s="27" t="s">
        <v>7</v>
      </c>
      <c r="NU337" s="27" t="s">
        <v>8</v>
      </c>
      <c r="NW337" s="27" t="s">
        <v>8</v>
      </c>
      <c r="NX337" s="27" t="s">
        <v>7</v>
      </c>
      <c r="NZ337" s="27" t="s">
        <v>7</v>
      </c>
    </row>
    <row r="338" spans="1:390" x14ac:dyDescent="0.25">
      <c r="A338" s="7">
        <v>138.4977661683229</v>
      </c>
      <c r="B338"/>
      <c r="C338"/>
      <c r="D338"/>
      <c r="E338" t="s">
        <v>8</v>
      </c>
      <c r="Q338" s="27" t="s">
        <v>8</v>
      </c>
      <c r="R338" s="27" t="s">
        <v>7</v>
      </c>
      <c r="S338" s="27" t="s">
        <v>8</v>
      </c>
      <c r="Z338" s="27" t="s">
        <v>7</v>
      </c>
      <c r="AA338" s="27" t="s">
        <v>8</v>
      </c>
      <c r="AB338" s="27" t="s">
        <v>7</v>
      </c>
      <c r="AL338" s="27" t="s">
        <v>7</v>
      </c>
      <c r="AM338" s="27" t="s">
        <v>8</v>
      </c>
      <c r="AN338" s="27" t="s">
        <v>7</v>
      </c>
      <c r="CO338" s="27" t="s">
        <v>8</v>
      </c>
      <c r="CP338" s="27" t="s">
        <v>7</v>
      </c>
      <c r="HM338" s="27" t="s">
        <v>8</v>
      </c>
      <c r="HN338" s="27" t="s">
        <v>7</v>
      </c>
      <c r="IE338" s="27" t="s">
        <v>8</v>
      </c>
      <c r="KB338" s="27" t="s">
        <v>7</v>
      </c>
      <c r="KC338" s="27" t="s">
        <v>8</v>
      </c>
      <c r="KP338" s="27" t="s">
        <v>7</v>
      </c>
      <c r="KS338" s="27" t="s">
        <v>8</v>
      </c>
      <c r="KT338" s="27" t="s">
        <v>7</v>
      </c>
      <c r="KU338" s="27" t="s">
        <v>8</v>
      </c>
      <c r="KV338" s="27" t="s">
        <v>7</v>
      </c>
      <c r="KW338" s="27" t="s">
        <v>8</v>
      </c>
      <c r="LC338" s="27" t="s">
        <v>8</v>
      </c>
      <c r="LD338" s="27" t="s">
        <v>7</v>
      </c>
      <c r="LE338" s="27" t="s">
        <v>8</v>
      </c>
      <c r="LF338" s="27" t="s">
        <v>7</v>
      </c>
      <c r="LG338" s="27" t="s">
        <v>8</v>
      </c>
      <c r="LH338" s="27" t="s">
        <v>7</v>
      </c>
      <c r="LJ338" s="27" t="s">
        <v>7</v>
      </c>
      <c r="NH338" s="27" t="s">
        <v>7</v>
      </c>
      <c r="NI338" s="27" t="s">
        <v>8</v>
      </c>
      <c r="NJ338" s="27" t="s">
        <v>7</v>
      </c>
      <c r="NK338" s="27" t="s">
        <v>8</v>
      </c>
      <c r="NL338" s="27" t="s">
        <v>7</v>
      </c>
      <c r="NM338" s="27" t="s">
        <v>8</v>
      </c>
      <c r="NS338" s="27" t="s">
        <v>8</v>
      </c>
      <c r="NT338" s="27" t="s">
        <v>7</v>
      </c>
      <c r="NU338" s="27" t="s">
        <v>8</v>
      </c>
      <c r="NV338" s="27" t="s">
        <v>7</v>
      </c>
      <c r="NW338" s="27" t="s">
        <v>8</v>
      </c>
      <c r="NZ338" s="27" t="s">
        <v>7</v>
      </c>
    </row>
    <row r="339" spans="1:390" x14ac:dyDescent="0.25">
      <c r="A339" s="7">
        <v>135.7821236944342</v>
      </c>
      <c r="B339"/>
      <c r="C339"/>
      <c r="D339"/>
      <c r="E339" t="s">
        <v>8</v>
      </c>
      <c r="F339" s="27" t="s">
        <v>7</v>
      </c>
      <c r="G339" s="27" t="s">
        <v>8</v>
      </c>
      <c r="Q339" s="27" t="s">
        <v>8</v>
      </c>
      <c r="R339" s="27" t="s">
        <v>7</v>
      </c>
      <c r="S339" s="27" t="s">
        <v>8</v>
      </c>
      <c r="Z339" s="27" t="s">
        <v>7</v>
      </c>
      <c r="AA339" s="27" t="s">
        <v>8</v>
      </c>
      <c r="AL339" s="27" t="s">
        <v>7</v>
      </c>
      <c r="AN339" s="27" t="s">
        <v>7</v>
      </c>
      <c r="CO339" s="27" t="s">
        <v>8</v>
      </c>
      <c r="CP339" s="27" t="s">
        <v>7</v>
      </c>
      <c r="DA339" s="27" t="s">
        <v>8</v>
      </c>
      <c r="HM339" s="27" t="s">
        <v>8</v>
      </c>
      <c r="HN339" s="27" t="s">
        <v>7</v>
      </c>
      <c r="HO339" s="27" t="s">
        <v>8</v>
      </c>
      <c r="HQ339" s="27" t="s">
        <v>8</v>
      </c>
      <c r="IE339" s="27" t="s">
        <v>8</v>
      </c>
      <c r="KB339" s="27" t="s">
        <v>7</v>
      </c>
      <c r="KC339" s="27" t="s">
        <v>8</v>
      </c>
      <c r="KP339" s="27" t="s">
        <v>7</v>
      </c>
      <c r="KS339" s="27" t="s">
        <v>8</v>
      </c>
      <c r="KT339" s="27" t="s">
        <v>7</v>
      </c>
      <c r="KU339" s="27" t="s">
        <v>8</v>
      </c>
      <c r="KV339" s="27" t="s">
        <v>7</v>
      </c>
      <c r="KW339" s="27" t="s">
        <v>8</v>
      </c>
      <c r="KX339" s="27" t="s">
        <v>7</v>
      </c>
      <c r="LC339" s="27" t="s">
        <v>8</v>
      </c>
      <c r="LD339" s="27" t="s">
        <v>7</v>
      </c>
      <c r="LE339" s="27" t="s">
        <v>8</v>
      </c>
      <c r="LF339" s="27" t="s">
        <v>7</v>
      </c>
      <c r="NH339" s="27" t="s">
        <v>7</v>
      </c>
      <c r="NI339" s="27" t="s">
        <v>8</v>
      </c>
      <c r="NJ339" s="27" t="s">
        <v>7</v>
      </c>
      <c r="NK339" s="27" t="s">
        <v>8</v>
      </c>
      <c r="NL339" s="27" t="s">
        <v>7</v>
      </c>
      <c r="NM339" s="27" t="s">
        <v>8</v>
      </c>
      <c r="NN339" s="27" t="s">
        <v>7</v>
      </c>
      <c r="NO339" s="27" t="s">
        <v>8</v>
      </c>
      <c r="NS339" s="27" t="s">
        <v>8</v>
      </c>
      <c r="NT339" s="27" t="s">
        <v>7</v>
      </c>
      <c r="NU339" s="27" t="s">
        <v>8</v>
      </c>
      <c r="NV339" s="27" t="s">
        <v>7</v>
      </c>
      <c r="NW339" s="27" t="s">
        <v>8</v>
      </c>
      <c r="NZ339" s="27" t="s">
        <v>7</v>
      </c>
    </row>
    <row r="340" spans="1:390" x14ac:dyDescent="0.25">
      <c r="A340" s="7">
        <v>133.11972911219038</v>
      </c>
      <c r="B340"/>
      <c r="C340"/>
      <c r="D340"/>
      <c r="E340" t="s">
        <v>8</v>
      </c>
      <c r="F340" s="27" t="s">
        <v>7</v>
      </c>
      <c r="G340" s="27" t="s">
        <v>8</v>
      </c>
      <c r="H340" s="27" t="s">
        <v>7</v>
      </c>
      <c r="Q340" s="27" t="s">
        <v>8</v>
      </c>
      <c r="R340" s="27" t="s">
        <v>7</v>
      </c>
      <c r="S340" s="27" t="s">
        <v>8</v>
      </c>
      <c r="Z340" s="27" t="s">
        <v>7</v>
      </c>
      <c r="AA340" s="27" t="s">
        <v>8</v>
      </c>
      <c r="AN340" s="27" t="s">
        <v>7</v>
      </c>
      <c r="CO340" s="27" t="s">
        <v>8</v>
      </c>
      <c r="CP340" s="27" t="s">
        <v>7</v>
      </c>
      <c r="DA340" s="27" t="s">
        <v>8</v>
      </c>
      <c r="DB340" s="27" t="s">
        <v>7</v>
      </c>
      <c r="HM340" s="27" t="s">
        <v>8</v>
      </c>
      <c r="HN340" s="27" t="s">
        <v>7</v>
      </c>
      <c r="HO340" s="27" t="s">
        <v>8</v>
      </c>
      <c r="HP340" s="27" t="s">
        <v>7</v>
      </c>
      <c r="HQ340" s="27" t="s">
        <v>8</v>
      </c>
      <c r="HR340" s="27" t="s">
        <v>7</v>
      </c>
      <c r="HU340" s="27" t="s">
        <v>8</v>
      </c>
      <c r="IE340" s="27" t="s">
        <v>8</v>
      </c>
      <c r="KB340" s="27" t="s">
        <v>7</v>
      </c>
      <c r="KC340" s="27" t="s">
        <v>8</v>
      </c>
      <c r="KP340" s="27" t="s">
        <v>7</v>
      </c>
      <c r="KQ340" s="27" t="s">
        <v>8</v>
      </c>
      <c r="KS340" s="27" t="s">
        <v>8</v>
      </c>
      <c r="KT340" s="27" t="s">
        <v>7</v>
      </c>
      <c r="KU340" s="27" t="s">
        <v>8</v>
      </c>
      <c r="KV340" s="27" t="s">
        <v>7</v>
      </c>
      <c r="KW340" s="27" t="s">
        <v>8</v>
      </c>
      <c r="KX340" s="27" t="s">
        <v>7</v>
      </c>
      <c r="KY340" s="27" t="s">
        <v>8</v>
      </c>
      <c r="LC340" s="27" t="s">
        <v>8</v>
      </c>
      <c r="LD340" s="27" t="s">
        <v>7</v>
      </c>
      <c r="LE340" s="27" t="s">
        <v>8</v>
      </c>
      <c r="NH340" s="27" t="s">
        <v>7</v>
      </c>
      <c r="NI340" s="27" t="s">
        <v>8</v>
      </c>
      <c r="NJ340" s="27" t="s">
        <v>7</v>
      </c>
      <c r="NK340" s="27" t="s">
        <v>8</v>
      </c>
      <c r="NL340" s="27" t="s">
        <v>7</v>
      </c>
      <c r="NM340" s="27" t="s">
        <v>8</v>
      </c>
      <c r="NN340" s="27" t="s">
        <v>7</v>
      </c>
      <c r="NO340" s="27" t="s">
        <v>8</v>
      </c>
      <c r="NP340" s="27" t="s">
        <v>7</v>
      </c>
      <c r="NQ340" s="27" t="s">
        <v>8</v>
      </c>
      <c r="NS340" s="27" t="s">
        <v>8</v>
      </c>
      <c r="NT340" s="27" t="s">
        <v>7</v>
      </c>
      <c r="NU340" s="27" t="s">
        <v>8</v>
      </c>
      <c r="NV340" s="27" t="s">
        <v>7</v>
      </c>
      <c r="NW340" s="27" t="s">
        <v>8</v>
      </c>
      <c r="NZ340" s="27" t="s">
        <v>7</v>
      </c>
    </row>
    <row r="341" spans="1:390" x14ac:dyDescent="0.25">
      <c r="A341" s="7">
        <v>130.50953834528468</v>
      </c>
      <c r="B341"/>
      <c r="C341"/>
      <c r="D341"/>
      <c r="E341" t="s">
        <v>8</v>
      </c>
      <c r="F341" s="27" t="s">
        <v>7</v>
      </c>
      <c r="G341" s="27" t="s">
        <v>8</v>
      </c>
      <c r="H341" s="27" t="s">
        <v>7</v>
      </c>
      <c r="K341" s="27" t="s">
        <v>8</v>
      </c>
      <c r="Q341" s="27" t="s">
        <v>8</v>
      </c>
      <c r="R341" s="27" t="s">
        <v>7</v>
      </c>
      <c r="S341" s="27" t="s">
        <v>8</v>
      </c>
      <c r="Z341" s="27" t="s">
        <v>7</v>
      </c>
      <c r="AN341" s="27" t="s">
        <v>7</v>
      </c>
      <c r="CO341" s="27" t="s">
        <v>8</v>
      </c>
      <c r="CP341" s="27" t="s">
        <v>7</v>
      </c>
      <c r="CY341" s="27" t="s">
        <v>8</v>
      </c>
      <c r="DA341" s="27" t="s">
        <v>8</v>
      </c>
      <c r="DB341" s="27" t="s">
        <v>7</v>
      </c>
      <c r="HM341" s="27" t="s">
        <v>8</v>
      </c>
      <c r="HN341" s="27" t="s">
        <v>7</v>
      </c>
      <c r="HO341" s="27" t="s">
        <v>8</v>
      </c>
      <c r="HP341" s="27" t="s">
        <v>7</v>
      </c>
      <c r="HQ341" s="27" t="s">
        <v>8</v>
      </c>
      <c r="HR341" s="27" t="s">
        <v>7</v>
      </c>
      <c r="HS341" s="27" t="s">
        <v>8</v>
      </c>
      <c r="HU341" s="27" t="s">
        <v>8</v>
      </c>
      <c r="HV341" s="27" t="s">
        <v>7</v>
      </c>
      <c r="IE341" s="27" t="s">
        <v>8</v>
      </c>
      <c r="KB341" s="27" t="s">
        <v>7</v>
      </c>
      <c r="KC341" s="27" t="s">
        <v>8</v>
      </c>
      <c r="KP341" s="27" t="s">
        <v>7</v>
      </c>
      <c r="KQ341" s="27" t="s">
        <v>8</v>
      </c>
      <c r="KR341" s="27" t="s">
        <v>7</v>
      </c>
      <c r="KS341" s="27" t="s">
        <v>8</v>
      </c>
      <c r="KT341" s="27" t="s">
        <v>7</v>
      </c>
      <c r="KV341" s="27" t="s">
        <v>7</v>
      </c>
      <c r="KX341" s="27" t="s">
        <v>7</v>
      </c>
      <c r="KY341" s="27" t="s">
        <v>8</v>
      </c>
      <c r="KZ341" s="27" t="s">
        <v>7</v>
      </c>
      <c r="LC341" s="27" t="s">
        <v>8</v>
      </c>
      <c r="LD341" s="27" t="s">
        <v>7</v>
      </c>
      <c r="LE341" s="27" t="s">
        <v>8</v>
      </c>
      <c r="NH341" s="27" t="s">
        <v>7</v>
      </c>
      <c r="NI341" s="27" t="s">
        <v>8</v>
      </c>
      <c r="NJ341" s="27" t="s">
        <v>7</v>
      </c>
      <c r="NK341" s="27" t="s">
        <v>8</v>
      </c>
      <c r="NL341" s="27" t="s">
        <v>7</v>
      </c>
      <c r="NN341" s="27" t="s">
        <v>7</v>
      </c>
      <c r="NO341" s="27" t="s">
        <v>8</v>
      </c>
      <c r="NP341" s="27" t="s">
        <v>7</v>
      </c>
      <c r="NQ341" s="27" t="s">
        <v>8</v>
      </c>
      <c r="NR341" s="27" t="s">
        <v>7</v>
      </c>
      <c r="NS341" s="27" t="s">
        <v>8</v>
      </c>
      <c r="NT341" s="27" t="s">
        <v>7</v>
      </c>
      <c r="NV341" s="27" t="s">
        <v>7</v>
      </c>
      <c r="NW341" s="27" t="s">
        <v>8</v>
      </c>
      <c r="NZ341" s="27" t="s">
        <v>7</v>
      </c>
    </row>
    <row r="342" spans="1:390" x14ac:dyDescent="0.25">
      <c r="A342" s="7">
        <v>127.95052778949477</v>
      </c>
      <c r="B342"/>
      <c r="C342"/>
      <c r="D342"/>
      <c r="E342" t="s">
        <v>8</v>
      </c>
      <c r="F342" s="27" t="s">
        <v>7</v>
      </c>
      <c r="G342" s="27" t="s">
        <v>8</v>
      </c>
      <c r="H342" s="27" t="s">
        <v>7</v>
      </c>
      <c r="K342" s="27" t="s">
        <v>8</v>
      </c>
      <c r="L342" s="27" t="s">
        <v>7</v>
      </c>
      <c r="Q342" s="27" t="s">
        <v>8</v>
      </c>
      <c r="R342" s="27" t="s">
        <v>7</v>
      </c>
      <c r="AN342" s="27" t="s">
        <v>7</v>
      </c>
      <c r="CO342" s="27" t="s">
        <v>8</v>
      </c>
      <c r="CP342" s="27" t="s">
        <v>7</v>
      </c>
      <c r="CW342" s="27" t="s">
        <v>8</v>
      </c>
      <c r="CY342" s="27" t="s">
        <v>8</v>
      </c>
      <c r="CZ342" s="27" t="s">
        <v>7</v>
      </c>
      <c r="DA342" s="27" t="s">
        <v>8</v>
      </c>
      <c r="DB342" s="27" t="s">
        <v>7</v>
      </c>
      <c r="HM342" s="27" t="s">
        <v>8</v>
      </c>
      <c r="HN342" s="27" t="s">
        <v>7</v>
      </c>
      <c r="HO342" s="27" t="s">
        <v>8</v>
      </c>
      <c r="HP342" s="27" t="s">
        <v>7</v>
      </c>
      <c r="HQ342" s="27" t="s">
        <v>8</v>
      </c>
      <c r="HR342" s="27" t="s">
        <v>7</v>
      </c>
      <c r="HS342" s="27" t="s">
        <v>8</v>
      </c>
      <c r="HT342" s="27" t="s">
        <v>7</v>
      </c>
      <c r="HU342" s="27" t="s">
        <v>8</v>
      </c>
      <c r="HV342" s="27" t="s">
        <v>7</v>
      </c>
      <c r="IE342" s="27" t="s">
        <v>8</v>
      </c>
      <c r="KB342" s="27" t="s">
        <v>7</v>
      </c>
      <c r="KC342" s="27" t="s">
        <v>8</v>
      </c>
      <c r="KP342" s="27" t="s">
        <v>7</v>
      </c>
      <c r="KQ342" s="27" t="s">
        <v>8</v>
      </c>
      <c r="KR342" s="27" t="s">
        <v>7</v>
      </c>
      <c r="KS342" s="27" t="s">
        <v>8</v>
      </c>
      <c r="KX342" s="27" t="s">
        <v>7</v>
      </c>
      <c r="KY342" s="27" t="s">
        <v>8</v>
      </c>
      <c r="KZ342" s="27" t="s">
        <v>7</v>
      </c>
      <c r="LC342" s="27" t="s">
        <v>8</v>
      </c>
      <c r="LD342" s="27" t="s">
        <v>7</v>
      </c>
      <c r="LE342" s="27" t="s">
        <v>8</v>
      </c>
      <c r="NH342" s="27" t="s">
        <v>7</v>
      </c>
      <c r="NI342" s="27" t="s">
        <v>8</v>
      </c>
      <c r="NJ342" s="27" t="s">
        <v>7</v>
      </c>
      <c r="NK342" s="27" t="s">
        <v>8</v>
      </c>
      <c r="NN342" s="27" t="s">
        <v>7</v>
      </c>
      <c r="NO342" s="27" t="s">
        <v>8</v>
      </c>
      <c r="NP342" s="27" t="s">
        <v>7</v>
      </c>
      <c r="NQ342" s="27" t="s">
        <v>8</v>
      </c>
      <c r="NR342" s="27" t="s">
        <v>7</v>
      </c>
      <c r="NS342" s="27" t="s">
        <v>8</v>
      </c>
      <c r="NV342" s="27" t="s">
        <v>7</v>
      </c>
      <c r="NW342" s="27" t="s">
        <v>8</v>
      </c>
      <c r="NZ342" s="27" t="s">
        <v>7</v>
      </c>
    </row>
    <row r="343" spans="1:390" x14ac:dyDescent="0.25">
      <c r="A343" s="7">
        <v>125.44169391126938</v>
      </c>
      <c r="B343"/>
      <c r="C343"/>
      <c r="D343"/>
      <c r="E343" t="s">
        <v>8</v>
      </c>
      <c r="F343" s="27" t="s">
        <v>7</v>
      </c>
      <c r="G343" s="27" t="s">
        <v>8</v>
      </c>
      <c r="H343" s="27" t="s">
        <v>7</v>
      </c>
      <c r="K343" s="27" t="s">
        <v>8</v>
      </c>
      <c r="L343" s="27" t="s">
        <v>7</v>
      </c>
      <c r="Q343" s="27" t="s">
        <v>8</v>
      </c>
      <c r="AN343" s="27" t="s">
        <v>7</v>
      </c>
      <c r="CO343" s="27" t="s">
        <v>8</v>
      </c>
      <c r="CP343" s="27" t="s">
        <v>7</v>
      </c>
      <c r="CW343" s="27" t="s">
        <v>8</v>
      </c>
      <c r="CX343" s="27" t="s">
        <v>7</v>
      </c>
      <c r="CY343" s="27" t="s">
        <v>8</v>
      </c>
      <c r="CZ343" s="27" t="s">
        <v>7</v>
      </c>
      <c r="DA343" s="27" t="s">
        <v>8</v>
      </c>
      <c r="DB343" s="27" t="s">
        <v>7</v>
      </c>
      <c r="HM343" s="27" t="s">
        <v>8</v>
      </c>
      <c r="HN343" s="27" t="s">
        <v>7</v>
      </c>
      <c r="HO343" s="27" t="s">
        <v>8</v>
      </c>
      <c r="HP343" s="27" t="s">
        <v>7</v>
      </c>
      <c r="HQ343" s="27" t="s">
        <v>8</v>
      </c>
      <c r="HR343" s="27" t="s">
        <v>7</v>
      </c>
      <c r="HS343" s="27" t="s">
        <v>8</v>
      </c>
      <c r="HT343" s="27" t="s">
        <v>7</v>
      </c>
      <c r="HU343" s="27" t="s">
        <v>8</v>
      </c>
      <c r="HV343" s="27" t="s">
        <v>7</v>
      </c>
      <c r="IE343" s="27" t="s">
        <v>8</v>
      </c>
      <c r="KB343" s="27" t="s">
        <v>7</v>
      </c>
      <c r="KC343" s="27" t="s">
        <v>8</v>
      </c>
      <c r="KP343" s="27" t="s">
        <v>7</v>
      </c>
      <c r="KQ343" s="27" t="s">
        <v>8</v>
      </c>
      <c r="KR343" s="27" t="s">
        <v>7</v>
      </c>
      <c r="KS343" s="27" t="s">
        <v>8</v>
      </c>
      <c r="KX343" s="27" t="s">
        <v>7</v>
      </c>
      <c r="KY343" s="27" t="s">
        <v>8</v>
      </c>
      <c r="KZ343" s="27" t="s">
        <v>7</v>
      </c>
      <c r="LC343" s="27" t="s">
        <v>8</v>
      </c>
      <c r="LD343" s="27" t="s">
        <v>7</v>
      </c>
      <c r="LE343" s="27" t="s">
        <v>8</v>
      </c>
      <c r="NH343" s="27" t="s">
        <v>7</v>
      </c>
      <c r="NI343" s="27" t="s">
        <v>8</v>
      </c>
      <c r="NJ343" s="27" t="s">
        <v>7</v>
      </c>
      <c r="NK343" s="27" t="s">
        <v>8</v>
      </c>
      <c r="NN343" s="27" t="s">
        <v>7</v>
      </c>
      <c r="NP343" s="27" t="s">
        <v>7</v>
      </c>
      <c r="NR343" s="27" t="s">
        <v>7</v>
      </c>
      <c r="NS343" s="27" t="s">
        <v>8</v>
      </c>
      <c r="NV343" s="27" t="s">
        <v>7</v>
      </c>
      <c r="NW343" s="27" t="s">
        <v>8</v>
      </c>
      <c r="NZ343" s="27" t="s">
        <v>7</v>
      </c>
    </row>
    <row r="344" spans="1:390" x14ac:dyDescent="0.25">
      <c r="A344" s="7">
        <v>122.98205285418567</v>
      </c>
      <c r="B344"/>
      <c r="C344"/>
      <c r="D344"/>
      <c r="E344" t="s">
        <v>8</v>
      </c>
      <c r="F344" s="27" t="s">
        <v>7</v>
      </c>
      <c r="G344" s="27" t="s">
        <v>8</v>
      </c>
      <c r="H344" s="27" t="s">
        <v>7</v>
      </c>
      <c r="I344" s="27" t="s">
        <v>8</v>
      </c>
      <c r="K344" s="27" t="s">
        <v>8</v>
      </c>
      <c r="L344" s="27" t="s">
        <v>7</v>
      </c>
      <c r="O344" s="27" t="s">
        <v>8</v>
      </c>
      <c r="Q344" s="27" t="s">
        <v>8</v>
      </c>
      <c r="AN344" s="27" t="s">
        <v>7</v>
      </c>
      <c r="CO344" s="27" t="s">
        <v>8</v>
      </c>
      <c r="CP344" s="27" t="s">
        <v>7</v>
      </c>
      <c r="CW344" s="27" t="s">
        <v>8</v>
      </c>
      <c r="CX344" s="27" t="s">
        <v>7</v>
      </c>
      <c r="CY344" s="27" t="s">
        <v>8</v>
      </c>
      <c r="CZ344" s="27" t="s">
        <v>7</v>
      </c>
      <c r="DB344" s="27" t="s">
        <v>7</v>
      </c>
      <c r="GM344" s="27" t="s">
        <v>8</v>
      </c>
      <c r="HM344" s="27" t="s">
        <v>8</v>
      </c>
      <c r="HN344" s="27" t="s">
        <v>7</v>
      </c>
      <c r="HO344" s="27" t="s">
        <v>8</v>
      </c>
      <c r="HP344" s="27" t="s">
        <v>7</v>
      </c>
      <c r="HQ344" s="27" t="s">
        <v>8</v>
      </c>
      <c r="HR344" s="27" t="s">
        <v>7</v>
      </c>
      <c r="HS344" s="27" t="s">
        <v>8</v>
      </c>
      <c r="HT344" s="27" t="s">
        <v>7</v>
      </c>
      <c r="HU344" s="27" t="s">
        <v>8</v>
      </c>
      <c r="HV344" s="27" t="s">
        <v>7</v>
      </c>
      <c r="IC344" s="27" t="s">
        <v>8</v>
      </c>
      <c r="IE344" s="27" t="s">
        <v>8</v>
      </c>
      <c r="KB344" s="27" t="s">
        <v>7</v>
      </c>
      <c r="KP344" s="27" t="s">
        <v>7</v>
      </c>
      <c r="KQ344" s="27" t="s">
        <v>8</v>
      </c>
      <c r="KR344" s="27" t="s">
        <v>7</v>
      </c>
      <c r="KS344" s="27" t="s">
        <v>8</v>
      </c>
      <c r="KX344" s="27" t="s">
        <v>7</v>
      </c>
      <c r="KZ344" s="27" t="s">
        <v>7</v>
      </c>
      <c r="LA344" s="27" t="s">
        <v>8</v>
      </c>
      <c r="LC344" s="27" t="s">
        <v>8</v>
      </c>
      <c r="LD344" s="27" t="s">
        <v>7</v>
      </c>
      <c r="LE344" s="27" t="s">
        <v>8</v>
      </c>
      <c r="NH344" s="27" t="s">
        <v>7</v>
      </c>
      <c r="NI344" s="27" t="s">
        <v>8</v>
      </c>
      <c r="NJ344" s="27" t="s">
        <v>7</v>
      </c>
      <c r="NR344" s="27" t="s">
        <v>7</v>
      </c>
      <c r="NV344" s="27" t="s">
        <v>7</v>
      </c>
      <c r="NW344" s="27" t="s">
        <v>8</v>
      </c>
      <c r="NZ344" s="27" t="s">
        <v>7</v>
      </c>
    </row>
    <row r="345" spans="1:390" x14ac:dyDescent="0.25">
      <c r="A345" s="7">
        <v>120.5706400531232</v>
      </c>
      <c r="B345"/>
      <c r="C345"/>
      <c r="D345"/>
      <c r="E345" t="s">
        <v>8</v>
      </c>
      <c r="F345" s="27" t="s">
        <v>7</v>
      </c>
      <c r="H345" s="27" t="s">
        <v>7</v>
      </c>
      <c r="I345" s="27" t="s">
        <v>8</v>
      </c>
      <c r="J345" s="27" t="s">
        <v>7</v>
      </c>
      <c r="K345" s="27" t="s">
        <v>8</v>
      </c>
      <c r="L345" s="27" t="s">
        <v>7</v>
      </c>
      <c r="O345" s="27" t="s">
        <v>8</v>
      </c>
      <c r="P345" s="27" t="s">
        <v>7</v>
      </c>
      <c r="Q345" s="27" t="s">
        <v>8</v>
      </c>
      <c r="AN345" s="27" t="s">
        <v>7</v>
      </c>
      <c r="CO345" s="27" t="s">
        <v>8</v>
      </c>
      <c r="CP345" s="27" t="s">
        <v>7</v>
      </c>
      <c r="CW345" s="27" t="s">
        <v>8</v>
      </c>
      <c r="CX345" s="27" t="s">
        <v>7</v>
      </c>
      <c r="CY345" s="27" t="s">
        <v>8</v>
      </c>
      <c r="DB345" s="27" t="s">
        <v>7</v>
      </c>
      <c r="GM345" s="27" t="s">
        <v>8</v>
      </c>
      <c r="GN345" s="27" t="s">
        <v>7</v>
      </c>
      <c r="HM345" s="27" t="s">
        <v>8</v>
      </c>
      <c r="HN345" s="27" t="s">
        <v>7</v>
      </c>
      <c r="HO345" s="27" t="s">
        <v>8</v>
      </c>
      <c r="HP345" s="27" t="s">
        <v>7</v>
      </c>
      <c r="HR345" s="27" t="s">
        <v>7</v>
      </c>
      <c r="HS345" s="27" t="s">
        <v>8</v>
      </c>
      <c r="HT345" s="27" t="s">
        <v>7</v>
      </c>
      <c r="HV345" s="27" t="s">
        <v>7</v>
      </c>
      <c r="IC345" s="27" t="s">
        <v>8</v>
      </c>
      <c r="ID345" s="27" t="s">
        <v>7</v>
      </c>
      <c r="IE345" s="27" t="s">
        <v>8</v>
      </c>
      <c r="KP345" s="27" t="s">
        <v>7</v>
      </c>
      <c r="KQ345" s="27" t="s">
        <v>8</v>
      </c>
      <c r="KR345" s="27" t="s">
        <v>7</v>
      </c>
      <c r="KS345" s="27" t="s">
        <v>8</v>
      </c>
      <c r="KZ345" s="27" t="s">
        <v>7</v>
      </c>
      <c r="LA345" s="27" t="s">
        <v>8</v>
      </c>
      <c r="LB345" s="27" t="s">
        <v>7</v>
      </c>
      <c r="LC345" s="27" t="s">
        <v>8</v>
      </c>
      <c r="LD345" s="27" t="s">
        <v>7</v>
      </c>
      <c r="LE345" s="27" t="s">
        <v>8</v>
      </c>
      <c r="NH345" s="27" t="s">
        <v>7</v>
      </c>
      <c r="NI345" s="27" t="s">
        <v>8</v>
      </c>
      <c r="NV345" s="27" t="s">
        <v>7</v>
      </c>
      <c r="NW345" s="27" t="s">
        <v>8</v>
      </c>
      <c r="NZ345" s="27" t="s">
        <v>7</v>
      </c>
    </row>
    <row r="346" spans="1:390" x14ac:dyDescent="0.25">
      <c r="A346" s="7">
        <v>118.20650985600314</v>
      </c>
      <c r="B346"/>
      <c r="C346"/>
      <c r="D346"/>
      <c r="E346" t="s">
        <v>8</v>
      </c>
      <c r="H346" s="27" t="s">
        <v>7</v>
      </c>
      <c r="I346" s="27" t="s">
        <v>8</v>
      </c>
      <c r="J346" s="27" t="s">
        <v>7</v>
      </c>
      <c r="K346" s="27" t="s">
        <v>8</v>
      </c>
      <c r="L346" s="27" t="s">
        <v>7</v>
      </c>
      <c r="O346" s="27" t="s">
        <v>8</v>
      </c>
      <c r="P346" s="27" t="s">
        <v>7</v>
      </c>
      <c r="Q346" s="27" t="s">
        <v>8</v>
      </c>
      <c r="AN346" s="27" t="s">
        <v>7</v>
      </c>
      <c r="AO346" s="27" t="s">
        <v>8</v>
      </c>
      <c r="CO346" s="27" t="s">
        <v>8</v>
      </c>
      <c r="CP346" s="27" t="s">
        <v>7</v>
      </c>
      <c r="CU346" s="27" t="s">
        <v>8</v>
      </c>
      <c r="CW346" s="27" t="s">
        <v>8</v>
      </c>
      <c r="CX346" s="27" t="s">
        <v>7</v>
      </c>
      <c r="CY346" s="27" t="s">
        <v>8</v>
      </c>
      <c r="DB346" s="27" t="s">
        <v>7</v>
      </c>
      <c r="GM346" s="27" t="s">
        <v>8</v>
      </c>
      <c r="GN346" s="27" t="s">
        <v>7</v>
      </c>
      <c r="GQ346" s="27" t="s">
        <v>8</v>
      </c>
      <c r="HA346" s="27" t="s">
        <v>8</v>
      </c>
      <c r="HM346" s="27" t="s">
        <v>8</v>
      </c>
      <c r="HN346" s="27" t="s">
        <v>7</v>
      </c>
      <c r="HO346" s="27" t="s">
        <v>8</v>
      </c>
      <c r="HR346" s="27" t="s">
        <v>7</v>
      </c>
      <c r="HV346" s="27" t="s">
        <v>7</v>
      </c>
      <c r="IA346" s="27" t="s">
        <v>8</v>
      </c>
      <c r="IC346" s="27" t="s">
        <v>8</v>
      </c>
      <c r="ID346" s="27" t="s">
        <v>7</v>
      </c>
      <c r="IE346" s="27" t="s">
        <v>8</v>
      </c>
      <c r="KP346" s="27" t="s">
        <v>7</v>
      </c>
      <c r="KQ346" s="27" t="s">
        <v>8</v>
      </c>
      <c r="KR346" s="27" t="s">
        <v>7</v>
      </c>
      <c r="KS346" s="27" t="s">
        <v>8</v>
      </c>
      <c r="KZ346" s="27" t="s">
        <v>7</v>
      </c>
      <c r="LA346" s="27" t="s">
        <v>8</v>
      </c>
      <c r="LB346" s="27" t="s">
        <v>7</v>
      </c>
      <c r="LC346" s="27" t="s">
        <v>8</v>
      </c>
      <c r="LD346" s="27" t="s">
        <v>7</v>
      </c>
      <c r="LE346" s="27" t="s">
        <v>8</v>
      </c>
      <c r="NH346" s="27" t="s">
        <v>7</v>
      </c>
      <c r="NI346" s="27" t="s">
        <v>8</v>
      </c>
      <c r="NV346" s="27" t="s">
        <v>7</v>
      </c>
      <c r="NW346" s="27" t="s">
        <v>8</v>
      </c>
      <c r="NZ346" s="27" t="s">
        <v>7</v>
      </c>
    </row>
    <row r="347" spans="1:390" x14ac:dyDescent="0.25">
      <c r="A347" s="7">
        <v>115.88873515294425</v>
      </c>
      <c r="B347"/>
      <c r="C347"/>
      <c r="D347"/>
      <c r="E347" t="s">
        <v>8</v>
      </c>
      <c r="H347" s="27" t="s">
        <v>7</v>
      </c>
      <c r="I347" s="27" t="s">
        <v>8</v>
      </c>
      <c r="J347" s="27" t="s">
        <v>7</v>
      </c>
      <c r="L347" s="27" t="s">
        <v>7</v>
      </c>
      <c r="O347" s="27" t="s">
        <v>8</v>
      </c>
      <c r="P347" s="27" t="s">
        <v>7</v>
      </c>
      <c r="Q347" s="27" t="s">
        <v>8</v>
      </c>
      <c r="AN347" s="27" t="s">
        <v>7</v>
      </c>
      <c r="AO347" s="27" t="s">
        <v>8</v>
      </c>
      <c r="AP347" s="27" t="s">
        <v>7</v>
      </c>
      <c r="AQ347" s="27" t="s">
        <v>8</v>
      </c>
      <c r="CO347" s="27" t="s">
        <v>8</v>
      </c>
      <c r="CP347" s="27" t="s">
        <v>7</v>
      </c>
      <c r="CU347" s="27" t="s">
        <v>8</v>
      </c>
      <c r="CV347" s="27" t="s">
        <v>7</v>
      </c>
      <c r="CW347" s="27" t="s">
        <v>8</v>
      </c>
      <c r="CX347" s="27" t="s">
        <v>7</v>
      </c>
      <c r="CY347" s="27" t="s">
        <v>8</v>
      </c>
      <c r="DB347" s="27" t="s">
        <v>7</v>
      </c>
      <c r="DC347" s="27" t="s">
        <v>8</v>
      </c>
      <c r="GM347" s="27" t="s">
        <v>8</v>
      </c>
      <c r="GN347" s="27" t="s">
        <v>7</v>
      </c>
      <c r="GQ347" s="27" t="s">
        <v>8</v>
      </c>
      <c r="GR347" s="27" t="s">
        <v>7</v>
      </c>
      <c r="GY347" s="27" t="s">
        <v>8</v>
      </c>
      <c r="HA347" s="27" t="s">
        <v>8</v>
      </c>
      <c r="HB347" s="27" t="s">
        <v>7</v>
      </c>
      <c r="HM347" s="27" t="s">
        <v>8</v>
      </c>
      <c r="HN347" s="27" t="s">
        <v>7</v>
      </c>
      <c r="HO347" s="27" t="s">
        <v>8</v>
      </c>
      <c r="HV347" s="27" t="s">
        <v>7</v>
      </c>
      <c r="IA347" s="27" t="s">
        <v>8</v>
      </c>
      <c r="IB347" s="27" t="s">
        <v>7</v>
      </c>
      <c r="IC347" s="27" t="s">
        <v>8</v>
      </c>
      <c r="ID347" s="27" t="s">
        <v>7</v>
      </c>
      <c r="IE347" s="27" t="s">
        <v>8</v>
      </c>
      <c r="KP347" s="27" t="s">
        <v>7</v>
      </c>
      <c r="KQ347" s="27" t="s">
        <v>8</v>
      </c>
      <c r="KR347" s="27" t="s">
        <v>7</v>
      </c>
      <c r="KZ347" s="27" t="s">
        <v>7</v>
      </c>
      <c r="LB347" s="27" t="s">
        <v>7</v>
      </c>
      <c r="LC347" s="27" t="s">
        <v>8</v>
      </c>
      <c r="LD347" s="27" t="s">
        <v>7</v>
      </c>
      <c r="NH347" s="27" t="s">
        <v>7</v>
      </c>
      <c r="NI347" s="27" t="s">
        <v>8</v>
      </c>
      <c r="NV347" s="27" t="s">
        <v>7</v>
      </c>
      <c r="NZ347" s="27" t="s">
        <v>7</v>
      </c>
    </row>
    <row r="348" spans="1:390" x14ac:dyDescent="0.25">
      <c r="A348" s="7">
        <v>113.61640701269044</v>
      </c>
      <c r="B348"/>
      <c r="C348"/>
      <c r="D348"/>
      <c r="E348" t="s">
        <v>8</v>
      </c>
      <c r="H348" s="27" t="s">
        <v>7</v>
      </c>
      <c r="L348" s="27" t="s">
        <v>7</v>
      </c>
      <c r="M348" s="27" t="s">
        <v>8</v>
      </c>
      <c r="O348" s="27" t="s">
        <v>8</v>
      </c>
      <c r="P348" s="27" t="s">
        <v>7</v>
      </c>
      <c r="Q348" s="27" t="s">
        <v>8</v>
      </c>
      <c r="AN348" s="27" t="s">
        <v>7</v>
      </c>
      <c r="AO348" s="27" t="s">
        <v>8</v>
      </c>
      <c r="AP348" s="27" t="s">
        <v>7</v>
      </c>
      <c r="AQ348" s="27" t="s">
        <v>8</v>
      </c>
      <c r="AR348" s="27" t="s">
        <v>7</v>
      </c>
      <c r="CO348" s="27" t="s">
        <v>8</v>
      </c>
      <c r="CP348" s="27" t="s">
        <v>7</v>
      </c>
      <c r="CQ348" s="27" t="s">
        <v>8</v>
      </c>
      <c r="CU348" s="27" t="s">
        <v>8</v>
      </c>
      <c r="CV348" s="27" t="s">
        <v>7</v>
      </c>
      <c r="CW348" s="27" t="s">
        <v>8</v>
      </c>
      <c r="CX348" s="27" t="s">
        <v>7</v>
      </c>
      <c r="CY348" s="27" t="s">
        <v>8</v>
      </c>
      <c r="DB348" s="27" t="s">
        <v>7</v>
      </c>
      <c r="DC348" s="27" t="s">
        <v>8</v>
      </c>
      <c r="DD348" s="27" t="s">
        <v>7</v>
      </c>
      <c r="GM348" s="27" t="s">
        <v>8</v>
      </c>
      <c r="GN348" s="27" t="s">
        <v>7</v>
      </c>
      <c r="GO348" s="27" t="s">
        <v>8</v>
      </c>
      <c r="GQ348" s="27" t="s">
        <v>8</v>
      </c>
      <c r="GR348" s="27" t="s">
        <v>7</v>
      </c>
      <c r="GY348" s="27" t="s">
        <v>8</v>
      </c>
      <c r="GZ348" s="27" t="s">
        <v>7</v>
      </c>
      <c r="HA348" s="27" t="s">
        <v>8</v>
      </c>
      <c r="HB348" s="27" t="s">
        <v>7</v>
      </c>
      <c r="HM348" s="27" t="s">
        <v>8</v>
      </c>
      <c r="HN348" s="27" t="s">
        <v>7</v>
      </c>
      <c r="HO348" s="27" t="s">
        <v>8</v>
      </c>
      <c r="HV348" s="27" t="s">
        <v>7</v>
      </c>
      <c r="IA348" s="27" t="s">
        <v>8</v>
      </c>
      <c r="IB348" s="27" t="s">
        <v>7</v>
      </c>
      <c r="IC348" s="27" t="s">
        <v>8</v>
      </c>
      <c r="ID348" s="27" t="s">
        <v>7</v>
      </c>
      <c r="KP348" s="27" t="s">
        <v>7</v>
      </c>
      <c r="KQ348" s="27" t="s">
        <v>8</v>
      </c>
      <c r="LB348" s="27" t="s">
        <v>7</v>
      </c>
      <c r="NH348" s="27" t="s">
        <v>7</v>
      </c>
      <c r="NI348" s="27" t="s">
        <v>8</v>
      </c>
      <c r="NZ348" s="27" t="s">
        <v>7</v>
      </c>
    </row>
    <row r="349" spans="1:390" x14ac:dyDescent="0.25">
      <c r="A349" s="7">
        <v>111.38863432616711</v>
      </c>
      <c r="B349"/>
      <c r="C349"/>
      <c r="D349"/>
      <c r="E349" t="s">
        <v>8</v>
      </c>
      <c r="L349" s="27" t="s">
        <v>7</v>
      </c>
      <c r="M349" s="27" t="s">
        <v>8</v>
      </c>
      <c r="N349" s="27" t="s">
        <v>7</v>
      </c>
      <c r="O349" s="27" t="s">
        <v>8</v>
      </c>
      <c r="P349" s="27" t="s">
        <v>7</v>
      </c>
      <c r="AN349" s="27" t="s">
        <v>7</v>
      </c>
      <c r="AO349" s="27" t="s">
        <v>8</v>
      </c>
      <c r="AP349" s="27" t="s">
        <v>7</v>
      </c>
      <c r="AQ349" s="27" t="s">
        <v>8</v>
      </c>
      <c r="AR349" s="27" t="s">
        <v>7</v>
      </c>
      <c r="AU349" s="27" t="s">
        <v>8</v>
      </c>
      <c r="CO349" s="27" t="s">
        <v>8</v>
      </c>
      <c r="CP349" s="27" t="s">
        <v>7</v>
      </c>
      <c r="CQ349" s="27" t="s">
        <v>8</v>
      </c>
      <c r="CR349" s="27" t="s">
        <v>7</v>
      </c>
      <c r="CS349" s="27" t="s">
        <v>8</v>
      </c>
      <c r="CU349" s="27" t="s">
        <v>8</v>
      </c>
      <c r="CV349" s="27" t="s">
        <v>7</v>
      </c>
      <c r="CX349" s="27" t="s">
        <v>7</v>
      </c>
      <c r="CY349" s="27" t="s">
        <v>8</v>
      </c>
      <c r="DB349" s="27" t="s">
        <v>7</v>
      </c>
      <c r="DC349" s="27" t="s">
        <v>8</v>
      </c>
      <c r="DD349" s="27" t="s">
        <v>7</v>
      </c>
      <c r="GM349" s="27" t="s">
        <v>8</v>
      </c>
      <c r="GN349" s="27" t="s">
        <v>7</v>
      </c>
      <c r="GO349" s="27" t="s">
        <v>8</v>
      </c>
      <c r="GP349" s="27" t="s">
        <v>7</v>
      </c>
      <c r="GQ349" s="27" t="s">
        <v>8</v>
      </c>
      <c r="GR349" s="27" t="s">
        <v>7</v>
      </c>
      <c r="GY349" s="27" t="s">
        <v>8</v>
      </c>
      <c r="GZ349" s="27" t="s">
        <v>7</v>
      </c>
      <c r="HA349" s="27" t="s">
        <v>8</v>
      </c>
      <c r="HB349" s="27" t="s">
        <v>7</v>
      </c>
      <c r="HC349" s="27" t="s">
        <v>8</v>
      </c>
      <c r="HM349" s="27" t="s">
        <v>8</v>
      </c>
      <c r="HN349" s="27" t="s">
        <v>7</v>
      </c>
      <c r="HO349" s="27" t="s">
        <v>8</v>
      </c>
      <c r="HV349" s="27" t="s">
        <v>7</v>
      </c>
      <c r="HW349" s="27" t="s">
        <v>8</v>
      </c>
      <c r="IA349" s="27" t="s">
        <v>8</v>
      </c>
      <c r="IB349" s="27" t="s">
        <v>7</v>
      </c>
      <c r="KP349" s="27" t="s">
        <v>7</v>
      </c>
      <c r="KQ349" s="27" t="s">
        <v>8</v>
      </c>
      <c r="NH349" s="27" t="s">
        <v>7</v>
      </c>
      <c r="NZ349" s="27" t="s">
        <v>7</v>
      </c>
    </row>
    <row r="350" spans="1:390" x14ac:dyDescent="0.25">
      <c r="A350" s="7">
        <v>109.20454345702657</v>
      </c>
      <c r="B350"/>
      <c r="C350"/>
      <c r="D350"/>
      <c r="E350" t="s">
        <v>8</v>
      </c>
      <c r="L350" s="27" t="s">
        <v>7</v>
      </c>
      <c r="M350" s="27" t="s">
        <v>8</v>
      </c>
      <c r="N350" s="27" t="s">
        <v>7</v>
      </c>
      <c r="O350" s="27" t="s">
        <v>8</v>
      </c>
      <c r="AN350" s="27" t="s">
        <v>7</v>
      </c>
      <c r="AO350" s="27" t="s">
        <v>8</v>
      </c>
      <c r="AP350" s="27" t="s">
        <v>7</v>
      </c>
      <c r="AQ350" s="27" t="s">
        <v>8</v>
      </c>
      <c r="AR350" s="27" t="s">
        <v>7</v>
      </c>
      <c r="AS350" s="27" t="s">
        <v>8</v>
      </c>
      <c r="AU350" s="27" t="s">
        <v>8</v>
      </c>
      <c r="AV350" s="27" t="s">
        <v>7</v>
      </c>
      <c r="CO350" s="27" t="s">
        <v>8</v>
      </c>
      <c r="CP350" s="27" t="s">
        <v>7</v>
      </c>
      <c r="CQ350" s="27" t="s">
        <v>8</v>
      </c>
      <c r="CR350" s="27" t="s">
        <v>7</v>
      </c>
      <c r="CS350" s="27" t="s">
        <v>8</v>
      </c>
      <c r="CT350" s="27" t="s">
        <v>7</v>
      </c>
      <c r="CU350" s="27" t="s">
        <v>8</v>
      </c>
      <c r="CX350" s="27" t="s">
        <v>7</v>
      </c>
      <c r="DB350" s="27" t="s">
        <v>7</v>
      </c>
      <c r="DC350" s="27" t="s">
        <v>8</v>
      </c>
      <c r="DD350" s="27" t="s">
        <v>7</v>
      </c>
      <c r="DE350" s="27" t="s">
        <v>8</v>
      </c>
      <c r="DG350" s="27" t="s">
        <v>8</v>
      </c>
      <c r="GM350" s="27" t="s">
        <v>8</v>
      </c>
      <c r="GN350" s="27" t="s">
        <v>7</v>
      </c>
      <c r="GO350" s="27" t="s">
        <v>8</v>
      </c>
      <c r="GP350" s="27" t="s">
        <v>7</v>
      </c>
      <c r="GQ350" s="27" t="s">
        <v>8</v>
      </c>
      <c r="GR350" s="27" t="s">
        <v>7</v>
      </c>
      <c r="GS350" s="27" t="s">
        <v>8</v>
      </c>
      <c r="GY350" s="27" t="s">
        <v>8</v>
      </c>
      <c r="GZ350" s="27" t="s">
        <v>7</v>
      </c>
      <c r="HA350" s="27" t="s">
        <v>8</v>
      </c>
      <c r="HB350" s="27" t="s">
        <v>7</v>
      </c>
      <c r="HC350" s="27" t="s">
        <v>8</v>
      </c>
      <c r="HD350" s="27" t="s">
        <v>7</v>
      </c>
      <c r="HE350" s="27" t="s">
        <v>8</v>
      </c>
      <c r="HM350" s="27" t="s">
        <v>8</v>
      </c>
      <c r="HN350" s="27" t="s">
        <v>7</v>
      </c>
      <c r="HO350" s="27" t="s">
        <v>8</v>
      </c>
      <c r="HV350" s="27" t="s">
        <v>7</v>
      </c>
      <c r="HW350" s="27" t="s">
        <v>8</v>
      </c>
      <c r="HX350" s="27" t="s">
        <v>7</v>
      </c>
      <c r="HY350" s="27" t="s">
        <v>8</v>
      </c>
      <c r="IA350" s="27" t="s">
        <v>8</v>
      </c>
      <c r="KP350" s="27" t="s">
        <v>7</v>
      </c>
      <c r="KQ350" s="27" t="s">
        <v>8</v>
      </c>
      <c r="NZ350" s="27" t="s">
        <v>7</v>
      </c>
    </row>
    <row r="351" spans="1:390" x14ac:dyDescent="0.25">
      <c r="A351" s="7">
        <v>107.06327789904566</v>
      </c>
      <c r="B351"/>
      <c r="C351"/>
      <c r="D351"/>
      <c r="E351" t="s">
        <v>8</v>
      </c>
      <c r="L351" s="27" t="s">
        <v>7</v>
      </c>
      <c r="N351" s="27" t="s">
        <v>7</v>
      </c>
      <c r="AN351" s="27" t="s">
        <v>7</v>
      </c>
      <c r="AO351" s="27" t="s">
        <v>8</v>
      </c>
      <c r="AP351" s="27" t="s">
        <v>7</v>
      </c>
      <c r="AR351" s="27" t="s">
        <v>7</v>
      </c>
      <c r="AS351" s="27" t="s">
        <v>8</v>
      </c>
      <c r="AT351" s="27" t="s">
        <v>7</v>
      </c>
      <c r="AU351" s="27" t="s">
        <v>8</v>
      </c>
      <c r="AV351" s="27" t="s">
        <v>7</v>
      </c>
      <c r="AW351" s="27" t="s">
        <v>8</v>
      </c>
      <c r="CO351" s="27" t="s">
        <v>8</v>
      </c>
      <c r="CP351" s="27" t="s">
        <v>7</v>
      </c>
      <c r="CQ351" s="27" t="s">
        <v>8</v>
      </c>
      <c r="CR351" s="27" t="s">
        <v>7</v>
      </c>
      <c r="CS351" s="27" t="s">
        <v>8</v>
      </c>
      <c r="CT351" s="27" t="s">
        <v>7</v>
      </c>
      <c r="CU351" s="27" t="s">
        <v>8</v>
      </c>
      <c r="DB351" s="27" t="s">
        <v>7</v>
      </c>
      <c r="DC351" s="27" t="s">
        <v>8</v>
      </c>
      <c r="DD351" s="27" t="s">
        <v>7</v>
      </c>
      <c r="DE351" s="27" t="s">
        <v>8</v>
      </c>
      <c r="DF351" s="27" t="s">
        <v>7</v>
      </c>
      <c r="DG351" s="27" t="s">
        <v>8</v>
      </c>
      <c r="DH351" s="27" t="s">
        <v>7</v>
      </c>
      <c r="GM351" s="27" t="s">
        <v>8</v>
      </c>
      <c r="GN351" s="27" t="s">
        <v>7</v>
      </c>
      <c r="GO351" s="27" t="s">
        <v>8</v>
      </c>
      <c r="GP351" s="27" t="s">
        <v>7</v>
      </c>
      <c r="GQ351" s="27" t="s">
        <v>8</v>
      </c>
      <c r="GR351" s="27" t="s">
        <v>7</v>
      </c>
      <c r="GS351" s="27" t="s">
        <v>8</v>
      </c>
      <c r="GT351" s="27" t="s">
        <v>7</v>
      </c>
      <c r="GY351" s="27" t="s">
        <v>8</v>
      </c>
      <c r="GZ351" s="27" t="s">
        <v>7</v>
      </c>
      <c r="HA351" s="27" t="s">
        <v>8</v>
      </c>
      <c r="HB351" s="27" t="s">
        <v>7</v>
      </c>
      <c r="HC351" s="27" t="s">
        <v>8</v>
      </c>
      <c r="HD351" s="27" t="s">
        <v>7</v>
      </c>
      <c r="HE351" s="27" t="s">
        <v>8</v>
      </c>
      <c r="HF351" s="27" t="s">
        <v>7</v>
      </c>
      <c r="HK351" s="27" t="s">
        <v>8</v>
      </c>
      <c r="HM351" s="27" t="s">
        <v>8</v>
      </c>
      <c r="HN351" s="27" t="s">
        <v>7</v>
      </c>
      <c r="HV351" s="27" t="s">
        <v>7</v>
      </c>
      <c r="HW351" s="27" t="s">
        <v>8</v>
      </c>
      <c r="HX351" s="27" t="s">
        <v>7</v>
      </c>
      <c r="HY351" s="27" t="s">
        <v>8</v>
      </c>
      <c r="HZ351" s="27" t="s">
        <v>7</v>
      </c>
      <c r="IA351" s="27" t="s">
        <v>8</v>
      </c>
      <c r="KP351" s="27" t="s">
        <v>7</v>
      </c>
      <c r="KQ351" s="27" t="s">
        <v>8</v>
      </c>
      <c r="NZ351" s="27" t="s">
        <v>7</v>
      </c>
    </row>
    <row r="352" spans="1:390" x14ac:dyDescent="0.25">
      <c r="A352" s="7">
        <v>104.96399794024084</v>
      </c>
      <c r="B352"/>
      <c r="C352"/>
      <c r="D352"/>
      <c r="E352" t="s">
        <v>8</v>
      </c>
      <c r="AN352" s="27" t="s">
        <v>7</v>
      </c>
      <c r="AO352" s="27" t="s">
        <v>8</v>
      </c>
      <c r="AR352" s="27" t="s">
        <v>7</v>
      </c>
      <c r="AS352" s="27" t="s">
        <v>8</v>
      </c>
      <c r="AT352" s="27" t="s">
        <v>7</v>
      </c>
      <c r="AU352" s="27" t="s">
        <v>8</v>
      </c>
      <c r="AV352" s="27" t="s">
        <v>7</v>
      </c>
      <c r="AW352" s="27" t="s">
        <v>8</v>
      </c>
      <c r="AX352" s="27" t="s">
        <v>7</v>
      </c>
      <c r="CO352" s="27" t="s">
        <v>8</v>
      </c>
      <c r="CP352" s="27" t="s">
        <v>7</v>
      </c>
      <c r="CQ352" s="27" t="s">
        <v>8</v>
      </c>
      <c r="CR352" s="27" t="s">
        <v>7</v>
      </c>
      <c r="CT352" s="27" t="s">
        <v>7</v>
      </c>
      <c r="CU352" s="27" t="s">
        <v>8</v>
      </c>
      <c r="DB352" s="27" t="s">
        <v>7</v>
      </c>
      <c r="DC352" s="27" t="s">
        <v>8</v>
      </c>
      <c r="DD352" s="27" t="s">
        <v>7</v>
      </c>
      <c r="DE352" s="27" t="s">
        <v>8</v>
      </c>
      <c r="DF352" s="27" t="s">
        <v>7</v>
      </c>
      <c r="DG352" s="27" t="s">
        <v>8</v>
      </c>
      <c r="DH352" s="27" t="s">
        <v>7</v>
      </c>
      <c r="GM352" s="27" t="s">
        <v>8</v>
      </c>
      <c r="GN352" s="27" t="s">
        <v>7</v>
      </c>
      <c r="GO352" s="27" t="s">
        <v>8</v>
      </c>
      <c r="GP352" s="27" t="s">
        <v>7</v>
      </c>
      <c r="GR352" s="27" t="s">
        <v>7</v>
      </c>
      <c r="GS352" s="27" t="s">
        <v>8</v>
      </c>
      <c r="GT352" s="27" t="s">
        <v>7</v>
      </c>
      <c r="GY352" s="27" t="s">
        <v>8</v>
      </c>
      <c r="GZ352" s="27" t="s">
        <v>7</v>
      </c>
      <c r="HB352" s="27" t="s">
        <v>7</v>
      </c>
      <c r="HC352" s="27" t="s">
        <v>8</v>
      </c>
      <c r="HD352" s="27" t="s">
        <v>7</v>
      </c>
      <c r="HE352" s="27" t="s">
        <v>8</v>
      </c>
      <c r="HF352" s="27" t="s">
        <v>7</v>
      </c>
      <c r="HK352" s="27" t="s">
        <v>8</v>
      </c>
      <c r="HL352" s="27" t="s">
        <v>7</v>
      </c>
      <c r="HM352" s="27" t="s">
        <v>8</v>
      </c>
      <c r="HV352" s="27" t="s">
        <v>7</v>
      </c>
      <c r="HW352" s="27" t="s">
        <v>8</v>
      </c>
      <c r="HX352" s="27" t="s">
        <v>7</v>
      </c>
      <c r="HY352" s="27" t="s">
        <v>8</v>
      </c>
      <c r="HZ352" s="27" t="s">
        <v>7</v>
      </c>
      <c r="IA352" s="27" t="s">
        <v>8</v>
      </c>
      <c r="KP352" s="27" t="s">
        <v>7</v>
      </c>
      <c r="KQ352" s="27" t="s">
        <v>8</v>
      </c>
      <c r="NZ352" s="27" t="s">
        <v>7</v>
      </c>
    </row>
    <row r="353" spans="1:394" x14ac:dyDescent="0.25">
      <c r="A353" s="7">
        <v>102.90588033356946</v>
      </c>
      <c r="B353"/>
      <c r="C353"/>
      <c r="D353"/>
      <c r="E353" t="s">
        <v>8</v>
      </c>
      <c r="AN353" s="27" t="s">
        <v>7</v>
      </c>
      <c r="AO353" s="27" t="s">
        <v>8</v>
      </c>
      <c r="AR353" s="27" t="s">
        <v>7</v>
      </c>
      <c r="AT353" s="27" t="s">
        <v>7</v>
      </c>
      <c r="AV353" s="27" t="s">
        <v>7</v>
      </c>
      <c r="AW353" s="27" t="s">
        <v>8</v>
      </c>
      <c r="AX353" s="27" t="s">
        <v>7</v>
      </c>
      <c r="BK353" s="27" t="s">
        <v>8</v>
      </c>
      <c r="CO353" s="27" t="s">
        <v>8</v>
      </c>
      <c r="CP353" s="27" t="s">
        <v>7</v>
      </c>
      <c r="CQ353" s="27" t="s">
        <v>8</v>
      </c>
      <c r="CT353" s="27" t="s">
        <v>7</v>
      </c>
      <c r="CU353" s="27" t="s">
        <v>8</v>
      </c>
      <c r="DB353" s="27" t="s">
        <v>7</v>
      </c>
      <c r="DD353" s="27" t="s">
        <v>7</v>
      </c>
      <c r="DE353" s="27" t="s">
        <v>8</v>
      </c>
      <c r="DF353" s="27" t="s">
        <v>7</v>
      </c>
      <c r="DH353" s="27" t="s">
        <v>7</v>
      </c>
      <c r="FE353" s="27" t="s">
        <v>8</v>
      </c>
      <c r="GM353" s="27" t="s">
        <v>8</v>
      </c>
      <c r="GN353" s="27" t="s">
        <v>7</v>
      </c>
      <c r="GO353" s="27" t="s">
        <v>8</v>
      </c>
      <c r="GR353" s="27" t="s">
        <v>7</v>
      </c>
      <c r="GS353" s="27" t="s">
        <v>8</v>
      </c>
      <c r="GT353" s="27" t="s">
        <v>7</v>
      </c>
      <c r="GU353" s="27" t="s">
        <v>8</v>
      </c>
      <c r="GY353" s="27" t="s">
        <v>8</v>
      </c>
      <c r="HB353" s="27" t="s">
        <v>7</v>
      </c>
      <c r="HC353" s="27" t="s">
        <v>8</v>
      </c>
      <c r="HD353" s="27" t="s">
        <v>7</v>
      </c>
      <c r="HF353" s="27" t="s">
        <v>7</v>
      </c>
      <c r="HK353" s="27" t="s">
        <v>8</v>
      </c>
      <c r="HL353" s="27" t="s">
        <v>7</v>
      </c>
      <c r="HM353" s="27" t="s">
        <v>8</v>
      </c>
      <c r="HV353" s="27" t="s">
        <v>7</v>
      </c>
      <c r="HW353" s="27" t="s">
        <v>8</v>
      </c>
      <c r="HX353" s="27" t="s">
        <v>7</v>
      </c>
      <c r="HY353" s="27" t="s">
        <v>8</v>
      </c>
      <c r="HZ353" s="27" t="s">
        <v>7</v>
      </c>
      <c r="IA353" s="27" t="s">
        <v>8</v>
      </c>
      <c r="KP353" s="27" t="s">
        <v>7</v>
      </c>
      <c r="NZ353" s="27" t="s">
        <v>7</v>
      </c>
    </row>
    <row r="354" spans="1:394" x14ac:dyDescent="0.25">
      <c r="A354" s="7">
        <v>100.88811797408771</v>
      </c>
      <c r="B354"/>
      <c r="C354"/>
      <c r="D354"/>
      <c r="E354" t="s">
        <v>8</v>
      </c>
      <c r="AN354" s="27" t="s">
        <v>7</v>
      </c>
      <c r="AO354" s="27" t="s">
        <v>8</v>
      </c>
      <c r="AV354" s="27" t="s">
        <v>7</v>
      </c>
      <c r="AW354" s="27" t="s">
        <v>8</v>
      </c>
      <c r="AX354" s="27" t="s">
        <v>7</v>
      </c>
      <c r="BK354" s="27" t="s">
        <v>8</v>
      </c>
      <c r="BL354" s="27" t="s">
        <v>7</v>
      </c>
      <c r="CO354" s="27" t="s">
        <v>8</v>
      </c>
      <c r="CP354" s="27" t="s">
        <v>7</v>
      </c>
      <c r="CQ354" s="27" t="s">
        <v>8</v>
      </c>
      <c r="CT354" s="27" t="s">
        <v>7</v>
      </c>
      <c r="CU354" s="27" t="s">
        <v>8</v>
      </c>
      <c r="DD354" s="27" t="s">
        <v>7</v>
      </c>
      <c r="DE354" s="27" t="s">
        <v>8</v>
      </c>
      <c r="DH354" s="27" t="s">
        <v>7</v>
      </c>
      <c r="FE354" s="27" t="s">
        <v>8</v>
      </c>
      <c r="FF354" s="27" t="s">
        <v>7</v>
      </c>
      <c r="FG354" s="27" t="s">
        <v>8</v>
      </c>
      <c r="GM354" s="27" t="s">
        <v>8</v>
      </c>
      <c r="GN354" s="27" t="s">
        <v>7</v>
      </c>
      <c r="GO354" s="27" t="s">
        <v>8</v>
      </c>
      <c r="GR354" s="27" t="s">
        <v>7</v>
      </c>
      <c r="GS354" s="27" t="s">
        <v>8</v>
      </c>
      <c r="GT354" s="27" t="s">
        <v>7</v>
      </c>
      <c r="GU354" s="27" t="s">
        <v>8</v>
      </c>
      <c r="GV354" s="27" t="s">
        <v>7</v>
      </c>
      <c r="GY354" s="27" t="s">
        <v>8</v>
      </c>
      <c r="HB354" s="27" t="s">
        <v>7</v>
      </c>
      <c r="HC354" s="27" t="s">
        <v>8</v>
      </c>
      <c r="HF354" s="27" t="s">
        <v>7</v>
      </c>
      <c r="HK354" s="27" t="s">
        <v>8</v>
      </c>
      <c r="HL354" s="27" t="s">
        <v>7</v>
      </c>
      <c r="HM354" s="27" t="s">
        <v>8</v>
      </c>
      <c r="HV354" s="27" t="s">
        <v>7</v>
      </c>
      <c r="HW354" s="27" t="s">
        <v>8</v>
      </c>
      <c r="HX354" s="27" t="s">
        <v>7</v>
      </c>
      <c r="HY354" s="27" t="s">
        <v>8</v>
      </c>
      <c r="HZ354" s="27" t="s">
        <v>7</v>
      </c>
      <c r="NZ354" s="27" t="s">
        <v>7</v>
      </c>
      <c r="OA354" s="27" t="s">
        <v>8</v>
      </c>
    </row>
    <row r="355" spans="1:394" x14ac:dyDescent="0.25">
      <c r="A355" s="7">
        <v>98.909919582438931</v>
      </c>
      <c r="B355"/>
      <c r="C355"/>
      <c r="D355"/>
      <c r="E355" t="s">
        <v>8</v>
      </c>
      <c r="AN355" s="27" t="s">
        <v>7</v>
      </c>
      <c r="AO355" s="27" t="s">
        <v>8</v>
      </c>
      <c r="AV355" s="27" t="s">
        <v>7</v>
      </c>
      <c r="AX355" s="27" t="s">
        <v>7</v>
      </c>
      <c r="BK355" s="27" t="s">
        <v>8</v>
      </c>
      <c r="BL355" s="27" t="s">
        <v>7</v>
      </c>
      <c r="CO355" s="27" t="s">
        <v>8</v>
      </c>
      <c r="CP355" s="27" t="s">
        <v>7</v>
      </c>
      <c r="CQ355" s="27" t="s">
        <v>8</v>
      </c>
      <c r="CT355" s="27" t="s">
        <v>7</v>
      </c>
      <c r="CU355" s="27" t="s">
        <v>8</v>
      </c>
      <c r="DD355" s="27" t="s">
        <v>7</v>
      </c>
      <c r="DH355" s="27" t="s">
        <v>7</v>
      </c>
      <c r="FE355" s="27" t="s">
        <v>8</v>
      </c>
      <c r="FF355" s="27" t="s">
        <v>7</v>
      </c>
      <c r="FG355" s="27" t="s">
        <v>8</v>
      </c>
      <c r="FH355" s="27" t="s">
        <v>7</v>
      </c>
      <c r="FI355" s="27" t="s">
        <v>8</v>
      </c>
      <c r="GM355" s="27" t="s">
        <v>8</v>
      </c>
      <c r="GN355" s="27" t="s">
        <v>7</v>
      </c>
      <c r="GO355" s="27" t="s">
        <v>8</v>
      </c>
      <c r="GR355" s="27" t="s">
        <v>7</v>
      </c>
      <c r="GT355" s="27" t="s">
        <v>7</v>
      </c>
      <c r="GU355" s="27" t="s">
        <v>8</v>
      </c>
      <c r="GV355" s="27" t="s">
        <v>7</v>
      </c>
      <c r="GY355" s="27" t="s">
        <v>8</v>
      </c>
      <c r="HB355" s="27" t="s">
        <v>7</v>
      </c>
      <c r="HC355" s="27" t="s">
        <v>8</v>
      </c>
      <c r="HF355" s="27" t="s">
        <v>7</v>
      </c>
      <c r="HK355" s="27" t="s">
        <v>8</v>
      </c>
      <c r="HL355" s="27" t="s">
        <v>7</v>
      </c>
      <c r="HM355" s="27" t="s">
        <v>8</v>
      </c>
      <c r="HV355" s="27" t="s">
        <v>7</v>
      </c>
      <c r="HW355" s="27" t="s">
        <v>8</v>
      </c>
      <c r="HX355" s="27" t="s">
        <v>7</v>
      </c>
      <c r="HY355" s="27" t="s">
        <v>8</v>
      </c>
      <c r="NZ355" s="27" t="s">
        <v>7</v>
      </c>
      <c r="OA355" s="27" t="s">
        <v>8</v>
      </c>
      <c r="OB355" s="27" t="s">
        <v>7</v>
      </c>
      <c r="OC355" s="27" t="s">
        <v>8</v>
      </c>
    </row>
    <row r="356" spans="1:394" x14ac:dyDescent="0.25">
      <c r="A356" s="7">
        <v>96.970509394547975</v>
      </c>
      <c r="B356"/>
      <c r="C356"/>
      <c r="D356"/>
      <c r="E356" t="s">
        <v>8</v>
      </c>
      <c r="AN356" s="27" t="s">
        <v>7</v>
      </c>
      <c r="AX356" s="27" t="s">
        <v>7</v>
      </c>
      <c r="AY356" s="27" t="s">
        <v>8</v>
      </c>
      <c r="BG356" s="27" t="s">
        <v>8</v>
      </c>
      <c r="BK356" s="27" t="s">
        <v>8</v>
      </c>
      <c r="BL356" s="27" t="s">
        <v>7</v>
      </c>
      <c r="CO356" s="27" t="s">
        <v>8</v>
      </c>
      <c r="CP356" s="27" t="s">
        <v>7</v>
      </c>
      <c r="CQ356" s="27" t="s">
        <v>8</v>
      </c>
      <c r="CT356" s="27" t="s">
        <v>7</v>
      </c>
      <c r="CU356" s="27" t="s">
        <v>8</v>
      </c>
      <c r="DH356" s="27" t="s">
        <v>7</v>
      </c>
      <c r="FE356" s="27" t="s">
        <v>8</v>
      </c>
      <c r="FF356" s="27" t="s">
        <v>7</v>
      </c>
      <c r="FG356" s="27" t="s">
        <v>8</v>
      </c>
      <c r="FH356" s="27" t="s">
        <v>7</v>
      </c>
      <c r="FI356" s="27" t="s">
        <v>8</v>
      </c>
      <c r="FJ356" s="27" t="s">
        <v>7</v>
      </c>
      <c r="GM356" s="27" t="s">
        <v>8</v>
      </c>
      <c r="GN356" s="27" t="s">
        <v>7</v>
      </c>
      <c r="GO356" s="27" t="s">
        <v>8</v>
      </c>
      <c r="GT356" s="27" t="s">
        <v>7</v>
      </c>
      <c r="GV356" s="27" t="s">
        <v>7</v>
      </c>
      <c r="GY356" s="27" t="s">
        <v>8</v>
      </c>
      <c r="HB356" s="27" t="s">
        <v>7</v>
      </c>
      <c r="HC356" s="27" t="s">
        <v>8</v>
      </c>
      <c r="HF356" s="27" t="s">
        <v>7</v>
      </c>
      <c r="HK356" s="27" t="s">
        <v>8</v>
      </c>
      <c r="HL356" s="27" t="s">
        <v>7</v>
      </c>
      <c r="HM356" s="27" t="s">
        <v>8</v>
      </c>
      <c r="HV356" s="27" t="s">
        <v>7</v>
      </c>
      <c r="HW356" s="27" t="s">
        <v>8</v>
      </c>
      <c r="HX356" s="27" t="s">
        <v>7</v>
      </c>
      <c r="HY356" s="27" t="s">
        <v>8</v>
      </c>
      <c r="NZ356" s="27" t="s">
        <v>7</v>
      </c>
      <c r="OA356" s="27" t="s">
        <v>8</v>
      </c>
      <c r="OB356" s="27" t="s">
        <v>7</v>
      </c>
      <c r="OC356" s="27" t="s">
        <v>8</v>
      </c>
      <c r="OD356" s="27" t="s">
        <v>7</v>
      </c>
    </row>
    <row r="357" spans="1:394" x14ac:dyDescent="0.25">
      <c r="A357" s="7">
        <v>95.069126857399979</v>
      </c>
      <c r="B357"/>
      <c r="C357"/>
      <c r="D357"/>
      <c r="E357" t="s">
        <v>8</v>
      </c>
      <c r="AX357" s="27" t="s">
        <v>7</v>
      </c>
      <c r="AY357" s="27" t="s">
        <v>8</v>
      </c>
      <c r="AZ357" s="27" t="s">
        <v>7</v>
      </c>
      <c r="BA357" s="27" t="s">
        <v>8</v>
      </c>
      <c r="BG357" s="27" t="s">
        <v>8</v>
      </c>
      <c r="BH357" s="27" t="s">
        <v>7</v>
      </c>
      <c r="BI357" s="27" t="s">
        <v>8</v>
      </c>
      <c r="BK357" s="27" t="s">
        <v>8</v>
      </c>
      <c r="BL357" s="27" t="s">
        <v>7</v>
      </c>
      <c r="CO357" s="27" t="s">
        <v>8</v>
      </c>
      <c r="CP357" s="27" t="s">
        <v>7</v>
      </c>
      <c r="CQ357" s="27" t="s">
        <v>8</v>
      </c>
      <c r="CT357" s="27" t="s">
        <v>7</v>
      </c>
      <c r="DH357" s="27" t="s">
        <v>7</v>
      </c>
      <c r="FC357" s="27" t="s">
        <v>8</v>
      </c>
      <c r="FE357" s="27" t="s">
        <v>8</v>
      </c>
      <c r="FF357" s="27" t="s">
        <v>7</v>
      </c>
      <c r="FG357" s="27" t="s">
        <v>8</v>
      </c>
      <c r="FH357" s="27" t="s">
        <v>7</v>
      </c>
      <c r="FI357" s="27" t="s">
        <v>8</v>
      </c>
      <c r="FJ357" s="27" t="s">
        <v>7</v>
      </c>
      <c r="GK357" s="27" t="s">
        <v>8</v>
      </c>
      <c r="GM357" s="27" t="s">
        <v>8</v>
      </c>
      <c r="GN357" s="27" t="s">
        <v>7</v>
      </c>
      <c r="GO357" s="27" t="s">
        <v>8</v>
      </c>
      <c r="GV357" s="27" t="s">
        <v>7</v>
      </c>
      <c r="GW357" s="27" t="s">
        <v>8</v>
      </c>
      <c r="GY357" s="27" t="s">
        <v>8</v>
      </c>
      <c r="HB357" s="27" t="s">
        <v>7</v>
      </c>
      <c r="HC357" s="27" t="s">
        <v>8</v>
      </c>
      <c r="HF357" s="27" t="s">
        <v>7</v>
      </c>
      <c r="HI357" s="27" t="s">
        <v>8</v>
      </c>
      <c r="HK357" s="27" t="s">
        <v>8</v>
      </c>
      <c r="HL357" s="27" t="s">
        <v>7</v>
      </c>
      <c r="HM357" s="27" t="s">
        <v>8</v>
      </c>
      <c r="HV357" s="27" t="s">
        <v>7</v>
      </c>
      <c r="HX357" s="27" t="s">
        <v>7</v>
      </c>
      <c r="NZ357" s="27" t="s">
        <v>7</v>
      </c>
      <c r="OA357" s="27" t="s">
        <v>8</v>
      </c>
      <c r="OB357" s="27" t="s">
        <v>7</v>
      </c>
      <c r="OC357" s="27" t="s">
        <v>8</v>
      </c>
      <c r="OD357" s="27" t="s">
        <v>7</v>
      </c>
    </row>
    <row r="358" spans="1:394" x14ac:dyDescent="0.25">
      <c r="A358" s="7">
        <v>93.205026330784293</v>
      </c>
      <c r="B358"/>
      <c r="C358"/>
      <c r="D358"/>
      <c r="E358" t="s">
        <v>8</v>
      </c>
      <c r="AX358" s="27" t="s">
        <v>7</v>
      </c>
      <c r="AY358" s="27" t="s">
        <v>8</v>
      </c>
      <c r="AZ358" s="27" t="s">
        <v>7</v>
      </c>
      <c r="BA358" s="27" t="s">
        <v>8</v>
      </c>
      <c r="BB358" s="27" t="s">
        <v>7</v>
      </c>
      <c r="BG358" s="27" t="s">
        <v>8</v>
      </c>
      <c r="BH358" s="27" t="s">
        <v>7</v>
      </c>
      <c r="BI358" s="27" t="s">
        <v>8</v>
      </c>
      <c r="BJ358" s="27" t="s">
        <v>7</v>
      </c>
      <c r="BK358" s="27" t="s">
        <v>8</v>
      </c>
      <c r="BL358" s="27" t="s">
        <v>7</v>
      </c>
      <c r="CO358" s="27" t="s">
        <v>8</v>
      </c>
      <c r="CP358" s="27" t="s">
        <v>7</v>
      </c>
      <c r="DH358" s="27" t="s">
        <v>7</v>
      </c>
      <c r="DI358" s="27" t="s">
        <v>8</v>
      </c>
      <c r="DO358" s="27" t="s">
        <v>8</v>
      </c>
      <c r="FC358" s="27" t="s">
        <v>8</v>
      </c>
      <c r="FD358" s="27" t="s">
        <v>7</v>
      </c>
      <c r="FE358" s="27" t="s">
        <v>8</v>
      </c>
      <c r="FF358" s="27" t="s">
        <v>7</v>
      </c>
      <c r="FH358" s="27" t="s">
        <v>7</v>
      </c>
      <c r="FI358" s="27" t="s">
        <v>8</v>
      </c>
      <c r="FJ358" s="27" t="s">
        <v>7</v>
      </c>
      <c r="FK358" s="27" t="s">
        <v>8</v>
      </c>
      <c r="GK358" s="27" t="s">
        <v>8</v>
      </c>
      <c r="GL358" s="27" t="s">
        <v>7</v>
      </c>
      <c r="GM358" s="27" t="s">
        <v>8</v>
      </c>
      <c r="GN358" s="27" t="s">
        <v>7</v>
      </c>
      <c r="GO358" s="27" t="s">
        <v>8</v>
      </c>
      <c r="GV358" s="27" t="s">
        <v>7</v>
      </c>
      <c r="GW358" s="27" t="s">
        <v>8</v>
      </c>
      <c r="GX358" s="27" t="s">
        <v>7</v>
      </c>
      <c r="GY358" s="27" t="s">
        <v>8</v>
      </c>
      <c r="HB358" s="27" t="s">
        <v>7</v>
      </c>
      <c r="HC358" s="27" t="s">
        <v>8</v>
      </c>
      <c r="HF358" s="27" t="s">
        <v>7</v>
      </c>
      <c r="HG358" s="27" t="s">
        <v>8</v>
      </c>
      <c r="HI358" s="27" t="s">
        <v>8</v>
      </c>
      <c r="HJ358" s="27" t="s">
        <v>7</v>
      </c>
      <c r="HK358" s="27" t="s">
        <v>8</v>
      </c>
      <c r="HL358" s="27" t="s">
        <v>7</v>
      </c>
      <c r="NZ358" s="27" t="s">
        <v>7</v>
      </c>
      <c r="OA358" s="27" t="s">
        <v>8</v>
      </c>
      <c r="OB358" s="27" t="s">
        <v>7</v>
      </c>
      <c r="OC358" s="27" t="s">
        <v>8</v>
      </c>
      <c r="OD358" s="27" t="s">
        <v>7</v>
      </c>
    </row>
    <row r="359" spans="1:394" x14ac:dyDescent="0.25">
      <c r="A359" s="7">
        <v>91.377476794886562</v>
      </c>
      <c r="B359"/>
      <c r="C359"/>
      <c r="D359"/>
      <c r="E359" t="s">
        <v>8</v>
      </c>
      <c r="AX359" s="27" t="s">
        <v>7</v>
      </c>
      <c r="AZ359" s="27" t="s">
        <v>7</v>
      </c>
      <c r="BA359" s="27" t="s">
        <v>8</v>
      </c>
      <c r="BB359" s="27" t="s">
        <v>7</v>
      </c>
      <c r="BG359" s="27" t="s">
        <v>8</v>
      </c>
      <c r="BH359" s="27" t="s">
        <v>7</v>
      </c>
      <c r="BI359" s="27" t="s">
        <v>8</v>
      </c>
      <c r="BJ359" s="27" t="s">
        <v>7</v>
      </c>
      <c r="BK359" s="27" t="s">
        <v>8</v>
      </c>
      <c r="BL359" s="27" t="s">
        <v>7</v>
      </c>
      <c r="CO359" s="27" t="s">
        <v>8</v>
      </c>
      <c r="DH359" s="27" t="s">
        <v>7</v>
      </c>
      <c r="DI359" s="27" t="s">
        <v>8</v>
      </c>
      <c r="DJ359" s="27" t="s">
        <v>7</v>
      </c>
      <c r="DM359" s="27" t="s">
        <v>8</v>
      </c>
      <c r="DO359" s="27" t="s">
        <v>8</v>
      </c>
      <c r="DP359" s="27" t="s">
        <v>7</v>
      </c>
      <c r="FC359" s="27" t="s">
        <v>8</v>
      </c>
      <c r="FD359" s="27" t="s">
        <v>7</v>
      </c>
      <c r="FE359" s="27" t="s">
        <v>8</v>
      </c>
      <c r="FH359" s="27" t="s">
        <v>7</v>
      </c>
      <c r="FI359" s="27" t="s">
        <v>8</v>
      </c>
      <c r="FJ359" s="27" t="s">
        <v>7</v>
      </c>
      <c r="FK359" s="27" t="s">
        <v>8</v>
      </c>
      <c r="FL359" s="27" t="s">
        <v>7</v>
      </c>
      <c r="GK359" s="27" t="s">
        <v>8</v>
      </c>
      <c r="GL359" s="27" t="s">
        <v>7</v>
      </c>
      <c r="GM359" s="27" t="s">
        <v>8</v>
      </c>
      <c r="GN359" s="27" t="s">
        <v>7</v>
      </c>
      <c r="GO359" s="27" t="s">
        <v>8</v>
      </c>
      <c r="GV359" s="27" t="s">
        <v>7</v>
      </c>
      <c r="GW359" s="27" t="s">
        <v>8</v>
      </c>
      <c r="GX359" s="27" t="s">
        <v>7</v>
      </c>
      <c r="GY359" s="27" t="s">
        <v>8</v>
      </c>
      <c r="HB359" s="27" t="s">
        <v>7</v>
      </c>
      <c r="HC359" s="27" t="s">
        <v>8</v>
      </c>
      <c r="HF359" s="27" t="s">
        <v>7</v>
      </c>
      <c r="HG359" s="27" t="s">
        <v>8</v>
      </c>
      <c r="HH359" s="27" t="s">
        <v>7</v>
      </c>
      <c r="HI359" s="27" t="s">
        <v>8</v>
      </c>
      <c r="HJ359" s="27" t="s">
        <v>7</v>
      </c>
      <c r="HK359" s="27" t="s">
        <v>8</v>
      </c>
      <c r="NZ359" s="27" t="s">
        <v>7</v>
      </c>
      <c r="OA359" s="27" t="s">
        <v>8</v>
      </c>
      <c r="OB359" s="27" t="s">
        <v>7</v>
      </c>
      <c r="OC359" s="27" t="s">
        <v>8</v>
      </c>
      <c r="OD359" s="27" t="s">
        <v>7</v>
      </c>
    </row>
    <row r="360" spans="1:394" x14ac:dyDescent="0.25">
      <c r="A360" s="7">
        <v>89.58576156361427</v>
      </c>
      <c r="B360"/>
      <c r="C360"/>
      <c r="D360"/>
      <c r="E360" t="s">
        <v>8</v>
      </c>
      <c r="AZ360" s="27" t="s">
        <v>7</v>
      </c>
      <c r="BA360" s="27" t="s">
        <v>8</v>
      </c>
      <c r="BB360" s="27" t="s">
        <v>7</v>
      </c>
      <c r="BG360" s="27" t="s">
        <v>8</v>
      </c>
      <c r="BH360" s="27" t="s">
        <v>7</v>
      </c>
      <c r="BI360" s="27" t="s">
        <v>8</v>
      </c>
      <c r="BJ360" s="27" t="s">
        <v>7</v>
      </c>
      <c r="BL360" s="27" t="s">
        <v>7</v>
      </c>
      <c r="CO360" s="27" t="s">
        <v>8</v>
      </c>
      <c r="DH360" s="27" t="s">
        <v>7</v>
      </c>
      <c r="DI360" s="27" t="s">
        <v>8</v>
      </c>
      <c r="DJ360" s="27" t="s">
        <v>7</v>
      </c>
      <c r="DK360" s="27" t="s">
        <v>8</v>
      </c>
      <c r="DM360" s="27" t="s">
        <v>8</v>
      </c>
      <c r="DN360" s="27" t="s">
        <v>7</v>
      </c>
      <c r="DO360" s="27" t="s">
        <v>8</v>
      </c>
      <c r="DP360" s="27" t="s">
        <v>7</v>
      </c>
      <c r="FC360" s="27" t="s">
        <v>8</v>
      </c>
      <c r="FD360" s="27" t="s">
        <v>7</v>
      </c>
      <c r="FE360" s="27" t="s">
        <v>8</v>
      </c>
      <c r="FH360" s="27" t="s">
        <v>7</v>
      </c>
      <c r="FI360" s="27" t="s">
        <v>8</v>
      </c>
      <c r="FJ360" s="27" t="s">
        <v>7</v>
      </c>
      <c r="FK360" s="27" t="s">
        <v>8</v>
      </c>
      <c r="FL360" s="27" t="s">
        <v>7</v>
      </c>
      <c r="FM360" s="27" t="s">
        <v>8</v>
      </c>
      <c r="GK360" s="27" t="s">
        <v>8</v>
      </c>
      <c r="GL360" s="27" t="s">
        <v>7</v>
      </c>
      <c r="GN360" s="27" t="s">
        <v>7</v>
      </c>
      <c r="GO360" s="27" t="s">
        <v>8</v>
      </c>
      <c r="GV360" s="27" t="s">
        <v>7</v>
      </c>
      <c r="GX360" s="27" t="s">
        <v>7</v>
      </c>
      <c r="GY360" s="27" t="s">
        <v>8</v>
      </c>
      <c r="HB360" s="27" t="s">
        <v>7</v>
      </c>
      <c r="HC360" s="27" t="s">
        <v>8</v>
      </c>
      <c r="HF360" s="27" t="s">
        <v>7</v>
      </c>
      <c r="HG360" s="27" t="s">
        <v>8</v>
      </c>
      <c r="HH360" s="27" t="s">
        <v>7</v>
      </c>
      <c r="HI360" s="27" t="s">
        <v>8</v>
      </c>
      <c r="HJ360" s="27" t="s">
        <v>7</v>
      </c>
      <c r="HK360" s="27" t="s">
        <v>8</v>
      </c>
      <c r="NZ360" s="27" t="s">
        <v>7</v>
      </c>
      <c r="OA360" s="27" t="s">
        <v>8</v>
      </c>
      <c r="OB360" s="27" t="s">
        <v>7</v>
      </c>
      <c r="OC360" s="27" t="s">
        <v>8</v>
      </c>
    </row>
    <row r="361" spans="1:394" x14ac:dyDescent="0.25">
      <c r="A361" s="7">
        <v>87.829178003543404</v>
      </c>
      <c r="B361"/>
      <c r="C361"/>
      <c r="D361"/>
      <c r="E361" t="s">
        <v>8</v>
      </c>
      <c r="AZ361" s="27" t="s">
        <v>7</v>
      </c>
      <c r="BB361" s="27" t="s">
        <v>7</v>
      </c>
      <c r="BE361" s="27" t="s">
        <v>8</v>
      </c>
      <c r="BG361" s="27" t="s">
        <v>8</v>
      </c>
      <c r="BH361" s="27" t="s">
        <v>7</v>
      </c>
      <c r="BI361" s="27" t="s">
        <v>8</v>
      </c>
      <c r="BL361" s="27" t="s">
        <v>7</v>
      </c>
      <c r="CO361" s="27" t="s">
        <v>8</v>
      </c>
      <c r="DH361" s="27" t="s">
        <v>7</v>
      </c>
      <c r="DI361" s="27" t="s">
        <v>8</v>
      </c>
      <c r="DJ361" s="27" t="s">
        <v>7</v>
      </c>
      <c r="DK361" s="27" t="s">
        <v>8</v>
      </c>
      <c r="DL361" s="27" t="s">
        <v>7</v>
      </c>
      <c r="DM361" s="27" t="s">
        <v>8</v>
      </c>
      <c r="DN361" s="27" t="s">
        <v>7</v>
      </c>
      <c r="DO361" s="27" t="s">
        <v>8</v>
      </c>
      <c r="DP361" s="27" t="s">
        <v>7</v>
      </c>
      <c r="EK361" s="27" t="s">
        <v>8</v>
      </c>
      <c r="EM361" s="27" t="s">
        <v>8</v>
      </c>
      <c r="FC361" s="27" t="s">
        <v>8</v>
      </c>
      <c r="FD361" s="27" t="s">
        <v>7</v>
      </c>
      <c r="FE361" s="27" t="s">
        <v>8</v>
      </c>
      <c r="FH361" s="27" t="s">
        <v>7</v>
      </c>
      <c r="FI361" s="27" t="s">
        <v>8</v>
      </c>
      <c r="FJ361" s="27" t="s">
        <v>7</v>
      </c>
      <c r="FK361" s="27" t="s">
        <v>8</v>
      </c>
      <c r="FL361" s="27" t="s">
        <v>7</v>
      </c>
      <c r="FM361" s="27" t="s">
        <v>8</v>
      </c>
      <c r="FN361" s="27" t="s">
        <v>7</v>
      </c>
      <c r="GK361" s="27" t="s">
        <v>8</v>
      </c>
      <c r="GN361" s="27" t="s">
        <v>7</v>
      </c>
      <c r="GO361" s="27" t="s">
        <v>8</v>
      </c>
      <c r="GX361" s="27" t="s">
        <v>7</v>
      </c>
      <c r="HB361" s="27" t="s">
        <v>7</v>
      </c>
      <c r="HF361" s="27" t="s">
        <v>7</v>
      </c>
      <c r="HG361" s="27" t="s">
        <v>8</v>
      </c>
      <c r="HH361" s="27" t="s">
        <v>7</v>
      </c>
      <c r="HI361" s="27" t="s">
        <v>8</v>
      </c>
      <c r="HJ361" s="27" t="s">
        <v>7</v>
      </c>
      <c r="HK361" s="27" t="s">
        <v>8</v>
      </c>
      <c r="NZ361" s="27" t="s">
        <v>7</v>
      </c>
      <c r="OA361" s="27" t="s">
        <v>8</v>
      </c>
      <c r="OB361" s="27" t="s">
        <v>7</v>
      </c>
      <c r="OC361" s="27" t="s">
        <v>8</v>
      </c>
    </row>
    <row r="362" spans="1:394" x14ac:dyDescent="0.25">
      <c r="A362" s="7">
        <v>86.107037258375883</v>
      </c>
      <c r="B362"/>
      <c r="C362"/>
      <c r="D362"/>
      <c r="E362" t="s">
        <v>8</v>
      </c>
      <c r="BB362" s="27" t="s">
        <v>7</v>
      </c>
      <c r="BE362" s="27" t="s">
        <v>8</v>
      </c>
      <c r="BF362" s="27" t="s">
        <v>7</v>
      </c>
      <c r="BG362" s="27" t="s">
        <v>8</v>
      </c>
      <c r="BH362" s="27" t="s">
        <v>7</v>
      </c>
      <c r="BL362" s="27" t="s">
        <v>7</v>
      </c>
      <c r="CO362" s="27" t="s">
        <v>8</v>
      </c>
      <c r="DH362" s="27" t="s">
        <v>7</v>
      </c>
      <c r="DI362" s="27" t="s">
        <v>8</v>
      </c>
      <c r="DJ362" s="27" t="s">
        <v>7</v>
      </c>
      <c r="DK362" s="27" t="s">
        <v>8</v>
      </c>
      <c r="DL362" s="27" t="s">
        <v>7</v>
      </c>
      <c r="DM362" s="27" t="s">
        <v>8</v>
      </c>
      <c r="DN362" s="27" t="s">
        <v>7</v>
      </c>
      <c r="DP362" s="27" t="s">
        <v>7</v>
      </c>
      <c r="EK362" s="27" t="s">
        <v>8</v>
      </c>
      <c r="EL362" s="27" t="s">
        <v>7</v>
      </c>
      <c r="EM362" s="27" t="s">
        <v>8</v>
      </c>
      <c r="EN362" s="27" t="s">
        <v>7</v>
      </c>
      <c r="FC362" s="27" t="s">
        <v>8</v>
      </c>
      <c r="FD362" s="27" t="s">
        <v>7</v>
      </c>
      <c r="FE362" s="27" t="s">
        <v>8</v>
      </c>
      <c r="FH362" s="27" t="s">
        <v>7</v>
      </c>
      <c r="FI362" s="27" t="s">
        <v>8</v>
      </c>
      <c r="FJ362" s="27" t="s">
        <v>7</v>
      </c>
      <c r="FL362" s="27" t="s">
        <v>7</v>
      </c>
      <c r="FM362" s="27" t="s">
        <v>8</v>
      </c>
      <c r="FN362" s="27" t="s">
        <v>7</v>
      </c>
      <c r="GK362" s="27" t="s">
        <v>8</v>
      </c>
      <c r="GN362" s="27" t="s">
        <v>7</v>
      </c>
      <c r="GO362" s="27" t="s">
        <v>8</v>
      </c>
      <c r="HF362" s="27" t="s">
        <v>7</v>
      </c>
      <c r="HH362" s="27" t="s">
        <v>7</v>
      </c>
      <c r="HJ362" s="27" t="s">
        <v>7</v>
      </c>
      <c r="NZ362" s="27" t="s">
        <v>7</v>
      </c>
      <c r="OB362" s="27" t="s">
        <v>7</v>
      </c>
      <c r="OC362" s="27" t="s">
        <v>8</v>
      </c>
    </row>
    <row r="363" spans="1:394" x14ac:dyDescent="0.25">
      <c r="A363" s="7">
        <v>84.418663978799884</v>
      </c>
      <c r="B363"/>
      <c r="C363"/>
      <c r="D363"/>
      <c r="E363" t="s">
        <v>8</v>
      </c>
      <c r="BB363" s="27" t="s">
        <v>7</v>
      </c>
      <c r="BE363" s="27" t="s">
        <v>8</v>
      </c>
      <c r="BF363" s="27" t="s">
        <v>7</v>
      </c>
      <c r="BG363" s="27" t="s">
        <v>8</v>
      </c>
      <c r="BL363" s="27" t="s">
        <v>7</v>
      </c>
      <c r="CO363" s="27" t="s">
        <v>8</v>
      </c>
      <c r="DH363" s="27" t="s">
        <v>7</v>
      </c>
      <c r="DI363" s="27" t="s">
        <v>8</v>
      </c>
      <c r="DJ363" s="27" t="s">
        <v>7</v>
      </c>
      <c r="DL363" s="27" t="s">
        <v>7</v>
      </c>
      <c r="DP363" s="27" t="s">
        <v>7</v>
      </c>
      <c r="EE363" s="27" t="s">
        <v>8</v>
      </c>
      <c r="EK363" s="27" t="s">
        <v>8</v>
      </c>
      <c r="EL363" s="27" t="s">
        <v>7</v>
      </c>
      <c r="EM363" s="27" t="s">
        <v>8</v>
      </c>
      <c r="EN363" s="27" t="s">
        <v>7</v>
      </c>
      <c r="FA363" s="27" t="s">
        <v>8</v>
      </c>
      <c r="FC363" s="27" t="s">
        <v>8</v>
      </c>
      <c r="FD363" s="27" t="s">
        <v>7</v>
      </c>
      <c r="FH363" s="27" t="s">
        <v>7</v>
      </c>
      <c r="FL363" s="27" t="s">
        <v>7</v>
      </c>
      <c r="FM363" s="27" t="s">
        <v>8</v>
      </c>
      <c r="FN363" s="27" t="s">
        <v>7</v>
      </c>
      <c r="GK363" s="27" t="s">
        <v>8</v>
      </c>
      <c r="GN363" s="27" t="s">
        <v>7</v>
      </c>
      <c r="OB363" s="27" t="s">
        <v>7</v>
      </c>
      <c r="OC363" s="27" t="s">
        <v>8</v>
      </c>
    </row>
    <row r="364" spans="1:394" x14ac:dyDescent="0.25">
      <c r="A364" s="7">
        <v>82.763396057646943</v>
      </c>
      <c r="B364"/>
      <c r="C364"/>
      <c r="D364"/>
      <c r="E364" t="s">
        <v>8</v>
      </c>
      <c r="BB364" s="27" t="s">
        <v>7</v>
      </c>
      <c r="BC364" s="27" t="s">
        <v>8</v>
      </c>
      <c r="BE364" s="27" t="s">
        <v>8</v>
      </c>
      <c r="BF364" s="27" t="s">
        <v>7</v>
      </c>
      <c r="BL364" s="27" t="s">
        <v>7</v>
      </c>
      <c r="CO364" s="27" t="s">
        <v>8</v>
      </c>
      <c r="DH364" s="27" t="s">
        <v>7</v>
      </c>
      <c r="DI364" s="27" t="s">
        <v>8</v>
      </c>
      <c r="DP364" s="27" t="s">
        <v>7</v>
      </c>
      <c r="EE364" s="27" t="s">
        <v>8</v>
      </c>
      <c r="EF364" s="27" t="s">
        <v>7</v>
      </c>
      <c r="EI364" s="27" t="s">
        <v>8</v>
      </c>
      <c r="EK364" s="27" t="s">
        <v>8</v>
      </c>
      <c r="EL364" s="27" t="s">
        <v>7</v>
      </c>
      <c r="EM364" s="27" t="s">
        <v>8</v>
      </c>
      <c r="EN364" s="27" t="s">
        <v>7</v>
      </c>
      <c r="EO364" s="27" t="s">
        <v>8</v>
      </c>
      <c r="FA364" s="27" t="s">
        <v>8</v>
      </c>
      <c r="FB364" s="27" t="s">
        <v>7</v>
      </c>
      <c r="FC364" s="27" t="s">
        <v>8</v>
      </c>
      <c r="FL364" s="27" t="s">
        <v>7</v>
      </c>
      <c r="FN364" s="27" t="s">
        <v>7</v>
      </c>
      <c r="GI364" s="27" t="s">
        <v>8</v>
      </c>
      <c r="GK364" s="27" t="s">
        <v>8</v>
      </c>
      <c r="OB364" s="27" t="s">
        <v>7</v>
      </c>
      <c r="OC364" s="27" t="s">
        <v>8</v>
      </c>
    </row>
    <row r="365" spans="1:394" x14ac:dyDescent="0.25">
      <c r="A365" s="7">
        <v>81.140584370242095</v>
      </c>
      <c r="B365"/>
      <c r="C365"/>
      <c r="D365"/>
      <c r="E365" t="s">
        <v>8</v>
      </c>
      <c r="BB365" s="27" t="s">
        <v>7</v>
      </c>
      <c r="BC365" s="27" t="s">
        <v>8</v>
      </c>
      <c r="BD365" s="27" t="s">
        <v>7</v>
      </c>
      <c r="BE365" s="27" t="s">
        <v>8</v>
      </c>
      <c r="BL365" s="27" t="s">
        <v>7</v>
      </c>
      <c r="CO365" s="27" t="s">
        <v>8</v>
      </c>
      <c r="DH365" s="27" t="s">
        <v>7</v>
      </c>
      <c r="DI365" s="27" t="s">
        <v>8</v>
      </c>
      <c r="DP365" s="27" t="s">
        <v>7</v>
      </c>
      <c r="EE365" s="27" t="s">
        <v>8</v>
      </c>
      <c r="EF365" s="27" t="s">
        <v>7</v>
      </c>
      <c r="EI365" s="27" t="s">
        <v>8</v>
      </c>
      <c r="EJ365" s="27" t="s">
        <v>7</v>
      </c>
      <c r="EK365" s="27" t="s">
        <v>8</v>
      </c>
      <c r="EL365" s="27" t="s">
        <v>7</v>
      </c>
      <c r="EN365" s="27" t="s">
        <v>7</v>
      </c>
      <c r="EO365" s="27" t="s">
        <v>8</v>
      </c>
      <c r="EP365" s="27" t="s">
        <v>7</v>
      </c>
      <c r="ES365" s="27" t="s">
        <v>8</v>
      </c>
      <c r="FA365" s="27" t="s">
        <v>8</v>
      </c>
      <c r="FB365" s="27" t="s">
        <v>7</v>
      </c>
      <c r="FC365" s="27" t="s">
        <v>8</v>
      </c>
      <c r="FN365" s="27" t="s">
        <v>7</v>
      </c>
      <c r="GI365" s="27" t="s">
        <v>8</v>
      </c>
      <c r="GJ365" s="27" t="s">
        <v>7</v>
      </c>
      <c r="GK365" s="27" t="s">
        <v>8</v>
      </c>
      <c r="OB365" s="27" t="s">
        <v>7</v>
      </c>
    </row>
    <row r="366" spans="1:394" x14ac:dyDescent="0.25">
      <c r="A366" s="7">
        <v>79.549592519845191</v>
      </c>
      <c r="B366"/>
      <c r="C366"/>
      <c r="D366"/>
      <c r="E366" t="s">
        <v>8</v>
      </c>
      <c r="BB366" s="27" t="s">
        <v>7</v>
      </c>
      <c r="BC366" s="27" t="s">
        <v>8</v>
      </c>
      <c r="BD366" s="27" t="s">
        <v>7</v>
      </c>
      <c r="BE366" s="27" t="s">
        <v>8</v>
      </c>
      <c r="BL366" s="27" t="s">
        <v>7</v>
      </c>
      <c r="CO366" s="27" t="s">
        <v>8</v>
      </c>
      <c r="DH366" s="27" t="s">
        <v>7</v>
      </c>
      <c r="DP366" s="27" t="s">
        <v>7</v>
      </c>
      <c r="EE366" s="27" t="s">
        <v>8</v>
      </c>
      <c r="EF366" s="27" t="s">
        <v>7</v>
      </c>
      <c r="EI366" s="27" t="s">
        <v>8</v>
      </c>
      <c r="EJ366" s="27" t="s">
        <v>7</v>
      </c>
      <c r="EK366" s="27" t="s">
        <v>8</v>
      </c>
      <c r="EN366" s="27" t="s">
        <v>7</v>
      </c>
      <c r="EO366" s="27" t="s">
        <v>8</v>
      </c>
      <c r="EP366" s="27" t="s">
        <v>7</v>
      </c>
      <c r="ES366" s="27" t="s">
        <v>8</v>
      </c>
      <c r="ET366" s="27" t="s">
        <v>7</v>
      </c>
      <c r="FA366" s="27" t="s">
        <v>8</v>
      </c>
      <c r="FB366" s="27" t="s">
        <v>7</v>
      </c>
      <c r="FN366" s="27" t="s">
        <v>7</v>
      </c>
      <c r="FS366" s="27" t="s">
        <v>8</v>
      </c>
      <c r="GG366" s="27" t="s">
        <v>8</v>
      </c>
      <c r="GI366" s="27" t="s">
        <v>8</v>
      </c>
      <c r="GJ366" s="27" t="s">
        <v>7</v>
      </c>
      <c r="GK366" s="27" t="s">
        <v>8</v>
      </c>
    </row>
    <row r="367" spans="1:394" x14ac:dyDescent="0.25">
      <c r="A367" s="7">
        <v>77.989796588083522</v>
      </c>
      <c r="B367"/>
      <c r="C367"/>
      <c r="D367"/>
      <c r="E367" t="s">
        <v>8</v>
      </c>
      <c r="BB367" s="27" t="s">
        <v>7</v>
      </c>
      <c r="BD367" s="27" t="s">
        <v>7</v>
      </c>
      <c r="BL367" s="27" t="s">
        <v>7</v>
      </c>
      <c r="CO367" s="27" t="s">
        <v>8</v>
      </c>
      <c r="DP367" s="27" t="s">
        <v>7</v>
      </c>
      <c r="EE367" s="27" t="s">
        <v>8</v>
      </c>
      <c r="EF367" s="27" t="s">
        <v>7</v>
      </c>
      <c r="EG367" s="27" t="s">
        <v>8</v>
      </c>
      <c r="EI367" s="27" t="s">
        <v>8</v>
      </c>
      <c r="EJ367" s="27" t="s">
        <v>7</v>
      </c>
      <c r="EK367" s="27" t="s">
        <v>8</v>
      </c>
      <c r="EN367" s="27" t="s">
        <v>7</v>
      </c>
      <c r="EO367" s="27" t="s">
        <v>8</v>
      </c>
      <c r="EP367" s="27" t="s">
        <v>7</v>
      </c>
      <c r="EQ367" s="27" t="s">
        <v>8</v>
      </c>
      <c r="ES367" s="27" t="s">
        <v>8</v>
      </c>
      <c r="ET367" s="27" t="s">
        <v>7</v>
      </c>
      <c r="FA367" s="27" t="s">
        <v>8</v>
      </c>
      <c r="FN367" s="27" t="s">
        <v>7</v>
      </c>
      <c r="FQ367" s="27" t="s">
        <v>8</v>
      </c>
      <c r="FS367" s="27" t="s">
        <v>8</v>
      </c>
      <c r="FT367" s="27" t="s">
        <v>7</v>
      </c>
      <c r="FY367" s="27" t="s">
        <v>8</v>
      </c>
      <c r="GG367" s="27" t="s">
        <v>8</v>
      </c>
      <c r="GH367" s="27" t="s">
        <v>7</v>
      </c>
      <c r="GI367" s="27" t="s">
        <v>8</v>
      </c>
      <c r="GJ367" s="27" t="s">
        <v>7</v>
      </c>
    </row>
    <row r="368" spans="1:394" x14ac:dyDescent="0.25">
      <c r="A368" s="7">
        <v>76.460584890277957</v>
      </c>
      <c r="B368"/>
      <c r="C368"/>
      <c r="D368"/>
      <c r="E368" t="s">
        <v>8</v>
      </c>
      <c r="BL368" s="27" t="s">
        <v>7</v>
      </c>
      <c r="BY368" s="27" t="s">
        <v>8</v>
      </c>
      <c r="CO368" s="27" t="s">
        <v>8</v>
      </c>
      <c r="DP368" s="27" t="s">
        <v>7</v>
      </c>
      <c r="DU368" s="27" t="s">
        <v>8</v>
      </c>
      <c r="EE368" s="27" t="s">
        <v>8</v>
      </c>
      <c r="EF368" s="27" t="s">
        <v>7</v>
      </c>
      <c r="EG368" s="27" t="s">
        <v>8</v>
      </c>
      <c r="EH368" s="27" t="s">
        <v>7</v>
      </c>
      <c r="EI368" s="27" t="s">
        <v>8</v>
      </c>
      <c r="EJ368" s="27" t="s">
        <v>7</v>
      </c>
      <c r="EK368" s="27" t="s">
        <v>8</v>
      </c>
      <c r="EN368" s="27" t="s">
        <v>7</v>
      </c>
      <c r="EP368" s="27" t="s">
        <v>7</v>
      </c>
      <c r="EQ368" s="27" t="s">
        <v>8</v>
      </c>
      <c r="ER368" s="27" t="s">
        <v>7</v>
      </c>
      <c r="ES368" s="27" t="s">
        <v>8</v>
      </c>
      <c r="ET368" s="27" t="s">
        <v>7</v>
      </c>
      <c r="FA368" s="27" t="s">
        <v>8</v>
      </c>
      <c r="FN368" s="27" t="s">
        <v>7</v>
      </c>
      <c r="FQ368" s="27" t="s">
        <v>8</v>
      </c>
      <c r="FR368" s="27" t="s">
        <v>7</v>
      </c>
      <c r="FS368" s="27" t="s">
        <v>8</v>
      </c>
      <c r="FT368" s="27" t="s">
        <v>7</v>
      </c>
      <c r="FY368" s="27" t="s">
        <v>8</v>
      </c>
      <c r="FZ368" s="27" t="s">
        <v>7</v>
      </c>
      <c r="GA368" s="27" t="s">
        <v>8</v>
      </c>
      <c r="GG368" s="27" t="s">
        <v>8</v>
      </c>
      <c r="GH368" s="27" t="s">
        <v>7</v>
      </c>
      <c r="GI368" s="27" t="s">
        <v>8</v>
      </c>
    </row>
    <row r="369" spans="1:190" x14ac:dyDescent="0.25">
      <c r="A369" s="7">
        <v>74.961357735566622</v>
      </c>
      <c r="B369"/>
      <c r="C369"/>
      <c r="D369"/>
      <c r="E369" t="s">
        <v>8</v>
      </c>
      <c r="BL369" s="27" t="s">
        <v>7</v>
      </c>
      <c r="BM369" s="27" t="s">
        <v>8</v>
      </c>
      <c r="BY369" s="27" t="s">
        <v>8</v>
      </c>
      <c r="BZ369" s="27" t="s">
        <v>7</v>
      </c>
      <c r="CO369" s="27" t="s">
        <v>8</v>
      </c>
      <c r="DP369" s="27" t="s">
        <v>7</v>
      </c>
      <c r="DQ369" s="27" t="s">
        <v>8</v>
      </c>
      <c r="DU369" s="27" t="s">
        <v>8</v>
      </c>
      <c r="DV369" s="27" t="s">
        <v>7</v>
      </c>
      <c r="EE369" s="27" t="s">
        <v>8</v>
      </c>
      <c r="EF369" s="27" t="s">
        <v>7</v>
      </c>
      <c r="EG369" s="27" t="s">
        <v>8</v>
      </c>
      <c r="EH369" s="27" t="s">
        <v>7</v>
      </c>
      <c r="EI369" s="27" t="s">
        <v>8</v>
      </c>
      <c r="EJ369" s="27" t="s">
        <v>7</v>
      </c>
      <c r="EK369" s="27" t="s">
        <v>8</v>
      </c>
      <c r="EP369" s="27" t="s">
        <v>7</v>
      </c>
      <c r="EQ369" s="27" t="s">
        <v>8</v>
      </c>
      <c r="ER369" s="27" t="s">
        <v>7</v>
      </c>
      <c r="ES369" s="27" t="s">
        <v>8</v>
      </c>
      <c r="ET369" s="27" t="s">
        <v>7</v>
      </c>
      <c r="EW369" s="27" t="s">
        <v>8</v>
      </c>
      <c r="EY369" s="27" t="s">
        <v>8</v>
      </c>
      <c r="FA369" s="27" t="s">
        <v>8</v>
      </c>
      <c r="FN369" s="27" t="s">
        <v>7</v>
      </c>
      <c r="FQ369" s="27" t="s">
        <v>8</v>
      </c>
      <c r="FR369" s="27" t="s">
        <v>7</v>
      </c>
      <c r="FS369" s="27" t="s">
        <v>8</v>
      </c>
      <c r="FT369" s="27" t="s">
        <v>7</v>
      </c>
      <c r="FY369" s="27" t="s">
        <v>8</v>
      </c>
      <c r="FZ369" s="27" t="s">
        <v>7</v>
      </c>
      <c r="GA369" s="27" t="s">
        <v>8</v>
      </c>
      <c r="GB369" s="27" t="s">
        <v>7</v>
      </c>
      <c r="GG369" s="27" t="s">
        <v>8</v>
      </c>
      <c r="GH369" s="27" t="s">
        <v>7</v>
      </c>
    </row>
    <row r="370" spans="1:190" x14ac:dyDescent="0.25">
      <c r="A370" s="7">
        <v>73.491527191731976</v>
      </c>
      <c r="B370"/>
      <c r="C370"/>
      <c r="D370"/>
      <c r="E370" t="s">
        <v>8</v>
      </c>
      <c r="BL370" s="27" t="s">
        <v>7</v>
      </c>
      <c r="BM370" s="27" t="s">
        <v>8</v>
      </c>
      <c r="BN370" s="27" t="s">
        <v>7</v>
      </c>
      <c r="BS370" s="27" t="s">
        <v>8</v>
      </c>
      <c r="BW370" s="27" t="s">
        <v>8</v>
      </c>
      <c r="BY370" s="27" t="s">
        <v>8</v>
      </c>
      <c r="BZ370" s="27" t="s">
        <v>7</v>
      </c>
      <c r="CO370" s="27" t="s">
        <v>8</v>
      </c>
      <c r="DP370" s="27" t="s">
        <v>7</v>
      </c>
      <c r="DQ370" s="27" t="s">
        <v>8</v>
      </c>
      <c r="DR370" s="27" t="s">
        <v>7</v>
      </c>
      <c r="DU370" s="27" t="s">
        <v>8</v>
      </c>
      <c r="DV370" s="27" t="s">
        <v>7</v>
      </c>
      <c r="EE370" s="27" t="s">
        <v>8</v>
      </c>
      <c r="EF370" s="27" t="s">
        <v>7</v>
      </c>
      <c r="EG370" s="27" t="s">
        <v>8</v>
      </c>
      <c r="EH370" s="27" t="s">
        <v>7</v>
      </c>
      <c r="EI370" s="27" t="s">
        <v>8</v>
      </c>
      <c r="EJ370" s="27" t="s">
        <v>7</v>
      </c>
      <c r="EP370" s="27" t="s">
        <v>7</v>
      </c>
      <c r="EQ370" s="27" t="s">
        <v>8</v>
      </c>
      <c r="ER370" s="27" t="s">
        <v>7</v>
      </c>
      <c r="ES370" s="27" t="s">
        <v>8</v>
      </c>
      <c r="ET370" s="27" t="s">
        <v>7</v>
      </c>
      <c r="EU370" s="27" t="s">
        <v>8</v>
      </c>
      <c r="EW370" s="27" t="s">
        <v>8</v>
      </c>
      <c r="EX370" s="27" t="s">
        <v>7</v>
      </c>
      <c r="EY370" s="27" t="s">
        <v>8</v>
      </c>
      <c r="EZ370" s="27" t="s">
        <v>7</v>
      </c>
      <c r="FA370" s="27" t="s">
        <v>8</v>
      </c>
      <c r="FN370" s="27" t="s">
        <v>7</v>
      </c>
      <c r="FO370" s="27" t="s">
        <v>8</v>
      </c>
      <c r="FQ370" s="27" t="s">
        <v>8</v>
      </c>
      <c r="FR370" s="27" t="s">
        <v>7</v>
      </c>
      <c r="FS370" s="27" t="s">
        <v>8</v>
      </c>
      <c r="FT370" s="27" t="s">
        <v>7</v>
      </c>
      <c r="FW370" s="27" t="s">
        <v>8</v>
      </c>
      <c r="FY370" s="27" t="s">
        <v>8</v>
      </c>
      <c r="FZ370" s="27" t="s">
        <v>7</v>
      </c>
      <c r="GA370" s="27" t="s">
        <v>8</v>
      </c>
      <c r="GB370" s="27" t="s">
        <v>7</v>
      </c>
      <c r="GG370" s="27" t="s">
        <v>8</v>
      </c>
    </row>
    <row r="371" spans="1:190" x14ac:dyDescent="0.25">
      <c r="A371" s="7">
        <v>72.050516854639184</v>
      </c>
      <c r="B371"/>
      <c r="C371"/>
      <c r="D371"/>
      <c r="E371" t="s">
        <v>8</v>
      </c>
      <c r="BL371" s="27" t="s">
        <v>7</v>
      </c>
      <c r="BM371" s="27" t="s">
        <v>8</v>
      </c>
      <c r="BN371" s="27" t="s">
        <v>7</v>
      </c>
      <c r="BO371" s="27" t="s">
        <v>8</v>
      </c>
      <c r="BQ371" s="27" t="s">
        <v>8</v>
      </c>
      <c r="BS371" s="27" t="s">
        <v>8</v>
      </c>
      <c r="BT371" s="27" t="s">
        <v>7</v>
      </c>
      <c r="BW371" s="27" t="s">
        <v>8</v>
      </c>
      <c r="BX371" s="27" t="s">
        <v>7</v>
      </c>
      <c r="BY371" s="27" t="s">
        <v>8</v>
      </c>
      <c r="BZ371" s="27" t="s">
        <v>7</v>
      </c>
      <c r="CA371" s="27" t="s">
        <v>8</v>
      </c>
      <c r="CO371" s="27" t="s">
        <v>8</v>
      </c>
      <c r="DP371" s="27" t="s">
        <v>7</v>
      </c>
      <c r="DQ371" s="27" t="s">
        <v>8</v>
      </c>
      <c r="DR371" s="27" t="s">
        <v>7</v>
      </c>
      <c r="DU371" s="27" t="s">
        <v>8</v>
      </c>
      <c r="DV371" s="27" t="s">
        <v>7</v>
      </c>
      <c r="DY371" s="27" t="s">
        <v>8</v>
      </c>
      <c r="EE371" s="27" t="s">
        <v>8</v>
      </c>
      <c r="EF371" s="27" t="s">
        <v>7</v>
      </c>
      <c r="EG371" s="27" t="s">
        <v>8</v>
      </c>
      <c r="EH371" s="27" t="s">
        <v>7</v>
      </c>
      <c r="EI371" s="27" t="s">
        <v>8</v>
      </c>
      <c r="EP371" s="27" t="s">
        <v>7</v>
      </c>
      <c r="EQ371" s="27" t="s">
        <v>8</v>
      </c>
      <c r="ER371" s="27" t="s">
        <v>7</v>
      </c>
      <c r="ET371" s="27" t="s">
        <v>7</v>
      </c>
      <c r="EU371" s="27" t="s">
        <v>8</v>
      </c>
      <c r="EV371" s="27" t="s">
        <v>7</v>
      </c>
      <c r="EW371" s="27" t="s">
        <v>8</v>
      </c>
      <c r="EX371" s="27" t="s">
        <v>7</v>
      </c>
      <c r="EY371" s="27" t="s">
        <v>8</v>
      </c>
      <c r="EZ371" s="27" t="s">
        <v>7</v>
      </c>
      <c r="FA371" s="27" t="s">
        <v>8</v>
      </c>
      <c r="FN371" s="27" t="s">
        <v>7</v>
      </c>
      <c r="FO371" s="27" t="s">
        <v>8</v>
      </c>
      <c r="FP371" s="27" t="s">
        <v>7</v>
      </c>
      <c r="FQ371" s="27" t="s">
        <v>8</v>
      </c>
      <c r="FR371" s="27" t="s">
        <v>7</v>
      </c>
      <c r="FS371" s="27" t="s">
        <v>8</v>
      </c>
      <c r="FT371" s="27" t="s">
        <v>7</v>
      </c>
      <c r="FW371" s="27" t="s">
        <v>8</v>
      </c>
      <c r="FX371" s="27" t="s">
        <v>7</v>
      </c>
      <c r="FY371" s="27" t="s">
        <v>8</v>
      </c>
      <c r="FZ371" s="27" t="s">
        <v>7</v>
      </c>
      <c r="GA371" s="27" t="s">
        <v>8</v>
      </c>
      <c r="GB371" s="27" t="s">
        <v>7</v>
      </c>
      <c r="GC371" s="27" t="s">
        <v>8</v>
      </c>
      <c r="GE371" s="27" t="s">
        <v>8</v>
      </c>
      <c r="GG371" s="27" t="s">
        <v>8</v>
      </c>
    </row>
    <row r="372" spans="1:190" x14ac:dyDescent="0.25">
      <c r="A372" s="7">
        <v>70.637761622195271</v>
      </c>
      <c r="B372"/>
      <c r="C372"/>
      <c r="D372"/>
      <c r="E372" t="s">
        <v>8</v>
      </c>
      <c r="BL372" s="27" t="s">
        <v>7</v>
      </c>
      <c r="BM372" s="27" t="s">
        <v>8</v>
      </c>
      <c r="BN372" s="27" t="s">
        <v>7</v>
      </c>
      <c r="BO372" s="27" t="s">
        <v>8</v>
      </c>
      <c r="BP372" s="27" t="s">
        <v>7</v>
      </c>
      <c r="BQ372" s="27" t="s">
        <v>8</v>
      </c>
      <c r="BR372" s="27" t="s">
        <v>7</v>
      </c>
      <c r="BS372" s="27" t="s">
        <v>8</v>
      </c>
      <c r="BT372" s="27" t="s">
        <v>7</v>
      </c>
      <c r="BW372" s="27" t="s">
        <v>8</v>
      </c>
      <c r="BX372" s="27" t="s">
        <v>7</v>
      </c>
      <c r="BY372" s="27" t="s">
        <v>8</v>
      </c>
      <c r="BZ372" s="27" t="s">
        <v>7</v>
      </c>
      <c r="CA372" s="27" t="s">
        <v>8</v>
      </c>
      <c r="CB372" s="27" t="s">
        <v>7</v>
      </c>
      <c r="CO372" s="27" t="s">
        <v>8</v>
      </c>
      <c r="DP372" s="27" t="s">
        <v>7</v>
      </c>
      <c r="DQ372" s="27" t="s">
        <v>8</v>
      </c>
      <c r="DR372" s="27" t="s">
        <v>7</v>
      </c>
      <c r="DU372" s="27" t="s">
        <v>8</v>
      </c>
      <c r="DV372" s="27" t="s">
        <v>7</v>
      </c>
      <c r="DW372" s="27" t="s">
        <v>8</v>
      </c>
      <c r="DY372" s="27" t="s">
        <v>8</v>
      </c>
      <c r="DZ372" s="27" t="s">
        <v>7</v>
      </c>
      <c r="EC372" s="27" t="s">
        <v>8</v>
      </c>
      <c r="EE372" s="27" t="s">
        <v>8</v>
      </c>
      <c r="EF372" s="27" t="s">
        <v>7</v>
      </c>
      <c r="EH372" s="27" t="s">
        <v>7</v>
      </c>
      <c r="EI372" s="27" t="s">
        <v>8</v>
      </c>
      <c r="EP372" s="27" t="s">
        <v>7</v>
      </c>
      <c r="EQ372" s="27" t="s">
        <v>8</v>
      </c>
      <c r="ET372" s="27" t="s">
        <v>7</v>
      </c>
      <c r="EU372" s="27" t="s">
        <v>8</v>
      </c>
      <c r="EV372" s="27" t="s">
        <v>7</v>
      </c>
      <c r="EW372" s="27" t="s">
        <v>8</v>
      </c>
      <c r="EX372" s="27" t="s">
        <v>7</v>
      </c>
      <c r="EY372" s="27" t="s">
        <v>8</v>
      </c>
      <c r="EZ372" s="27" t="s">
        <v>7</v>
      </c>
      <c r="FA372" s="27" t="s">
        <v>8</v>
      </c>
      <c r="FN372" s="27" t="s">
        <v>7</v>
      </c>
      <c r="FO372" s="27" t="s">
        <v>8</v>
      </c>
      <c r="FP372" s="27" t="s">
        <v>7</v>
      </c>
      <c r="FQ372" s="27" t="s">
        <v>8</v>
      </c>
      <c r="FR372" s="27" t="s">
        <v>7</v>
      </c>
      <c r="FT372" s="27" t="s">
        <v>7</v>
      </c>
      <c r="FU372" s="27" t="s">
        <v>8</v>
      </c>
      <c r="FW372" s="27" t="s">
        <v>8</v>
      </c>
      <c r="FX372" s="27" t="s">
        <v>7</v>
      </c>
      <c r="FY372" s="27" t="s">
        <v>8</v>
      </c>
      <c r="FZ372" s="27" t="s">
        <v>7</v>
      </c>
      <c r="GB372" s="27" t="s">
        <v>7</v>
      </c>
      <c r="GC372" s="27" t="s">
        <v>8</v>
      </c>
      <c r="GD372" s="27" t="s">
        <v>7</v>
      </c>
      <c r="GE372" s="27" t="s">
        <v>8</v>
      </c>
      <c r="GF372" s="27" t="s">
        <v>7</v>
      </c>
      <c r="GG372" s="27" t="s">
        <v>8</v>
      </c>
    </row>
    <row r="373" spans="1:190" x14ac:dyDescent="0.25">
      <c r="A373" s="7">
        <v>69.252707472740454</v>
      </c>
      <c r="B373"/>
      <c r="C373"/>
      <c r="D373"/>
      <c r="E373" t="s">
        <v>8</v>
      </c>
      <c r="BL373" s="27" t="s">
        <v>7</v>
      </c>
      <c r="BM373" s="27" t="s">
        <v>8</v>
      </c>
      <c r="BN373" s="27" t="s">
        <v>7</v>
      </c>
      <c r="BO373" s="27" t="s">
        <v>8</v>
      </c>
      <c r="BP373" s="27" t="s">
        <v>7</v>
      </c>
      <c r="BQ373" s="27" t="s">
        <v>8</v>
      </c>
      <c r="BR373" s="27" t="s">
        <v>7</v>
      </c>
      <c r="BS373" s="27" t="s">
        <v>8</v>
      </c>
      <c r="BT373" s="27" t="s">
        <v>7</v>
      </c>
      <c r="BW373" s="27" t="s">
        <v>8</v>
      </c>
      <c r="BX373" s="27" t="s">
        <v>7</v>
      </c>
      <c r="BZ373" s="27" t="s">
        <v>7</v>
      </c>
      <c r="CA373" s="27" t="s">
        <v>8</v>
      </c>
      <c r="CB373" s="27" t="s">
        <v>7</v>
      </c>
      <c r="CO373" s="27" t="s">
        <v>8</v>
      </c>
      <c r="DP373" s="27" t="s">
        <v>7</v>
      </c>
      <c r="DQ373" s="27" t="s">
        <v>8</v>
      </c>
      <c r="DR373" s="27" t="s">
        <v>7</v>
      </c>
      <c r="DU373" s="27" t="s">
        <v>8</v>
      </c>
      <c r="DV373" s="27" t="s">
        <v>7</v>
      </c>
      <c r="DW373" s="27" t="s">
        <v>8</v>
      </c>
      <c r="DX373" s="27" t="s">
        <v>7</v>
      </c>
      <c r="DY373" s="27" t="s">
        <v>8</v>
      </c>
      <c r="DZ373" s="27" t="s">
        <v>7</v>
      </c>
      <c r="EC373" s="27" t="s">
        <v>8</v>
      </c>
      <c r="ED373" s="27" t="s">
        <v>7</v>
      </c>
      <c r="EE373" s="27" t="s">
        <v>8</v>
      </c>
      <c r="EH373" s="27" t="s">
        <v>7</v>
      </c>
      <c r="EI373" s="27" t="s">
        <v>8</v>
      </c>
      <c r="EP373" s="27" t="s">
        <v>7</v>
      </c>
      <c r="EQ373" s="27" t="s">
        <v>8</v>
      </c>
      <c r="ET373" s="27" t="s">
        <v>7</v>
      </c>
      <c r="EV373" s="27" t="s">
        <v>7</v>
      </c>
      <c r="EX373" s="27" t="s">
        <v>7</v>
      </c>
      <c r="EY373" s="27" t="s">
        <v>8</v>
      </c>
      <c r="EZ373" s="27" t="s">
        <v>7</v>
      </c>
      <c r="FN373" s="27" t="s">
        <v>7</v>
      </c>
      <c r="FO373" s="27" t="s">
        <v>8</v>
      </c>
      <c r="FP373" s="27" t="s">
        <v>7</v>
      </c>
      <c r="FQ373" s="27" t="s">
        <v>8</v>
      </c>
      <c r="FT373" s="27" t="s">
        <v>7</v>
      </c>
      <c r="FU373" s="27" t="s">
        <v>8</v>
      </c>
      <c r="FV373" s="27" t="s">
        <v>7</v>
      </c>
      <c r="FW373" s="27" t="s">
        <v>8</v>
      </c>
      <c r="FX373" s="27" t="s">
        <v>7</v>
      </c>
      <c r="FY373" s="27" t="s">
        <v>8</v>
      </c>
      <c r="GB373" s="27" t="s">
        <v>7</v>
      </c>
      <c r="GC373" s="27" t="s">
        <v>8</v>
      </c>
      <c r="GD373" s="27" t="s">
        <v>7</v>
      </c>
      <c r="GE373" s="27" t="s">
        <v>8</v>
      </c>
      <c r="GF373" s="27" t="s">
        <v>7</v>
      </c>
      <c r="GG373" s="27" t="s">
        <v>8</v>
      </c>
    </row>
    <row r="374" spans="1:190" x14ac:dyDescent="0.25">
      <c r="A374" s="7">
        <v>67.894811247784759</v>
      </c>
      <c r="B374"/>
      <c r="C374"/>
      <c r="D374"/>
      <c r="E374" t="s">
        <v>8</v>
      </c>
      <c r="BL374" s="27" t="s">
        <v>7</v>
      </c>
      <c r="BN374" s="27" t="s">
        <v>7</v>
      </c>
      <c r="BO374" s="27" t="s">
        <v>8</v>
      </c>
      <c r="BP374" s="27" t="s">
        <v>7</v>
      </c>
      <c r="BQ374" s="27" t="s">
        <v>8</v>
      </c>
      <c r="BR374" s="27" t="s">
        <v>7</v>
      </c>
      <c r="BT374" s="27" t="s">
        <v>7</v>
      </c>
      <c r="BW374" s="27" t="s">
        <v>8</v>
      </c>
      <c r="BZ374" s="27" t="s">
        <v>7</v>
      </c>
      <c r="CB374" s="27" t="s">
        <v>7</v>
      </c>
      <c r="CO374" s="27" t="s">
        <v>8</v>
      </c>
      <c r="DP374" s="27" t="s">
        <v>7</v>
      </c>
      <c r="DR374" s="27" t="s">
        <v>7</v>
      </c>
      <c r="DU374" s="27" t="s">
        <v>8</v>
      </c>
      <c r="DV374" s="27" t="s">
        <v>7</v>
      </c>
      <c r="DW374" s="27" t="s">
        <v>8</v>
      </c>
      <c r="DX374" s="27" t="s">
        <v>7</v>
      </c>
      <c r="DY374" s="27" t="s">
        <v>8</v>
      </c>
      <c r="DZ374" s="27" t="s">
        <v>7</v>
      </c>
      <c r="EC374" s="27" t="s">
        <v>8</v>
      </c>
      <c r="ED374" s="27" t="s">
        <v>7</v>
      </c>
      <c r="EE374" s="27" t="s">
        <v>8</v>
      </c>
      <c r="EH374" s="27" t="s">
        <v>7</v>
      </c>
      <c r="EP374" s="27" t="s">
        <v>7</v>
      </c>
      <c r="EQ374" s="27" t="s">
        <v>8</v>
      </c>
      <c r="EX374" s="27" t="s">
        <v>7</v>
      </c>
      <c r="EY374" s="27" t="s">
        <v>8</v>
      </c>
      <c r="FN374" s="27" t="s">
        <v>7</v>
      </c>
      <c r="FO374" s="27" t="s">
        <v>8</v>
      </c>
      <c r="FP374" s="27" t="s">
        <v>7</v>
      </c>
      <c r="FQ374" s="27" t="s">
        <v>8</v>
      </c>
      <c r="FT374" s="27" t="s">
        <v>7</v>
      </c>
      <c r="FU374" s="27" t="s">
        <v>8</v>
      </c>
      <c r="FV374" s="27" t="s">
        <v>7</v>
      </c>
      <c r="FW374" s="27" t="s">
        <v>8</v>
      </c>
      <c r="FX374" s="27" t="s">
        <v>7</v>
      </c>
      <c r="FY374" s="27" t="s">
        <v>8</v>
      </c>
      <c r="GB374" s="27" t="s">
        <v>7</v>
      </c>
      <c r="GC374" s="27" t="s">
        <v>8</v>
      </c>
      <c r="GD374" s="27" t="s">
        <v>7</v>
      </c>
      <c r="GE374" s="27" t="s">
        <v>8</v>
      </c>
      <c r="GF374" s="27" t="s">
        <v>7</v>
      </c>
      <c r="GG374" s="27" t="s">
        <v>8</v>
      </c>
    </row>
    <row r="375" spans="1:190" x14ac:dyDescent="0.25">
      <c r="A375" s="7">
        <v>66.563540439004669</v>
      </c>
      <c r="B375"/>
      <c r="C375"/>
      <c r="D375"/>
      <c r="E375" t="s">
        <v>8</v>
      </c>
      <c r="BN375" s="27" t="s">
        <v>7</v>
      </c>
      <c r="BP375" s="27" t="s">
        <v>7</v>
      </c>
      <c r="BT375" s="27" t="s">
        <v>7</v>
      </c>
      <c r="BU375" s="27" t="s">
        <v>8</v>
      </c>
      <c r="BW375" s="27" t="s">
        <v>8</v>
      </c>
      <c r="CB375" s="27" t="s">
        <v>7</v>
      </c>
      <c r="CO375" s="27" t="s">
        <v>8</v>
      </c>
      <c r="DR375" s="27" t="s">
        <v>7</v>
      </c>
      <c r="DU375" s="27" t="s">
        <v>8</v>
      </c>
      <c r="DV375" s="27" t="s">
        <v>7</v>
      </c>
      <c r="DW375" s="27" t="s">
        <v>8</v>
      </c>
      <c r="DX375" s="27" t="s">
        <v>7</v>
      </c>
      <c r="DZ375" s="27" t="s">
        <v>7</v>
      </c>
      <c r="EA375" s="27" t="s">
        <v>8</v>
      </c>
      <c r="EC375" s="27" t="s">
        <v>8</v>
      </c>
      <c r="ED375" s="27" t="s">
        <v>7</v>
      </c>
      <c r="EP375" s="27" t="s">
        <v>7</v>
      </c>
      <c r="EX375" s="27" t="s">
        <v>7</v>
      </c>
      <c r="EY375" s="27" t="s">
        <v>8</v>
      </c>
      <c r="FN375" s="27" t="s">
        <v>7</v>
      </c>
      <c r="FO375" s="27" t="s">
        <v>8</v>
      </c>
      <c r="FP375" s="27" t="s">
        <v>7</v>
      </c>
      <c r="FQ375" s="27" t="s">
        <v>8</v>
      </c>
      <c r="FT375" s="27" t="s">
        <v>7</v>
      </c>
      <c r="FU375" s="27" t="s">
        <v>8</v>
      </c>
      <c r="FV375" s="27" t="s">
        <v>7</v>
      </c>
      <c r="FW375" s="27" t="s">
        <v>8</v>
      </c>
      <c r="FX375" s="27" t="s">
        <v>7</v>
      </c>
      <c r="FY375" s="27" t="s">
        <v>8</v>
      </c>
      <c r="GB375" s="27" t="s">
        <v>7</v>
      </c>
      <c r="GC375" s="27" t="s">
        <v>8</v>
      </c>
      <c r="GD375" s="27" t="s">
        <v>7</v>
      </c>
      <c r="GE375" s="27" t="s">
        <v>8</v>
      </c>
      <c r="GF375" s="27" t="s">
        <v>7</v>
      </c>
    </row>
    <row r="376" spans="1:190" x14ac:dyDescent="0.25">
      <c r="A376" s="7">
        <v>65.258372979416336</v>
      </c>
      <c r="B376"/>
      <c r="C376"/>
      <c r="D376"/>
      <c r="E376" t="s">
        <v>8</v>
      </c>
      <c r="BT376" s="27" t="s">
        <v>7</v>
      </c>
      <c r="BU376" s="27" t="s">
        <v>8</v>
      </c>
      <c r="BV376" s="27" t="s">
        <v>7</v>
      </c>
      <c r="BW376" s="27" t="s">
        <v>8</v>
      </c>
      <c r="CB376" s="27" t="s">
        <v>7</v>
      </c>
      <c r="CO376" s="27" t="s">
        <v>8</v>
      </c>
      <c r="DR376" s="27" t="s">
        <v>7</v>
      </c>
      <c r="DU376" s="27" t="s">
        <v>8</v>
      </c>
      <c r="DV376" s="27" t="s">
        <v>7</v>
      </c>
      <c r="DW376" s="27" t="s">
        <v>8</v>
      </c>
      <c r="DZ376" s="27" t="s">
        <v>7</v>
      </c>
      <c r="EA376" s="27" t="s">
        <v>8</v>
      </c>
      <c r="EB376" s="27" t="s">
        <v>7</v>
      </c>
      <c r="EC376" s="27" t="s">
        <v>8</v>
      </c>
      <c r="EX376" s="27" t="s">
        <v>7</v>
      </c>
      <c r="FN376" s="27" t="s">
        <v>7</v>
      </c>
      <c r="FO376" s="27" t="s">
        <v>8</v>
      </c>
      <c r="FP376" s="27" t="s">
        <v>7</v>
      </c>
      <c r="FT376" s="27" t="s">
        <v>7</v>
      </c>
      <c r="FV376" s="27" t="s">
        <v>7</v>
      </c>
      <c r="FW376" s="27" t="s">
        <v>8</v>
      </c>
      <c r="FX376" s="27" t="s">
        <v>7</v>
      </c>
      <c r="GB376" s="27" t="s">
        <v>7</v>
      </c>
      <c r="GD376" s="27" t="s">
        <v>7</v>
      </c>
      <c r="GE376" s="27" t="s">
        <v>8</v>
      </c>
    </row>
    <row r="377" spans="1:190" x14ac:dyDescent="0.25">
      <c r="A377" s="7">
        <v>63.978797038643471</v>
      </c>
      <c r="B377"/>
      <c r="C377"/>
      <c r="D377"/>
      <c r="E377" t="s">
        <v>8</v>
      </c>
      <c r="BT377" s="27" t="s">
        <v>7</v>
      </c>
      <c r="BU377" s="27" t="s">
        <v>8</v>
      </c>
      <c r="BV377" s="27" t="s">
        <v>7</v>
      </c>
      <c r="BW377" s="27" t="s">
        <v>8</v>
      </c>
      <c r="CB377" s="27" t="s">
        <v>7</v>
      </c>
      <c r="CO377" s="27" t="s">
        <v>8</v>
      </c>
      <c r="DR377" s="27" t="s">
        <v>7</v>
      </c>
      <c r="DU377" s="27" t="s">
        <v>8</v>
      </c>
      <c r="DV377" s="27" t="s">
        <v>7</v>
      </c>
      <c r="DW377" s="27" t="s">
        <v>8</v>
      </c>
      <c r="DZ377" s="27" t="s">
        <v>7</v>
      </c>
      <c r="EA377" s="27" t="s">
        <v>8</v>
      </c>
      <c r="EB377" s="27" t="s">
        <v>7</v>
      </c>
      <c r="EC377" s="27" t="s">
        <v>8</v>
      </c>
      <c r="FN377" s="27" t="s">
        <v>7</v>
      </c>
      <c r="FO377" s="27" t="s">
        <v>8</v>
      </c>
      <c r="FV377" s="27" t="s">
        <v>7</v>
      </c>
      <c r="GD377" s="27" t="s">
        <v>7</v>
      </c>
      <c r="GE377" s="27" t="s">
        <v>8</v>
      </c>
    </row>
    <row r="378" spans="1:190" x14ac:dyDescent="0.25">
      <c r="A378" s="7">
        <v>62.724310822199477</v>
      </c>
      <c r="B378"/>
      <c r="C378"/>
      <c r="D378"/>
      <c r="E378" t="s">
        <v>8</v>
      </c>
      <c r="BT378" s="27" t="s">
        <v>7</v>
      </c>
      <c r="BU378" s="27" t="s">
        <v>8</v>
      </c>
      <c r="BV378" s="27" t="s">
        <v>7</v>
      </c>
      <c r="BW378" s="27" t="s">
        <v>8</v>
      </c>
      <c r="CB378" s="27" t="s">
        <v>7</v>
      </c>
      <c r="CO378" s="27" t="s">
        <v>8</v>
      </c>
      <c r="DR378" s="27" t="s">
        <v>7</v>
      </c>
      <c r="DU378" s="27" t="s">
        <v>8</v>
      </c>
      <c r="DV378" s="27" t="s">
        <v>7</v>
      </c>
      <c r="DW378" s="27" t="s">
        <v>8</v>
      </c>
      <c r="DZ378" s="27" t="s">
        <v>7</v>
      </c>
      <c r="EA378" s="27" t="s">
        <v>8</v>
      </c>
      <c r="EB378" s="27" t="s">
        <v>7</v>
      </c>
      <c r="FN378" s="27" t="s">
        <v>7</v>
      </c>
      <c r="GD378" s="27" t="s">
        <v>7</v>
      </c>
    </row>
    <row r="379" spans="1:190" x14ac:dyDescent="0.25">
      <c r="A379" s="7">
        <v>61.494422374705366</v>
      </c>
      <c r="B379"/>
      <c r="C379"/>
      <c r="D379"/>
      <c r="E379" t="s">
        <v>8</v>
      </c>
      <c r="BT379" s="27" t="s">
        <v>7</v>
      </c>
      <c r="BU379" s="27" t="s">
        <v>8</v>
      </c>
      <c r="BV379" s="27" t="s">
        <v>7</v>
      </c>
      <c r="CB379" s="27" t="s">
        <v>7</v>
      </c>
      <c r="CO379" s="27" t="s">
        <v>8</v>
      </c>
      <c r="DR379" s="27" t="s">
        <v>7</v>
      </c>
      <c r="DU379" s="27" t="s">
        <v>8</v>
      </c>
      <c r="DV379" s="27" t="s">
        <v>7</v>
      </c>
      <c r="DZ379" s="27" t="s">
        <v>7</v>
      </c>
    </row>
    <row r="380" spans="1:190" x14ac:dyDescent="0.25">
      <c r="A380" s="7">
        <v>60.288649386966043</v>
      </c>
      <c r="B380"/>
      <c r="C380"/>
      <c r="D380"/>
      <c r="E380" t="s">
        <v>8</v>
      </c>
      <c r="BT380" s="27" t="s">
        <v>7</v>
      </c>
      <c r="BU380" s="27" t="s">
        <v>8</v>
      </c>
      <c r="CB380" s="27" t="s">
        <v>7</v>
      </c>
      <c r="CO380" s="27" t="s">
        <v>8</v>
      </c>
      <c r="DR380" s="27" t="s">
        <v>7</v>
      </c>
      <c r="DU380" s="27" t="s">
        <v>8</v>
      </c>
    </row>
    <row r="381" spans="1:190" x14ac:dyDescent="0.25">
      <c r="A381" s="7">
        <v>59.106519006829451</v>
      </c>
      <c r="B381"/>
      <c r="C381"/>
      <c r="D381"/>
      <c r="E381" t="s">
        <v>8</v>
      </c>
      <c r="BT381" s="27" t="s">
        <v>7</v>
      </c>
      <c r="CB381" s="27" t="s">
        <v>7</v>
      </c>
      <c r="CC381" s="27" t="s">
        <v>8</v>
      </c>
      <c r="CO381" s="27" t="s">
        <v>8</v>
      </c>
      <c r="DR381" s="27" t="s">
        <v>7</v>
      </c>
      <c r="DU381" s="27" t="s">
        <v>8</v>
      </c>
    </row>
    <row r="382" spans="1:190" x14ac:dyDescent="0.25">
      <c r="A382" s="7">
        <v>57.947567653754362</v>
      </c>
      <c r="B382"/>
      <c r="C382"/>
      <c r="D382"/>
      <c r="E382" t="s">
        <v>8</v>
      </c>
      <c r="CB382" s="27" t="s">
        <v>7</v>
      </c>
      <c r="CC382" s="27" t="s">
        <v>8</v>
      </c>
      <c r="CD382" s="27" t="s">
        <v>7</v>
      </c>
      <c r="CO382" s="27" t="s">
        <v>8</v>
      </c>
      <c r="DR382" s="27" t="s">
        <v>7</v>
      </c>
      <c r="DU382" s="27" t="s">
        <v>8</v>
      </c>
    </row>
    <row r="383" spans="1:190" x14ac:dyDescent="0.25">
      <c r="A383" s="7">
        <v>56.811340837014079</v>
      </c>
      <c r="B383"/>
      <c r="C383"/>
      <c r="D383"/>
      <c r="E383" t="s">
        <v>8</v>
      </c>
      <c r="CB383" s="27" t="s">
        <v>7</v>
      </c>
      <c r="CC383" s="27" t="s">
        <v>8</v>
      </c>
      <c r="CD383" s="27" t="s">
        <v>7</v>
      </c>
      <c r="CM383" s="27" t="s">
        <v>8</v>
      </c>
      <c r="CO383" s="27" t="s">
        <v>8</v>
      </c>
      <c r="DR383" s="27" t="s">
        <v>7</v>
      </c>
      <c r="DU383" s="27" t="s">
        <v>8</v>
      </c>
    </row>
    <row r="384" spans="1:190" x14ac:dyDescent="0.25">
      <c r="A384" s="7">
        <v>55.69739297746478</v>
      </c>
      <c r="B384"/>
      <c r="C384"/>
      <c r="D384"/>
      <c r="E384" t="s">
        <v>8</v>
      </c>
      <c r="CB384" s="27" t="s">
        <v>7</v>
      </c>
      <c r="CC384" s="27" t="s">
        <v>8</v>
      </c>
      <c r="CD384" s="27" t="s">
        <v>7</v>
      </c>
      <c r="CM384" s="27" t="s">
        <v>8</v>
      </c>
      <c r="CN384" s="27" t="s">
        <v>7</v>
      </c>
      <c r="CO384" s="27" t="s">
        <v>8</v>
      </c>
      <c r="DR384" s="27" t="s">
        <v>7</v>
      </c>
      <c r="DU384" s="27" t="s">
        <v>8</v>
      </c>
    </row>
    <row r="385" spans="1:125" x14ac:dyDescent="0.25">
      <c r="A385" s="7">
        <v>54.605287232808607</v>
      </c>
      <c r="B385"/>
      <c r="C385"/>
      <c r="D385"/>
      <c r="E385" t="s">
        <v>8</v>
      </c>
      <c r="CB385" s="27" t="s">
        <v>7</v>
      </c>
      <c r="CC385" s="27" t="s">
        <v>8</v>
      </c>
      <c r="CD385" s="27" t="s">
        <v>7</v>
      </c>
      <c r="CM385" s="27" t="s">
        <v>8</v>
      </c>
      <c r="CN385" s="27" t="s">
        <v>7</v>
      </c>
      <c r="CO385" s="27" t="s">
        <v>8</v>
      </c>
      <c r="DR385" s="27" t="s">
        <v>7</v>
      </c>
      <c r="DU385" s="27" t="s">
        <v>8</v>
      </c>
    </row>
    <row r="386" spans="1:125" x14ac:dyDescent="0.25">
      <c r="A386" s="7">
        <v>53.534595326282947</v>
      </c>
      <c r="B386"/>
      <c r="C386"/>
      <c r="D386"/>
      <c r="E386" t="s">
        <v>8</v>
      </c>
      <c r="CB386" s="27" t="s">
        <v>7</v>
      </c>
      <c r="CC386" s="27" t="s">
        <v>8</v>
      </c>
      <c r="CD386" s="27" t="s">
        <v>7</v>
      </c>
      <c r="CM386" s="27" t="s">
        <v>8</v>
      </c>
      <c r="CN386" s="27" t="s">
        <v>7</v>
      </c>
      <c r="CO386" s="27" t="s">
        <v>8</v>
      </c>
      <c r="DR386" s="27" t="s">
        <v>7</v>
      </c>
      <c r="DU386" s="27" t="s">
        <v>8</v>
      </c>
    </row>
    <row r="387" spans="1:125" x14ac:dyDescent="0.25">
      <c r="A387" s="7">
        <v>52.484897378708773</v>
      </c>
      <c r="B387"/>
      <c r="C387"/>
      <c r="D387"/>
      <c r="E387" t="s">
        <v>8</v>
      </c>
      <c r="CB387" s="27" t="s">
        <v>7</v>
      </c>
      <c r="CC387" s="27" t="s">
        <v>8</v>
      </c>
      <c r="CD387" s="27" t="s">
        <v>7</v>
      </c>
      <c r="CE387" s="27" t="s">
        <v>8</v>
      </c>
      <c r="CM387" s="27" t="s">
        <v>8</v>
      </c>
      <c r="CN387" s="27" t="s">
        <v>7</v>
      </c>
      <c r="CO387" s="27" t="s">
        <v>8</v>
      </c>
      <c r="DR387" s="27" t="s">
        <v>7</v>
      </c>
      <c r="DU387" s="27" t="s">
        <v>8</v>
      </c>
    </row>
    <row r="388" spans="1:125" x14ac:dyDescent="0.25">
      <c r="A388" s="7">
        <v>51.455781743832127</v>
      </c>
      <c r="B388"/>
      <c r="C388"/>
      <c r="D388"/>
      <c r="E388" t="s">
        <v>8</v>
      </c>
      <c r="CB388" s="27" t="s">
        <v>7</v>
      </c>
      <c r="CC388" s="27" t="s">
        <v>8</v>
      </c>
      <c r="CD388" s="27" t="s">
        <v>7</v>
      </c>
      <c r="CE388" s="27" t="s">
        <v>8</v>
      </c>
      <c r="CF388" s="27" t="s">
        <v>7</v>
      </c>
      <c r="CM388" s="27" t="s">
        <v>8</v>
      </c>
      <c r="CN388" s="27" t="s">
        <v>7</v>
      </c>
      <c r="CO388" s="27" t="s">
        <v>8</v>
      </c>
      <c r="DR388" s="27" t="s">
        <v>7</v>
      </c>
      <c r="DU388" s="27" t="s">
        <v>8</v>
      </c>
    </row>
    <row r="389" spans="1:125" x14ac:dyDescent="0.25">
      <c r="A389" s="7">
        <v>50.446844846894244</v>
      </c>
      <c r="B389"/>
      <c r="C389"/>
      <c r="D389"/>
      <c r="E389" t="s">
        <v>8</v>
      </c>
      <c r="CB389" s="27" t="s">
        <v>7</v>
      </c>
      <c r="CC389" s="27" t="s">
        <v>8</v>
      </c>
      <c r="CD389" s="27" t="s">
        <v>7</v>
      </c>
      <c r="CE389" s="27" t="s">
        <v>8</v>
      </c>
      <c r="CF389" s="27" t="s">
        <v>7</v>
      </c>
      <c r="CM389" s="27" t="s">
        <v>8</v>
      </c>
      <c r="CN389" s="27" t="s">
        <v>7</v>
      </c>
      <c r="DR389" s="27" t="s">
        <v>7</v>
      </c>
      <c r="DS389" s="27" t="s">
        <v>8</v>
      </c>
      <c r="DU389" s="27" t="s">
        <v>8</v>
      </c>
    </row>
    <row r="390" spans="1:125" x14ac:dyDescent="0.25">
      <c r="A390" s="7">
        <v>49.457691026366902</v>
      </c>
      <c r="B390"/>
      <c r="C390"/>
      <c r="D390"/>
      <c r="E390" t="s">
        <v>8</v>
      </c>
      <c r="CB390" s="27" t="s">
        <v>7</v>
      </c>
      <c r="CC390" s="27" t="s">
        <v>8</v>
      </c>
      <c r="CD390" s="27" t="s">
        <v>7</v>
      </c>
      <c r="CF390" s="27" t="s">
        <v>7</v>
      </c>
      <c r="CM390" s="27" t="s">
        <v>8</v>
      </c>
      <c r="DR390" s="27" t="s">
        <v>7</v>
      </c>
      <c r="DS390" s="27" t="s">
        <v>8</v>
      </c>
      <c r="DT390" s="27" t="s">
        <v>7</v>
      </c>
      <c r="DU390" s="27" t="s">
        <v>8</v>
      </c>
    </row>
    <row r="391" spans="1:125" x14ac:dyDescent="0.25">
      <c r="A391" s="7">
        <v>48.487932378791079</v>
      </c>
      <c r="B391"/>
      <c r="C391"/>
      <c r="D391"/>
      <c r="E391" t="s">
        <v>8</v>
      </c>
      <c r="CB391" s="27" t="s">
        <v>7</v>
      </c>
      <c r="CF391" s="27" t="s">
        <v>7</v>
      </c>
      <c r="CM391" s="27" t="s">
        <v>8</v>
      </c>
      <c r="DR391" s="27" t="s">
        <v>7</v>
      </c>
      <c r="DS391" s="27" t="s">
        <v>8</v>
      </c>
      <c r="DT391" s="27" t="s">
        <v>7</v>
      </c>
      <c r="DU391" s="27" t="s">
        <v>8</v>
      </c>
    </row>
    <row r="392" spans="1:125" x14ac:dyDescent="0.25">
      <c r="A392" s="7">
        <v>47.537188606657921</v>
      </c>
      <c r="B392"/>
      <c r="C392"/>
      <c r="D392"/>
      <c r="E392" t="s">
        <v>8</v>
      </c>
      <c r="CF392" s="27" t="s">
        <v>7</v>
      </c>
      <c r="CM392" s="27" t="s">
        <v>8</v>
      </c>
      <c r="DR392" s="27" t="s">
        <v>7</v>
      </c>
      <c r="DS392" s="27" t="s">
        <v>8</v>
      </c>
      <c r="DT392" s="27" t="s">
        <v>7</v>
      </c>
      <c r="DU392" s="27" t="s">
        <v>8</v>
      </c>
    </row>
    <row r="393" spans="1:125" x14ac:dyDescent="0.25">
      <c r="A393" s="7">
        <v>46.605086869272469</v>
      </c>
      <c r="B393"/>
      <c r="C393"/>
      <c r="D393"/>
      <c r="E393" t="s">
        <v>8</v>
      </c>
      <c r="CF393" s="27" t="s">
        <v>7</v>
      </c>
      <c r="CM393" s="27" t="s">
        <v>8</v>
      </c>
      <c r="DR393" s="27" t="s">
        <v>7</v>
      </c>
      <c r="DS393" s="27" t="s">
        <v>8</v>
      </c>
      <c r="DT393" s="27" t="s">
        <v>7</v>
      </c>
      <c r="DU393" s="27" t="s">
        <v>8</v>
      </c>
    </row>
    <row r="394" spans="1:125" x14ac:dyDescent="0.25">
      <c r="A394" s="7">
        <v>45.691261636541633</v>
      </c>
      <c r="B394"/>
      <c r="C394"/>
      <c r="D394"/>
      <c r="E394" t="s">
        <v>8</v>
      </c>
      <c r="CF394" s="27" t="s">
        <v>7</v>
      </c>
      <c r="CM394" s="27" t="s">
        <v>8</v>
      </c>
      <c r="DR394" s="27" t="s">
        <v>7</v>
      </c>
      <c r="DS394" s="27" t="s">
        <v>8</v>
      </c>
      <c r="DT394" s="27" t="s">
        <v>7</v>
      </c>
      <c r="DU394" s="27" t="s">
        <v>8</v>
      </c>
    </row>
    <row r="395" spans="1:125" x14ac:dyDescent="0.25">
      <c r="A395" s="7">
        <v>44.795354545629053</v>
      </c>
      <c r="B395"/>
      <c r="C395"/>
      <c r="D395"/>
      <c r="E395" t="s">
        <v>8</v>
      </c>
      <c r="CF395" s="27" t="s">
        <v>7</v>
      </c>
      <c r="CG395" s="27" t="s">
        <v>8</v>
      </c>
      <c r="CI395" s="27" t="s">
        <v>8</v>
      </c>
      <c r="CK395" s="27" t="s">
        <v>8</v>
      </c>
      <c r="CM395" s="27" t="s">
        <v>8</v>
      </c>
      <c r="DR395" s="27" t="s">
        <v>7</v>
      </c>
      <c r="DS395" s="27" t="s">
        <v>8</v>
      </c>
      <c r="DT395" s="27" t="s">
        <v>7</v>
      </c>
      <c r="DU395" s="27" t="s">
        <v>8</v>
      </c>
    </row>
    <row r="396" spans="1:125" x14ac:dyDescent="0.25">
      <c r="A396" s="7">
        <v>43.917014260420636</v>
      </c>
      <c r="B396"/>
      <c r="C396"/>
      <c r="D396"/>
      <c r="E396" t="s">
        <v>8</v>
      </c>
      <c r="CF396" s="27" t="s">
        <v>7</v>
      </c>
      <c r="CG396" s="27" t="s">
        <v>8</v>
      </c>
      <c r="CH396" s="27" t="s">
        <v>7</v>
      </c>
      <c r="CI396" s="27" t="s">
        <v>8</v>
      </c>
      <c r="CJ396" s="27" t="s">
        <v>7</v>
      </c>
      <c r="CK396" s="27" t="s">
        <v>8</v>
      </c>
      <c r="CL396" s="27" t="s">
        <v>7</v>
      </c>
      <c r="CM396" s="27" t="s">
        <v>8</v>
      </c>
      <c r="DR396" s="27" t="s">
        <v>7</v>
      </c>
      <c r="DS396" s="27" t="s">
        <v>8</v>
      </c>
      <c r="DT396" s="27" t="s">
        <v>7</v>
      </c>
      <c r="DU396" s="27" t="s">
        <v>8</v>
      </c>
    </row>
    <row r="397" spans="1:125" x14ac:dyDescent="0.25">
      <c r="A397" s="7">
        <v>43.055896333745721</v>
      </c>
      <c r="B397"/>
      <c r="C397"/>
      <c r="D397"/>
      <c r="E397" t="s">
        <v>8</v>
      </c>
      <c r="CF397" s="27" t="s">
        <v>7</v>
      </c>
      <c r="CG397" s="27" t="s">
        <v>8</v>
      </c>
      <c r="CH397" s="27" t="s">
        <v>7</v>
      </c>
      <c r="CI397" s="27" t="s">
        <v>8</v>
      </c>
      <c r="CJ397" s="27" t="s">
        <v>7</v>
      </c>
      <c r="CK397" s="27" t="s">
        <v>8</v>
      </c>
      <c r="CL397" s="27" t="s">
        <v>7</v>
      </c>
      <c r="CM397" s="27" t="s">
        <v>8</v>
      </c>
      <c r="DR397" s="27" t="s">
        <v>7</v>
      </c>
      <c r="DS397" s="27" t="s">
        <v>8</v>
      </c>
      <c r="DT397" s="27" t="s">
        <v>7</v>
      </c>
      <c r="DU397" s="27" t="s">
        <v>8</v>
      </c>
    </row>
    <row r="398" spans="1:125" x14ac:dyDescent="0.25">
      <c r="A398" s="7">
        <v>42.211663072299729</v>
      </c>
      <c r="B398"/>
      <c r="C398"/>
      <c r="D398"/>
      <c r="E398" t="s">
        <v>8</v>
      </c>
      <c r="CF398" s="27" t="s">
        <v>7</v>
      </c>
      <c r="CG398" s="27" t="s">
        <v>8</v>
      </c>
      <c r="CH398" s="27" t="s">
        <v>7</v>
      </c>
      <c r="CJ398" s="27" t="s">
        <v>7</v>
      </c>
      <c r="CK398" s="27" t="s">
        <v>8</v>
      </c>
      <c r="CL398" s="27" t="s">
        <v>7</v>
      </c>
      <c r="CM398" s="27" t="s">
        <v>8</v>
      </c>
      <c r="DR398" s="27" t="s">
        <v>7</v>
      </c>
      <c r="DS398" s="27" t="s">
        <v>8</v>
      </c>
      <c r="DT398" s="27" t="s">
        <v>7</v>
      </c>
      <c r="DU398" s="27" t="s">
        <v>8</v>
      </c>
    </row>
    <row r="399" spans="1:125" x14ac:dyDescent="0.25">
      <c r="A399" s="7">
        <v>41.383983404215421</v>
      </c>
      <c r="B399"/>
      <c r="C399"/>
      <c r="D399"/>
      <c r="E399" t="s">
        <v>8</v>
      </c>
      <c r="CF399" s="27" t="s">
        <v>7</v>
      </c>
      <c r="CG399" s="27" t="s">
        <v>8</v>
      </c>
      <c r="CJ399" s="27" t="s">
        <v>7</v>
      </c>
      <c r="CK399" s="27" t="s">
        <v>8</v>
      </c>
      <c r="CL399" s="27" t="s">
        <v>7</v>
      </c>
      <c r="CM399" s="27" t="s">
        <v>8</v>
      </c>
      <c r="DR399" s="27" t="s">
        <v>7</v>
      </c>
      <c r="DS399" s="27" t="s">
        <v>8</v>
      </c>
      <c r="DT399" s="27" t="s">
        <v>7</v>
      </c>
      <c r="DU399" s="27" t="s">
        <v>8</v>
      </c>
    </row>
    <row r="400" spans="1:125" x14ac:dyDescent="0.25">
      <c r="A400" s="7">
        <v>40.572532749230803</v>
      </c>
      <c r="B400"/>
      <c r="C400"/>
      <c r="D400"/>
      <c r="E400" t="s">
        <v>8</v>
      </c>
      <c r="CF400" s="27" t="s">
        <v>7</v>
      </c>
      <c r="CJ400" s="27" t="s">
        <v>7</v>
      </c>
      <c r="CK400" s="27" t="s">
        <v>8</v>
      </c>
      <c r="CL400" s="27" t="s">
        <v>7</v>
      </c>
      <c r="DR400" s="27" t="s">
        <v>7</v>
      </c>
      <c r="DS400" s="27" t="s">
        <v>8</v>
      </c>
      <c r="DT400" s="27" t="s">
        <v>7</v>
      </c>
      <c r="DU400" s="27" t="s">
        <v>8</v>
      </c>
    </row>
    <row r="401" spans="1:125" x14ac:dyDescent="0.25">
      <c r="A401" s="7">
        <v>39.776992891402749</v>
      </c>
      <c r="B401"/>
      <c r="C401"/>
      <c r="D401"/>
      <c r="E401" t="s">
        <v>8</v>
      </c>
      <c r="CJ401" s="27" t="s">
        <v>7</v>
      </c>
      <c r="CK401" s="27" t="s">
        <v>8</v>
      </c>
      <c r="DR401" s="27" t="s">
        <v>7</v>
      </c>
      <c r="DS401" s="27" t="s">
        <v>8</v>
      </c>
      <c r="DT401" s="27" t="s">
        <v>7</v>
      </c>
      <c r="DU401" s="27" t="s">
        <v>8</v>
      </c>
    </row>
    <row r="402" spans="1:125" x14ac:dyDescent="0.25">
      <c r="A402" s="7">
        <v>38.997051854316418</v>
      </c>
      <c r="B402"/>
      <c r="C402"/>
      <c r="D402"/>
      <c r="E402" t="s">
        <v>8</v>
      </c>
      <c r="CJ402" s="27" t="s">
        <v>7</v>
      </c>
      <c r="CK402" s="27" t="s">
        <v>8</v>
      </c>
      <c r="DR402" s="27" t="s">
        <v>7</v>
      </c>
      <c r="DS402" s="27" t="s">
        <v>8</v>
      </c>
      <c r="DT402" s="27" t="s">
        <v>7</v>
      </c>
    </row>
    <row r="403" spans="1:125" x14ac:dyDescent="0.25">
      <c r="A403" s="7">
        <v>38.232403778741585</v>
      </c>
      <c r="B403"/>
      <c r="C403"/>
      <c r="D403"/>
      <c r="E403" t="s">
        <v>8</v>
      </c>
      <c r="CJ403" s="27" t="s">
        <v>7</v>
      </c>
      <c r="DR403" s="27" t="s">
        <v>7</v>
      </c>
      <c r="DS403" s="27" t="s">
        <v>8</v>
      </c>
    </row>
    <row r="404" spans="1:125" x14ac:dyDescent="0.25">
      <c r="A404" s="7">
        <v>37.48274880268783</v>
      </c>
      <c r="B404"/>
      <c r="C404"/>
      <c r="D404"/>
      <c r="E404" t="s">
        <v>8</v>
      </c>
      <c r="DR404" s="27" t="s">
        <v>7</v>
      </c>
      <c r="DS404" s="27" t="s">
        <v>8</v>
      </c>
    </row>
    <row r="405" spans="1:125" x14ac:dyDescent="0.25">
      <c r="A405" s="7">
        <v>36.747792943811596</v>
      </c>
      <c r="B405"/>
      <c r="C405"/>
      <c r="D405"/>
      <c r="E405" t="s">
        <v>8</v>
      </c>
      <c r="DR405" s="27" t="s">
        <v>7</v>
      </c>
      <c r="DS405" s="27" t="s">
        <v>8</v>
      </c>
    </row>
    <row r="406" spans="1:125" x14ac:dyDescent="0.25">
      <c r="A406" s="7">
        <v>36.027247984129012</v>
      </c>
      <c r="B406"/>
      <c r="C406"/>
      <c r="D406"/>
      <c r="E406" t="s">
        <v>8</v>
      </c>
      <c r="DR406" s="27" t="s">
        <v>7</v>
      </c>
      <c r="DS406" s="27" t="s">
        <v>8</v>
      </c>
    </row>
    <row r="407" spans="1:125" x14ac:dyDescent="0.25">
      <c r="A407" s="7">
        <v>35.320831356989224</v>
      </c>
      <c r="B407"/>
      <c r="C407"/>
      <c r="D407"/>
      <c r="E407" t="s">
        <v>8</v>
      </c>
      <c r="DR407" s="27" t="s">
        <v>7</v>
      </c>
      <c r="DS407" s="27" t="s">
        <v>8</v>
      </c>
    </row>
    <row r="408" spans="1:125" x14ac:dyDescent="0.25">
      <c r="A408" s="7">
        <v>34.628266036263945</v>
      </c>
      <c r="B408"/>
      <c r="C408"/>
      <c r="D408"/>
      <c r="E408" t="s">
        <v>8</v>
      </c>
      <c r="DR408" s="27" t="s">
        <v>7</v>
      </c>
      <c r="DS408" s="27" t="s">
        <v>8</v>
      </c>
    </row>
    <row r="409" spans="1:125" x14ac:dyDescent="0.25">
      <c r="A409" s="7">
        <v>33.949280427709752</v>
      </c>
      <c r="B409"/>
      <c r="C409"/>
      <c r="D409"/>
      <c r="E409" t="s">
        <v>8</v>
      </c>
      <c r="DR409" s="27" t="s">
        <v>7</v>
      </c>
      <c r="DS409" s="27" t="s">
        <v>8</v>
      </c>
    </row>
    <row r="410" spans="1:125" x14ac:dyDescent="0.25">
      <c r="A410" s="7">
        <v>33.28360826246054</v>
      </c>
      <c r="B410"/>
      <c r="C410"/>
      <c r="D410"/>
      <c r="E410" t="s">
        <v>8</v>
      </c>
      <c r="DR410" s="27" t="s">
        <v>7</v>
      </c>
      <c r="DS410" s="27" t="s">
        <v>8</v>
      </c>
    </row>
    <row r="411" spans="1:125" x14ac:dyDescent="0.25">
      <c r="A411" s="7">
        <v>32.630988492608374</v>
      </c>
      <c r="B411"/>
      <c r="C411"/>
      <c r="D411"/>
      <c r="E411" t="s">
        <v>8</v>
      </c>
      <c r="DR411" s="27" t="s">
        <v>7</v>
      </c>
      <c r="DS411" s="27" t="s">
        <v>8</v>
      </c>
    </row>
    <row r="412" spans="1:125" x14ac:dyDescent="0.25">
      <c r="A412" s="7">
        <v>31.99116518883174</v>
      </c>
      <c r="B412"/>
      <c r="C412"/>
      <c r="D412"/>
      <c r="E412" t="s">
        <v>8</v>
      </c>
      <c r="DR412" s="27" t="s">
        <v>7</v>
      </c>
      <c r="DS412" s="27" t="s">
        <v>8</v>
      </c>
    </row>
    <row r="413" spans="1:125" x14ac:dyDescent="0.25">
      <c r="A413" s="7">
        <v>31.363887440031117</v>
      </c>
      <c r="B413"/>
      <c r="C413"/>
      <c r="D413"/>
      <c r="E413" t="s">
        <v>8</v>
      </c>
      <c r="DR413" s="27" t="s">
        <v>7</v>
      </c>
    </row>
    <row r="414" spans="1:125" x14ac:dyDescent="0.25">
      <c r="A414" s="7">
        <v>30.748909254932467</v>
      </c>
      <c r="B414"/>
      <c r="C414"/>
      <c r="D414"/>
      <c r="E414" t="s">
        <v>8</v>
      </c>
    </row>
    <row r="415" spans="1:125" x14ac:dyDescent="0.25">
      <c r="A415" s="7">
        <v>30.145989465620065</v>
      </c>
      <c r="B415"/>
      <c r="C415"/>
      <c r="D415"/>
      <c r="E415" t="s">
        <v>8</v>
      </c>
    </row>
    <row r="416" spans="1:12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42" operator="equal">
      <formula>$U$1</formula>
    </cfRule>
    <cfRule type="cellIs" dxfId="89" priority="1443" operator="equal">
      <formula>$S$1</formula>
    </cfRule>
  </conditionalFormatting>
  <conditionalFormatting sqref="D27">
    <cfRule type="cellIs" dxfId="88" priority="1440" operator="equal">
      <formula>$S$1</formula>
    </cfRule>
    <cfRule type="cellIs" dxfId="87" priority="1441" operator="equal">
      <formula>$U$1</formula>
    </cfRule>
  </conditionalFormatting>
  <conditionalFormatting sqref="C164">
    <cfRule type="cellIs" dxfId="86" priority="1438" operator="equal">
      <formula>$U$1</formula>
    </cfRule>
    <cfRule type="cellIs" dxfId="85" priority="1439" operator="equal">
      <formula>$S$1</formula>
    </cfRule>
  </conditionalFormatting>
  <conditionalFormatting sqref="D164">
    <cfRule type="cellIs" dxfId="84" priority="1436" operator="equal">
      <formula>$S$1</formula>
    </cfRule>
    <cfRule type="cellIs" dxfId="83" priority="1437" operator="equal">
      <formula>$U$1</formula>
    </cfRule>
  </conditionalFormatting>
  <conditionalFormatting sqref="C55">
    <cfRule type="cellIs" dxfId="82" priority="1434" operator="equal">
      <formula>$U$1</formula>
    </cfRule>
    <cfRule type="cellIs" dxfId="81" priority="1435" operator="equal">
      <formula>$S$1</formula>
    </cfRule>
  </conditionalFormatting>
  <conditionalFormatting sqref="D55">
    <cfRule type="cellIs" dxfId="80" priority="1432" operator="equal">
      <formula>$S$1</formula>
    </cfRule>
    <cfRule type="cellIs" dxfId="79" priority="1433" operator="equal">
      <formula>$U$1</formula>
    </cfRule>
  </conditionalFormatting>
  <conditionalFormatting sqref="C89">
    <cfRule type="cellIs" dxfId="78" priority="1430" operator="equal">
      <formula>$U$1</formula>
    </cfRule>
    <cfRule type="cellIs" dxfId="77" priority="1431" operator="equal">
      <formula>$S$1</formula>
    </cfRule>
  </conditionalFormatting>
  <conditionalFormatting sqref="D89">
    <cfRule type="cellIs" dxfId="76" priority="1428" operator="equal">
      <formula>$S$1</formula>
    </cfRule>
    <cfRule type="cellIs" dxfId="75" priority="1429" operator="equal">
      <formula>$U$1</formula>
    </cfRule>
  </conditionalFormatting>
  <conditionalFormatting sqref="C136">
    <cfRule type="cellIs" dxfId="74" priority="1426" operator="equal">
      <formula>$U$1</formula>
    </cfRule>
    <cfRule type="cellIs" dxfId="73" priority="1427" operator="equal">
      <formula>$S$1</formula>
    </cfRule>
  </conditionalFormatting>
  <conditionalFormatting sqref="D136">
    <cfRule type="cellIs" dxfId="72" priority="1424" operator="equal">
      <formula>$S$1</formula>
    </cfRule>
    <cfRule type="cellIs" dxfId="71" priority="1425" operator="equal">
      <formula>$U$1</formula>
    </cfRule>
  </conditionalFormatting>
  <conditionalFormatting sqref="C1">
    <cfRule type="cellIs" dxfId="70" priority="142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17" zoomScale="90" zoomScaleNormal="90" workbookViewId="0">
      <pane xSplit="4" topLeftCell="BK1" activePane="topRight" state="frozen"/>
      <selection activeCell="A109" sqref="A109"/>
      <selection pane="topRight" activeCell="DK146" sqref="DK146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$A$145</v>
      </c>
      <c r="D111" s="1" t="str">
        <f>ADDRESS(C121-1,D121,1,1)</f>
        <v>$DK$145</v>
      </c>
      <c r="E111"/>
    </row>
    <row r="112" spans="1:5" x14ac:dyDescent="0.25">
      <c r="A112" s="30">
        <v>515.50191262726139</v>
      </c>
      <c r="C112" s="1" t="str">
        <f>ADDRESS(C121,1,1,1)</f>
        <v>$A$146</v>
      </c>
      <c r="D112" s="1" t="str">
        <f>ADDRESS(C121,D121-1,1,1)</f>
        <v>$DJ$146</v>
      </c>
      <c r="E112"/>
    </row>
    <row r="113" spans="1:103" x14ac:dyDescent="0.25">
      <c r="A113" s="30">
        <v>490.95420250215363</v>
      </c>
      <c r="C113" s="1" t="str">
        <f>ADDRESS(C121+1,1,1,1)</f>
        <v>$A$147</v>
      </c>
      <c r="D113" s="1" t="str">
        <f>ADDRESS(C121-1,D121+1,1,1)</f>
        <v>$DL$145</v>
      </c>
    </row>
    <row r="114" spans="1:103" x14ac:dyDescent="0.25">
      <c r="A114" s="30">
        <v>467.57543095443202</v>
      </c>
      <c r="C114" s="1" t="str">
        <f>ADDRESS(C121,D121,1,1)</f>
        <v>$DK$146</v>
      </c>
      <c r="D114" s="1" t="str">
        <f>ADDRESS(C121+1,D121+1,1,1)</f>
        <v>$DL$147</v>
      </c>
      <c r="BY114" s="31" t="s">
        <v>8</v>
      </c>
    </row>
    <row r="115" spans="1:103" x14ac:dyDescent="0.25">
      <c r="A115" s="30">
        <v>445.30993424231622</v>
      </c>
      <c r="C115" s="1" t="str">
        <f>ADDRESS(C121+1,D121,1,1)</f>
        <v>$DK$147</v>
      </c>
      <c r="BY115" s="27" t="s">
        <v>8</v>
      </c>
      <c r="BZ115" s="31" t="s">
        <v>7</v>
      </c>
    </row>
    <row r="116" spans="1:103" x14ac:dyDescent="0.25">
      <c r="A116" s="30">
        <v>424.10469927839637</v>
      </c>
      <c r="C116" s="1">
        <f>C117-1</f>
        <v>145</v>
      </c>
      <c r="BY116" s="27" t="s">
        <v>8</v>
      </c>
      <c r="BZ116" s="27" t="s">
        <v>7</v>
      </c>
      <c r="CA116" s="31" t="s">
        <v>8</v>
      </c>
    </row>
    <row r="117" spans="1:103" x14ac:dyDescent="0.25">
      <c r="A117" s="30">
        <v>403.9092374079965</v>
      </c>
      <c r="C117" s="1">
        <f>C121</f>
        <v>146</v>
      </c>
      <c r="D117" s="1">
        <f>D121</f>
        <v>115</v>
      </c>
      <c r="BU117" s="27" t="s">
        <v>8</v>
      </c>
      <c r="BY117" s="27" t="s">
        <v>8</v>
      </c>
      <c r="BZ117" s="27" t="s">
        <v>7</v>
      </c>
      <c r="CA117" s="27" t="s">
        <v>8</v>
      </c>
      <c r="CB117" s="31" t="s">
        <v>7</v>
      </c>
    </row>
    <row r="118" spans="1:103" x14ac:dyDescent="0.25">
      <c r="A118" s="30">
        <v>384.6754641980919</v>
      </c>
      <c r="C118" s="1">
        <f>C117+1</f>
        <v>147</v>
      </c>
      <c r="D118" s="1">
        <f>D117+1</f>
        <v>116</v>
      </c>
      <c r="BU118" s="27" t="s">
        <v>8</v>
      </c>
      <c r="BV118" s="27" t="s">
        <v>7</v>
      </c>
      <c r="BY118" s="27" t="s">
        <v>8</v>
      </c>
      <c r="BZ118" s="27" t="s">
        <v>7</v>
      </c>
      <c r="CA118" s="27" t="s">
        <v>8</v>
      </c>
      <c r="CB118" s="27" t="s">
        <v>7</v>
      </c>
      <c r="CC118" s="31"/>
    </row>
    <row r="119" spans="1:103" x14ac:dyDescent="0.25">
      <c r="A119" s="30">
        <v>366.35758495056371</v>
      </c>
      <c r="BU119" s="27" t="s">
        <v>8</v>
      </c>
      <c r="BV119" s="27" t="s">
        <v>7</v>
      </c>
      <c r="BY119" s="27" t="s">
        <v>8</v>
      </c>
      <c r="BZ119" s="27" t="s">
        <v>7</v>
      </c>
      <c r="CB119" s="27" t="s">
        <v>7</v>
      </c>
      <c r="CD119" s="31"/>
    </row>
    <row r="120" spans="1:103" x14ac:dyDescent="0.25">
      <c r="A120" s="30">
        <v>348.91198566720351</v>
      </c>
      <c r="C120" s="1" t="s">
        <v>9</v>
      </c>
      <c r="BU120" s="27" t="s">
        <v>8</v>
      </c>
      <c r="BV120" s="27" t="s">
        <v>7</v>
      </c>
      <c r="BY120" s="27" t="s">
        <v>8</v>
      </c>
      <c r="CB120" s="33" t="s">
        <v>7</v>
      </c>
      <c r="CE120" s="31"/>
    </row>
    <row r="121" spans="1:103" x14ac:dyDescent="0.25">
      <c r="A121" s="30">
        <v>332.29712920686046</v>
      </c>
      <c r="C121" s="18">
        <v>146</v>
      </c>
      <c r="D121" s="19">
        <v>115</v>
      </c>
      <c r="E121" s="19"/>
      <c r="BO121" s="27" t="s">
        <v>8</v>
      </c>
      <c r="BU121" s="27" t="s">
        <v>8</v>
      </c>
      <c r="BV121" s="27" t="s">
        <v>7</v>
      </c>
      <c r="BY121" s="34" t="s">
        <v>8</v>
      </c>
      <c r="CB121" s="27" t="s">
        <v>7</v>
      </c>
      <c r="CF121" s="31"/>
    </row>
    <row r="122" spans="1:103" x14ac:dyDescent="0.25">
      <c r="A122" s="30">
        <v>316.47345638748612</v>
      </c>
      <c r="C122" s="1" t="str">
        <f>INDEX(1:1048576,C117,D117)</f>
        <v>X</v>
      </c>
      <c r="BO122" s="27" t="s">
        <v>8</v>
      </c>
      <c r="BP122" s="27" t="s">
        <v>7</v>
      </c>
      <c r="BU122" s="27" t="s">
        <v>8</v>
      </c>
      <c r="BV122" s="27" t="s">
        <v>7</v>
      </c>
      <c r="BW122" s="27" t="s">
        <v>8</v>
      </c>
      <c r="BY122" s="27" t="s">
        <v>8</v>
      </c>
      <c r="CB122" s="27" t="s">
        <v>7</v>
      </c>
      <c r="CG122" s="31"/>
    </row>
    <row r="123" spans="1:103" x14ac:dyDescent="0.25">
      <c r="A123" s="30">
        <v>301.40329179760585</v>
      </c>
      <c r="C123" s="1" t="str">
        <f>"R"&amp;C121</f>
        <v>R146</v>
      </c>
      <c r="D123" s="1" t="str">
        <f>"C"&amp;D121</f>
        <v>C115</v>
      </c>
      <c r="BO123" s="27" t="s">
        <v>8</v>
      </c>
      <c r="BP123" s="27" t="s">
        <v>7</v>
      </c>
      <c r="BU123" s="27" t="s">
        <v>8</v>
      </c>
      <c r="BV123" s="27" t="s">
        <v>7</v>
      </c>
      <c r="BW123" s="27" t="s">
        <v>8</v>
      </c>
      <c r="BX123" s="27" t="s">
        <v>7</v>
      </c>
      <c r="BY123" s="27" t="s">
        <v>8</v>
      </c>
      <c r="CB123" s="27" t="s">
        <v>7</v>
      </c>
      <c r="CH123" s="31"/>
    </row>
    <row r="124" spans="1:103" x14ac:dyDescent="0.25">
      <c r="A124" s="30">
        <v>287.05075409295796</v>
      </c>
      <c r="C124" s="1">
        <f>SUM(C130:D130)</f>
        <v>0</v>
      </c>
      <c r="D124" s="1">
        <f>IF(C124=0,0,1)</f>
        <v>0</v>
      </c>
      <c r="BM124" s="27" t="s">
        <v>8</v>
      </c>
      <c r="BO124" s="27" t="s">
        <v>8</v>
      </c>
      <c r="BP124" s="27" t="s">
        <v>7</v>
      </c>
      <c r="BU124" s="27" t="s">
        <v>8</v>
      </c>
      <c r="BV124" s="27" t="s">
        <v>7</v>
      </c>
      <c r="BW124" s="27" t="s">
        <v>8</v>
      </c>
      <c r="BX124" s="27" t="s">
        <v>7</v>
      </c>
      <c r="BY124" s="27" t="s">
        <v>8</v>
      </c>
      <c r="CB124" s="27" t="s">
        <v>7</v>
      </c>
      <c r="CI124" s="31"/>
    </row>
    <row r="125" spans="1:103" x14ac:dyDescent="0.25">
      <c r="A125" s="30">
        <v>273.38167056472184</v>
      </c>
      <c r="BM125" s="27" t="s">
        <v>8</v>
      </c>
      <c r="BN125" s="27" t="s">
        <v>7</v>
      </c>
      <c r="BO125" s="27" t="s">
        <v>8</v>
      </c>
      <c r="BP125" s="27" t="s">
        <v>7</v>
      </c>
      <c r="BU125" s="27" t="s">
        <v>8</v>
      </c>
      <c r="BV125" s="27" t="s">
        <v>7</v>
      </c>
      <c r="BW125" s="27" t="s">
        <v>8</v>
      </c>
      <c r="BX125" s="27" t="s">
        <v>7</v>
      </c>
      <c r="BY125" s="27" t="s">
        <v>8</v>
      </c>
      <c r="CB125" s="27" t="s">
        <v>7</v>
      </c>
      <c r="CJ125" s="31"/>
      <c r="CO125" s="27" t="s">
        <v>8</v>
      </c>
    </row>
    <row r="126" spans="1:103" x14ac:dyDescent="0.25">
      <c r="A126" s="30">
        <v>260.36349577592557</v>
      </c>
      <c r="C126" s="1" t="s">
        <v>10</v>
      </c>
      <c r="BM126" s="27" t="s">
        <v>8</v>
      </c>
      <c r="BN126" s="27" t="s">
        <v>7</v>
      </c>
      <c r="BO126" s="27" t="s">
        <v>8</v>
      </c>
      <c r="BP126" s="27" t="s">
        <v>7</v>
      </c>
      <c r="BQ126" s="27" t="s">
        <v>8</v>
      </c>
      <c r="BU126" s="34" t="s">
        <v>8</v>
      </c>
      <c r="BV126" s="27" t="s">
        <v>7</v>
      </c>
      <c r="BX126" s="27" t="s">
        <v>7</v>
      </c>
      <c r="BY126" s="27" t="s">
        <v>8</v>
      </c>
      <c r="CB126" s="27" t="s">
        <v>7</v>
      </c>
      <c r="CK126" s="31"/>
      <c r="CO126" s="27" t="s">
        <v>8</v>
      </c>
      <c r="CP126" s="27" t="s">
        <v>7</v>
      </c>
      <c r="CQ126" s="31" t="s">
        <v>8</v>
      </c>
    </row>
    <row r="127" spans="1:103" x14ac:dyDescent="0.25">
      <c r="A127" s="30">
        <v>247.96523407231004</v>
      </c>
      <c r="C127" s="30">
        <v>98.128263281995174</v>
      </c>
      <c r="D127"/>
      <c r="BM127" s="27" t="s">
        <v>8</v>
      </c>
      <c r="BN127" s="27" t="s">
        <v>7</v>
      </c>
      <c r="BO127" s="27" t="s">
        <v>8</v>
      </c>
      <c r="BP127" s="27" t="s">
        <v>7</v>
      </c>
      <c r="BQ127" s="27" t="s">
        <v>8</v>
      </c>
      <c r="BR127" s="27" t="s">
        <v>7</v>
      </c>
      <c r="BS127" s="27" t="s">
        <v>8</v>
      </c>
      <c r="BU127" s="27" t="s">
        <v>8</v>
      </c>
      <c r="BX127" s="33" t="s">
        <v>7</v>
      </c>
      <c r="BY127" s="27" t="s">
        <v>8</v>
      </c>
      <c r="CB127" s="27" t="s">
        <v>7</v>
      </c>
      <c r="CL127" s="31"/>
      <c r="CO127" s="27" t="s">
        <v>8</v>
      </c>
      <c r="CP127" s="27" t="s">
        <v>7</v>
      </c>
      <c r="CQ127" s="27" t="s">
        <v>8</v>
      </c>
      <c r="CR127" s="31" t="s">
        <v>7</v>
      </c>
    </row>
    <row r="128" spans="1:103" x14ac:dyDescent="0.25">
      <c r="A128" s="30">
        <v>236.15736578315241</v>
      </c>
      <c r="BM128" s="27" t="s">
        <v>8</v>
      </c>
      <c r="BN128" s="27" t="s">
        <v>7</v>
      </c>
      <c r="BO128" s="27" t="s">
        <v>8</v>
      </c>
      <c r="BP128" s="27" t="s">
        <v>7</v>
      </c>
      <c r="BQ128" s="27" t="s">
        <v>8</v>
      </c>
      <c r="BR128" s="27" t="s">
        <v>7</v>
      </c>
      <c r="BS128" s="27" t="s">
        <v>8</v>
      </c>
      <c r="BT128" s="27" t="s">
        <v>7</v>
      </c>
      <c r="BU128" s="27" t="s">
        <v>8</v>
      </c>
      <c r="BX128" s="27" t="s">
        <v>7</v>
      </c>
      <c r="CB128" s="27" t="s">
        <v>7</v>
      </c>
      <c r="CC128" s="27" t="s">
        <v>8</v>
      </c>
      <c r="CM128" s="31"/>
      <c r="CO128" s="27" t="s">
        <v>8</v>
      </c>
      <c r="CP128" s="27" t="s">
        <v>7</v>
      </c>
      <c r="CQ128" s="27" t="s">
        <v>8</v>
      </c>
      <c r="CR128" s="27" t="s">
        <v>7</v>
      </c>
      <c r="CS128" s="31"/>
      <c r="CY128" s="27" t="s">
        <v>8</v>
      </c>
    </row>
    <row r="129" spans="1:114" x14ac:dyDescent="0.25">
      <c r="A129" s="30">
        <v>224.91177693633563</v>
      </c>
      <c r="C129" s="1" t="s">
        <v>11</v>
      </c>
      <c r="D129" s="1" t="s">
        <v>12</v>
      </c>
      <c r="E129"/>
      <c r="BM129" s="27" t="s">
        <v>8</v>
      </c>
      <c r="BN129" s="27" t="s">
        <v>7</v>
      </c>
      <c r="BO129" s="27" t="s">
        <v>8</v>
      </c>
      <c r="BP129" s="27" t="s">
        <v>7</v>
      </c>
      <c r="BQ129" s="27" t="s">
        <v>8</v>
      </c>
      <c r="BR129" s="27" t="s">
        <v>7</v>
      </c>
      <c r="BS129" s="27" t="s">
        <v>8</v>
      </c>
      <c r="BT129" s="27" t="s">
        <v>7</v>
      </c>
      <c r="BU129" s="27" t="s">
        <v>8</v>
      </c>
      <c r="CB129" s="27" t="s">
        <v>7</v>
      </c>
      <c r="CC129" s="27" t="s">
        <v>8</v>
      </c>
      <c r="CD129" s="27" t="s">
        <v>7</v>
      </c>
      <c r="CN129" s="31"/>
      <c r="CO129" s="27" t="s">
        <v>8</v>
      </c>
      <c r="CP129" s="27" t="s">
        <v>7</v>
      </c>
      <c r="CQ129" s="27" t="s">
        <v>8</v>
      </c>
      <c r="CR129" s="27" t="s">
        <v>7</v>
      </c>
      <c r="CT129" s="31"/>
      <c r="CY129" s="27" t="s">
        <v>8</v>
      </c>
      <c r="CZ129" s="27" t="s">
        <v>7</v>
      </c>
    </row>
    <row r="130" spans="1:114" x14ac:dyDescent="0.25">
      <c r="A130" s="30">
        <v>214.20169232031964</v>
      </c>
      <c r="C130" s="6"/>
      <c r="D130" s="6"/>
      <c r="E130"/>
      <c r="BM130" s="27" t="s">
        <v>8</v>
      </c>
      <c r="BN130" s="27" t="s">
        <v>7</v>
      </c>
      <c r="BO130" s="27" t="s">
        <v>8</v>
      </c>
      <c r="BP130" s="27" t="s">
        <v>7</v>
      </c>
      <c r="BQ130" s="27" t="s">
        <v>8</v>
      </c>
      <c r="BR130" s="27" t="s">
        <v>7</v>
      </c>
      <c r="BS130" s="27" t="s">
        <v>8</v>
      </c>
      <c r="BT130" s="27" t="s">
        <v>7</v>
      </c>
      <c r="BU130" s="27" t="s">
        <v>8</v>
      </c>
      <c r="CB130" s="31" t="s">
        <v>7</v>
      </c>
      <c r="CC130" s="27" t="s">
        <v>8</v>
      </c>
      <c r="CD130" s="27" t="s">
        <v>7</v>
      </c>
      <c r="CE130" s="27" t="s">
        <v>8</v>
      </c>
      <c r="CI130" s="34" t="s">
        <v>8</v>
      </c>
      <c r="CO130" s="31" t="s">
        <v>8</v>
      </c>
      <c r="CP130" s="27" t="s">
        <v>7</v>
      </c>
      <c r="CR130" s="27" t="s">
        <v>7</v>
      </c>
      <c r="CS130" s="27" t="s">
        <v>8</v>
      </c>
      <c r="CU130" s="31"/>
      <c r="CY130" s="27" t="s">
        <v>8</v>
      </c>
      <c r="CZ130" s="27" t="s">
        <v>7</v>
      </c>
      <c r="DA130" s="27" t="s">
        <v>8</v>
      </c>
    </row>
    <row r="131" spans="1:114" x14ac:dyDescent="0.25">
      <c r="A131" s="30">
        <v>204.00161173363773</v>
      </c>
      <c r="E131"/>
      <c r="BM131" s="27" t="s">
        <v>8</v>
      </c>
      <c r="BN131" s="32" t="s">
        <v>7</v>
      </c>
      <c r="BP131" s="32" t="s">
        <v>7</v>
      </c>
      <c r="BR131" s="27" t="s">
        <v>7</v>
      </c>
      <c r="BS131" s="27" t="s">
        <v>8</v>
      </c>
      <c r="BT131" s="27" t="s">
        <v>7</v>
      </c>
      <c r="BU131" s="27" t="s">
        <v>8</v>
      </c>
      <c r="CA131" s="31"/>
      <c r="CB131" s="27" t="s">
        <v>7</v>
      </c>
      <c r="CC131" s="27" t="s">
        <v>8</v>
      </c>
      <c r="CD131" s="27" t="s">
        <v>7</v>
      </c>
      <c r="CE131" s="27" t="s">
        <v>8</v>
      </c>
      <c r="CF131" s="27" t="s">
        <v>7</v>
      </c>
      <c r="CG131" s="27" t="s">
        <v>8</v>
      </c>
      <c r="CI131" s="27" t="s">
        <v>8</v>
      </c>
      <c r="CJ131" s="27" t="s">
        <v>7</v>
      </c>
      <c r="CO131" s="27" t="s">
        <v>8</v>
      </c>
      <c r="CP131" s="31"/>
      <c r="CR131" s="27" t="s">
        <v>7</v>
      </c>
      <c r="CS131" s="27" t="s">
        <v>8</v>
      </c>
      <c r="CT131" s="27" t="s">
        <v>7</v>
      </c>
      <c r="CV131" s="31"/>
      <c r="CW131" s="27" t="s">
        <v>8</v>
      </c>
      <c r="CY131" s="27" t="s">
        <v>8</v>
      </c>
      <c r="CZ131" s="27" t="s">
        <v>7</v>
      </c>
      <c r="DA131" s="27" t="s">
        <v>8</v>
      </c>
      <c r="DB131" s="27" t="s">
        <v>7</v>
      </c>
    </row>
    <row r="132" spans="1:114" x14ac:dyDescent="0.25">
      <c r="A132" s="30">
        <v>194.28724927013116</v>
      </c>
      <c r="C132" s="1" t="s">
        <v>13</v>
      </c>
      <c r="E132"/>
      <c r="BM132" s="27" t="s">
        <v>8</v>
      </c>
      <c r="BR132" s="33" t="s">
        <v>7</v>
      </c>
      <c r="BS132" s="27" t="s">
        <v>8</v>
      </c>
      <c r="BT132" s="27" t="s">
        <v>7</v>
      </c>
      <c r="BU132" s="27" t="s">
        <v>8</v>
      </c>
      <c r="BZ132" s="31"/>
      <c r="CB132" s="27" t="s">
        <v>7</v>
      </c>
      <c r="CC132" s="27" t="s">
        <v>8</v>
      </c>
      <c r="CD132" s="27" t="s">
        <v>7</v>
      </c>
      <c r="CE132" s="27" t="s">
        <v>8</v>
      </c>
      <c r="CF132" s="27" t="s">
        <v>7</v>
      </c>
      <c r="CG132" s="27" t="s">
        <v>8</v>
      </c>
      <c r="CH132" s="27" t="s">
        <v>7</v>
      </c>
      <c r="CI132" s="27" t="s">
        <v>8</v>
      </c>
      <c r="CJ132" s="27" t="s">
        <v>7</v>
      </c>
      <c r="CO132" s="27" t="s">
        <v>8</v>
      </c>
      <c r="CQ132" s="31"/>
      <c r="CR132" s="27" t="s">
        <v>7</v>
      </c>
      <c r="CS132" s="27" t="s">
        <v>8</v>
      </c>
      <c r="CT132" s="27" t="s">
        <v>7</v>
      </c>
      <c r="CW132" s="31" t="s">
        <v>8</v>
      </c>
      <c r="CX132" s="27" t="s">
        <v>7</v>
      </c>
      <c r="CY132" s="27" t="s">
        <v>8</v>
      </c>
      <c r="CZ132" s="27" t="s">
        <v>7</v>
      </c>
      <c r="DA132" s="27" t="s">
        <v>8</v>
      </c>
      <c r="DB132" s="27" t="s">
        <v>7</v>
      </c>
    </row>
    <row r="133" spans="1:114" x14ac:dyDescent="0.25">
      <c r="A133" s="30">
        <v>185.03547549536299</v>
      </c>
      <c r="C133" s="1" t="str">
        <f>C122</f>
        <v>X</v>
      </c>
      <c r="E133"/>
      <c r="K133" s="27" t="s">
        <v>8</v>
      </c>
      <c r="BM133" s="27" t="s">
        <v>8</v>
      </c>
      <c r="BR133" s="32" t="s">
        <v>7</v>
      </c>
      <c r="BT133" s="32" t="s">
        <v>7</v>
      </c>
      <c r="BY133" s="31"/>
      <c r="CB133" s="27" t="s">
        <v>7</v>
      </c>
      <c r="CC133" s="27" t="s">
        <v>8</v>
      </c>
      <c r="CD133" s="27" t="s">
        <v>7</v>
      </c>
      <c r="CE133" s="27" t="s">
        <v>8</v>
      </c>
      <c r="CF133" s="27" t="s">
        <v>7</v>
      </c>
      <c r="CG133" s="27" t="s">
        <v>8</v>
      </c>
      <c r="CH133" s="27" t="s">
        <v>7</v>
      </c>
      <c r="CI133" s="27" t="s">
        <v>8</v>
      </c>
      <c r="CJ133" s="27" t="s">
        <v>7</v>
      </c>
      <c r="CM133" s="18" t="s">
        <v>8</v>
      </c>
      <c r="CO133" s="27" t="s">
        <v>8</v>
      </c>
      <c r="CR133" s="31" t="s">
        <v>7</v>
      </c>
      <c r="CT133" s="27" t="s">
        <v>7</v>
      </c>
      <c r="CU133" s="27" t="s">
        <v>8</v>
      </c>
      <c r="CW133" s="27" t="s">
        <v>8</v>
      </c>
      <c r="CX133" s="27" t="s">
        <v>7</v>
      </c>
      <c r="CY133" s="27" t="s">
        <v>8</v>
      </c>
      <c r="CZ133" s="27" t="s">
        <v>7</v>
      </c>
      <c r="DA133" s="27" t="s">
        <v>8</v>
      </c>
      <c r="DB133" s="27" t="s">
        <v>7</v>
      </c>
    </row>
    <row r="134" spans="1:114" x14ac:dyDescent="0.25">
      <c r="A134" s="30">
        <v>176.22426237653616</v>
      </c>
      <c r="C134"/>
      <c r="E134"/>
      <c r="I134" s="27" t="s">
        <v>8</v>
      </c>
      <c r="K134" s="27" t="s">
        <v>8</v>
      </c>
      <c r="L134" s="27" t="s">
        <v>7</v>
      </c>
      <c r="BM134" s="27" t="s">
        <v>8</v>
      </c>
      <c r="BX134" s="31"/>
      <c r="CB134" s="27" t="s">
        <v>7</v>
      </c>
      <c r="CC134" s="27" t="s">
        <v>8</v>
      </c>
      <c r="CD134" s="27" t="s">
        <v>7</v>
      </c>
      <c r="CE134" s="27" t="s">
        <v>8</v>
      </c>
      <c r="CF134" s="27" t="s">
        <v>7</v>
      </c>
      <c r="CH134" s="27" t="s">
        <v>7</v>
      </c>
      <c r="CI134" s="27" t="s">
        <v>8</v>
      </c>
      <c r="CJ134" s="27" t="s">
        <v>7</v>
      </c>
      <c r="CM134" s="27" t="s">
        <v>8</v>
      </c>
      <c r="CN134" s="27" t="s">
        <v>7</v>
      </c>
      <c r="CO134" s="27" t="s">
        <v>8</v>
      </c>
      <c r="CT134" s="27" t="s">
        <v>7</v>
      </c>
      <c r="CU134" s="27" t="s">
        <v>8</v>
      </c>
      <c r="CV134" s="27" t="s">
        <v>7</v>
      </c>
      <c r="CW134" s="27" t="s">
        <v>8</v>
      </c>
      <c r="CX134" s="27" t="s">
        <v>7</v>
      </c>
      <c r="CY134" s="31"/>
      <c r="CZ134" s="27" t="s">
        <v>7</v>
      </c>
      <c r="DB134" s="27" t="s">
        <v>7</v>
      </c>
    </row>
    <row r="135" spans="1:114" x14ac:dyDescent="0.25">
      <c r="A135" s="30">
        <v>167.83263083479633</v>
      </c>
      <c r="C135" s="1" t="s">
        <v>14</v>
      </c>
      <c r="E135"/>
      <c r="I135" s="27" t="s">
        <v>8</v>
      </c>
      <c r="J135" s="27" t="s">
        <v>7</v>
      </c>
      <c r="K135" s="27" t="s">
        <v>8</v>
      </c>
      <c r="L135" s="27" t="s">
        <v>7</v>
      </c>
      <c r="BM135" s="27" t="s">
        <v>8</v>
      </c>
      <c r="BW135" s="31"/>
      <c r="CB135" s="27" t="s">
        <v>7</v>
      </c>
      <c r="CC135" s="27" t="s">
        <v>8</v>
      </c>
      <c r="CD135" s="27" t="s">
        <v>7</v>
      </c>
      <c r="CE135" s="27" t="s">
        <v>8</v>
      </c>
      <c r="CH135" s="27" t="s">
        <v>7</v>
      </c>
      <c r="CJ135" s="27" t="s">
        <v>7</v>
      </c>
      <c r="CM135" s="27" t="s">
        <v>8</v>
      </c>
      <c r="CN135" s="27" t="s">
        <v>7</v>
      </c>
      <c r="CO135" s="27" t="s">
        <v>8</v>
      </c>
      <c r="CT135" s="27" t="s">
        <v>7</v>
      </c>
      <c r="CU135" s="27" t="s">
        <v>8</v>
      </c>
      <c r="CV135" s="27" t="s">
        <v>7</v>
      </c>
      <c r="CW135" s="27" t="s">
        <v>8</v>
      </c>
      <c r="CX135" s="31"/>
      <c r="DB135" s="27" t="s">
        <v>7</v>
      </c>
    </row>
    <row r="136" spans="1:114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  <c r="G136" s="27" t="s">
        <v>8</v>
      </c>
      <c r="I136" s="27" t="s">
        <v>8</v>
      </c>
      <c r="J136" s="27" t="s">
        <v>7</v>
      </c>
      <c r="K136" s="27" t="s">
        <v>8</v>
      </c>
      <c r="L136" s="27" t="s">
        <v>7</v>
      </c>
      <c r="BM136" s="27" t="s">
        <v>8</v>
      </c>
      <c r="BV136" s="31"/>
      <c r="CB136" s="27" t="s">
        <v>7</v>
      </c>
      <c r="CC136" s="27" t="s">
        <v>8</v>
      </c>
      <c r="CD136" s="27" t="s">
        <v>7</v>
      </c>
      <c r="CE136" s="27" t="s">
        <v>8</v>
      </c>
      <c r="CJ136" s="33" t="s">
        <v>7</v>
      </c>
      <c r="CM136" s="27" t="s">
        <v>8</v>
      </c>
      <c r="CN136" s="27" t="s">
        <v>7</v>
      </c>
      <c r="CO136" s="27" t="s">
        <v>8</v>
      </c>
      <c r="CT136" s="27" t="s">
        <v>7</v>
      </c>
      <c r="CV136" s="27" t="s">
        <v>7</v>
      </c>
      <c r="CW136" s="31" t="s">
        <v>8</v>
      </c>
      <c r="DB136" s="27" t="s">
        <v>7</v>
      </c>
    </row>
    <row r="137" spans="1:114" x14ac:dyDescent="0.25">
      <c r="A137" s="30">
        <v>152.22914361432771</v>
      </c>
      <c r="E137"/>
      <c r="G137" s="27" t="s">
        <v>8</v>
      </c>
      <c r="H137" s="27" t="s">
        <v>7</v>
      </c>
      <c r="I137" s="27" t="s">
        <v>8</v>
      </c>
      <c r="J137" s="27" t="s">
        <v>7</v>
      </c>
      <c r="K137" s="27" t="s">
        <v>8</v>
      </c>
      <c r="L137" s="27" t="s">
        <v>7</v>
      </c>
      <c r="BI137" s="27" t="s">
        <v>8</v>
      </c>
      <c r="BM137" s="27" t="s">
        <v>8</v>
      </c>
      <c r="BU137" s="31"/>
      <c r="CB137" s="27" t="s">
        <v>7</v>
      </c>
      <c r="CC137" s="27" t="s">
        <v>8</v>
      </c>
      <c r="CD137" s="27" t="s">
        <v>7</v>
      </c>
      <c r="CE137" s="27" t="s">
        <v>8</v>
      </c>
      <c r="CJ137" s="27" t="s">
        <v>7</v>
      </c>
      <c r="CM137" s="34" t="s">
        <v>8</v>
      </c>
      <c r="CN137" s="27" t="s">
        <v>7</v>
      </c>
      <c r="CO137" s="27" t="s">
        <v>8</v>
      </c>
      <c r="CV137" s="31" t="s">
        <v>7</v>
      </c>
      <c r="DB137" s="27" t="s">
        <v>7</v>
      </c>
      <c r="DG137" s="27" t="s">
        <v>8</v>
      </c>
      <c r="DI137" s="27" t="s">
        <v>8</v>
      </c>
    </row>
    <row r="138" spans="1:114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  <c r="G138" s="27" t="s">
        <v>8</v>
      </c>
      <c r="H138" s="27" t="s">
        <v>7</v>
      </c>
      <c r="I138" s="27" t="s">
        <v>8</v>
      </c>
      <c r="J138" s="27" t="s">
        <v>7</v>
      </c>
      <c r="K138" s="27" t="s">
        <v>8</v>
      </c>
      <c r="L138" s="27" t="s">
        <v>7</v>
      </c>
      <c r="W138" s="27" t="s">
        <v>8</v>
      </c>
      <c r="BI138" s="27" t="s">
        <v>8</v>
      </c>
      <c r="BJ138" s="27" t="s">
        <v>7</v>
      </c>
      <c r="BM138" s="27" t="s">
        <v>8</v>
      </c>
      <c r="BT138" s="31"/>
      <c r="CB138" s="27" t="s">
        <v>7</v>
      </c>
      <c r="CD138" s="27" t="s">
        <v>7</v>
      </c>
      <c r="CE138" s="27" t="s">
        <v>8</v>
      </c>
      <c r="CJ138" s="27" t="s">
        <v>7</v>
      </c>
      <c r="CK138" s="27" t="s">
        <v>8</v>
      </c>
      <c r="CM138" s="27" t="s">
        <v>8</v>
      </c>
      <c r="CN138" s="27" t="s">
        <v>7</v>
      </c>
      <c r="CO138" s="27" t="s">
        <v>8</v>
      </c>
      <c r="CR138" s="31"/>
      <c r="DB138" s="27" t="s">
        <v>7</v>
      </c>
      <c r="DC138" s="27" t="s">
        <v>8</v>
      </c>
      <c r="DE138" s="27" t="s">
        <v>8</v>
      </c>
      <c r="DG138" s="27" t="s">
        <v>8</v>
      </c>
      <c r="DH138" s="27" t="s">
        <v>7</v>
      </c>
      <c r="DI138" s="27" t="s">
        <v>8</v>
      </c>
      <c r="DJ138" s="27" t="s">
        <v>7</v>
      </c>
    </row>
    <row r="139" spans="1:114" x14ac:dyDescent="0.25">
      <c r="A139" s="30">
        <v>138.07632073861922</v>
      </c>
      <c r="E139" t="s">
        <v>8</v>
      </c>
      <c r="G139" s="27" t="s">
        <v>8</v>
      </c>
      <c r="H139" s="27" t="s">
        <v>7</v>
      </c>
      <c r="I139" s="27" t="s">
        <v>8</v>
      </c>
      <c r="J139" s="27" t="s">
        <v>7</v>
      </c>
      <c r="K139" s="27" t="s">
        <v>8</v>
      </c>
      <c r="L139" s="27" t="s">
        <v>7</v>
      </c>
      <c r="W139" s="27" t="s">
        <v>8</v>
      </c>
      <c r="X139" s="27" t="s">
        <v>7</v>
      </c>
      <c r="BI139" s="27" t="s">
        <v>8</v>
      </c>
      <c r="BJ139" s="27" t="s">
        <v>7</v>
      </c>
      <c r="BM139" s="27" t="s">
        <v>8</v>
      </c>
      <c r="BS139" s="31"/>
      <c r="CD139" s="27" t="s">
        <v>7</v>
      </c>
      <c r="CE139" s="27" t="s">
        <v>8</v>
      </c>
      <c r="CJ139" s="27" t="s">
        <v>7</v>
      </c>
      <c r="CK139" s="27" t="s">
        <v>8</v>
      </c>
      <c r="CL139" s="27" t="s">
        <v>7</v>
      </c>
      <c r="CM139" s="27" t="s">
        <v>8</v>
      </c>
      <c r="CN139" s="27" t="s">
        <v>7</v>
      </c>
      <c r="CO139" s="27" t="s">
        <v>8</v>
      </c>
      <c r="CQ139" s="31"/>
      <c r="DB139" s="27" t="s">
        <v>7</v>
      </c>
      <c r="DC139" s="27" t="s">
        <v>8</v>
      </c>
      <c r="DD139" s="27" t="s">
        <v>7</v>
      </c>
      <c r="DE139" s="27" t="s">
        <v>8</v>
      </c>
      <c r="DF139" s="27" t="s">
        <v>7</v>
      </c>
      <c r="DG139" s="27" t="s">
        <v>8</v>
      </c>
      <c r="DH139" s="27" t="s">
        <v>7</v>
      </c>
      <c r="DI139" s="27" t="s">
        <v>8</v>
      </c>
      <c r="DJ139" s="27" t="s">
        <v>7</v>
      </c>
    </row>
    <row r="140" spans="1:114" x14ac:dyDescent="0.25">
      <c r="A140" s="30">
        <v>131.50125784630401</v>
      </c>
      <c r="C140" s="1">
        <v>0</v>
      </c>
      <c r="E140" t="s">
        <v>8</v>
      </c>
      <c r="F140" s="27" t="s">
        <v>7</v>
      </c>
      <c r="G140" s="27" t="s">
        <v>8</v>
      </c>
      <c r="H140" s="27" t="s">
        <v>7</v>
      </c>
      <c r="J140" s="27" t="s">
        <v>7</v>
      </c>
      <c r="L140" s="27" t="s">
        <v>7</v>
      </c>
      <c r="W140" s="27" t="s">
        <v>8</v>
      </c>
      <c r="X140" s="27" t="s">
        <v>7</v>
      </c>
      <c r="AA140" s="27" t="s">
        <v>8</v>
      </c>
      <c r="BI140" s="27" t="s">
        <v>8</v>
      </c>
      <c r="BJ140" s="27" t="s">
        <v>7</v>
      </c>
      <c r="BK140" s="27" t="s">
        <v>8</v>
      </c>
      <c r="BM140" s="27" t="s">
        <v>8</v>
      </c>
      <c r="BR140" s="31"/>
      <c r="CD140" s="27" t="s">
        <v>7</v>
      </c>
      <c r="CE140" s="27" t="s">
        <v>8</v>
      </c>
      <c r="CJ140" s="27" t="s">
        <v>7</v>
      </c>
      <c r="CK140" s="27" t="s">
        <v>8</v>
      </c>
      <c r="CL140" s="27" t="s">
        <v>7</v>
      </c>
      <c r="CM140" s="27" t="s">
        <v>8</v>
      </c>
      <c r="CN140" s="27" t="s">
        <v>7</v>
      </c>
      <c r="CO140" s="27" t="s">
        <v>8</v>
      </c>
      <c r="CP140" s="31"/>
      <c r="DB140" s="27" t="s">
        <v>7</v>
      </c>
      <c r="DC140" s="27" t="s">
        <v>8</v>
      </c>
      <c r="DD140" s="27" t="s">
        <v>7</v>
      </c>
      <c r="DE140" s="27" t="s">
        <v>8</v>
      </c>
      <c r="DF140" s="27" t="s">
        <v>7</v>
      </c>
      <c r="DG140" s="27" t="s">
        <v>8</v>
      </c>
      <c r="DH140" s="27" t="s">
        <v>7</v>
      </c>
      <c r="DI140" s="27" t="s">
        <v>8</v>
      </c>
      <c r="DJ140" s="27" t="s">
        <v>7</v>
      </c>
    </row>
    <row r="141" spans="1:114" x14ac:dyDescent="0.25">
      <c r="A141" s="30">
        <v>125.23929318695619</v>
      </c>
      <c r="C141" s="1">
        <v>1</v>
      </c>
      <c r="E141" t="s">
        <v>8</v>
      </c>
      <c r="F141" s="27" t="s">
        <v>7</v>
      </c>
      <c r="G141" s="27" t="s">
        <v>8</v>
      </c>
      <c r="L141" s="27" t="s">
        <v>7</v>
      </c>
      <c r="W141" s="27" t="s">
        <v>8</v>
      </c>
      <c r="X141" s="27" t="s">
        <v>7</v>
      </c>
      <c r="AA141" s="27" t="s">
        <v>8</v>
      </c>
      <c r="AB141" s="27" t="s">
        <v>7</v>
      </c>
      <c r="BI141" s="27" t="s">
        <v>8</v>
      </c>
      <c r="BJ141" s="27" t="s">
        <v>7</v>
      </c>
      <c r="BK141" s="27" t="s">
        <v>8</v>
      </c>
      <c r="BL141" s="27" t="s">
        <v>7</v>
      </c>
      <c r="BM141" s="27" t="s">
        <v>8</v>
      </c>
      <c r="BQ141" s="31"/>
      <c r="CD141" s="27" t="s">
        <v>7</v>
      </c>
      <c r="CJ141" s="27" t="s">
        <v>7</v>
      </c>
      <c r="CK141" s="27" t="s">
        <v>8</v>
      </c>
      <c r="CL141" s="27" t="s">
        <v>7</v>
      </c>
      <c r="CM141" s="27" t="s">
        <v>8</v>
      </c>
      <c r="CN141" s="27" t="s">
        <v>7</v>
      </c>
      <c r="CO141" s="31" t="s">
        <v>8</v>
      </c>
      <c r="DB141" s="27" t="s">
        <v>7</v>
      </c>
      <c r="DC141" s="27" t="s">
        <v>8</v>
      </c>
      <c r="DD141" s="27" t="s">
        <v>7</v>
      </c>
      <c r="DF141" s="27" t="s">
        <v>7</v>
      </c>
      <c r="DH141" s="27" t="s">
        <v>7</v>
      </c>
      <c r="DI141" s="27" t="s">
        <v>8</v>
      </c>
      <c r="DJ141" s="27" t="s">
        <v>7</v>
      </c>
    </row>
    <row r="142" spans="1:114" x14ac:dyDescent="0.25">
      <c r="A142" s="30">
        <v>119.27551732091065</v>
      </c>
      <c r="C142" s="1">
        <v>2</v>
      </c>
      <c r="E142" t="s">
        <v>8</v>
      </c>
      <c r="F142" s="27" t="s">
        <v>7</v>
      </c>
      <c r="G142" s="27" t="s">
        <v>8</v>
      </c>
      <c r="L142" s="27" t="s">
        <v>7</v>
      </c>
      <c r="M142" s="27" t="s">
        <v>8</v>
      </c>
      <c r="W142" s="27" t="s">
        <v>8</v>
      </c>
      <c r="X142" s="27" t="s">
        <v>7</v>
      </c>
      <c r="AA142" s="27" t="s">
        <v>8</v>
      </c>
      <c r="AB142" s="27" t="s">
        <v>7</v>
      </c>
      <c r="AY142" s="27" t="s">
        <v>8</v>
      </c>
      <c r="BC142" s="27" t="s">
        <v>8</v>
      </c>
      <c r="BI142" s="27" t="s">
        <v>8</v>
      </c>
      <c r="BJ142" s="27" t="s">
        <v>7</v>
      </c>
      <c r="BK142" s="27" t="s">
        <v>8</v>
      </c>
      <c r="BL142" s="27" t="s">
        <v>7</v>
      </c>
      <c r="BM142" s="27" t="s">
        <v>8</v>
      </c>
      <c r="BP142" s="31"/>
      <c r="CJ142" s="27" t="s">
        <v>7</v>
      </c>
      <c r="CK142" s="27" t="s">
        <v>8</v>
      </c>
      <c r="CL142" s="27" t="s">
        <v>7</v>
      </c>
      <c r="CM142" s="27" t="s">
        <v>8</v>
      </c>
      <c r="CN142" s="31" t="s">
        <v>7</v>
      </c>
      <c r="DB142" s="27" t="s">
        <v>7</v>
      </c>
      <c r="DC142" s="27" t="s">
        <v>8</v>
      </c>
      <c r="DH142" s="27" t="s">
        <v>7</v>
      </c>
      <c r="DJ142" s="27" t="s">
        <v>7</v>
      </c>
    </row>
    <row r="143" spans="1:114" x14ac:dyDescent="0.25">
      <c r="A143" s="30">
        <v>113.59573078181967</v>
      </c>
      <c r="C143" s="1">
        <v>3</v>
      </c>
      <c r="E143" t="s">
        <v>8</v>
      </c>
      <c r="F143" s="27" t="s">
        <v>7</v>
      </c>
      <c r="G143" s="27" t="s">
        <v>8</v>
      </c>
      <c r="L143" s="27" t="s">
        <v>7</v>
      </c>
      <c r="M143" s="27" t="s">
        <v>8</v>
      </c>
      <c r="N143" s="27" t="s">
        <v>7</v>
      </c>
      <c r="W143" s="27" t="s">
        <v>8</v>
      </c>
      <c r="X143" s="27" t="s">
        <v>7</v>
      </c>
      <c r="Y143" s="27" t="s">
        <v>8</v>
      </c>
      <c r="AA143" s="27" t="s">
        <v>8</v>
      </c>
      <c r="AB143" s="27" t="s">
        <v>7</v>
      </c>
      <c r="AY143" s="27" t="s">
        <v>8</v>
      </c>
      <c r="AZ143" s="27" t="s">
        <v>7</v>
      </c>
      <c r="BA143" s="27" t="s">
        <v>8</v>
      </c>
      <c r="BC143" s="27" t="s">
        <v>8</v>
      </c>
      <c r="BD143" s="27" t="s">
        <v>7</v>
      </c>
      <c r="BI143" s="27" t="s">
        <v>8</v>
      </c>
      <c r="BJ143" s="27" t="s">
        <v>7</v>
      </c>
      <c r="BK143" s="27" t="s">
        <v>8</v>
      </c>
      <c r="BL143" s="27" t="s">
        <v>7</v>
      </c>
      <c r="BM143" s="27" t="s">
        <v>8</v>
      </c>
      <c r="BO143" s="31"/>
      <c r="CJ143" s="27" t="s">
        <v>7</v>
      </c>
      <c r="CK143" s="27" t="s">
        <v>8</v>
      </c>
      <c r="CL143" s="27" t="s">
        <v>7</v>
      </c>
      <c r="DB143" s="27" t="s">
        <v>7</v>
      </c>
      <c r="DJ143" s="27" t="s">
        <v>7</v>
      </c>
    </row>
    <row r="144" spans="1:114" x14ac:dyDescent="0.25">
      <c r="A144" s="30">
        <v>108.18641026839968</v>
      </c>
      <c r="C144" s="1">
        <v>4</v>
      </c>
      <c r="E144" t="s">
        <v>8</v>
      </c>
      <c r="F144" s="27" t="s">
        <v>7</v>
      </c>
      <c r="L144" s="27" t="s">
        <v>7</v>
      </c>
      <c r="M144" s="27" t="s">
        <v>8</v>
      </c>
      <c r="N144" s="27" t="s">
        <v>7</v>
      </c>
      <c r="W144" s="27" t="s">
        <v>8</v>
      </c>
      <c r="X144" s="27" t="s">
        <v>7</v>
      </c>
      <c r="Y144" s="27" t="s">
        <v>8</v>
      </c>
      <c r="Z144" s="27" t="s">
        <v>7</v>
      </c>
      <c r="AA144" s="27" t="s">
        <v>8</v>
      </c>
      <c r="AB144" s="27" t="s">
        <v>7</v>
      </c>
      <c r="AY144" s="27" t="s">
        <v>8</v>
      </c>
      <c r="AZ144" s="27" t="s">
        <v>7</v>
      </c>
      <c r="BA144" s="27" t="s">
        <v>8</v>
      </c>
      <c r="BB144" s="27" t="s">
        <v>7</v>
      </c>
      <c r="BC144" s="27" t="s">
        <v>8</v>
      </c>
      <c r="BD144" s="27" t="s">
        <v>7</v>
      </c>
      <c r="BE144" s="32" t="s">
        <v>8</v>
      </c>
      <c r="BG144" s="32" t="s">
        <v>8</v>
      </c>
      <c r="BI144" s="27" t="s">
        <v>8</v>
      </c>
      <c r="BJ144" s="27" t="s">
        <v>7</v>
      </c>
      <c r="BL144" s="27" t="s">
        <v>7</v>
      </c>
      <c r="BM144" s="27" t="s">
        <v>8</v>
      </c>
      <c r="BN144" s="31"/>
      <c r="CJ144" s="27" t="s">
        <v>7</v>
      </c>
      <c r="CK144" s="27" t="s">
        <v>8</v>
      </c>
      <c r="DJ144" s="27" t="s">
        <v>7</v>
      </c>
    </row>
    <row r="145" spans="1:115" x14ac:dyDescent="0.25">
      <c r="A145" s="30">
        <v>103.03467644609493</v>
      </c>
      <c r="E145" t="s">
        <v>8</v>
      </c>
      <c r="L145" s="27" t="s">
        <v>7</v>
      </c>
      <c r="M145" s="27" t="s">
        <v>8</v>
      </c>
      <c r="N145" s="27" t="s">
        <v>7</v>
      </c>
      <c r="Q145" s="27" t="s">
        <v>8</v>
      </c>
      <c r="W145" s="27" t="s">
        <v>8</v>
      </c>
      <c r="X145" s="27" t="s">
        <v>7</v>
      </c>
      <c r="Y145" s="27" t="s">
        <v>8</v>
      </c>
      <c r="Z145" s="27" t="s">
        <v>7</v>
      </c>
      <c r="AA145" s="27" t="s">
        <v>8</v>
      </c>
      <c r="AB145" s="27" t="s">
        <v>7</v>
      </c>
      <c r="AQ145" s="27" t="s">
        <v>8</v>
      </c>
      <c r="AY145" s="27" t="s">
        <v>8</v>
      </c>
      <c r="AZ145" s="27" t="s">
        <v>7</v>
      </c>
      <c r="BA145" s="27" t="s">
        <v>8</v>
      </c>
      <c r="BB145" s="27" t="s">
        <v>7</v>
      </c>
      <c r="BC145" s="27" t="s">
        <v>8</v>
      </c>
      <c r="BD145" s="27" t="s">
        <v>7</v>
      </c>
      <c r="BE145" s="27" t="s">
        <v>8</v>
      </c>
      <c r="BF145" s="27" t="s">
        <v>7</v>
      </c>
      <c r="BG145" s="27" t="s">
        <v>8</v>
      </c>
      <c r="BH145" s="27" t="s">
        <v>7</v>
      </c>
      <c r="BI145" s="27" t="s">
        <v>8</v>
      </c>
      <c r="BL145" s="27" t="s">
        <v>7</v>
      </c>
      <c r="BM145" s="31" t="s">
        <v>8</v>
      </c>
      <c r="CJ145" s="27" t="s">
        <v>7</v>
      </c>
      <c r="DJ145" s="27" t="s">
        <v>7</v>
      </c>
    </row>
    <row r="146" spans="1:115" x14ac:dyDescent="0.25">
      <c r="A146" s="30">
        <v>98.128263281995174</v>
      </c>
      <c r="E146" t="s">
        <v>8</v>
      </c>
      <c r="L146" s="27" t="s">
        <v>7</v>
      </c>
      <c r="N146" s="27" t="s">
        <v>7</v>
      </c>
      <c r="O146" s="27" t="s">
        <v>8</v>
      </c>
      <c r="Q146" s="27" t="s">
        <v>8</v>
      </c>
      <c r="R146" s="27" t="s">
        <v>7</v>
      </c>
      <c r="W146" s="27" t="s">
        <v>8</v>
      </c>
      <c r="X146" s="27" t="s">
        <v>7</v>
      </c>
      <c r="Y146" s="27" t="s">
        <v>8</v>
      </c>
      <c r="Z146" s="27" t="s">
        <v>7</v>
      </c>
      <c r="AA146" s="27" t="s">
        <v>8</v>
      </c>
      <c r="AB146" s="27" t="s">
        <v>7</v>
      </c>
      <c r="AQ146" s="27" t="s">
        <v>8</v>
      </c>
      <c r="AR146" s="27" t="s">
        <v>7</v>
      </c>
      <c r="AS146" s="27" t="s">
        <v>8</v>
      </c>
      <c r="AY146" s="27" t="s">
        <v>8</v>
      </c>
      <c r="AZ146" s="27" t="s">
        <v>7</v>
      </c>
      <c r="BA146" s="27" t="s">
        <v>8</v>
      </c>
      <c r="BB146" s="27" t="s">
        <v>7</v>
      </c>
      <c r="BC146" s="27" t="s">
        <v>8</v>
      </c>
      <c r="BD146" s="27" t="s">
        <v>7</v>
      </c>
      <c r="BE146" s="27" t="s">
        <v>8</v>
      </c>
      <c r="BF146" s="27" t="s">
        <v>7</v>
      </c>
      <c r="BG146" s="27" t="s">
        <v>8</v>
      </c>
      <c r="BH146" s="27" t="s">
        <v>7</v>
      </c>
      <c r="BI146" s="27" t="s">
        <v>8</v>
      </c>
      <c r="BL146" s="31" t="s">
        <v>7</v>
      </c>
      <c r="DJ146" s="27" t="s">
        <v>7</v>
      </c>
      <c r="DK146" s="27" t="s">
        <v>8</v>
      </c>
    </row>
    <row r="147" spans="1:115" x14ac:dyDescent="0.25">
      <c r="A147" s="30">
        <v>93.455488839995397</v>
      </c>
      <c r="E147" t="s">
        <v>8</v>
      </c>
      <c r="N147" s="27" t="s">
        <v>7</v>
      </c>
      <c r="O147" s="27" t="s">
        <v>8</v>
      </c>
      <c r="P147" s="27" t="s">
        <v>7</v>
      </c>
      <c r="Q147" s="27" t="s">
        <v>8</v>
      </c>
      <c r="R147" s="27" t="s">
        <v>7</v>
      </c>
      <c r="W147" s="27" t="s">
        <v>8</v>
      </c>
      <c r="X147" s="27" t="s">
        <v>7</v>
      </c>
      <c r="Z147" s="27" t="s">
        <v>7</v>
      </c>
      <c r="AB147" s="27" t="s">
        <v>7</v>
      </c>
      <c r="AC147" s="27" t="s">
        <v>8</v>
      </c>
      <c r="AO147" s="27" t="s">
        <v>8</v>
      </c>
      <c r="AQ147" s="27" t="s">
        <v>8</v>
      </c>
      <c r="AR147" s="27" t="s">
        <v>7</v>
      </c>
      <c r="AS147" s="27" t="s">
        <v>8</v>
      </c>
      <c r="AT147" s="27" t="s">
        <v>7</v>
      </c>
      <c r="AY147" s="27" t="s">
        <v>8</v>
      </c>
      <c r="AZ147" s="27" t="s">
        <v>7</v>
      </c>
      <c r="BA147" s="27" t="s">
        <v>8</v>
      </c>
      <c r="BB147" s="27" t="s">
        <v>7</v>
      </c>
      <c r="BC147" s="27" t="s">
        <v>8</v>
      </c>
      <c r="BD147" s="27" t="s">
        <v>7</v>
      </c>
      <c r="BE147" s="27" t="s">
        <v>8</v>
      </c>
      <c r="BF147" s="27" t="s">
        <v>7</v>
      </c>
      <c r="BG147" s="27" t="s">
        <v>8</v>
      </c>
      <c r="BH147" s="27" t="s">
        <v>7</v>
      </c>
      <c r="DJ147" s="27" t="s">
        <v>7</v>
      </c>
      <c r="DK147" s="27" t="s">
        <v>8</v>
      </c>
    </row>
    <row r="148" spans="1:115" x14ac:dyDescent="0.25">
      <c r="A148" s="30">
        <v>89.005227466662276</v>
      </c>
      <c r="E148" t="s">
        <v>8</v>
      </c>
      <c r="N148" s="27" t="s">
        <v>7</v>
      </c>
      <c r="O148" s="27" t="s">
        <v>8</v>
      </c>
      <c r="P148" s="27" t="s">
        <v>7</v>
      </c>
      <c r="Q148" s="27" t="s">
        <v>8</v>
      </c>
      <c r="R148" s="27" t="s">
        <v>7</v>
      </c>
      <c r="W148" s="27" t="s">
        <v>8</v>
      </c>
      <c r="AB148" s="27" t="s">
        <v>7</v>
      </c>
      <c r="AC148" s="27" t="s">
        <v>8</v>
      </c>
      <c r="AD148" s="27" t="s">
        <v>7</v>
      </c>
      <c r="AO148" s="27" t="s">
        <v>8</v>
      </c>
      <c r="AP148" s="27" t="s">
        <v>7</v>
      </c>
      <c r="AQ148" s="27" t="s">
        <v>8</v>
      </c>
      <c r="AR148" s="27" t="s">
        <v>7</v>
      </c>
      <c r="AS148" s="27" t="s">
        <v>8</v>
      </c>
      <c r="AT148" s="27" t="s">
        <v>7</v>
      </c>
      <c r="AY148" s="27" t="s">
        <v>8</v>
      </c>
      <c r="AZ148" s="27" t="s">
        <v>7</v>
      </c>
      <c r="BA148" s="27" t="s">
        <v>8</v>
      </c>
      <c r="BB148" s="32" t="s">
        <v>7</v>
      </c>
      <c r="BD148" s="32" t="s">
        <v>7</v>
      </c>
      <c r="BF148" s="27" t="s">
        <v>7</v>
      </c>
      <c r="BG148" s="27" t="s">
        <v>8</v>
      </c>
      <c r="DJ148" s="27" t="s">
        <v>7</v>
      </c>
      <c r="DK148" s="27" t="s">
        <v>8</v>
      </c>
    </row>
    <row r="149" spans="1:115" x14ac:dyDescent="0.25">
      <c r="A149" s="30">
        <v>84.766883301583121</v>
      </c>
      <c r="E149" t="s">
        <v>8</v>
      </c>
      <c r="N149" s="27" t="s">
        <v>7</v>
      </c>
      <c r="O149" s="27" t="s">
        <v>8</v>
      </c>
      <c r="P149" s="27" t="s">
        <v>7</v>
      </c>
      <c r="R149" s="27" t="s">
        <v>7</v>
      </c>
      <c r="W149" s="27" t="s">
        <v>8</v>
      </c>
      <c r="AB149" s="27" t="s">
        <v>7</v>
      </c>
      <c r="AC149" s="27" t="s">
        <v>8</v>
      </c>
      <c r="AD149" s="27" t="s">
        <v>7</v>
      </c>
      <c r="AK149" s="27" t="s">
        <v>8</v>
      </c>
      <c r="AO149" s="27" t="s">
        <v>8</v>
      </c>
      <c r="AP149" s="27" t="s">
        <v>7</v>
      </c>
      <c r="AQ149" s="27" t="s">
        <v>8</v>
      </c>
      <c r="AR149" s="27" t="s">
        <v>7</v>
      </c>
      <c r="AT149" s="27" t="s">
        <v>7</v>
      </c>
      <c r="AY149" s="27" t="s">
        <v>8</v>
      </c>
      <c r="AZ149" s="27" t="s">
        <v>7</v>
      </c>
      <c r="BF149" s="27" t="s">
        <v>7</v>
      </c>
      <c r="DJ149" s="27" t="s">
        <v>7</v>
      </c>
      <c r="DK149" s="27" t="s">
        <v>8</v>
      </c>
    </row>
    <row r="150" spans="1:115" x14ac:dyDescent="0.25">
      <c r="A150" s="30">
        <v>80.730365049126775</v>
      </c>
      <c r="E150" t="s">
        <v>8</v>
      </c>
      <c r="N150" s="27" t="s">
        <v>7</v>
      </c>
      <c r="R150" s="27" t="s">
        <v>7</v>
      </c>
      <c r="W150" s="27" t="s">
        <v>8</v>
      </c>
      <c r="AB150" s="27" t="s">
        <v>7</v>
      </c>
      <c r="AD150" s="27" t="s">
        <v>7</v>
      </c>
      <c r="AI150" s="27" t="s">
        <v>8</v>
      </c>
      <c r="AK150" s="27" t="s">
        <v>8</v>
      </c>
      <c r="AL150" s="27" t="s">
        <v>7</v>
      </c>
      <c r="AM150" s="27" t="s">
        <v>8</v>
      </c>
      <c r="AO150" s="27" t="s">
        <v>8</v>
      </c>
      <c r="AP150" s="27" t="s">
        <v>7</v>
      </c>
      <c r="AT150" s="27" t="s">
        <v>7</v>
      </c>
      <c r="AY150" s="27" t="s">
        <v>8</v>
      </c>
      <c r="DJ150" s="27" t="s">
        <v>7</v>
      </c>
    </row>
    <row r="151" spans="1:115" x14ac:dyDescent="0.25">
      <c r="A151" s="30">
        <v>76.886061951549308</v>
      </c>
      <c r="E151" t="s">
        <v>8</v>
      </c>
      <c r="R151" s="27" t="s">
        <v>7</v>
      </c>
      <c r="W151" s="27" t="s">
        <v>8</v>
      </c>
      <c r="AD151" s="27" t="s">
        <v>7</v>
      </c>
      <c r="AG151" s="27" t="s">
        <v>8</v>
      </c>
      <c r="AI151" s="27" t="s">
        <v>8</v>
      </c>
      <c r="AJ151" s="27" t="s">
        <v>7</v>
      </c>
      <c r="AK151" s="27" t="s">
        <v>8</v>
      </c>
      <c r="AL151" s="27" t="s">
        <v>7</v>
      </c>
      <c r="AM151" s="27" t="s">
        <v>8</v>
      </c>
      <c r="AN151" s="27" t="s">
        <v>7</v>
      </c>
      <c r="AO151" s="27" t="s">
        <v>8</v>
      </c>
      <c r="AT151" s="27" t="s">
        <v>7</v>
      </c>
      <c r="AU151" s="32" t="s">
        <v>8</v>
      </c>
      <c r="AW151" s="32" t="s">
        <v>8</v>
      </c>
      <c r="AY151" s="27" t="s">
        <v>8</v>
      </c>
    </row>
    <row r="152" spans="1:115" x14ac:dyDescent="0.25">
      <c r="A152" s="30">
        <v>73.22482090623744</v>
      </c>
      <c r="E152" t="s">
        <v>8</v>
      </c>
      <c r="R152" s="27" t="s">
        <v>7</v>
      </c>
      <c r="S152" s="27" t="s">
        <v>8</v>
      </c>
      <c r="W152" s="27" t="s">
        <v>8</v>
      </c>
      <c r="AD152" s="27" t="s">
        <v>7</v>
      </c>
      <c r="AG152" s="27" t="s">
        <v>8</v>
      </c>
      <c r="AH152" s="27" t="s">
        <v>7</v>
      </c>
      <c r="AI152" s="27" t="s">
        <v>8</v>
      </c>
      <c r="AJ152" s="27" t="s">
        <v>7</v>
      </c>
      <c r="AK152" s="27" t="s">
        <v>8</v>
      </c>
      <c r="AL152" s="27" t="s">
        <v>7</v>
      </c>
      <c r="AM152" s="27" t="s">
        <v>8</v>
      </c>
      <c r="AN152" s="27" t="s">
        <v>7</v>
      </c>
      <c r="AO152" s="27" t="s">
        <v>8</v>
      </c>
      <c r="AT152" s="27" t="s">
        <v>7</v>
      </c>
      <c r="AU152" s="27" t="s">
        <v>8</v>
      </c>
      <c r="AV152" s="27" t="s">
        <v>7</v>
      </c>
      <c r="AW152" s="27" t="s">
        <v>8</v>
      </c>
      <c r="AX152" s="27" t="s">
        <v>7</v>
      </c>
      <c r="AY152" s="27" t="s">
        <v>8</v>
      </c>
    </row>
    <row r="153" spans="1:115" x14ac:dyDescent="0.25">
      <c r="A153" s="30">
        <v>69.737924672607079</v>
      </c>
      <c r="C153" s="7"/>
      <c r="D153"/>
      <c r="E153" t="s">
        <v>8</v>
      </c>
      <c r="R153" s="27" t="s">
        <v>7</v>
      </c>
      <c r="S153" s="27" t="s">
        <v>8</v>
      </c>
      <c r="T153" s="27" t="s">
        <v>7</v>
      </c>
      <c r="W153" s="27" t="s">
        <v>8</v>
      </c>
      <c r="AD153" s="27" t="s">
        <v>7</v>
      </c>
      <c r="AG153" s="27" t="s">
        <v>8</v>
      </c>
      <c r="AH153" s="27" t="s">
        <v>7</v>
      </c>
      <c r="AI153" s="27" t="s">
        <v>8</v>
      </c>
      <c r="AJ153" s="27" t="s">
        <v>7</v>
      </c>
      <c r="AL153" s="27" t="s">
        <v>7</v>
      </c>
      <c r="AM153" s="27" t="s">
        <v>8</v>
      </c>
      <c r="AN153" s="27" t="s">
        <v>7</v>
      </c>
      <c r="AO153" s="27" t="s">
        <v>8</v>
      </c>
      <c r="AT153" s="27" t="s">
        <v>7</v>
      </c>
      <c r="AU153" s="27" t="s">
        <v>8</v>
      </c>
      <c r="AV153" s="27" t="s">
        <v>7</v>
      </c>
      <c r="AW153" s="27" t="s">
        <v>8</v>
      </c>
      <c r="AX153" s="27" t="s">
        <v>7</v>
      </c>
      <c r="AY153" s="27" t="s">
        <v>8</v>
      </c>
    </row>
    <row r="154" spans="1:115" x14ac:dyDescent="0.25">
      <c r="A154" s="30">
        <v>66.417071116768639</v>
      </c>
      <c r="E154" t="s">
        <v>8</v>
      </c>
      <c r="R154" s="27" t="s">
        <v>7</v>
      </c>
      <c r="S154" s="27" t="s">
        <v>8</v>
      </c>
      <c r="T154" s="27" t="s">
        <v>7</v>
      </c>
      <c r="W154" s="27" t="s">
        <v>8</v>
      </c>
      <c r="AD154" s="27" t="s">
        <v>7</v>
      </c>
      <c r="AG154" s="27" t="s">
        <v>8</v>
      </c>
      <c r="AH154" s="27" t="s">
        <v>7</v>
      </c>
      <c r="AI154" s="27" t="s">
        <v>8</v>
      </c>
      <c r="AL154" s="27" t="s">
        <v>7</v>
      </c>
      <c r="AN154" s="27" t="s">
        <v>7</v>
      </c>
      <c r="AT154" s="27" t="s">
        <v>7</v>
      </c>
      <c r="AU154" s="27" t="s">
        <v>8</v>
      </c>
      <c r="AV154" s="27" t="s">
        <v>7</v>
      </c>
      <c r="AX154" s="27" t="s">
        <v>7</v>
      </c>
      <c r="AY154" s="27" t="s">
        <v>8</v>
      </c>
    </row>
    <row r="155" spans="1:115" x14ac:dyDescent="0.25">
      <c r="A155" s="30">
        <v>63.254353444541557</v>
      </c>
      <c r="E155" t="s">
        <v>8</v>
      </c>
      <c r="R155" s="27" t="s">
        <v>7</v>
      </c>
      <c r="S155" s="27" t="s">
        <v>8</v>
      </c>
      <c r="T155" s="27" t="s">
        <v>7</v>
      </c>
      <c r="W155" s="27" t="s">
        <v>8</v>
      </c>
      <c r="AD155" s="27" t="s">
        <v>7</v>
      </c>
      <c r="AG155" s="27" t="s">
        <v>8</v>
      </c>
      <c r="AH155" s="27" t="s">
        <v>7</v>
      </c>
      <c r="AT155" s="27" t="s">
        <v>7</v>
      </c>
      <c r="AX155" s="27" t="s">
        <v>7</v>
      </c>
    </row>
    <row r="156" spans="1:115" x14ac:dyDescent="0.25">
      <c r="A156" s="30">
        <v>60.242241375753864</v>
      </c>
      <c r="C156"/>
      <c r="D156"/>
      <c r="E156" t="s">
        <v>8</v>
      </c>
      <c r="R156" s="27" t="s">
        <v>7</v>
      </c>
      <c r="T156" s="27" t="s">
        <v>7</v>
      </c>
      <c r="W156" s="27" t="s">
        <v>8</v>
      </c>
      <c r="AD156" s="27" t="s">
        <v>7</v>
      </c>
      <c r="AG156" s="27" t="s">
        <v>8</v>
      </c>
    </row>
    <row r="157" spans="1:115" x14ac:dyDescent="0.25">
      <c r="A157" s="30">
        <v>57.373563215003678</v>
      </c>
      <c r="E157" t="s">
        <v>8</v>
      </c>
      <c r="T157" s="27" t="s">
        <v>7</v>
      </c>
      <c r="U157" s="27" t="s">
        <v>8</v>
      </c>
      <c r="W157" s="27" t="s">
        <v>8</v>
      </c>
      <c r="AD157" s="27" t="s">
        <v>7</v>
      </c>
      <c r="AG157" s="27" t="s">
        <v>8</v>
      </c>
    </row>
    <row r="158" spans="1:115" x14ac:dyDescent="0.25">
      <c r="A158" s="30">
        <v>54.641488776193974</v>
      </c>
      <c r="E158" t="s">
        <v>8</v>
      </c>
      <c r="T158" s="27" t="s">
        <v>7</v>
      </c>
      <c r="U158" s="27" t="s">
        <v>8</v>
      </c>
      <c r="V158" s="27" t="s">
        <v>7</v>
      </c>
      <c r="W158" s="27" t="s">
        <v>8</v>
      </c>
      <c r="AD158" s="27" t="s">
        <v>7</v>
      </c>
      <c r="AG158" s="27" t="s">
        <v>8</v>
      </c>
    </row>
    <row r="159" spans="1:115" x14ac:dyDescent="0.25">
      <c r="A159" s="30">
        <v>52.039513120184736</v>
      </c>
      <c r="E159" t="s">
        <v>8</v>
      </c>
      <c r="T159" s="27" t="s">
        <v>7</v>
      </c>
      <c r="U159" s="27" t="s">
        <v>8</v>
      </c>
      <c r="V159" s="27" t="s">
        <v>7</v>
      </c>
      <c r="W159" s="27" t="s">
        <v>8</v>
      </c>
      <c r="AD159" s="27" t="s">
        <v>7</v>
      </c>
      <c r="AG159" s="27" t="s">
        <v>8</v>
      </c>
    </row>
    <row r="160" spans="1:115" x14ac:dyDescent="0.25">
      <c r="A160" s="30">
        <v>49.561441066842605</v>
      </c>
      <c r="C160"/>
      <c r="E160" t="s">
        <v>8</v>
      </c>
      <c r="T160" s="27" t="s">
        <v>7</v>
      </c>
      <c r="V160" s="27" t="s">
        <v>7</v>
      </c>
      <c r="W160" s="27" t="s">
        <v>8</v>
      </c>
      <c r="AD160" s="27" t="s">
        <v>7</v>
      </c>
      <c r="AE160" s="27" t="s">
        <v>8</v>
      </c>
      <c r="AG160" s="27" t="s">
        <v>8</v>
      </c>
    </row>
    <row r="161" spans="1:33" x14ac:dyDescent="0.25">
      <c r="A161" s="30">
        <v>47.201372444612005</v>
      </c>
      <c r="E161" t="s">
        <v>8</v>
      </c>
      <c r="V161" s="27" t="s">
        <v>7</v>
      </c>
      <c r="W161" s="27" t="s">
        <v>8</v>
      </c>
      <c r="AD161" s="27" t="s">
        <v>7</v>
      </c>
      <c r="AE161" s="27" t="s">
        <v>8</v>
      </c>
      <c r="AF161" s="27" t="s">
        <v>7</v>
      </c>
      <c r="AG161" s="27" t="s">
        <v>8</v>
      </c>
    </row>
    <row r="162" spans="1:33" x14ac:dyDescent="0.25">
      <c r="A162" s="30">
        <v>44.95368804248762</v>
      </c>
      <c r="E162" t="s">
        <v>8</v>
      </c>
      <c r="V162" s="27" t="s">
        <v>7</v>
      </c>
      <c r="W162" s="27" t="s">
        <v>8</v>
      </c>
      <c r="AD162" s="27" t="s">
        <v>7</v>
      </c>
      <c r="AE162" s="27" t="s">
        <v>8</v>
      </c>
      <c r="AF162" s="27" t="s">
        <v>7</v>
      </c>
      <c r="AG162" s="27" t="s">
        <v>8</v>
      </c>
    </row>
    <row r="163" spans="1:33" x14ac:dyDescent="0.25">
      <c r="A163" s="30">
        <v>42.81303623094059</v>
      </c>
      <c r="E163" t="s">
        <v>8</v>
      </c>
      <c r="V163" s="27" t="s">
        <v>7</v>
      </c>
      <c r="W163" s="27" t="s">
        <v>8</v>
      </c>
      <c r="AD163" s="27" t="s">
        <v>7</v>
      </c>
      <c r="AE163" s="27" t="s">
        <v>8</v>
      </c>
      <c r="AF163" s="27" t="s">
        <v>7</v>
      </c>
      <c r="AG163" s="27" t="s">
        <v>8</v>
      </c>
    </row>
    <row r="164" spans="1:33" x14ac:dyDescent="0.25">
      <c r="A164" s="30">
        <v>40.774320219943419</v>
      </c>
      <c r="E164" t="s">
        <v>8</v>
      </c>
      <c r="V164" s="27" t="s">
        <v>7</v>
      </c>
      <c r="W164" s="27" t="s">
        <v>8</v>
      </c>
      <c r="AD164" s="27" t="s">
        <v>7</v>
      </c>
      <c r="AE164" s="27" t="s">
        <v>8</v>
      </c>
      <c r="AF164" s="27" t="s">
        <v>7</v>
      </c>
      <c r="AG164" s="27" t="s">
        <v>8</v>
      </c>
    </row>
    <row r="165" spans="1:33" x14ac:dyDescent="0.25">
      <c r="A165" s="30">
        <v>38.832685923755633</v>
      </c>
      <c r="E165" t="s">
        <v>8</v>
      </c>
      <c r="V165" s="27" t="s">
        <v>7</v>
      </c>
      <c r="AD165" s="27" t="s">
        <v>7</v>
      </c>
      <c r="AE165" s="27" t="s">
        <v>8</v>
      </c>
      <c r="AF165" s="27" t="s">
        <v>7</v>
      </c>
    </row>
    <row r="166" spans="1:33" x14ac:dyDescent="0.25">
      <c r="A166" s="30">
        <v>36.983510403576794</v>
      </c>
      <c r="E166" t="s">
        <v>8</v>
      </c>
      <c r="AD166" s="27" t="s">
        <v>7</v>
      </c>
      <c r="AE166" s="27" t="s">
        <v>8</v>
      </c>
    </row>
    <row r="167" spans="1:33" x14ac:dyDescent="0.25">
      <c r="A167" s="30">
        <v>35.222390860549325</v>
      </c>
      <c r="E167" t="s">
        <v>8</v>
      </c>
      <c r="AD167" s="27" t="s">
        <v>7</v>
      </c>
      <c r="AE167" s="27" t="s">
        <v>8</v>
      </c>
    </row>
    <row r="168" spans="1:33" x14ac:dyDescent="0.25">
      <c r="A168" s="30">
        <v>33.545134152904119</v>
      </c>
      <c r="E168" t="s">
        <v>8</v>
      </c>
      <c r="AD168" s="27" t="s">
        <v>7</v>
      </c>
      <c r="AE168" s="27" t="s">
        <v>8</v>
      </c>
    </row>
    <row r="169" spans="1:33" x14ac:dyDescent="0.25">
      <c r="A169" s="30">
        <v>31.947746812289637</v>
      </c>
      <c r="E169" t="s">
        <v>8</v>
      </c>
      <c r="AD169" s="27" t="s">
        <v>7</v>
      </c>
    </row>
    <row r="170" spans="1:33" x14ac:dyDescent="0.25">
      <c r="A170" s="30">
        <v>30.426425535513939</v>
      </c>
      <c r="E170" t="s">
        <v>8</v>
      </c>
    </row>
    <row r="171" spans="1:33" x14ac:dyDescent="0.25">
      <c r="A171" s="30">
        <v>28.977548129060892</v>
      </c>
      <c r="E171" t="s">
        <v>8</v>
      </c>
    </row>
    <row r="172" spans="1:33" x14ac:dyDescent="0.25">
      <c r="A172" s="30">
        <v>27.597664884819896</v>
      </c>
      <c r="E172" t="s">
        <v>8</v>
      </c>
    </row>
    <row r="173" spans="1:33" x14ac:dyDescent="0.25">
      <c r="A173" s="30">
        <v>26.283490366495137</v>
      </c>
      <c r="E173" t="s">
        <v>8</v>
      </c>
    </row>
    <row r="174" spans="1:33" x14ac:dyDescent="0.25">
      <c r="A174" s="30">
        <v>25.031895587138223</v>
      </c>
      <c r="E174" t="s">
        <v>8</v>
      </c>
    </row>
    <row r="175" spans="1:33" x14ac:dyDescent="0.25">
      <c r="A175" s="30">
        <v>23.839900559179259</v>
      </c>
      <c r="E175" t="s">
        <v>8</v>
      </c>
    </row>
    <row r="176" spans="1:33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457" operator="equal">
      <formula>$U$1</formula>
    </cfRule>
    <cfRule type="cellIs" dxfId="67" priority="1458" operator="equal">
      <formula>$S$1</formula>
    </cfRule>
  </conditionalFormatting>
  <conditionalFormatting sqref="D136">
    <cfRule type="cellIs" dxfId="66" priority="1455" operator="equal">
      <formula>$S$1</formula>
    </cfRule>
    <cfRule type="cellIs" dxfId="65" priority="1456" operator="equal">
      <formula>$U$1</formula>
    </cfRule>
  </conditionalFormatting>
  <conditionalFormatting sqref="C162">
    <cfRule type="cellIs" dxfId="64" priority="1453" operator="equal">
      <formula>$U$1</formula>
    </cfRule>
    <cfRule type="cellIs" dxfId="63" priority="1454" operator="equal">
      <formula>$S$1</formula>
    </cfRule>
  </conditionalFormatting>
  <conditionalFormatting sqref="D162">
    <cfRule type="cellIs" dxfId="62" priority="1451" operator="equal">
      <formula>$S$1</formula>
    </cfRule>
    <cfRule type="cellIs" dxfId="61" priority="1452" operator="equal">
      <formula>$U$1</formula>
    </cfRule>
  </conditionalFormatting>
  <conditionalFormatting sqref="C187">
    <cfRule type="cellIs" dxfId="60" priority="1449" operator="equal">
      <formula>$U$1</formula>
    </cfRule>
    <cfRule type="cellIs" dxfId="59" priority="1450" operator="equal">
      <formula>$S$1</formula>
    </cfRule>
  </conditionalFormatting>
  <conditionalFormatting sqref="D187">
    <cfRule type="cellIs" dxfId="58" priority="1447" operator="equal">
      <formula>$S$1</formula>
    </cfRule>
    <cfRule type="cellIs" dxfId="57" priority="1448" operator="equal">
      <formula>$U$1</formula>
    </cfRule>
  </conditionalFormatting>
  <conditionalFormatting sqref="C212">
    <cfRule type="cellIs" dxfId="56" priority="1445" operator="equal">
      <formula>$U$1</formula>
    </cfRule>
    <cfRule type="cellIs" dxfId="55" priority="1446" operator="equal">
      <formula>$S$1</formula>
    </cfRule>
  </conditionalFormatting>
  <conditionalFormatting sqref="D212">
    <cfRule type="cellIs" dxfId="54" priority="1443" operator="equal">
      <formula>$S$1</formula>
    </cfRule>
    <cfRule type="cellIs" dxfId="53" priority="1444" operator="equal">
      <formula>$U$1</formula>
    </cfRule>
  </conditionalFormatting>
  <conditionalFormatting sqref="C237">
    <cfRule type="cellIs" dxfId="52" priority="1441" operator="equal">
      <formula>$U$1</formula>
    </cfRule>
    <cfRule type="cellIs" dxfId="51" priority="1442" operator="equal">
      <formula>$S$1</formula>
    </cfRule>
  </conditionalFormatting>
  <conditionalFormatting sqref="D237">
    <cfRule type="cellIs" dxfId="50" priority="1439" operator="equal">
      <formula>$S$1</formula>
    </cfRule>
    <cfRule type="cellIs" dxfId="49" priority="1440" operator="equal">
      <formula>$U$1</formula>
    </cfRule>
  </conditionalFormatting>
  <conditionalFormatting sqref="C106">
    <cfRule type="cellIs" dxfId="48" priority="1437" operator="equal">
      <formula>$U$1</formula>
    </cfRule>
    <cfRule type="cellIs" dxfId="47" priority="1438" operator="equal">
      <formula>$S$1</formula>
    </cfRule>
  </conditionalFormatting>
  <conditionalFormatting sqref="D106">
    <cfRule type="cellIs" dxfId="46" priority="1435" operator="equal">
      <formula>$S$1</formula>
    </cfRule>
    <cfRule type="cellIs" dxfId="45" priority="1436" operator="equal">
      <formula>$U$1</formula>
    </cfRule>
  </conditionalFormatting>
  <conditionalFormatting sqref="C81">
    <cfRule type="cellIs" dxfId="44" priority="1433" operator="equal">
      <formula>$U$1</formula>
    </cfRule>
    <cfRule type="cellIs" dxfId="43" priority="1434" operator="equal">
      <formula>$S$1</formula>
    </cfRule>
  </conditionalFormatting>
  <conditionalFormatting sqref="D81">
    <cfRule type="cellIs" dxfId="42" priority="1431" operator="equal">
      <formula>$S$1</formula>
    </cfRule>
    <cfRule type="cellIs" dxfId="41" priority="1432" operator="equal">
      <formula>$U$1</formula>
    </cfRule>
  </conditionalFormatting>
  <conditionalFormatting sqref="C56">
    <cfRule type="cellIs" dxfId="40" priority="1429" operator="equal">
      <formula>$U$1</formula>
    </cfRule>
    <cfRule type="cellIs" dxfId="39" priority="1430" operator="equal">
      <formula>$S$1</formula>
    </cfRule>
  </conditionalFormatting>
  <conditionalFormatting sqref="D56">
    <cfRule type="cellIs" dxfId="38" priority="1427" operator="equal">
      <formula>$S$1</formula>
    </cfRule>
    <cfRule type="cellIs" dxfId="37" priority="1428" operator="equal">
      <formula>$U$1</formula>
    </cfRule>
  </conditionalFormatting>
  <conditionalFormatting sqref="C31">
    <cfRule type="cellIs" dxfId="36" priority="1425" operator="equal">
      <formula>$U$1</formula>
    </cfRule>
    <cfRule type="cellIs" dxfId="35" priority="1426" operator="equal">
      <formula>$S$1</formula>
    </cfRule>
  </conditionalFormatting>
  <conditionalFormatting sqref="D31">
    <cfRule type="cellIs" dxfId="34" priority="1423" operator="equal">
      <formula>$S$1</formula>
    </cfRule>
    <cfRule type="cellIs" dxfId="33" priority="142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52" zoomScale="90" zoomScaleNormal="90" workbookViewId="0">
      <pane xSplit="4" topLeftCell="G1" activePane="topRight" state="frozen"/>
      <selection activeCell="A109" sqref="A109"/>
      <selection pane="topRight" activeCell="AR74" sqref="AR7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39" x14ac:dyDescent="0.25">
      <c r="A49" s="30">
        <v>955.59381772732638</v>
      </c>
      <c r="C49" s="1">
        <f>C38</f>
        <v>0</v>
      </c>
      <c r="E49"/>
    </row>
    <row r="50" spans="1:39" x14ac:dyDescent="0.25">
      <c r="A50" s="30">
        <v>868.72165247938756</v>
      </c>
      <c r="C50"/>
      <c r="D50"/>
      <c r="E50"/>
    </row>
    <row r="51" spans="1:39" x14ac:dyDescent="0.25">
      <c r="A51" s="30">
        <v>789.74695679944318</v>
      </c>
      <c r="C51" s="1" t="s">
        <v>14</v>
      </c>
      <c r="E51"/>
    </row>
    <row r="52" spans="1:39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39" x14ac:dyDescent="0.25">
      <c r="A53" s="30">
        <v>652.68343537144051</v>
      </c>
      <c r="E53"/>
    </row>
    <row r="54" spans="1:39" x14ac:dyDescent="0.25">
      <c r="A54" s="30">
        <v>593.34857761040041</v>
      </c>
      <c r="E54"/>
    </row>
    <row r="55" spans="1:39" x14ac:dyDescent="0.25">
      <c r="A55" s="30">
        <v>539.40779782763673</v>
      </c>
      <c r="E55"/>
    </row>
    <row r="56" spans="1:39" x14ac:dyDescent="0.25">
      <c r="A56" s="30">
        <v>490.37072529785149</v>
      </c>
      <c r="E56"/>
    </row>
    <row r="57" spans="1:39" x14ac:dyDescent="0.25">
      <c r="A57" s="30">
        <v>445.79156845259223</v>
      </c>
      <c r="E57"/>
      <c r="AC57" s="31" t="s">
        <v>8</v>
      </c>
    </row>
    <row r="58" spans="1:39" x14ac:dyDescent="0.25">
      <c r="A58" s="30">
        <v>405.26506222962928</v>
      </c>
      <c r="E58"/>
      <c r="AA58" s="27" t="s">
        <v>8</v>
      </c>
      <c r="AC58" s="27" t="s">
        <v>8</v>
      </c>
      <c r="AD58" s="31" t="s">
        <v>7</v>
      </c>
    </row>
    <row r="59" spans="1:39" x14ac:dyDescent="0.25">
      <c r="A59" s="30">
        <v>368.42278384511752</v>
      </c>
      <c r="E59"/>
      <c r="AA59" s="34" t="s">
        <v>8</v>
      </c>
      <c r="AB59" s="27" t="s">
        <v>7</v>
      </c>
      <c r="AC59" s="27" t="s">
        <v>8</v>
      </c>
      <c r="AD59" s="27" t="s">
        <v>7</v>
      </c>
      <c r="AE59" s="31"/>
    </row>
    <row r="60" spans="1:39" x14ac:dyDescent="0.25">
      <c r="A60" s="30">
        <v>334.92980349556137</v>
      </c>
      <c r="E60"/>
      <c r="Y60" s="27" t="s">
        <v>8</v>
      </c>
      <c r="AA60" s="27" t="s">
        <v>8</v>
      </c>
      <c r="AB60" s="27" t="s">
        <v>7</v>
      </c>
      <c r="AC60" s="27" t="s">
        <v>8</v>
      </c>
      <c r="AD60" s="27" t="s">
        <v>7</v>
      </c>
      <c r="AF60" s="31"/>
    </row>
    <row r="61" spans="1:39" x14ac:dyDescent="0.25">
      <c r="A61" s="30">
        <v>304.48163954141938</v>
      </c>
      <c r="E61"/>
      <c r="Y61" s="27" t="s">
        <v>8</v>
      </c>
      <c r="Z61" s="27" t="s">
        <v>7</v>
      </c>
      <c r="AA61" s="27" t="s">
        <v>8</v>
      </c>
      <c r="AB61" s="27" t="s">
        <v>7</v>
      </c>
      <c r="AC61" s="27" t="s">
        <v>8</v>
      </c>
      <c r="AD61" s="27" t="s">
        <v>7</v>
      </c>
      <c r="AG61" s="31"/>
    </row>
    <row r="62" spans="1:39" x14ac:dyDescent="0.25">
      <c r="A62" s="30">
        <v>276.80149049219943</v>
      </c>
      <c r="E62"/>
      <c r="W62" s="27" t="s">
        <v>8</v>
      </c>
      <c r="Y62" s="27" t="s">
        <v>8</v>
      </c>
      <c r="Z62" s="27" t="s">
        <v>7</v>
      </c>
      <c r="AA62" s="27" t="s">
        <v>8</v>
      </c>
      <c r="AB62" s="27" t="s">
        <v>7</v>
      </c>
      <c r="AC62" s="27" t="s">
        <v>8</v>
      </c>
      <c r="AD62" s="27" t="s">
        <v>7</v>
      </c>
      <c r="AH62" s="31"/>
      <c r="AK62" s="27" t="s">
        <v>8</v>
      </c>
    </row>
    <row r="63" spans="1:39" x14ac:dyDescent="0.25">
      <c r="A63" s="30">
        <v>251.63771862927217</v>
      </c>
      <c r="E63"/>
      <c r="W63" s="27" t="s">
        <v>8</v>
      </c>
      <c r="X63" s="27" t="s">
        <v>7</v>
      </c>
      <c r="Y63" s="27" t="s">
        <v>8</v>
      </c>
      <c r="Z63" s="27" t="s">
        <v>7</v>
      </c>
      <c r="AA63" s="27" t="s">
        <v>8</v>
      </c>
      <c r="AB63" s="27" t="s">
        <v>7</v>
      </c>
      <c r="AD63" s="27" t="s">
        <v>7</v>
      </c>
      <c r="AI63" s="31"/>
      <c r="AK63" s="27" t="s">
        <v>8</v>
      </c>
      <c r="AL63" s="27" t="s">
        <v>7</v>
      </c>
    </row>
    <row r="64" spans="1:39" x14ac:dyDescent="0.25">
      <c r="A64" s="30">
        <v>228.76156239024741</v>
      </c>
      <c r="E64"/>
      <c r="W64" s="27" t="s">
        <v>8</v>
      </c>
      <c r="X64" s="27" t="s">
        <v>7</v>
      </c>
      <c r="Y64" s="27" t="s">
        <v>8</v>
      </c>
      <c r="Z64" s="27" t="s">
        <v>7</v>
      </c>
      <c r="AA64" s="27" t="s">
        <v>8</v>
      </c>
      <c r="AD64" s="33" t="s">
        <v>7</v>
      </c>
      <c r="AE64" s="27" t="s">
        <v>8</v>
      </c>
      <c r="AJ64" s="31"/>
      <c r="AK64" s="27" t="s">
        <v>8</v>
      </c>
      <c r="AL64" s="27" t="s">
        <v>7</v>
      </c>
      <c r="AM64" s="27" t="s">
        <v>8</v>
      </c>
    </row>
    <row r="65" spans="1:44" x14ac:dyDescent="0.25">
      <c r="A65" s="30">
        <v>207.96505671840671</v>
      </c>
      <c r="E65"/>
      <c r="W65" s="27" t="s">
        <v>8</v>
      </c>
      <c r="X65" s="27" t="s">
        <v>7</v>
      </c>
      <c r="Z65" s="27" t="s">
        <v>7</v>
      </c>
      <c r="AA65" s="27" t="s">
        <v>8</v>
      </c>
      <c r="AD65" s="31" t="s">
        <v>7</v>
      </c>
      <c r="AE65" s="27" t="s">
        <v>8</v>
      </c>
      <c r="AF65" s="27" t="s">
        <v>7</v>
      </c>
      <c r="AG65" s="27" t="s">
        <v>8</v>
      </c>
      <c r="AK65" s="31" t="s">
        <v>8</v>
      </c>
      <c r="AL65" s="27" t="s">
        <v>7</v>
      </c>
      <c r="AM65" s="27" t="s">
        <v>8</v>
      </c>
      <c r="AN65" s="27" t="s">
        <v>7</v>
      </c>
    </row>
    <row r="66" spans="1:44" x14ac:dyDescent="0.25">
      <c r="A66" s="30">
        <v>189.05914247127882</v>
      </c>
      <c r="E66" t="s">
        <v>8</v>
      </c>
      <c r="W66" s="27" t="s">
        <v>8</v>
      </c>
      <c r="Z66" s="33" t="s">
        <v>7</v>
      </c>
      <c r="AC66" s="31"/>
      <c r="AD66" s="27" t="s">
        <v>7</v>
      </c>
      <c r="AE66" s="27" t="s">
        <v>8</v>
      </c>
      <c r="AF66" s="27" t="s">
        <v>7</v>
      </c>
      <c r="AG66" s="27" t="s">
        <v>8</v>
      </c>
      <c r="AH66" s="27" t="s">
        <v>7</v>
      </c>
      <c r="AK66" s="27" t="s">
        <v>8</v>
      </c>
      <c r="AL66" s="31" t="s">
        <v>7</v>
      </c>
      <c r="AM66" s="27" t="s">
        <v>8</v>
      </c>
      <c r="AN66" s="27" t="s">
        <v>7</v>
      </c>
    </row>
    <row r="67" spans="1:44" x14ac:dyDescent="0.25">
      <c r="A67" s="30">
        <v>171.87194770116255</v>
      </c>
      <c r="C67" s="1" t="s">
        <v>15</v>
      </c>
      <c r="E67" t="s">
        <v>8</v>
      </c>
      <c r="F67" s="27" t="s">
        <v>7</v>
      </c>
      <c r="W67" s="27" t="s">
        <v>8</v>
      </c>
      <c r="AB67" s="31"/>
      <c r="AD67" s="27" t="s">
        <v>7</v>
      </c>
      <c r="AE67" s="27" t="s">
        <v>8</v>
      </c>
      <c r="AF67" s="27" t="s">
        <v>7</v>
      </c>
      <c r="AG67" s="27" t="s">
        <v>8</v>
      </c>
      <c r="AH67" s="27" t="s">
        <v>7</v>
      </c>
      <c r="AI67" s="18" t="s">
        <v>8</v>
      </c>
      <c r="AK67" s="27" t="s">
        <v>8</v>
      </c>
      <c r="AL67" s="27" t="s">
        <v>7</v>
      </c>
      <c r="AM67" s="27" t="s">
        <v>8</v>
      </c>
      <c r="AN67" s="27" t="s">
        <v>7</v>
      </c>
    </row>
    <row r="68" spans="1:44" x14ac:dyDescent="0.25">
      <c r="A68" s="30">
        <v>156.24722518287504</v>
      </c>
      <c r="C68" s="7">
        <v>0.11167815779424731</v>
      </c>
      <c r="D68"/>
      <c r="E68" t="s">
        <v>8</v>
      </c>
      <c r="F68" s="27" t="s">
        <v>7</v>
      </c>
      <c r="U68" s="27" t="s">
        <v>8</v>
      </c>
      <c r="W68" s="27" t="s">
        <v>8</v>
      </c>
      <c r="AA68" s="31"/>
      <c r="AD68" s="27" t="s">
        <v>7</v>
      </c>
      <c r="AE68" s="27" t="s">
        <v>8</v>
      </c>
      <c r="AF68" s="27" t="s">
        <v>7</v>
      </c>
      <c r="AG68" s="27" t="s">
        <v>8</v>
      </c>
      <c r="AH68" s="27" t="s">
        <v>7</v>
      </c>
      <c r="AI68" s="27" t="s">
        <v>8</v>
      </c>
      <c r="AJ68" s="27" t="s">
        <v>7</v>
      </c>
      <c r="AK68" s="27" t="s">
        <v>8</v>
      </c>
      <c r="AL68" s="27" t="s">
        <v>7</v>
      </c>
      <c r="AN68" s="27" t="s">
        <v>7</v>
      </c>
      <c r="AO68" s="27" t="s">
        <v>8</v>
      </c>
      <c r="AQ68" s="27" t="s">
        <v>8</v>
      </c>
    </row>
    <row r="69" spans="1:44" x14ac:dyDescent="0.25">
      <c r="A69" s="30">
        <v>142.04293198443185</v>
      </c>
      <c r="E69" t="s">
        <v>8</v>
      </c>
      <c r="F69" s="27" t="s">
        <v>7</v>
      </c>
      <c r="G69" s="27" t="s">
        <v>8</v>
      </c>
      <c r="U69" s="27" t="s">
        <v>8</v>
      </c>
      <c r="V69" s="27" t="s">
        <v>7</v>
      </c>
      <c r="W69" s="27" t="s">
        <v>8</v>
      </c>
      <c r="Z69" s="31"/>
      <c r="AD69" s="27" t="s">
        <v>7</v>
      </c>
      <c r="AF69" s="27" t="s">
        <v>7</v>
      </c>
      <c r="AG69" s="27" t="s">
        <v>8</v>
      </c>
      <c r="AH69" s="27" t="s">
        <v>7</v>
      </c>
      <c r="AI69" s="27" t="s">
        <v>8</v>
      </c>
      <c r="AJ69" s="27" t="s">
        <v>7</v>
      </c>
      <c r="AK69" s="27" t="s">
        <v>8</v>
      </c>
      <c r="AN69" s="27" t="s">
        <v>7</v>
      </c>
      <c r="AO69" s="27" t="s">
        <v>8</v>
      </c>
      <c r="AP69" s="27" t="s">
        <v>7</v>
      </c>
      <c r="AQ69" s="27" t="s">
        <v>8</v>
      </c>
      <c r="AR69" s="27" t="s">
        <v>7</v>
      </c>
    </row>
    <row r="70" spans="1:44" x14ac:dyDescent="0.25">
      <c r="A70" s="30">
        <v>129.1299381676653</v>
      </c>
      <c r="C70" s="1" t="s">
        <v>11</v>
      </c>
      <c r="D70" s="1" t="s">
        <v>12</v>
      </c>
      <c r="E70" t="s">
        <v>8</v>
      </c>
      <c r="F70" s="27" t="s">
        <v>7</v>
      </c>
      <c r="G70" s="27" t="s">
        <v>8</v>
      </c>
      <c r="H70" s="27" t="s">
        <v>7</v>
      </c>
      <c r="I70" s="27" t="s">
        <v>8</v>
      </c>
      <c r="U70" s="27" t="s">
        <v>8</v>
      </c>
      <c r="V70" s="27" t="s">
        <v>7</v>
      </c>
      <c r="W70" s="27" t="s">
        <v>8</v>
      </c>
      <c r="Y70" s="31"/>
      <c r="AF70" s="27" t="s">
        <v>7</v>
      </c>
      <c r="AH70" s="27" t="s">
        <v>7</v>
      </c>
      <c r="AI70" s="27" t="s">
        <v>8</v>
      </c>
      <c r="AJ70" s="27" t="s">
        <v>7</v>
      </c>
      <c r="AK70" s="27" t="s">
        <v>8</v>
      </c>
      <c r="AN70" s="27" t="s">
        <v>7</v>
      </c>
      <c r="AO70" s="27" t="s">
        <v>8</v>
      </c>
      <c r="AP70" s="27" t="s">
        <v>7</v>
      </c>
      <c r="AQ70" s="27" t="s">
        <v>8</v>
      </c>
      <c r="AR70" s="27" t="s">
        <v>7</v>
      </c>
    </row>
    <row r="71" spans="1:44" x14ac:dyDescent="0.25">
      <c r="A71" s="30">
        <v>117.39085287969573</v>
      </c>
      <c r="C71"/>
      <c r="D71"/>
      <c r="E71" t="s">
        <v>8</v>
      </c>
      <c r="F71" s="27" t="s">
        <v>7</v>
      </c>
      <c r="G71" s="27" t="s">
        <v>8</v>
      </c>
      <c r="H71" s="27" t="s">
        <v>7</v>
      </c>
      <c r="I71" s="27" t="s">
        <v>8</v>
      </c>
      <c r="J71" s="27" t="s">
        <v>7</v>
      </c>
      <c r="O71" s="32" t="s">
        <v>8</v>
      </c>
      <c r="Q71" s="32" t="s">
        <v>8</v>
      </c>
      <c r="S71" s="32" t="s">
        <v>8</v>
      </c>
      <c r="U71" s="27" t="s">
        <v>8</v>
      </c>
      <c r="V71" s="27" t="s">
        <v>7</v>
      </c>
      <c r="W71" s="27" t="s">
        <v>8</v>
      </c>
      <c r="X71" s="31"/>
      <c r="AH71" s="27" t="s">
        <v>7</v>
      </c>
      <c r="AI71" s="27" t="s">
        <v>8</v>
      </c>
      <c r="AJ71" s="27" t="s">
        <v>7</v>
      </c>
      <c r="AN71" s="27" t="s">
        <v>7</v>
      </c>
      <c r="AP71" s="27" t="s">
        <v>7</v>
      </c>
      <c r="AR71" s="27" t="s">
        <v>7</v>
      </c>
    </row>
    <row r="72" spans="1:44" x14ac:dyDescent="0.25">
      <c r="A72" s="30">
        <v>106.71895716335975</v>
      </c>
      <c r="E72" t="s">
        <v>8</v>
      </c>
      <c r="F72" s="27" t="s">
        <v>7</v>
      </c>
      <c r="G72" s="27" t="s">
        <v>8</v>
      </c>
      <c r="H72" s="27" t="s">
        <v>7</v>
      </c>
      <c r="I72" s="27" t="s">
        <v>8</v>
      </c>
      <c r="J72" s="27" t="s">
        <v>7</v>
      </c>
      <c r="O72" s="27" t="s">
        <v>8</v>
      </c>
      <c r="P72" s="27" t="s">
        <v>7</v>
      </c>
      <c r="Q72" s="27" t="s">
        <v>8</v>
      </c>
      <c r="R72" s="27" t="s">
        <v>7</v>
      </c>
      <c r="S72" s="27" t="s">
        <v>8</v>
      </c>
      <c r="T72" s="27" t="s">
        <v>7</v>
      </c>
      <c r="U72" s="27" t="s">
        <v>8</v>
      </c>
      <c r="V72" s="31" t="s">
        <v>7</v>
      </c>
      <c r="W72" s="31" t="s">
        <v>8</v>
      </c>
      <c r="AH72" s="27" t="s">
        <v>7</v>
      </c>
      <c r="AR72" s="27" t="s">
        <v>7</v>
      </c>
    </row>
    <row r="73" spans="1:44" x14ac:dyDescent="0.25">
      <c r="A73" s="30">
        <v>97.017233784872488</v>
      </c>
      <c r="C73" s="1" t="s">
        <v>13</v>
      </c>
      <c r="E73" t="s">
        <v>8</v>
      </c>
      <c r="F73" s="27" t="s">
        <v>7</v>
      </c>
      <c r="G73" s="27" t="s">
        <v>8</v>
      </c>
      <c r="H73" s="27" t="s">
        <v>7</v>
      </c>
      <c r="J73" s="27" t="s">
        <v>7</v>
      </c>
      <c r="M73" s="34" t="s">
        <v>8</v>
      </c>
      <c r="O73" s="27" t="s">
        <v>8</v>
      </c>
      <c r="P73" s="27" t="s">
        <v>7</v>
      </c>
      <c r="Q73" s="27" t="s">
        <v>8</v>
      </c>
      <c r="R73" s="27" t="s">
        <v>7</v>
      </c>
      <c r="S73" s="27" t="s">
        <v>8</v>
      </c>
      <c r="T73" s="27" t="s">
        <v>7</v>
      </c>
      <c r="U73" s="31" t="s">
        <v>8</v>
      </c>
      <c r="V73" s="27" t="s">
        <v>7</v>
      </c>
      <c r="AR73" s="27" t="s">
        <v>7</v>
      </c>
    </row>
    <row r="74" spans="1:44" x14ac:dyDescent="0.25">
      <c r="A74" s="30">
        <v>88.197485258974979</v>
      </c>
      <c r="C74" s="1">
        <f>C63</f>
        <v>0</v>
      </c>
      <c r="E74" t="s">
        <v>8</v>
      </c>
      <c r="F74" s="27" t="s">
        <v>7</v>
      </c>
      <c r="G74" s="27" t="s">
        <v>8</v>
      </c>
      <c r="J74" s="33" t="s">
        <v>7</v>
      </c>
      <c r="K74" s="27" t="s">
        <v>8</v>
      </c>
      <c r="M74" s="27" t="s">
        <v>8</v>
      </c>
      <c r="N74" s="27" t="s">
        <v>7</v>
      </c>
      <c r="O74" s="27" t="s">
        <v>8</v>
      </c>
      <c r="P74" s="32" t="s">
        <v>7</v>
      </c>
      <c r="R74" s="32" t="s">
        <v>7</v>
      </c>
      <c r="T74" s="32" t="s">
        <v>7</v>
      </c>
      <c r="AR74" s="27" t="s">
        <v>7</v>
      </c>
    </row>
    <row r="75" spans="1:44" x14ac:dyDescent="0.25">
      <c r="A75" s="30">
        <v>80.179532053613613</v>
      </c>
      <c r="C75"/>
      <c r="D75"/>
      <c r="E75" t="s">
        <v>8</v>
      </c>
      <c r="F75" s="27" t="s">
        <v>7</v>
      </c>
      <c r="G75" s="27" t="s">
        <v>8</v>
      </c>
      <c r="J75" s="27" t="s">
        <v>7</v>
      </c>
      <c r="K75" s="27" t="s">
        <v>8</v>
      </c>
      <c r="L75" s="27" t="s">
        <v>7</v>
      </c>
      <c r="M75" s="27" t="s">
        <v>8</v>
      </c>
      <c r="N75" s="27" t="s">
        <v>7</v>
      </c>
      <c r="O75" s="27" t="s">
        <v>8</v>
      </c>
      <c r="S75" s="31"/>
    </row>
    <row r="76" spans="1:44" x14ac:dyDescent="0.25">
      <c r="A76" s="30">
        <v>72.890483685103277</v>
      </c>
      <c r="C76" s="1" t="s">
        <v>14</v>
      </c>
      <c r="E76" t="s">
        <v>8</v>
      </c>
      <c r="F76" s="27" t="s">
        <v>7</v>
      </c>
      <c r="G76" s="27" t="s">
        <v>8</v>
      </c>
      <c r="J76" s="27" t="s">
        <v>7</v>
      </c>
      <c r="K76" s="27" t="s">
        <v>8</v>
      </c>
      <c r="L76" s="27" t="s">
        <v>7</v>
      </c>
      <c r="M76" s="27" t="s">
        <v>8</v>
      </c>
      <c r="N76" s="27" t="s">
        <v>7</v>
      </c>
      <c r="O76" s="27" t="s">
        <v>8</v>
      </c>
      <c r="R76" s="31"/>
    </row>
    <row r="77" spans="1:44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  <c r="F77" s="27" t="s">
        <v>7</v>
      </c>
      <c r="G77" s="27" t="s">
        <v>8</v>
      </c>
      <c r="J77" s="27" t="s">
        <v>7</v>
      </c>
      <c r="K77" s="27" t="s">
        <v>8</v>
      </c>
      <c r="L77" s="32" t="s">
        <v>7</v>
      </c>
      <c r="N77" s="32" t="s">
        <v>7</v>
      </c>
      <c r="Q77" s="31"/>
    </row>
    <row r="78" spans="1:44" x14ac:dyDescent="0.25">
      <c r="A78" s="30">
        <v>60.240069161242367</v>
      </c>
      <c r="E78" t="s">
        <v>8</v>
      </c>
      <c r="F78" s="27" t="s">
        <v>7</v>
      </c>
      <c r="G78" s="27" t="s">
        <v>8</v>
      </c>
      <c r="J78" s="27" t="s">
        <v>7</v>
      </c>
      <c r="K78" s="27" t="s">
        <v>8</v>
      </c>
      <c r="P78" s="31"/>
    </row>
    <row r="79" spans="1:44" x14ac:dyDescent="0.25">
      <c r="A79" s="30">
        <v>54.763699237493057</v>
      </c>
      <c r="E79" t="s">
        <v>8</v>
      </c>
      <c r="F79" s="27" t="s">
        <v>7</v>
      </c>
      <c r="G79" s="27" t="s">
        <v>8</v>
      </c>
      <c r="J79" s="27" t="s">
        <v>7</v>
      </c>
      <c r="K79" s="27" t="s">
        <v>8</v>
      </c>
      <c r="O79" s="31"/>
    </row>
    <row r="80" spans="1:44" x14ac:dyDescent="0.25">
      <c r="A80" s="30">
        <v>49.785181124993684</v>
      </c>
      <c r="E80" t="s">
        <v>8</v>
      </c>
      <c r="F80" s="27" t="s">
        <v>7</v>
      </c>
      <c r="G80" s="27" t="s">
        <v>8</v>
      </c>
      <c r="J80" s="27" t="s">
        <v>7</v>
      </c>
      <c r="K80" s="27" t="s">
        <v>8</v>
      </c>
      <c r="N80" s="31"/>
    </row>
    <row r="81" spans="1:13" x14ac:dyDescent="0.25">
      <c r="A81" s="30">
        <v>45.259255568176073</v>
      </c>
      <c r="E81" t="s">
        <v>8</v>
      </c>
      <c r="F81" s="27" t="s">
        <v>7</v>
      </c>
      <c r="G81" s="27" t="s">
        <v>8</v>
      </c>
      <c r="J81" s="27" t="s">
        <v>7</v>
      </c>
      <c r="K81" s="27" t="s">
        <v>8</v>
      </c>
      <c r="M81" s="31"/>
    </row>
    <row r="82" spans="1:13" x14ac:dyDescent="0.25">
      <c r="A82" s="30">
        <v>41.144777789250973</v>
      </c>
      <c r="E82" t="s">
        <v>8</v>
      </c>
      <c r="F82" s="27" t="s">
        <v>7</v>
      </c>
      <c r="J82" s="27" t="s">
        <v>7</v>
      </c>
      <c r="K82" s="27" t="s">
        <v>8</v>
      </c>
      <c r="L82" s="31"/>
    </row>
    <row r="83" spans="1:13" x14ac:dyDescent="0.25">
      <c r="A83" s="30">
        <v>37.404343444773609</v>
      </c>
      <c r="E83" t="s">
        <v>8</v>
      </c>
      <c r="J83" s="27" t="s">
        <v>7</v>
      </c>
      <c r="K83" s="31" t="s">
        <v>8</v>
      </c>
    </row>
    <row r="84" spans="1:13" x14ac:dyDescent="0.25">
      <c r="A84" s="30">
        <v>34.003948586157826</v>
      </c>
      <c r="E84" t="s">
        <v>8</v>
      </c>
      <c r="J84" s="31" t="s">
        <v>7</v>
      </c>
    </row>
    <row r="85" spans="1:13" x14ac:dyDescent="0.25">
      <c r="A85" s="30">
        <v>30.912680532870748</v>
      </c>
      <c r="E85" t="s">
        <v>8</v>
      </c>
    </row>
    <row r="86" spans="1:13" x14ac:dyDescent="0.25">
      <c r="A86" s="30">
        <v>28.102436848064315</v>
      </c>
      <c r="E86" t="s">
        <v>8</v>
      </c>
    </row>
    <row r="87" spans="1:13" x14ac:dyDescent="0.25">
      <c r="A87" s="30">
        <v>25.547669861876649</v>
      </c>
      <c r="E87" t="s">
        <v>8</v>
      </c>
    </row>
    <row r="88" spans="1:13" x14ac:dyDescent="0.25">
      <c r="A88" s="30">
        <v>23.225154419887861</v>
      </c>
      <c r="E88" t="s">
        <v>8</v>
      </c>
    </row>
    <row r="89" spans="1:13" x14ac:dyDescent="0.25">
      <c r="A89" s="30">
        <v>21.113776745352599</v>
      </c>
      <c r="E89" t="s">
        <v>8</v>
      </c>
    </row>
    <row r="90" spans="1:13" x14ac:dyDescent="0.25">
      <c r="A90" s="30">
        <v>19.194342495775089</v>
      </c>
      <c r="E90" t="s">
        <v>8</v>
      </c>
    </row>
    <row r="91" spans="1:13" x14ac:dyDescent="0.25">
      <c r="A91" s="30">
        <v>17.449402268886445</v>
      </c>
      <c r="E91" t="s">
        <v>8</v>
      </c>
    </row>
    <row r="92" spans="1:13" x14ac:dyDescent="0.25">
      <c r="A92" s="30">
        <v>15.863092971714948</v>
      </c>
      <c r="C92" s="1" t="s">
        <v>15</v>
      </c>
      <c r="E92" t="s">
        <v>8</v>
      </c>
    </row>
    <row r="93" spans="1:13" x14ac:dyDescent="0.25">
      <c r="A93" s="30">
        <v>14.420993610649951</v>
      </c>
      <c r="C93" s="7">
        <v>0.11167815779424731</v>
      </c>
      <c r="D93"/>
      <c r="E93" t="s">
        <v>8</v>
      </c>
    </row>
    <row r="94" spans="1:13" x14ac:dyDescent="0.25">
      <c r="A94" s="30">
        <v>13.109994191499954</v>
      </c>
      <c r="E94" t="s">
        <v>8</v>
      </c>
    </row>
    <row r="95" spans="1:13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13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$A$73</v>
      </c>
      <c r="D111" s="1" t="str">
        <f>ADDRESS(C121-1,D121,1,1)</f>
        <v>$AR$73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$A$74</v>
      </c>
      <c r="D112" s="1" t="str">
        <f>ADDRESS(C121,D121-1,1,1)</f>
        <v>$AQ$74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$A$75</v>
      </c>
      <c r="D113" s="1" t="str">
        <f>ADDRESS(C121-1,D121+1,1,1)</f>
        <v>$AS$73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$AR$74</v>
      </c>
      <c r="D114" s="1" t="str">
        <f>ADDRESS(C121+1,D121+1,1,1)</f>
        <v>$AS$75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$AR$75</v>
      </c>
      <c r="E115" s="1" t="s">
        <v>8</v>
      </c>
    </row>
    <row r="116" spans="1:5" x14ac:dyDescent="0.25">
      <c r="A116" s="30">
        <v>1.6105100000000008</v>
      </c>
      <c r="C116" s="1">
        <f>C117-1</f>
        <v>73</v>
      </c>
      <c r="E116" s="1" t="s">
        <v>8</v>
      </c>
    </row>
    <row r="117" spans="1:5" x14ac:dyDescent="0.25">
      <c r="A117" s="30">
        <v>1.4641000000000006</v>
      </c>
      <c r="C117" s="1">
        <f>C121</f>
        <v>74</v>
      </c>
      <c r="D117" s="1">
        <f>D121</f>
        <v>44</v>
      </c>
      <c r="E117" s="1" t="s">
        <v>8</v>
      </c>
    </row>
    <row r="118" spans="1:5" x14ac:dyDescent="0.25">
      <c r="A118" s="30">
        <v>1.3310000000000004</v>
      </c>
      <c r="C118" s="1">
        <f>C117+1</f>
        <v>75</v>
      </c>
      <c r="D118" s="1">
        <f>D117+1</f>
        <v>45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74</v>
      </c>
      <c r="D121" s="19">
        <v>44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R74</v>
      </c>
      <c r="D123" s="1" t="str">
        <f>"C"&amp;D121</f>
        <v>C44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88.197485258974979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441" operator="equal">
      <formula>$U$1</formula>
    </cfRule>
    <cfRule type="cellIs" dxfId="30" priority="1442" operator="equal">
      <formula>$S$1</formula>
    </cfRule>
  </conditionalFormatting>
  <conditionalFormatting sqref="D136">
    <cfRule type="cellIs" dxfId="29" priority="1439" operator="equal">
      <formula>$S$1</formula>
    </cfRule>
    <cfRule type="cellIs" dxfId="28" priority="1440" operator="equal">
      <formula>$U$1</formula>
    </cfRule>
  </conditionalFormatting>
  <conditionalFormatting sqref="C102">
    <cfRule type="cellIs" dxfId="27" priority="1437" operator="equal">
      <formula>$U$1</formula>
    </cfRule>
    <cfRule type="cellIs" dxfId="26" priority="1438" operator="equal">
      <formula>$S$1</formula>
    </cfRule>
  </conditionalFormatting>
  <conditionalFormatting sqref="D102">
    <cfRule type="cellIs" dxfId="25" priority="1435" operator="equal">
      <formula>$S$1</formula>
    </cfRule>
    <cfRule type="cellIs" dxfId="24" priority="1436" operator="equal">
      <formula>$U$1</formula>
    </cfRule>
  </conditionalFormatting>
  <conditionalFormatting sqref="C77">
    <cfRule type="cellIs" dxfId="23" priority="1433" operator="equal">
      <formula>$U$1</formula>
    </cfRule>
    <cfRule type="cellIs" dxfId="22" priority="1434" operator="equal">
      <formula>$S$1</formula>
    </cfRule>
  </conditionalFormatting>
  <conditionalFormatting sqref="D77">
    <cfRule type="cellIs" dxfId="21" priority="1431" operator="equal">
      <formula>$S$1</formula>
    </cfRule>
    <cfRule type="cellIs" dxfId="20" priority="1432" operator="equal">
      <formula>$U$1</formula>
    </cfRule>
  </conditionalFormatting>
  <conditionalFormatting sqref="C52">
    <cfRule type="cellIs" dxfId="19" priority="1429" operator="equal">
      <formula>$U$1</formula>
    </cfRule>
    <cfRule type="cellIs" dxfId="18" priority="1430" operator="equal">
      <formula>$S$1</formula>
    </cfRule>
  </conditionalFormatting>
  <conditionalFormatting sqref="D52">
    <cfRule type="cellIs" dxfId="17" priority="1427" operator="equal">
      <formula>$S$1</formula>
    </cfRule>
    <cfRule type="cellIs" dxfId="16" priority="1428" operator="equal">
      <formula>$U$1</formula>
    </cfRule>
  </conditionalFormatting>
  <conditionalFormatting sqref="C26">
    <cfRule type="cellIs" dxfId="15" priority="1425" operator="equal">
      <formula>$U$1</formula>
    </cfRule>
    <cfRule type="cellIs" dxfId="14" priority="1426" operator="equal">
      <formula>$S$1</formula>
    </cfRule>
  </conditionalFormatting>
  <conditionalFormatting sqref="D26">
    <cfRule type="cellIs" dxfId="13" priority="1423" operator="equal">
      <formula>$S$1</formula>
    </cfRule>
    <cfRule type="cellIs" dxfId="12" priority="142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103.03467644609493</v>
      </c>
      <c r="F3" s="30">
        <v>119.27551732091065</v>
      </c>
      <c r="G3" s="30">
        <v>185.03547549536299</v>
      </c>
      <c r="H3" s="25">
        <f>IF(G3="","",(3*(G3-F3))+E3)</f>
        <v>300.31455096945194</v>
      </c>
      <c r="I3" s="7"/>
      <c r="J3" s="7">
        <f>(E3+G3)/2</f>
        <v>144.03507597072897</v>
      </c>
      <c r="K3" s="7">
        <f>H3/2</f>
        <v>150.15727548472597</v>
      </c>
      <c r="M3" s="26">
        <f>IF(OR(J3="",H3=""),"",H3/J3)</f>
        <v>2.0850098418421519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2022-01-28T01:15:30Z</dcterms:modified>
</cp:coreProperties>
</file>