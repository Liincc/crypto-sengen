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31A4DCED-F885-4A82-BBB8-939C0E608B03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8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6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5"/>
  <c r="C133" i="5" s="1"/>
  <c r="C136" i="5" s="1"/>
  <c r="C116" i="5"/>
  <c r="C122" i="4"/>
  <c r="C133" i="4" s="1"/>
  <c r="C136" i="4" s="1"/>
  <c r="C116" i="4"/>
  <c r="C118" i="3"/>
  <c r="C122" i="3"/>
  <c r="C133" i="3" s="1"/>
  <c r="C136" i="3" s="1"/>
  <c r="R765" i="1"/>
  <c r="D136" i="5" l="1"/>
  <c r="C138" i="5" s="1"/>
  <c r="D136" i="4"/>
  <c r="C138" i="4" s="1"/>
  <c r="D136" i="3"/>
  <c r="C138" i="3" s="1"/>
  <c r="R764" i="1"/>
  <c r="S765" i="1"/>
  <c r="T765" i="1" s="1"/>
  <c r="R763" i="1" l="1"/>
  <c r="S764" i="1"/>
  <c r="T764" i="1" s="1"/>
  <c r="R762" i="1" l="1"/>
  <c r="S763" i="1"/>
  <c r="T763" i="1" s="1"/>
  <c r="S762" i="1" l="1"/>
  <c r="T762" i="1" s="1"/>
  <c r="R761" i="1"/>
  <c r="R760" i="1" l="1"/>
  <c r="S761" i="1"/>
  <c r="T761" i="1" s="1"/>
  <c r="S760" i="1" l="1"/>
  <c r="T760" i="1" s="1"/>
  <c r="R759" i="1"/>
  <c r="S759" i="1" l="1"/>
  <c r="T759" i="1" s="1"/>
  <c r="R758" i="1"/>
  <c r="R757" i="1" l="1"/>
  <c r="S758" i="1"/>
  <c r="T758" i="1" s="1"/>
  <c r="S757" i="1" l="1"/>
  <c r="T757" i="1" s="1"/>
  <c r="R756" i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S751" i="1" l="1"/>
  <c r="T751" i="1" s="1"/>
  <c r="R750" i="1"/>
  <c r="S750" i="1" l="1"/>
  <c r="T750" i="1" s="1"/>
  <c r="R749" i="1"/>
  <c r="S749" i="1" l="1"/>
  <c r="T749" i="1" s="1"/>
  <c r="R748" i="1"/>
  <c r="S748" i="1" l="1"/>
  <c r="T748" i="1" s="1"/>
  <c r="R747" i="1"/>
  <c r="R746" i="1" l="1"/>
  <c r="S747" i="1"/>
  <c r="T747" i="1" s="1"/>
  <c r="R745" i="1" l="1"/>
  <c r="S746" i="1"/>
  <c r="T746" i="1" s="1"/>
  <c r="S745" i="1" l="1"/>
  <c r="T745" i="1" s="1"/>
  <c r="R744" i="1"/>
  <c r="R743" i="1" l="1"/>
  <c r="S744" i="1"/>
  <c r="T744" i="1" s="1"/>
  <c r="S743" i="1" l="1"/>
  <c r="T743" i="1" s="1"/>
  <c r="R742" i="1"/>
  <c r="S742" i="1" l="1"/>
  <c r="T742" i="1" s="1"/>
  <c r="R741" i="1"/>
  <c r="S741" i="1" l="1"/>
  <c r="T741" i="1" s="1"/>
  <c r="R740" i="1"/>
  <c r="S740" i="1" l="1"/>
  <c r="T740" i="1" s="1"/>
  <c r="R739" i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S734" i="1" l="1"/>
  <c r="T734" i="1" s="1"/>
  <c r="R733" i="1"/>
  <c r="S733" i="1" l="1"/>
  <c r="T733" i="1" s="1"/>
  <c r="R732" i="1"/>
  <c r="S732" i="1" l="1"/>
  <c r="T732" i="1" s="1"/>
  <c r="R731" i="1"/>
  <c r="S731" i="1" l="1"/>
  <c r="T731" i="1" s="1"/>
  <c r="R730" i="1"/>
  <c r="R729" i="1" l="1"/>
  <c r="S730" i="1"/>
  <c r="T730" i="1" s="1"/>
  <c r="R728" i="1" l="1"/>
  <c r="S729" i="1"/>
  <c r="T729" i="1" s="1"/>
  <c r="R727" i="1" l="1"/>
  <c r="S728" i="1"/>
  <c r="T728" i="1" s="1"/>
  <c r="S727" i="1" l="1"/>
  <c r="T727" i="1" s="1"/>
  <c r="R726" i="1"/>
  <c r="S726" i="1" l="1"/>
  <c r="T726" i="1" s="1"/>
  <c r="R725" i="1"/>
  <c r="S725" i="1" l="1"/>
  <c r="T725" i="1" s="1"/>
  <c r="R724" i="1"/>
  <c r="S724" i="1" l="1"/>
  <c r="T724" i="1" s="1"/>
  <c r="R723" i="1"/>
  <c r="R722" i="1" l="1"/>
  <c r="S723" i="1"/>
  <c r="T723" i="1" s="1"/>
  <c r="R721" i="1" l="1"/>
  <c r="S722" i="1"/>
  <c r="T722" i="1" s="1"/>
  <c r="R720" i="1" l="1"/>
  <c r="S721" i="1"/>
  <c r="T721" i="1" s="1"/>
  <c r="S720" i="1" l="1"/>
  <c r="T720" i="1" s="1"/>
  <c r="R719" i="1"/>
  <c r="S719" i="1" l="1"/>
  <c r="T719" i="1" s="1"/>
  <c r="R718" i="1"/>
  <c r="R717" i="1" l="1"/>
  <c r="S718" i="1"/>
  <c r="T718" i="1" s="1"/>
  <c r="S717" i="1" l="1"/>
  <c r="T717" i="1" s="1"/>
  <c r="R716" i="1"/>
  <c r="S716" i="1" l="1"/>
  <c r="T716" i="1" s="1"/>
  <c r="R715" i="1"/>
  <c r="R714" i="1" l="1"/>
  <c r="S715" i="1"/>
  <c r="T715" i="1" s="1"/>
  <c r="S714" i="1" l="1"/>
  <c r="T714" i="1" s="1"/>
  <c r="R713" i="1"/>
  <c r="R712" i="1" l="1"/>
  <c r="S713" i="1"/>
  <c r="T713" i="1" s="1"/>
  <c r="R711" i="1" l="1"/>
  <c r="S712" i="1"/>
  <c r="T712" i="1" s="1"/>
  <c r="S711" i="1" l="1"/>
  <c r="T711" i="1" s="1"/>
  <c r="R710" i="1"/>
  <c r="R709" i="1" l="1"/>
  <c r="S710" i="1"/>
  <c r="T710" i="1" s="1"/>
  <c r="S709" i="1" l="1"/>
  <c r="T709" i="1" s="1"/>
  <c r="R708" i="1"/>
  <c r="S708" i="1" l="1"/>
  <c r="T708" i="1" s="1"/>
  <c r="R707" i="1"/>
  <c r="R706" i="1" l="1"/>
  <c r="S707" i="1"/>
  <c r="T707" i="1" s="1"/>
  <c r="S706" i="1" l="1"/>
  <c r="T706" i="1" s="1"/>
  <c r="R705" i="1"/>
  <c r="R704" i="1" l="1"/>
  <c r="S705" i="1"/>
  <c r="T705" i="1" s="1"/>
  <c r="R703" i="1" l="1"/>
  <c r="S704" i="1"/>
  <c r="T704" i="1" s="1"/>
  <c r="S703" i="1" l="1"/>
  <c r="T703" i="1" s="1"/>
  <c r="R702" i="1"/>
  <c r="S702" i="1" l="1"/>
  <c r="T702" i="1" s="1"/>
  <c r="R701" i="1"/>
  <c r="R700" i="1" l="1"/>
  <c r="S701" i="1"/>
  <c r="T701" i="1" s="1"/>
  <c r="S700" i="1" l="1"/>
  <c r="T700" i="1" s="1"/>
  <c r="R699" i="1"/>
  <c r="R698" i="1" l="1"/>
  <c r="S699" i="1"/>
  <c r="T699" i="1" s="1"/>
  <c r="S698" i="1" l="1"/>
  <c r="T698" i="1" s="1"/>
  <c r="R697" i="1"/>
  <c r="S697" i="1" l="1"/>
  <c r="T697" i="1" s="1"/>
  <c r="R696" i="1"/>
  <c r="R695" i="1" l="1"/>
  <c r="S696" i="1"/>
  <c r="T696" i="1" s="1"/>
  <c r="S695" i="1" l="1"/>
  <c r="T695" i="1" s="1"/>
  <c r="R694" i="1"/>
  <c r="R693" i="1" l="1"/>
  <c r="S694" i="1"/>
  <c r="T694" i="1" s="1"/>
  <c r="R692" i="1" l="1"/>
  <c r="S693" i="1"/>
  <c r="T693" i="1" s="1"/>
  <c r="S692" i="1" l="1"/>
  <c r="T692" i="1" s="1"/>
  <c r="R691" i="1"/>
  <c r="R690" i="1" l="1"/>
  <c r="S691" i="1"/>
  <c r="T691" i="1" s="1"/>
  <c r="S690" i="1" l="1"/>
  <c r="T690" i="1" s="1"/>
  <c r="R689" i="1"/>
  <c r="S689" i="1" l="1"/>
  <c r="T689" i="1" s="1"/>
  <c r="R688" i="1"/>
  <c r="R687" i="1" l="1"/>
  <c r="S688" i="1"/>
  <c r="T688" i="1" s="1"/>
  <c r="S687" i="1" l="1"/>
  <c r="T687" i="1" s="1"/>
  <c r="R686" i="1"/>
  <c r="R685" i="1" l="1"/>
  <c r="S686" i="1"/>
  <c r="T686" i="1" s="1"/>
  <c r="R684" i="1" l="1"/>
  <c r="S685" i="1"/>
  <c r="T685" i="1" s="1"/>
  <c r="S684" i="1" l="1"/>
  <c r="T684" i="1" s="1"/>
  <c r="R683" i="1"/>
  <c r="R682" i="1" l="1"/>
  <c r="S683" i="1"/>
  <c r="T683" i="1" s="1"/>
  <c r="S682" i="1" l="1"/>
  <c r="T682" i="1" s="1"/>
  <c r="R681" i="1"/>
  <c r="S681" i="1" l="1"/>
  <c r="T681" i="1" s="1"/>
  <c r="R680" i="1"/>
  <c r="R679" i="1" l="1"/>
  <c r="S680" i="1"/>
  <c r="T680" i="1" s="1"/>
  <c r="S679" i="1" l="1"/>
  <c r="T679" i="1" s="1"/>
  <c r="R678" i="1"/>
  <c r="S678" i="1" l="1"/>
  <c r="T678" i="1" s="1"/>
  <c r="R677" i="1"/>
  <c r="S677" i="1" l="1"/>
  <c r="T677" i="1" s="1"/>
  <c r="R676" i="1"/>
  <c r="S676" i="1" l="1"/>
  <c r="T676" i="1" s="1"/>
  <c r="R675" i="1"/>
  <c r="R674" i="1" l="1"/>
  <c r="S675" i="1"/>
  <c r="T675" i="1" s="1"/>
  <c r="R673" i="1" l="1"/>
  <c r="S674" i="1"/>
  <c r="T674" i="1" s="1"/>
  <c r="S673" i="1" l="1"/>
  <c r="T673" i="1" s="1"/>
  <c r="R672" i="1"/>
  <c r="R671" i="1" l="1"/>
  <c r="S672" i="1"/>
  <c r="T672" i="1" s="1"/>
  <c r="S671" i="1" l="1"/>
  <c r="T671" i="1" s="1"/>
  <c r="R670" i="1"/>
  <c r="S670" i="1" l="1"/>
  <c r="T670" i="1" s="1"/>
  <c r="R669" i="1"/>
  <c r="R668" i="1" l="1"/>
  <c r="S669" i="1"/>
  <c r="T669" i="1" s="1"/>
  <c r="S668" i="1" l="1"/>
  <c r="T668" i="1" s="1"/>
  <c r="R667" i="1"/>
  <c r="S667" i="1" l="1"/>
  <c r="T667" i="1" s="1"/>
  <c r="R666" i="1"/>
  <c r="R665" i="1" l="1"/>
  <c r="S666" i="1"/>
  <c r="T666" i="1" s="1"/>
  <c r="S665" i="1" l="1"/>
  <c r="T665" i="1" s="1"/>
  <c r="R664" i="1"/>
  <c r="R663" i="1" l="1"/>
  <c r="S664" i="1"/>
  <c r="T664" i="1" s="1"/>
  <c r="R662" i="1" l="1"/>
  <c r="S663" i="1"/>
  <c r="T663" i="1" s="1"/>
  <c r="S662" i="1" l="1"/>
  <c r="T662" i="1" s="1"/>
  <c r="R661" i="1"/>
  <c r="S661" i="1" l="1"/>
  <c r="T661" i="1" s="1"/>
  <c r="R660" i="1"/>
  <c r="S660" i="1" l="1"/>
  <c r="T660" i="1" s="1"/>
  <c r="R659" i="1"/>
  <c r="S659" i="1" l="1"/>
  <c r="T659" i="1" s="1"/>
  <c r="R658" i="1"/>
  <c r="R657" i="1" l="1"/>
  <c r="S658" i="1"/>
  <c r="T658" i="1" s="1"/>
  <c r="S657" i="1" l="1"/>
  <c r="T657" i="1" s="1"/>
  <c r="R656" i="1"/>
  <c r="R655" i="1" l="1"/>
  <c r="S656" i="1"/>
  <c r="T656" i="1" s="1"/>
  <c r="R654" i="1" l="1"/>
  <c r="S655" i="1"/>
  <c r="T655" i="1" s="1"/>
  <c r="S654" i="1" l="1"/>
  <c r="T654" i="1" s="1"/>
  <c r="R653" i="1"/>
  <c r="R652" i="1" l="1"/>
  <c r="S653" i="1"/>
  <c r="T653" i="1" s="1"/>
  <c r="S652" i="1" l="1"/>
  <c r="T652" i="1" s="1"/>
  <c r="R651" i="1"/>
  <c r="S651" i="1" l="1"/>
  <c r="T651" i="1" s="1"/>
  <c r="R650" i="1"/>
  <c r="S650" i="1" l="1"/>
  <c r="T650" i="1" s="1"/>
  <c r="R649" i="1"/>
  <c r="S649" i="1" l="1"/>
  <c r="T649" i="1" s="1"/>
  <c r="R648" i="1"/>
  <c r="R647" i="1" l="1"/>
  <c r="S648" i="1"/>
  <c r="T648" i="1" s="1"/>
  <c r="S647" i="1" l="1"/>
  <c r="T647" i="1" s="1"/>
  <c r="R646" i="1"/>
  <c r="R645" i="1" l="1"/>
  <c r="S646" i="1"/>
  <c r="T646" i="1" s="1"/>
  <c r="S645" i="1" l="1"/>
  <c r="T645" i="1" s="1"/>
  <c r="R644" i="1"/>
  <c r="S644" i="1" l="1"/>
  <c r="T644" i="1" s="1"/>
  <c r="R643" i="1"/>
  <c r="R642" i="1" l="1"/>
  <c r="S643" i="1"/>
  <c r="T643" i="1" s="1"/>
  <c r="S642" i="1" l="1"/>
  <c r="T642" i="1" s="1"/>
  <c r="R641" i="1"/>
  <c r="S641" i="1" l="1"/>
  <c r="T641" i="1" s="1"/>
  <c r="R640" i="1"/>
  <c r="R639" i="1" l="1"/>
  <c r="S640" i="1"/>
  <c r="T640" i="1" s="1"/>
  <c r="S639" i="1" l="1"/>
  <c r="T639" i="1" s="1"/>
  <c r="R638" i="1"/>
  <c r="R637" i="1" l="1"/>
  <c r="S638" i="1"/>
  <c r="T638" i="1" s="1"/>
  <c r="R636" i="1" l="1"/>
  <c r="S637" i="1"/>
  <c r="T637" i="1" s="1"/>
  <c r="S636" i="1" l="1"/>
  <c r="T636" i="1" s="1"/>
  <c r="R635" i="1"/>
  <c r="R634" i="1" l="1"/>
  <c r="S635" i="1"/>
  <c r="T635" i="1" s="1"/>
  <c r="S634" i="1" l="1"/>
  <c r="T634" i="1" s="1"/>
  <c r="R633" i="1"/>
  <c r="S633" i="1" l="1"/>
  <c r="T633" i="1" s="1"/>
  <c r="R632" i="1"/>
  <c r="R631" i="1" l="1"/>
  <c r="S632" i="1"/>
  <c r="T632" i="1" s="1"/>
  <c r="S631" i="1" l="1"/>
  <c r="T631" i="1" s="1"/>
  <c r="R630" i="1"/>
  <c r="R629" i="1" l="1"/>
  <c r="S630" i="1"/>
  <c r="T630" i="1" s="1"/>
  <c r="R628" i="1" l="1"/>
  <c r="S629" i="1"/>
  <c r="T629" i="1" s="1"/>
  <c r="S628" i="1" l="1"/>
  <c r="T628" i="1" s="1"/>
  <c r="R627" i="1"/>
  <c r="S627" i="1" l="1"/>
  <c r="T627" i="1" s="1"/>
  <c r="R626" i="1"/>
  <c r="S626" i="1" l="1"/>
  <c r="T626" i="1" s="1"/>
  <c r="R625" i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S621" i="1" l="1"/>
  <c r="T621" i="1" s="1"/>
  <c r="R620" i="1"/>
  <c r="R619" i="1" l="1"/>
  <c r="S620" i="1"/>
  <c r="T620" i="1" s="1"/>
  <c r="S619" i="1" l="1"/>
  <c r="T619" i="1" s="1"/>
  <c r="R618" i="1"/>
  <c r="S618" i="1" l="1"/>
  <c r="T618" i="1" s="1"/>
  <c r="R617" i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S613" i="1" l="1"/>
  <c r="T613" i="1" s="1"/>
  <c r="R612" i="1"/>
  <c r="S612" i="1" l="1"/>
  <c r="T612" i="1" s="1"/>
  <c r="R611" i="1"/>
  <c r="S611" i="1" l="1"/>
  <c r="T611" i="1" s="1"/>
  <c r="R610" i="1"/>
  <c r="S610" i="1" l="1"/>
  <c r="T610" i="1" s="1"/>
  <c r="R609" i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S605" i="1" l="1"/>
  <c r="T605" i="1" s="1"/>
  <c r="R604" i="1"/>
  <c r="S604" i="1" l="1"/>
  <c r="T604" i="1" s="1"/>
  <c r="R603" i="1"/>
  <c r="R602" i="1" l="1"/>
  <c r="S603" i="1"/>
  <c r="T603" i="1" s="1"/>
  <c r="S602" i="1" l="1"/>
  <c r="T602" i="1" s="1"/>
  <c r="R601" i="1"/>
  <c r="R600" i="1" l="1"/>
  <c r="S601" i="1"/>
  <c r="T601" i="1" s="1"/>
  <c r="R599" i="1" l="1"/>
  <c r="S600" i="1"/>
  <c r="T600" i="1" s="1"/>
  <c r="S599" i="1" l="1"/>
  <c r="T599" i="1" s="1"/>
  <c r="R598" i="1"/>
  <c r="R597" i="1" l="1"/>
  <c r="S598" i="1"/>
  <c r="T598" i="1" s="1"/>
  <c r="S597" i="1" l="1"/>
  <c r="T597" i="1" s="1"/>
  <c r="R596" i="1"/>
  <c r="S596" i="1" l="1"/>
  <c r="T596" i="1" s="1"/>
  <c r="R595" i="1"/>
  <c r="R594" i="1" l="1"/>
  <c r="S595" i="1"/>
  <c r="T595" i="1" s="1"/>
  <c r="S594" i="1" l="1"/>
  <c r="T594" i="1" s="1"/>
  <c r="R593" i="1"/>
  <c r="R592" i="1" l="1"/>
  <c r="S593" i="1"/>
  <c r="T593" i="1" s="1"/>
  <c r="R591" i="1" l="1"/>
  <c r="S592" i="1"/>
  <c r="T592" i="1" s="1"/>
  <c r="S591" i="1" l="1"/>
  <c r="T591" i="1" s="1"/>
  <c r="R590" i="1"/>
  <c r="S590" i="1" l="1"/>
  <c r="T590" i="1" s="1"/>
  <c r="R589" i="1"/>
  <c r="S589" i="1" l="1"/>
  <c r="T589" i="1" s="1"/>
  <c r="R588" i="1"/>
  <c r="S588" i="1" l="1"/>
  <c r="T588" i="1" s="1"/>
  <c r="R587" i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S583" i="1" l="1"/>
  <c r="T583" i="1" s="1"/>
  <c r="R582" i="1"/>
  <c r="S582" i="1" l="1"/>
  <c r="T582" i="1" s="1"/>
  <c r="R581" i="1"/>
  <c r="S581" i="1" l="1"/>
  <c r="T581" i="1" s="1"/>
  <c r="R580" i="1"/>
  <c r="S580" i="1" l="1"/>
  <c r="T580" i="1" s="1"/>
  <c r="R579" i="1"/>
  <c r="S579" i="1" l="1"/>
  <c r="T579" i="1" s="1"/>
  <c r="R578" i="1"/>
  <c r="R577" i="1" l="1"/>
  <c r="S578" i="1"/>
  <c r="T578" i="1" s="1"/>
  <c r="R576" i="1" l="1"/>
  <c r="S577" i="1"/>
  <c r="T577" i="1" s="1"/>
  <c r="S576" i="1" l="1"/>
  <c r="T576" i="1" s="1"/>
  <c r="R575" i="1"/>
  <c r="R574" i="1" l="1"/>
  <c r="S575" i="1"/>
  <c r="T575" i="1" s="1"/>
  <c r="S574" i="1" l="1"/>
  <c r="T574" i="1" s="1"/>
  <c r="R573" i="1"/>
  <c r="S573" i="1" l="1"/>
  <c r="T573" i="1" s="1"/>
  <c r="R572" i="1"/>
  <c r="R571" i="1" l="1"/>
  <c r="S572" i="1"/>
  <c r="T572" i="1" s="1"/>
  <c r="S571" i="1" l="1"/>
  <c r="T571" i="1" s="1"/>
  <c r="R570" i="1"/>
  <c r="R569" i="1" l="1"/>
  <c r="S570" i="1"/>
  <c r="T570" i="1" s="1"/>
  <c r="R568" i="1" l="1"/>
  <c r="S569" i="1"/>
  <c r="T569" i="1" s="1"/>
  <c r="S568" i="1" l="1"/>
  <c r="T568" i="1" s="1"/>
  <c r="R567" i="1"/>
  <c r="R566" i="1" l="1"/>
  <c r="S567" i="1"/>
  <c r="T567" i="1" s="1"/>
  <c r="S566" i="1" l="1"/>
  <c r="T566" i="1" s="1"/>
  <c r="R565" i="1"/>
  <c r="S565" i="1" l="1"/>
  <c r="T565" i="1" s="1"/>
  <c r="R564" i="1"/>
  <c r="R563" i="1" l="1"/>
  <c r="S564" i="1"/>
  <c r="T564" i="1" s="1"/>
  <c r="S563" i="1" l="1"/>
  <c r="T563" i="1" s="1"/>
  <c r="R562" i="1"/>
  <c r="R561" i="1" l="1"/>
  <c r="S562" i="1"/>
  <c r="T562" i="1" s="1"/>
  <c r="R560" i="1" l="1"/>
  <c r="S561" i="1"/>
  <c r="T561" i="1" s="1"/>
  <c r="S560" i="1" l="1"/>
  <c r="T560" i="1" s="1"/>
  <c r="R559" i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S555" i="1" l="1"/>
  <c r="T555" i="1" s="1"/>
  <c r="R554" i="1"/>
  <c r="S554" i="1" l="1"/>
  <c r="T554" i="1" s="1"/>
  <c r="R553" i="1"/>
  <c r="S553" i="1" l="1"/>
  <c r="T553" i="1" s="1"/>
  <c r="R552" i="1"/>
  <c r="S552" i="1" l="1"/>
  <c r="T552" i="1" s="1"/>
  <c r="R551" i="1"/>
  <c r="R550" i="1" l="1"/>
  <c r="S551" i="1"/>
  <c r="T551" i="1" s="1"/>
  <c r="S550" i="1" l="1"/>
  <c r="T550" i="1" s="1"/>
  <c r="R549" i="1"/>
  <c r="R548" i="1" l="1"/>
  <c r="S549" i="1"/>
  <c r="T549" i="1" s="1"/>
  <c r="R547" i="1" l="1"/>
  <c r="S548" i="1"/>
  <c r="T548" i="1" s="1"/>
  <c r="S547" i="1" l="1"/>
  <c r="T547" i="1" s="1"/>
  <c r="R546" i="1"/>
  <c r="R545" i="1" l="1"/>
  <c r="S546" i="1"/>
  <c r="T546" i="1" s="1"/>
  <c r="S545" i="1" l="1"/>
  <c r="T545" i="1" s="1"/>
  <c r="R544" i="1"/>
  <c r="S544" i="1" l="1"/>
  <c r="T544" i="1" s="1"/>
  <c r="R543" i="1"/>
  <c r="S543" i="1" l="1"/>
  <c r="T543" i="1" s="1"/>
  <c r="R542" i="1"/>
  <c r="R541" i="1" l="1"/>
  <c r="S542" i="1"/>
  <c r="T542" i="1" s="1"/>
  <c r="S541" i="1" l="1"/>
  <c r="T541" i="1" s="1"/>
  <c r="R540" i="1"/>
  <c r="R539" i="1" l="1"/>
  <c r="S540" i="1"/>
  <c r="T540" i="1" s="1"/>
  <c r="R538" i="1" l="1"/>
  <c r="S539" i="1"/>
  <c r="T539" i="1" s="1"/>
  <c r="R537" i="1" l="1"/>
  <c r="S538" i="1"/>
  <c r="T538" i="1" s="1"/>
  <c r="S537" i="1" l="1"/>
  <c r="T537" i="1" s="1"/>
  <c r="R536" i="1"/>
  <c r="S536" i="1" l="1"/>
  <c r="T536" i="1" s="1"/>
  <c r="R535" i="1"/>
  <c r="S535" i="1" l="1"/>
  <c r="T535" i="1" s="1"/>
  <c r="R534" i="1"/>
  <c r="S534" i="1" l="1"/>
  <c r="T534" i="1" s="1"/>
  <c r="R533" i="1"/>
  <c r="S533" i="1" l="1"/>
  <c r="T533" i="1" s="1"/>
  <c r="R532" i="1"/>
  <c r="R531" i="1" l="1"/>
  <c r="S532" i="1"/>
  <c r="T532" i="1" s="1"/>
  <c r="S531" i="1" l="1"/>
  <c r="T531" i="1" s="1"/>
  <c r="R530" i="1"/>
  <c r="R529" i="1" l="1"/>
  <c r="S530" i="1"/>
  <c r="T530" i="1" s="1"/>
  <c r="R528" i="1" l="1"/>
  <c r="S529" i="1"/>
  <c r="T529" i="1" s="1"/>
  <c r="S528" i="1" l="1"/>
  <c r="T528" i="1" s="1"/>
  <c r="R527" i="1"/>
  <c r="S527" i="1" l="1"/>
  <c r="T527" i="1" s="1"/>
  <c r="R526" i="1"/>
  <c r="S526" i="1" l="1"/>
  <c r="T526" i="1" s="1"/>
  <c r="R525" i="1"/>
  <c r="S525" i="1" l="1"/>
  <c r="T525" i="1" s="1"/>
  <c r="R524" i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S520" i="1" l="1"/>
  <c r="T520" i="1" s="1"/>
  <c r="R519" i="1"/>
  <c r="R518" i="1" l="1"/>
  <c r="S519" i="1"/>
  <c r="T519" i="1" s="1"/>
  <c r="S518" i="1" l="1"/>
  <c r="T518" i="1" s="1"/>
  <c r="R517" i="1"/>
  <c r="S517" i="1" l="1"/>
  <c r="T517" i="1" s="1"/>
  <c r="R516" i="1"/>
  <c r="R515" i="1" l="1"/>
  <c r="S516" i="1"/>
  <c r="T516" i="1" s="1"/>
  <c r="S515" i="1" l="1"/>
  <c r="T515" i="1" s="1"/>
  <c r="R514" i="1"/>
  <c r="R513" i="1" l="1"/>
  <c r="S514" i="1"/>
  <c r="T514" i="1" s="1"/>
  <c r="R512" i="1" l="1"/>
  <c r="S513" i="1"/>
  <c r="T513" i="1" s="1"/>
  <c r="R511" i="1" l="1"/>
  <c r="S512" i="1"/>
  <c r="T512" i="1" s="1"/>
  <c r="S511" i="1" l="1"/>
  <c r="T511" i="1" s="1"/>
  <c r="R510" i="1"/>
  <c r="S510" i="1" l="1"/>
  <c r="T510" i="1" s="1"/>
  <c r="R509" i="1"/>
  <c r="R508" i="1" l="1"/>
  <c r="S509" i="1"/>
  <c r="T509" i="1" s="1"/>
  <c r="S508" i="1" l="1"/>
  <c r="T508" i="1" s="1"/>
  <c r="R507" i="1"/>
  <c r="R506" i="1" l="1"/>
  <c r="S507" i="1"/>
  <c r="T507" i="1" s="1"/>
  <c r="S506" i="1" l="1"/>
  <c r="T506" i="1" s="1"/>
  <c r="R505" i="1"/>
  <c r="S505" i="1" l="1"/>
  <c r="T505" i="1" s="1"/>
  <c r="R504" i="1"/>
  <c r="R503" i="1" l="1"/>
  <c r="S504" i="1"/>
  <c r="T504" i="1" s="1"/>
  <c r="S503" i="1" l="1"/>
  <c r="T503" i="1" s="1"/>
  <c r="R502" i="1"/>
  <c r="S502" i="1" l="1"/>
  <c r="T502" i="1" s="1"/>
  <c r="R501" i="1"/>
  <c r="R500" i="1" l="1"/>
  <c r="S501" i="1"/>
  <c r="T501" i="1" s="1"/>
  <c r="S500" i="1" l="1"/>
  <c r="T500" i="1" s="1"/>
  <c r="R499" i="1"/>
  <c r="S499" i="1" l="1"/>
  <c r="T499" i="1" s="1"/>
  <c r="R498" i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S494" i="1" l="1"/>
  <c r="T494" i="1" s="1"/>
  <c r="R493" i="1"/>
  <c r="R492" i="1" l="1"/>
  <c r="S493" i="1"/>
  <c r="T493" i="1" s="1"/>
  <c r="S492" i="1" l="1"/>
  <c r="T492" i="1" s="1"/>
  <c r="R491" i="1"/>
  <c r="S491" i="1" l="1"/>
  <c r="T491" i="1" s="1"/>
  <c r="R490" i="1"/>
  <c r="S490" i="1" l="1"/>
  <c r="T490" i="1" s="1"/>
  <c r="R489" i="1"/>
  <c r="S489" i="1" l="1"/>
  <c r="T489" i="1" s="1"/>
  <c r="R488" i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S484" i="1" l="1"/>
  <c r="T484" i="1" s="1"/>
  <c r="R483" i="1"/>
  <c r="S483" i="1" l="1"/>
  <c r="T483" i="1" s="1"/>
  <c r="R482" i="1"/>
  <c r="R481" i="1" l="1"/>
  <c r="S482" i="1"/>
  <c r="T482" i="1" s="1"/>
  <c r="S481" i="1" l="1"/>
  <c r="T481" i="1" s="1"/>
  <c r="R480" i="1"/>
  <c r="R479" i="1" l="1"/>
  <c r="S480" i="1"/>
  <c r="T480" i="1" s="1"/>
  <c r="R478" i="1" l="1"/>
  <c r="S479" i="1"/>
  <c r="T479" i="1" s="1"/>
  <c r="S478" i="1" l="1"/>
  <c r="T478" i="1" s="1"/>
  <c r="R477" i="1"/>
  <c r="R476" i="1" l="1"/>
  <c r="S477" i="1"/>
  <c r="T477" i="1" s="1"/>
  <c r="S476" i="1" l="1"/>
  <c r="T476" i="1" s="1"/>
  <c r="R475" i="1"/>
  <c r="S475" i="1" l="1"/>
  <c r="T475" i="1" s="1"/>
  <c r="R474" i="1"/>
  <c r="R473" i="1" l="1"/>
  <c r="S474" i="1"/>
  <c r="T474" i="1" s="1"/>
  <c r="S473" i="1" l="1"/>
  <c r="T473" i="1" s="1"/>
  <c r="R472" i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S468" i="1" l="1"/>
  <c r="T468" i="1" s="1"/>
  <c r="R467" i="1"/>
  <c r="S467" i="1" l="1"/>
  <c r="T467" i="1" s="1"/>
  <c r="R466" i="1"/>
  <c r="S466" i="1" l="1"/>
  <c r="T466" i="1" s="1"/>
  <c r="R465" i="1"/>
  <c r="S465" i="1" l="1"/>
  <c r="T465" i="1" s="1"/>
  <c r="R464" i="1"/>
  <c r="R463" i="1" l="1"/>
  <c r="S464" i="1"/>
  <c r="T464" i="1" s="1"/>
  <c r="R462" i="1" l="1"/>
  <c r="S463" i="1"/>
  <c r="T463" i="1" s="1"/>
  <c r="S462" i="1" l="1"/>
  <c r="T462" i="1" s="1"/>
  <c r="R461" i="1"/>
  <c r="R460" i="1" l="1"/>
  <c r="S461" i="1"/>
  <c r="T461" i="1" s="1"/>
  <c r="S460" i="1" l="1"/>
  <c r="T460" i="1" s="1"/>
  <c r="R459" i="1"/>
  <c r="S459" i="1" l="1"/>
  <c r="T459" i="1" s="1"/>
  <c r="R458" i="1"/>
  <c r="S458" i="1" l="1"/>
  <c r="T458" i="1" s="1"/>
  <c r="R457" i="1"/>
  <c r="S457" i="1" l="1"/>
  <c r="T457" i="1" s="1"/>
  <c r="R456" i="1"/>
  <c r="R455" i="1" l="1"/>
  <c r="S456" i="1"/>
  <c r="T456" i="1" s="1"/>
  <c r="R454" i="1" l="1"/>
  <c r="S455" i="1"/>
  <c r="T455" i="1" s="1"/>
  <c r="S454" i="1" l="1"/>
  <c r="T454" i="1" s="1"/>
  <c r="R453" i="1"/>
  <c r="R452" i="1" l="1"/>
  <c r="S453" i="1"/>
  <c r="T453" i="1" s="1"/>
  <c r="S452" i="1" l="1"/>
  <c r="T452" i="1" s="1"/>
  <c r="R451" i="1"/>
  <c r="S451" i="1" l="1"/>
  <c r="T451" i="1" s="1"/>
  <c r="R450" i="1"/>
  <c r="R449" i="1" l="1"/>
  <c r="S450" i="1"/>
  <c r="T450" i="1" s="1"/>
  <c r="S449" i="1" l="1"/>
  <c r="T449" i="1" s="1"/>
  <c r="R448" i="1"/>
  <c r="R447" i="1" l="1"/>
  <c r="S448" i="1"/>
  <c r="T448" i="1" s="1"/>
  <c r="R446" i="1" l="1"/>
  <c r="S447" i="1"/>
  <c r="T447" i="1" s="1"/>
  <c r="S446" i="1" l="1"/>
  <c r="T446" i="1" s="1"/>
  <c r="R445" i="1"/>
  <c r="R444" i="1" l="1"/>
  <c r="S445" i="1"/>
  <c r="T445" i="1" s="1"/>
  <c r="S444" i="1" l="1"/>
  <c r="T444" i="1" s="1"/>
  <c r="R443" i="1"/>
  <c r="S443" i="1" l="1"/>
  <c r="T443" i="1" s="1"/>
  <c r="R442" i="1"/>
  <c r="S442" i="1" l="1"/>
  <c r="T442" i="1" s="1"/>
  <c r="R441" i="1"/>
  <c r="S441" i="1" l="1"/>
  <c r="T441" i="1" s="1"/>
  <c r="R440" i="1"/>
  <c r="S440" i="1" l="1"/>
  <c r="T440" i="1" s="1"/>
  <c r="R439" i="1"/>
  <c r="R438" i="1" l="1"/>
  <c r="S439" i="1"/>
  <c r="T439" i="1" s="1"/>
  <c r="R437" i="1" l="1"/>
  <c r="S438" i="1"/>
  <c r="T438" i="1" s="1"/>
  <c r="S437" i="1" l="1"/>
  <c r="T437" i="1" s="1"/>
  <c r="R436" i="1"/>
  <c r="R435" i="1" l="1"/>
  <c r="S436" i="1"/>
  <c r="T436" i="1" s="1"/>
  <c r="S435" i="1" l="1"/>
  <c r="T435" i="1" s="1"/>
  <c r="R434" i="1"/>
  <c r="R433" i="1" l="1"/>
  <c r="S434" i="1"/>
  <c r="T434" i="1" s="1"/>
  <c r="S433" i="1" l="1"/>
  <c r="T433" i="1" s="1"/>
  <c r="R432" i="1"/>
  <c r="S432" i="1" l="1"/>
  <c r="T432" i="1" s="1"/>
  <c r="R431" i="1"/>
  <c r="R430" i="1" l="1"/>
  <c r="S431" i="1"/>
  <c r="T431" i="1" s="1"/>
  <c r="S430" i="1" l="1"/>
  <c r="T430" i="1" s="1"/>
  <c r="R429" i="1"/>
  <c r="R428" i="1" l="1"/>
  <c r="S429" i="1"/>
  <c r="T429" i="1" s="1"/>
  <c r="R427" i="1" l="1"/>
  <c r="S428" i="1"/>
  <c r="T428" i="1" s="1"/>
  <c r="S427" i="1" l="1"/>
  <c r="T427" i="1" s="1"/>
  <c r="R426" i="1"/>
  <c r="R425" i="1" l="1"/>
  <c r="S426" i="1"/>
  <c r="T426" i="1" s="1"/>
  <c r="S425" i="1" l="1"/>
  <c r="T425" i="1" s="1"/>
  <c r="R424" i="1"/>
  <c r="S424" i="1" l="1"/>
  <c r="T424" i="1" s="1"/>
  <c r="R423" i="1"/>
  <c r="S423" i="1" l="1"/>
  <c r="T423" i="1" s="1"/>
  <c r="R422" i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S418" i="1" l="1"/>
  <c r="T418" i="1" s="1"/>
  <c r="R417" i="1"/>
  <c r="S417" i="1" l="1"/>
  <c r="T417" i="1" s="1"/>
  <c r="R416" i="1"/>
  <c r="R415" i="1" l="1"/>
  <c r="S416" i="1"/>
  <c r="T416" i="1" s="1"/>
  <c r="S415" i="1" l="1"/>
  <c r="T415" i="1" s="1"/>
  <c r="R414" i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S410" i="1" l="1"/>
  <c r="T410" i="1" s="1"/>
  <c r="R409" i="1"/>
  <c r="S409" i="1" l="1"/>
  <c r="T409" i="1" s="1"/>
  <c r="R408" i="1"/>
  <c r="S408" i="1" l="1"/>
  <c r="T408" i="1" s="1"/>
  <c r="R407" i="1"/>
  <c r="S407" i="1" l="1"/>
  <c r="T407" i="1" s="1"/>
  <c r="R406" i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S402" i="1" l="1"/>
  <c r="T402" i="1" s="1"/>
  <c r="R401" i="1"/>
  <c r="S401" i="1" l="1"/>
  <c r="T401" i="1" s="1"/>
  <c r="R400" i="1"/>
  <c r="S400" i="1" l="1"/>
  <c r="T400" i="1" s="1"/>
  <c r="R399" i="1"/>
  <c r="S399" i="1" l="1"/>
  <c r="T399" i="1" s="1"/>
  <c r="R398" i="1"/>
  <c r="S398" i="1" l="1"/>
  <c r="T398" i="1" s="1"/>
  <c r="R397" i="1"/>
  <c r="R396" i="1" l="1"/>
  <c r="S397" i="1"/>
  <c r="T397" i="1" s="1"/>
  <c r="S396" i="1" l="1"/>
  <c r="T396" i="1" s="1"/>
  <c r="R395" i="1"/>
  <c r="R394" i="1" l="1"/>
  <c r="S395" i="1"/>
  <c r="T395" i="1" s="1"/>
  <c r="R393" i="1" l="1"/>
  <c r="S394" i="1"/>
  <c r="T394" i="1" s="1"/>
  <c r="S393" i="1" l="1"/>
  <c r="T393" i="1" s="1"/>
  <c r="R392" i="1"/>
  <c r="S392" i="1" l="1"/>
  <c r="T392" i="1" s="1"/>
  <c r="R391" i="1"/>
  <c r="S391" i="1" l="1"/>
  <c r="T391" i="1" s="1"/>
  <c r="R390" i="1"/>
  <c r="S390" i="1" l="1"/>
  <c r="T390" i="1" s="1"/>
  <c r="R389" i="1"/>
  <c r="R388" i="1" l="1"/>
  <c r="S389" i="1"/>
  <c r="T389" i="1" s="1"/>
  <c r="S388" i="1" l="1"/>
  <c r="T388" i="1" s="1"/>
  <c r="R387" i="1"/>
  <c r="S387" i="1" l="1"/>
  <c r="T387" i="1" s="1"/>
  <c r="R386" i="1"/>
  <c r="S386" i="1" l="1"/>
  <c r="T386" i="1" s="1"/>
  <c r="R385" i="1"/>
  <c r="S385" i="1" l="1"/>
  <c r="T385" i="1" s="1"/>
  <c r="R384" i="1"/>
  <c r="S384" i="1" l="1"/>
  <c r="T384" i="1" s="1"/>
  <c r="R383" i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S379" i="1" l="1"/>
  <c r="T379" i="1" s="1"/>
  <c r="R378" i="1"/>
  <c r="S378" i="1" l="1"/>
  <c r="T378" i="1" s="1"/>
  <c r="R377" i="1"/>
  <c r="S377" i="1" l="1"/>
  <c r="T377" i="1" s="1"/>
  <c r="R376" i="1"/>
  <c r="S376" i="1" l="1"/>
  <c r="T376" i="1" s="1"/>
  <c r="R375" i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S371" i="1" l="1"/>
  <c r="T371" i="1" s="1"/>
  <c r="R370" i="1"/>
  <c r="S370" i="1" l="1"/>
  <c r="T370" i="1" s="1"/>
  <c r="R369" i="1"/>
  <c r="S369" i="1" l="1"/>
  <c r="T369" i="1" s="1"/>
  <c r="R368" i="1"/>
  <c r="S368" i="1" l="1"/>
  <c r="T368" i="1" s="1"/>
  <c r="R367" i="1"/>
  <c r="S367" i="1" l="1"/>
  <c r="T367" i="1" s="1"/>
  <c r="R366" i="1"/>
  <c r="R365" i="1" l="1"/>
  <c r="S366" i="1"/>
  <c r="T366" i="1" s="1"/>
  <c r="S365" i="1" l="1"/>
  <c r="T365" i="1" s="1"/>
  <c r="R364" i="1"/>
  <c r="R363" i="1" l="1"/>
  <c r="S364" i="1"/>
  <c r="T364" i="1" s="1"/>
  <c r="R362" i="1" l="1"/>
  <c r="S363" i="1"/>
  <c r="T363" i="1" s="1"/>
  <c r="S362" i="1" l="1"/>
  <c r="T362" i="1" s="1"/>
  <c r="R361" i="1"/>
  <c r="S361" i="1" l="1"/>
  <c r="T361" i="1" s="1"/>
  <c r="R360" i="1"/>
  <c r="S360" i="1" l="1"/>
  <c r="T360" i="1" s="1"/>
  <c r="R359" i="1"/>
  <c r="S359" i="1" l="1"/>
  <c r="T359" i="1" s="1"/>
  <c r="R358" i="1"/>
  <c r="S358" i="1" l="1"/>
  <c r="T358" i="1" s="1"/>
  <c r="R357" i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S352" i="1" l="1"/>
  <c r="T352" i="1" s="1"/>
  <c r="R351" i="1"/>
  <c r="S351" i="1" l="1"/>
  <c r="T351" i="1" s="1"/>
  <c r="R350" i="1"/>
  <c r="S350" i="1" l="1"/>
  <c r="T350" i="1" s="1"/>
  <c r="R349" i="1"/>
  <c r="R348" i="1" l="1"/>
  <c r="S349" i="1"/>
  <c r="T349" i="1" s="1"/>
  <c r="R347" i="1" l="1"/>
  <c r="S348" i="1"/>
  <c r="T348" i="1" s="1"/>
  <c r="S347" i="1" l="1"/>
  <c r="T347" i="1" s="1"/>
  <c r="R346" i="1"/>
  <c r="R345" i="1" l="1"/>
  <c r="S346" i="1"/>
  <c r="T346" i="1" s="1"/>
  <c r="S345" i="1" l="1"/>
  <c r="T345" i="1" s="1"/>
  <c r="R344" i="1"/>
  <c r="S344" i="1" l="1"/>
  <c r="T344" i="1" s="1"/>
  <c r="R343" i="1"/>
  <c r="R342" i="1" l="1"/>
  <c r="S343" i="1"/>
  <c r="T343" i="1" s="1"/>
  <c r="S342" i="1" l="1"/>
  <c r="T342" i="1" s="1"/>
  <c r="R341" i="1"/>
  <c r="S341" i="1" l="1"/>
  <c r="T341" i="1" s="1"/>
  <c r="R340" i="1"/>
  <c r="R339" i="1" l="1"/>
  <c r="S340" i="1"/>
  <c r="T340" i="1" s="1"/>
  <c r="R338" i="1" l="1"/>
  <c r="S339" i="1"/>
  <c r="T339" i="1" s="1"/>
  <c r="R337" i="1" l="1"/>
  <c r="S338" i="1"/>
  <c r="T338" i="1" s="1"/>
  <c r="S337" i="1" l="1"/>
  <c r="T337" i="1" s="1"/>
  <c r="R336" i="1"/>
  <c r="S336" i="1" l="1"/>
  <c r="T336" i="1" s="1"/>
  <c r="R335" i="1"/>
  <c r="S335" i="1" l="1"/>
  <c r="T335" i="1" s="1"/>
  <c r="R334" i="1"/>
  <c r="S334" i="1" l="1"/>
  <c r="T334" i="1" s="1"/>
  <c r="R333" i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S329" i="1" l="1"/>
  <c r="T329" i="1" s="1"/>
  <c r="R328" i="1"/>
  <c r="S328" i="1" l="1"/>
  <c r="T328" i="1" s="1"/>
  <c r="R327" i="1"/>
  <c r="S327" i="1" l="1"/>
  <c r="T327" i="1" s="1"/>
  <c r="R326" i="1"/>
  <c r="S326" i="1" l="1"/>
  <c r="T326" i="1" s="1"/>
  <c r="R325" i="1"/>
  <c r="S325" i="1" l="1"/>
  <c r="T325" i="1" s="1"/>
  <c r="R324" i="1"/>
  <c r="S324" i="1" l="1"/>
  <c r="T324" i="1" s="1"/>
  <c r="R323" i="1"/>
  <c r="R322" i="1" l="1"/>
  <c r="S323" i="1"/>
  <c r="T323" i="1" s="1"/>
  <c r="R321" i="1" l="1"/>
  <c r="S322" i="1"/>
  <c r="T322" i="1" s="1"/>
  <c r="R320" i="1" l="1"/>
  <c r="S321" i="1"/>
  <c r="T321" i="1" s="1"/>
  <c r="S320" i="1" l="1"/>
  <c r="T320" i="1" s="1"/>
  <c r="R319" i="1"/>
  <c r="R318" i="1" l="1"/>
  <c r="S319" i="1"/>
  <c r="T319" i="1" s="1"/>
  <c r="S318" i="1" l="1"/>
  <c r="T318" i="1" s="1"/>
  <c r="R317" i="1"/>
  <c r="S317" i="1" l="1"/>
  <c r="T317" i="1" s="1"/>
  <c r="R316" i="1"/>
  <c r="S316" i="1" l="1"/>
  <c r="T316" i="1" s="1"/>
  <c r="R315" i="1"/>
  <c r="S315" i="1" l="1"/>
  <c r="T315" i="1" s="1"/>
  <c r="R314" i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S310" i="1" l="1"/>
  <c r="T310" i="1" s="1"/>
  <c r="R309" i="1"/>
  <c r="S309" i="1" l="1"/>
  <c r="T309" i="1" s="1"/>
  <c r="R308" i="1"/>
  <c r="S308" i="1" l="1"/>
  <c r="T308" i="1" s="1"/>
  <c r="R307" i="1"/>
  <c r="S307" i="1" l="1"/>
  <c r="T307" i="1" s="1"/>
  <c r="R306" i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S302" i="1" l="1"/>
  <c r="T302" i="1" s="1"/>
  <c r="R301" i="1"/>
  <c r="S301" i="1" l="1"/>
  <c r="T301" i="1" s="1"/>
  <c r="R300" i="1"/>
  <c r="S300" i="1" l="1"/>
  <c r="T300" i="1" s="1"/>
  <c r="R299" i="1"/>
  <c r="S299" i="1" l="1"/>
  <c r="T299" i="1" s="1"/>
  <c r="R298" i="1"/>
  <c r="R297" i="1" l="1"/>
  <c r="S298" i="1"/>
  <c r="T298" i="1" s="1"/>
  <c r="R296" i="1" l="1"/>
  <c r="S297" i="1"/>
  <c r="T297" i="1" s="1"/>
  <c r="S296" i="1" l="1"/>
  <c r="T296" i="1" s="1"/>
  <c r="R295" i="1"/>
  <c r="R294" i="1" l="1"/>
  <c r="S295" i="1"/>
  <c r="T295" i="1" s="1"/>
  <c r="S294" i="1" l="1"/>
  <c r="T294" i="1" s="1"/>
  <c r="R293" i="1"/>
  <c r="S293" i="1" l="1"/>
  <c r="T293" i="1" s="1"/>
  <c r="R292" i="1"/>
  <c r="R291" i="1" l="1"/>
  <c r="S292" i="1"/>
  <c r="T292" i="1" s="1"/>
  <c r="R290" i="1" l="1"/>
  <c r="S291" i="1"/>
  <c r="T291" i="1" s="1"/>
  <c r="S290" i="1" l="1"/>
  <c r="T290" i="1" s="1"/>
  <c r="R289" i="1"/>
  <c r="S289" i="1" l="1"/>
  <c r="T289" i="1" s="1"/>
  <c r="R288" i="1"/>
  <c r="S288" i="1" l="1"/>
  <c r="T288" i="1" s="1"/>
  <c r="R287" i="1"/>
  <c r="S287" i="1" l="1"/>
  <c r="T287" i="1" s="1"/>
  <c r="R286" i="1"/>
  <c r="R285" i="1" l="1"/>
  <c r="S286" i="1"/>
  <c r="T286" i="1" s="1"/>
  <c r="S285" i="1" l="1"/>
  <c r="T285" i="1" s="1"/>
  <c r="R284" i="1"/>
  <c r="R283" i="1" l="1"/>
  <c r="S284" i="1"/>
  <c r="T284" i="1" s="1"/>
  <c r="R282" i="1" l="1"/>
  <c r="S283" i="1"/>
  <c r="T283" i="1" s="1"/>
  <c r="S282" i="1" l="1"/>
  <c r="T282" i="1" s="1"/>
  <c r="R281" i="1"/>
  <c r="R280" i="1" l="1"/>
  <c r="S281" i="1"/>
  <c r="T281" i="1" s="1"/>
  <c r="S280" i="1" l="1"/>
  <c r="T280" i="1" s="1"/>
  <c r="R279" i="1"/>
  <c r="S279" i="1" l="1"/>
  <c r="T279" i="1" s="1"/>
  <c r="R278" i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S274" i="1" l="1"/>
  <c r="T274" i="1" s="1"/>
  <c r="R273" i="1"/>
  <c r="S273" i="1" l="1"/>
  <c r="T273" i="1" s="1"/>
  <c r="R272" i="1"/>
  <c r="S272" i="1" l="1"/>
  <c r="T272" i="1" s="1"/>
  <c r="R271" i="1"/>
  <c r="S271" i="1" l="1"/>
  <c r="T271" i="1" s="1"/>
  <c r="R270" i="1"/>
  <c r="S270" i="1" l="1"/>
  <c r="T270" i="1" s="1"/>
  <c r="R269" i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S265" i="1" l="1"/>
  <c r="T265" i="1" s="1"/>
  <c r="R264" i="1"/>
  <c r="S264" i="1" l="1"/>
  <c r="T264" i="1" s="1"/>
  <c r="R263" i="1"/>
  <c r="S263" i="1" l="1"/>
  <c r="T263" i="1" s="1"/>
  <c r="R262" i="1"/>
  <c r="S262" i="1" l="1"/>
  <c r="T262" i="1" s="1"/>
  <c r="R261" i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S257" i="1" l="1"/>
  <c r="T257" i="1" s="1"/>
  <c r="R256" i="1"/>
  <c r="S256" i="1" l="1"/>
  <c r="T256" i="1" s="1"/>
  <c r="R255" i="1"/>
  <c r="S255" i="1" l="1"/>
  <c r="T255" i="1" s="1"/>
  <c r="R254" i="1"/>
  <c r="S254" i="1" l="1"/>
  <c r="T254" i="1" s="1"/>
  <c r="R253" i="1"/>
  <c r="R252" i="1" l="1"/>
  <c r="S253" i="1"/>
  <c r="T253" i="1" s="1"/>
  <c r="R251" i="1" l="1"/>
  <c r="S252" i="1"/>
  <c r="T252" i="1" s="1"/>
  <c r="R250" i="1" l="1"/>
  <c r="S251" i="1"/>
  <c r="T251" i="1" s="1"/>
  <c r="S250" i="1" l="1"/>
  <c r="T250" i="1" s="1"/>
  <c r="R249" i="1"/>
  <c r="S249" i="1" l="1"/>
  <c r="T249" i="1" s="1"/>
  <c r="R248" i="1"/>
  <c r="S248" i="1" l="1"/>
  <c r="T248" i="1" s="1"/>
  <c r="R247" i="1"/>
  <c r="S247" i="1" l="1"/>
  <c r="T247" i="1" s="1"/>
  <c r="R246" i="1"/>
  <c r="R245" i="1" l="1"/>
  <c r="S246" i="1"/>
  <c r="T246" i="1" s="1"/>
  <c r="R244" i="1" l="1"/>
  <c r="S245" i="1"/>
  <c r="T245" i="1" s="1"/>
  <c r="S244" i="1" l="1"/>
  <c r="T244" i="1" s="1"/>
  <c r="R243" i="1"/>
  <c r="R242" i="1" l="1"/>
  <c r="S243" i="1"/>
  <c r="T243" i="1" s="1"/>
  <c r="S242" i="1" l="1"/>
  <c r="T242" i="1" s="1"/>
  <c r="R241" i="1"/>
  <c r="S241" i="1" l="1"/>
  <c r="T241" i="1" s="1"/>
  <c r="R240" i="1"/>
  <c r="R239" i="1" l="1"/>
  <c r="S240" i="1"/>
  <c r="T240" i="1" s="1"/>
  <c r="S239" i="1" l="1"/>
  <c r="T239" i="1" s="1"/>
  <c r="R238" i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S233" i="1" l="1"/>
  <c r="T233" i="1" s="1"/>
  <c r="R232" i="1"/>
  <c r="S232" i="1" l="1"/>
  <c r="T232" i="1" s="1"/>
  <c r="R231" i="1"/>
  <c r="S231" i="1" l="1"/>
  <c r="T231" i="1" s="1"/>
  <c r="R230" i="1"/>
  <c r="S230" i="1" l="1"/>
  <c r="T230" i="1" s="1"/>
  <c r="R229" i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S225" i="1" l="1"/>
  <c r="T225" i="1" s="1"/>
  <c r="R224" i="1"/>
  <c r="S224" i="1" l="1"/>
  <c r="T224" i="1" s="1"/>
  <c r="R223" i="1"/>
  <c r="R222" i="1" l="1"/>
  <c r="S223" i="1"/>
  <c r="T223" i="1" s="1"/>
  <c r="S222" i="1" l="1"/>
  <c r="T222" i="1" s="1"/>
  <c r="R221" i="1"/>
  <c r="R220" i="1" l="1"/>
  <c r="S221" i="1"/>
  <c r="T221" i="1" s="1"/>
  <c r="R219" i="1" l="1"/>
  <c r="S220" i="1"/>
  <c r="T220" i="1" s="1"/>
  <c r="S219" i="1" l="1"/>
  <c r="T219" i="1" s="1"/>
  <c r="R218" i="1"/>
  <c r="R217" i="1" l="1"/>
  <c r="S218" i="1"/>
  <c r="T218" i="1" s="1"/>
  <c r="S217" i="1" l="1"/>
  <c r="T217" i="1" s="1"/>
  <c r="R216" i="1"/>
  <c r="R215" i="1" l="1"/>
  <c r="S216" i="1"/>
  <c r="T216" i="1" s="1"/>
  <c r="R214" i="1" l="1"/>
  <c r="S215" i="1"/>
  <c r="T215" i="1" s="1"/>
  <c r="S214" i="1" l="1"/>
  <c r="T214" i="1" s="1"/>
  <c r="R213" i="1"/>
  <c r="S213" i="1" l="1"/>
  <c r="T213" i="1" s="1"/>
  <c r="R212" i="1"/>
  <c r="S212" i="1" l="1"/>
  <c r="T212" i="1" s="1"/>
  <c r="R211" i="1"/>
  <c r="S211" i="1" l="1"/>
  <c r="T211" i="1" s="1"/>
  <c r="R210" i="1"/>
  <c r="R209" i="1" l="1"/>
  <c r="S210" i="1"/>
  <c r="T210" i="1" s="1"/>
  <c r="R208" i="1" l="1"/>
  <c r="S209" i="1"/>
  <c r="T209" i="1" s="1"/>
  <c r="R207" i="1" l="1"/>
  <c r="S208" i="1"/>
  <c r="T208" i="1" s="1"/>
  <c r="S207" i="1" l="1"/>
  <c r="T207" i="1" s="1"/>
  <c r="R206" i="1"/>
  <c r="S206" i="1" l="1"/>
  <c r="T206" i="1" s="1"/>
  <c r="R205" i="1"/>
  <c r="S205" i="1" l="1"/>
  <c r="T205" i="1" s="1"/>
  <c r="R204" i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S200" i="1" l="1"/>
  <c r="T200" i="1" s="1"/>
  <c r="R199" i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S191" i="1" l="1"/>
  <c r="T191" i="1" s="1"/>
  <c r="R190" i="1"/>
  <c r="R189" i="1" l="1"/>
  <c r="S190" i="1"/>
  <c r="T190" i="1" s="1"/>
  <c r="S189" i="1" l="1"/>
  <c r="T189" i="1" s="1"/>
  <c r="R188" i="1"/>
  <c r="R187" i="1" l="1"/>
  <c r="S188" i="1"/>
  <c r="T188" i="1" s="1"/>
  <c r="S187" i="1" l="1"/>
  <c r="T187" i="1" s="1"/>
  <c r="R186" i="1"/>
  <c r="R185" i="1" l="1"/>
  <c r="S186" i="1"/>
  <c r="T186" i="1" s="1"/>
  <c r="R184" i="1" l="1"/>
  <c r="S185" i="1"/>
  <c r="T185" i="1" s="1"/>
  <c r="R183" i="1" l="1"/>
  <c r="S184" i="1"/>
  <c r="T184" i="1" s="1"/>
  <c r="S183" i="1" l="1"/>
  <c r="T183" i="1" s="1"/>
  <c r="R182" i="1"/>
  <c r="S182" i="1" l="1"/>
  <c r="T182" i="1" s="1"/>
  <c r="R181" i="1"/>
  <c r="S181" i="1" l="1"/>
  <c r="T181" i="1" s="1"/>
  <c r="R180" i="1"/>
  <c r="S180" i="1" l="1"/>
  <c r="T180" i="1" s="1"/>
  <c r="R179" i="1"/>
  <c r="R178" i="1" l="1"/>
  <c r="S179" i="1"/>
  <c r="T179" i="1" s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S174" i="1" l="1"/>
  <c r="T174" i="1" s="1"/>
  <c r="R173" i="1"/>
  <c r="R172" i="1" l="1"/>
  <c r="S173" i="1"/>
  <c r="T173" i="1" s="1"/>
  <c r="S172" i="1" l="1"/>
  <c r="T172" i="1" s="1"/>
  <c r="R171" i="1"/>
  <c r="R170" i="1" l="1"/>
  <c r="S171" i="1"/>
  <c r="T171" i="1" s="1"/>
  <c r="R169" i="1" l="1"/>
  <c r="S170" i="1"/>
  <c r="T170" i="1" s="1"/>
  <c r="S169" i="1" l="1"/>
  <c r="T169" i="1" s="1"/>
  <c r="R168" i="1"/>
  <c r="R167" i="1" l="1"/>
  <c r="S168" i="1"/>
  <c r="T168" i="1" s="1"/>
  <c r="S167" i="1" l="1"/>
  <c r="T167" i="1" s="1"/>
  <c r="R166" i="1"/>
  <c r="S166" i="1" l="1"/>
  <c r="T166" i="1" s="1"/>
  <c r="R165" i="1"/>
  <c r="S165" i="1" l="1"/>
  <c r="T165" i="1" s="1"/>
  <c r="R164" i="1"/>
  <c r="R163" i="1" l="1"/>
  <c r="S164" i="1"/>
  <c r="T164" i="1" s="1"/>
  <c r="S163" i="1" l="1"/>
  <c r="T163" i="1" s="1"/>
  <c r="R162" i="1"/>
  <c r="S162" i="1" l="1"/>
  <c r="T162" i="1" s="1"/>
  <c r="R161" i="1"/>
  <c r="R160" i="1" l="1"/>
  <c r="S161" i="1"/>
  <c r="T161" i="1" s="1"/>
  <c r="R159" i="1" l="1"/>
  <c r="S160" i="1"/>
  <c r="T160" i="1" s="1"/>
  <c r="S159" i="1" l="1"/>
  <c r="T159" i="1" s="1"/>
  <c r="R158" i="1"/>
  <c r="R157" i="1" l="1"/>
  <c r="S158" i="1"/>
  <c r="T158" i="1" s="1"/>
  <c r="R156" i="1" l="1"/>
  <c r="S157" i="1"/>
  <c r="T157" i="1" s="1"/>
  <c r="S156" i="1" l="1"/>
  <c r="T156" i="1" s="1"/>
  <c r="R155" i="1"/>
  <c r="R154" i="1" l="1"/>
  <c r="S155" i="1"/>
  <c r="T155" i="1" s="1"/>
  <c r="S154" i="1" l="1"/>
  <c r="T154" i="1" s="1"/>
  <c r="R153" i="1"/>
  <c r="S153" i="1" l="1"/>
  <c r="T153" i="1" s="1"/>
  <c r="R152" i="1"/>
  <c r="R151" i="1" l="1"/>
  <c r="S152" i="1"/>
  <c r="T152" i="1" s="1"/>
  <c r="S151" i="1" l="1"/>
  <c r="T151" i="1" s="1"/>
  <c r="R150" i="1"/>
  <c r="R149" i="1" l="1"/>
  <c r="S150" i="1"/>
  <c r="T150" i="1" s="1"/>
  <c r="S149" i="1" l="1"/>
  <c r="T149" i="1" s="1"/>
  <c r="R148" i="1"/>
  <c r="R147" i="1" l="1"/>
  <c r="S148" i="1"/>
  <c r="T148" i="1" s="1"/>
  <c r="S147" i="1" l="1"/>
  <c r="T147" i="1" s="1"/>
  <c r="R146" i="1"/>
  <c r="R145" i="1" l="1"/>
  <c r="S146" i="1"/>
  <c r="T146" i="1" s="1"/>
  <c r="R144" i="1" l="1"/>
  <c r="S145" i="1"/>
  <c r="T145" i="1" s="1"/>
  <c r="R143" i="1" l="1"/>
  <c r="S144" i="1"/>
  <c r="T144" i="1" s="1"/>
  <c r="S143" i="1" l="1"/>
  <c r="T143" i="1" s="1"/>
  <c r="R142" i="1"/>
  <c r="S142" i="1" l="1"/>
  <c r="T142" i="1" s="1"/>
  <c r="R141" i="1"/>
  <c r="S141" i="1" l="1"/>
  <c r="T141" i="1" s="1"/>
  <c r="R140" i="1"/>
  <c r="S140" i="1" l="1"/>
  <c r="T140" i="1" s="1"/>
  <c r="R139" i="1"/>
  <c r="S139" i="1" l="1"/>
  <c r="T139" i="1" s="1"/>
  <c r="R138" i="1"/>
  <c r="R137" i="1" l="1"/>
  <c r="S138" i="1"/>
  <c r="T138" i="1" s="1"/>
  <c r="R136" i="1" l="1"/>
  <c r="S137" i="1"/>
  <c r="T137" i="1" s="1"/>
  <c r="R135" i="1" l="1"/>
  <c r="S136" i="1"/>
  <c r="T136" i="1" s="1"/>
  <c r="S135" i="1" l="1"/>
  <c r="T135" i="1" s="1"/>
  <c r="R134" i="1"/>
  <c r="R133" i="1" l="1"/>
  <c r="S134" i="1"/>
  <c r="T134" i="1" s="1"/>
  <c r="S133" i="1" l="1"/>
  <c r="T133" i="1" s="1"/>
  <c r="R132" i="1"/>
  <c r="S132" i="1" l="1"/>
  <c r="T132" i="1" s="1"/>
  <c r="R131" i="1"/>
  <c r="R130" i="1" l="1"/>
  <c r="S131" i="1"/>
  <c r="T131" i="1" s="1"/>
  <c r="S130" i="1" l="1"/>
  <c r="T130" i="1" s="1"/>
  <c r="R129" i="1"/>
  <c r="R128" i="1" l="1"/>
  <c r="S129" i="1"/>
  <c r="T129" i="1" s="1"/>
  <c r="R127" i="1" l="1"/>
  <c r="S128" i="1"/>
  <c r="T128" i="1" s="1"/>
  <c r="S127" i="1" l="1"/>
  <c r="T127" i="1" s="1"/>
  <c r="R126" i="1"/>
  <c r="R125" i="1" l="1"/>
  <c r="S126" i="1"/>
  <c r="T126" i="1" s="1"/>
  <c r="S125" i="1" l="1"/>
  <c r="T125" i="1" s="1"/>
  <c r="R124" i="1"/>
  <c r="R123" i="1" l="1"/>
  <c r="S124" i="1"/>
  <c r="T124" i="1" s="1"/>
  <c r="R122" i="1" l="1"/>
  <c r="S123" i="1"/>
  <c r="T123" i="1" s="1"/>
  <c r="S122" i="1" l="1"/>
  <c r="T122" i="1" s="1"/>
  <c r="R121" i="1"/>
  <c r="R120" i="1" l="1"/>
  <c r="S121" i="1"/>
  <c r="T121" i="1" s="1"/>
  <c r="S120" i="1" l="1"/>
  <c r="T120" i="1" s="1"/>
  <c r="R119" i="1"/>
  <c r="R118" i="1" l="1"/>
  <c r="S119" i="1"/>
  <c r="T119" i="1" s="1"/>
  <c r="R117" i="1" l="1"/>
  <c r="S118" i="1"/>
  <c r="T118" i="1" s="1"/>
  <c r="S117" i="1" l="1"/>
  <c r="T117" i="1" s="1"/>
  <c r="R116" i="1"/>
  <c r="R115" i="1" l="1"/>
  <c r="S116" i="1"/>
  <c r="T116" i="1" s="1"/>
  <c r="R114" i="1" l="1"/>
  <c r="S115" i="1"/>
  <c r="T115" i="1" s="1"/>
  <c r="R113" i="1" l="1"/>
  <c r="S114" i="1"/>
  <c r="T114" i="1" s="1"/>
  <c r="R112" i="1" l="1"/>
  <c r="S113" i="1"/>
  <c r="T113" i="1" s="1"/>
  <c r="S112" i="1" l="1"/>
  <c r="T112" i="1" s="1"/>
  <c r="R111" i="1"/>
  <c r="R110" i="1" l="1"/>
  <c r="S111" i="1"/>
  <c r="T111" i="1" s="1"/>
  <c r="S110" i="1" l="1"/>
  <c r="T110" i="1" s="1"/>
  <c r="R109" i="1"/>
  <c r="R108" i="1" l="1"/>
  <c r="S109" i="1"/>
  <c r="T109" i="1" s="1"/>
  <c r="S108" i="1" l="1"/>
  <c r="T108" i="1" s="1"/>
  <c r="R107" i="1"/>
  <c r="S107" i="1" l="1"/>
  <c r="T107" i="1" s="1"/>
  <c r="R106" i="1"/>
  <c r="R105" i="1" l="1"/>
  <c r="S106" i="1"/>
  <c r="T106" i="1" s="1"/>
  <c r="R104" i="1" l="1"/>
  <c r="S105" i="1"/>
  <c r="T105" i="1" s="1"/>
  <c r="R103" i="1" l="1"/>
  <c r="S104" i="1"/>
  <c r="T104" i="1" s="1"/>
  <c r="S103" i="1" l="1"/>
  <c r="T103" i="1" s="1"/>
  <c r="R102" i="1"/>
  <c r="S102" i="1" l="1"/>
  <c r="T102" i="1" s="1"/>
  <c r="R101" i="1"/>
  <c r="S101" i="1" l="1"/>
  <c r="T101" i="1" s="1"/>
  <c r="R100" i="1"/>
  <c r="S100" i="1" l="1"/>
  <c r="T100" i="1" s="1"/>
  <c r="R99" i="1"/>
  <c r="S99" i="1" l="1"/>
  <c r="T99" i="1" s="1"/>
  <c r="R98" i="1"/>
  <c r="R97" i="1" l="1"/>
  <c r="S98" i="1"/>
  <c r="T98" i="1" s="1"/>
  <c r="R96" i="1" l="1"/>
  <c r="S97" i="1"/>
  <c r="T97" i="1" s="1"/>
  <c r="R95" i="1" l="1"/>
  <c r="S96" i="1"/>
  <c r="T96" i="1" s="1"/>
  <c r="S95" i="1" l="1"/>
  <c r="T95" i="1" s="1"/>
  <c r="R94" i="1"/>
  <c r="R93" i="1" l="1"/>
  <c r="S94" i="1"/>
  <c r="T94" i="1" s="1"/>
  <c r="R92" i="1" l="1"/>
  <c r="S93" i="1"/>
  <c r="T93" i="1" s="1"/>
  <c r="R91" i="1" l="1"/>
  <c r="S92" i="1"/>
  <c r="T92" i="1" s="1"/>
  <c r="S91" i="1" l="1"/>
  <c r="T91" i="1" s="1"/>
  <c r="R90" i="1"/>
  <c r="R89" i="1" l="1"/>
  <c r="S90" i="1"/>
  <c r="T90" i="1" s="1"/>
  <c r="S89" i="1" l="1"/>
  <c r="T89" i="1" s="1"/>
  <c r="R88" i="1"/>
  <c r="S88" i="1" l="1"/>
  <c r="T88" i="1" s="1"/>
  <c r="R87" i="1"/>
  <c r="S87" i="1" l="1"/>
  <c r="T87" i="1" s="1"/>
  <c r="R86" i="1"/>
  <c r="R85" i="1" l="1"/>
  <c r="S86" i="1"/>
  <c r="T86" i="1" s="1"/>
  <c r="R84" i="1" l="1"/>
  <c r="S85" i="1"/>
  <c r="T85" i="1" s="1"/>
  <c r="R83" i="1" l="1"/>
  <c r="S84" i="1"/>
  <c r="T84" i="1" s="1"/>
  <c r="R82" i="1" l="1"/>
  <c r="S83" i="1"/>
  <c r="T83" i="1" s="1"/>
  <c r="S82" i="1" l="1"/>
  <c r="T82" i="1" s="1"/>
  <c r="R81" i="1"/>
  <c r="S81" i="1" l="1"/>
  <c r="T81" i="1" s="1"/>
  <c r="R80" i="1"/>
  <c r="S80" i="1" l="1"/>
  <c r="T80" i="1" s="1"/>
  <c r="R79" i="1"/>
  <c r="S79" i="1" l="1"/>
  <c r="T79" i="1" s="1"/>
  <c r="R78" i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S73" i="1" l="1"/>
  <c r="T73" i="1" s="1"/>
  <c r="R72" i="1"/>
  <c r="R71" i="1" l="1"/>
  <c r="S72" i="1"/>
  <c r="T72" i="1" s="1"/>
  <c r="R70" i="1" l="1"/>
  <c r="S71" i="1"/>
  <c r="T71" i="1" s="1"/>
  <c r="S70" i="1" l="1"/>
  <c r="T70" i="1" s="1"/>
  <c r="R69" i="1"/>
  <c r="R68" i="1" l="1"/>
  <c r="S69" i="1"/>
  <c r="T69" i="1" s="1"/>
  <c r="S68" i="1" l="1"/>
  <c r="T68" i="1" s="1"/>
  <c r="R67" i="1"/>
  <c r="R66" i="1" l="1"/>
  <c r="S67" i="1"/>
  <c r="T67" i="1" s="1"/>
  <c r="S66" i="1" l="1"/>
  <c r="T66" i="1" s="1"/>
  <c r="R65" i="1"/>
  <c r="R64" i="1" l="1"/>
  <c r="S65" i="1"/>
  <c r="T65" i="1" s="1"/>
  <c r="S64" i="1" l="1"/>
  <c r="T64" i="1" s="1"/>
  <c r="R63" i="1"/>
  <c r="R62" i="1" l="1"/>
  <c r="S63" i="1"/>
  <c r="T63" i="1" s="1"/>
  <c r="S62" i="1" l="1"/>
  <c r="T62" i="1" s="1"/>
  <c r="R61" i="1"/>
  <c r="S61" i="1" l="1"/>
  <c r="T61" i="1" s="1"/>
  <c r="R60" i="1"/>
  <c r="R59" i="1" l="1"/>
  <c r="S60" i="1"/>
  <c r="T60" i="1" s="1"/>
  <c r="S59" i="1" l="1"/>
  <c r="T59" i="1" s="1"/>
  <c r="R58" i="1"/>
  <c r="R57" i="1" l="1"/>
  <c r="S58" i="1"/>
  <c r="T58" i="1" s="1"/>
  <c r="R56" i="1" l="1"/>
  <c r="S57" i="1"/>
  <c r="T57" i="1" s="1"/>
  <c r="S56" i="1" l="1"/>
  <c r="T56" i="1" s="1"/>
  <c r="R55" i="1"/>
  <c r="S55" i="1" l="1"/>
  <c r="T55" i="1" s="1"/>
  <c r="R54" i="1"/>
  <c r="R53" i="1" l="1"/>
  <c r="S54" i="1"/>
  <c r="T54" i="1" s="1"/>
  <c r="S53" i="1" l="1"/>
  <c r="T53" i="1" s="1"/>
  <c r="R52" i="1"/>
  <c r="R51" i="1" l="1"/>
  <c r="S52" i="1"/>
  <c r="T52" i="1" s="1"/>
  <c r="R50" i="1" l="1"/>
  <c r="S51" i="1"/>
  <c r="T51" i="1" s="1"/>
  <c r="S50" i="1" l="1"/>
  <c r="T50" i="1" s="1"/>
  <c r="R49" i="1"/>
  <c r="R48" i="1" l="1"/>
  <c r="S49" i="1"/>
  <c r="T49" i="1" s="1"/>
  <c r="R47" i="1" l="1"/>
  <c r="S48" i="1"/>
  <c r="T48" i="1" s="1"/>
  <c r="S47" i="1" l="1"/>
  <c r="T47" i="1" s="1"/>
  <c r="R46" i="1"/>
  <c r="S46" i="1" l="1"/>
  <c r="T46" i="1" s="1"/>
  <c r="R45" i="1"/>
  <c r="S45" i="1" l="1"/>
  <c r="T45" i="1" s="1"/>
  <c r="R44" i="1"/>
  <c r="R43" i="1" l="1"/>
  <c r="S44" i="1"/>
  <c r="T44" i="1" s="1"/>
  <c r="R42" i="1" l="1"/>
  <c r="S43" i="1"/>
  <c r="T43" i="1" s="1"/>
  <c r="S42" i="1" l="1"/>
  <c r="T42" i="1" s="1"/>
  <c r="R41" i="1"/>
  <c r="S41" i="1" l="1"/>
  <c r="T41" i="1" s="1"/>
  <c r="R40" i="1"/>
  <c r="R39" i="1" l="1"/>
  <c r="S40" i="1"/>
  <c r="T40" i="1" s="1"/>
  <c r="S39" i="1" l="1"/>
  <c r="T39" i="1" s="1"/>
  <c r="R38" i="1"/>
  <c r="S38" i="1" l="1"/>
  <c r="T38" i="1" s="1"/>
  <c r="R37" i="1"/>
  <c r="R36" i="1" l="1"/>
  <c r="S37" i="1"/>
  <c r="T37" i="1" s="1"/>
  <c r="S36" i="1" l="1"/>
  <c r="T36" i="1" s="1"/>
  <c r="R35" i="1"/>
  <c r="S35" i="1" l="1"/>
  <c r="T35" i="1" s="1"/>
  <c r="R34" i="1"/>
  <c r="R33" i="1" l="1"/>
  <c r="S34" i="1"/>
  <c r="T34" i="1" s="1"/>
  <c r="R32" i="1" l="1"/>
  <c r="S33" i="1"/>
  <c r="T33" i="1" s="1"/>
  <c r="S32" i="1" l="1"/>
  <c r="T32" i="1" s="1"/>
  <c r="R31" i="1"/>
  <c r="S31" i="1" l="1"/>
  <c r="T31" i="1" s="1"/>
  <c r="R30" i="1"/>
  <c r="R29" i="1" l="1"/>
  <c r="S30" i="1"/>
  <c r="T30" i="1" s="1"/>
  <c r="S29" i="1" l="1"/>
  <c r="T29" i="1" s="1"/>
  <c r="R28" i="1"/>
  <c r="S28" i="1" l="1"/>
  <c r="T28" i="1" s="1"/>
  <c r="R27" i="1"/>
  <c r="R26" i="1" l="1"/>
  <c r="S27" i="1"/>
  <c r="T27" i="1" s="1"/>
  <c r="S26" i="1" l="1"/>
  <c r="T26" i="1" s="1"/>
  <c r="R25" i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<sst xmlns="http://schemas.openxmlformats.org/spreadsheetml/2006/main" count="8543" uniqueCount="34">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</sst>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0.31159999999999999</c:v>
                </c:pt>
                <c:pt idx="1">
                  <c:v>0.31630000000000003</c:v>
                </c:pt>
                <c:pt idx="2">
                  <c:v>0.3241</c:v>
                </c:pt>
                <c:pt idx="3">
                  <c:v>0.32690000000000002</c:v>
                </c:pt>
                <c:pt idx="4">
                  <c:v>0.35539999999999999</c:v>
                </c:pt>
                <c:pt idx="5">
                  <c:v>0.33510000000000001</c:v>
                </c:pt>
                <c:pt idx="6">
                  <c:v>0.37709999999999999</c:v>
                </c:pt>
                <c:pt idx="7">
                  <c:v>0.4607</c:v>
                </c:pt>
                <c:pt idx="8">
                  <c:v>0.46339999999999998</c:v>
                </c:pt>
                <c:pt idx="9">
                  <c:v>0.47220000000000001</c:v>
                </c:pt>
                <c:pt idx="10">
                  <c:v>0.46350000000000002</c:v>
                </c:pt>
                <c:pt idx="11">
                  <c:v>0.4834</c:v>
                </c:pt>
                <c:pt idx="12">
                  <c:v>0.497</c:v>
                </c:pt>
                <c:pt idx="13">
                  <c:v>0.50539999999999996</c:v>
                </c:pt>
                <c:pt idx="14">
                  <c:v>0.48609999999999998</c:v>
                </c:pt>
                <c:pt idx="15">
                  <c:v>0.51239999999999997</c:v>
                </c:pt>
                <c:pt idx="16">
                  <c:v>0.46970000000000001</c:v>
                </c:pt>
                <c:pt idx="17">
                  <c:v>0.45079999999999998</c:v>
                </c:pt>
                <c:pt idx="18">
                  <c:v>0.46479999999999999</c:v>
                </c:pt>
                <c:pt idx="19">
                  <c:v>0.47370000000000001</c:v>
                </c:pt>
                <c:pt idx="20">
                  <c:v>0.49509999999999998</c:v>
                </c:pt>
                <c:pt idx="21">
                  <c:v>0.54500000000000004</c:v>
                </c:pt>
                <c:pt idx="22">
                  <c:v>0.56899999999999995</c:v>
                </c:pt>
                <c:pt idx="23">
                  <c:v>0.5413</c:v>
                </c:pt>
                <c:pt idx="24">
                  <c:v>0.53549999999999998</c:v>
                </c:pt>
                <c:pt idx="25">
                  <c:v>0.56610000000000005</c:v>
                </c:pt>
                <c:pt idx="26">
                  <c:v>0.52310000000000001</c:v>
                </c:pt>
                <c:pt idx="27">
                  <c:v>0.50249999999999995</c:v>
                </c:pt>
                <c:pt idx="28">
                  <c:v>0.495</c:v>
                </c:pt>
                <c:pt idx="29">
                  <c:v>0.50039999999999996</c:v>
                </c:pt>
                <c:pt idx="30">
                  <c:v>0.52</c:v>
                </c:pt>
                <c:pt idx="31">
                  <c:v>0.56779999999999997</c:v>
                </c:pt>
                <c:pt idx="32">
                  <c:v>0.55879999999999996</c:v>
                </c:pt>
                <c:pt idx="33">
                  <c:v>0.56810000000000005</c:v>
                </c:pt>
                <c:pt idx="34">
                  <c:v>0.57340000000000002</c:v>
                </c:pt>
                <c:pt idx="35">
                  <c:v>0.57350000000000001</c:v>
                </c:pt>
                <c:pt idx="36">
                  <c:v>0.55469999999999997</c:v>
                </c:pt>
                <c:pt idx="37">
                  <c:v>0.5635</c:v>
                </c:pt>
                <c:pt idx="38">
                  <c:v>0.47220000000000001</c:v>
                </c:pt>
                <c:pt idx="39">
                  <c:v>0.46479999999999999</c:v>
                </c:pt>
                <c:pt idx="40">
                  <c:v>0.47699999999999998</c:v>
                </c:pt>
                <c:pt idx="41">
                  <c:v>0.47139999999999999</c:v>
                </c:pt>
                <c:pt idx="42">
                  <c:v>0.4995</c:v>
                </c:pt>
                <c:pt idx="43">
                  <c:v>0.50349999999999995</c:v>
                </c:pt>
                <c:pt idx="44">
                  <c:v>0.48630000000000001</c:v>
                </c:pt>
                <c:pt idx="45">
                  <c:v>0.47860000000000003</c:v>
                </c:pt>
                <c:pt idx="46">
                  <c:v>0.54900000000000004</c:v>
                </c:pt>
                <c:pt idx="47">
                  <c:v>0.51259999999999994</c:v>
                </c:pt>
                <c:pt idx="48">
                  <c:v>0.50949999999999995</c:v>
                </c:pt>
                <c:pt idx="49">
                  <c:v>0.53280000000000005</c:v>
                </c:pt>
                <c:pt idx="50">
                  <c:v>0.61439999999999995</c:v>
                </c:pt>
                <c:pt idx="51">
                  <c:v>0.57920000000000005</c:v>
                </c:pt>
                <c:pt idx="52">
                  <c:v>0.60389999999999999</c:v>
                </c:pt>
                <c:pt idx="53">
                  <c:v>0.60429999999999995</c:v>
                </c:pt>
                <c:pt idx="54">
                  <c:v>0.67810000000000004</c:v>
                </c:pt>
                <c:pt idx="55">
                  <c:v>0.76</c:v>
                </c:pt>
                <c:pt idx="56">
                  <c:v>0.73670000000000002</c:v>
                </c:pt>
                <c:pt idx="57">
                  <c:v>0.75649999999999995</c:v>
                </c:pt>
                <c:pt idx="58">
                  <c:v>0.72909999999999997</c:v>
                </c:pt>
                <c:pt idx="59">
                  <c:v>0.74880000000000002</c:v>
                </c:pt>
                <c:pt idx="60">
                  <c:v>0.76129999999999998</c:v>
                </c:pt>
                <c:pt idx="61">
                  <c:v>0.75309999999999999</c:v>
                </c:pt>
                <c:pt idx="62">
                  <c:v>0.73070000000000002</c:v>
                </c:pt>
                <c:pt idx="63">
                  <c:v>0.82620000000000005</c:v>
                </c:pt>
                <c:pt idx="64">
                  <c:v>0.80700000000000005</c:v>
                </c:pt>
                <c:pt idx="65">
                  <c:v>0.82110000000000005</c:v>
                </c:pt>
                <c:pt idx="66">
                  <c:v>0.84489999999999998</c:v>
                </c:pt>
                <c:pt idx="67">
                  <c:v>0.90139999999999998</c:v>
                </c:pt>
                <c:pt idx="68">
                  <c:v>0.83299999999999996</c:v>
                </c:pt>
                <c:pt idx="69">
                  <c:v>0.72070000000000001</c:v>
                </c:pt>
                <c:pt idx="70">
                  <c:v>0.68259999999999998</c:v>
                </c:pt>
                <c:pt idx="71">
                  <c:v>0.78110000000000002</c:v>
                </c:pt>
                <c:pt idx="72">
                  <c:v>0.7591</c:v>
                </c:pt>
                <c:pt idx="73">
                  <c:v>0.88180000000000003</c:v>
                </c:pt>
                <c:pt idx="74">
                  <c:v>0.85850000000000004</c:v>
                </c:pt>
                <c:pt idx="75">
                  <c:v>0.85870000000000002</c:v>
                </c:pt>
                <c:pt idx="76">
                  <c:v>0.88039999999999996</c:v>
                </c:pt>
                <c:pt idx="77">
                  <c:v>0.89939999999999998</c:v>
                </c:pt>
                <c:pt idx="78">
                  <c:v>0.86880000000000002</c:v>
                </c:pt>
                <c:pt idx="79">
                  <c:v>0.92859999999999998</c:v>
                </c:pt>
                <c:pt idx="80">
                  <c:v>0.86040000000000005</c:v>
                </c:pt>
                <c:pt idx="81">
                  <c:v>0.82740000000000002</c:v>
                </c:pt>
                <c:pt idx="82">
                  <c:v>0.86509999999999998</c:v>
                </c:pt>
                <c:pt idx="83">
                  <c:v>0.87470000000000003</c:v>
                </c:pt>
                <c:pt idx="84">
                  <c:v>0.83250000000000002</c:v>
                </c:pt>
                <c:pt idx="85">
                  <c:v>0.87409999999999999</c:v>
                </c:pt>
                <c:pt idx="86">
                  <c:v>0.85970000000000002</c:v>
                </c:pt>
                <c:pt idx="87">
                  <c:v>0.78849999999999998</c:v>
                </c:pt>
                <c:pt idx="88">
                  <c:v>0.78069999999999995</c:v>
                </c:pt>
                <c:pt idx="89">
                  <c:v>0.75360000000000005</c:v>
                </c:pt>
                <c:pt idx="90">
                  <c:v>0.74209999999999998</c:v>
                </c:pt>
                <c:pt idx="91">
                  <c:v>0.73850000000000005</c:v>
                </c:pt>
                <c:pt idx="92">
                  <c:v>0.72040000000000004</c:v>
                </c:pt>
                <c:pt idx="93">
                  <c:v>0.79469999999999996</c:v>
                </c:pt>
                <c:pt idx="94">
                  <c:v>0.76739999999999997</c:v>
                </c:pt>
                <c:pt idx="95">
                  <c:v>0.73209999999999997</c:v>
                </c:pt>
                <c:pt idx="96">
                  <c:v>0.76539999999999997</c:v>
                </c:pt>
                <c:pt idx="97">
                  <c:v>0.75780000000000003</c:v>
                </c:pt>
                <c:pt idx="98">
                  <c:v>0.7177</c:v>
                </c:pt>
                <c:pt idx="99">
                  <c:v>0.73839999999999995</c:v>
                </c:pt>
                <c:pt idx="100">
                  <c:v>0.71319999999999995</c:v>
                </c:pt>
                <c:pt idx="101">
                  <c:v>0.72740000000000005</c:v>
                </c:pt>
                <c:pt idx="102">
                  <c:v>0.74199999999999999</c:v>
                </c:pt>
                <c:pt idx="103">
                  <c:v>0.76759999999999995</c:v>
                </c:pt>
                <c:pt idx="104">
                  <c:v>0.75249999999999995</c:v>
                </c:pt>
                <c:pt idx="105">
                  <c:v>0.73260000000000003</c:v>
                </c:pt>
                <c:pt idx="106">
                  <c:v>0.73319999999999996</c:v>
                </c:pt>
                <c:pt idx="107">
                  <c:v>0.72670000000000001</c:v>
                </c:pt>
                <c:pt idx="108">
                  <c:v>0.74419999999999997</c:v>
                </c:pt>
                <c:pt idx="109">
                  <c:v>0.77549999999999997</c:v>
                </c:pt>
                <c:pt idx="110">
                  <c:v>0.7823</c:v>
                </c:pt>
                <c:pt idx="111">
                  <c:v>0.75629999999999997</c:v>
                </c:pt>
                <c:pt idx="112">
                  <c:v>0.71330000000000005</c:v>
                </c:pt>
                <c:pt idx="113">
                  <c:v>0.69669999999999999</c:v>
                </c:pt>
                <c:pt idx="114">
                  <c:v>0.74019999999999997</c:v>
                </c:pt>
                <c:pt idx="115">
                  <c:v>0.74309999999999998</c:v>
                </c:pt>
                <c:pt idx="116">
                  <c:v>0.79590000000000005</c:v>
                </c:pt>
                <c:pt idx="117">
                  <c:v>0.80179999999999996</c:v>
                </c:pt>
                <c:pt idx="118">
                  <c:v>0.79020000000000001</c:v>
                </c:pt>
                <c:pt idx="119">
                  <c:v>0.72289999999999999</c:v>
                </c:pt>
                <c:pt idx="120">
                  <c:v>0.69810000000000005</c:v>
                </c:pt>
                <c:pt idx="121">
                  <c:v>0.68400000000000005</c:v>
                </c:pt>
                <c:pt idx="122">
                  <c:v>0.73780000000000001</c:v>
                </c:pt>
                <c:pt idx="123">
                  <c:v>0.81140000000000001</c:v>
                </c:pt>
                <c:pt idx="124">
                  <c:v>0.83589999999999998</c:v>
                </c:pt>
                <c:pt idx="125">
                  <c:v>0.81289999999999996</c:v>
                </c:pt>
                <c:pt idx="126">
                  <c:v>0.84430000000000005</c:v>
                </c:pt>
                <c:pt idx="127">
                  <c:v>0.74299999999999999</c:v>
                </c:pt>
                <c:pt idx="128">
                  <c:v>0.60309999999999997</c:v>
                </c:pt>
                <c:pt idx="129">
                  <c:v>0.68489999999999995</c:v>
                </c:pt>
                <c:pt idx="130">
                  <c:v>0.7651</c:v>
                </c:pt>
                <c:pt idx="131">
                  <c:v>0.83850000000000002</c:v>
                </c:pt>
                <c:pt idx="132">
                  <c:v>0.82530000000000003</c:v>
                </c:pt>
                <c:pt idx="133">
                  <c:v>0.90980000000000005</c:v>
                </c:pt>
                <c:pt idx="134">
                  <c:v>0.94969999999999999</c:v>
                </c:pt>
                <c:pt idx="135">
                  <c:v>0.90849999999999997</c:v>
                </c:pt>
                <c:pt idx="136">
                  <c:v>0.89900000000000002</c:v>
                </c:pt>
                <c:pt idx="137">
                  <c:v>0.87949999999999995</c:v>
                </c:pt>
                <c:pt idx="138">
                  <c:v>0.94720000000000004</c:v>
                </c:pt>
                <c:pt idx="139">
                  <c:v>0.7903</c:v>
                </c:pt>
                <c:pt idx="140">
                  <c:v>0.89770000000000005</c:v>
                </c:pt>
                <c:pt idx="141">
                  <c:v>0.88719999999999999</c:v>
                </c:pt>
                <c:pt idx="142">
                  <c:v>0.91149999999999998</c:v>
                </c:pt>
                <c:pt idx="143">
                  <c:v>0.81499999999999995</c:v>
                </c:pt>
                <c:pt idx="144">
                  <c:v>0.6704</c:v>
                </c:pt>
                <c:pt idx="145">
                  <c:v>0.70320000000000005</c:v>
                </c:pt>
                <c:pt idx="146">
                  <c:v>0.73380000000000001</c:v>
                </c:pt>
                <c:pt idx="147">
                  <c:v>0.70579999999999998</c:v>
                </c:pt>
                <c:pt idx="148">
                  <c:v>0.71060000000000001</c:v>
                </c:pt>
                <c:pt idx="149">
                  <c:v>0.7248</c:v>
                </c:pt>
                <c:pt idx="150">
                  <c:v>0.626</c:v>
                </c:pt>
                <c:pt idx="151">
                  <c:v>0.60609999999999997</c:v>
                </c:pt>
                <c:pt idx="152">
                  <c:v>0.5504</c:v>
                </c:pt>
                <c:pt idx="153">
                  <c:v>0.56220000000000003</c:v>
                </c:pt>
                <c:pt idx="154">
                  <c:v>0.51559999999999995</c:v>
                </c:pt>
                <c:pt idx="155">
                  <c:v>0.56894999999999996</c:v>
                </c:pt>
                <c:pt idx="156">
                  <c:v>0.52088000000000001</c:v>
                </c:pt>
                <c:pt idx="157">
                  <c:v>0.56006</c:v>
                </c:pt>
                <c:pt idx="158">
                  <c:v>0.54457</c:v>
                </c:pt>
                <c:pt idx="159">
                  <c:v>0.56596999999999997</c:v>
                </c:pt>
                <c:pt idx="160">
                  <c:v>0.56252999999999997</c:v>
                </c:pt>
                <c:pt idx="161">
                  <c:v>0.54523999999999995</c:v>
                </c:pt>
                <c:pt idx="162">
                  <c:v>0.50033000000000005</c:v>
                </c:pt>
                <c:pt idx="163">
                  <c:v>0.46318999999999999</c:v>
                </c:pt>
                <c:pt idx="164">
                  <c:v>0.49081999999999998</c:v>
                </c:pt>
                <c:pt idx="165">
                  <c:v>0.49754999999999999</c:v>
                </c:pt>
                <c:pt idx="166">
                  <c:v>0.50178</c:v>
                </c:pt>
                <c:pt idx="167">
                  <c:v>0.51539000000000001</c:v>
                </c:pt>
                <c:pt idx="168">
                  <c:v>0.50980999999999999</c:v>
                </c:pt>
                <c:pt idx="169">
                  <c:v>0.48337000000000002</c:v>
                </c:pt>
                <c:pt idx="170">
                  <c:v>0.45594000000000001</c:v>
                </c:pt>
                <c:pt idx="171">
                  <c:v>0.39835999999999999</c:v>
                </c:pt>
                <c:pt idx="172">
                  <c:v>0.37664999999999998</c:v>
                </c:pt>
                <c:pt idx="173">
                  <c:v>0.40583000000000002</c:v>
                </c:pt>
                <c:pt idx="174">
                  <c:v>0.41292000000000001</c:v>
                </c:pt>
                <c:pt idx="175">
                  <c:v>0.41577999999999998</c:v>
                </c:pt>
                <c:pt idx="176">
                  <c:v>0.39502999999999999</c:v>
                </c:pt>
                <c:pt idx="177">
                  <c:v>0.374</c:v>
                </c:pt>
                <c:pt idx="178">
                  <c:v>0.38177</c:v>
                </c:pt>
                <c:pt idx="179">
                  <c:v>0.39101999999999998</c:v>
                </c:pt>
                <c:pt idx="180">
                  <c:v>0.40333999999999998</c:v>
                </c:pt>
                <c:pt idx="181">
                  <c:v>0.37801000000000001</c:v>
                </c:pt>
                <c:pt idx="182">
                  <c:v>0.38900000000000001</c:v>
                </c:pt>
                <c:pt idx="183">
                  <c:v>0.34348000000000001</c:v>
                </c:pt>
                <c:pt idx="184">
                  <c:v>0.35494999999999999</c:v>
                </c:pt>
                <c:pt idx="185">
                  <c:v>0.31641999999999998</c:v>
                </c:pt>
                <c:pt idx="186">
                  <c:v>0.34562999999999999</c:v>
                </c:pt>
                <c:pt idx="187">
                  <c:v>0.27960000000000002</c:v>
                </c:pt>
                <c:pt idx="188">
                  <c:v>0.28778999999999999</c:v>
                </c:pt>
                <c:pt idx="189">
                  <c:v>0.26815</c:v>
                </c:pt>
                <c:pt idx="190">
                  <c:v>0.26424999999999998</c:v>
                </c:pt>
                <c:pt idx="191">
                  <c:v>0.26</c:v>
                </c:pt>
                <c:pt idx="192">
                  <c:v>0.22467999999999999</c:v>
                </c:pt>
                <c:pt idx="193">
                  <c:v>0.23280999999999999</c:v>
                </c:pt>
                <c:pt idx="194">
                  <c:v>0.21856999999999999</c:v>
                </c:pt>
                <c:pt idx="195">
                  <c:v>0.20000999999999999</c:v>
                </c:pt>
                <c:pt idx="196">
                  <c:v>0.22473000000000001</c:v>
                </c:pt>
                <c:pt idx="197">
                  <c:v>0.24285999999999999</c:v>
                </c:pt>
                <c:pt idx="198">
                  <c:v>0.2387</c:v>
                </c:pt>
                <c:pt idx="199">
                  <c:v>0.26604</c:v>
                </c:pt>
                <c:pt idx="200">
                  <c:v>0.28900999999999999</c:v>
                </c:pt>
                <c:pt idx="201">
                  <c:v>0.28287000000000001</c:v>
                </c:pt>
                <c:pt idx="202">
                  <c:v>0.28605999999999998</c:v>
                </c:pt>
                <c:pt idx="203">
                  <c:v>0.26782</c:v>
                </c:pt>
                <c:pt idx="204">
                  <c:v>0.27140999999999998</c:v>
                </c:pt>
                <c:pt idx="205">
                  <c:v>0.28922999999999999</c:v>
                </c:pt>
                <c:pt idx="206">
                  <c:v>0.27500999999999998</c:v>
                </c:pt>
                <c:pt idx="207">
                  <c:v>0.27594000000000002</c:v>
                </c:pt>
                <c:pt idx="208">
                  <c:v>0.26796999999999999</c:v>
                </c:pt>
                <c:pt idx="209">
                  <c:v>0.25091999999999998</c:v>
                </c:pt>
                <c:pt idx="210">
                  <c:v>0.25015999999999999</c:v>
                </c:pt>
                <c:pt idx="211">
                  <c:v>0.22803999999999999</c:v>
                </c:pt>
                <c:pt idx="212">
                  <c:v>0.22309999999999999</c:v>
                </c:pt>
                <c:pt idx="213">
                  <c:v>0.20999000000000001</c:v>
                </c:pt>
                <c:pt idx="214">
                  <c:v>0.19228999999999999</c:v>
                </c:pt>
                <c:pt idx="215">
                  <c:v>0.18698000000000001</c:v>
                </c:pt>
                <c:pt idx="216">
                  <c:v>0.18690000000000001</c:v>
                </c:pt>
                <c:pt idx="217">
                  <c:v>0.21317</c:v>
                </c:pt>
                <c:pt idx="218">
                  <c:v>0.20455000000000001</c:v>
                </c:pt>
                <c:pt idx="219">
                  <c:v>0.18779999999999999</c:v>
                </c:pt>
                <c:pt idx="220">
                  <c:v>0.19472</c:v>
                </c:pt>
                <c:pt idx="221">
                  <c:v>0.26132</c:v>
                </c:pt>
                <c:pt idx="222">
                  <c:v>0.25588</c:v>
                </c:pt>
                <c:pt idx="223">
                  <c:v>0.26762000000000002</c:v>
                </c:pt>
                <c:pt idx="224">
                  <c:v>0.29255999999999999</c:v>
                </c:pt>
                <c:pt idx="225">
                  <c:v>0.29432999999999998</c:v>
                </c:pt>
                <c:pt idx="226">
                  <c:v>0.2903</c:v>
                </c:pt>
                <c:pt idx="227">
                  <c:v>0.29138999999999998</c:v>
                </c:pt>
                <c:pt idx="228">
                  <c:v>0.28271000000000002</c:v>
                </c:pt>
                <c:pt idx="229">
                  <c:v>0.25456000000000001</c:v>
                </c:pt>
                <c:pt idx="230">
                  <c:v>0.27146999999999999</c:v>
                </c:pt>
                <c:pt idx="231">
                  <c:v>0.28610000000000002</c:v>
                </c:pt>
                <c:pt idx="232">
                  <c:v>0.31453999999999999</c:v>
                </c:pt>
                <c:pt idx="233">
                  <c:v>0.31507000000000002</c:v>
                </c:pt>
                <c:pt idx="234">
                  <c:v>0.30654999999999999</c:v>
                </c:pt>
                <c:pt idx="235">
                  <c:v>0.35291</c:v>
                </c:pt>
                <c:pt idx="236">
                  <c:v>0.35294999999999999</c:v>
                </c:pt>
                <c:pt idx="237">
                  <c:v>0.36598999999999998</c:v>
                </c:pt>
                <c:pt idx="238">
                  <c:v>0.40705000000000002</c:v>
                </c:pt>
                <c:pt idx="239">
                  <c:v>0.35097</c:v>
                </c:pt>
                <c:pt idx="240">
                  <c:v>0.32699</c:v>
                </c:pt>
                <c:pt idx="241">
                  <c:v>0.32774999999999999</c:v>
                </c:pt>
                <c:pt idx="242">
                  <c:v>0.30984</c:v>
                </c:pt>
                <c:pt idx="243">
                  <c:v>0.28186</c:v>
                </c:pt>
                <c:pt idx="244">
                  <c:v>0.31372</c:v>
                </c:pt>
                <c:pt idx="245">
                  <c:v>0.29591000000000001</c:v>
                </c:pt>
                <c:pt idx="246">
                  <c:v>0.33352999999999999</c:v>
                </c:pt>
                <c:pt idx="247">
                  <c:v>0.27909</c:v>
                </c:pt>
                <c:pt idx="248">
                  <c:v>0.28716000000000003</c:v>
                </c:pt>
                <c:pt idx="249">
                  <c:v>0.21257999999999999</c:v>
                </c:pt>
                <c:pt idx="250">
                  <c:v>0.24842</c:v>
                </c:pt>
                <c:pt idx="251">
                  <c:v>0.29188999999999998</c:v>
                </c:pt>
                <c:pt idx="252">
                  <c:v>0.34948000000000001</c:v>
                </c:pt>
                <c:pt idx="253">
                  <c:v>0.32774999999999999</c:v>
                </c:pt>
                <c:pt idx="254">
                  <c:v>0.50893999999999995</c:v>
                </c:pt>
                <c:pt idx="255">
                  <c:v>0.43345</c:v>
                </c:pt>
                <c:pt idx="256">
                  <c:v>0.46339999999999998</c:v>
                </c:pt>
                <c:pt idx="257">
                  <c:v>0.47902</c:v>
                </c:pt>
                <c:pt idx="258">
                  <c:v>0.47341</c:v>
                </c:pt>
                <c:pt idx="259">
                  <c:v>0.44661000000000001</c:v>
                </c:pt>
                <c:pt idx="260">
                  <c:v>0.44540000000000002</c:v>
                </c:pt>
                <c:pt idx="261">
                  <c:v>0.54403999999999997</c:v>
                </c:pt>
                <c:pt idx="262">
                  <c:v>0.48977999999999999</c:v>
                </c:pt>
                <c:pt idx="263">
                  <c:v>0.53163000000000005</c:v>
                </c:pt>
                <c:pt idx="264">
                  <c:v>0.55481999999999998</c:v>
                </c:pt>
                <c:pt idx="265">
                  <c:v>0.57067999999999997</c:v>
                </c:pt>
                <c:pt idx="266">
                  <c:v>0.56206</c:v>
                </c:pt>
                <c:pt idx="267">
                  <c:v>0.59101000000000004</c:v>
                </c:pt>
                <c:pt idx="268">
                  <c:v>0.54757</c:v>
                </c:pt>
                <c:pt idx="269">
                  <c:v>0.63210999999999995</c:v>
                </c:pt>
                <c:pt idx="270">
                  <c:v>0.63505999999999996</c:v>
                </c:pt>
                <c:pt idx="271">
                  <c:v>0.67410000000000003</c:v>
                </c:pt>
                <c:pt idx="272">
                  <c:v>0.60007999999999995</c:v>
                </c:pt>
                <c:pt idx="273">
                  <c:v>0.56208999999999998</c:v>
                </c:pt>
                <c:pt idx="274">
                  <c:v>0.58004</c:v>
                </c:pt>
                <c:pt idx="275">
                  <c:v>0.62309999999999999</c:v>
                </c:pt>
                <c:pt idx="276">
                  <c:v>0.45942</c:v>
                </c:pt>
                <c:pt idx="277">
                  <c:v>0.35865000000000002</c:v>
                </c:pt>
                <c:pt idx="278">
                  <c:v>0.36898999999999998</c:v>
                </c:pt>
                <c:pt idx="279">
                  <c:v>0.41488000000000003</c:v>
                </c:pt>
                <c:pt idx="280">
                  <c:v>0.40684999999999999</c:v>
                </c:pt>
                <c:pt idx="281">
                  <c:v>0.46711000000000003</c:v>
                </c:pt>
                <c:pt idx="282">
                  <c:v>0.53493999999999997</c:v>
                </c:pt>
                <c:pt idx="283">
                  <c:v>0.47802</c:v>
                </c:pt>
                <c:pt idx="284">
                  <c:v>0.54357999999999995</c:v>
                </c:pt>
                <c:pt idx="285">
                  <c:v>0.63834000000000002</c:v>
                </c:pt>
                <c:pt idx="286">
                  <c:v>0.60558999999999996</c:v>
                </c:pt>
                <c:pt idx="287">
                  <c:v>0.65010000000000001</c:v>
                </c:pt>
                <c:pt idx="288">
                  <c:v>0.59596000000000005</c:v>
                </c:pt>
                <c:pt idx="289">
                  <c:v>0.60802999999999996</c:v>
                </c:pt>
                <c:pt idx="290">
                  <c:v>0.60938000000000003</c:v>
                </c:pt>
                <c:pt idx="291">
                  <c:v>0.63278000000000001</c:v>
                </c:pt>
                <c:pt idx="292">
                  <c:v>0.65527999999999997</c:v>
                </c:pt>
                <c:pt idx="293">
                  <c:v>0.68364999999999998</c:v>
                </c:pt>
                <c:pt idx="294">
                  <c:v>0.60660000000000003</c:v>
                </c:pt>
                <c:pt idx="295">
                  <c:v>0.59565999999999997</c:v>
                </c:pt>
                <c:pt idx="296">
                  <c:v>0.66700999999999999</c:v>
                </c:pt>
                <c:pt idx="297">
                  <c:v>0.68135000000000001</c:v>
                </c:pt>
                <c:pt idx="298">
                  <c:v>0.72304000000000002</c:v>
                </c:pt>
                <c:pt idx="299">
                  <c:v>0.63402999999999998</c:v>
                </c:pt>
                <c:pt idx="300">
                  <c:v>0.69364000000000003</c:v>
                </c:pt>
                <c:pt idx="301">
                  <c:v>0.70796000000000003</c:v>
                </c:pt>
                <c:pt idx="302">
                  <c:v>0.72674000000000005</c:v>
                </c:pt>
                <c:pt idx="303">
                  <c:v>0.80994999999999995</c:v>
                </c:pt>
                <c:pt idx="304">
                  <c:v>0.82</c:v>
                </c:pt>
                <c:pt idx="305">
                  <c:v>0.77915999999999996</c:v>
                </c:pt>
                <c:pt idx="306">
                  <c:v>0.78885000000000005</c:v>
                </c:pt>
                <c:pt idx="307">
                  <c:v>0.69757000000000002</c:v>
                </c:pt>
                <c:pt idx="308">
                  <c:v>0.60863</c:v>
                </c:pt>
                <c:pt idx="309">
                  <c:v>0.61858000000000002</c:v>
                </c:pt>
                <c:pt idx="310">
                  <c:v>0.62812000000000001</c:v>
                </c:pt>
                <c:pt idx="311">
                  <c:v>0.67196</c:v>
                </c:pt>
                <c:pt idx="312">
                  <c:v>0.64181999999999995</c:v>
                </c:pt>
                <c:pt idx="313">
                  <c:v>0.58633000000000002</c:v>
                </c:pt>
                <c:pt idx="314">
                  <c:v>0.6038</c:v>
                </c:pt>
                <c:pt idx="315">
                  <c:v>0.59455000000000002</c:v>
                </c:pt>
                <c:pt idx="316">
                  <c:v>0.65800000000000003</c:v>
                </c:pt>
                <c:pt idx="317">
                  <c:v>0.61548999999999998</c:v>
                </c:pt>
                <c:pt idx="318">
                  <c:v>0.64610000000000001</c:v>
                </c:pt>
                <c:pt idx="319">
                  <c:v>0.68703999999999998</c:v>
                </c:pt>
                <c:pt idx="320">
                  <c:v>0.62092000000000003</c:v>
                </c:pt>
                <c:pt idx="321">
                  <c:v>0.52549999999999997</c:v>
                </c:pt>
                <c:pt idx="322">
                  <c:v>0.44166</c:v>
                </c:pt>
                <c:pt idx="323">
                  <c:v>0.45400000000000001</c:v>
                </c:pt>
                <c:pt idx="324">
                  <c:v>0.42837999999999998</c:v>
                </c:pt>
                <c:pt idx="325">
                  <c:v>0.44438</c:v>
                </c:pt>
                <c:pt idx="326">
                  <c:v>0.37246000000000001</c:v>
                </c:pt>
                <c:pt idx="327">
                  <c:v>0.3831</c:v>
                </c:pt>
                <c:pt idx="328">
                  <c:v>0.37369999999999998</c:v>
                </c:pt>
                <c:pt idx="329">
                  <c:v>0.32349</c:v>
                </c:pt>
                <c:pt idx="330">
                  <c:v>0.36387999999999998</c:v>
                </c:pt>
                <c:pt idx="331">
                  <c:v>0.31185000000000002</c:v>
                </c:pt>
                <c:pt idx="332">
                  <c:v>0.27925</c:v>
                </c:pt>
                <c:pt idx="333">
                  <c:v>0.24682000000000001</c:v>
                </c:pt>
                <c:pt idx="334">
                  <c:v>0.27528999999999998</c:v>
                </c:pt>
                <c:pt idx="335">
                  <c:v>0.22514000000000001</c:v>
                </c:pt>
                <c:pt idx="336">
                  <c:v>0.22555</c:v>
                </c:pt>
                <c:pt idx="337">
                  <c:v>0.23286999999999999</c:v>
                </c:pt>
                <c:pt idx="338">
                  <c:v>0.22398999999999999</c:v>
                </c:pt>
                <c:pt idx="339">
                  <c:v>0.27521000000000001</c:v>
                </c:pt>
                <c:pt idx="340">
                  <c:v>0.29609000000000002</c:v>
                </c:pt>
                <c:pt idx="341">
                  <c:v>0.28839999999999999</c:v>
                </c:pt>
                <c:pt idx="342">
                  <c:v>0.29227999999999998</c:v>
                </c:pt>
                <c:pt idx="343">
                  <c:v>0.30729000000000001</c:v>
                </c:pt>
                <c:pt idx="344">
                  <c:v>0.23594000000000001</c:v>
                </c:pt>
                <c:pt idx="345">
                  <c:v>0.22678999999999999</c:v>
                </c:pt>
                <c:pt idx="346">
                  <c:v>0.2394</c:v>
                </c:pt>
                <c:pt idx="347">
                  <c:v>0.24812999999999999</c:v>
                </c:pt>
                <c:pt idx="348">
                  <c:v>0.26401999999999998</c:v>
                </c:pt>
                <c:pt idx="349">
                  <c:v>0.25158000000000003</c:v>
                </c:pt>
                <c:pt idx="350">
                  <c:v>0.23532</c:v>
                </c:pt>
                <c:pt idx="351">
                  <c:v>0.23952000000000001</c:v>
                </c:pt>
                <c:pt idx="352">
                  <c:v>0.25112000000000001</c:v>
                </c:pt>
                <c:pt idx="353">
                  <c:v>0.21432000000000001</c:v>
                </c:pt>
                <c:pt idx="354">
                  <c:v>0.18214</c:v>
                </c:pt>
                <c:pt idx="355">
                  <c:v>0.17</c:v>
                </c:pt>
                <c:pt idx="356">
                  <c:v>0.17848</c:v>
                </c:pt>
                <c:pt idx="357">
                  <c:v>0.14849000000000001</c:v>
                </c:pt>
                <c:pt idx="358">
                  <c:v>0.15841</c:v>
                </c:pt>
                <c:pt idx="359">
                  <c:v>0.1101</c:v>
                </c:pt>
                <c:pt idx="360">
                  <c:v>0.10884000000000001</c:v>
                </c:pt>
                <c:pt idx="361">
                  <c:v>9.8030000000000006E-2</c:v>
                </c:pt>
                <c:pt idx="362">
                  <c:v>0.10452</c:v>
                </c:pt>
                <c:pt idx="363">
                  <c:v>0.11164</c:v>
                </c:pt>
                <c:pt idx="364">
                  <c:v>8.8569999999999996E-2</c:v>
                </c:pt>
                <c:pt idx="365">
                  <c:v>0.09</c:v>
                </c:pt>
                <c:pt idx="366">
                  <c:v>9.5180000000000001E-2</c:v>
                </c:pt>
                <c:pt idx="367">
                  <c:v>8.2530000000000006E-2</c:v>
                </c:pt>
                <c:pt idx="368">
                  <c:v>8.7790000000000007E-2</c:v>
                </c:pt>
                <c:pt idx="369">
                  <c:v>8.9330000000000007E-2</c:v>
                </c:pt>
                <c:pt idx="370">
                  <c:v>8.9550000000000005E-2</c:v>
                </c:pt>
                <c:pt idx="371">
                  <c:v>8.0640000000000003E-2</c:v>
                </c:pt>
                <c:pt idx="372">
                  <c:v>9.1999999999999998E-2</c:v>
                </c:pt>
                <c:pt idx="373">
                  <c:v>9.1149999999999995E-2</c:v>
                </c:pt>
                <c:pt idx="374">
                  <c:v>9.6799999999999997E-2</c:v>
                </c:pt>
                <c:pt idx="375">
                  <c:v>9.4869999999999996E-2</c:v>
                </c:pt>
                <c:pt idx="376">
                  <c:v>8.4589999999999999E-2</c:v>
                </c:pt>
                <c:pt idx="377">
                  <c:v>8.8510000000000005E-2</c:v>
                </c:pt>
                <c:pt idx="378">
                  <c:v>7.6960000000000001E-2</c:v>
                </c:pt>
                <c:pt idx="379">
                  <c:v>6.6040000000000001E-2</c:v>
                </c:pt>
                <c:pt idx="380">
                  <c:v>5.8810000000000001E-2</c:v>
                </c:pt>
                <c:pt idx="381">
                  <c:v>6.0490000000000002E-2</c:v>
                </c:pt>
                <c:pt idx="382">
                  <c:v>6.9900000000000004E-2</c:v>
                </c:pt>
                <c:pt idx="383">
                  <c:v>7.2609999999999994E-2</c:v>
                </c:pt>
                <c:pt idx="384">
                  <c:v>7.1040000000000006E-2</c:v>
                </c:pt>
                <c:pt idx="385">
                  <c:v>7.1120000000000003E-2</c:v>
                </c:pt>
                <c:pt idx="386">
                  <c:v>7.3109999999999994E-2</c:v>
                </c:pt>
                <c:pt idx="387">
                  <c:v>6.182E-2</c:v>
                </c:pt>
                <c:pt idx="388">
                  <c:v>5.7230000000000003E-2</c:v>
                </c:pt>
                <c:pt idx="389">
                  <c:v>5.6710000000000003E-2</c:v>
                </c:pt>
                <c:pt idx="390">
                  <c:v>5.1270000000000003E-2</c:v>
                </c:pt>
                <c:pt idx="391">
                  <c:v>5.3330000000000002E-2</c:v>
                </c:pt>
                <c:pt idx="392">
                  <c:v>5.1520000000000003E-2</c:v>
                </c:pt>
                <c:pt idx="393">
                  <c:v>5.2049999999999999E-2</c:v>
                </c:pt>
                <c:pt idx="394">
                  <c:v>5.2310000000000002E-2</c:v>
                </c:pt>
                <c:pt idx="395">
                  <c:v>5.4690000000000003E-2</c:v>
                </c:pt>
                <c:pt idx="396">
                  <c:v>5.3129999999999997E-2</c:v>
                </c:pt>
                <c:pt idx="397">
                  <c:v>5.0310000000000001E-2</c:v>
                </c:pt>
                <c:pt idx="398">
                  <c:v>5.1999999999999998E-2</c:v>
                </c:pt>
                <c:pt idx="399">
                  <c:v>5.1290000000000002E-2</c:v>
                </c:pt>
                <c:pt idx="400">
                  <c:v>5.0500000000000003E-2</c:v>
                </c:pt>
                <c:pt idx="401">
                  <c:v>5.391E-2</c:v>
                </c:pt>
                <c:pt idx="402">
                  <c:v>5.289E-2</c:v>
                </c:pt>
                <c:pt idx="403">
                  <c:v>5.6430000000000001E-2</c:v>
                </c:pt>
                <c:pt idx="404">
                  <c:v>5.8979999999999998E-2</c:v>
                </c:pt>
                <c:pt idx="405">
                  <c:v>5.9950000000000003E-2</c:v>
                </c:pt>
                <c:pt idx="406">
                  <c:v>5.6989999999999999E-2</c:v>
                </c:pt>
                <c:pt idx="407">
                  <c:v>5.5890000000000002E-2</c:v>
                </c:pt>
                <c:pt idx="408">
                  <c:v>5.2019999999999997E-2</c:v>
                </c:pt>
                <c:pt idx="409">
                  <c:v>5.2679999999999998E-2</c:v>
                </c:pt>
                <c:pt idx="410">
                  <c:v>5.1990000000000001E-2</c:v>
                </c:pt>
                <c:pt idx="411">
                  <c:v>5.0689999999999999E-2</c:v>
                </c:pt>
                <c:pt idx="412">
                  <c:v>5.0959999999999998E-2</c:v>
                </c:pt>
                <c:pt idx="413">
                  <c:v>5.0139999999999997E-2</c:v>
                </c:pt>
                <c:pt idx="414">
                  <c:v>4.8550000000000003E-2</c:v>
                </c:pt>
                <c:pt idx="415">
                  <c:v>4.793E-2</c:v>
                </c:pt>
                <c:pt idx="416">
                  <c:v>5.3179999999999998E-2</c:v>
                </c:pt>
                <c:pt idx="417">
                  <c:v>5.2010000000000001E-2</c:v>
                </c:pt>
                <c:pt idx="418">
                  <c:v>5.3469999999999997E-2</c:v>
                </c:pt>
                <c:pt idx="419">
                  <c:v>5.0209999999999998E-2</c:v>
                </c:pt>
                <c:pt idx="420">
                  <c:v>5.5239999999999997E-2</c:v>
                </c:pt>
                <c:pt idx="421">
                  <c:v>5.2720000000000003E-2</c:v>
                </c:pt>
                <c:pt idx="422">
                  <c:v>4.9029999999999997E-2</c:v>
                </c:pt>
                <c:pt idx="423">
                  <c:v>5.0689999999999999E-2</c:v>
                </c:pt>
                <c:pt idx="424">
                  <c:v>4.9919999999999999E-2</c:v>
                </c:pt>
                <c:pt idx="425">
                  <c:v>5.2089999999999997E-2</c:v>
                </c:pt>
                <c:pt idx="426">
                  <c:v>4.9299999999999997E-2</c:v>
                </c:pt>
                <c:pt idx="427">
                  <c:v>4.9750000000000003E-2</c:v>
                </c:pt>
                <c:pt idx="428">
                  <c:v>5.9589999999999997E-2</c:v>
                </c:pt>
                <c:pt idx="429">
                  <c:v>6.2269999999999999E-2</c:v>
                </c:pt>
                <c:pt idx="430">
                  <c:v>6.3140000000000002E-2</c:v>
                </c:pt>
                <c:pt idx="431">
                  <c:v>5.4239999999999997E-2</c:v>
                </c:pt>
                <c:pt idx="432">
                  <c:v>5.8389999999999997E-2</c:v>
                </c:pt>
                <c:pt idx="433">
                  <c:v>5.373E-2</c:v>
                </c:pt>
                <c:pt idx="434">
                  <c:v>5.3109999999999997E-2</c:v>
                </c:pt>
                <c:pt idx="435">
                  <c:v>4.6390000000000001E-2</c:v>
                </c:pt>
                <c:pt idx="436">
                  <c:v>5.092E-2</c:v>
                </c:pt>
                <c:pt idx="437">
                  <c:v>4.2790000000000002E-2</c:v>
                </c:pt>
                <c:pt idx="438">
                  <c:v>4.2410000000000003E-2</c:v>
                </c:pt>
                <c:pt idx="439">
                  <c:v>4.4540000000000003E-2</c:v>
                </c:pt>
                <c:pt idx="440">
                  <c:v>4.5999999999999999E-2</c:v>
                </c:pt>
                <c:pt idx="441">
                  <c:v>4.1730000000000003E-2</c:v>
                </c:pt>
                <c:pt idx="442">
                  <c:v>4.4839999999999998E-2</c:v>
                </c:pt>
                <c:pt idx="443">
                  <c:v>4.5699999999999998E-2</c:v>
                </c:pt>
                <c:pt idx="444">
                  <c:v>4.2250000000000003E-2</c:v>
                </c:pt>
                <c:pt idx="445">
                  <c:v>4.1959999999999997E-2</c:v>
                </c:pt>
                <c:pt idx="446">
                  <c:v>4.0050000000000002E-2</c:v>
                </c:pt>
                <c:pt idx="447">
                  <c:v>4.3740000000000001E-2</c:v>
                </c:pt>
                <c:pt idx="448">
                  <c:v>3.9719999999999998E-2</c:v>
                </c:pt>
                <c:pt idx="449">
                  <c:v>3.9559999999999998E-2</c:v>
                </c:pt>
                <c:pt idx="450">
                  <c:v>3.6990000000000002E-2</c:v>
                </c:pt>
                <c:pt idx="451">
                  <c:v>4.0399999999999998E-2</c:v>
                </c:pt>
                <c:pt idx="452">
                  <c:v>4.5229999999999999E-2</c:v>
                </c:pt>
                <c:pt idx="453">
                  <c:v>4.4049999999999999E-2</c:v>
                </c:pt>
                <c:pt idx="454">
                  <c:v>4.512E-2</c:v>
                </c:pt>
                <c:pt idx="455">
                  <c:v>4.5830000000000003E-2</c:v>
                </c:pt>
                <c:pt idx="456">
                  <c:v>4.5179999999999998E-2</c:v>
                </c:pt>
                <c:pt idx="457">
                  <c:v>4.6829999999999997E-2</c:v>
                </c:pt>
                <c:pt idx="458">
                  <c:v>4.7780000000000003E-2</c:v>
                </c:pt>
                <c:pt idx="459">
                  <c:v>5.11E-2</c:v>
                </c:pt>
                <c:pt idx="460">
                  <c:v>5.6419999999999998E-2</c:v>
                </c:pt>
                <c:pt idx="461">
                  <c:v>5.3120000000000001E-2</c:v>
                </c:pt>
                <c:pt idx="462">
                  <c:v>4.9009999999999998E-2</c:v>
                </c:pt>
                <c:pt idx="463">
                  <c:v>4.5449999999999997E-2</c:v>
                </c:pt>
                <c:pt idx="464">
                  <c:v>4.514E-2</c:v>
                </c:pt>
                <c:pt idx="465">
                  <c:v>5.006E-2</c:v>
                </c:pt>
                <c:pt idx="466">
                  <c:v>4.8680000000000001E-2</c:v>
                </c:pt>
                <c:pt idx="467">
                  <c:v>4.7199999999999999E-2</c:v>
                </c:pt>
                <c:pt idx="468">
                  <c:v>4.3659999999999997E-2</c:v>
                </c:pt>
                <c:pt idx="469">
                  <c:v>5.0389999999999997E-2</c:v>
                </c:pt>
                <c:pt idx="470">
                  <c:v>5.1909999999999998E-2</c:v>
                </c:pt>
                <c:pt idx="471">
                  <c:v>5.2999999999999999E-2</c:v>
                </c:pt>
                <c:pt idx="472">
                  <c:v>5.4039999999999998E-2</c:v>
                </c:pt>
                <c:pt idx="473">
                  <c:v>5.3780000000000001E-2</c:v>
                </c:pt>
                <c:pt idx="474">
                  <c:v>5.2170000000000001E-2</c:v>
                </c:pt>
                <c:pt idx="475">
                  <c:v>5.3650000000000003E-2</c:v>
                </c:pt>
                <c:pt idx="476">
                  <c:v>5.1090000000000003E-2</c:v>
                </c:pt>
                <c:pt idx="477">
                  <c:v>4.6420000000000003E-2</c:v>
                </c:pt>
                <c:pt idx="478">
                  <c:v>4.4069999999999998E-2</c:v>
                </c:pt>
                <c:pt idx="479">
                  <c:v>5.1769999999999997E-2</c:v>
                </c:pt>
                <c:pt idx="480">
                  <c:v>5.2350000000000001E-2</c:v>
                </c:pt>
                <c:pt idx="481">
                  <c:v>5.1040000000000002E-2</c:v>
                </c:pt>
                <c:pt idx="482">
                  <c:v>5.4769999999999999E-2</c:v>
                </c:pt>
                <c:pt idx="483">
                  <c:v>6.166E-2</c:v>
                </c:pt>
                <c:pt idx="484">
                  <c:v>6.8879999999999997E-2</c:v>
                </c:pt>
                <c:pt idx="485">
                  <c:v>7.1360000000000007E-2</c:v>
                </c:pt>
                <c:pt idx="486">
                  <c:v>6.2590000000000007E-2</c:v>
                </c:pt>
                <c:pt idx="487">
                  <c:v>5.9240000000000001E-2</c:v>
                </c:pt>
                <c:pt idx="488">
                  <c:v>5.8930000000000003E-2</c:v>
                </c:pt>
                <c:pt idx="489">
                  <c:v>6.1129999999999997E-2</c:v>
                </c:pt>
                <c:pt idx="490">
                  <c:v>5.7639999999999997E-2</c:v>
                </c:pt>
                <c:pt idx="491">
                  <c:v>4.7350000000000003E-2</c:v>
                </c:pt>
                <c:pt idx="492">
                  <c:v>5.5160000000000001E-2</c:v>
                </c:pt>
                <c:pt idx="493">
                  <c:v>5.7520000000000002E-2</c:v>
                </c:pt>
                <c:pt idx="494">
                  <c:v>6.6259999999999999E-2</c:v>
                </c:pt>
                <c:pt idx="495">
                  <c:v>6.7839999999999998E-2</c:v>
                </c:pt>
                <c:pt idx="496">
                  <c:v>6.5689999999999998E-2</c:v>
                </c:pt>
                <c:pt idx="497">
                  <c:v>6.8959999999999994E-2</c:v>
                </c:pt>
                <c:pt idx="498">
                  <c:v>6.9709999999999994E-2</c:v>
                </c:pt>
                <c:pt idx="499">
                  <c:v>6.5680000000000002E-2</c:v>
                </c:pt>
                <c:pt idx="500">
                  <c:v>7.4020000000000002E-2</c:v>
                </c:pt>
                <c:pt idx="501">
                  <c:v>7.6550000000000007E-2</c:v>
                </c:pt>
                <c:pt idx="502">
                  <c:v>8.6699999999999999E-2</c:v>
                </c:pt>
                <c:pt idx="503">
                  <c:v>8.2519999999999996E-2</c:v>
                </c:pt>
                <c:pt idx="504">
                  <c:v>8.6849999999999997E-2</c:v>
                </c:pt>
                <c:pt idx="505">
                  <c:v>7.6829999999999996E-2</c:v>
                </c:pt>
                <c:pt idx="506">
                  <c:v>7.5109999999999996E-2</c:v>
                </c:pt>
                <c:pt idx="507">
                  <c:v>8.4220000000000003E-2</c:v>
                </c:pt>
                <c:pt idx="508">
                  <c:v>8.4080000000000002E-2</c:v>
                </c:pt>
                <c:pt idx="509">
                  <c:v>7.4060000000000001E-2</c:v>
                </c:pt>
                <c:pt idx="510">
                  <c:v>9.0999999999999998E-2</c:v>
                </c:pt>
                <c:pt idx="511">
                  <c:v>9.1899999999999996E-2</c:v>
                </c:pt>
                <c:pt idx="512">
                  <c:v>0.10743999999999999</c:v>
                </c:pt>
                <c:pt idx="513">
                  <c:v>0.11022999999999999</c:v>
                </c:pt>
                <c:pt idx="514">
                  <c:v>0.11328000000000001</c:v>
                </c:pt>
                <c:pt idx="515">
                  <c:v>0.12439</c:v>
                </c:pt>
                <c:pt idx="516">
                  <c:v>0.1115</c:v>
                </c:pt>
                <c:pt idx="517">
                  <c:v>0.10736</c:v>
                </c:pt>
                <c:pt idx="518">
                  <c:v>0.10399</c:v>
                </c:pt>
                <c:pt idx="519">
                  <c:v>0.11347</c:v>
                </c:pt>
                <c:pt idx="520">
                  <c:v>0.11393</c:v>
                </c:pt>
                <c:pt idx="521">
                  <c:v>0.12526000000000001</c:v>
                </c:pt>
                <c:pt idx="522">
                  <c:v>0.11670999999999999</c:v>
                </c:pt>
                <c:pt idx="523">
                  <c:v>0.12928000000000001</c:v>
                </c:pt>
                <c:pt idx="524">
                  <c:v>0.10528999999999999</c:v>
                </c:pt>
                <c:pt idx="525">
                  <c:v>0.11799999999999999</c:v>
                </c:pt>
                <c:pt idx="526">
                  <c:v>0.12791</c:v>
                </c:pt>
                <c:pt idx="527">
                  <c:v>0.15153</c:v>
                </c:pt>
                <c:pt idx="528">
                  <c:v>0.15761</c:v>
                </c:pt>
                <c:pt idx="529">
                  <c:v>0.1361</c:v>
                </c:pt>
                <c:pt idx="530">
                  <c:v>0.11677999999999999</c:v>
                </c:pt>
                <c:pt idx="531">
                  <c:v>0.11117</c:v>
                </c:pt>
                <c:pt idx="532">
                  <c:v>9.4969999999999999E-2</c:v>
                </c:pt>
                <c:pt idx="533">
                  <c:v>9.6790000000000001E-2</c:v>
                </c:pt>
                <c:pt idx="534">
                  <c:v>9.418E-2</c:v>
                </c:pt>
                <c:pt idx="535">
                  <c:v>0.10691000000000001</c:v>
                </c:pt>
                <c:pt idx="536">
                  <c:v>9.3820000000000001E-2</c:v>
                </c:pt>
                <c:pt idx="537">
                  <c:v>9.2480000000000007E-2</c:v>
                </c:pt>
                <c:pt idx="538">
                  <c:v>9.5909999999999995E-2</c:v>
                </c:pt>
                <c:pt idx="539">
                  <c:v>9.7000000000000003E-2</c:v>
                </c:pt>
                <c:pt idx="540">
                  <c:v>8.7620000000000003E-2</c:v>
                </c:pt>
                <c:pt idx="541">
                  <c:v>7.7130000000000004E-2</c:v>
                </c:pt>
                <c:pt idx="542">
                  <c:v>7.1679999999999994E-2</c:v>
                </c:pt>
                <c:pt idx="543">
                  <c:v>7.1629999999999999E-2</c:v>
                </c:pt>
                <c:pt idx="544">
                  <c:v>7.4950000000000003E-2</c:v>
                </c:pt>
                <c:pt idx="545">
                  <c:v>7.4370000000000006E-2</c:v>
                </c:pt>
                <c:pt idx="546">
                  <c:v>7.6289999999999997E-2</c:v>
                </c:pt>
                <c:pt idx="547">
                  <c:v>6.8779999999999994E-2</c:v>
                </c:pt>
                <c:pt idx="548">
                  <c:v>7.2660000000000002E-2</c:v>
                </c:pt>
                <c:pt idx="549">
                  <c:v>6.2210000000000001E-2</c:v>
                </c:pt>
                <c:pt idx="550">
                  <c:v>5.289E-2</c:v>
                </c:pt>
                <c:pt idx="551">
                  <c:v>5.0279999999999998E-2</c:v>
                </c:pt>
                <c:pt idx="552">
                  <c:v>4.9410000000000003E-2</c:v>
                </c:pt>
                <c:pt idx="553">
                  <c:v>5.3100000000000001E-2</c:v>
                </c:pt>
                <c:pt idx="554">
                  <c:v>5.4859999999999999E-2</c:v>
                </c:pt>
                <c:pt idx="555">
                  <c:v>5.6480000000000002E-2</c:v>
                </c:pt>
                <c:pt idx="556">
                  <c:v>5.5599999999999997E-2</c:v>
                </c:pt>
                <c:pt idx="557">
                  <c:v>5.423E-2</c:v>
                </c:pt>
                <c:pt idx="558">
                  <c:v>5.4480000000000001E-2</c:v>
                </c:pt>
                <c:pt idx="559">
                  <c:v>5.0880000000000002E-2</c:v>
                </c:pt>
                <c:pt idx="560">
                  <c:v>5.2049999999999999E-2</c:v>
                </c:pt>
                <c:pt idx="561">
                  <c:v>4.8750000000000002E-2</c:v>
                </c:pt>
                <c:pt idx="562">
                  <c:v>4.5909999999999999E-2</c:v>
                </c:pt>
                <c:pt idx="563">
                  <c:v>4.7050000000000002E-2</c:v>
                </c:pt>
                <c:pt idx="564">
                  <c:v>4.3180000000000003E-2</c:v>
                </c:pt>
                <c:pt idx="565">
                  <c:v>3.8300000000000001E-2</c:v>
                </c:pt>
                <c:pt idx="566">
                  <c:v>3.5040000000000002E-2</c:v>
                </c:pt>
                <c:pt idx="567">
                  <c:v>3.5380000000000002E-2</c:v>
                </c:pt>
                <c:pt idx="568">
                  <c:v>3.6499999999999998E-2</c:v>
                </c:pt>
                <c:pt idx="569">
                  <c:v>3.2140000000000002E-2</c:v>
                </c:pt>
                <c:pt idx="570">
                  <c:v>3.1119999999999998E-2</c:v>
                </c:pt>
                <c:pt idx="571">
                  <c:v>2.7990000000000001E-2</c:v>
                </c:pt>
                <c:pt idx="572">
                  <c:v>2.9680000000000002E-2</c:v>
                </c:pt>
                <c:pt idx="573">
                  <c:v>3.0689999999999999E-2</c:v>
                </c:pt>
                <c:pt idx="574">
                  <c:v>2.895E-2</c:v>
                </c:pt>
                <c:pt idx="575">
                  <c:v>2.7879999999999999E-2</c:v>
                </c:pt>
                <c:pt idx="576">
                  <c:v>2.7720000000000002E-2</c:v>
                </c:pt>
                <c:pt idx="577">
                  <c:v>2.7220000000000001E-2</c:v>
                </c:pt>
                <c:pt idx="578">
                  <c:v>2.6620000000000001E-2</c:v>
                </c:pt>
                <c:pt idx="579">
                  <c:v>2.6210000000000001E-2</c:v>
                </c:pt>
                <c:pt idx="580">
                  <c:v>2.742E-2</c:v>
                </c:pt>
                <c:pt idx="581">
                  <c:v>2.8029999999999999E-2</c:v>
                </c:pt>
                <c:pt idx="582">
                  <c:v>2.8879999999999999E-2</c:v>
                </c:pt>
                <c:pt idx="583">
                  <c:v>3.0040000000000001E-2</c:v>
                </c:pt>
                <c:pt idx="584">
                  <c:v>3.1280000000000002E-2</c:v>
                </c:pt>
                <c:pt idx="585">
                  <c:v>3.117E-2</c:v>
                </c:pt>
                <c:pt idx="586">
                  <c:v>3.0970000000000001E-2</c:v>
                </c:pt>
                <c:pt idx="587">
                  <c:v>3.1199999999999999E-2</c:v>
                </c:pt>
                <c:pt idx="588">
                  <c:v>3.0460000000000001E-2</c:v>
                </c:pt>
                <c:pt idx="589">
                  <c:v>3.1019999999999999E-2</c:v>
                </c:pt>
                <c:pt idx="590">
                  <c:v>3.2739999999999998E-2</c:v>
                </c:pt>
                <c:pt idx="591">
                  <c:v>2.8580000000000001E-2</c:v>
                </c:pt>
                <c:pt idx="592">
                  <c:v>2.9049999999999999E-2</c:v>
                </c:pt>
                <c:pt idx="593">
                  <c:v>2.9610000000000001E-2</c:v>
                </c:pt>
                <c:pt idx="594">
                  <c:v>2.7550000000000002E-2</c:v>
                </c:pt>
                <c:pt idx="595">
                  <c:v>2.6210000000000001E-2</c:v>
                </c:pt>
                <c:pt idx="596">
                  <c:v>2.9260000000000001E-2</c:v>
                </c:pt>
                <c:pt idx="597">
                  <c:v>2.7519999999999999E-2</c:v>
                </c:pt>
                <c:pt idx="598">
                  <c:v>2.7089999999999999E-2</c:v>
                </c:pt>
                <c:pt idx="599">
                  <c:v>2.7519999999999999E-2</c:v>
                </c:pt>
                <c:pt idx="600">
                  <c:v>2.7990000000000001E-2</c:v>
                </c:pt>
                <c:pt idx="601">
                  <c:v>2.4809999999999999E-2</c:v>
                </c:pt>
                <c:pt idx="602">
                  <c:v>2.452E-2</c:v>
                </c:pt>
                <c:pt idx="603">
                  <c:v>2.496E-2</c:v>
                </c:pt>
                <c:pt idx="604">
                  <c:v>2.3029999999999998E-2</c:v>
                </c:pt>
                <c:pt idx="605">
                  <c:v>2.3720000000000001E-2</c:v>
                </c:pt>
                <c:pt idx="606">
                  <c:v>2.2329999999999999E-2</c:v>
                </c:pt>
                <c:pt idx="607">
                  <c:v>2.2419999999999999E-2</c:v>
                </c:pt>
                <c:pt idx="608">
                  <c:v>2.2710000000000001E-2</c:v>
                </c:pt>
                <c:pt idx="609">
                  <c:v>2.2110000000000001E-2</c:v>
                </c:pt>
                <c:pt idx="610">
                  <c:v>2.2939999999999999E-2</c:v>
                </c:pt>
                <c:pt idx="611">
                  <c:v>2.3859999999999999E-2</c:v>
                </c:pt>
                <c:pt idx="612">
                  <c:v>2.256E-2</c:v>
                </c:pt>
                <c:pt idx="613">
                  <c:v>1.9990000000000001E-2</c:v>
                </c:pt>
                <c:pt idx="614">
                  <c:v>2.0029999999999999E-2</c:v>
                </c:pt>
                <c:pt idx="615">
                  <c:v>2.034E-2</c:v>
                </c:pt>
                <c:pt idx="616">
                  <c:v>1.915E-2</c:v>
                </c:pt>
                <c:pt idx="617">
                  <c:v>1.967E-2</c:v>
                </c:pt>
                <c:pt idx="618">
                  <c:v>2.0500000000000001E-2</c:v>
                </c:pt>
                <c:pt idx="619">
                  <c:v>2.0230000000000001E-2</c:v>
                </c:pt>
                <c:pt idx="620">
                  <c:v>2.0580000000000001E-2</c:v>
                </c:pt>
                <c:pt idx="621">
                  <c:v>2.1559999999999999E-2</c:v>
                </c:pt>
                <c:pt idx="622">
                  <c:v>1.95E-2</c:v>
                </c:pt>
                <c:pt idx="623">
                  <c:v>1.9439999999999999E-2</c:v>
                </c:pt>
                <c:pt idx="624">
                  <c:v>1.8530000000000001E-2</c:v>
                </c:pt>
                <c:pt idx="625">
                  <c:v>1.7850000000000001E-2</c:v>
                </c:pt>
                <c:pt idx="626">
                  <c:v>1.6969999999999999E-2</c:v>
                </c:pt>
                <c:pt idx="627">
                  <c:v>1.7680000000000001E-2</c:v>
                </c:pt>
                <c:pt idx="628">
                  <c:v>1.8790000000000001E-2</c:v>
                </c:pt>
                <c:pt idx="629">
                  <c:v>1.8890000000000001E-2</c:v>
                </c:pt>
                <c:pt idx="630">
                  <c:v>1.806E-2</c:v>
                </c:pt>
                <c:pt idx="631">
                  <c:v>1.8519999999999998E-2</c:v>
                </c:pt>
                <c:pt idx="632">
                  <c:v>1.959E-2</c:v>
                </c:pt>
                <c:pt idx="633">
                  <c:v>1.89E-2</c:v>
                </c:pt>
                <c:pt idx="634">
                  <c:v>2.0049999999999998E-2</c:v>
                </c:pt>
                <c:pt idx="635">
                  <c:v>2.0289999999999999E-2</c:v>
                </c:pt>
                <c:pt idx="636">
                  <c:v>2.053E-2</c:v>
                </c:pt>
                <c:pt idx="637">
                  <c:v>1.9970000000000002E-2</c:v>
                </c:pt>
                <c:pt idx="638">
                  <c:v>2.094E-2</c:v>
                </c:pt>
                <c:pt idx="639">
                  <c:v>2.0549999999999999E-2</c:v>
                </c:pt>
                <c:pt idx="640">
                  <c:v>2.0230000000000001E-2</c:v>
                </c:pt>
                <c:pt idx="641">
                  <c:v>1.874E-2</c:v>
                </c:pt>
                <c:pt idx="642">
                  <c:v>2.0320000000000001E-2</c:v>
                </c:pt>
                <c:pt idx="643">
                  <c:v>1.6930000000000001E-2</c:v>
                </c:pt>
                <c:pt idx="644">
                  <c:v>1.536E-2</c:v>
                </c:pt>
                <c:pt idx="645">
                  <c:v>1.489E-2</c:v>
                </c:pt>
                <c:pt idx="646">
                  <c:v>1.4409999999999999E-2</c:v>
                </c:pt>
                <c:pt idx="647">
                  <c:v>1.438E-2</c:v>
                </c:pt>
                <c:pt idx="648">
                  <c:v>1.555E-2</c:v>
                </c:pt>
                <c:pt idx="649">
                  <c:v>1.5440000000000001E-2</c:v>
                </c:pt>
                <c:pt idx="650">
                  <c:v>1.502E-2</c:v>
                </c:pt>
                <c:pt idx="651">
                  <c:v>1.491E-2</c:v>
                </c:pt>
                <c:pt idx="652">
                  <c:v>1.4109999999999999E-2</c:v>
                </c:pt>
                <c:pt idx="653">
                  <c:v>1.4999999999999999E-2</c:v>
                </c:pt>
                <c:pt idx="654">
                  <c:v>1.491E-2</c:v>
                </c:pt>
                <c:pt idx="655">
                  <c:v>1.5049999999999999E-2</c:v>
                </c:pt>
                <c:pt idx="656">
                  <c:v>1.4919999999999999E-2</c:v>
                </c:pt>
                <c:pt idx="657">
                  <c:v>1.487E-2</c:v>
                </c:pt>
                <c:pt idx="658">
                  <c:v>1.67E-2</c:v>
                </c:pt>
                <c:pt idx="659">
                  <c:v>1.609E-2</c:v>
                </c:pt>
                <c:pt idx="660">
                  <c:v>1.5640000000000001E-2</c:v>
                </c:pt>
                <c:pt idx="661">
                  <c:v>1.5730000000000001E-2</c:v>
                </c:pt>
                <c:pt idx="662">
                  <c:v>1.4370000000000001E-2</c:v>
                </c:pt>
                <c:pt idx="663">
                  <c:v>1.478E-2</c:v>
                </c:pt>
                <c:pt idx="664">
                  <c:v>1.447E-2</c:v>
                </c:pt>
                <c:pt idx="665">
                  <c:v>1.4460000000000001E-2</c:v>
                </c:pt>
                <c:pt idx="666">
                  <c:v>1.4109999999999999E-2</c:v>
                </c:pt>
                <c:pt idx="667">
                  <c:v>1.404E-2</c:v>
                </c:pt>
                <c:pt idx="668">
                  <c:v>1.3809999999999999E-2</c:v>
                </c:pt>
                <c:pt idx="669">
                  <c:v>1.2500000000000001E-2</c:v>
                </c:pt>
                <c:pt idx="670">
                  <c:v>1.354E-2</c:v>
                </c:pt>
                <c:pt idx="671">
                  <c:v>1.405E-2</c:v>
                </c:pt>
                <c:pt idx="672">
                  <c:v>1.4290000000000001E-2</c:v>
                </c:pt>
                <c:pt idx="673">
                  <c:v>1.43E-2</c:v>
                </c:pt>
                <c:pt idx="674">
                  <c:v>1.374E-2</c:v>
                </c:pt>
                <c:pt idx="675">
                  <c:v>1.3480000000000001E-2</c:v>
                </c:pt>
                <c:pt idx="676">
                  <c:v>1.187E-2</c:v>
                </c:pt>
                <c:pt idx="677">
                  <c:v>1.353E-2</c:v>
                </c:pt>
                <c:pt idx="678">
                  <c:v>1.311E-2</c:v>
                </c:pt>
                <c:pt idx="679">
                  <c:v>1.264E-2</c:v>
                </c:pt>
                <c:pt idx="680">
                  <c:v>1.0919999999999999E-2</c:v>
                </c:pt>
                <c:pt idx="681">
                  <c:v>1.0880000000000001E-2</c:v>
                </c:pt>
                <c:pt idx="682">
                  <c:v>9.8700000000000003E-3</c:v>
                </c:pt>
                <c:pt idx="683">
                  <c:v>1.1469999999999999E-2</c:v>
                </c:pt>
                <c:pt idx="684">
                  <c:v>1.116E-2</c:v>
                </c:pt>
                <c:pt idx="685">
                  <c:v>1.2619999999999999E-2</c:v>
                </c:pt>
                <c:pt idx="686">
                  <c:v>1.0710000000000001E-2</c:v>
                </c:pt>
                <c:pt idx="687">
                  <c:v>2.8299999999999999E-2</c:v>
                </c:pt>
                <c:pt idx="688">
                  <c:v>2.8830000000000001E-2</c:v>
                </c:pt>
                <c:pt idx="689">
                  <c:v>2.8590000000000001E-2</c:v>
                </c:pt>
                <c:pt idx="690">
                  <c:v>2.9989999999999999E-2</c:v>
                </c:pt>
                <c:pt idx="691">
                  <c:v>3.5389999999999998E-2</c:v>
                </c:pt>
                <c:pt idx="692">
                  <c:v>3.7139999999999999E-2</c:v>
                </c:pt>
                <c:pt idx="693">
                  <c:v>3.6380000000000003E-2</c:v>
                </c:pt>
                <c:pt idx="694">
                  <c:v>3.653E-2</c:v>
                </c:pt>
                <c:pt idx="695">
                  <c:v>3.397E-2</c:v>
                </c:pt>
                <c:pt idx="696">
                  <c:v>3.483E-2</c:v>
                </c:pt>
                <c:pt idx="697">
                  <c:v>3.2320000000000002E-2</c:v>
                </c:pt>
                <c:pt idx="698">
                  <c:v>3.2149999999999998E-2</c:v>
                </c:pt>
                <c:pt idx="699">
                  <c:v>3.2419999999999997E-2</c:v>
                </c:pt>
                <c:pt idx="700">
                  <c:v>3.2779999999999997E-2</c:v>
                </c:pt>
                <c:pt idx="701">
                  <c:v>3.2680000000000001E-2</c:v>
                </c:pt>
                <c:pt idx="702">
                  <c:v>3.7609999999999998E-2</c:v>
                </c:pt>
                <c:pt idx="703">
                  <c:v>4.061E-2</c:v>
                </c:pt>
                <c:pt idx="704">
                  <c:v>4.342E-2</c:v>
                </c:pt>
                <c:pt idx="705">
                  <c:v>4.199E-2</c:v>
                </c:pt>
                <c:pt idx="706">
                  <c:v>4.2049999999999997E-2</c:v>
                </c:pt>
                <c:pt idx="707">
                  <c:v>4.1009999999999998E-2</c:v>
                </c:pt>
                <c:pt idx="708">
                  <c:v>4.2130000000000001E-2</c:v>
                </c:pt>
                <c:pt idx="709">
                  <c:v>4.7870000000000003E-2</c:v>
                </c:pt>
                <c:pt idx="710">
                  <c:v>4.58E-2</c:v>
                </c:pt>
                <c:pt idx="711">
                  <c:v>4.65E-2</c:v>
                </c:pt>
                <c:pt idx="712">
                  <c:v>4.9829999999999999E-2</c:v>
                </c:pt>
                <c:pt idx="713">
                  <c:v>5.425E-2</c:v>
                </c:pt>
                <c:pt idx="714">
                  <c:v>5.4309999999999997E-2</c:v>
                </c:pt>
                <c:pt idx="715">
                  <c:v>5.3010000000000002E-2</c:v>
                </c:pt>
                <c:pt idx="716">
                  <c:v>5.1240000000000001E-2</c:v>
                </c:pt>
                <c:pt idx="717">
                  <c:v>4.8529999999999997E-2</c:v>
                </c:pt>
                <c:pt idx="718">
                  <c:v>4.9459999999999997E-2</c:v>
                </c:pt>
                <c:pt idx="719">
                  <c:v>4.4830000000000002E-2</c:v>
                </c:pt>
                <c:pt idx="720">
                  <c:v>4.6690000000000002E-2</c:v>
                </c:pt>
                <c:pt idx="721">
                  <c:v>4.684E-2</c:v>
                </c:pt>
                <c:pt idx="722">
                  <c:v>4.095E-2</c:v>
                </c:pt>
                <c:pt idx="723">
                  <c:v>4.1169999999999998E-2</c:v>
                </c:pt>
                <c:pt idx="724">
                  <c:v>4.1110000000000001E-2</c:v>
                </c:pt>
                <c:pt idx="725">
                  <c:v>3.9399999999999998E-2</c:v>
                </c:pt>
                <c:pt idx="726">
                  <c:v>3.8620000000000002E-2</c:v>
                </c:pt>
                <c:pt idx="727">
                  <c:v>3.8899999999999997E-2</c:v>
                </c:pt>
                <c:pt idx="728">
                  <c:v>3.8300000000000001E-2</c:v>
                </c:pt>
                <c:pt idx="729">
                  <c:v>3.6979999999999999E-2</c:v>
                </c:pt>
                <c:pt idx="730">
                  <c:v>3.7670000000000002E-2</c:v>
                </c:pt>
                <c:pt idx="731">
                  <c:v>3.8920000000000003E-2</c:v>
                </c:pt>
                <c:pt idx="732">
                  <c:v>3.8890000000000001E-2</c:v>
                </c:pt>
                <c:pt idx="733">
                  <c:v>3.9890000000000002E-2</c:v>
                </c:pt>
                <c:pt idx="734">
                  <c:v>3.8929999999999999E-2</c:v>
                </c:pt>
                <c:pt idx="735">
                  <c:v>3.7749999999999999E-2</c:v>
                </c:pt>
                <c:pt idx="736">
                  <c:v>3.952E-2</c:v>
                </c:pt>
                <c:pt idx="737">
                  <c:v>3.8019999999999998E-2</c:v>
                </c:pt>
                <c:pt idx="738">
                  <c:v>3.7339999999999998E-2</c:v>
                </c:pt>
                <c:pt idx="739">
                  <c:v>3.771E-2</c:v>
                </c:pt>
                <c:pt idx="740">
                  <c:v>4.1090000000000002E-2</c:v>
                </c:pt>
                <c:pt idx="741">
                  <c:v>4.2200000000000001E-2</c:v>
                </c:pt>
                <c:pt idx="742">
                  <c:v>3.9620000000000002E-2</c:v>
                </c:pt>
                <c:pt idx="743">
                  <c:v>4.0009999999999997E-2</c:v>
                </c:pt>
                <c:pt idx="744">
                  <c:v>3.8989999999999997E-2</c:v>
                </c:pt>
                <c:pt idx="745">
                  <c:v>4.0629999999999999E-2</c:v>
                </c:pt>
                <c:pt idx="746">
                  <c:v>3.9870000000000003E-2</c:v>
                </c:pt>
                <c:pt idx="747">
                  <c:v>3.7789999999999997E-2</c:v>
                </c:pt>
                <c:pt idx="748">
                  <c:v>3.619E-2</c:v>
                </c:pt>
                <c:pt idx="749">
                  <c:v>3.7400000000000003E-2</c:v>
                </c:pt>
                <c:pt idx="750">
                  <c:v>3.6859999999999997E-2</c:v>
                </c:pt>
                <c:pt idx="751">
                  <c:v>3.7199999999999997E-2</c:v>
                </c:pt>
                <c:pt idx="752">
                  <c:v>3.9489999999999997E-2</c:v>
                </c:pt>
                <c:pt idx="753">
                  <c:v>3.8469999999999997E-2</c:v>
                </c:pt>
                <c:pt idx="754">
                  <c:v>4.027E-2</c:v>
                </c:pt>
                <c:pt idx="755">
                  <c:v>3.9059999999999997E-2</c:v>
                </c:pt>
                <c:pt idx="756">
                  <c:v>3.6420000000000001E-2</c:v>
                </c:pt>
                <c:pt idx="757">
                  <c:v>3.832E-2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53-4288-A725-F4A906877690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-2.5779538076511708</c:v>
                </c:pt>
                <c:pt idx="1">
                  <c:v>-2.5722247473947606</c:v>
                </c:pt>
                <c:pt idx="2">
                  <c:v>-2.4653603623201339</c:v>
                </c:pt>
                <c:pt idx="3">
                  <c:v>-2.4471646509475851</c:v>
                </c:pt>
                <c:pt idx="4">
                  <c:v>-2.521945702471529</c:v>
                </c:pt>
                <c:pt idx="5">
                  <c:v>-2.5938154851988009</c:v>
                </c:pt>
                <c:pt idx="6">
                  <c:v>-2.4658285207492372</c:v>
                </c:pt>
                <c:pt idx="7">
                  <c:v>-2.2002707524923051</c:v>
                </c:pt>
                <c:pt idx="8">
                  <c:v>-1.8661783817057886</c:v>
                </c:pt>
                <c:pt idx="9">
                  <c:v>-1.863097878069425</c:v>
                </c:pt>
                <c:pt idx="10">
                  <c:v>-1.9756119639641618</c:v>
                </c:pt>
                <c:pt idx="11">
                  <c:v>-1.952016767663584</c:v>
                </c:pt>
                <c:pt idx="12">
                  <c:v>-1.8634851731854694</c:v>
                </c:pt>
                <c:pt idx="13">
                  <c:v>-1.8685326646724583</c:v>
                </c:pt>
                <c:pt idx="14">
                  <c:v>-1.9916214721177135</c:v>
                </c:pt>
                <c:pt idx="15">
                  <c:v>-1.7957868622152744</c:v>
                </c:pt>
                <c:pt idx="16">
                  <c:v>-1.9349213783432742</c:v>
                </c:pt>
                <c:pt idx="17">
                  <c:v>-2.0506630612701033</c:v>
                </c:pt>
                <c:pt idx="18">
                  <c:v>-2.0698378154190396</c:v>
                </c:pt>
                <c:pt idx="19">
                  <c:v>-2.0355554860823046</c:v>
                </c:pt>
                <c:pt idx="20">
                  <c:v>-1.9478832994520181</c:v>
                </c:pt>
                <c:pt idx="21">
                  <c:v>-1.7156298012701998</c:v>
                </c:pt>
                <c:pt idx="22">
                  <c:v>-1.3213288233700977</c:v>
                </c:pt>
                <c:pt idx="23">
                  <c:v>-1.1119876544595915</c:v>
                </c:pt>
                <c:pt idx="24">
                  <c:v>-1.0958228759165456</c:v>
                </c:pt>
                <c:pt idx="25">
                  <c:v>-1.0216963922255584</c:v>
                </c:pt>
                <c:pt idx="26">
                  <c:v>-1.1845787095249718</c:v>
                </c:pt>
                <c:pt idx="27">
                  <c:v>-1.3512090102419532</c:v>
                </c:pt>
                <c:pt idx="28">
                  <c:v>-1.2179901671054205</c:v>
                </c:pt>
                <c:pt idx="29">
                  <c:v>-1.181278166761778</c:v>
                </c:pt>
                <c:pt idx="30">
                  <c:v>-1.1252198988947419</c:v>
                </c:pt>
                <c:pt idx="31">
                  <c:v>-1.0076940124749889</c:v>
                </c:pt>
                <c:pt idx="32">
                  <c:v>-0.92507949058558792</c:v>
                </c:pt>
                <c:pt idx="33">
                  <c:v>-0.94883013279902562</c:v>
                </c:pt>
                <c:pt idx="34">
                  <c:v>-0.91680038687104948</c:v>
                </c:pt>
                <c:pt idx="35">
                  <c:v>-0.78528944477899942</c:v>
                </c:pt>
                <c:pt idx="36">
                  <c:v>-0.83530244182180124</c:v>
                </c:pt>
                <c:pt idx="37">
                  <c:v>-0.74159896904647016</c:v>
                </c:pt>
                <c:pt idx="38">
                  <c:v>-1.159129920265983</c:v>
                </c:pt>
                <c:pt idx="39">
                  <c:v>-1.2949907671522387</c:v>
                </c:pt>
                <c:pt idx="40">
                  <c:v>-1.2574102332038992</c:v>
                </c:pt>
                <c:pt idx="41">
                  <c:v>-1.2599337053026647</c:v>
                </c:pt>
                <c:pt idx="42">
                  <c:v>-1.2139756156800232</c:v>
                </c:pt>
                <c:pt idx="43">
                  <c:v>-1.1286985807566094</c:v>
                </c:pt>
                <c:pt idx="44">
                  <c:v>-1.2531216691566092</c:v>
                </c:pt>
                <c:pt idx="45">
                  <c:v>-1.2592771223985044</c:v>
                </c:pt>
                <c:pt idx="46">
                  <c:v>-1.1595252080827152</c:v>
                </c:pt>
                <c:pt idx="47">
                  <c:v>-1.2628592598068538</c:v>
                </c:pt>
                <c:pt idx="48">
                  <c:v>-1.2697919500352803</c:v>
                </c:pt>
                <c:pt idx="49">
                  <c:v>-1.1750842484727799</c:v>
                </c:pt>
                <c:pt idx="50">
                  <c:v>-0.98264115913628747</c:v>
                </c:pt>
                <c:pt idx="51">
                  <c:v>-1.2232164548462108</c:v>
                </c:pt>
                <c:pt idx="52">
                  <c:v>-1.0526740831633636</c:v>
                </c:pt>
                <c:pt idx="53">
                  <c:v>-1.2921310137603785</c:v>
                </c:pt>
                <c:pt idx="54">
                  <c:v>-0.90268475229891665</c:v>
                </c:pt>
                <c:pt idx="55">
                  <c:v>-0.88196226921457943</c:v>
                </c:pt>
                <c:pt idx="56">
                  <c:v>-0.77051898444251332</c:v>
                </c:pt>
                <c:pt idx="57">
                  <c:v>-0.68926082087108487</c:v>
                </c:pt>
                <c:pt idx="58">
                  <c:v>-0.61519786326084269</c:v>
                </c:pt>
                <c:pt idx="59">
                  <c:v>-0.29216077321046452</c:v>
                </c:pt>
                <c:pt idx="60">
                  <c:v>-0.28977579463903624</c:v>
                </c:pt>
                <c:pt idx="61">
                  <c:v>-0.44025994673269986</c:v>
                </c:pt>
                <c:pt idx="62">
                  <c:v>-0.37146633161287412</c:v>
                </c:pt>
                <c:pt idx="63">
                  <c:v>-0.21171601905473483</c:v>
                </c:pt>
                <c:pt idx="64">
                  <c:v>-0.42672291339780077</c:v>
                </c:pt>
                <c:pt idx="65">
                  <c:v>-0.40167271687373679</c:v>
                </c:pt>
                <c:pt idx="66">
                  <c:v>-0.28791169614568607</c:v>
                </c:pt>
                <c:pt idx="67">
                  <c:v>0.2450836692138651</c:v>
                </c:pt>
                <c:pt idx="68">
                  <c:v>-1.5030339969976396E-2</c:v>
                </c:pt>
                <c:pt idx="69">
                  <c:v>-0.285741454943441</c:v>
                </c:pt>
                <c:pt idx="70">
                  <c:v>-0.25395201573657272</c:v>
                </c:pt>
                <c:pt idx="71">
                  <c:v>-4.9439277710890468E-2</c:v>
                </c:pt>
                <c:pt idx="72">
                  <c:v>-0.11151560833974376</c:v>
                </c:pt>
                <c:pt idx="73">
                  <c:v>0.29627196407930356</c:v>
                </c:pt>
                <c:pt idx="74">
                  <c:v>-0.52625628030993077</c:v>
                </c:pt>
                <c:pt idx="75">
                  <c:v>-0.66312936422745805</c:v>
                </c:pt>
                <c:pt idx="76">
                  <c:v>-0.47622970776957424</c:v>
                </c:pt>
                <c:pt idx="77">
                  <c:v>-0.4462829082695739</c:v>
                </c:pt>
                <c:pt idx="78">
                  <c:v>-0.40906924933787508</c:v>
                </c:pt>
                <c:pt idx="79">
                  <c:v>7.9814681907195109E-2</c:v>
                </c:pt>
                <c:pt idx="80">
                  <c:v>-0.26295722165430163</c:v>
                </c:pt>
                <c:pt idx="81">
                  <c:v>-0.22421191845928143</c:v>
                </c:pt>
                <c:pt idx="82">
                  <c:v>-3.3048400384957183E-2</c:v>
                </c:pt>
                <c:pt idx="83">
                  <c:v>-6.4499515570142385E-2</c:v>
                </c:pt>
                <c:pt idx="84">
                  <c:v>-5.8307716024687754E-2</c:v>
                </c:pt>
                <c:pt idx="85">
                  <c:v>6.9086017921365872E-2</c:v>
                </c:pt>
                <c:pt idx="86">
                  <c:v>0.4688222767666661</c:v>
                </c:pt>
                <c:pt idx="87">
                  <c:v>0.36335924846745338</c:v>
                </c:pt>
                <c:pt idx="88">
                  <c:v>0.15181803556114412</c:v>
                </c:pt>
                <c:pt idx="89">
                  <c:v>0.70305484047414346</c:v>
                </c:pt>
                <c:pt idx="90">
                  <c:v>0.6374326342241432</c:v>
                </c:pt>
                <c:pt idx="91">
                  <c:v>0.72656047783316557</c:v>
                </c:pt>
                <c:pt idx="92">
                  <c:v>0.74417595873357412</c:v>
                </c:pt>
                <c:pt idx="93">
                  <c:v>1.1703433010639093</c:v>
                </c:pt>
                <c:pt idx="94">
                  <c:v>1.2625378114986925</c:v>
                </c:pt>
                <c:pt idx="95">
                  <c:v>1.1468683436415501</c:v>
                </c:pt>
                <c:pt idx="96">
                  <c:v>1.3683193058385199</c:v>
                </c:pt>
                <c:pt idx="97">
                  <c:v>1.5148942392007387</c:v>
                </c:pt>
                <c:pt idx="98">
                  <c:v>1.2969641437819353</c:v>
                </c:pt>
                <c:pt idx="99">
                  <c:v>1.7219260563098986</c:v>
                </c:pt>
                <c:pt idx="100">
                  <c:v>1.607258734248044</c:v>
                </c:pt>
                <c:pt idx="101">
                  <c:v>1.6940388076778894</c:v>
                </c:pt>
                <c:pt idx="102">
                  <c:v>1.7955587784095961</c:v>
                </c:pt>
                <c:pt idx="103">
                  <c:v>1.9654616519289765</c:v>
                </c:pt>
                <c:pt idx="104">
                  <c:v>2.3057867243063357</c:v>
                </c:pt>
                <c:pt idx="105">
                  <c:v>1.8020771663301465</c:v>
                </c:pt>
                <c:pt idx="106">
                  <c:v>1.8650459328395805</c:v>
                </c:pt>
                <c:pt idx="107">
                  <c:v>1.7934862234974758</c:v>
                </c:pt>
                <c:pt idx="108">
                  <c:v>1.7317309125115603</c:v>
                </c:pt>
                <c:pt idx="109">
                  <c:v>1.8849008791962845</c:v>
                </c:pt>
                <c:pt idx="110">
                  <c:v>2.595886663528415</c:v>
                </c:pt>
                <c:pt idx="111">
                  <c:v>3.1717935289071502</c:v>
                </c:pt>
                <c:pt idx="112">
                  <c:v>2.8892923082511235</c:v>
                </c:pt>
                <c:pt idx="113">
                  <c:v>2.5957423515331715</c:v>
                </c:pt>
                <c:pt idx="114">
                  <c:v>2.9289586043849773</c:v>
                </c:pt>
                <c:pt idx="115">
                  <c:v>3.5189375050301419</c:v>
                </c:pt>
                <c:pt idx="116">
                  <c:v>4.3455882388673501</c:v>
                </c:pt>
                <c:pt idx="117">
                  <c:v>4.5527256855480216</c:v>
                </c:pt>
                <c:pt idx="118">
                  <c:v>4.9745711775324599</c:v>
                </c:pt>
                <c:pt idx="119">
                  <c:v>4.8141508738970114</c:v>
                </c:pt>
                <c:pt idx="120">
                  <c:v>4.8924699785604737</c:v>
                </c:pt>
                <c:pt idx="121">
                  <c:v>5.0258203524104124</c:v>
                </c:pt>
                <c:pt idx="122">
                  <c:v>5.9044942371042897</c:v>
                </c:pt>
                <c:pt idx="123">
                  <c:v>6.2953642685903572</c:v>
                </c:pt>
                <c:pt idx="124">
                  <c:v>6.365920657853323</c:v>
                </c:pt>
                <c:pt idx="125">
                  <c:v>6.2748314110785497</c:v>
                </c:pt>
                <c:pt idx="126">
                  <c:v>5.9465205503883052</c:v>
                </c:pt>
                <c:pt idx="127">
                  <c:v>5.5843709671911066</c:v>
                </c:pt>
                <c:pt idx="128">
                  <c:v>5.1902683249899679</c:v>
                </c:pt>
                <c:pt idx="129">
                  <c:v>5.9534213998772918</c:v>
                </c:pt>
                <c:pt idx="130">
                  <c:v>6.4984963866885934</c:v>
                </c:pt>
                <c:pt idx="131">
                  <c:v>7.447777361169039</c:v>
                </c:pt>
                <c:pt idx="132">
                  <c:v>7.6971035085413018</c:v>
                </c:pt>
                <c:pt idx="133">
                  <c:v>8.2895377464925204</c:v>
                </c:pt>
                <c:pt idx="134">
                  <c:v>8.6334749259760208</c:v>
                </c:pt>
                <c:pt idx="135">
                  <c:v>8.4990014992281964</c:v>
                </c:pt>
                <c:pt idx="136">
                  <c:v>8.6456591555558049</c:v>
                </c:pt>
                <c:pt idx="137">
                  <c:v>8.3958331008836726</c:v>
                </c:pt>
                <c:pt idx="138">
                  <c:v>8.603264085532853</c:v>
                </c:pt>
                <c:pt idx="139">
                  <c:v>8.0401359276146369</c:v>
                </c:pt>
                <c:pt idx="140">
                  <c:v>8.4695022806179381</c:v>
                </c:pt>
                <c:pt idx="141">
                  <c:v>8.7657624587928424</c:v>
                </c:pt>
                <c:pt idx="142">
                  <c:v>9.9782817880109818</c:v>
                </c:pt>
                <c:pt idx="143">
                  <c:v>9.8793770503420184</c:v>
                </c:pt>
                <c:pt idx="144">
                  <c:v>9.4843947605073069</c:v>
                </c:pt>
                <c:pt idx="145">
                  <c:v>9.642667227817503</c:v>
                </c:pt>
                <c:pt idx="146">
                  <c:v>9.7721664231943848</c:v>
                </c:pt>
                <c:pt idx="147">
                  <c:v>9.6961401083392147</c:v>
                </c:pt>
                <c:pt idx="148">
                  <c:v>9.7181834906182836</c:v>
                </c:pt>
                <c:pt idx="149">
                  <c:v>9.8298553811759035</c:v>
                </c:pt>
                <c:pt idx="150">
                  <c:v>9.4191982239455552</c:v>
                </c:pt>
                <c:pt idx="151">
                  <c:v>9.5759032039914782</c:v>
                </c:pt>
                <c:pt idx="152">
                  <c:v>9.2897854718205597</c:v>
                </c:pt>
                <c:pt idx="153">
                  <c:v>9.2866529210372715</c:v>
                </c:pt>
                <c:pt idx="154">
                  <c:v>9.1124711581129283</c:v>
                </c:pt>
                <c:pt idx="155">
                  <c:v>9.402643958311792</c:v>
                </c:pt>
                <c:pt idx="156">
                  <c:v>9.2322419833795522</c:v>
                </c:pt>
                <c:pt idx="157">
                  <c:v>9.3845398250297798</c:v>
                </c:pt>
                <c:pt idx="158">
                  <c:v>9.5444311187228905</c:v>
                </c:pt>
                <c:pt idx="159">
                  <c:v>9.5896392608498413</c:v>
                </c:pt>
                <c:pt idx="160">
                  <c:v>9.6405584236258335</c:v>
                </c:pt>
                <c:pt idx="161">
                  <c:v>9.6097106360816724</c:v>
                </c:pt>
                <c:pt idx="162">
                  <c:v>9.5145896813983608</c:v>
                </c:pt>
                <c:pt idx="163">
                  <c:v>9.431009082254235</c:v>
                </c:pt>
                <c:pt idx="164">
                  <c:v>9.8379495649242479</c:v>
                </c:pt>
                <c:pt idx="165">
                  <c:v>10.159302583725548</c:v>
                </c:pt>
                <c:pt idx="166">
                  <c:v>10.100684031258009</c:v>
                </c:pt>
                <c:pt idx="167">
                  <c:v>10.178626924959453</c:v>
                </c:pt>
                <c:pt idx="168">
                  <c:v>10.240103887657874</c:v>
                </c:pt>
                <c:pt idx="169">
                  <c:v>10.018740400415817</c:v>
                </c:pt>
                <c:pt idx="170">
                  <c:v>10.448598755528655</c:v>
                </c:pt>
                <c:pt idx="171">
                  <c:v>9.9862796698369785</c:v>
                </c:pt>
                <c:pt idx="172">
                  <c:v>9.8387387627701077</c:v>
                </c:pt>
                <c:pt idx="173">
                  <c:v>10.255617742372756</c:v>
                </c:pt>
                <c:pt idx="174">
                  <c:v>10.39251130380492</c:v>
                </c:pt>
                <c:pt idx="175">
                  <c:v>10.788050814084464</c:v>
                </c:pt>
                <c:pt idx="176">
                  <c:v>10.502970336907708</c:v>
                </c:pt>
                <c:pt idx="177">
                  <c:v>10.393656952505863</c:v>
                </c:pt>
                <c:pt idx="178">
                  <c:v>10.480948450320245</c:v>
                </c:pt>
                <c:pt idx="179">
                  <c:v>10.885378528376808</c:v>
                </c:pt>
                <c:pt idx="180">
                  <c:v>11.209128986112729</c:v>
                </c:pt>
                <c:pt idx="181">
                  <c:v>11.074066294037864</c:v>
                </c:pt>
                <c:pt idx="182">
                  <c:v>11.009108245319261</c:v>
                </c:pt>
                <c:pt idx="183">
                  <c:v>10.50471609831926</c:v>
                </c:pt>
                <c:pt idx="184">
                  <c:v>10.969523784655969</c:v>
                </c:pt>
                <c:pt idx="185">
                  <c:v>10.626045532341431</c:v>
                </c:pt>
                <c:pt idx="186">
                  <c:v>11.720514360007883</c:v>
                </c:pt>
                <c:pt idx="187">
                  <c:v>11.152265173176611</c:v>
                </c:pt>
                <c:pt idx="188">
                  <c:v>11.29313081294595</c:v>
                </c:pt>
                <c:pt idx="189">
                  <c:v>11.054041374772456</c:v>
                </c:pt>
                <c:pt idx="190">
                  <c:v>11.07633032717532</c:v>
                </c:pt>
                <c:pt idx="191">
                  <c:v>11.41955314673571</c:v>
                </c:pt>
                <c:pt idx="192">
                  <c:v>11.235022601311977</c:v>
                </c:pt>
                <c:pt idx="193">
                  <c:v>11.138143006585121</c:v>
                </c:pt>
                <c:pt idx="194">
                  <c:v>11.269353262181651</c:v>
                </c:pt>
                <c:pt idx="195">
                  <c:v>11.109198957390532</c:v>
                </c:pt>
                <c:pt idx="196">
                  <c:v>11.350712553638783</c:v>
                </c:pt>
                <c:pt idx="197">
                  <c:v>11.489410422415961</c:v>
                </c:pt>
                <c:pt idx="198">
                  <c:v>11.318100077087843</c:v>
                </c:pt>
                <c:pt idx="199">
                  <c:v>11.522696106945252</c:v>
                </c:pt>
                <c:pt idx="200">
                  <c:v>11.62615869703462</c:v>
                </c:pt>
                <c:pt idx="201">
                  <c:v>11.593457501236108</c:v>
                </c:pt>
                <c:pt idx="202">
                  <c:v>11.826152360209205</c:v>
                </c:pt>
                <c:pt idx="203">
                  <c:v>11.548335530536068</c:v>
                </c:pt>
                <c:pt idx="204">
                  <c:v>11.507701276855721</c:v>
                </c:pt>
                <c:pt idx="205">
                  <c:v>11.751008712335555</c:v>
                </c:pt>
                <c:pt idx="206">
                  <c:v>11.584559772462889</c:v>
                </c:pt>
                <c:pt idx="207">
                  <c:v>11.441161962210058</c:v>
                </c:pt>
                <c:pt idx="208">
                  <c:v>11.155950869384366</c:v>
                </c:pt>
                <c:pt idx="209">
                  <c:v>11.210835926278563</c:v>
                </c:pt>
                <c:pt idx="210">
                  <c:v>10.86468365467724</c:v>
                </c:pt>
                <c:pt idx="211">
                  <c:v>10.350759197865266</c:v>
                </c:pt>
                <c:pt idx="212">
                  <c:v>10.097837546374356</c:v>
                </c:pt>
                <c:pt idx="213">
                  <c:v>10.095397743888052</c:v>
                </c:pt>
                <c:pt idx="214">
                  <c:v>9.8267529234137108</c:v>
                </c:pt>
                <c:pt idx="215">
                  <c:v>9.6274876038668538</c:v>
                </c:pt>
                <c:pt idx="216">
                  <c:v>9.5139187559108631</c:v>
                </c:pt>
                <c:pt idx="217">
                  <c:v>9.9261469690376423</c:v>
                </c:pt>
                <c:pt idx="218">
                  <c:v>9.4289324373462691</c:v>
                </c:pt>
                <c:pt idx="219">
                  <c:v>9.0982550239799203</c:v>
                </c:pt>
                <c:pt idx="220">
                  <c:v>9.0193479688145342</c:v>
                </c:pt>
                <c:pt idx="221">
                  <c:v>9.5792671531282618</c:v>
                </c:pt>
                <c:pt idx="222">
                  <c:v>9.207376179075629</c:v>
                </c:pt>
                <c:pt idx="223">
                  <c:v>9.6700991218511376</c:v>
                </c:pt>
                <c:pt idx="224">
                  <c:v>9.8795234210089315</c:v>
                </c:pt>
                <c:pt idx="225">
                  <c:v>9.9944681180414729</c:v>
                </c:pt>
                <c:pt idx="226">
                  <c:v>10.035439675136219</c:v>
                </c:pt>
                <c:pt idx="227">
                  <c:v>9.9728851204827951</c:v>
                </c:pt>
                <c:pt idx="228">
                  <c:v>9.9002490663030542</c:v>
                </c:pt>
                <c:pt idx="229">
                  <c:v>9.6839824716631355</c:v>
                </c:pt>
                <c:pt idx="230">
                  <c:v>9.9373380947036232</c:v>
                </c:pt>
                <c:pt idx="231">
                  <c:v>10.157388967983188</c:v>
                </c:pt>
                <c:pt idx="232">
                  <c:v>10.398855738941451</c:v>
                </c:pt>
                <c:pt idx="233">
                  <c:v>10.404927729228874</c:v>
                </c:pt>
                <c:pt idx="234">
                  <c:v>9.9934136136045115</c:v>
                </c:pt>
                <c:pt idx="235">
                  <c:v>10.351133036975963</c:v>
                </c:pt>
                <c:pt idx="236">
                  <c:v>10.418703973072075</c:v>
                </c:pt>
                <c:pt idx="237">
                  <c:v>10.789308703276349</c:v>
                </c:pt>
                <c:pt idx="238">
                  <c:v>10.848233894341254</c:v>
                </c:pt>
                <c:pt idx="239">
                  <c:v>10.623166786250108</c:v>
                </c:pt>
                <c:pt idx="240">
                  <c:v>10.15176190325356</c:v>
                </c:pt>
                <c:pt idx="241">
                  <c:v>10.015557866011196</c:v>
                </c:pt>
                <c:pt idx="242">
                  <c:v>9.7213342503160494</c:v>
                </c:pt>
                <c:pt idx="243">
                  <c:v>9.5180192883825203</c:v>
                </c:pt>
                <c:pt idx="244">
                  <c:v>10.350207541004339</c:v>
                </c:pt>
                <c:pt idx="245">
                  <c:v>9.8671467231782621</c:v>
                </c:pt>
                <c:pt idx="246">
                  <c:v>10.255322856735887</c:v>
                </c:pt>
                <c:pt idx="247">
                  <c:v>9.7033356844651628</c:v>
                </c:pt>
                <c:pt idx="248">
                  <c:v>9.5504002015062159</c:v>
                </c:pt>
                <c:pt idx="249">
                  <c:v>9.0333046951692957</c:v>
                </c:pt>
                <c:pt idx="250">
                  <c:v>9.1049883692884013</c:v>
                </c:pt>
                <c:pt idx="251">
                  <c:v>9.6327268676698647</c:v>
                </c:pt>
                <c:pt idx="252">
                  <c:v>9.7623774592670234</c:v>
                </c:pt>
                <c:pt idx="253">
                  <c:v>9.6977387498734213</c:v>
                </c:pt>
                <c:pt idx="254">
                  <c:v>9.9802876020458253</c:v>
                </c:pt>
                <c:pt idx="255">
                  <c:v>9.7332374813707663</c:v>
                </c:pt>
                <c:pt idx="256">
                  <c:v>9.7934746299025139</c:v>
                </c:pt>
                <c:pt idx="257">
                  <c:v>10.2013773386122</c:v>
                </c:pt>
                <c:pt idx="258">
                  <c:v>10.253378404867769</c:v>
                </c:pt>
                <c:pt idx="259">
                  <c:v>10.261947198971706</c:v>
                </c:pt>
                <c:pt idx="260">
                  <c:v>10.297576373933065</c:v>
                </c:pt>
                <c:pt idx="261">
                  <c:v>10.512836252831715</c:v>
                </c:pt>
                <c:pt idx="262">
                  <c:v>10.358574737237145</c:v>
                </c:pt>
                <c:pt idx="263">
                  <c:v>10.487289431444239</c:v>
                </c:pt>
                <c:pt idx="264">
                  <c:v>10.512195325750191</c:v>
                </c:pt>
                <c:pt idx="265">
                  <c:v>10.592588372430116</c:v>
                </c:pt>
                <c:pt idx="266">
                  <c:v>10.606252979953549</c:v>
                </c:pt>
                <c:pt idx="267">
                  <c:v>10.808978664043085</c:v>
                </c:pt>
                <c:pt idx="268">
                  <c:v>10.664627022587355</c:v>
                </c:pt>
                <c:pt idx="269">
                  <c:v>11.094746447467356</c:v>
                </c:pt>
                <c:pt idx="270">
                  <c:v>11.418493028305043</c:v>
                </c:pt>
                <c:pt idx="271">
                  <c:v>11.627232989020046</c:v>
                </c:pt>
                <c:pt idx="272">
                  <c:v>11.280181624720321</c:v>
                </c:pt>
                <c:pt idx="273">
                  <c:v>11.099912661242303</c:v>
                </c:pt>
                <c:pt idx="274">
                  <c:v>11.490494162741845</c:v>
                </c:pt>
                <c:pt idx="275">
                  <c:v>11.622133346617074</c:v>
                </c:pt>
                <c:pt idx="276">
                  <c:v>10.718196614624919</c:v>
                </c:pt>
                <c:pt idx="277">
                  <c:v>10.099706568768907</c:v>
                </c:pt>
                <c:pt idx="278">
                  <c:v>10.241175629866504</c:v>
                </c:pt>
                <c:pt idx="279">
                  <c:v>10.436050700051522</c:v>
                </c:pt>
                <c:pt idx="280">
                  <c:v>9.9572275052182118</c:v>
                </c:pt>
                <c:pt idx="281">
                  <c:v>10.347046672707927</c:v>
                </c:pt>
                <c:pt idx="282">
                  <c:v>10.769772628942061</c:v>
                </c:pt>
                <c:pt idx="283">
                  <c:v>10.305706211236886</c:v>
                </c:pt>
                <c:pt idx="284">
                  <c:v>10.639955584853796</c:v>
                </c:pt>
                <c:pt idx="285">
                  <c:v>10.711347643445629</c:v>
                </c:pt>
                <c:pt idx="286">
                  <c:v>10.816358754412731</c:v>
                </c:pt>
                <c:pt idx="287">
                  <c:v>11.038658590089067</c:v>
                </c:pt>
                <c:pt idx="288">
                  <c:v>10.709205836568188</c:v>
                </c:pt>
                <c:pt idx="289">
                  <c:v>10.681714653256128</c:v>
                </c:pt>
                <c:pt idx="290">
                  <c:v>10.676115354752278</c:v>
                </c:pt>
                <c:pt idx="291">
                  <c:v>11.005949272033094</c:v>
                </c:pt>
                <c:pt idx="292">
                  <c:v>11.072043949578465</c:v>
                </c:pt>
                <c:pt idx="293">
                  <c:v>11.216772873111106</c:v>
                </c:pt>
                <c:pt idx="294">
                  <c:v>11.239635831449785</c:v>
                </c:pt>
                <c:pt idx="295">
                  <c:v>11.391988753490082</c:v>
                </c:pt>
                <c:pt idx="296">
                  <c:v>11.588523888347655</c:v>
                </c:pt>
                <c:pt idx="297">
                  <c:v>11.86571036610291</c:v>
                </c:pt>
                <c:pt idx="298">
                  <c:v>12.02052771154975</c:v>
                </c:pt>
                <c:pt idx="299">
                  <c:v>11.705561415982741</c:v>
                </c:pt>
                <c:pt idx="300">
                  <c:v>12.085117627057375</c:v>
                </c:pt>
                <c:pt idx="301">
                  <c:v>12.352818947553491</c:v>
                </c:pt>
                <c:pt idx="302">
                  <c:v>12.554948788783001</c:v>
                </c:pt>
                <c:pt idx="303">
                  <c:v>13.308595086398658</c:v>
                </c:pt>
                <c:pt idx="304">
                  <c:v>13.223123130443861</c:v>
                </c:pt>
                <c:pt idx="305">
                  <c:v>13.031210141677022</c:v>
                </c:pt>
                <c:pt idx="306">
                  <c:v>13.3593232839125</c:v>
                </c:pt>
                <c:pt idx="307">
                  <c:v>12.998908410278304</c:v>
                </c:pt>
                <c:pt idx="308">
                  <c:v>12.813422855807978</c:v>
                </c:pt>
                <c:pt idx="309">
                  <c:v>12.732364631101275</c:v>
                </c:pt>
                <c:pt idx="310">
                  <c:v>12.977877467132483</c:v>
                </c:pt>
                <c:pt idx="311">
                  <c:v>13.243083374894219</c:v>
                </c:pt>
                <c:pt idx="312">
                  <c:v>13.42914862587784</c:v>
                </c:pt>
                <c:pt idx="313">
                  <c:v>12.994020473047183</c:v>
                </c:pt>
                <c:pt idx="314">
                  <c:v>13.344265101746242</c:v>
                </c:pt>
                <c:pt idx="315">
                  <c:v>13.426403115063213</c:v>
                </c:pt>
                <c:pt idx="316">
                  <c:v>13.768019069987133</c:v>
                </c:pt>
                <c:pt idx="317">
                  <c:v>13.554370639158289</c:v>
                </c:pt>
                <c:pt idx="318">
                  <c:v>13.541974704571711</c:v>
                </c:pt>
                <c:pt idx="319">
                  <c:v>13.651396272869883</c:v>
                </c:pt>
                <c:pt idx="320">
                  <c:v>13.576542384082593</c:v>
                </c:pt>
                <c:pt idx="321">
                  <c:v>12.974990672178704</c:v>
                </c:pt>
                <c:pt idx="322">
                  <c:v>12.404981336150541</c:v>
                </c:pt>
                <c:pt idx="323">
                  <c:v>12.42051220982105</c:v>
                </c:pt>
                <c:pt idx="324">
                  <c:v>12.280480849715989</c:v>
                </c:pt>
                <c:pt idx="325">
                  <c:v>12.94571787968005</c:v>
                </c:pt>
                <c:pt idx="326">
                  <c:v>12.263272107036999</c:v>
                </c:pt>
                <c:pt idx="327">
                  <c:v>12.220252878579403</c:v>
                </c:pt>
                <c:pt idx="328">
                  <c:v>12.044098718752261</c:v>
                </c:pt>
                <c:pt idx="329">
                  <c:v>11.539013018232069</c:v>
                </c:pt>
                <c:pt idx="330">
                  <c:v>12.102076335032034</c:v>
                </c:pt>
                <c:pt idx="331">
                  <c:v>11.473332390762419</c:v>
                </c:pt>
                <c:pt idx="332">
                  <c:v>10.988531741989897</c:v>
                </c:pt>
                <c:pt idx="333">
                  <c:v>10.684580079208777</c:v>
                </c:pt>
                <c:pt idx="334">
                  <c:v>10.735704481920642</c:v>
                </c:pt>
                <c:pt idx="335">
                  <c:v>10.33376318274617</c:v>
                </c:pt>
                <c:pt idx="336">
                  <c:v>10.249398583762826</c:v>
                </c:pt>
                <c:pt idx="337">
                  <c:v>10.642417080303565</c:v>
                </c:pt>
                <c:pt idx="338">
                  <c:v>10.797556272566753</c:v>
                </c:pt>
                <c:pt idx="339">
                  <c:v>10.820903341675594</c:v>
                </c:pt>
                <c:pt idx="340">
                  <c:v>10.47869852938469</c:v>
                </c:pt>
                <c:pt idx="341">
                  <c:v>10.436441003951904</c:v>
                </c:pt>
                <c:pt idx="342">
                  <c:v>10.524283706531058</c:v>
                </c:pt>
                <c:pt idx="343">
                  <c:v>10.569039785857081</c:v>
                </c:pt>
                <c:pt idx="344">
                  <c:v>9.638915871449079</c:v>
                </c:pt>
                <c:pt idx="345">
                  <c:v>9.5366761737550565</c:v>
                </c:pt>
                <c:pt idx="346">
                  <c:v>9.7263145873132117</c:v>
                </c:pt>
                <c:pt idx="347">
                  <c:v>9.6262779670360512</c:v>
                </c:pt>
                <c:pt idx="348">
                  <c:v>9.9308250110813656</c:v>
                </c:pt>
                <c:pt idx="349">
                  <c:v>9.7288818381244422</c:v>
                </c:pt>
                <c:pt idx="350">
                  <c:v>9.5851003454146539</c:v>
                </c:pt>
                <c:pt idx="351">
                  <c:v>9.7074400523823972</c:v>
                </c:pt>
                <c:pt idx="352">
                  <c:v>9.7480656615539232</c:v>
                </c:pt>
                <c:pt idx="353">
                  <c:v>9.4217294542404346</c:v>
                </c:pt>
                <c:pt idx="354">
                  <c:v>8.8652485072363465</c:v>
                </c:pt>
                <c:pt idx="355">
                  <c:v>8.4209102890106404</c:v>
                </c:pt>
                <c:pt idx="356">
                  <c:v>8.2187012322113198</c:v>
                </c:pt>
                <c:pt idx="357">
                  <c:v>7.7196926301960014</c:v>
                </c:pt>
                <c:pt idx="358">
                  <c:v>7.4931216030016152</c:v>
                </c:pt>
                <c:pt idx="359">
                  <c:v>6.2319781811176211</c:v>
                </c:pt>
                <c:pt idx="360">
                  <c:v>6.1358137348988704</c:v>
                </c:pt>
                <c:pt idx="361">
                  <c:v>5.9540117966152133</c:v>
                </c:pt>
                <c:pt idx="362">
                  <c:v>6.1038007529766132</c:v>
                </c:pt>
                <c:pt idx="363">
                  <c:v>6.4518744510850876</c:v>
                </c:pt>
                <c:pt idx="364">
                  <c:v>5.9556040193720561</c:v>
                </c:pt>
                <c:pt idx="365">
                  <c:v>6.1897290696073508</c:v>
                </c:pt>
                <c:pt idx="366">
                  <c:v>6.372530051443877</c:v>
                </c:pt>
                <c:pt idx="367">
                  <c:v>6.1254214499361854</c:v>
                </c:pt>
                <c:pt idx="368">
                  <c:v>6.3245962763304435</c:v>
                </c:pt>
                <c:pt idx="369">
                  <c:v>6.3599905044614724</c:v>
                </c:pt>
                <c:pt idx="370">
                  <c:v>6.3512598303464278</c:v>
                </c:pt>
                <c:pt idx="371">
                  <c:v>6.189708175641333</c:v>
                </c:pt>
                <c:pt idx="372">
                  <c:v>6.4337219709746662</c:v>
                </c:pt>
                <c:pt idx="373">
                  <c:v>6.3755195553430291</c:v>
                </c:pt>
                <c:pt idx="374">
                  <c:v>6.7443021508129402</c:v>
                </c:pt>
                <c:pt idx="375">
                  <c:v>6.658440416695294</c:v>
                </c:pt>
                <c:pt idx="376">
                  <c:v>6.3792017045313933</c:v>
                </c:pt>
                <c:pt idx="377">
                  <c:v>6.5943196045346406</c:v>
                </c:pt>
                <c:pt idx="378">
                  <c:v>5.8863958101458378</c:v>
                </c:pt>
                <c:pt idx="379">
                  <c:v>5.6273143086517194</c:v>
                </c:pt>
                <c:pt idx="380">
                  <c:v>5.4376621366767832</c:v>
                </c:pt>
                <c:pt idx="381">
                  <c:v>5.5224432063451259</c:v>
                </c:pt>
                <c:pt idx="382">
                  <c:v>5.54598989820132</c:v>
                </c:pt>
                <c:pt idx="383">
                  <c:v>5.5707436096963452</c:v>
                </c:pt>
                <c:pt idx="384">
                  <c:v>5.7508592534505372</c:v>
                </c:pt>
                <c:pt idx="385">
                  <c:v>5.7526984870270876</c:v>
                </c:pt>
                <c:pt idx="386">
                  <c:v>5.9452121377000324</c:v>
                </c:pt>
                <c:pt idx="387">
                  <c:v>5.474967936144477</c:v>
                </c:pt>
                <c:pt idx="388">
                  <c:v>5.3514415096540926</c:v>
                </c:pt>
                <c:pt idx="389">
                  <c:v>5.4863056301828568</c:v>
                </c:pt>
                <c:pt idx="390">
                  <c:v>5.3404549118722677</c:v>
                </c:pt>
                <c:pt idx="391">
                  <c:v>5.4357029248062485</c:v>
                </c:pt>
                <c:pt idx="392">
                  <c:v>5.4673232234823965</c:v>
                </c:pt>
                <c:pt idx="393">
                  <c:v>5.5168660645959813</c:v>
                </c:pt>
                <c:pt idx="394">
                  <c:v>5.4871360159885327</c:v>
                </c:pt>
                <c:pt idx="395">
                  <c:v>5.6300034226240054</c:v>
                </c:pt>
                <c:pt idx="396">
                  <c:v>5.6977271148088962</c:v>
                </c:pt>
                <c:pt idx="397">
                  <c:v>5.6957875656755625</c:v>
                </c:pt>
                <c:pt idx="398">
                  <c:v>5.7504103850144599</c:v>
                </c:pt>
                <c:pt idx="399">
                  <c:v>5.6280874636472893</c:v>
                </c:pt>
                <c:pt idx="400">
                  <c:v>5.4315348729114401</c:v>
                </c:pt>
                <c:pt idx="401">
                  <c:v>5.6226751962615982</c:v>
                </c:pt>
                <c:pt idx="402">
                  <c:v>5.5126475035571572</c:v>
                </c:pt>
                <c:pt idx="403">
                  <c:v>5.5787345355380005</c:v>
                </c:pt>
                <c:pt idx="404">
                  <c:v>5.7288693084610767</c:v>
                </c:pt>
                <c:pt idx="405">
                  <c:v>5.9139827075518401</c:v>
                </c:pt>
                <c:pt idx="406">
                  <c:v>5.852982050068233</c:v>
                </c:pt>
                <c:pt idx="407">
                  <c:v>5.7790319929253755</c:v>
                </c:pt>
                <c:pt idx="408">
                  <c:v>5.6210597516157383</c:v>
                </c:pt>
                <c:pt idx="409">
                  <c:v>5.6541144022164227</c:v>
                </c:pt>
                <c:pt idx="410">
                  <c:v>5.7714265026374756</c:v>
                </c:pt>
                <c:pt idx="411">
                  <c:v>5.7085198665582686</c:v>
                </c:pt>
                <c:pt idx="412">
                  <c:v>5.9355412828995</c:v>
                </c:pt>
                <c:pt idx="413">
                  <c:v>5.8518909040844322</c:v>
                </c:pt>
                <c:pt idx="414">
                  <c:v>5.8124371190519835</c:v>
                </c:pt>
                <c:pt idx="415">
                  <c:v>5.606730613785909</c:v>
                </c:pt>
                <c:pt idx="416">
                  <c:v>5.7830831824267923</c:v>
                </c:pt>
                <c:pt idx="417">
                  <c:v>5.6639450967888001</c:v>
                </c:pt>
                <c:pt idx="418">
                  <c:v>5.7423170869915019</c:v>
                </c:pt>
                <c:pt idx="419">
                  <c:v>5.5743866735653427</c:v>
                </c:pt>
                <c:pt idx="420">
                  <c:v>5.8151596263678913</c:v>
                </c:pt>
                <c:pt idx="421">
                  <c:v>5.8390745459665538</c:v>
                </c:pt>
                <c:pt idx="422">
                  <c:v>5.6846858813039445</c:v>
                </c:pt>
                <c:pt idx="423">
                  <c:v>5.839737109860617</c:v>
                </c:pt>
                <c:pt idx="424">
                  <c:v>5.7594226138138875</c:v>
                </c:pt>
                <c:pt idx="425">
                  <c:v>5.8176986945675111</c:v>
                </c:pt>
                <c:pt idx="426">
                  <c:v>5.5201915854766019</c:v>
                </c:pt>
                <c:pt idx="427">
                  <c:v>5.4623564932270048</c:v>
                </c:pt>
                <c:pt idx="428">
                  <c:v>5.8157046093785203</c:v>
                </c:pt>
                <c:pt idx="429">
                  <c:v>6.1008259334694301</c:v>
                </c:pt>
                <c:pt idx="430">
                  <c:v>5.9960428185419143</c:v>
                </c:pt>
                <c:pt idx="431">
                  <c:v>5.4914218863419135</c:v>
                </c:pt>
                <c:pt idx="432">
                  <c:v>5.7582891644256033</c:v>
                </c:pt>
                <c:pt idx="433">
                  <c:v>5.3200454587532526</c:v>
                </c:pt>
                <c:pt idx="434">
                  <c:v>5.349038203524958</c:v>
                </c:pt>
                <c:pt idx="435">
                  <c:v>5.0751257406659036</c:v>
                </c:pt>
                <c:pt idx="436">
                  <c:v>5.2609677069782661</c:v>
                </c:pt>
                <c:pt idx="437">
                  <c:v>4.6913876942716142</c:v>
                </c:pt>
                <c:pt idx="438">
                  <c:v>4.7668416603374455</c:v>
                </c:pt>
                <c:pt idx="439">
                  <c:v>4.8707968619294117</c:v>
                </c:pt>
                <c:pt idx="440">
                  <c:v>4.8336191516531262</c:v>
                </c:pt>
                <c:pt idx="441">
                  <c:v>4.699848285083279</c:v>
                </c:pt>
                <c:pt idx="442">
                  <c:v>4.9342078030224084</c:v>
                </c:pt>
                <c:pt idx="443">
                  <c:v>5.2096404304998156</c:v>
                </c:pt>
                <c:pt idx="444">
                  <c:v>5.0584842985767393</c:v>
                </c:pt>
                <c:pt idx="445">
                  <c:v>4.8851545708494664</c:v>
                </c:pt>
                <c:pt idx="446">
                  <c:v>4.8918906905391211</c:v>
                </c:pt>
                <c:pt idx="447">
                  <c:v>5.2588824464728443</c:v>
                </c:pt>
                <c:pt idx="448">
                  <c:v>5.0820640406333375</c:v>
                </c:pt>
                <c:pt idx="449">
                  <c:v>4.9742596584438639</c:v>
                </c:pt>
                <c:pt idx="450">
                  <c:v>4.7833310280399548</c:v>
                </c:pt>
                <c:pt idx="451">
                  <c:v>5.011298078039955</c:v>
                </c:pt>
                <c:pt idx="452">
                  <c:v>5.3305707519945749</c:v>
                </c:pt>
                <c:pt idx="453">
                  <c:v>5.2421958412102612</c:v>
                </c:pt>
                <c:pt idx="454">
                  <c:v>5.4491988272902621</c:v>
                </c:pt>
                <c:pt idx="455">
                  <c:v>5.3860427200312966</c:v>
                </c:pt>
                <c:pt idx="456">
                  <c:v>5.3765936940416061</c:v>
                </c:pt>
                <c:pt idx="457">
                  <c:v>5.4128648964136996</c:v>
                </c:pt>
                <c:pt idx="458">
                  <c:v>5.4579336353080912</c:v>
                </c:pt>
                <c:pt idx="459">
                  <c:v>5.6724889871565312</c:v>
                </c:pt>
                <c:pt idx="460">
                  <c:v>6.0339033201476813</c:v>
                </c:pt>
                <c:pt idx="461">
                  <c:v>5.8512624415101406</c:v>
                </c:pt>
                <c:pt idx="462">
                  <c:v>5.5919137385877749</c:v>
                </c:pt>
                <c:pt idx="463">
                  <c:v>5.5021380759752301</c:v>
                </c:pt>
                <c:pt idx="464">
                  <c:v>5.7101065781526952</c:v>
                </c:pt>
                <c:pt idx="465">
                  <c:v>5.987770689126477</c:v>
                </c:pt>
                <c:pt idx="466">
                  <c:v>5.8950835459637707</c:v>
                </c:pt>
                <c:pt idx="467">
                  <c:v>5.8591996837425331</c:v>
                </c:pt>
                <c:pt idx="468">
                  <c:v>5.6683077171405909</c:v>
                </c:pt>
                <c:pt idx="469">
                  <c:v>6.0249633831708946</c:v>
                </c:pt>
                <c:pt idx="470">
                  <c:v>6.0054388152398595</c:v>
                </c:pt>
                <c:pt idx="471">
                  <c:v>6.0095843067229104</c:v>
                </c:pt>
                <c:pt idx="472">
                  <c:v>6.1664405836270646</c:v>
                </c:pt>
                <c:pt idx="473">
                  <c:v>6.3906841180772362</c:v>
                </c:pt>
                <c:pt idx="474">
                  <c:v>6.2456754254001075</c:v>
                </c:pt>
                <c:pt idx="475">
                  <c:v>6.4457399051201074</c:v>
                </c:pt>
                <c:pt idx="476">
                  <c:v>6.3197037929641846</c:v>
                </c:pt>
                <c:pt idx="477">
                  <c:v>6.1235593975527731</c:v>
                </c:pt>
                <c:pt idx="478">
                  <c:v>5.8997649192823491</c:v>
                </c:pt>
                <c:pt idx="479">
                  <c:v>6.1679701387792205</c:v>
                </c:pt>
                <c:pt idx="480">
                  <c:v>6.2668583653976055</c:v>
                </c:pt>
                <c:pt idx="481">
                  <c:v>6.0750589161118915</c:v>
                </c:pt>
                <c:pt idx="482">
                  <c:v>6.3306187482824336</c:v>
                </c:pt>
                <c:pt idx="483">
                  <c:v>6.525628909829293</c:v>
                </c:pt>
                <c:pt idx="484">
                  <c:v>6.7548984531449072</c:v>
                </c:pt>
                <c:pt idx="485">
                  <c:v>6.9804102217791923</c:v>
                </c:pt>
                <c:pt idx="486">
                  <c:v>6.7062826809820386</c:v>
                </c:pt>
                <c:pt idx="487">
                  <c:v>6.7989731073267921</c:v>
                </c:pt>
                <c:pt idx="488">
                  <c:v>6.6820552594808706</c:v>
                </c:pt>
                <c:pt idx="489">
                  <c:v>6.7756833720899783</c:v>
                </c:pt>
                <c:pt idx="490">
                  <c:v>6.5213472149876388</c:v>
                </c:pt>
                <c:pt idx="491">
                  <c:v>6.2723243705302263</c:v>
                </c:pt>
                <c:pt idx="492">
                  <c:v>6.5095177616980244</c:v>
                </c:pt>
                <c:pt idx="493">
                  <c:v>6.5175292403629594</c:v>
                </c:pt>
                <c:pt idx="494">
                  <c:v>6.8791813618335</c:v>
                </c:pt>
                <c:pt idx="495">
                  <c:v>6.9183444247659898</c:v>
                </c:pt>
                <c:pt idx="496">
                  <c:v>6.9332118798025526</c:v>
                </c:pt>
                <c:pt idx="497">
                  <c:v>7.061031916682313</c:v>
                </c:pt>
                <c:pt idx="498">
                  <c:v>6.9714823438583702</c:v>
                </c:pt>
                <c:pt idx="499">
                  <c:v>6.7874542759273355</c:v>
                </c:pt>
                <c:pt idx="500">
                  <c:v>7.1449213196179073</c:v>
                </c:pt>
                <c:pt idx="501">
                  <c:v>7.3926216792716524</c:v>
                </c:pt>
                <c:pt idx="502">
                  <c:v>7.5880469556687622</c:v>
                </c:pt>
                <c:pt idx="503">
                  <c:v>7.4604582383213938</c:v>
                </c:pt>
                <c:pt idx="504">
                  <c:v>7.4797509759293233</c:v>
                </c:pt>
                <c:pt idx="505">
                  <c:v>7.4414714065604404</c:v>
                </c:pt>
                <c:pt idx="506">
                  <c:v>7.4425332078220263</c:v>
                </c:pt>
                <c:pt idx="507">
                  <c:v>7.5841288826706119</c:v>
                </c:pt>
                <c:pt idx="508">
                  <c:v>7.2518653879447488</c:v>
                </c:pt>
                <c:pt idx="509">
                  <c:v>7.0165824300343376</c:v>
                </c:pt>
                <c:pt idx="510">
                  <c:v>7.1429670511222989</c:v>
                </c:pt>
                <c:pt idx="511">
                  <c:v>6.9304059595620995</c:v>
                </c:pt>
                <c:pt idx="512">
                  <c:v>7.2361032434055161</c:v>
                </c:pt>
                <c:pt idx="513">
                  <c:v>7.2803702508016901</c:v>
                </c:pt>
                <c:pt idx="514">
                  <c:v>7.6129657691692714</c:v>
                </c:pt>
                <c:pt idx="515">
                  <c:v>7.904016915533342</c:v>
                </c:pt>
                <c:pt idx="516">
                  <c:v>7.7488582535169934</c:v>
                </c:pt>
                <c:pt idx="517">
                  <c:v>7.7256375145210461</c:v>
                </c:pt>
                <c:pt idx="518">
                  <c:v>7.6836516182228802</c:v>
                </c:pt>
                <c:pt idx="519">
                  <c:v>7.8893603101834069</c:v>
                </c:pt>
                <c:pt idx="520">
                  <c:v>8.2017406366400767</c:v>
                </c:pt>
                <c:pt idx="521">
                  <c:v>8.2785034016214798</c:v>
                </c:pt>
                <c:pt idx="522">
                  <c:v>8.1332291973055568</c:v>
                </c:pt>
                <c:pt idx="523">
                  <c:v>8.3572874382167086</c:v>
                </c:pt>
                <c:pt idx="524">
                  <c:v>7.6172168819154962</c:v>
                </c:pt>
                <c:pt idx="525">
                  <c:v>8.3914381525724604</c:v>
                </c:pt>
                <c:pt idx="526">
                  <c:v>9.0153411203196701</c:v>
                </c:pt>
                <c:pt idx="527">
                  <c:v>9.4960753976858054</c:v>
                </c:pt>
                <c:pt idx="528">
                  <c:v>10.112211326317697</c:v>
                </c:pt>
                <c:pt idx="529">
                  <c:v>9.6818308457700617</c:v>
                </c:pt>
                <c:pt idx="530">
                  <c:v>9.5636498437331667</c:v>
                </c:pt>
                <c:pt idx="531">
                  <c:v>9.3535302403999037</c:v>
                </c:pt>
                <c:pt idx="532">
                  <c:v>9.0940155544007446</c:v>
                </c:pt>
                <c:pt idx="533">
                  <c:v>9.2202299492736248</c:v>
                </c:pt>
                <c:pt idx="534">
                  <c:v>9.0958050899273424</c:v>
                </c:pt>
                <c:pt idx="535">
                  <c:v>9.3438318160673415</c:v>
                </c:pt>
                <c:pt idx="536">
                  <c:v>8.915474744121612</c:v>
                </c:pt>
                <c:pt idx="537">
                  <c:v>8.6714465967352758</c:v>
                </c:pt>
                <c:pt idx="538">
                  <c:v>8.8671014765202951</c:v>
                </c:pt>
                <c:pt idx="539">
                  <c:v>8.7871840896793199</c:v>
                </c:pt>
                <c:pt idx="540">
                  <c:v>8.4140320973683167</c:v>
                </c:pt>
                <c:pt idx="541">
                  <c:v>7.9360529201052836</c:v>
                </c:pt>
                <c:pt idx="542">
                  <c:v>7.7148723264916095</c:v>
                </c:pt>
                <c:pt idx="543">
                  <c:v>7.8577157435122773</c:v>
                </c:pt>
                <c:pt idx="544">
                  <c:v>7.8119288592567493</c:v>
                </c:pt>
                <c:pt idx="545">
                  <c:v>7.8920000117795457</c:v>
                </c:pt>
                <c:pt idx="546">
                  <c:v>8.1624152704890118</c:v>
                </c:pt>
                <c:pt idx="547">
                  <c:v>7.8399643788223452</c:v>
                </c:pt>
                <c:pt idx="548">
                  <c:v>8.1650216834760485</c:v>
                </c:pt>
                <c:pt idx="549">
                  <c:v>7.5747137228063748</c:v>
                </c:pt>
                <c:pt idx="550">
                  <c:v>6.9642366477927116</c:v>
                </c:pt>
                <c:pt idx="551">
                  <c:v>6.7462733714533893</c:v>
                </c:pt>
                <c:pt idx="552">
                  <c:v>7.122389231678155</c:v>
                </c:pt>
                <c:pt idx="553">
                  <c:v>7.3472063443781543</c:v>
                </c:pt>
                <c:pt idx="554">
                  <c:v>7.2711852026260875</c:v>
                </c:pt>
                <c:pt idx="555">
                  <c:v>7.4523195570405019</c:v>
                </c:pt>
                <c:pt idx="556">
                  <c:v>6.3925441633809275</c:v>
                </c:pt>
                <c:pt idx="557">
                  <c:v>6.3887423872516766</c:v>
                </c:pt>
                <c:pt idx="558">
                  <c:v>6.5937741623223278</c:v>
                </c:pt>
                <c:pt idx="559">
                  <c:v>6.3630655652399755</c:v>
                </c:pt>
                <c:pt idx="560">
                  <c:v>6.5543850107829442</c:v>
                </c:pt>
                <c:pt idx="561">
                  <c:v>6.2708937944928502</c:v>
                </c:pt>
                <c:pt idx="562">
                  <c:v>5.7972625884815505</c:v>
                </c:pt>
                <c:pt idx="563">
                  <c:v>5.7981764607257196</c:v>
                </c:pt>
                <c:pt idx="564">
                  <c:v>5.2590389932401695</c:v>
                </c:pt>
                <c:pt idx="565">
                  <c:v>4.6015554435279178</c:v>
                </c:pt>
                <c:pt idx="566">
                  <c:v>4.2311957685033788</c:v>
                </c:pt>
                <c:pt idx="567">
                  <c:v>3.9456643188717986</c:v>
                </c:pt>
                <c:pt idx="568">
                  <c:v>3.7323532765280474</c:v>
                </c:pt>
                <c:pt idx="569">
                  <c:v>3.1493981534659361</c:v>
                </c:pt>
                <c:pt idx="570">
                  <c:v>2.7955499258210383</c:v>
                </c:pt>
                <c:pt idx="571">
                  <c:v>2.4804424639881213</c:v>
                </c:pt>
                <c:pt idx="572">
                  <c:v>2.8224433726480402</c:v>
                </c:pt>
                <c:pt idx="573">
                  <c:v>3.0782200765680394</c:v>
                </c:pt>
                <c:pt idx="574">
                  <c:v>2.8815610009452035</c:v>
                </c:pt>
                <c:pt idx="575">
                  <c:v>2.7225286243466371</c:v>
                </c:pt>
                <c:pt idx="576">
                  <c:v>2.5636711175318228</c:v>
                </c:pt>
                <c:pt idx="577">
                  <c:v>2.3209667369061231</c:v>
                </c:pt>
                <c:pt idx="578">
                  <c:v>2.1439133098779539</c:v>
                </c:pt>
                <c:pt idx="579">
                  <c:v>2.1126866616020914</c:v>
                </c:pt>
                <c:pt idx="580">
                  <c:v>2.1620777434202738</c:v>
                </c:pt>
                <c:pt idx="581">
                  <c:v>2.221138370406941</c:v>
                </c:pt>
                <c:pt idx="582">
                  <c:v>2.1742341986032021</c:v>
                </c:pt>
                <c:pt idx="583">
                  <c:v>2.463594484783203</c:v>
                </c:pt>
                <c:pt idx="584">
                  <c:v>5.0081466292945658</c:v>
                </c:pt>
                <c:pt idx="585">
                  <c:v>5.9227893841337185</c:v>
                </c:pt>
                <c:pt idx="586">
                  <c:v>5.9467913577940994</c:v>
                </c:pt>
                <c:pt idx="587">
                  <c:v>5.6635872822702877</c:v>
                </c:pt>
                <c:pt idx="588">
                  <c:v>4.3609777678778343</c:v>
                </c:pt>
                <c:pt idx="589">
                  <c:v>4.948544428733828</c:v>
                </c:pt>
                <c:pt idx="590">
                  <c:v>5.2281613175681851</c:v>
                </c:pt>
                <c:pt idx="591">
                  <c:v>4.31110199528508</c:v>
                </c:pt>
                <c:pt idx="592">
                  <c:v>4.0988538805278916</c:v>
                </c:pt>
                <c:pt idx="593">
                  <c:v>4.2363021720061527</c:v>
                </c:pt>
                <c:pt idx="594">
                  <c:v>3.9160662701800657</c:v>
                </c:pt>
                <c:pt idx="595">
                  <c:v>3.8702018228695962</c:v>
                </c:pt>
                <c:pt idx="596">
                  <c:v>4.2451485796921773</c:v>
                </c:pt>
                <c:pt idx="597">
                  <c:v>4.0324149618276603</c:v>
                </c:pt>
                <c:pt idx="598">
                  <c:v>3.9702598150055963</c:v>
                </c:pt>
                <c:pt idx="599">
                  <c:v>4.4248850104682838</c:v>
                </c:pt>
                <c:pt idx="600">
                  <c:v>4.6831738648100201</c:v>
                </c:pt>
                <c:pt idx="601">
                  <c:v>4.2528947478100205</c:v>
                </c:pt>
                <c:pt idx="602">
                  <c:v>3.9704561339839337</c:v>
                </c:pt>
                <c:pt idx="603">
                  <c:v>3.8711672175926295</c:v>
                </c:pt>
                <c:pt idx="604">
                  <c:v>3.4943394519063551</c:v>
                </c:pt>
                <c:pt idx="605">
                  <c:v>3.4753722141089987</c:v>
                </c:pt>
                <c:pt idx="606">
                  <c:v>3.3630166828148806</c:v>
                </c:pt>
                <c:pt idx="607">
                  <c:v>3.7082390559229879</c:v>
                </c:pt>
                <c:pt idx="608">
                  <c:v>3.9658052649383722</c:v>
                </c:pt>
                <c:pt idx="609">
                  <c:v>3.8684065862397419</c:v>
                </c:pt>
                <c:pt idx="610">
                  <c:v>3.8226650830074185</c:v>
                </c:pt>
                <c:pt idx="611">
                  <c:v>3.7602851305956548</c:v>
                </c:pt>
                <c:pt idx="612">
                  <c:v>3.8233373291098665</c:v>
                </c:pt>
                <c:pt idx="613">
                  <c:v>3.1892878145134813</c:v>
                </c:pt>
                <c:pt idx="614">
                  <c:v>3.1569925383428648</c:v>
                </c:pt>
                <c:pt idx="615">
                  <c:v>3.4258676211103074</c:v>
                </c:pt>
                <c:pt idx="616">
                  <c:v>3.1500513500696989</c:v>
                </c:pt>
                <c:pt idx="617">
                  <c:v>3.1051070145633699</c:v>
                </c:pt>
                <c:pt idx="618">
                  <c:v>3.1960495917787539</c:v>
                </c:pt>
                <c:pt idx="619">
                  <c:v>2.7511994649435865</c:v>
                </c:pt>
                <c:pt idx="620">
                  <c:v>3.0372854059895618</c:v>
                </c:pt>
                <c:pt idx="621">
                  <c:v>3.5664773304601503</c:v>
                </c:pt>
                <c:pt idx="622">
                  <c:v>3.1523391638274973</c:v>
                </c:pt>
                <c:pt idx="623">
                  <c:v>3.4737955287497191</c:v>
                </c:pt>
                <c:pt idx="624">
                  <c:v>2.9176560568005678</c:v>
                </c:pt>
                <c:pt idx="625">
                  <c:v>2.8217491612450112</c:v>
                </c:pt>
                <c:pt idx="626">
                  <c:v>2.7039533320742795</c:v>
                </c:pt>
                <c:pt idx="627">
                  <c:v>2.7637833245473979</c:v>
                </c:pt>
                <c:pt idx="628">
                  <c:v>2.6208646219174279</c:v>
                </c:pt>
                <c:pt idx="629">
                  <c:v>2.8648345307840941</c:v>
                </c:pt>
                <c:pt idx="630">
                  <c:v>2.8031804898050727</c:v>
                </c:pt>
                <c:pt idx="631">
                  <c:v>2.8779027810308788</c:v>
                </c:pt>
                <c:pt idx="632">
                  <c:v>3.0732057520038518</c:v>
                </c:pt>
                <c:pt idx="633">
                  <c:v>2.951159353076017</c:v>
                </c:pt>
                <c:pt idx="634">
                  <c:v>3.0008800691326205</c:v>
                </c:pt>
                <c:pt idx="635">
                  <c:v>2.8566488184517707</c:v>
                </c:pt>
                <c:pt idx="636">
                  <c:v>2.900614612147423</c:v>
                </c:pt>
                <c:pt idx="637">
                  <c:v>3.0077838847292409</c:v>
                </c:pt>
                <c:pt idx="638">
                  <c:v>3.3625783287495103</c:v>
                </c:pt>
                <c:pt idx="639">
                  <c:v>2.8689966805107048</c:v>
                </c:pt>
                <c:pt idx="640">
                  <c:v>2.7085156672834314</c:v>
                </c:pt>
                <c:pt idx="641">
                  <c:v>2.2555331722834313</c:v>
                </c:pt>
                <c:pt idx="642">
                  <c:v>2.8522007065603545</c:v>
                </c:pt>
                <c:pt idx="643">
                  <c:v>1.8019670282359697</c:v>
                </c:pt>
                <c:pt idx="644">
                  <c:v>1.4063135981581911</c:v>
                </c:pt>
                <c:pt idx="645">
                  <c:v>1.3724572637137464</c:v>
                </c:pt>
                <c:pt idx="646">
                  <c:v>1.1893220778918274</c:v>
                </c:pt>
                <c:pt idx="647">
                  <c:v>1.1835348598554649</c:v>
                </c:pt>
                <c:pt idx="648">
                  <c:v>1.4490025861269875</c:v>
                </c:pt>
                <c:pt idx="649">
                  <c:v>1.4061609369669881</c:v>
                </c:pt>
                <c:pt idx="650">
                  <c:v>1.2364503356161105</c:v>
                </c:pt>
                <c:pt idx="651">
                  <c:v>1.1576665611716659</c:v>
                </c:pt>
                <c:pt idx="652">
                  <c:v>0.95737190879071377</c:v>
                </c:pt>
                <c:pt idx="653">
                  <c:v>1.2046913590970201</c:v>
                </c:pt>
                <c:pt idx="654">
                  <c:v>1.2258762696595202</c:v>
                </c:pt>
                <c:pt idx="655">
                  <c:v>1.1132779205897527</c:v>
                </c:pt>
                <c:pt idx="656">
                  <c:v>1.1991926648754672</c:v>
                </c:pt>
                <c:pt idx="657">
                  <c:v>1.2335381637970368</c:v>
                </c:pt>
                <c:pt idx="658">
                  <c:v>1.4627125794488591</c:v>
                </c:pt>
                <c:pt idx="659">
                  <c:v>1.3877968395581486</c:v>
                </c:pt>
                <c:pt idx="660">
                  <c:v>1.0861060339767534</c:v>
                </c:pt>
                <c:pt idx="661">
                  <c:v>1.1453193604179295</c:v>
                </c:pt>
                <c:pt idx="662">
                  <c:v>0.8243881223185916</c:v>
                </c:pt>
                <c:pt idx="663">
                  <c:v>1.0323652735185911</c:v>
                </c:pt>
                <c:pt idx="664">
                  <c:v>0.92914978644396518</c:v>
                </c:pt>
                <c:pt idx="665">
                  <c:v>1.0353579460027884</c:v>
                </c:pt>
                <c:pt idx="666">
                  <c:v>1.0911532196206739</c:v>
                </c:pt>
                <c:pt idx="667">
                  <c:v>0.93325247805545741</c:v>
                </c:pt>
                <c:pt idx="668">
                  <c:v>0.77677426137545802</c:v>
                </c:pt>
                <c:pt idx="669">
                  <c:v>0.55089383144352111</c:v>
                </c:pt>
                <c:pt idx="670">
                  <c:v>1.095543014443521</c:v>
                </c:pt>
                <c:pt idx="671">
                  <c:v>0.97291070230792787</c:v>
                </c:pt>
                <c:pt idx="672">
                  <c:v>1.4698424464745945</c:v>
                </c:pt>
                <c:pt idx="673">
                  <c:v>1.2357684151791399</c:v>
                </c:pt>
                <c:pt idx="674">
                  <c:v>0.87045096891048335</c:v>
                </c:pt>
                <c:pt idx="675">
                  <c:v>0.8251102227132997</c:v>
                </c:pt>
                <c:pt idx="676">
                  <c:v>0.16746238177212283</c:v>
                </c:pt>
                <c:pt idx="677">
                  <c:v>0.72736605098951335</c:v>
                </c:pt>
                <c:pt idx="678">
                  <c:v>0.38175911471984997</c:v>
                </c:pt>
                <c:pt idx="679">
                  <c:v>0.5546716723394971</c:v>
                </c:pt>
                <c:pt idx="680">
                  <c:v>0.15907997139807464</c:v>
                </c:pt>
                <c:pt idx="681">
                  <c:v>-0.40224598420848251</c:v>
                </c:pt>
                <c:pt idx="682">
                  <c:v>-0.47554232206562608</c:v>
                </c:pt>
                <c:pt idx="683">
                  <c:v>-0.32264667961664634</c:v>
                </c:pt>
                <c:pt idx="684">
                  <c:v>-0.15911619156548326</c:v>
                </c:pt>
                <c:pt idx="685">
                  <c:v>3.3071336619390622E-2</c:v>
                </c:pt>
                <c:pt idx="686">
                  <c:v>-0.47062820809617789</c:v>
                </c:pt>
                <c:pt idx="687">
                  <c:v>0.92420624277115826</c:v>
                </c:pt>
                <c:pt idx="688">
                  <c:v>0.92715019556342881</c:v>
                </c:pt>
                <c:pt idx="689">
                  <c:v>0.90924327393692228</c:v>
                </c:pt>
                <c:pt idx="690">
                  <c:v>0.95977851646818635</c:v>
                </c:pt>
                <c:pt idx="691">
                  <c:v>1.4786892489428134</c:v>
                </c:pt>
                <c:pt idx="692">
                  <c:v>1.8227985823223016</c:v>
                </c:pt>
                <c:pt idx="693">
                  <c:v>1.7238872776959278</c:v>
                </c:pt>
                <c:pt idx="694">
                  <c:v>1.8938749359064533</c:v>
                </c:pt>
                <c:pt idx="695">
                  <c:v>1.7212747104986319</c:v>
                </c:pt>
                <c:pt idx="696">
                  <c:v>1.7750348391090205</c:v>
                </c:pt>
                <c:pt idx="697">
                  <c:v>1.5194031663421494</c:v>
                </c:pt>
                <c:pt idx="698">
                  <c:v>1.6331462574230735</c:v>
                </c:pt>
                <c:pt idx="699">
                  <c:v>1.9515657537331783</c:v>
                </c:pt>
                <c:pt idx="700">
                  <c:v>1.9183107093434029</c:v>
                </c:pt>
                <c:pt idx="701">
                  <c:v>1.926778740517417</c:v>
                </c:pt>
                <c:pt idx="702">
                  <c:v>2.1646370529456043</c:v>
                </c:pt>
                <c:pt idx="703">
                  <c:v>2.4590294561269386</c:v>
                </c:pt>
                <c:pt idx="704">
                  <c:v>2.7286410015660794</c:v>
                </c:pt>
                <c:pt idx="705">
                  <c:v>2.3423265461514449</c:v>
                </c:pt>
                <c:pt idx="706">
                  <c:v>2.1117798555825829</c:v>
                </c:pt>
                <c:pt idx="707">
                  <c:v>2.1404393875790499</c:v>
                </c:pt>
                <c:pt idx="708">
                  <c:v>2.2341312081262208</c:v>
                </c:pt>
                <c:pt idx="709">
                  <c:v>2.5541402815372192</c:v>
                </c:pt>
                <c:pt idx="710">
                  <c:v>2.1819962468229339</c:v>
                </c:pt>
                <c:pt idx="711">
                  <c:v>1.8463611670036801</c:v>
                </c:pt>
                <c:pt idx="712">
                  <c:v>1.9712277344933926</c:v>
                </c:pt>
                <c:pt idx="713">
                  <c:v>2.3404301350533006</c:v>
                </c:pt>
                <c:pt idx="714">
                  <c:v>2.0356668653296159</c:v>
                </c:pt>
                <c:pt idx="715">
                  <c:v>1.7548413277357238</c:v>
                </c:pt>
                <c:pt idx="716">
                  <c:v>1.6819845461325169</c:v>
                </c:pt>
                <c:pt idx="717">
                  <c:v>1.2891470588604859</c:v>
                </c:pt>
                <c:pt idx="718">
                  <c:v>0.99030917120220541</c:v>
                </c:pt>
                <c:pt idx="719">
                  <c:v>0.58246342267761619</c:v>
                </c:pt>
                <c:pt idx="720">
                  <c:v>0.62212985312639624</c:v>
                </c:pt>
                <c:pt idx="721">
                  <c:v>0.84333989311603319</c:v>
                </c:pt>
                <c:pt idx="722">
                  <c:v>0.27385553177313476</c:v>
                </c:pt>
                <c:pt idx="723">
                  <c:v>0.25000206841681183</c:v>
                </c:pt>
                <c:pt idx="724">
                  <c:v>0.22227080853802417</c:v>
                </c:pt>
                <c:pt idx="725">
                  <c:v>-0.14042283108877149</c:v>
                </c:pt>
                <c:pt idx="726">
                  <c:v>-0.23804985526909855</c:v>
                </c:pt>
                <c:pt idx="727">
                  <c:v>-0.21359123143038902</c:v>
                </c:pt>
                <c:pt idx="728">
                  <c:v>-0.53235455536916265</c:v>
                </c:pt>
                <c:pt idx="729">
                  <c:v>-0.6980879311753907</c:v>
                </c:pt>
                <c:pt idx="730">
                  <c:v>-0.40042719299443652</c:v>
                </c:pt>
                <c:pt idx="731">
                  <c:v>-0.16409463270175481</c:v>
                </c:pt>
                <c:pt idx="732">
                  <c:v>4.0354576448242474E-2</c:v>
                </c:pt>
                <c:pt idx="733">
                  <c:v>0.25159694344331568</c:v>
                </c:pt>
                <c:pt idx="734">
                  <c:v>0.13576056732833255</c:v>
                </c:pt>
                <c:pt idx="735">
                  <c:v>-0.11891623738251103</c:v>
                </c:pt>
                <c:pt idx="736">
                  <c:v>4.6700860595016776E-2</c:v>
                </c:pt>
                <c:pt idx="737">
                  <c:v>-0.18893944951097352</c:v>
                </c:pt>
                <c:pt idx="738">
                  <c:v>-0.17194494481578507</c:v>
                </c:pt>
                <c:pt idx="739">
                  <c:v>-0.2273096917482989</c:v>
                </c:pt>
                <c:pt idx="740">
                  <c:v>-8.2353841067490635E-2</c:v>
                </c:pt>
                <c:pt idx="741">
                  <c:v>7.8626587167804268E-2</c:v>
                </c:pt>
                <c:pt idx="742">
                  <c:v>-0.22165195568933946</c:v>
                </c:pt>
                <c:pt idx="743">
                  <c:v>-0.22592472298048</c:v>
                </c:pt>
                <c:pt idx="744">
                  <c:v>-0.26591786378513005</c:v>
                </c:pt>
                <c:pt idx="745">
                  <c:v>-6.6181717598407477E-2</c:v>
                </c:pt>
                <c:pt idx="746">
                  <c:v>-0.13595606601459204</c:v>
                </c:pt>
                <c:pt idx="747">
                  <c:v>-0.76750878901459207</c:v>
                </c:pt>
                <c:pt idx="748">
                  <c:v>-0.75502132843032177</c:v>
                </c:pt>
                <c:pt idx="749">
                  <c:v>-0.66633762225748205</c:v>
                </c:pt>
                <c:pt idx="750">
                  <c:v>-0.60434684081500567</c:v>
                </c:pt>
                <c:pt idx="751">
                  <c:v>-0.574138131337393</c:v>
                </c:pt>
                <c:pt idx="752">
                  <c:v>-0.22140064949312882</c:v>
                </c:pt>
                <c:pt idx="753">
                  <c:v>-0.2970304991529219</c:v>
                </c:pt>
                <c:pt idx="754">
                  <c:v>-0.12269909491432464</c:v>
                </c:pt>
                <c:pt idx="755">
                  <c:v>-3.2883348247658241E-2</c:v>
                </c:pt>
                <c:pt idx="756">
                  <c:v>-0.23434163842587533</c:v>
                </c:pt>
                <c:pt idx="757">
                  <c:v>-8.5809491428570812E-3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353-4288-A725-F4A906877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1069615"/>
        <c:axId val="981062543"/>
      </c:lineChart>
      <c:dateAx>
        <c:axId val="98106961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1062543"/>
        <c:crosses val="autoZero"/>
        <c:auto val="1"/>
        <c:lblOffset val="100"/>
        <c:baseTimeUnit val="days"/>
      </c:dateAx>
      <c:valAx>
        <c:axId val="9810625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10696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DBFC2FB-84EC-4B02-AD49-02282CB9ABC4}">
  <sheetPr codeName="Chart1"/>
  <sheetViews>
    <sheetView zoomScale="8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14564" cy="609157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F00C763-A53B-41E3-805A-5146F16642AD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1.1984999999999999</v>
      </c>
      <c r="D2" s="4">
        <f>MIN(D3:D1912)</f>
        <v>7.3499999999999998E-3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0.31619999999999998</v>
      </c>
      <c r="C5">
        <v>0.32219999999999999</v>
      </c>
      <c r="D5">
        <v>0.3105</v>
      </c>
      <c r="E5">
        <v>0.31159999999999999</v>
      </c>
      <c r="F5">
        <v>705579</v>
      </c>
      <c r="G5">
        <v>0.31159999999999999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-0.81196581196581352</v>
      </c>
      <c r="Q5">
        <f t="shared" ref="Q5" si="1">F5*P5</f>
        <v>-572906.02564102679</v>
      </c>
      <c r="R5">
        <f t="shared" ref="R5" si="2">R6+Q5</f>
        <v>-257795380.76511708</v>
      </c>
      <c r="S5">
        <f t="shared" ref="S5" si="3">R5/100000</f>
        <v>-2577.9538076511708</v>
      </c>
      <c r="T5">
        <f t="shared" ref="T5" si="4">S5/1000</f>
        <v>-2.5779538076511708</v>
      </c>
    </row>
    <row r="6" spans="1:20" x14ac:dyDescent="0.25">
      <c r="A6" s="5">
        <v>44587</v>
      </c>
      <c r="B6">
        <v>0.32429999999999998</v>
      </c>
      <c r="C6">
        <v>0.35470000000000002</v>
      </c>
      <c r="D6">
        <v>0.30780000000000002</v>
      </c>
      <c r="E6">
        <v>0.31630000000000003</v>
      </c>
      <c r="F6">
        <v>16762340</v>
      </c>
      <c r="G6">
        <v>0.31630000000000003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-0.63752665245202522</v>
      </c>
      <c r="Q6">
        <f t="shared" ref="Q6" si="6">F6*P6</f>
        <v>-10686438.50746268</v>
      </c>
      <c r="R6">
        <f t="shared" ref="R6" si="7">R7+Q6</f>
        <v>-257222474.73947605</v>
      </c>
      <c r="S6">
        <f t="shared" ref="S6" si="8">R6/100000</f>
        <v>-2572.2247473947605</v>
      </c>
      <c r="T6">
        <f t="shared" ref="T6" si="9">S6/1000</f>
        <v>-2.5722247473947606</v>
      </c>
    </row>
    <row r="7" spans="1:20" x14ac:dyDescent="0.25">
      <c r="A7" s="5">
        <v>44586</v>
      </c>
      <c r="B7">
        <v>0.32679999999999998</v>
      </c>
      <c r="C7">
        <v>0.33839999999999998</v>
      </c>
      <c r="D7">
        <v>0.31290000000000001</v>
      </c>
      <c r="E7">
        <v>0.3241</v>
      </c>
      <c r="F7">
        <v>14967440</v>
      </c>
      <c r="G7">
        <v>0.3241</v>
      </c>
      <c r="L7" t="s">
        <v>8</v>
      </c>
      <c r="M7" t="s">
        <v>7</v>
      </c>
      <c r="N7" t="s">
        <v>7</v>
      </c>
      <c r="P7">
        <f t="shared" ref="P7" si="10">IF(C7=D7,0,((E7-D7)-(C7-E7))/(C7-D7))</f>
        <v>-0.12156862745098022</v>
      </c>
      <c r="Q7">
        <f t="shared" ref="Q7" si="11">F7*P7</f>
        <v>-1819571.1372548994</v>
      </c>
      <c r="R7">
        <f t="shared" ref="R7" si="12">R8+Q7</f>
        <v>-246536036.23201337</v>
      </c>
      <c r="S7">
        <f t="shared" ref="S7" si="13">R7/100000</f>
        <v>-2465.3603623201338</v>
      </c>
      <c r="T7">
        <f t="shared" ref="T7" si="14">S7/1000</f>
        <v>-2.4653603623201339</v>
      </c>
    </row>
    <row r="8" spans="1:20" x14ac:dyDescent="0.25">
      <c r="A8" s="5">
        <v>44585</v>
      </c>
      <c r="B8">
        <v>0.35470000000000002</v>
      </c>
      <c r="C8">
        <v>0.35470000000000002</v>
      </c>
      <c r="D8">
        <v>0.28370000000000001</v>
      </c>
      <c r="E8">
        <v>0.32690000000000002</v>
      </c>
      <c r="F8">
        <v>34476978.299999997</v>
      </c>
      <c r="G8">
        <v>0.32690000000000002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0.21690140845070455</v>
      </c>
      <c r="Q8">
        <f t="shared" ref="Q8" si="16">F8*P8</f>
        <v>7478105.1523943767</v>
      </c>
      <c r="R8">
        <f t="shared" ref="R8" si="17">R9+Q8</f>
        <v>-244716465.09475848</v>
      </c>
      <c r="S8">
        <f t="shared" ref="S8" si="18">R8/100000</f>
        <v>-2447.164650947585</v>
      </c>
      <c r="T8">
        <f t="shared" ref="T8" si="19">S8/1000</f>
        <v>-2.4471646509475851</v>
      </c>
    </row>
    <row r="9" spans="1:20" x14ac:dyDescent="0.25">
      <c r="A9" s="5">
        <v>44584</v>
      </c>
      <c r="B9">
        <v>0.3357</v>
      </c>
      <c r="C9">
        <v>0.36890000000000001</v>
      </c>
      <c r="D9">
        <v>0.32600000000000001</v>
      </c>
      <c r="E9">
        <v>0.35539999999999999</v>
      </c>
      <c r="F9">
        <v>19391281</v>
      </c>
      <c r="G9">
        <v>0.35539999999999999</v>
      </c>
      <c r="L9" t="s">
        <v>8</v>
      </c>
      <c r="M9" t="s">
        <v>7</v>
      </c>
      <c r="N9" t="s">
        <v>7</v>
      </c>
      <c r="P9">
        <f t="shared" ref="P9" si="20">IF(C9=D9,0,((E9-D9)-(C9-E9))/(C9-D9))</f>
        <v>0.37062937062936996</v>
      </c>
      <c r="Q9">
        <f t="shared" ref="Q9" si="21">F9*P9</f>
        <v>7186978.2727272594</v>
      </c>
      <c r="R9">
        <f t="shared" ref="R9" si="22">R10+Q9</f>
        <v>-252194570.24715286</v>
      </c>
      <c r="S9">
        <f t="shared" ref="S9" si="23">R9/100000</f>
        <v>-2521.9457024715289</v>
      </c>
      <c r="T9">
        <f t="shared" ref="T9" si="24">S9/1000</f>
        <v>-2.521945702471529</v>
      </c>
    </row>
    <row r="10" spans="1:20" x14ac:dyDescent="0.25">
      <c r="A10" s="5">
        <v>44583</v>
      </c>
      <c r="B10">
        <v>0.37719999999999998</v>
      </c>
      <c r="C10">
        <v>0.39140000000000003</v>
      </c>
      <c r="D10">
        <v>0.31109999999999999</v>
      </c>
      <c r="E10">
        <v>0.33510000000000001</v>
      </c>
      <c r="F10">
        <v>31818431.100000001</v>
      </c>
      <c r="G10">
        <v>0.33510000000000001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-0.40224159402241572</v>
      </c>
      <c r="Q10">
        <f t="shared" ref="Q10" si="26">F10*P10</f>
        <v>-12798696.444956407</v>
      </c>
      <c r="R10">
        <f t="shared" ref="R10" si="27">R11+Q10</f>
        <v>-259381548.51988012</v>
      </c>
      <c r="S10">
        <f t="shared" ref="S10" si="28">R10/100000</f>
        <v>-2593.8154851988011</v>
      </c>
      <c r="T10">
        <f t="shared" ref="T10" si="29">S10/1000</f>
        <v>-2.5938154851988009</v>
      </c>
    </row>
    <row r="11" spans="1:20" x14ac:dyDescent="0.25">
      <c r="A11" s="5">
        <v>44582</v>
      </c>
      <c r="B11">
        <v>0.46029999999999999</v>
      </c>
      <c r="C11">
        <v>0.47489999999999999</v>
      </c>
      <c r="D11">
        <v>0.36670000000000003</v>
      </c>
      <c r="E11">
        <v>0.37709999999999999</v>
      </c>
      <c r="F11">
        <v>32875687.100000001</v>
      </c>
      <c r="G11">
        <v>0.37709999999999999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-0.80776340110905787</v>
      </c>
      <c r="Q11">
        <f t="shared" ref="Q11" si="31">F11*P11</f>
        <v>-26555776.825693179</v>
      </c>
      <c r="R11">
        <f t="shared" ref="R11" si="32">R12+Q11</f>
        <v>-246582852.07492372</v>
      </c>
      <c r="S11">
        <f t="shared" ref="S11" si="33">R11/100000</f>
        <v>-2465.8285207492372</v>
      </c>
      <c r="T11">
        <f t="shared" ref="T11" si="34">S11/1000</f>
        <v>-2.4658285207492372</v>
      </c>
    </row>
    <row r="12" spans="1:20" x14ac:dyDescent="0.25">
      <c r="A12" s="5">
        <v>44581</v>
      </c>
      <c r="B12">
        <v>0.46360000000000001</v>
      </c>
      <c r="C12">
        <v>0.54269999999999996</v>
      </c>
      <c r="D12">
        <v>0.45369999999999999</v>
      </c>
      <c r="E12">
        <v>0.4607</v>
      </c>
      <c r="F12">
        <v>39645628</v>
      </c>
      <c r="G12">
        <v>0.4607</v>
      </c>
      <c r="L12" t="s">
        <v>8</v>
      </c>
      <c r="M12" t="s">
        <v>8</v>
      </c>
      <c r="N12" t="s">
        <v>7</v>
      </c>
      <c r="P12">
        <f t="shared" ref="P12" si="35">IF(C12=D12,0,((E12-D12)-(C12-E12))/(C12-D12))</f>
        <v>-0.84269662921348298</v>
      </c>
      <c r="Q12">
        <f t="shared" ref="Q12" si="36">F12*P12</f>
        <v>-33409237.078651678</v>
      </c>
      <c r="R12">
        <f t="shared" ref="R12" si="37">R13+Q12</f>
        <v>-220027075.24923053</v>
      </c>
      <c r="S12">
        <f t="shared" ref="S12" si="38">R12/100000</f>
        <v>-2200.2707524923053</v>
      </c>
      <c r="T12">
        <f t="shared" ref="T12" si="39">S12/1000</f>
        <v>-2.2002707524923051</v>
      </c>
    </row>
    <row r="13" spans="1:20" x14ac:dyDescent="0.25">
      <c r="A13" s="5">
        <v>44580</v>
      </c>
      <c r="B13">
        <v>0.47220000000000001</v>
      </c>
      <c r="C13">
        <v>0.48749999999999999</v>
      </c>
      <c r="D13">
        <v>0.44019999999999998</v>
      </c>
      <c r="E13">
        <v>0.46339999999999998</v>
      </c>
      <c r="F13">
        <v>16189758</v>
      </c>
      <c r="G13">
        <v>0.46339999999999998</v>
      </c>
      <c r="L13" t="s">
        <v>8</v>
      </c>
      <c r="M13" t="s">
        <v>7</v>
      </c>
      <c r="N13" t="s">
        <v>7</v>
      </c>
      <c r="P13">
        <f t="shared" ref="P13" si="40">IF(C13=D13,0,((E13-D13)-(C13-E13))/(C13-D13))</f>
        <v>-1.902748414376346E-2</v>
      </c>
      <c r="Q13">
        <f t="shared" ref="Q13" si="41">F13*P13</f>
        <v>-308050.36363636761</v>
      </c>
      <c r="R13">
        <f t="shared" ref="R13" si="42">R14+Q13</f>
        <v>-186617838.17057887</v>
      </c>
      <c r="S13">
        <f t="shared" ref="S13" si="43">R13/100000</f>
        <v>-1866.1783817057888</v>
      </c>
      <c r="T13">
        <f t="shared" ref="T13" si="44">S13/1000</f>
        <v>-1.8661783817057886</v>
      </c>
    </row>
    <row r="14" spans="1:20" x14ac:dyDescent="0.25">
      <c r="A14" s="5">
        <v>44579</v>
      </c>
      <c r="B14">
        <v>0.46310000000000001</v>
      </c>
      <c r="C14">
        <v>0.4758</v>
      </c>
      <c r="D14">
        <v>0.43780000000000002</v>
      </c>
      <c r="E14">
        <v>0.47220000000000001</v>
      </c>
      <c r="F14">
        <v>13881608</v>
      </c>
      <c r="G14">
        <v>0.47220000000000001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0.81052631578947398</v>
      </c>
      <c r="Q14">
        <f t="shared" ref="Q14" si="46">F14*P14</f>
        <v>11251408.589473689</v>
      </c>
      <c r="R14">
        <f t="shared" ref="R14" si="47">R15+Q14</f>
        <v>-186309787.80694249</v>
      </c>
      <c r="S14">
        <f t="shared" ref="S14" si="48">R14/100000</f>
        <v>-1863.097878069425</v>
      </c>
      <c r="T14">
        <f t="shared" ref="T14" si="49">S14/1000</f>
        <v>-1.863097878069425</v>
      </c>
    </row>
    <row r="15" spans="1:20" x14ac:dyDescent="0.25">
      <c r="A15" s="5">
        <v>44578</v>
      </c>
      <c r="B15">
        <v>0.4834</v>
      </c>
      <c r="C15">
        <v>0.48399999999999999</v>
      </c>
      <c r="D15">
        <v>0.44940000000000002</v>
      </c>
      <c r="E15">
        <v>0.46350000000000002</v>
      </c>
      <c r="F15">
        <v>12756153</v>
      </c>
      <c r="G15">
        <v>0.46350000000000002</v>
      </c>
      <c r="L15" t="s">
        <v>7</v>
      </c>
      <c r="M15" t="s">
        <v>7</v>
      </c>
      <c r="N15" t="s">
        <v>7</v>
      </c>
      <c r="P15">
        <f t="shared" ref="P15" si="50">IF(C15=D15,0,((E15-D15)-(C15-E15))/(C15-D15))</f>
        <v>-0.18497109826589503</v>
      </c>
      <c r="Q15">
        <f t="shared" ref="Q15" si="51">F15*P15</f>
        <v>-2359519.6300577917</v>
      </c>
      <c r="R15">
        <f t="shared" ref="R15" si="52">R16+Q15</f>
        <v>-197561196.39641619</v>
      </c>
      <c r="S15">
        <f t="shared" ref="S15" si="53">R15/100000</f>
        <v>-1975.6119639641618</v>
      </c>
      <c r="T15">
        <f t="shared" ref="T15" si="54">S15/1000</f>
        <v>-1.9756119639641618</v>
      </c>
    </row>
    <row r="16" spans="1:20" x14ac:dyDescent="0.25">
      <c r="A16" s="5">
        <v>44577</v>
      </c>
      <c r="B16">
        <v>0.49659999999999999</v>
      </c>
      <c r="C16">
        <v>0.50839999999999996</v>
      </c>
      <c r="D16">
        <v>0.47870000000000001</v>
      </c>
      <c r="E16">
        <v>0.4834</v>
      </c>
      <c r="F16">
        <v>12952652</v>
      </c>
      <c r="G16">
        <v>0.4834</v>
      </c>
      <c r="L16" t="s">
        <v>8</v>
      </c>
      <c r="M16" t="s">
        <v>8</v>
      </c>
      <c r="N16" t="s">
        <v>7</v>
      </c>
      <c r="P16">
        <f t="shared" ref="P16" si="55">IF(C16=D16,0,((E16-D16)-(C16-E16))/(C16-D16))</f>
        <v>-0.68350168350168417</v>
      </c>
      <c r="Q16">
        <f t="shared" ref="Q16" si="56">F16*P16</f>
        <v>-8853159.4478114564</v>
      </c>
      <c r="R16">
        <f t="shared" ref="R16" si="57">R17+Q16</f>
        <v>-195201676.76635841</v>
      </c>
      <c r="S16">
        <f t="shared" ref="S16" si="58">R16/100000</f>
        <v>-1952.016767663584</v>
      </c>
      <c r="T16">
        <f t="shared" ref="T16" si="59">S16/1000</f>
        <v>-1.952016767663584</v>
      </c>
    </row>
    <row r="17" spans="1:20" x14ac:dyDescent="0.25">
      <c r="A17" s="5">
        <v>44576</v>
      </c>
      <c r="B17">
        <v>0.50539999999999996</v>
      </c>
      <c r="C17">
        <v>0.50990000000000002</v>
      </c>
      <c r="D17">
        <v>0.48299999999999998</v>
      </c>
      <c r="E17">
        <v>0.497</v>
      </c>
      <c r="F17">
        <v>12343411</v>
      </c>
      <c r="G17">
        <v>0.497</v>
      </c>
      <c r="L17" t="s">
        <v>8</v>
      </c>
      <c r="M17" t="s">
        <v>8</v>
      </c>
      <c r="N17" t="s">
        <v>7</v>
      </c>
      <c r="P17">
        <f t="shared" ref="P17" si="60">IF(C17=D17,0,((E17-D17)-(C17-E17))/(C17-D17))</f>
        <v>4.0892193308549755E-2</v>
      </c>
      <c r="Q17">
        <f t="shared" ref="Q17" si="61">F17*P17</f>
        <v>504749.14869887946</v>
      </c>
      <c r="R17">
        <f t="shared" ref="R17" si="62">R18+Q17</f>
        <v>-186348517.31854695</v>
      </c>
      <c r="S17">
        <f t="shared" ref="S17" si="63">R17/100000</f>
        <v>-1863.4851731854694</v>
      </c>
      <c r="T17">
        <f t="shared" ref="T17" si="64">S17/1000</f>
        <v>-1.8634851731854694</v>
      </c>
    </row>
    <row r="18" spans="1:20" x14ac:dyDescent="0.25">
      <c r="A18" s="5">
        <v>44575</v>
      </c>
      <c r="B18">
        <v>0.4859</v>
      </c>
      <c r="C18">
        <v>0.50929999999999997</v>
      </c>
      <c r="D18">
        <v>0.46820000000000001</v>
      </c>
      <c r="E18">
        <v>0.50539999999999996</v>
      </c>
      <c r="F18">
        <v>15192042</v>
      </c>
      <c r="G18">
        <v>0.50539999999999996</v>
      </c>
      <c r="L18" t="s">
        <v>7</v>
      </c>
      <c r="M18" t="s">
        <v>8</v>
      </c>
      <c r="N18" t="s">
        <v>7</v>
      </c>
      <c r="P18">
        <f t="shared" ref="P18" si="65">IF(C18=D18,0,((E18-D18)-(C18-E18))/(C18-D18))</f>
        <v>0.8102189781021889</v>
      </c>
      <c r="Q18">
        <f t="shared" ref="Q18" si="66">F18*P18</f>
        <v>12308880.744525533</v>
      </c>
      <c r="R18">
        <f t="shared" ref="R18" si="67">R19+Q18</f>
        <v>-186853266.46724582</v>
      </c>
      <c r="S18">
        <f t="shared" ref="S18" si="68">R18/100000</f>
        <v>-1868.5326646724582</v>
      </c>
      <c r="T18">
        <f t="shared" ref="T18" si="69">S18/1000</f>
        <v>-1.8685326646724583</v>
      </c>
    </row>
    <row r="19" spans="1:20" x14ac:dyDescent="0.25">
      <c r="A19" s="5">
        <v>44574</v>
      </c>
      <c r="B19">
        <v>0.51239999999999997</v>
      </c>
      <c r="C19">
        <v>0.54400000000000004</v>
      </c>
      <c r="D19">
        <v>0.48249999999999998</v>
      </c>
      <c r="E19">
        <v>0.48609999999999998</v>
      </c>
      <c r="F19">
        <v>22180163</v>
      </c>
      <c r="G19">
        <v>0.48609999999999998</v>
      </c>
      <c r="L19" t="s">
        <v>8</v>
      </c>
      <c r="M19" t="s">
        <v>8</v>
      </c>
      <c r="N19" t="s">
        <v>7</v>
      </c>
      <c r="P19">
        <f t="shared" ref="P19" si="70">IF(C19=D19,0,((E19-D19)-(C19-E19))/(C19-D19))</f>
        <v>-0.88292682926829302</v>
      </c>
      <c r="Q19">
        <f t="shared" ref="Q19" si="71">F19*P19</f>
        <v>-19583460.990243912</v>
      </c>
      <c r="R19">
        <f t="shared" ref="R19" si="72">R20+Q19</f>
        <v>-199162147.21177134</v>
      </c>
      <c r="S19">
        <f t="shared" ref="S19" si="73">R19/100000</f>
        <v>-1991.6214721177134</v>
      </c>
      <c r="T19">
        <f t="shared" ref="T19" si="74">S19/1000</f>
        <v>-1.9916214721177135</v>
      </c>
    </row>
    <row r="20" spans="1:20" x14ac:dyDescent="0.25">
      <c r="A20" s="5">
        <v>44573</v>
      </c>
      <c r="B20">
        <v>0.46949999999999997</v>
      </c>
      <c r="C20">
        <v>0.51849999999999996</v>
      </c>
      <c r="D20">
        <v>0.45600000000000002</v>
      </c>
      <c r="E20">
        <v>0.51239999999999997</v>
      </c>
      <c r="F20">
        <v>17288086</v>
      </c>
      <c r="G20">
        <v>0.51239999999999997</v>
      </c>
      <c r="L20" t="s">
        <v>8</v>
      </c>
      <c r="M20" t="s">
        <v>8</v>
      </c>
      <c r="N20" t="s">
        <v>7</v>
      </c>
      <c r="P20">
        <f t="shared" ref="P20" si="75">IF(C20=D20,0,((E20-D20)-(C20-E20))/(C20-D20))</f>
        <v>0.80479999999999996</v>
      </c>
      <c r="Q20">
        <f t="shared" ref="Q20" si="76">F20*P20</f>
        <v>13913451.6128</v>
      </c>
      <c r="R20">
        <f t="shared" ref="R20" si="77">R21+Q20</f>
        <v>-179578686.22152743</v>
      </c>
      <c r="S20">
        <f t="shared" ref="S20" si="78">R20/100000</f>
        <v>-1795.7868622152744</v>
      </c>
      <c r="T20">
        <f t="shared" ref="T20" si="79">S20/1000</f>
        <v>-1.7957868622152744</v>
      </c>
    </row>
    <row r="21" spans="1:20" x14ac:dyDescent="0.25">
      <c r="A21" s="5">
        <v>44572</v>
      </c>
      <c r="B21">
        <v>0.45079999999999998</v>
      </c>
      <c r="C21">
        <v>0.47520000000000001</v>
      </c>
      <c r="D21">
        <v>0.43419999999999997</v>
      </c>
      <c r="E21">
        <v>0.46970000000000001</v>
      </c>
      <c r="F21">
        <v>15818030</v>
      </c>
      <c r="G21">
        <v>0.46970000000000001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0.73170731707317072</v>
      </c>
      <c r="Q21">
        <f t="shared" ref="Q21" si="81">F21*P21</f>
        <v>11574168.292682927</v>
      </c>
      <c r="R21">
        <f t="shared" ref="R21" si="82">R22+Q21</f>
        <v>-193492137.83432743</v>
      </c>
      <c r="S21">
        <f t="shared" ref="S21" si="83">R21/100000</f>
        <v>-1934.9213783432742</v>
      </c>
      <c r="T21">
        <f t="shared" ref="T21" si="84">S21/1000</f>
        <v>-1.9349213783432742</v>
      </c>
    </row>
    <row r="22" spans="1:20" x14ac:dyDescent="0.25">
      <c r="A22" s="5">
        <v>44571</v>
      </c>
      <c r="B22">
        <v>0.4652</v>
      </c>
      <c r="C22">
        <v>0.47810000000000002</v>
      </c>
      <c r="D22">
        <v>0.41699999999999998</v>
      </c>
      <c r="E22">
        <v>0.45079999999999998</v>
      </c>
      <c r="F22">
        <v>18024268.899999999</v>
      </c>
      <c r="G22">
        <v>0.45079999999999998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0.10638297872340337</v>
      </c>
      <c r="Q22">
        <f t="shared" ref="Q22" si="86">F22*P22</f>
        <v>1917475.4148936009</v>
      </c>
      <c r="R22">
        <f t="shared" ref="R22" si="87">R23+Q22</f>
        <v>-205066306.12701035</v>
      </c>
      <c r="S22">
        <f t="shared" ref="S22" si="88">R22/100000</f>
        <v>-2050.6630612701033</v>
      </c>
      <c r="T22">
        <f t="shared" ref="T22" si="89">S22/1000</f>
        <v>-2.0506630612701033</v>
      </c>
    </row>
    <row r="23" spans="1:20" x14ac:dyDescent="0.25">
      <c r="A23" s="5">
        <v>44570</v>
      </c>
      <c r="B23">
        <v>0.47370000000000001</v>
      </c>
      <c r="C23">
        <v>0.4889</v>
      </c>
      <c r="D23">
        <v>0.44969999999999999</v>
      </c>
      <c r="E23">
        <v>0.46479999999999999</v>
      </c>
      <c r="F23">
        <v>14931859</v>
      </c>
      <c r="G23">
        <v>0.46479999999999999</v>
      </c>
      <c r="L23" t="s">
        <v>7</v>
      </c>
      <c r="M23" t="s">
        <v>7</v>
      </c>
      <c r="N23" t="s">
        <v>7</v>
      </c>
      <c r="P23">
        <f t="shared" ref="P23" si="90">IF(C23=D23,0,((E23-D23)-(C23-E23))/(C23-D23))</f>
        <v>-0.22959183673469402</v>
      </c>
      <c r="Q23">
        <f t="shared" ref="Q23" si="91">F23*P23</f>
        <v>-3428232.9336734717</v>
      </c>
      <c r="R23">
        <f t="shared" ref="R23" si="92">R24+Q23</f>
        <v>-206983781.54190394</v>
      </c>
      <c r="S23">
        <f t="shared" ref="S23" si="93">R23/100000</f>
        <v>-2069.8378154190395</v>
      </c>
      <c r="T23">
        <f t="shared" ref="T23" si="94">S23/1000</f>
        <v>-2.0698378154190396</v>
      </c>
    </row>
    <row r="24" spans="1:20" x14ac:dyDescent="0.25">
      <c r="A24" s="5">
        <v>44569</v>
      </c>
      <c r="B24">
        <v>0.49590000000000001</v>
      </c>
      <c r="C24">
        <v>0.5282</v>
      </c>
      <c r="D24">
        <v>0.45490000000000003</v>
      </c>
      <c r="E24">
        <v>0.47370000000000001</v>
      </c>
      <c r="F24">
        <v>18001040</v>
      </c>
      <c r="G24">
        <v>0.47370000000000001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-0.48703956343792659</v>
      </c>
      <c r="Q24">
        <f t="shared" ref="Q24" si="96">F24*P24</f>
        <v>-8767218.6630286537</v>
      </c>
      <c r="R24">
        <f t="shared" ref="R24" si="97">R25+Q24</f>
        <v>-203555548.60823047</v>
      </c>
      <c r="S24">
        <f t="shared" ref="S24" si="98">R24/100000</f>
        <v>-2035.5554860823047</v>
      </c>
      <c r="T24">
        <f t="shared" ref="T24" si="99">S24/1000</f>
        <v>-2.0355554860823046</v>
      </c>
    </row>
    <row r="25" spans="1:20" x14ac:dyDescent="0.25">
      <c r="A25" s="5">
        <v>44568</v>
      </c>
      <c r="B25">
        <v>0.54510000000000003</v>
      </c>
      <c r="C25">
        <v>0.54710000000000003</v>
      </c>
      <c r="D25">
        <v>0.49430000000000002</v>
      </c>
      <c r="E25">
        <v>0.49509999999999998</v>
      </c>
      <c r="F25">
        <v>23951142</v>
      </c>
      <c r="G25">
        <v>0.49509999999999998</v>
      </c>
      <c r="L25" t="s">
        <v>7</v>
      </c>
      <c r="M25" t="s">
        <v>7</v>
      </c>
      <c r="N25" t="s">
        <v>8</v>
      </c>
      <c r="P25">
        <f t="shared" ref="P25" si="100">IF(C25=D25,0,((E25-D25)-(C25-E25))/(C25-D25))</f>
        <v>-0.96969696969697095</v>
      </c>
      <c r="Q25">
        <f t="shared" ref="Q25" si="101">F25*P25</f>
        <v>-23225349.818181846</v>
      </c>
      <c r="R25">
        <f t="shared" ref="R25" si="102">R26+Q25</f>
        <v>-194788329.94520181</v>
      </c>
      <c r="S25">
        <f t="shared" ref="S25" si="103">R25/100000</f>
        <v>-1947.883299452018</v>
      </c>
      <c r="T25">
        <f t="shared" ref="T25" si="104">S25/1000</f>
        <v>-1.9478832994520181</v>
      </c>
    </row>
    <row r="26" spans="1:20" x14ac:dyDescent="0.25">
      <c r="A26" s="5">
        <v>44567</v>
      </c>
      <c r="B26">
        <v>0.56899999999999995</v>
      </c>
      <c r="C26">
        <v>0.63</v>
      </c>
      <c r="D26">
        <v>0.53190000000000004</v>
      </c>
      <c r="E26">
        <v>0.54500000000000004</v>
      </c>
      <c r="F26">
        <v>53798228</v>
      </c>
      <c r="G26">
        <v>0.54500000000000004</v>
      </c>
      <c r="L26" t="s">
        <v>7</v>
      </c>
      <c r="M26" t="s">
        <v>7</v>
      </c>
      <c r="N26" t="s">
        <v>8</v>
      </c>
      <c r="P26">
        <f t="shared" ref="P26" si="105">IF(C26=D26,0,((E26-D26)-(C26-E26))/(C26-D26))</f>
        <v>-0.7329255861365952</v>
      </c>
      <c r="Q26">
        <f t="shared" ref="Q26" si="106">F26*P26</f>
        <v>-39430097.790010184</v>
      </c>
      <c r="R26">
        <f t="shared" ref="R26" si="107">R27+Q26</f>
        <v>-171562980.12701997</v>
      </c>
      <c r="S26">
        <f t="shared" ref="S26" si="108">R26/100000</f>
        <v>-1715.6298012701998</v>
      </c>
      <c r="T26">
        <f t="shared" ref="T26" si="109">S26/1000</f>
        <v>-1.7156298012701998</v>
      </c>
    </row>
    <row r="27" spans="1:20" x14ac:dyDescent="0.25">
      <c r="A27" s="5">
        <v>44566</v>
      </c>
      <c r="B27">
        <v>0.5413</v>
      </c>
      <c r="C27">
        <v>0.65</v>
      </c>
      <c r="D27">
        <v>0.52149999999999996</v>
      </c>
      <c r="E27">
        <v>0.56899999999999995</v>
      </c>
      <c r="F27">
        <v>80299523</v>
      </c>
      <c r="G27">
        <v>0.56899999999999995</v>
      </c>
      <c r="L27" t="s">
        <v>8</v>
      </c>
      <c r="M27" t="s">
        <v>8</v>
      </c>
      <c r="N27" t="s">
        <v>8</v>
      </c>
      <c r="P27">
        <f t="shared" ref="P27" si="110">IF(C27=D27,0,((E27-D27)-(C27-E27))/(C27-D27))</f>
        <v>-0.26070038910505888</v>
      </c>
      <c r="Q27">
        <f t="shared" ref="Q27" si="111">F27*P27</f>
        <v>-20934116.891050626</v>
      </c>
      <c r="R27">
        <f t="shared" ref="R27" si="112">R28+Q27</f>
        <v>-132132882.33700979</v>
      </c>
      <c r="S27">
        <f t="shared" ref="S27" si="113">R27/100000</f>
        <v>-1321.3288233700978</v>
      </c>
      <c r="T27">
        <f t="shared" ref="T27" si="114">S27/1000</f>
        <v>-1.3213288233700977</v>
      </c>
    </row>
    <row r="28" spans="1:20" x14ac:dyDescent="0.25">
      <c r="A28" s="5">
        <v>44565</v>
      </c>
      <c r="B28">
        <v>0.53490000000000004</v>
      </c>
      <c r="C28">
        <v>0.56589999999999996</v>
      </c>
      <c r="D28">
        <v>0.52059999999999995</v>
      </c>
      <c r="E28">
        <v>0.5413</v>
      </c>
      <c r="F28">
        <v>18776012</v>
      </c>
      <c r="G28">
        <v>0.5413</v>
      </c>
      <c r="L28" t="s">
        <v>8</v>
      </c>
      <c r="M28" t="s">
        <v>7</v>
      </c>
      <c r="N28" t="s">
        <v>7</v>
      </c>
      <c r="P28">
        <f t="shared" ref="P28" si="115">IF(C28=D28,0,((E28-D28)-(C28-E28))/(C28-D28))</f>
        <v>-8.6092715231785938E-2</v>
      </c>
      <c r="Q28">
        <f t="shared" ref="Q28" si="116">F28*P28</f>
        <v>-1616477.8543045956</v>
      </c>
      <c r="R28">
        <f t="shared" ref="R28" si="117">R29+Q28</f>
        <v>-111198765.44595917</v>
      </c>
      <c r="S28">
        <f t="shared" ref="S28" si="118">R28/100000</f>
        <v>-1111.9876544595916</v>
      </c>
      <c r="T28">
        <f t="shared" ref="T28" si="119">S28/1000</f>
        <v>-1.1119876544595915</v>
      </c>
    </row>
    <row r="29" spans="1:20" x14ac:dyDescent="0.25">
      <c r="A29" s="5">
        <v>44564</v>
      </c>
      <c r="B29">
        <v>0.56610000000000005</v>
      </c>
      <c r="C29">
        <v>0.56979999999999997</v>
      </c>
      <c r="D29">
        <v>0.5232</v>
      </c>
      <c r="E29">
        <v>0.53549999999999998</v>
      </c>
      <c r="F29">
        <v>15701337</v>
      </c>
      <c r="G29">
        <v>0.53549999999999998</v>
      </c>
      <c r="L29" t="s">
        <v>7</v>
      </c>
      <c r="M29" t="s">
        <v>7</v>
      </c>
      <c r="N29" t="s">
        <v>7</v>
      </c>
      <c r="P29">
        <f t="shared" ref="P29" si="120">IF(C29=D29,0,((E29-D29)-(C29-E29))/(C29-D29))</f>
        <v>-0.47210300429184615</v>
      </c>
      <c r="Q29">
        <f t="shared" ref="Q29" si="121">F29*P29</f>
        <v>-7412648.3690987229</v>
      </c>
      <c r="R29">
        <f t="shared" ref="R29" si="122">R30+Q29</f>
        <v>-109582287.59165457</v>
      </c>
      <c r="S29">
        <f t="shared" ref="S29" si="123">R29/100000</f>
        <v>-1095.8228759165456</v>
      </c>
      <c r="T29">
        <f t="shared" ref="T29" si="124">S29/1000</f>
        <v>-1.0958228759165456</v>
      </c>
    </row>
    <row r="30" spans="1:20" x14ac:dyDescent="0.25">
      <c r="A30" s="5">
        <v>44563</v>
      </c>
      <c r="B30">
        <v>0.52310000000000001</v>
      </c>
      <c r="C30">
        <v>0.56979999999999997</v>
      </c>
      <c r="D30">
        <v>0.51870000000000005</v>
      </c>
      <c r="E30">
        <v>0.56610000000000005</v>
      </c>
      <c r="F30">
        <v>19046422</v>
      </c>
      <c r="G30">
        <v>0.56610000000000005</v>
      </c>
      <c r="L30" t="s">
        <v>8</v>
      </c>
      <c r="M30" t="s">
        <v>7</v>
      </c>
      <c r="N30" t="s">
        <v>7</v>
      </c>
      <c r="P30">
        <f t="shared" ref="P30" si="125">IF(C30=D30,0,((E30-D30)-(C30-E30))/(C30-D30))</f>
        <v>0.8551859099804332</v>
      </c>
      <c r="Q30">
        <f t="shared" ref="Q30" si="126">F30*P30</f>
        <v>16288231.729941342</v>
      </c>
      <c r="R30">
        <f t="shared" ref="R30" si="127">R31+Q30</f>
        <v>-102169639.22255585</v>
      </c>
      <c r="S30">
        <f t="shared" ref="S30" si="128">R30/100000</f>
        <v>-1021.6963922255585</v>
      </c>
      <c r="T30">
        <f t="shared" ref="T30" si="129">S30/1000</f>
        <v>-1.0216963922255584</v>
      </c>
    </row>
    <row r="31" spans="1:20" x14ac:dyDescent="0.25">
      <c r="A31" s="5">
        <v>44562</v>
      </c>
      <c r="B31">
        <v>0.50219999999999998</v>
      </c>
      <c r="C31">
        <v>0.52729999999999999</v>
      </c>
      <c r="D31">
        <v>0.50080000000000002</v>
      </c>
      <c r="E31">
        <v>0.52310000000000001</v>
      </c>
      <c r="F31">
        <v>24396149</v>
      </c>
      <c r="G31">
        <v>0.52310000000000001</v>
      </c>
      <c r="L31" t="s">
        <v>8</v>
      </c>
      <c r="M31" t="s">
        <v>7</v>
      </c>
      <c r="N31" t="s">
        <v>7</v>
      </c>
      <c r="P31">
        <f t="shared" ref="P31" si="130">IF(C31=D31,0,((E31-D31)-(C31-E31))/(C31-D31))</f>
        <v>0.68301886792452926</v>
      </c>
      <c r="Q31">
        <f t="shared" ref="Q31" si="131">F31*P31</f>
        <v>16663030.071698137</v>
      </c>
      <c r="R31">
        <f t="shared" ref="R31" si="132">R32+Q31</f>
        <v>-118457870.95249718</v>
      </c>
      <c r="S31">
        <f t="shared" ref="S31" si="133">R31/100000</f>
        <v>-1184.5787095249718</v>
      </c>
      <c r="T31">
        <f t="shared" ref="T31" si="134">S31/1000</f>
        <v>-1.1845787095249718</v>
      </c>
    </row>
    <row r="32" spans="1:20" x14ac:dyDescent="0.25">
      <c r="A32" s="5">
        <v>44561</v>
      </c>
      <c r="B32">
        <v>0.495</v>
      </c>
      <c r="C32">
        <v>0.53990000000000005</v>
      </c>
      <c r="D32">
        <v>0.48570000000000002</v>
      </c>
      <c r="E32">
        <v>0.50249999999999995</v>
      </c>
      <c r="F32">
        <v>35050783</v>
      </c>
      <c r="G32">
        <v>0.50249999999999995</v>
      </c>
      <c r="L32" t="s">
        <v>8</v>
      </c>
      <c r="M32" t="s">
        <v>7</v>
      </c>
      <c r="N32" t="s">
        <v>7</v>
      </c>
      <c r="P32">
        <f t="shared" ref="P32" si="135">IF(C32=D32,0,((E32-D32)-(C32-E32))/(C32-D32))</f>
        <v>-0.38007380073801039</v>
      </c>
      <c r="Q32">
        <f t="shared" ref="Q32" si="136">F32*P32</f>
        <v>-13321884.313653242</v>
      </c>
      <c r="R32">
        <f t="shared" ref="R32" si="137">R33+Q32</f>
        <v>-135120901.02419531</v>
      </c>
      <c r="S32">
        <f t="shared" ref="S32" si="138">R32/100000</f>
        <v>-1351.2090102419531</v>
      </c>
      <c r="T32">
        <f t="shared" ref="T32" si="139">S32/1000</f>
        <v>-1.3512090102419532</v>
      </c>
    </row>
    <row r="33" spans="1:20" x14ac:dyDescent="0.25">
      <c r="A33" s="5">
        <v>44560</v>
      </c>
      <c r="B33">
        <v>0.50070000000000003</v>
      </c>
      <c r="C33">
        <v>0.51729999999999998</v>
      </c>
      <c r="D33">
        <v>0.48820000000000002</v>
      </c>
      <c r="E33">
        <v>0.495</v>
      </c>
      <c r="F33">
        <v>6892382</v>
      </c>
      <c r="G33">
        <v>0.495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-0.53264604810996685</v>
      </c>
      <c r="Q33">
        <f t="shared" ref="Q33" si="141">F33*P33</f>
        <v>-3671200.0343642696</v>
      </c>
      <c r="R33">
        <f t="shared" ref="R33" si="142">R34+Q33</f>
        <v>-121799016.71054207</v>
      </c>
      <c r="S33">
        <f t="shared" ref="S33" si="143">R33/100000</f>
        <v>-1217.9901671054206</v>
      </c>
      <c r="T33">
        <f t="shared" ref="T33" si="144">S33/1000</f>
        <v>-1.2179901671054205</v>
      </c>
    </row>
    <row r="34" spans="1:20" x14ac:dyDescent="0.25">
      <c r="A34" s="5">
        <v>44559</v>
      </c>
      <c r="B34">
        <v>0.51919999999999999</v>
      </c>
      <c r="C34">
        <v>0.53159999999999996</v>
      </c>
      <c r="D34">
        <v>0.4955</v>
      </c>
      <c r="E34">
        <v>0.50039999999999996</v>
      </c>
      <c r="F34">
        <v>7694690</v>
      </c>
      <c r="G34">
        <v>0.50039999999999996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-0.7285318559556806</v>
      </c>
      <c r="Q34">
        <f t="shared" ref="Q34" si="146">F34*P34</f>
        <v>-5605826.7867036164</v>
      </c>
      <c r="R34">
        <f t="shared" ref="R34" si="147">R35+Q34</f>
        <v>-118127816.6761778</v>
      </c>
      <c r="S34">
        <f t="shared" ref="S34" si="148">R34/100000</f>
        <v>-1181.278166761778</v>
      </c>
      <c r="T34">
        <f t="shared" ref="T34" si="149">S34/1000</f>
        <v>-1.181278166761778</v>
      </c>
    </row>
    <row r="35" spans="1:20" x14ac:dyDescent="0.25">
      <c r="A35" s="5">
        <v>44558</v>
      </c>
      <c r="B35">
        <v>0.56799999999999995</v>
      </c>
      <c r="C35">
        <v>0.57830000000000004</v>
      </c>
      <c r="D35">
        <v>0.51349999999999996</v>
      </c>
      <c r="E35">
        <v>0.52</v>
      </c>
      <c r="F35">
        <v>14702080</v>
      </c>
      <c r="G35">
        <v>0.52</v>
      </c>
      <c r="L35" t="s">
        <v>7</v>
      </c>
      <c r="M35" t="s">
        <v>7</v>
      </c>
      <c r="N35" t="s">
        <v>7</v>
      </c>
      <c r="P35">
        <f t="shared" ref="P35" si="150">IF(C35=D35,0,((E35-D35)-(C35-E35))/(C35-D35))</f>
        <v>-0.79938271604938105</v>
      </c>
      <c r="Q35">
        <f t="shared" ref="Q35" si="151">F35*P35</f>
        <v>-11752588.641975284</v>
      </c>
      <c r="R35">
        <f t="shared" ref="R35" si="152">R36+Q35</f>
        <v>-112521989.88947418</v>
      </c>
      <c r="S35">
        <f t="shared" ref="S35" si="153">R35/100000</f>
        <v>-1125.2198988947418</v>
      </c>
      <c r="T35">
        <f t="shared" ref="T35" si="154">S35/1000</f>
        <v>-1.1252198988947419</v>
      </c>
    </row>
    <row r="36" spans="1:20" x14ac:dyDescent="0.25">
      <c r="A36" s="5">
        <v>44557</v>
      </c>
      <c r="B36">
        <v>0.55879999999999996</v>
      </c>
      <c r="C36">
        <v>0.59699999999999998</v>
      </c>
      <c r="D36">
        <v>0.55359999999999998</v>
      </c>
      <c r="E36">
        <v>0.56779999999999997</v>
      </c>
      <c r="F36">
        <v>23903135</v>
      </c>
      <c r="G36">
        <v>0.56779999999999997</v>
      </c>
      <c r="L36" t="s">
        <v>8</v>
      </c>
      <c r="M36" t="s">
        <v>8</v>
      </c>
      <c r="N36" t="s">
        <v>7</v>
      </c>
      <c r="P36">
        <f t="shared" ref="P36" si="155">IF(C36=D36,0,((E36-D36)-(C36-E36))/(C36-D36))</f>
        <v>-0.34562211981566854</v>
      </c>
      <c r="Q36">
        <f t="shared" ref="Q36" si="156">F36*P36</f>
        <v>-8261452.1889401004</v>
      </c>
      <c r="R36">
        <f t="shared" ref="R36" si="157">R37+Q36</f>
        <v>-100769401.2474989</v>
      </c>
      <c r="S36">
        <f t="shared" ref="S36" si="158">R36/100000</f>
        <v>-1007.694012474989</v>
      </c>
      <c r="T36">
        <f t="shared" ref="T36" si="159">S36/1000</f>
        <v>-1.0076940124749889</v>
      </c>
    </row>
    <row r="37" spans="1:20" x14ac:dyDescent="0.25">
      <c r="A37" s="5">
        <v>44556</v>
      </c>
      <c r="B37">
        <v>0.56820000000000004</v>
      </c>
      <c r="C37">
        <v>0.5706</v>
      </c>
      <c r="D37">
        <v>0.54530000000000001</v>
      </c>
      <c r="E37">
        <v>0.55879999999999996</v>
      </c>
      <c r="F37">
        <v>35346544</v>
      </c>
      <c r="G37">
        <v>0.55879999999999996</v>
      </c>
      <c r="L37" t="s">
        <v>7</v>
      </c>
      <c r="M37" t="s">
        <v>8</v>
      </c>
      <c r="N37" t="s">
        <v>7</v>
      </c>
      <c r="P37">
        <f t="shared" ref="P37" si="160">IF(C37=D37,0,((E37-D37)-(C37-E37))/(C37-D37))</f>
        <v>6.719367588932508E-2</v>
      </c>
      <c r="Q37">
        <f t="shared" ref="Q37" si="161">F37*P37</f>
        <v>2375064.2213437683</v>
      </c>
      <c r="R37">
        <f t="shared" ref="R37" si="162">R38+Q37</f>
        <v>-92507949.058558792</v>
      </c>
      <c r="S37">
        <f t="shared" ref="S37" si="163">R37/100000</f>
        <v>-925.07949058558791</v>
      </c>
      <c r="T37">
        <f t="shared" ref="T37" si="164">S37/1000</f>
        <v>-0.92507949058558792</v>
      </c>
    </row>
    <row r="38" spans="1:20" x14ac:dyDescent="0.25">
      <c r="A38" s="5">
        <v>44555</v>
      </c>
      <c r="B38">
        <v>0.57269999999999999</v>
      </c>
      <c r="C38">
        <v>0.58799999999999997</v>
      </c>
      <c r="D38">
        <v>0.55189999999999995</v>
      </c>
      <c r="E38">
        <v>0.56810000000000005</v>
      </c>
      <c r="F38">
        <v>31250644</v>
      </c>
      <c r="G38">
        <v>0.56810000000000005</v>
      </c>
      <c r="L38" t="s">
        <v>7</v>
      </c>
      <c r="M38" t="s">
        <v>8</v>
      </c>
      <c r="N38" t="s">
        <v>7</v>
      </c>
      <c r="P38">
        <f t="shared" ref="P38" si="165">IF(C38=D38,0,((E38-D38)-(C38-E38))/(C38-D38))</f>
        <v>-0.10249307479223857</v>
      </c>
      <c r="Q38">
        <f t="shared" ref="Q38" si="166">F38*P38</f>
        <v>-3202974.5927976216</v>
      </c>
      <c r="R38">
        <f t="shared" ref="R38" si="167">R39+Q38</f>
        <v>-94883013.279902562</v>
      </c>
      <c r="S38">
        <f t="shared" ref="S38" si="168">R38/100000</f>
        <v>-948.83013279902559</v>
      </c>
      <c r="T38">
        <f t="shared" ref="T38" si="169">S38/1000</f>
        <v>-0.94883013279902562</v>
      </c>
    </row>
    <row r="39" spans="1:20" x14ac:dyDescent="0.25">
      <c r="A39" s="5">
        <v>44554</v>
      </c>
      <c r="B39">
        <v>0.5736</v>
      </c>
      <c r="C39">
        <v>0.61750000000000005</v>
      </c>
      <c r="D39">
        <v>0.56969999999999998</v>
      </c>
      <c r="E39">
        <v>0.57340000000000002</v>
      </c>
      <c r="F39">
        <v>15559958</v>
      </c>
      <c r="G39">
        <v>0.57340000000000002</v>
      </c>
      <c r="L39" t="s">
        <v>8</v>
      </c>
      <c r="M39" t="s">
        <v>8</v>
      </c>
      <c r="N39" t="s">
        <v>7</v>
      </c>
      <c r="P39">
        <f t="shared" ref="P39" si="170">IF(C39=D39,0,((E39-D39)-(C39-E39))/(C39-D39))</f>
        <v>-0.8451882845188271</v>
      </c>
      <c r="Q39">
        <f t="shared" ref="Q39" si="171">F39*P39</f>
        <v>-13151094.209205</v>
      </c>
      <c r="R39">
        <f t="shared" ref="R39" si="172">R40+Q39</f>
        <v>-91680038.68710494</v>
      </c>
      <c r="S39">
        <f t="shared" ref="S39" si="173">R39/100000</f>
        <v>-916.80038687104945</v>
      </c>
      <c r="T39">
        <f t="shared" ref="T39" si="174">S39/1000</f>
        <v>-0.91680038687104948</v>
      </c>
    </row>
    <row r="40" spans="1:20" x14ac:dyDescent="0.25">
      <c r="A40" s="5">
        <v>44553</v>
      </c>
      <c r="B40">
        <v>0.55430000000000001</v>
      </c>
      <c r="C40">
        <v>0.59</v>
      </c>
      <c r="D40">
        <v>0.53859999999999997</v>
      </c>
      <c r="E40">
        <v>0.57350000000000001</v>
      </c>
      <c r="F40">
        <v>13971022</v>
      </c>
      <c r="G40">
        <v>0.57350000000000001</v>
      </c>
      <c r="L40" t="s">
        <v>7</v>
      </c>
      <c r="M40" t="s">
        <v>8</v>
      </c>
      <c r="N40" t="s">
        <v>7</v>
      </c>
      <c r="P40">
        <f t="shared" ref="P40" si="175">IF(C40=D40,0,((E40-D40)-(C40-E40))/(C40-D40))</f>
        <v>0.35797665369649967</v>
      </c>
      <c r="Q40">
        <f t="shared" ref="Q40" si="176">F40*P40</f>
        <v>5001299.7042801781</v>
      </c>
      <c r="R40">
        <f t="shared" ref="R40" si="177">R41+Q40</f>
        <v>-78528944.477899939</v>
      </c>
      <c r="S40">
        <f t="shared" ref="S40" si="178">R40/100000</f>
        <v>-785.28944477899938</v>
      </c>
      <c r="T40">
        <f t="shared" ref="T40" si="179">S40/1000</f>
        <v>-0.78528944477899942</v>
      </c>
    </row>
    <row r="41" spans="1:20" x14ac:dyDescent="0.25">
      <c r="A41" s="5">
        <v>44552</v>
      </c>
      <c r="B41">
        <v>0.56259999999999999</v>
      </c>
      <c r="C41">
        <v>0.58930000000000005</v>
      </c>
      <c r="D41">
        <v>0.54390000000000005</v>
      </c>
      <c r="E41">
        <v>0.55469999999999997</v>
      </c>
      <c r="F41">
        <v>17874528</v>
      </c>
      <c r="G41">
        <v>0.55469999999999997</v>
      </c>
      <c r="L41" t="s">
        <v>7</v>
      </c>
      <c r="M41" t="s">
        <v>8</v>
      </c>
      <c r="N41" t="s">
        <v>7</v>
      </c>
      <c r="P41">
        <f t="shared" ref="P41" si="180">IF(C41=D41,0,((E41-D41)-(C41-E41))/(C41-D41))</f>
        <v>-0.52422907488987125</v>
      </c>
      <c r="Q41">
        <f t="shared" ref="Q41" si="181">F41*P41</f>
        <v>-9370347.2775331009</v>
      </c>
      <c r="R41">
        <f t="shared" ref="R41" si="182">R42+Q41</f>
        <v>-83530244.182180122</v>
      </c>
      <c r="S41">
        <f t="shared" ref="S41" si="183">R41/100000</f>
        <v>-835.30244182180127</v>
      </c>
      <c r="T41">
        <f t="shared" ref="T41" si="184">S41/1000</f>
        <v>-0.83530244182180124</v>
      </c>
    </row>
    <row r="42" spans="1:20" x14ac:dyDescent="0.25">
      <c r="A42" s="5">
        <v>44551</v>
      </c>
      <c r="B42">
        <v>0.47220000000000001</v>
      </c>
      <c r="C42">
        <v>0.59499999999999997</v>
      </c>
      <c r="D42">
        <v>0.47199999999999998</v>
      </c>
      <c r="E42">
        <v>0.5635</v>
      </c>
      <c r="F42">
        <v>85593845</v>
      </c>
      <c r="G42">
        <v>0.5635</v>
      </c>
      <c r="L42" t="s">
        <v>8</v>
      </c>
      <c r="M42" t="s">
        <v>8</v>
      </c>
      <c r="N42" t="s">
        <v>7</v>
      </c>
      <c r="P42">
        <f t="shared" ref="P42" si="185">IF(C42=D42,0,((E42-D42)-(C42-E42))/(C42-D42))</f>
        <v>0.48780487804878092</v>
      </c>
      <c r="Q42">
        <f t="shared" ref="Q42" si="186">F42*P42</f>
        <v>41753095.12195126</v>
      </c>
      <c r="R42">
        <f t="shared" ref="R42" si="187">R43+Q42</f>
        <v>-74159896.904647022</v>
      </c>
      <c r="S42">
        <f t="shared" ref="S42" si="188">R42/100000</f>
        <v>-741.59896904647019</v>
      </c>
      <c r="T42">
        <f t="shared" ref="T42" si="189">S42/1000</f>
        <v>-0.74159896904647016</v>
      </c>
    </row>
    <row r="43" spans="1:20" x14ac:dyDescent="0.25">
      <c r="A43" s="5">
        <v>44550</v>
      </c>
      <c r="B43">
        <v>0.4642</v>
      </c>
      <c r="C43">
        <v>0.47320000000000001</v>
      </c>
      <c r="D43">
        <v>0.43099999999999999</v>
      </c>
      <c r="E43">
        <v>0.47220000000000001</v>
      </c>
      <c r="F43">
        <v>14262009.300000001</v>
      </c>
      <c r="G43">
        <v>0.47220000000000001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0.95260663507109</v>
      </c>
      <c r="Q43">
        <f t="shared" ref="Q43" si="191">F43*P43</f>
        <v>13586084.688625593</v>
      </c>
      <c r="R43">
        <f t="shared" ref="R43" si="192">R44+Q43</f>
        <v>-115912992.02659829</v>
      </c>
      <c r="S43">
        <f t="shared" ref="S43" si="193">R43/100000</f>
        <v>-1159.1299202659829</v>
      </c>
      <c r="T43">
        <f t="shared" ref="T43" si="194">S43/1000</f>
        <v>-1.159129920265983</v>
      </c>
    </row>
    <row r="44" spans="1:20" x14ac:dyDescent="0.25">
      <c r="A44" s="5">
        <v>44549</v>
      </c>
      <c r="B44">
        <v>0.4768</v>
      </c>
      <c r="C44">
        <v>0.48659999999999998</v>
      </c>
      <c r="D44">
        <v>0.45950000000000002</v>
      </c>
      <c r="E44">
        <v>0.46479999999999999</v>
      </c>
      <c r="F44">
        <v>6172318</v>
      </c>
      <c r="G44">
        <v>0.46479999999999999</v>
      </c>
      <c r="L44" t="s">
        <v>7</v>
      </c>
      <c r="M44" t="s">
        <v>8</v>
      </c>
      <c r="N44" t="s">
        <v>7</v>
      </c>
      <c r="P44">
        <f t="shared" ref="P44" si="195">IF(C44=D44,0,((E44-D44)-(C44-E44))/(C44-D44))</f>
        <v>-0.60885608856088713</v>
      </c>
      <c r="Q44">
        <f t="shared" ref="Q44" si="196">F44*P44</f>
        <v>-3758053.3948339578</v>
      </c>
      <c r="R44">
        <f t="shared" ref="R44" si="197">R45+Q44</f>
        <v>-129499076.71522388</v>
      </c>
      <c r="S44">
        <f t="shared" ref="S44" si="198">R44/100000</f>
        <v>-1294.9907671522387</v>
      </c>
      <c r="T44">
        <f t="shared" ref="T44" si="199">S44/1000</f>
        <v>-1.2949907671522387</v>
      </c>
    </row>
    <row r="45" spans="1:20" x14ac:dyDescent="0.25">
      <c r="A45" s="5">
        <v>44548</v>
      </c>
      <c r="B45">
        <v>0.4723</v>
      </c>
      <c r="C45">
        <v>0.4924</v>
      </c>
      <c r="D45">
        <v>0.46</v>
      </c>
      <c r="E45">
        <v>0.47699999999999998</v>
      </c>
      <c r="F45">
        <v>5110031</v>
      </c>
      <c r="G45">
        <v>0.47699999999999998</v>
      </c>
      <c r="L45" t="s">
        <v>8</v>
      </c>
      <c r="M45" t="s">
        <v>8</v>
      </c>
      <c r="N45" t="s">
        <v>7</v>
      </c>
      <c r="P45">
        <f t="shared" ref="P45" si="200">IF(C45=D45,0,((E45-D45)-(C45-E45))/(C45-D45))</f>
        <v>4.9382716049380729E-2</v>
      </c>
      <c r="Q45">
        <f t="shared" ref="Q45" si="201">F45*P45</f>
        <v>252347.20987653304</v>
      </c>
      <c r="R45">
        <f t="shared" ref="R45" si="202">R46+Q45</f>
        <v>-125741023.32038993</v>
      </c>
      <c r="S45">
        <f t="shared" ref="S45" si="203">R45/100000</f>
        <v>-1257.4102332038992</v>
      </c>
      <c r="T45">
        <f t="shared" ref="T45" si="204">S45/1000</f>
        <v>-1.2574102332038992</v>
      </c>
    </row>
    <row r="46" spans="1:20" x14ac:dyDescent="0.25">
      <c r="A46" s="5">
        <v>44547</v>
      </c>
      <c r="B46">
        <v>0.49930000000000002</v>
      </c>
      <c r="C46">
        <v>0.50649999999999995</v>
      </c>
      <c r="D46">
        <v>0.45879999999999999</v>
      </c>
      <c r="E46">
        <v>0.47139999999999999</v>
      </c>
      <c r="F46">
        <v>9743115</v>
      </c>
      <c r="G46">
        <v>0.47139999999999999</v>
      </c>
      <c r="L46" t="s">
        <v>7</v>
      </c>
      <c r="M46" t="s">
        <v>8</v>
      </c>
      <c r="N46" t="s">
        <v>7</v>
      </c>
      <c r="P46">
        <f t="shared" ref="P46" si="205">IF(C46=D46,0,((E46-D46)-(C46-E46))/(C46-D46))</f>
        <v>-0.47169811320754679</v>
      </c>
      <c r="Q46">
        <f t="shared" ref="Q46" si="206">F46*P46</f>
        <v>-4595808.9622641476</v>
      </c>
      <c r="R46">
        <f t="shared" ref="R46" si="207">R47+Q46</f>
        <v>-125993370.53026646</v>
      </c>
      <c r="S46">
        <f t="shared" ref="S46" si="208">R46/100000</f>
        <v>-1259.9337053026647</v>
      </c>
      <c r="T46">
        <f t="shared" ref="T46" si="209">S46/1000</f>
        <v>-1.2599337053026647</v>
      </c>
    </row>
    <row r="47" spans="1:20" x14ac:dyDescent="0.25">
      <c r="A47" s="5">
        <v>44546</v>
      </c>
      <c r="B47">
        <v>0.50370000000000004</v>
      </c>
      <c r="C47">
        <v>0.53800000000000003</v>
      </c>
      <c r="D47">
        <v>0.49230000000000002</v>
      </c>
      <c r="E47">
        <v>0.4995</v>
      </c>
      <c r="F47">
        <v>12450992</v>
      </c>
      <c r="G47">
        <v>0.4995</v>
      </c>
      <c r="L47" t="s">
        <v>8</v>
      </c>
      <c r="M47" t="s">
        <v>8</v>
      </c>
      <c r="N47" t="s">
        <v>7</v>
      </c>
      <c r="P47">
        <f t="shared" ref="P47" si="210">IF(C47=D47,0,((E47-D47)-(C47-E47))/(C47-D47))</f>
        <v>-0.68490153172866608</v>
      </c>
      <c r="Q47">
        <f t="shared" ref="Q47" si="211">F47*P47</f>
        <v>-8527703.4923413675</v>
      </c>
      <c r="R47">
        <f t="shared" ref="R47" si="212">R48+Q47</f>
        <v>-121397561.56800231</v>
      </c>
      <c r="S47">
        <f t="shared" ref="S47" si="213">R47/100000</f>
        <v>-1213.9756156800231</v>
      </c>
      <c r="T47">
        <f t="shared" ref="T47" si="214">S47/1000</f>
        <v>-1.2139756156800232</v>
      </c>
    </row>
    <row r="48" spans="1:20" x14ac:dyDescent="0.25">
      <c r="A48" s="5">
        <v>44545</v>
      </c>
      <c r="B48">
        <v>0.48620000000000002</v>
      </c>
      <c r="C48">
        <v>0.5101</v>
      </c>
      <c r="D48">
        <v>0.4501</v>
      </c>
      <c r="E48">
        <v>0.50349999999999995</v>
      </c>
      <c r="F48">
        <v>15951678</v>
      </c>
      <c r="G48">
        <v>0.50349999999999995</v>
      </c>
      <c r="L48" t="s">
        <v>8</v>
      </c>
      <c r="M48" t="s">
        <v>7</v>
      </c>
      <c r="N48" t="s">
        <v>7</v>
      </c>
      <c r="P48">
        <f t="shared" ref="P48" si="215">IF(C48=D48,0,((E48-D48)-(C48-E48))/(C48-D48))</f>
        <v>0.77999999999999836</v>
      </c>
      <c r="Q48">
        <f t="shared" ref="Q48" si="216">F48*P48</f>
        <v>12442308.839999974</v>
      </c>
      <c r="R48">
        <f t="shared" ref="R48" si="217">R49+Q48</f>
        <v>-112869858.07566094</v>
      </c>
      <c r="S48">
        <f t="shared" ref="S48" si="218">R48/100000</f>
        <v>-1128.6985807566095</v>
      </c>
      <c r="T48">
        <f t="shared" ref="T48" si="219">S48/1000</f>
        <v>-1.1286985807566094</v>
      </c>
    </row>
    <row r="49" spans="1:20" x14ac:dyDescent="0.25">
      <c r="A49" s="5">
        <v>44544</v>
      </c>
      <c r="B49">
        <v>0.47820000000000001</v>
      </c>
      <c r="C49">
        <v>0.50509999999999999</v>
      </c>
      <c r="D49">
        <v>0.46500000000000002</v>
      </c>
      <c r="E49">
        <v>0.48630000000000001</v>
      </c>
      <c r="F49">
        <v>9873347</v>
      </c>
      <c r="G49">
        <v>0.48630000000000001</v>
      </c>
      <c r="L49" t="s">
        <v>8</v>
      </c>
      <c r="M49" t="s">
        <v>7</v>
      </c>
      <c r="N49" t="s">
        <v>7</v>
      </c>
      <c r="P49">
        <f t="shared" ref="P49" si="220">IF(C49=D49,0,((E49-D49)-(C49-E49))/(C49-D49))</f>
        <v>6.2344139650872925E-2</v>
      </c>
      <c r="Q49">
        <f t="shared" ref="Q49" si="221">F49*P49</f>
        <v>615545.32418952719</v>
      </c>
      <c r="R49">
        <f t="shared" ref="R49" si="222">R50+Q49</f>
        <v>-125312166.91566092</v>
      </c>
      <c r="S49">
        <f t="shared" ref="S49" si="223">R49/100000</f>
        <v>-1253.1216691566092</v>
      </c>
      <c r="T49">
        <f t="shared" ref="T49" si="224">S49/1000</f>
        <v>-1.2531216691566092</v>
      </c>
    </row>
    <row r="50" spans="1:20" x14ac:dyDescent="0.25">
      <c r="A50" s="5">
        <v>44543</v>
      </c>
      <c r="B50">
        <v>0.5494</v>
      </c>
      <c r="C50">
        <v>0.55379999999999996</v>
      </c>
      <c r="D50">
        <v>0.46260000000000001</v>
      </c>
      <c r="E50">
        <v>0.47860000000000003</v>
      </c>
      <c r="F50">
        <v>15367186.800000001</v>
      </c>
      <c r="G50">
        <v>0.47860000000000003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-0.64912280701754332</v>
      </c>
      <c r="Q50">
        <f t="shared" ref="Q50" si="226">F50*P50</f>
        <v>-9975191.4315789398</v>
      </c>
      <c r="R50">
        <f t="shared" ref="R50" si="227">R51+Q50</f>
        <v>-125927712.23985045</v>
      </c>
      <c r="S50">
        <f t="shared" ref="S50" si="228">R50/100000</f>
        <v>-1259.2771223985044</v>
      </c>
      <c r="T50">
        <f t="shared" ref="T50" si="229">S50/1000</f>
        <v>-1.2592771223985044</v>
      </c>
    </row>
    <row r="51" spans="1:20" x14ac:dyDescent="0.25">
      <c r="A51" s="5">
        <v>44542</v>
      </c>
      <c r="B51">
        <v>0.5323</v>
      </c>
      <c r="C51">
        <v>0.55389999999999995</v>
      </c>
      <c r="D51">
        <v>0.51910000000000001</v>
      </c>
      <c r="E51">
        <v>0.54900000000000004</v>
      </c>
      <c r="F51">
        <v>14384100</v>
      </c>
      <c r="G51">
        <v>0.54900000000000004</v>
      </c>
      <c r="L51" t="s">
        <v>8</v>
      </c>
      <c r="M51" t="s">
        <v>7</v>
      </c>
      <c r="N51" t="s">
        <v>7</v>
      </c>
      <c r="P51">
        <f t="shared" ref="P51" si="230">IF(C51=D51,0,((E51-D51)-(C51-E51))/(C51-D51))</f>
        <v>0.71839080459770621</v>
      </c>
      <c r="Q51">
        <f t="shared" ref="Q51" si="231">F51*P51</f>
        <v>10333405.172413865</v>
      </c>
      <c r="R51">
        <f t="shared" ref="R51" si="232">R52+Q51</f>
        <v>-115952520.80827151</v>
      </c>
      <c r="S51">
        <f t="shared" ref="S51" si="233">R51/100000</f>
        <v>-1159.5252080827152</v>
      </c>
      <c r="T51">
        <f t="shared" ref="T51" si="234">S51/1000</f>
        <v>-1.1595252080827152</v>
      </c>
    </row>
    <row r="52" spans="1:20" x14ac:dyDescent="0.25">
      <c r="A52" s="5">
        <v>44541</v>
      </c>
      <c r="B52">
        <v>0.50960000000000005</v>
      </c>
      <c r="C52">
        <v>0.5171</v>
      </c>
      <c r="D52">
        <v>0.49740000000000001</v>
      </c>
      <c r="E52">
        <v>0.51259999999999994</v>
      </c>
      <c r="F52">
        <v>1276392.5</v>
      </c>
      <c r="G52">
        <v>0.51259999999999994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0.54314720812182127</v>
      </c>
      <c r="Q52">
        <f t="shared" ref="Q52" si="236">F52*P52</f>
        <v>693269.02284263179</v>
      </c>
      <c r="R52">
        <f t="shared" ref="R52" si="237">R53+Q52</f>
        <v>-126285925.98068538</v>
      </c>
      <c r="S52">
        <f t="shared" ref="S52" si="238">R52/100000</f>
        <v>-1262.8592598068537</v>
      </c>
      <c r="T52">
        <f t="shared" ref="T52" si="239">S52/1000</f>
        <v>-1.2628592598068538</v>
      </c>
    </row>
    <row r="53" spans="1:20" x14ac:dyDescent="0.25">
      <c r="A53" s="5">
        <v>44540</v>
      </c>
      <c r="B53">
        <v>0.53290000000000004</v>
      </c>
      <c r="C53">
        <v>0.5766</v>
      </c>
      <c r="D53">
        <v>0.50619999999999998</v>
      </c>
      <c r="E53">
        <v>0.50949999999999995</v>
      </c>
      <c r="F53">
        <v>10450505</v>
      </c>
      <c r="G53">
        <v>0.50949999999999995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-0.90625000000000089</v>
      </c>
      <c r="Q53">
        <f t="shared" ref="Q53" si="241">F53*P53</f>
        <v>-9470770.1562500093</v>
      </c>
      <c r="R53">
        <f t="shared" ref="R53" si="242">R54+Q53</f>
        <v>-126979195.00352801</v>
      </c>
      <c r="S53">
        <f t="shared" ref="S53" si="243">R53/100000</f>
        <v>-1269.7919500352803</v>
      </c>
      <c r="T53">
        <f t="shared" ref="T53" si="244">S53/1000</f>
        <v>-1.2697919500352803</v>
      </c>
    </row>
    <row r="54" spans="1:20" x14ac:dyDescent="0.25">
      <c r="A54" s="5">
        <v>44539</v>
      </c>
      <c r="B54">
        <v>0.61470000000000002</v>
      </c>
      <c r="C54">
        <v>0.61680000000000001</v>
      </c>
      <c r="D54">
        <v>0.53239999999999998</v>
      </c>
      <c r="E54">
        <v>0.53280000000000005</v>
      </c>
      <c r="F54">
        <v>19428465</v>
      </c>
      <c r="G54">
        <v>0.53280000000000005</v>
      </c>
      <c r="L54" t="s">
        <v>7</v>
      </c>
      <c r="M54" t="s">
        <v>8</v>
      </c>
      <c r="N54" t="s">
        <v>7</v>
      </c>
      <c r="P54">
        <f t="shared" ref="P54" si="245">IF(C54=D54,0,((E54-D54)-(C54-E54))/(C54-D54))</f>
        <v>-0.99052132701421647</v>
      </c>
      <c r="Q54">
        <f t="shared" ref="Q54" si="246">F54*P54</f>
        <v>-19244308.933649261</v>
      </c>
      <c r="R54">
        <f t="shared" ref="R54" si="247">R55+Q54</f>
        <v>-117508424.847278</v>
      </c>
      <c r="S54">
        <f t="shared" ref="S54" si="248">R54/100000</f>
        <v>-1175.08424847278</v>
      </c>
      <c r="T54">
        <f t="shared" ref="T54" si="249">S54/1000</f>
        <v>-1.1750842484727799</v>
      </c>
    </row>
    <row r="55" spans="1:20" x14ac:dyDescent="0.25">
      <c r="A55" s="5">
        <v>44538</v>
      </c>
      <c r="B55">
        <v>0.5786</v>
      </c>
      <c r="C55">
        <v>0.61609999999999998</v>
      </c>
      <c r="D55">
        <v>0.55059999999999998</v>
      </c>
      <c r="E55">
        <v>0.61439999999999995</v>
      </c>
      <c r="F55">
        <v>25374689</v>
      </c>
      <c r="G55">
        <v>0.61439999999999995</v>
      </c>
      <c r="L55" t="s">
        <v>7</v>
      </c>
      <c r="M55" t="s">
        <v>8</v>
      </c>
      <c r="N55" t="s">
        <v>7</v>
      </c>
      <c r="P55">
        <f t="shared" ref="P55" si="250">IF(C55=D55,0,((E55-D55)-(C55-E55))/(C55-D55))</f>
        <v>0.9480916030534341</v>
      </c>
      <c r="Q55">
        <f t="shared" ref="Q55" si="251">F55*P55</f>
        <v>24057529.570992339</v>
      </c>
      <c r="R55">
        <f t="shared" ref="R55" si="252">R56+Q55</f>
        <v>-98264115.913628742</v>
      </c>
      <c r="S55">
        <f t="shared" ref="S55" si="253">R55/100000</f>
        <v>-982.64115913628746</v>
      </c>
      <c r="T55">
        <f t="shared" ref="T55" si="254">S55/1000</f>
        <v>-0.98264115913628747</v>
      </c>
    </row>
    <row r="56" spans="1:20" x14ac:dyDescent="0.25">
      <c r="A56" s="5">
        <v>44537</v>
      </c>
      <c r="B56">
        <v>0.60360000000000003</v>
      </c>
      <c r="C56">
        <v>0.63180000000000003</v>
      </c>
      <c r="D56">
        <v>0.56999999999999995</v>
      </c>
      <c r="E56">
        <v>0.57920000000000005</v>
      </c>
      <c r="F56">
        <v>24284605</v>
      </c>
      <c r="G56">
        <v>0.57920000000000005</v>
      </c>
      <c r="L56" t="s">
        <v>8</v>
      </c>
      <c r="M56" t="s">
        <v>8</v>
      </c>
      <c r="N56" t="s">
        <v>7</v>
      </c>
      <c r="P56">
        <f t="shared" ref="P56" si="255">IF(C56=D56,0,((E56-D56)-(C56-E56))/(C56-D56))</f>
        <v>-0.702265372168282</v>
      </c>
      <c r="Q56">
        <f t="shared" ref="Q56" si="256">F56*P56</f>
        <v>-17054237.168284722</v>
      </c>
      <c r="R56">
        <f t="shared" ref="R56" si="257">R57+Q56</f>
        <v>-122321645.48462108</v>
      </c>
      <c r="S56">
        <f t="shared" ref="S56" si="258">R56/100000</f>
        <v>-1223.2164548462108</v>
      </c>
      <c r="T56">
        <f t="shared" ref="T56" si="259">S56/1000</f>
        <v>-1.2232164548462108</v>
      </c>
    </row>
    <row r="57" spans="1:20" x14ac:dyDescent="0.25">
      <c r="A57" s="5">
        <v>44536</v>
      </c>
      <c r="B57">
        <v>0.6048</v>
      </c>
      <c r="C57">
        <v>0.623</v>
      </c>
      <c r="D57">
        <v>0.51580000000000004</v>
      </c>
      <c r="E57">
        <v>0.60389999999999999</v>
      </c>
      <c r="F57">
        <v>37202584</v>
      </c>
      <c r="G57">
        <v>0.60389999999999999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0.64365671641791022</v>
      </c>
      <c r="Q57">
        <f t="shared" ref="Q57" si="261">F57*P57</f>
        <v>23945693.059701484</v>
      </c>
      <c r="R57">
        <f t="shared" ref="R57" si="262">R58+Q57</f>
        <v>-105267408.31633635</v>
      </c>
      <c r="S57">
        <f t="shared" ref="S57" si="263">R57/100000</f>
        <v>-1052.6740831633635</v>
      </c>
      <c r="T57">
        <f t="shared" ref="T57" si="264">S57/1000</f>
        <v>-1.0526740831633636</v>
      </c>
    </row>
    <row r="58" spans="1:20" x14ac:dyDescent="0.25">
      <c r="A58" s="5">
        <v>44535</v>
      </c>
      <c r="B58">
        <v>0.67749999999999999</v>
      </c>
      <c r="C58">
        <v>0.69199999999999995</v>
      </c>
      <c r="D58">
        <v>0.59209999999999996</v>
      </c>
      <c r="E58">
        <v>0.60429999999999995</v>
      </c>
      <c r="F58">
        <v>51530704</v>
      </c>
      <c r="G58">
        <v>0.60429999999999995</v>
      </c>
      <c r="L58" t="s">
        <v>7</v>
      </c>
      <c r="M58" t="s">
        <v>7</v>
      </c>
      <c r="N58" t="s">
        <v>7</v>
      </c>
      <c r="P58">
        <f t="shared" ref="P58" si="265">IF(C58=D58,0,((E58-D58)-(C58-E58))/(C58-D58))</f>
        <v>-0.75575575575575593</v>
      </c>
      <c r="Q58">
        <f t="shared" ref="Q58" si="266">F58*P58</f>
        <v>-38944626.146146156</v>
      </c>
      <c r="R58">
        <f t="shared" ref="R58" si="267">R59+Q58</f>
        <v>-129213101.37603784</v>
      </c>
      <c r="S58">
        <f t="shared" ref="S58" si="268">R58/100000</f>
        <v>-1292.1310137603784</v>
      </c>
      <c r="T58">
        <f t="shared" ref="T58" si="269">S58/1000</f>
        <v>-1.2921310137603785</v>
      </c>
    </row>
    <row r="59" spans="1:20" x14ac:dyDescent="0.25">
      <c r="A59" s="5">
        <v>44534</v>
      </c>
      <c r="B59">
        <v>0.75900000000000001</v>
      </c>
      <c r="C59">
        <v>0.76380000000000003</v>
      </c>
      <c r="D59">
        <v>0.5978</v>
      </c>
      <c r="E59">
        <v>0.67810000000000004</v>
      </c>
      <c r="F59">
        <v>63702448</v>
      </c>
      <c r="G59">
        <v>0.67810000000000004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-3.2530120481927466E-2</v>
      </c>
      <c r="Q59">
        <f t="shared" ref="Q59" si="271">F59*P59</f>
        <v>-2072248.3084337194</v>
      </c>
      <c r="R59">
        <f t="shared" ref="R59" si="272">R60+Q59</f>
        <v>-90268475.229891673</v>
      </c>
      <c r="S59">
        <f t="shared" ref="S59" si="273">R59/100000</f>
        <v>-902.68475229891669</v>
      </c>
      <c r="T59">
        <f t="shared" ref="T59" si="274">S59/1000</f>
        <v>-0.90268475229891665</v>
      </c>
    </row>
    <row r="60" spans="1:20" x14ac:dyDescent="0.25">
      <c r="A60" s="5">
        <v>44533</v>
      </c>
      <c r="B60">
        <v>0.73619999999999997</v>
      </c>
      <c r="C60">
        <v>0.82340000000000002</v>
      </c>
      <c r="D60">
        <v>0.72030000000000005</v>
      </c>
      <c r="E60">
        <v>0.76</v>
      </c>
      <c r="F60">
        <v>48480180</v>
      </c>
      <c r="G60">
        <v>0.76</v>
      </c>
      <c r="L60" t="s">
        <v>8</v>
      </c>
      <c r="M60" t="s">
        <v>8</v>
      </c>
      <c r="N60" t="s">
        <v>8</v>
      </c>
      <c r="P60">
        <f t="shared" ref="P60" si="275">IF(C60=D60,0,((E60-D60)-(C60-E60))/(C60-D60))</f>
        <v>-0.22987390882638276</v>
      </c>
      <c r="Q60">
        <f t="shared" ref="Q60" si="276">F60*P60</f>
        <v>-11144328.477206625</v>
      </c>
      <c r="R60">
        <f t="shared" ref="R60" si="277">R61+Q60</f>
        <v>-88196226.921457946</v>
      </c>
      <c r="S60">
        <f t="shared" ref="S60" si="278">R60/100000</f>
        <v>-881.96226921457946</v>
      </c>
      <c r="T60">
        <f t="shared" ref="T60" si="279">S60/1000</f>
        <v>-0.88196226921457943</v>
      </c>
    </row>
    <row r="61" spans="1:20" x14ac:dyDescent="0.25">
      <c r="A61" s="5">
        <v>44532</v>
      </c>
      <c r="B61">
        <v>0.75609999999999999</v>
      </c>
      <c r="C61">
        <v>0.77</v>
      </c>
      <c r="D61">
        <v>0.72799999999999998</v>
      </c>
      <c r="E61">
        <v>0.73670000000000002</v>
      </c>
      <c r="F61">
        <v>13873345</v>
      </c>
      <c r="G61">
        <v>0.73670000000000002</v>
      </c>
      <c r="L61" t="s">
        <v>7</v>
      </c>
      <c r="M61" t="s">
        <v>7</v>
      </c>
      <c r="N61" t="s">
        <v>8</v>
      </c>
      <c r="P61">
        <f t="shared" ref="P61" si="280">IF(C61=D61,0,((E61-D61)-(C61-E61))/(C61-D61))</f>
        <v>-0.58571428571428408</v>
      </c>
      <c r="Q61">
        <f t="shared" ref="Q61" si="281">F61*P61</f>
        <v>-8125816.357142834</v>
      </c>
      <c r="R61">
        <f t="shared" ref="R61" si="282">R62+Q61</f>
        <v>-77051898.444251329</v>
      </c>
      <c r="S61">
        <f t="shared" ref="S61" si="283">R61/100000</f>
        <v>-770.51898444251333</v>
      </c>
      <c r="T61">
        <f t="shared" ref="T61" si="284">S61/1000</f>
        <v>-0.77051898444251332</v>
      </c>
    </row>
    <row r="62" spans="1:20" x14ac:dyDescent="0.25">
      <c r="A62" s="5">
        <v>44531</v>
      </c>
      <c r="B62">
        <v>0.72929999999999995</v>
      </c>
      <c r="C62">
        <v>0.7974</v>
      </c>
      <c r="D62">
        <v>0.72709999999999997</v>
      </c>
      <c r="E62">
        <v>0.75649999999999995</v>
      </c>
      <c r="F62">
        <v>45275008</v>
      </c>
      <c r="G62">
        <v>0.75649999999999995</v>
      </c>
      <c r="L62" t="s">
        <v>8</v>
      </c>
      <c r="M62" t="s">
        <v>7</v>
      </c>
      <c r="N62" t="s">
        <v>8</v>
      </c>
      <c r="P62">
        <f t="shared" ref="P62" si="285">IF(C62=D62,0,((E62-D62)-(C62-E62))/(C62-D62))</f>
        <v>-0.16358463726884867</v>
      </c>
      <c r="Q62">
        <f t="shared" ref="Q62" si="286">F62*P62</f>
        <v>-7406295.7610242218</v>
      </c>
      <c r="R62">
        <f t="shared" ref="R62" si="287">R63+Q62</f>
        <v>-68926082.087108493</v>
      </c>
      <c r="S62">
        <f t="shared" ref="S62" si="288">R62/100000</f>
        <v>-689.26082087108489</v>
      </c>
      <c r="T62">
        <f t="shared" ref="T62" si="289">S62/1000</f>
        <v>-0.68926082087108487</v>
      </c>
    </row>
    <row r="63" spans="1:20" x14ac:dyDescent="0.25">
      <c r="A63" s="5">
        <v>44530</v>
      </c>
      <c r="B63">
        <v>0.74850000000000005</v>
      </c>
      <c r="C63">
        <v>0.76270000000000004</v>
      </c>
      <c r="D63">
        <v>0.72299999999999998</v>
      </c>
      <c r="E63">
        <v>0.72909999999999997</v>
      </c>
      <c r="F63">
        <v>46634809</v>
      </c>
      <c r="G63">
        <v>0.72909999999999997</v>
      </c>
      <c r="L63" t="s">
        <v>8</v>
      </c>
      <c r="M63" t="s">
        <v>7</v>
      </c>
      <c r="N63" t="s">
        <v>8</v>
      </c>
      <c r="P63">
        <f t="shared" ref="P63" si="290">IF(C63=D63,0,((E63-D63)-(C63-E63))/(C63-D63))</f>
        <v>-0.69269521410579427</v>
      </c>
      <c r="Q63">
        <f t="shared" ref="Q63" si="291">F63*P63</f>
        <v>-32303709.005037822</v>
      </c>
      <c r="R63">
        <f t="shared" ref="R63" si="292">R64+Q63</f>
        <v>-61519786.326084271</v>
      </c>
      <c r="S63">
        <f t="shared" ref="S63" si="293">R63/100000</f>
        <v>-615.19786326084272</v>
      </c>
      <c r="T63">
        <f t="shared" ref="T63" si="294">S63/1000</f>
        <v>-0.61519786326084269</v>
      </c>
    </row>
    <row r="64" spans="1:20" x14ac:dyDescent="0.25">
      <c r="A64" s="5">
        <v>44529</v>
      </c>
      <c r="B64">
        <v>0.76129999999999998</v>
      </c>
      <c r="C64">
        <v>0.76919999999999999</v>
      </c>
      <c r="D64">
        <v>0.72929999999999995</v>
      </c>
      <c r="E64">
        <v>0.74880000000000002</v>
      </c>
      <c r="F64">
        <v>10573405</v>
      </c>
      <c r="G64">
        <v>0.74880000000000002</v>
      </c>
      <c r="L64" t="s">
        <v>8</v>
      </c>
      <c r="M64" t="s">
        <v>7</v>
      </c>
      <c r="N64" t="s">
        <v>8</v>
      </c>
      <c r="P64">
        <f t="shared" ref="P64" si="295">IF(C64=D64,0,((E64-D64)-(C64-E64))/(C64-D64))</f>
        <v>-2.2556390977441099E-2</v>
      </c>
      <c r="Q64">
        <f t="shared" ref="Q64" si="296">F64*P64</f>
        <v>-238497.85714283062</v>
      </c>
      <c r="R64">
        <f t="shared" ref="R64" si="297">R65+Q64</f>
        <v>-29216077.321046453</v>
      </c>
      <c r="S64">
        <f t="shared" ref="S64" si="298">R64/100000</f>
        <v>-292.16077321046453</v>
      </c>
      <c r="T64">
        <f t="shared" ref="T64" si="299">S64/1000</f>
        <v>-0.29216077321046452</v>
      </c>
    </row>
    <row r="65" spans="1:20" x14ac:dyDescent="0.25">
      <c r="A65" s="5">
        <v>44528</v>
      </c>
      <c r="B65">
        <v>0.75239999999999996</v>
      </c>
      <c r="C65">
        <v>0.76690000000000003</v>
      </c>
      <c r="D65">
        <v>0.69430000000000003</v>
      </c>
      <c r="E65">
        <v>0.76129999999999998</v>
      </c>
      <c r="F65">
        <v>17793403</v>
      </c>
      <c r="G65">
        <v>0.76129999999999998</v>
      </c>
      <c r="L65" t="s">
        <v>7</v>
      </c>
      <c r="M65" t="s">
        <v>7</v>
      </c>
      <c r="N65" t="s">
        <v>8</v>
      </c>
      <c r="P65">
        <f t="shared" ref="P65" si="300">IF(C65=D65,0,((E65-D65)-(C65-E65))/(C65-D65))</f>
        <v>0.84573002754820803</v>
      </c>
      <c r="Q65">
        <f t="shared" ref="Q65" si="301">F65*P65</f>
        <v>15048415.209366368</v>
      </c>
      <c r="R65">
        <f t="shared" ref="R65" si="302">R66+Q65</f>
        <v>-28977579.463903621</v>
      </c>
      <c r="S65">
        <f t="shared" ref="S65" si="303">R65/100000</f>
        <v>-289.77579463903623</v>
      </c>
      <c r="T65">
        <f t="shared" ref="T65" si="304">S65/1000</f>
        <v>-0.28977579463903624</v>
      </c>
    </row>
    <row r="66" spans="1:20" x14ac:dyDescent="0.25">
      <c r="A66" s="5">
        <v>44527</v>
      </c>
      <c r="B66">
        <v>0.73099999999999998</v>
      </c>
      <c r="C66">
        <v>0.81559999999999999</v>
      </c>
      <c r="D66">
        <v>0.7238</v>
      </c>
      <c r="E66">
        <v>0.75309999999999999</v>
      </c>
      <c r="F66">
        <v>19021849</v>
      </c>
      <c r="G66">
        <v>0.75309999999999999</v>
      </c>
      <c r="L66" t="s">
        <v>8</v>
      </c>
      <c r="M66" t="s">
        <v>7</v>
      </c>
      <c r="N66" t="s">
        <v>8</v>
      </c>
      <c r="P66">
        <f t="shared" ref="P66" si="305">IF(C66=D66,0,((E66-D66)-(C66-E66))/(C66-D66))</f>
        <v>-0.36165577342047939</v>
      </c>
      <c r="Q66">
        <f t="shared" ref="Q66" si="306">F66*P66</f>
        <v>-6879361.5119825723</v>
      </c>
      <c r="R66">
        <f t="shared" ref="R66" si="307">R67+Q66</f>
        <v>-44025994.673269987</v>
      </c>
      <c r="S66">
        <f t="shared" ref="S66" si="308">R66/100000</f>
        <v>-440.25994673269986</v>
      </c>
      <c r="T66">
        <f t="shared" ref="T66" si="309">S66/1000</f>
        <v>-0.44025994673269986</v>
      </c>
    </row>
    <row r="67" spans="1:20" x14ac:dyDescent="0.25">
      <c r="A67" s="5">
        <v>44526</v>
      </c>
      <c r="B67">
        <v>0.82689999999999997</v>
      </c>
      <c r="C67">
        <v>0.83599999999999997</v>
      </c>
      <c r="D67">
        <v>0.70699999999999996</v>
      </c>
      <c r="E67">
        <v>0.73070000000000002</v>
      </c>
      <c r="F67">
        <v>25254645</v>
      </c>
      <c r="G67">
        <v>0.73070000000000002</v>
      </c>
      <c r="L67" t="s">
        <v>7</v>
      </c>
      <c r="M67" t="s">
        <v>7</v>
      </c>
      <c r="N67" t="s">
        <v>8</v>
      </c>
      <c r="P67">
        <f t="shared" ref="P67" si="310">IF(C67=D67,0,((E67-D67)-(C67-E67))/(C67-D67))</f>
        <v>-0.63255813953488293</v>
      </c>
      <c r="Q67">
        <f t="shared" ref="Q67" si="311">F67*P67</f>
        <v>-15975031.255813934</v>
      </c>
      <c r="R67">
        <f t="shared" ref="R67" si="312">R68+Q67</f>
        <v>-37146633.161287412</v>
      </c>
      <c r="S67">
        <f t="shared" ref="S67" si="313">R67/100000</f>
        <v>-371.46633161287411</v>
      </c>
      <c r="T67">
        <f t="shared" ref="T67" si="314">S67/1000</f>
        <v>-0.37146633161287412</v>
      </c>
    </row>
    <row r="68" spans="1:20" x14ac:dyDescent="0.25">
      <c r="A68" s="5">
        <v>44525</v>
      </c>
      <c r="B68">
        <v>0.79120000000000001</v>
      </c>
      <c r="C68">
        <v>0.82750000000000001</v>
      </c>
      <c r="D68">
        <v>0.77270000000000005</v>
      </c>
      <c r="E68">
        <v>0.82620000000000005</v>
      </c>
      <c r="F68">
        <v>22571605</v>
      </c>
      <c r="G68">
        <v>0.82620000000000005</v>
      </c>
      <c r="L68" t="s">
        <v>7</v>
      </c>
      <c r="M68" t="s">
        <v>7</v>
      </c>
      <c r="N68" t="s">
        <v>8</v>
      </c>
      <c r="P68">
        <f t="shared" ref="P68" si="315">IF(C68=D68,0,((E68-D68)-(C68-E68))/(C68-D68))</f>
        <v>0.95255474452554856</v>
      </c>
      <c r="Q68">
        <f t="shared" ref="Q68" si="316">F68*P68</f>
        <v>21500689.434306595</v>
      </c>
      <c r="R68">
        <f t="shared" ref="R68" si="317">R69+Q68</f>
        <v>-21171601.905473482</v>
      </c>
      <c r="S68">
        <f t="shared" ref="S68" si="318">R68/100000</f>
        <v>-211.71601905473483</v>
      </c>
      <c r="T68">
        <f t="shared" ref="T68" si="319">S68/1000</f>
        <v>-0.21171601905473483</v>
      </c>
    </row>
    <row r="69" spans="1:20" x14ac:dyDescent="0.25">
      <c r="A69" s="5">
        <v>44524</v>
      </c>
      <c r="B69">
        <v>0.82110000000000005</v>
      </c>
      <c r="C69">
        <v>0.83499999999999996</v>
      </c>
      <c r="D69">
        <v>0.79759999999999998</v>
      </c>
      <c r="E69">
        <v>0.80700000000000005</v>
      </c>
      <c r="F69">
        <v>5036975</v>
      </c>
      <c r="G69">
        <v>0.80700000000000005</v>
      </c>
      <c r="L69" t="s">
        <v>7</v>
      </c>
      <c r="M69" t="s">
        <v>7</v>
      </c>
      <c r="N69" t="s">
        <v>8</v>
      </c>
      <c r="P69">
        <f t="shared" ref="P69" si="320">IF(C69=D69,0,((E69-D69)-(C69-E69))/(C69-D69))</f>
        <v>-0.49732620320855198</v>
      </c>
      <c r="Q69">
        <f t="shared" ref="Q69" si="321">F69*P69</f>
        <v>-2505019.6524063959</v>
      </c>
      <c r="R69">
        <f t="shared" ref="R69" si="322">R70+Q69</f>
        <v>-42672291.339780077</v>
      </c>
      <c r="S69">
        <f t="shared" ref="S69" si="323">R69/100000</f>
        <v>-426.72291339780077</v>
      </c>
      <c r="T69">
        <f t="shared" ref="T69" si="324">S69/1000</f>
        <v>-0.42672291339780077</v>
      </c>
    </row>
    <row r="70" spans="1:20" x14ac:dyDescent="0.25">
      <c r="A70" s="5">
        <v>44523</v>
      </c>
      <c r="B70">
        <v>0.84370000000000001</v>
      </c>
      <c r="C70">
        <v>0.85650000000000004</v>
      </c>
      <c r="D70">
        <v>0.80979999999999996</v>
      </c>
      <c r="E70">
        <v>0.82110000000000005</v>
      </c>
      <c r="F70">
        <v>22044148</v>
      </c>
      <c r="G70">
        <v>0.82110000000000005</v>
      </c>
      <c r="L70" t="s">
        <v>7</v>
      </c>
      <c r="M70" t="s">
        <v>7</v>
      </c>
      <c r="N70" t="s">
        <v>8</v>
      </c>
      <c r="P70">
        <f t="shared" ref="P70" si="325">IF(C70=D70,0,((E70-D70)-(C70-E70))/(C70-D70))</f>
        <v>-0.51605995717344455</v>
      </c>
      <c r="Q70">
        <f t="shared" ref="Q70" si="326">F70*P70</f>
        <v>-11376102.072805073</v>
      </c>
      <c r="R70">
        <f t="shared" ref="R70" si="327">R71+Q70</f>
        <v>-40167271.687373683</v>
      </c>
      <c r="S70">
        <f t="shared" ref="S70" si="328">R70/100000</f>
        <v>-401.67271687373682</v>
      </c>
      <c r="T70">
        <f t="shared" ref="T70" si="329">S70/1000</f>
        <v>-0.40167271687373679</v>
      </c>
    </row>
    <row r="71" spans="1:20" x14ac:dyDescent="0.25">
      <c r="A71" s="5">
        <v>44522</v>
      </c>
      <c r="B71">
        <v>0.90210000000000001</v>
      </c>
      <c r="C71">
        <v>0.99</v>
      </c>
      <c r="D71">
        <v>0.81200000000000006</v>
      </c>
      <c r="E71">
        <v>0.84489999999999998</v>
      </c>
      <c r="F71">
        <v>84557197</v>
      </c>
      <c r="G71">
        <v>0.84489999999999998</v>
      </c>
      <c r="L71" t="s">
        <v>8</v>
      </c>
      <c r="M71" t="s">
        <v>8</v>
      </c>
      <c r="N71" t="s">
        <v>8</v>
      </c>
      <c r="P71">
        <f t="shared" ref="P71" si="330">IF(C71=D71,0,((E71-D71)-(C71-E71))/(C71-D71))</f>
        <v>-0.63033707865168609</v>
      </c>
      <c r="Q71">
        <f t="shared" ref="Q71" si="331">F71*P71</f>
        <v>-53299536.535955116</v>
      </c>
      <c r="R71">
        <f t="shared" ref="R71" si="332">R72+Q71</f>
        <v>-28791169.614568606</v>
      </c>
      <c r="S71">
        <f t="shared" ref="S71" si="333">R71/100000</f>
        <v>-287.91169614568605</v>
      </c>
      <c r="T71">
        <f t="shared" ref="T71" si="334">S71/1000</f>
        <v>-0.28791169614568607</v>
      </c>
    </row>
    <row r="72" spans="1:20" x14ac:dyDescent="0.25">
      <c r="A72" s="5">
        <v>44521</v>
      </c>
      <c r="B72">
        <v>0.83299999999999996</v>
      </c>
      <c r="C72">
        <v>0.91</v>
      </c>
      <c r="D72">
        <v>0.78869999999999996</v>
      </c>
      <c r="E72">
        <v>0.90139999999999998</v>
      </c>
      <c r="F72">
        <v>30309154</v>
      </c>
      <c r="G72">
        <v>0.90139999999999998</v>
      </c>
      <c r="L72" t="s">
        <v>8</v>
      </c>
      <c r="M72" t="s">
        <v>8</v>
      </c>
      <c r="N72" t="s">
        <v>8</v>
      </c>
      <c r="P72">
        <f t="shared" ref="P72" si="335">IF(C72=D72,0,((E72-D72)-(C72-E72))/(C72-D72))</f>
        <v>0.85820280296784757</v>
      </c>
      <c r="Q72">
        <f t="shared" ref="Q72" si="336">F72*P72</f>
        <v>26011400.91838415</v>
      </c>
      <c r="R72">
        <f t="shared" ref="R72" si="337">R73+Q72</f>
        <v>24508366.92138651</v>
      </c>
      <c r="S72">
        <f t="shared" ref="S72" si="338">R72/100000</f>
        <v>245.08366921386511</v>
      </c>
      <c r="T72">
        <f t="shared" ref="T72" si="339">S72/1000</f>
        <v>0.2450836692138651</v>
      </c>
    </row>
    <row r="73" spans="1:20" x14ac:dyDescent="0.25">
      <c r="A73" s="5">
        <v>44520</v>
      </c>
      <c r="B73">
        <v>0.72070000000000001</v>
      </c>
      <c r="C73">
        <v>0.84989999999999999</v>
      </c>
      <c r="D73">
        <v>0.71799999999999997</v>
      </c>
      <c r="E73">
        <v>0.83299999999999996</v>
      </c>
      <c r="F73">
        <v>36398365</v>
      </c>
      <c r="G73">
        <v>0.83299999999999996</v>
      </c>
      <c r="L73" t="s">
        <v>8</v>
      </c>
      <c r="M73" t="s">
        <v>8</v>
      </c>
      <c r="N73" t="s">
        <v>7</v>
      </c>
      <c r="P73">
        <f t="shared" ref="P73" si="340">IF(C73=D73,0,((E73-D73)-(C73-E73))/(C73-D73))</f>
        <v>0.74374526156178888</v>
      </c>
      <c r="Q73">
        <f t="shared" ref="Q73" si="341">F73*P73</f>
        <v>27071111.497346461</v>
      </c>
      <c r="R73">
        <f t="shared" ref="R73" si="342">R74+Q73</f>
        <v>-1503033.9969976395</v>
      </c>
      <c r="S73">
        <f t="shared" ref="S73" si="343">R73/100000</f>
        <v>-15.030339969976396</v>
      </c>
      <c r="T73">
        <f t="shared" ref="T73" si="344">S73/1000</f>
        <v>-1.5030339969976396E-2</v>
      </c>
    </row>
    <row r="74" spans="1:20" x14ac:dyDescent="0.25">
      <c r="A74" s="5">
        <v>44519</v>
      </c>
      <c r="B74">
        <v>0.68179999999999996</v>
      </c>
      <c r="C74">
        <v>0.78959999999999997</v>
      </c>
      <c r="D74">
        <v>0.6673</v>
      </c>
      <c r="E74">
        <v>0.72070000000000001</v>
      </c>
      <c r="F74">
        <v>25082893</v>
      </c>
      <c r="G74">
        <v>0.72070000000000001</v>
      </c>
      <c r="L74" t="s">
        <v>8</v>
      </c>
      <c r="M74" t="s">
        <v>8</v>
      </c>
      <c r="N74" t="s">
        <v>7</v>
      </c>
      <c r="P74">
        <f t="shared" ref="P74" si="345">IF(C74=D74,0,((E74-D74)-(C74-E74))/(C74-D74))</f>
        <v>-0.1267375306623055</v>
      </c>
      <c r="Q74">
        <f t="shared" ref="Q74" si="346">F74*P74</f>
        <v>-3178943.920686828</v>
      </c>
      <c r="R74">
        <f t="shared" ref="R74" si="347">R75+Q74</f>
        <v>-28574145.4943441</v>
      </c>
      <c r="S74">
        <f t="shared" ref="S74" si="348">R74/100000</f>
        <v>-285.741454943441</v>
      </c>
      <c r="T74">
        <f t="shared" ref="T74" si="349">S74/1000</f>
        <v>-0.285741454943441</v>
      </c>
    </row>
    <row r="75" spans="1:20" x14ac:dyDescent="0.25">
      <c r="A75" s="5">
        <v>44518</v>
      </c>
      <c r="B75">
        <v>0.78059999999999996</v>
      </c>
      <c r="C75">
        <v>0.78700000000000003</v>
      </c>
      <c r="D75">
        <v>0.66239999999999999</v>
      </c>
      <c r="E75">
        <v>0.68259999999999998</v>
      </c>
      <c r="F75">
        <v>30263999</v>
      </c>
      <c r="G75">
        <v>0.68259999999999998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-0.67576243980738382</v>
      </c>
      <c r="Q75">
        <f t="shared" ref="Q75" si="351">F75*P75</f>
        <v>-20451273.802568223</v>
      </c>
      <c r="R75">
        <f t="shared" ref="R75" si="352">R76+Q75</f>
        <v>-25395201.573657271</v>
      </c>
      <c r="S75">
        <f t="shared" ref="S75" si="353">R75/100000</f>
        <v>-253.95201573657272</v>
      </c>
      <c r="T75">
        <f t="shared" ref="T75" si="354">S75/1000</f>
        <v>-0.25395201573657272</v>
      </c>
    </row>
    <row r="76" spans="1:20" x14ac:dyDescent="0.25">
      <c r="A76" s="5">
        <v>44517</v>
      </c>
      <c r="B76">
        <v>0.7591</v>
      </c>
      <c r="C76">
        <v>0.80820000000000003</v>
      </c>
      <c r="D76">
        <v>0.72709999999999997</v>
      </c>
      <c r="E76">
        <v>0.78110000000000002</v>
      </c>
      <c r="F76">
        <v>18715206</v>
      </c>
      <c r="G76">
        <v>0.78110000000000002</v>
      </c>
      <c r="L76" t="s">
        <v>8</v>
      </c>
      <c r="M76" t="s">
        <v>7</v>
      </c>
      <c r="N76" t="s">
        <v>7</v>
      </c>
      <c r="P76">
        <f t="shared" ref="P76" si="355">IF(C76=D76,0,((E76-D76)-(C76-E76))/(C76-D76))</f>
        <v>0.33168927250308278</v>
      </c>
      <c r="Q76">
        <f t="shared" ref="Q76" si="356">F76*P76</f>
        <v>6207633.0628853301</v>
      </c>
      <c r="R76">
        <f t="shared" ref="R76" si="357">R77+Q76</f>
        <v>-4943927.7710890463</v>
      </c>
      <c r="S76">
        <f t="shared" ref="S76" si="358">R76/100000</f>
        <v>-49.439277710890465</v>
      </c>
      <c r="T76">
        <f t="shared" ref="T76" si="359">S76/1000</f>
        <v>-4.9439277710890468E-2</v>
      </c>
    </row>
    <row r="77" spans="1:20" x14ac:dyDescent="0.25">
      <c r="A77" s="5">
        <v>44516</v>
      </c>
      <c r="B77">
        <v>0.88180000000000003</v>
      </c>
      <c r="C77">
        <v>0.88380000000000003</v>
      </c>
      <c r="D77">
        <v>0.72629999999999995</v>
      </c>
      <c r="E77">
        <v>0.7591</v>
      </c>
      <c r="F77">
        <v>69887424</v>
      </c>
      <c r="G77">
        <v>0.7591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-0.58349206349206306</v>
      </c>
      <c r="Q77">
        <f t="shared" ref="Q77" si="361">F77*P77</f>
        <v>-40778757.241904736</v>
      </c>
      <c r="R77">
        <f t="shared" ref="R77" si="362">R78+Q77</f>
        <v>-11151560.833974376</v>
      </c>
      <c r="S77">
        <f t="shared" ref="S77" si="363">R77/100000</f>
        <v>-111.51560833974376</v>
      </c>
      <c r="T77">
        <f t="shared" ref="T77" si="364">S77/1000</f>
        <v>-0.11151560833974376</v>
      </c>
    </row>
    <row r="78" spans="1:20" x14ac:dyDescent="0.25">
      <c r="A78" s="5">
        <v>44515</v>
      </c>
      <c r="B78">
        <v>0.85880000000000001</v>
      </c>
      <c r="C78">
        <v>0.88590000000000002</v>
      </c>
      <c r="D78">
        <v>0.83760000000000001</v>
      </c>
      <c r="E78">
        <v>0.88180000000000003</v>
      </c>
      <c r="F78">
        <v>99072604</v>
      </c>
      <c r="G78">
        <v>0.88180000000000003</v>
      </c>
      <c r="L78" t="s">
        <v>7</v>
      </c>
      <c r="M78" t="s">
        <v>7</v>
      </c>
      <c r="N78" t="s">
        <v>8</v>
      </c>
      <c r="P78">
        <f t="shared" ref="P78" si="365">IF(C78=D78,0,((E78-D78)-(C78-E78))/(C78-D78))</f>
        <v>0.83022774327122184</v>
      </c>
      <c r="Q78">
        <f t="shared" ref="Q78" si="366">F78*P78</f>
        <v>82252824.438923433</v>
      </c>
      <c r="R78">
        <f t="shared" ref="R78" si="367">R79+Q78</f>
        <v>29627196.407930359</v>
      </c>
      <c r="S78">
        <f t="shared" ref="S78" si="368">R78/100000</f>
        <v>296.27196407930359</v>
      </c>
      <c r="T78">
        <f t="shared" ref="T78" si="369">S78/1000</f>
        <v>0.29627196407930356</v>
      </c>
    </row>
    <row r="79" spans="1:20" x14ac:dyDescent="0.25">
      <c r="A79" s="5">
        <v>44514</v>
      </c>
      <c r="B79">
        <v>0.85870000000000002</v>
      </c>
      <c r="C79">
        <v>0.88</v>
      </c>
      <c r="D79">
        <v>0.83150000000000002</v>
      </c>
      <c r="E79">
        <v>0.85850000000000004</v>
      </c>
      <c r="F79">
        <v>120697174</v>
      </c>
      <c r="G79">
        <v>0.85850000000000004</v>
      </c>
      <c r="L79" t="s">
        <v>7</v>
      </c>
      <c r="M79" t="s">
        <v>7</v>
      </c>
      <c r="N79" t="s">
        <v>8</v>
      </c>
      <c r="P79">
        <f t="shared" ref="P79" si="370">IF(C79=D79,0,((E79-D79)-(C79-E79))/(C79-D79))</f>
        <v>0.11340206185567138</v>
      </c>
      <c r="Q79">
        <f t="shared" ref="Q79" si="371">F79*P79</f>
        <v>13687308.391752731</v>
      </c>
      <c r="R79">
        <f t="shared" ref="R79" si="372">R80+Q79</f>
        <v>-52625628.030993074</v>
      </c>
      <c r="S79">
        <f t="shared" ref="S79" si="373">R79/100000</f>
        <v>-526.25628030993073</v>
      </c>
      <c r="T79">
        <f t="shared" ref="T79" si="374">S79/1000</f>
        <v>-0.52625628030993077</v>
      </c>
    </row>
    <row r="80" spans="1:20" x14ac:dyDescent="0.25">
      <c r="A80" s="5">
        <v>44513</v>
      </c>
      <c r="B80">
        <v>0.88019999999999998</v>
      </c>
      <c r="C80">
        <v>0.88970000000000005</v>
      </c>
      <c r="D80">
        <v>0.84340000000000004</v>
      </c>
      <c r="E80">
        <v>0.85870000000000002</v>
      </c>
      <c r="F80">
        <v>55117542</v>
      </c>
      <c r="G80">
        <v>0.85870000000000002</v>
      </c>
      <c r="L80" t="s">
        <v>7</v>
      </c>
      <c r="M80" t="s">
        <v>7</v>
      </c>
      <c r="N80" t="s">
        <v>8</v>
      </c>
      <c r="P80">
        <f t="shared" ref="P80" si="375">IF(C80=D80,0,((E80-D80)-(C80-E80))/(C80-D80))</f>
        <v>-0.33909287257019533</v>
      </c>
      <c r="Q80">
        <f t="shared" ref="Q80" si="376">F80*P80</f>
        <v>-18689965.64578839</v>
      </c>
      <c r="R80">
        <f t="shared" ref="R80" si="377">R81+Q80</f>
        <v>-66312936.422745809</v>
      </c>
      <c r="S80">
        <f t="shared" ref="S80" si="378">R80/100000</f>
        <v>-663.12936422745804</v>
      </c>
      <c r="T80">
        <f t="shared" ref="T80" si="379">S80/1000</f>
        <v>-0.66312936422745805</v>
      </c>
    </row>
    <row r="81" spans="1:20" x14ac:dyDescent="0.25">
      <c r="A81" s="5">
        <v>44512</v>
      </c>
      <c r="B81">
        <v>0.89929999999999999</v>
      </c>
      <c r="C81">
        <v>0.9264</v>
      </c>
      <c r="D81">
        <v>0.84640000000000004</v>
      </c>
      <c r="E81">
        <v>0.88039999999999996</v>
      </c>
      <c r="F81">
        <v>19964533</v>
      </c>
      <c r="G81">
        <v>0.88039999999999996</v>
      </c>
      <c r="L81" t="s">
        <v>8</v>
      </c>
      <c r="M81" t="s">
        <v>7</v>
      </c>
      <c r="N81" t="s">
        <v>8</v>
      </c>
      <c r="P81">
        <f t="shared" ref="P81" si="380">IF(C81=D81,0,((E81-D81)-(C81-E81))/(C81-D81))</f>
        <v>-0.1500000000000016</v>
      </c>
      <c r="Q81">
        <f t="shared" ref="Q81" si="381">F81*P81</f>
        <v>-2994679.9500000319</v>
      </c>
      <c r="R81">
        <f t="shared" ref="R81" si="382">R82+Q81</f>
        <v>-47622970.776957422</v>
      </c>
      <c r="S81">
        <f t="shared" ref="S81" si="383">R81/100000</f>
        <v>-476.22970776957425</v>
      </c>
      <c r="T81">
        <f t="shared" ref="T81" si="384">S81/1000</f>
        <v>-0.47622970776957424</v>
      </c>
    </row>
    <row r="82" spans="1:20" x14ac:dyDescent="0.25">
      <c r="A82" s="5">
        <v>44511</v>
      </c>
      <c r="B82">
        <v>0.86839999999999995</v>
      </c>
      <c r="C82">
        <v>0.96399999999999997</v>
      </c>
      <c r="D82">
        <v>0.8498</v>
      </c>
      <c r="E82">
        <v>0.89939999999999998</v>
      </c>
      <c r="F82">
        <v>28331999</v>
      </c>
      <c r="G82">
        <v>0.89939999999999998</v>
      </c>
      <c r="L82" t="s">
        <v>7</v>
      </c>
      <c r="M82" t="s">
        <v>7</v>
      </c>
      <c r="N82" t="s">
        <v>8</v>
      </c>
      <c r="P82">
        <f t="shared" ref="P82" si="385">IF(C82=D82,0,((E82-D82)-(C82-E82))/(C82-D82))</f>
        <v>-0.13134851138353781</v>
      </c>
      <c r="Q82">
        <f t="shared" ref="Q82" si="386">F82*P82</f>
        <v>-3721365.8931698818</v>
      </c>
      <c r="R82">
        <f t="shared" ref="R82" si="387">R83+Q82</f>
        <v>-44628290.82695739</v>
      </c>
      <c r="S82">
        <f t="shared" ref="S82" si="388">R82/100000</f>
        <v>-446.28290826957391</v>
      </c>
      <c r="T82">
        <f t="shared" ref="T82" si="389">S82/1000</f>
        <v>-0.4462829082695739</v>
      </c>
    </row>
    <row r="83" spans="1:20" x14ac:dyDescent="0.25">
      <c r="A83" s="5">
        <v>44510</v>
      </c>
      <c r="B83">
        <v>0.92900000000000005</v>
      </c>
      <c r="C83">
        <v>1.0275000000000001</v>
      </c>
      <c r="D83">
        <v>0.85</v>
      </c>
      <c r="E83">
        <v>0.86880000000000002</v>
      </c>
      <c r="F83">
        <v>62027804</v>
      </c>
      <c r="G83">
        <v>0.86880000000000002</v>
      </c>
      <c r="L83" t="s">
        <v>8</v>
      </c>
      <c r="M83" t="s">
        <v>8</v>
      </c>
      <c r="N83" t="s">
        <v>8</v>
      </c>
      <c r="P83">
        <f t="shared" ref="P83" si="390">IF(C83=D83,0,((E83-D83)-(C83-E83))/(C83-D83))</f>
        <v>-0.78816901408450668</v>
      </c>
      <c r="Q83">
        <f t="shared" ref="Q83" si="391">F83*P83</f>
        <v>-48888393.124507017</v>
      </c>
      <c r="R83">
        <f t="shared" ref="R83" si="392">R84+Q83</f>
        <v>-40906924.93378751</v>
      </c>
      <c r="S83">
        <f t="shared" ref="S83" si="393">R83/100000</f>
        <v>-409.06924933787508</v>
      </c>
      <c r="T83">
        <f t="shared" ref="T83" si="394">S83/1000</f>
        <v>-0.40906924933787508</v>
      </c>
    </row>
    <row r="84" spans="1:20" x14ac:dyDescent="0.25">
      <c r="A84" s="5">
        <v>44509</v>
      </c>
      <c r="B84">
        <v>0.86029999999999995</v>
      </c>
      <c r="C84">
        <v>0.93500000000000005</v>
      </c>
      <c r="D84">
        <v>0.84150000000000003</v>
      </c>
      <c r="E84">
        <v>0.92859999999999998</v>
      </c>
      <c r="F84">
        <v>39713969</v>
      </c>
      <c r="G84">
        <v>0.92859999999999998</v>
      </c>
      <c r="L84" t="s">
        <v>8</v>
      </c>
      <c r="M84" t="s">
        <v>7</v>
      </c>
      <c r="N84" t="s">
        <v>8</v>
      </c>
      <c r="P84">
        <f t="shared" ref="P84" si="395">IF(C84=D84,0,((E84-D84)-(C84-E84))/(C84-D84))</f>
        <v>0.86310160427807336</v>
      </c>
      <c r="Q84">
        <f t="shared" ref="Q84" si="396">F84*P84</f>
        <v>34277190.356149673</v>
      </c>
      <c r="R84">
        <f t="shared" ref="R84" si="397">R85+Q84</f>
        <v>7981468.1907195114</v>
      </c>
      <c r="S84">
        <f t="shared" ref="S84" si="398">R84/100000</f>
        <v>79.814681907195109</v>
      </c>
      <c r="T84">
        <f t="shared" ref="T84" si="399">S84/1000</f>
        <v>7.9814681907195109E-2</v>
      </c>
    </row>
    <row r="85" spans="1:20" x14ac:dyDescent="0.25">
      <c r="A85" s="5">
        <v>44508</v>
      </c>
      <c r="B85">
        <v>0.82740000000000002</v>
      </c>
      <c r="C85">
        <v>0.91439999999999999</v>
      </c>
      <c r="D85">
        <v>0.81799999999999995</v>
      </c>
      <c r="E85">
        <v>0.86040000000000005</v>
      </c>
      <c r="F85">
        <v>32198683</v>
      </c>
      <c r="G85">
        <v>0.86040000000000005</v>
      </c>
      <c r="L85" t="s">
        <v>8</v>
      </c>
      <c r="M85" t="s">
        <v>7</v>
      </c>
      <c r="N85" t="s">
        <v>8</v>
      </c>
      <c r="P85">
        <f t="shared" ref="P85" si="400">IF(C85=D85,0,((E85-D85)-(C85-E85))/(C85-D85))</f>
        <v>-0.12033195020746709</v>
      </c>
      <c r="Q85">
        <f t="shared" ref="Q85" si="401">F85*P85</f>
        <v>-3874530.319502017</v>
      </c>
      <c r="R85">
        <f t="shared" ref="R85" si="402">R86+Q85</f>
        <v>-26295722.165430162</v>
      </c>
      <c r="S85">
        <f t="shared" ref="S85" si="403">R85/100000</f>
        <v>-262.95722165430163</v>
      </c>
      <c r="T85">
        <f t="shared" ref="T85" si="404">S85/1000</f>
        <v>-0.26295722165430163</v>
      </c>
    </row>
    <row r="86" spans="1:20" x14ac:dyDescent="0.25">
      <c r="A86" s="5">
        <v>44507</v>
      </c>
      <c r="B86">
        <v>0.86509999999999998</v>
      </c>
      <c r="C86">
        <v>0.87749999999999995</v>
      </c>
      <c r="D86">
        <v>0.81830000000000003</v>
      </c>
      <c r="E86">
        <v>0.82740000000000002</v>
      </c>
      <c r="F86">
        <v>27602147</v>
      </c>
      <c r="G86">
        <v>0.82740000000000002</v>
      </c>
      <c r="L86" t="s">
        <v>8</v>
      </c>
      <c r="M86" t="s">
        <v>7</v>
      </c>
      <c r="N86" t="s">
        <v>8</v>
      </c>
      <c r="P86">
        <f t="shared" ref="P86" si="405">IF(C86=D86,0,((E86-D86)-(C86-E86))/(C86-D86))</f>
        <v>-0.69256756756756721</v>
      </c>
      <c r="Q86">
        <f t="shared" ref="Q86" si="406">F86*P86</f>
        <v>-19116351.807432424</v>
      </c>
      <c r="R86">
        <f t="shared" ref="R86" si="407">R87+Q86</f>
        <v>-22421191.845928144</v>
      </c>
      <c r="S86">
        <f t="shared" ref="S86" si="408">R86/100000</f>
        <v>-224.21191845928143</v>
      </c>
      <c r="T86">
        <f t="shared" ref="T86" si="409">S86/1000</f>
        <v>-0.22421191845928143</v>
      </c>
    </row>
    <row r="87" spans="1:20" x14ac:dyDescent="0.25">
      <c r="A87" s="5">
        <v>44506</v>
      </c>
      <c r="B87">
        <v>0.87390000000000001</v>
      </c>
      <c r="C87">
        <v>0.90069999999999995</v>
      </c>
      <c r="D87">
        <v>0.81430000000000002</v>
      </c>
      <c r="E87">
        <v>0.86509999999999998</v>
      </c>
      <c r="F87">
        <v>17877476</v>
      </c>
      <c r="G87">
        <v>0.86509999999999998</v>
      </c>
      <c r="L87" t="s">
        <v>7</v>
      </c>
      <c r="M87" t="s">
        <v>7</v>
      </c>
      <c r="N87" t="s">
        <v>8</v>
      </c>
      <c r="P87">
        <f t="shared" ref="P87" si="410">IF(C87=D87,0,((E87-D87)-(C87-E87))/(C87-D87))</f>
        <v>0.17592592592592599</v>
      </c>
      <c r="Q87">
        <f t="shared" ref="Q87" si="411">F87*P87</f>
        <v>3145111.5185185196</v>
      </c>
      <c r="R87">
        <f t="shared" ref="R87" si="412">R88+Q87</f>
        <v>-3304840.0384957185</v>
      </c>
      <c r="S87">
        <f t="shared" ref="S87" si="413">R87/100000</f>
        <v>-33.048400384957183</v>
      </c>
      <c r="T87">
        <f t="shared" ref="T87" si="414">S87/1000</f>
        <v>-3.3048400384957183E-2</v>
      </c>
    </row>
    <row r="88" spans="1:20" x14ac:dyDescent="0.25">
      <c r="A88" s="5">
        <v>44505</v>
      </c>
      <c r="B88">
        <v>0.83279999999999998</v>
      </c>
      <c r="C88">
        <v>0.93500000000000005</v>
      </c>
      <c r="D88">
        <v>0.81620000000000004</v>
      </c>
      <c r="E88">
        <v>0.87470000000000003</v>
      </c>
      <c r="F88">
        <v>40865877</v>
      </c>
      <c r="G88">
        <v>0.87470000000000003</v>
      </c>
      <c r="L88" t="s">
        <v>8</v>
      </c>
      <c r="M88" t="s">
        <v>7</v>
      </c>
      <c r="N88" t="s">
        <v>8</v>
      </c>
      <c r="P88">
        <f t="shared" ref="P88" si="415">IF(C88=D88,0,((E88-D88)-(C88-E88))/(C88-D88))</f>
        <v>-1.515151515151535E-2</v>
      </c>
      <c r="Q88">
        <f t="shared" ref="Q88" si="416">F88*P88</f>
        <v>-619179.95454546262</v>
      </c>
      <c r="R88">
        <f t="shared" ref="R88" si="417">R89+Q88</f>
        <v>-6449951.5570142381</v>
      </c>
      <c r="S88">
        <f t="shared" ref="S88" si="418">R88/100000</f>
        <v>-64.499515570142378</v>
      </c>
      <c r="T88">
        <f t="shared" ref="T88" si="419">S88/1000</f>
        <v>-6.4499515570142385E-2</v>
      </c>
    </row>
    <row r="89" spans="1:20" x14ac:dyDescent="0.25">
      <c r="A89" s="5">
        <v>44504</v>
      </c>
      <c r="B89">
        <v>0.874</v>
      </c>
      <c r="C89">
        <v>0.89859999999999995</v>
      </c>
      <c r="D89">
        <v>0.79849999999999999</v>
      </c>
      <c r="E89">
        <v>0.83250000000000002</v>
      </c>
      <c r="F89">
        <v>39726208</v>
      </c>
      <c r="G89">
        <v>0.83250000000000002</v>
      </c>
      <c r="L89" t="s">
        <v>7</v>
      </c>
      <c r="M89" t="s">
        <v>7</v>
      </c>
      <c r="N89" t="s">
        <v>8</v>
      </c>
      <c r="P89">
        <f t="shared" ref="P89" si="420">IF(C89=D89,0,((E89-D89)-(C89-E89))/(C89-D89))</f>
        <v>-0.32067932067931987</v>
      </c>
      <c r="Q89">
        <f t="shared" ref="Q89" si="421">F89*P89</f>
        <v>-12739373.394605363</v>
      </c>
      <c r="R89">
        <f t="shared" ref="R89" si="422">R90+Q89</f>
        <v>-5830771.6024687756</v>
      </c>
      <c r="S89">
        <f t="shared" ref="S89" si="423">R89/100000</f>
        <v>-58.307716024687757</v>
      </c>
      <c r="T89">
        <f t="shared" ref="T89" si="424">S89/1000</f>
        <v>-5.8307716024687754E-2</v>
      </c>
    </row>
    <row r="90" spans="1:20" x14ac:dyDescent="0.25">
      <c r="A90" s="5">
        <v>44503</v>
      </c>
      <c r="B90">
        <v>0.85980000000000001</v>
      </c>
      <c r="C90">
        <v>0.97860000000000003</v>
      </c>
      <c r="D90">
        <v>0.84350000000000003</v>
      </c>
      <c r="E90">
        <v>0.87409999999999999</v>
      </c>
      <c r="F90">
        <v>73077630</v>
      </c>
      <c r="G90">
        <v>0.87409999999999999</v>
      </c>
      <c r="L90" t="s">
        <v>8</v>
      </c>
      <c r="M90" t="s">
        <v>8</v>
      </c>
      <c r="N90" t="s">
        <v>8</v>
      </c>
      <c r="P90">
        <f t="shared" ref="P90" si="425">IF(C90=D90,0,((E90-D90)-(C90-E90))/(C90-D90))</f>
        <v>-0.54700222057735071</v>
      </c>
      <c r="Q90">
        <f t="shared" ref="Q90" si="426">F90*P90</f>
        <v>-39973625.884530023</v>
      </c>
      <c r="R90">
        <f t="shared" ref="R90" si="427">R91+Q90</f>
        <v>6908601.7921365872</v>
      </c>
      <c r="S90">
        <f t="shared" ref="S90" si="428">R90/100000</f>
        <v>69.086017921365865</v>
      </c>
      <c r="T90">
        <f t="shared" ref="T90" si="429">S90/1000</f>
        <v>6.9086017921365872E-2</v>
      </c>
    </row>
    <row r="91" spans="1:20" x14ac:dyDescent="0.25">
      <c r="A91" s="5">
        <v>44502</v>
      </c>
      <c r="B91">
        <v>0.7883</v>
      </c>
      <c r="C91">
        <v>0.9083</v>
      </c>
      <c r="D91">
        <v>0.78129999999999999</v>
      </c>
      <c r="E91">
        <v>0.85970000000000002</v>
      </c>
      <c r="F91">
        <v>44945653</v>
      </c>
      <c r="G91">
        <v>0.85970000000000002</v>
      </c>
      <c r="L91" t="s">
        <v>8</v>
      </c>
      <c r="M91" t="s">
        <v>8</v>
      </c>
      <c r="N91" t="s">
        <v>8</v>
      </c>
      <c r="P91">
        <f t="shared" ref="P91" si="430">IF(C91=D91,0,((E91-D91)-(C91-E91))/(C91-D91))</f>
        <v>0.23464566929133895</v>
      </c>
      <c r="Q91">
        <f t="shared" ref="Q91" si="431">F91*P91</f>
        <v>10546302.829921277</v>
      </c>
      <c r="R91">
        <f t="shared" ref="R91" si="432">R92+Q91</f>
        <v>46882227.67666661</v>
      </c>
      <c r="S91">
        <f t="shared" ref="S91" si="433">R91/100000</f>
        <v>468.82227676666611</v>
      </c>
      <c r="T91">
        <f t="shared" ref="T91" si="434">S91/1000</f>
        <v>0.4688222767666661</v>
      </c>
    </row>
    <row r="92" spans="1:20" x14ac:dyDescent="0.25">
      <c r="A92" s="5">
        <v>44501</v>
      </c>
      <c r="B92">
        <v>0.78069999999999995</v>
      </c>
      <c r="C92">
        <v>0.78890000000000005</v>
      </c>
      <c r="D92">
        <v>0.73660000000000003</v>
      </c>
      <c r="E92">
        <v>0.78849999999999998</v>
      </c>
      <c r="F92">
        <v>21482729</v>
      </c>
      <c r="G92">
        <v>0.78849999999999998</v>
      </c>
      <c r="L92" t="s">
        <v>7</v>
      </c>
      <c r="M92" t="s">
        <v>7</v>
      </c>
      <c r="N92" t="s">
        <v>8</v>
      </c>
      <c r="P92">
        <f t="shared" ref="P92" si="435">IF(C92=D92,0,((E92-D92)-(C92-E92))/(C92-D92))</f>
        <v>0.98470363288718676</v>
      </c>
      <c r="Q92">
        <f t="shared" ref="Q92" si="436">F92*P92</f>
        <v>21154121.290630922</v>
      </c>
      <c r="R92">
        <f t="shared" ref="R92" si="437">R93+Q92</f>
        <v>36335924.846745335</v>
      </c>
      <c r="S92">
        <f t="shared" ref="S92" si="438">R92/100000</f>
        <v>363.35924846745337</v>
      </c>
      <c r="T92">
        <f t="shared" ref="T92" si="439">S92/1000</f>
        <v>0.36335924846745338</v>
      </c>
    </row>
    <row r="93" spans="1:20" x14ac:dyDescent="0.25">
      <c r="A93" s="5">
        <v>44500</v>
      </c>
      <c r="B93">
        <v>0.75360000000000005</v>
      </c>
      <c r="C93">
        <v>0.94740000000000002</v>
      </c>
      <c r="D93">
        <v>0.752</v>
      </c>
      <c r="E93">
        <v>0.78069999999999995</v>
      </c>
      <c r="F93">
        <v>78051936</v>
      </c>
      <c r="G93">
        <v>0.78069999999999995</v>
      </c>
      <c r="L93" t="s">
        <v>8</v>
      </c>
      <c r="M93" t="s">
        <v>8</v>
      </c>
      <c r="N93" t="s">
        <v>8</v>
      </c>
      <c r="P93">
        <f t="shared" ref="P93" si="440">IF(C93=D93,0,((E93-D93)-(C93-E93))/(C93-D93))</f>
        <v>-0.70624360286591659</v>
      </c>
      <c r="Q93">
        <f t="shared" ref="Q93" si="441">F93*P93</f>
        <v>-55123680.491299935</v>
      </c>
      <c r="R93">
        <f t="shared" ref="R93" si="442">R94+Q93</f>
        <v>15181803.556114413</v>
      </c>
      <c r="S93">
        <f t="shared" ref="S93" si="443">R93/100000</f>
        <v>151.81803556114411</v>
      </c>
      <c r="T93">
        <f t="shared" ref="T93" si="444">S93/1000</f>
        <v>0.15181803556114412</v>
      </c>
    </row>
    <row r="94" spans="1:20" x14ac:dyDescent="0.25">
      <c r="A94" s="5">
        <v>44499</v>
      </c>
      <c r="B94">
        <v>0.74150000000000005</v>
      </c>
      <c r="C94">
        <v>0.76700000000000002</v>
      </c>
      <c r="D94">
        <v>0.72219999999999995</v>
      </c>
      <c r="E94">
        <v>0.75360000000000005</v>
      </c>
      <c r="F94">
        <v>16332638</v>
      </c>
      <c r="G94">
        <v>0.75360000000000005</v>
      </c>
      <c r="L94" t="s">
        <v>8</v>
      </c>
      <c r="M94" t="s">
        <v>7</v>
      </c>
      <c r="N94" t="s">
        <v>8</v>
      </c>
      <c r="P94">
        <f t="shared" ref="P94" si="445">IF(C94=D94,0,((E94-D94)-(C94-E94))/(C94-D94))</f>
        <v>0.40178571428571658</v>
      </c>
      <c r="Q94">
        <f t="shared" ref="Q94" si="446">F94*P94</f>
        <v>6562220.6250000373</v>
      </c>
      <c r="R94">
        <f t="shared" ref="R94" si="447">R95+Q94</f>
        <v>70305484.047414348</v>
      </c>
      <c r="S94">
        <f t="shared" ref="S94" si="448">R94/100000</f>
        <v>703.05484047414348</v>
      </c>
      <c r="T94">
        <f t="shared" ref="T94" si="449">S94/1000</f>
        <v>0.70305484047414346</v>
      </c>
    </row>
    <row r="95" spans="1:20" x14ac:dyDescent="0.25">
      <c r="A95" s="5">
        <v>44498</v>
      </c>
      <c r="B95">
        <v>0.73850000000000005</v>
      </c>
      <c r="C95">
        <v>0.76190000000000002</v>
      </c>
      <c r="D95">
        <v>0.73529999999999995</v>
      </c>
      <c r="E95">
        <v>0.74209999999999998</v>
      </c>
      <c r="F95">
        <v>18236928</v>
      </c>
      <c r="G95">
        <v>0.74209999999999998</v>
      </c>
      <c r="L95" t="s">
        <v>8</v>
      </c>
      <c r="M95" t="s">
        <v>7</v>
      </c>
      <c r="N95" t="s">
        <v>8</v>
      </c>
      <c r="P95">
        <f t="shared" ref="P95" si="450">IF(C95=D95,0,((E95-D95)-(C95-E95))/(C95-D95))</f>
        <v>-0.48872180451127739</v>
      </c>
      <c r="Q95">
        <f t="shared" ref="Q95" si="451">F95*P95</f>
        <v>-8912784.3609022405</v>
      </c>
      <c r="R95">
        <f t="shared" ref="R95" si="452">R96+Q95</f>
        <v>63743263.42241431</v>
      </c>
      <c r="S95">
        <f t="shared" ref="S95" si="453">R95/100000</f>
        <v>637.43263422414316</v>
      </c>
      <c r="T95">
        <f t="shared" ref="T95" si="454">S95/1000</f>
        <v>0.6374326342241432</v>
      </c>
    </row>
    <row r="96" spans="1:20" x14ac:dyDescent="0.25">
      <c r="A96" s="5">
        <v>44497</v>
      </c>
      <c r="B96">
        <v>0.72009999999999996</v>
      </c>
      <c r="C96">
        <v>0.77729999999999999</v>
      </c>
      <c r="D96">
        <v>0.70399999999999996</v>
      </c>
      <c r="E96">
        <v>0.73850000000000005</v>
      </c>
      <c r="F96">
        <v>30028250</v>
      </c>
      <c r="G96">
        <v>0.73850000000000005</v>
      </c>
      <c r="L96" t="s">
        <v>7</v>
      </c>
      <c r="M96" t="s">
        <v>7</v>
      </c>
      <c r="N96" t="s">
        <v>8</v>
      </c>
      <c r="P96">
        <f t="shared" ref="P96" si="455">IF(C96=D96,0,((E96-D96)-(C96-E96))/(C96-D96))</f>
        <v>-5.8663028649384143E-2</v>
      </c>
      <c r="Q96">
        <f t="shared" ref="Q96" si="456">F96*P96</f>
        <v>-1761548.0900408693</v>
      </c>
      <c r="R96">
        <f t="shared" ref="R96" si="457">R97+Q96</f>
        <v>72656047.783316553</v>
      </c>
      <c r="S96">
        <f t="shared" ref="S96" si="458">R96/100000</f>
        <v>726.56047783316558</v>
      </c>
      <c r="T96">
        <f t="shared" ref="T96" si="459">S96/1000</f>
        <v>0.72656047783316557</v>
      </c>
    </row>
    <row r="97" spans="1:20" x14ac:dyDescent="0.25">
      <c r="A97" s="5">
        <v>44496</v>
      </c>
      <c r="B97">
        <v>0.79469999999999996</v>
      </c>
      <c r="C97">
        <v>0.84</v>
      </c>
      <c r="D97">
        <v>0.7177</v>
      </c>
      <c r="E97">
        <v>0.72040000000000004</v>
      </c>
      <c r="F97">
        <v>44585343</v>
      </c>
      <c r="G97">
        <v>0.72040000000000004</v>
      </c>
      <c r="L97" t="s">
        <v>7</v>
      </c>
      <c r="M97" t="s">
        <v>8</v>
      </c>
      <c r="N97" t="s">
        <v>8</v>
      </c>
      <c r="P97">
        <f t="shared" ref="P97" si="460">IF(C97=D97,0,((E97-D97)-(C97-E97))/(C97-D97))</f>
        <v>-0.95584627964022839</v>
      </c>
      <c r="Q97">
        <f t="shared" ref="Q97" si="461">F97*P97</f>
        <v>-42616734.233033501</v>
      </c>
      <c r="R97">
        <f t="shared" ref="R97" si="462">R98+Q97</f>
        <v>74417595.873357415</v>
      </c>
      <c r="S97">
        <f t="shared" ref="S97" si="463">R97/100000</f>
        <v>744.17595873357413</v>
      </c>
      <c r="T97">
        <f t="shared" ref="T97" si="464">S97/1000</f>
        <v>0.74417595873357412</v>
      </c>
    </row>
    <row r="98" spans="1:20" x14ac:dyDescent="0.25">
      <c r="A98" s="5">
        <v>44495</v>
      </c>
      <c r="B98">
        <v>0.76729999999999998</v>
      </c>
      <c r="C98">
        <v>0.84499999999999997</v>
      </c>
      <c r="D98">
        <v>0.75760000000000005</v>
      </c>
      <c r="E98">
        <v>0.79469999999999996</v>
      </c>
      <c r="F98">
        <v>61043941</v>
      </c>
      <c r="G98">
        <v>0.79469999999999996</v>
      </c>
      <c r="L98" t="s">
        <v>8</v>
      </c>
      <c r="M98" t="s">
        <v>8</v>
      </c>
      <c r="N98" t="s">
        <v>8</v>
      </c>
      <c r="P98">
        <f t="shared" ref="P98" si="465">IF(C98=D98,0,((E98-D98)-(C98-E98))/(C98-D98))</f>
        <v>-0.15102974828375415</v>
      </c>
      <c r="Q98">
        <f t="shared" ref="Q98" si="466">F98*P98</f>
        <v>-9219451.0434783399</v>
      </c>
      <c r="R98">
        <f t="shared" ref="R98" si="467">R99+Q98</f>
        <v>117034330.10639091</v>
      </c>
      <c r="S98">
        <f t="shared" ref="S98" si="468">R98/100000</f>
        <v>1170.3433010639092</v>
      </c>
      <c r="T98">
        <f t="shared" ref="T98" si="469">S98/1000</f>
        <v>1.1703433010639093</v>
      </c>
    </row>
    <row r="99" spans="1:20" x14ac:dyDescent="0.25">
      <c r="A99" s="5">
        <v>44494</v>
      </c>
      <c r="B99">
        <v>0.73219999999999996</v>
      </c>
      <c r="C99">
        <v>0.78539999999999999</v>
      </c>
      <c r="D99">
        <v>0.72940000000000005</v>
      </c>
      <c r="E99">
        <v>0.76739999999999997</v>
      </c>
      <c r="F99">
        <v>32387451</v>
      </c>
      <c r="G99">
        <v>0.76739999999999997</v>
      </c>
      <c r="L99" t="s">
        <v>8</v>
      </c>
      <c r="M99" t="s">
        <v>7</v>
      </c>
      <c r="N99" t="s">
        <v>8</v>
      </c>
      <c r="P99">
        <f t="shared" ref="P99" si="470">IF(C99=D99,0,((E99-D99)-(C99-E99))/(C99-D99))</f>
        <v>0.35714285714285587</v>
      </c>
      <c r="Q99">
        <f t="shared" ref="Q99" si="471">F99*P99</f>
        <v>11566946.785714244</v>
      </c>
      <c r="R99">
        <f t="shared" ref="R99" si="472">R100+Q99</f>
        <v>126253781.14986925</v>
      </c>
      <c r="S99">
        <f t="shared" ref="S99" si="473">R99/100000</f>
        <v>1262.5378114986925</v>
      </c>
      <c r="T99">
        <f t="shared" ref="T99" si="474">S99/1000</f>
        <v>1.2625378114986925</v>
      </c>
    </row>
    <row r="100" spans="1:20" x14ac:dyDescent="0.25">
      <c r="A100" s="5">
        <v>44493</v>
      </c>
      <c r="B100">
        <v>0.76539999999999997</v>
      </c>
      <c r="C100">
        <v>0.77880000000000005</v>
      </c>
      <c r="D100">
        <v>0.72599999999999998</v>
      </c>
      <c r="E100">
        <v>0.73209999999999997</v>
      </c>
      <c r="F100">
        <v>28799534</v>
      </c>
      <c r="G100">
        <v>0.73209999999999997</v>
      </c>
      <c r="L100" t="s">
        <v>7</v>
      </c>
      <c r="M100" t="s">
        <v>7</v>
      </c>
      <c r="N100" t="s">
        <v>8</v>
      </c>
      <c r="P100">
        <f t="shared" ref="P100" si="475">IF(C100=D100,0,((E100-D100)-(C100-E100))/(C100-D100))</f>
        <v>-0.76893939393939448</v>
      </c>
      <c r="Q100">
        <f t="shared" ref="Q100" si="476">F100*P100</f>
        <v>-22145096.219696984</v>
      </c>
      <c r="R100">
        <f t="shared" ref="R100" si="477">R101+Q100</f>
        <v>114686834.36415501</v>
      </c>
      <c r="S100">
        <f t="shared" ref="S100" si="478">R100/100000</f>
        <v>1146.8683436415502</v>
      </c>
      <c r="T100">
        <f t="shared" ref="T100" si="479">S100/1000</f>
        <v>1.1468683436415501</v>
      </c>
    </row>
    <row r="101" spans="1:20" x14ac:dyDescent="0.25">
      <c r="A101" s="5">
        <v>44492</v>
      </c>
      <c r="B101">
        <v>0.75739999999999996</v>
      </c>
      <c r="C101">
        <v>0.80200000000000005</v>
      </c>
      <c r="D101">
        <v>0.74429999999999996</v>
      </c>
      <c r="E101">
        <v>0.76539999999999997</v>
      </c>
      <c r="F101">
        <v>54563701</v>
      </c>
      <c r="G101">
        <v>0.76539999999999997</v>
      </c>
      <c r="L101" t="s">
        <v>8</v>
      </c>
      <c r="M101" t="s">
        <v>7</v>
      </c>
      <c r="N101" t="s">
        <v>8</v>
      </c>
      <c r="P101">
        <f t="shared" ref="P101" si="480">IF(C101=D101,0,((E101-D101)-(C101-E101))/(C101-D101))</f>
        <v>-0.26863084922010477</v>
      </c>
      <c r="Q101">
        <f t="shared" ref="Q101" si="481">F101*P101</f>
        <v>-14657493.336221879</v>
      </c>
      <c r="R101">
        <f t="shared" ref="R101" si="482">R102+Q101</f>
        <v>136831930.58385199</v>
      </c>
      <c r="S101">
        <f t="shared" ref="S101" si="483">R101/100000</f>
        <v>1368.31930583852</v>
      </c>
      <c r="T101">
        <f t="shared" ref="T101" si="484">S101/1000</f>
        <v>1.3683193058385199</v>
      </c>
    </row>
    <row r="102" spans="1:20" x14ac:dyDescent="0.25">
      <c r="A102" s="5">
        <v>44491</v>
      </c>
      <c r="B102">
        <v>0.71740000000000004</v>
      </c>
      <c r="C102">
        <v>0.77290000000000003</v>
      </c>
      <c r="D102">
        <v>0.71440000000000003</v>
      </c>
      <c r="E102">
        <v>0.75780000000000003</v>
      </c>
      <c r="F102">
        <v>45049154</v>
      </c>
      <c r="G102">
        <v>0.75780000000000003</v>
      </c>
      <c r="L102" t="s">
        <v>8</v>
      </c>
      <c r="M102" t="s">
        <v>7</v>
      </c>
      <c r="N102" t="s">
        <v>8</v>
      </c>
      <c r="P102">
        <f t="shared" ref="P102" si="485">IF(C102=D102,0,((E102-D102)-(C102-E102))/(C102-D102))</f>
        <v>0.48376068376068365</v>
      </c>
      <c r="Q102">
        <f t="shared" ref="Q102" si="486">F102*P102</f>
        <v>21793009.541880336</v>
      </c>
      <c r="R102">
        <f t="shared" ref="R102" si="487">R103+Q102</f>
        <v>151489423.92007387</v>
      </c>
      <c r="S102">
        <f t="shared" ref="S102" si="488">R102/100000</f>
        <v>1514.8942392007386</v>
      </c>
      <c r="T102">
        <f t="shared" ref="T102" si="489">S102/1000</f>
        <v>1.5148942392007387</v>
      </c>
    </row>
    <row r="103" spans="1:20" x14ac:dyDescent="0.25">
      <c r="A103" s="5">
        <v>44490</v>
      </c>
      <c r="B103">
        <v>0.73850000000000005</v>
      </c>
      <c r="C103">
        <v>0.76080000000000003</v>
      </c>
      <c r="D103">
        <v>0.71609999999999996</v>
      </c>
      <c r="E103">
        <v>0.7177</v>
      </c>
      <c r="F103">
        <v>45773006</v>
      </c>
      <c r="G103">
        <v>0.7177</v>
      </c>
      <c r="L103" t="s">
        <v>8</v>
      </c>
      <c r="M103" t="s">
        <v>7</v>
      </c>
      <c r="N103" t="s">
        <v>8</v>
      </c>
      <c r="P103">
        <f t="shared" ref="P103" si="490">IF(C103=D103,0,((E103-D103)-(C103-E103))/(C103-D103))</f>
        <v>-0.92841163310961772</v>
      </c>
      <c r="Q103">
        <f t="shared" ref="Q103" si="491">F103*P103</f>
        <v>-42496191.25279633</v>
      </c>
      <c r="R103">
        <f t="shared" ref="R103" si="492">R104+Q103</f>
        <v>129696414.37819353</v>
      </c>
      <c r="S103">
        <f t="shared" ref="S103" si="493">R103/100000</f>
        <v>1296.9641437819353</v>
      </c>
      <c r="T103">
        <f t="shared" ref="T103" si="494">S103/1000</f>
        <v>1.2969641437819353</v>
      </c>
    </row>
    <row r="104" spans="1:20" x14ac:dyDescent="0.25">
      <c r="A104" s="5">
        <v>44489</v>
      </c>
      <c r="B104">
        <v>0.71289999999999998</v>
      </c>
      <c r="C104">
        <v>0.76139999999999997</v>
      </c>
      <c r="D104">
        <v>0.70320000000000005</v>
      </c>
      <c r="E104">
        <v>0.73839999999999995</v>
      </c>
      <c r="F104">
        <v>54701952</v>
      </c>
      <c r="G104">
        <v>0.73839999999999995</v>
      </c>
      <c r="L104" t="s">
        <v>8</v>
      </c>
      <c r="M104" t="s">
        <v>7</v>
      </c>
      <c r="N104" t="s">
        <v>8</v>
      </c>
      <c r="P104">
        <f t="shared" ref="P104" si="495">IF(C104=D104,0,((E104-D104)-(C104-E104))/(C104-D104))</f>
        <v>0.20962199312714597</v>
      </c>
      <c r="Q104">
        <f t="shared" ref="Q104" si="496">F104*P104</f>
        <v>11466732.206185469</v>
      </c>
      <c r="R104">
        <f t="shared" ref="R104" si="497">R105+Q104</f>
        <v>172192605.63098985</v>
      </c>
      <c r="S104">
        <f t="shared" ref="S104" si="498">R104/100000</f>
        <v>1721.9260563098985</v>
      </c>
      <c r="T104">
        <f t="shared" ref="T104" si="499">S104/1000</f>
        <v>1.7219260563098986</v>
      </c>
    </row>
    <row r="105" spans="1:20" x14ac:dyDescent="0.25">
      <c r="A105" s="5">
        <v>44488</v>
      </c>
      <c r="B105">
        <v>0.72709999999999997</v>
      </c>
      <c r="C105">
        <v>0.73929999999999996</v>
      </c>
      <c r="D105">
        <v>0.69440000000000002</v>
      </c>
      <c r="E105">
        <v>0.71319999999999995</v>
      </c>
      <c r="F105">
        <v>53375689</v>
      </c>
      <c r="G105">
        <v>0.71319999999999995</v>
      </c>
      <c r="L105" t="s">
        <v>7</v>
      </c>
      <c r="M105" t="s">
        <v>7</v>
      </c>
      <c r="N105" t="s">
        <v>8</v>
      </c>
      <c r="P105">
        <f t="shared" ref="P105" si="500">IF(C105=D105,0,((E105-D105)-(C105-E105))/(C105-D105))</f>
        <v>-0.16258351893095976</v>
      </c>
      <c r="Q105">
        <f t="shared" ref="Q105" si="501">F105*P105</f>
        <v>-8678007.3429845218</v>
      </c>
      <c r="R105">
        <f t="shared" ref="R105" si="502">R106+Q105</f>
        <v>160725873.42480439</v>
      </c>
      <c r="S105">
        <f t="shared" ref="S105" si="503">R105/100000</f>
        <v>1607.258734248044</v>
      </c>
      <c r="T105">
        <f t="shared" ref="T105" si="504">S105/1000</f>
        <v>1.607258734248044</v>
      </c>
    </row>
    <row r="106" spans="1:20" x14ac:dyDescent="0.25">
      <c r="A106" s="5">
        <v>44487</v>
      </c>
      <c r="B106">
        <v>0.74199999999999999</v>
      </c>
      <c r="C106">
        <v>0.76400000000000001</v>
      </c>
      <c r="D106">
        <v>0.71479999999999999</v>
      </c>
      <c r="E106">
        <v>0.72740000000000005</v>
      </c>
      <c r="F106">
        <v>20811594</v>
      </c>
      <c r="G106">
        <v>0.72740000000000005</v>
      </c>
      <c r="L106" t="s">
        <v>7</v>
      </c>
      <c r="M106" t="s">
        <v>8</v>
      </c>
      <c r="N106" t="s">
        <v>8</v>
      </c>
      <c r="P106">
        <f t="shared" ref="P106" si="505">IF(C106=D106,0,((E106-D106)-(C106-E106))/(C106-D106))</f>
        <v>-0.48780487804877848</v>
      </c>
      <c r="Q106">
        <f t="shared" ref="Q106" si="506">F106*P106</f>
        <v>-10151997.07317069</v>
      </c>
      <c r="R106">
        <f t="shared" ref="R106" si="507">R107+Q106</f>
        <v>169403880.76778892</v>
      </c>
      <c r="S106">
        <f t="shared" ref="S106" si="508">R106/100000</f>
        <v>1694.0388076778893</v>
      </c>
      <c r="T106">
        <f t="shared" ref="T106" si="509">S106/1000</f>
        <v>1.6940388076778894</v>
      </c>
    </row>
    <row r="107" spans="1:20" x14ac:dyDescent="0.25">
      <c r="A107" s="5">
        <v>44486</v>
      </c>
      <c r="B107">
        <v>0.76749999999999996</v>
      </c>
      <c r="C107">
        <v>0.78990000000000005</v>
      </c>
      <c r="D107">
        <v>0.72540000000000004</v>
      </c>
      <c r="E107">
        <v>0.74199999999999999</v>
      </c>
      <c r="F107">
        <v>35011934</v>
      </c>
      <c r="G107">
        <v>0.74199999999999999</v>
      </c>
      <c r="L107" t="s">
        <v>7</v>
      </c>
      <c r="M107" t="s">
        <v>8</v>
      </c>
      <c r="N107" t="s">
        <v>8</v>
      </c>
      <c r="P107">
        <f t="shared" ref="P107" si="510">IF(C107=D107,0,((E107-D107)-(C107-E107))/(C107-D107))</f>
        <v>-0.48527131782945898</v>
      </c>
      <c r="Q107">
        <f t="shared" ref="Q107" si="511">F107*P107</f>
        <v>-16990287.351938043</v>
      </c>
      <c r="R107">
        <f t="shared" ref="R107" si="512">R108+Q107</f>
        <v>179555877.84095961</v>
      </c>
      <c r="S107">
        <f t="shared" ref="S107" si="513">R107/100000</f>
        <v>1795.558778409596</v>
      </c>
      <c r="T107">
        <f t="shared" ref="T107" si="514">S107/1000</f>
        <v>1.7955587784095961</v>
      </c>
    </row>
    <row r="108" spans="1:20" x14ac:dyDescent="0.25">
      <c r="A108" s="5">
        <v>44485</v>
      </c>
      <c r="B108">
        <v>0.75290000000000001</v>
      </c>
      <c r="C108">
        <v>0.84499999999999997</v>
      </c>
      <c r="D108">
        <v>0.73899999999999999</v>
      </c>
      <c r="E108">
        <v>0.76759999999999995</v>
      </c>
      <c r="F108">
        <v>73923069</v>
      </c>
      <c r="G108">
        <v>0.76759999999999995</v>
      </c>
      <c r="L108" t="s">
        <v>8</v>
      </c>
      <c r="M108" t="s">
        <v>8</v>
      </c>
      <c r="N108" t="s">
        <v>8</v>
      </c>
      <c r="P108">
        <f t="shared" ref="P108" si="515">IF(C108=D108,0,((E108-D108)-(C108-E108))/(C108-D108))</f>
        <v>-0.46037735849056671</v>
      </c>
      <c r="Q108">
        <f t="shared" ref="Q108" si="516">F108*P108</f>
        <v>-34032507.237735897</v>
      </c>
      <c r="R108">
        <f t="shared" ref="R108" si="517">R109+Q108</f>
        <v>196546165.19289765</v>
      </c>
      <c r="S108">
        <f t="shared" ref="S108" si="518">R108/100000</f>
        <v>1965.4616519289764</v>
      </c>
      <c r="T108">
        <f t="shared" ref="T108" si="519">S108/1000</f>
        <v>1.9654616519289765</v>
      </c>
    </row>
    <row r="109" spans="1:20" x14ac:dyDescent="0.25">
      <c r="A109" s="5">
        <v>44484</v>
      </c>
      <c r="B109">
        <v>0.73209999999999997</v>
      </c>
      <c r="C109">
        <v>0.75800000000000001</v>
      </c>
      <c r="D109">
        <v>0.70760000000000001</v>
      </c>
      <c r="E109">
        <v>0.75249999999999995</v>
      </c>
      <c r="F109">
        <v>64433913</v>
      </c>
      <c r="G109">
        <v>0.75249999999999995</v>
      </c>
      <c r="L109" t="s">
        <v>7</v>
      </c>
      <c r="M109" t="s">
        <v>7</v>
      </c>
      <c r="N109" t="s">
        <v>8</v>
      </c>
      <c r="P109">
        <f t="shared" ref="P109" si="520">IF(C109=D109,0,((E109-D109)-(C109-E109))/(C109-D109))</f>
        <v>0.7817460317460293</v>
      </c>
      <c r="Q109">
        <f t="shared" ref="Q109" si="521">F109*P109</f>
        <v>50370955.797618888</v>
      </c>
      <c r="R109">
        <f t="shared" ref="R109" si="522">R110+Q109</f>
        <v>230578672.43063354</v>
      </c>
      <c r="S109">
        <f t="shared" ref="S109" si="523">R109/100000</f>
        <v>2305.7867243063356</v>
      </c>
      <c r="T109">
        <f t="shared" ref="T109" si="524">S109/1000</f>
        <v>2.3057867243063357</v>
      </c>
    </row>
    <row r="110" spans="1:20" x14ac:dyDescent="0.25">
      <c r="A110" s="5">
        <v>44483</v>
      </c>
      <c r="B110">
        <v>0.73419999999999996</v>
      </c>
      <c r="C110">
        <v>0.75880000000000003</v>
      </c>
      <c r="D110">
        <v>0.71640000000000004</v>
      </c>
      <c r="E110">
        <v>0.73260000000000003</v>
      </c>
      <c r="F110">
        <v>26698757</v>
      </c>
      <c r="G110">
        <v>0.73260000000000003</v>
      </c>
      <c r="L110" t="s">
        <v>8</v>
      </c>
      <c r="M110" t="s">
        <v>7</v>
      </c>
      <c r="N110" t="s">
        <v>8</v>
      </c>
      <c r="P110">
        <f t="shared" ref="P110" si="525">IF(C110=D110,0,((E110-D110)-(C110-E110))/(C110-D110))</f>
        <v>-0.23584905660377384</v>
      </c>
      <c r="Q110">
        <f t="shared" ref="Q110" si="526">F110*P110</f>
        <v>-6296876.6509434031</v>
      </c>
      <c r="R110">
        <f t="shared" ref="R110" si="527">R111+Q110</f>
        <v>180207716.63301465</v>
      </c>
      <c r="S110">
        <f t="shared" ref="S110" si="528">R110/100000</f>
        <v>1802.0771663301464</v>
      </c>
      <c r="T110">
        <f t="shared" ref="T110" si="529">S110/1000</f>
        <v>1.8020771663301465</v>
      </c>
    </row>
    <row r="111" spans="1:20" x14ac:dyDescent="0.25">
      <c r="A111" s="5">
        <v>44482</v>
      </c>
      <c r="B111">
        <v>0.72699999999999998</v>
      </c>
      <c r="C111">
        <v>0.74590000000000001</v>
      </c>
      <c r="D111">
        <v>0.70030000000000003</v>
      </c>
      <c r="E111">
        <v>0.73319999999999996</v>
      </c>
      <c r="F111">
        <v>16154073</v>
      </c>
      <c r="G111">
        <v>0.73319999999999996</v>
      </c>
      <c r="L111" t="s">
        <v>8</v>
      </c>
      <c r="M111" t="s">
        <v>7</v>
      </c>
      <c r="N111" t="s">
        <v>8</v>
      </c>
      <c r="P111">
        <f t="shared" ref="P111" si="530">IF(C111=D111,0,((E111-D111)-(C111-E111))/(C111-D111))</f>
        <v>0.44298245614034859</v>
      </c>
      <c r="Q111">
        <f t="shared" ref="Q111" si="531">F111*P111</f>
        <v>7155970.9342104895</v>
      </c>
      <c r="R111">
        <f t="shared" ref="R111" si="532">R112+Q111</f>
        <v>186504593.28395805</v>
      </c>
      <c r="S111">
        <f t="shared" ref="S111" si="533">R111/100000</f>
        <v>1865.0459328395805</v>
      </c>
      <c r="T111">
        <f t="shared" ref="T111" si="534">S111/1000</f>
        <v>1.8650459328395805</v>
      </c>
    </row>
    <row r="112" spans="1:20" x14ac:dyDescent="0.25">
      <c r="A112" s="5">
        <v>44481</v>
      </c>
      <c r="B112">
        <v>0.74380000000000002</v>
      </c>
      <c r="C112">
        <v>0.751</v>
      </c>
      <c r="D112">
        <v>0.68710000000000004</v>
      </c>
      <c r="E112">
        <v>0.72670000000000001</v>
      </c>
      <c r="F112">
        <v>25791924</v>
      </c>
      <c r="G112">
        <v>0.72670000000000001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0.23943661971830971</v>
      </c>
      <c r="Q112">
        <f t="shared" ref="Q112" si="536">F112*P112</f>
        <v>6175531.0985915456</v>
      </c>
      <c r="R112">
        <f t="shared" ref="R112" si="537">R113+Q112</f>
        <v>179348622.34974757</v>
      </c>
      <c r="S112">
        <f t="shared" ref="S112" si="538">R112/100000</f>
        <v>1793.4862234974757</v>
      </c>
      <c r="T112">
        <f t="shared" ref="T112" si="539">S112/1000</f>
        <v>1.7934862234974758</v>
      </c>
    </row>
    <row r="113" spans="1:20" x14ac:dyDescent="0.25">
      <c r="A113" s="5">
        <v>44480</v>
      </c>
      <c r="B113">
        <v>0.77529999999999999</v>
      </c>
      <c r="C113">
        <v>0.81410000000000005</v>
      </c>
      <c r="D113">
        <v>0.7218</v>
      </c>
      <c r="E113">
        <v>0.74419999999999997</v>
      </c>
      <c r="F113">
        <v>29763343</v>
      </c>
      <c r="G113">
        <v>0.74419999999999997</v>
      </c>
      <c r="L113" t="s">
        <v>7</v>
      </c>
      <c r="M113" t="s">
        <v>7</v>
      </c>
      <c r="N113" t="s">
        <v>8</v>
      </c>
      <c r="P113">
        <f t="shared" ref="P113" si="540">IF(C113=D113,0,((E113-D113)-(C113-E113))/(C113-D113))</f>
        <v>-0.51462621885157178</v>
      </c>
      <c r="Q113">
        <f t="shared" ref="Q113" si="541">F113*P113</f>
        <v>-15316996.668472396</v>
      </c>
      <c r="R113">
        <f t="shared" ref="R113" si="542">R114+Q113</f>
        <v>173173091.25115603</v>
      </c>
      <c r="S113">
        <f t="shared" ref="S113" si="543">R113/100000</f>
        <v>1731.7309125115603</v>
      </c>
      <c r="T113">
        <f t="shared" ref="T113" si="544">S113/1000</f>
        <v>1.7317309125115603</v>
      </c>
    </row>
    <row r="114" spans="1:20" x14ac:dyDescent="0.25">
      <c r="A114" s="5">
        <v>44479</v>
      </c>
      <c r="B114">
        <v>0.78239999999999998</v>
      </c>
      <c r="C114">
        <v>0.874</v>
      </c>
      <c r="D114">
        <v>0.76319999999999999</v>
      </c>
      <c r="E114">
        <v>0.77549999999999997</v>
      </c>
      <c r="F114">
        <v>91388892</v>
      </c>
      <c r="G114">
        <v>0.77549999999999997</v>
      </c>
      <c r="L114" t="s">
        <v>7</v>
      </c>
      <c r="M114" t="s">
        <v>8</v>
      </c>
      <c r="N114" t="s">
        <v>8</v>
      </c>
      <c r="P114">
        <f t="shared" ref="P114" si="545">IF(C114=D114,0,((E114-D114)-(C114-E114))/(C114-D114))</f>
        <v>-0.7779783393501809</v>
      </c>
      <c r="Q114">
        <f t="shared" ref="Q114" si="546">F114*P114</f>
        <v>-71098578.433213025</v>
      </c>
      <c r="R114">
        <f t="shared" ref="R114" si="547">R115+Q114</f>
        <v>188490087.91962844</v>
      </c>
      <c r="S114">
        <f t="shared" ref="S114" si="548">R114/100000</f>
        <v>1884.9008791962844</v>
      </c>
      <c r="T114">
        <f t="shared" ref="T114" si="549">S114/1000</f>
        <v>1.8849008791962845</v>
      </c>
    </row>
    <row r="115" spans="1:20" x14ac:dyDescent="0.25">
      <c r="A115" s="5">
        <v>44478</v>
      </c>
      <c r="B115">
        <v>0.75639999999999996</v>
      </c>
      <c r="C115">
        <v>0.88690000000000002</v>
      </c>
      <c r="D115">
        <v>0.74299999999999999</v>
      </c>
      <c r="E115">
        <v>0.7823</v>
      </c>
      <c r="F115">
        <v>126911176</v>
      </c>
      <c r="G115">
        <v>0.7823</v>
      </c>
      <c r="L115" t="s">
        <v>8</v>
      </c>
      <c r="M115" t="s">
        <v>8</v>
      </c>
      <c r="N115" t="s">
        <v>8</v>
      </c>
      <c r="P115">
        <f t="shared" ref="P115" si="550">IF(C115=D115,0,((E115-D115)-(C115-E115))/(C115-D115))</f>
        <v>-0.45378735232800566</v>
      </c>
      <c r="Q115">
        <f t="shared" ref="Q115" si="551">F115*P115</f>
        <v>-57590686.537873536</v>
      </c>
      <c r="R115">
        <f t="shared" ref="R115" si="552">R116+Q115</f>
        <v>259588666.35284147</v>
      </c>
      <c r="S115">
        <f t="shared" ref="S115" si="553">R115/100000</f>
        <v>2595.8866635284148</v>
      </c>
      <c r="T115">
        <f t="shared" ref="T115" si="554">S115/1000</f>
        <v>2.595886663528415</v>
      </c>
    </row>
    <row r="116" spans="1:20" x14ac:dyDescent="0.25">
      <c r="A116" s="5">
        <v>44477</v>
      </c>
      <c r="B116">
        <v>0.71279999999999999</v>
      </c>
      <c r="C116">
        <v>0.8</v>
      </c>
      <c r="D116">
        <v>0.68720000000000003</v>
      </c>
      <c r="E116">
        <v>0.75629999999999997</v>
      </c>
      <c r="F116">
        <v>125457235</v>
      </c>
      <c r="G116">
        <v>0.75629999999999997</v>
      </c>
      <c r="L116" t="s">
        <v>8</v>
      </c>
      <c r="M116" t="s">
        <v>8</v>
      </c>
      <c r="N116" t="s">
        <v>8</v>
      </c>
      <c r="P116">
        <f t="shared" ref="P116" si="555">IF(C116=D116,0,((E116-D116)-(C116-E116))/(C116-D116))</f>
        <v>0.22517730496453781</v>
      </c>
      <c r="Q116">
        <f t="shared" ref="Q116" si="556">F116*P116</f>
        <v>28250122.065602686</v>
      </c>
      <c r="R116">
        <f t="shared" ref="R116" si="557">R117+Q116</f>
        <v>317179352.890715</v>
      </c>
      <c r="S116">
        <f t="shared" ref="S116" si="558">R116/100000</f>
        <v>3171.7935289071502</v>
      </c>
      <c r="T116">
        <f t="shared" ref="T116" si="559">S116/1000</f>
        <v>3.1717935289071502</v>
      </c>
    </row>
    <row r="117" spans="1:20" x14ac:dyDescent="0.25">
      <c r="A117" s="5">
        <v>44476</v>
      </c>
      <c r="B117">
        <v>0.69669999999999999</v>
      </c>
      <c r="C117">
        <v>0.73609999999999998</v>
      </c>
      <c r="D117">
        <v>0.67759999999999998</v>
      </c>
      <c r="E117">
        <v>0.71330000000000005</v>
      </c>
      <c r="F117">
        <v>133121492</v>
      </c>
      <c r="G117">
        <v>0.71330000000000005</v>
      </c>
      <c r="L117" t="s">
        <v>8</v>
      </c>
      <c r="M117" t="s">
        <v>7</v>
      </c>
      <c r="N117" t="s">
        <v>8</v>
      </c>
      <c r="P117">
        <f t="shared" ref="P117" si="560">IF(C117=D117,0,((E117-D117)-(C117-E117))/(C117-D117))</f>
        <v>0.22051282051282281</v>
      </c>
      <c r="Q117">
        <f t="shared" ref="Q117" si="561">F117*P117</f>
        <v>29354995.671795178</v>
      </c>
      <c r="R117">
        <f t="shared" ref="R117" si="562">R118+Q117</f>
        <v>288929230.82511234</v>
      </c>
      <c r="S117">
        <f t="shared" ref="S117" si="563">R117/100000</f>
        <v>2889.2923082511234</v>
      </c>
      <c r="T117">
        <f t="shared" ref="T117" si="564">S117/1000</f>
        <v>2.8892923082511235</v>
      </c>
    </row>
    <row r="118" spans="1:20" x14ac:dyDescent="0.25">
      <c r="A118" s="5">
        <v>44475</v>
      </c>
      <c r="B118">
        <v>0.74019999999999997</v>
      </c>
      <c r="C118">
        <v>0.75090000000000001</v>
      </c>
      <c r="D118">
        <v>0.67059999999999997</v>
      </c>
      <c r="E118">
        <v>0.69669999999999999</v>
      </c>
      <c r="F118">
        <v>95221584</v>
      </c>
      <c r="G118">
        <v>0.69669999999999999</v>
      </c>
      <c r="L118" t="s">
        <v>7</v>
      </c>
      <c r="M118" t="s">
        <v>7</v>
      </c>
      <c r="N118" t="s">
        <v>8</v>
      </c>
      <c r="P118">
        <f t="shared" ref="P118" si="565">IF(C118=D118,0,((E118-D118)-(C118-E118))/(C118-D118))</f>
        <v>-0.34993773349937735</v>
      </c>
      <c r="Q118">
        <f t="shared" ref="Q118" si="566">F118*P118</f>
        <v>-33321625.285180572</v>
      </c>
      <c r="R118">
        <f t="shared" ref="R118" si="567">R119+Q118</f>
        <v>259574235.15331715</v>
      </c>
      <c r="S118">
        <f t="shared" ref="S118" si="568">R118/100000</f>
        <v>2595.7423515331716</v>
      </c>
      <c r="T118">
        <f t="shared" ref="T118" si="569">S118/1000</f>
        <v>2.5957423515331715</v>
      </c>
    </row>
    <row r="119" spans="1:20" x14ac:dyDescent="0.25">
      <c r="A119" s="5">
        <v>44474</v>
      </c>
      <c r="B119">
        <v>0.74819999999999998</v>
      </c>
      <c r="C119">
        <v>0.78220000000000001</v>
      </c>
      <c r="D119">
        <v>0.72330000000000005</v>
      </c>
      <c r="E119">
        <v>0.74019999999999997</v>
      </c>
      <c r="F119">
        <v>138445248</v>
      </c>
      <c r="G119">
        <v>0.74019999999999997</v>
      </c>
      <c r="L119" t="s">
        <v>8</v>
      </c>
      <c r="M119" t="s">
        <v>8</v>
      </c>
      <c r="N119" t="s">
        <v>8</v>
      </c>
      <c r="P119">
        <f t="shared" ref="P119" si="570">IF(C119=D119,0,((E119-D119)-(C119-E119))/(C119-D119))</f>
        <v>-0.42614601018675963</v>
      </c>
      <c r="Q119">
        <f t="shared" ref="Q119" si="571">F119*P119</f>
        <v>-58997890.064516462</v>
      </c>
      <c r="R119">
        <f t="shared" ref="R119" si="572">R120+Q119</f>
        <v>292895860.43849772</v>
      </c>
      <c r="S119">
        <f t="shared" ref="S119" si="573">R119/100000</f>
        <v>2928.9586043849772</v>
      </c>
      <c r="T119">
        <f t="shared" ref="T119" si="574">S119/1000</f>
        <v>2.9289586043849773</v>
      </c>
    </row>
    <row r="120" spans="1:20" x14ac:dyDescent="0.25">
      <c r="A120" s="5">
        <v>44473</v>
      </c>
      <c r="B120">
        <v>0.79559999999999997</v>
      </c>
      <c r="C120">
        <v>0.79710000000000003</v>
      </c>
      <c r="D120">
        <v>0.72829999999999995</v>
      </c>
      <c r="E120">
        <v>0.74309999999999998</v>
      </c>
      <c r="F120">
        <v>145085639</v>
      </c>
      <c r="G120">
        <v>0.74309999999999998</v>
      </c>
      <c r="L120" t="s">
        <v>7</v>
      </c>
      <c r="M120" t="s">
        <v>8</v>
      </c>
      <c r="N120" t="s">
        <v>8</v>
      </c>
      <c r="P120">
        <f t="shared" ref="P120" si="575">IF(C120=D120,0,((E120-D120)-(C120-E120))/(C120-D120))</f>
        <v>-0.56976744186046457</v>
      </c>
      <c r="Q120">
        <f t="shared" ref="Q120" si="576">F120*P120</f>
        <v>-82665073.383720845</v>
      </c>
      <c r="R120">
        <f t="shared" ref="R120" si="577">R121+Q120</f>
        <v>351893750.50301421</v>
      </c>
      <c r="S120">
        <f t="shared" ref="S120" si="578">R120/100000</f>
        <v>3518.9375050301419</v>
      </c>
      <c r="T120">
        <f t="shared" ref="T120" si="579">S120/1000</f>
        <v>3.5189375050301419</v>
      </c>
    </row>
    <row r="121" spans="1:20" x14ac:dyDescent="0.25">
      <c r="A121" s="5">
        <v>44472</v>
      </c>
      <c r="B121">
        <v>0.80089999999999995</v>
      </c>
      <c r="C121">
        <v>0.82340000000000002</v>
      </c>
      <c r="D121">
        <v>0.77580000000000005</v>
      </c>
      <c r="E121">
        <v>0.79590000000000005</v>
      </c>
      <c r="F121">
        <v>133239763</v>
      </c>
      <c r="G121">
        <v>0.79590000000000005</v>
      </c>
      <c r="L121" t="s">
        <v>7</v>
      </c>
      <c r="M121" t="s">
        <v>8</v>
      </c>
      <c r="N121" t="s">
        <v>8</v>
      </c>
      <c r="P121">
        <f t="shared" ref="P121" si="580">IF(C121=D121,0,((E121-D121)-(C121-E121))/(C121-D121))</f>
        <v>-0.15546218487394886</v>
      </c>
      <c r="Q121">
        <f t="shared" ref="Q121" si="581">F121*P121</f>
        <v>-20713744.668067131</v>
      </c>
      <c r="R121">
        <f t="shared" ref="R121" si="582">R122+Q121</f>
        <v>434558823.88673502</v>
      </c>
      <c r="S121">
        <f t="shared" ref="S121" si="583">R121/100000</f>
        <v>4345.5882388673499</v>
      </c>
      <c r="T121">
        <f t="shared" ref="T121" si="584">S121/1000</f>
        <v>4.3455882388673501</v>
      </c>
    </row>
    <row r="122" spans="1:20" x14ac:dyDescent="0.25">
      <c r="A122" s="5">
        <v>44471</v>
      </c>
      <c r="B122">
        <v>0.79</v>
      </c>
      <c r="C122">
        <v>0.85</v>
      </c>
      <c r="D122">
        <v>0.77290000000000003</v>
      </c>
      <c r="E122">
        <v>0.80179999999999996</v>
      </c>
      <c r="F122">
        <v>168519624</v>
      </c>
      <c r="G122">
        <v>0.80179999999999996</v>
      </c>
      <c r="L122" t="s">
        <v>8</v>
      </c>
      <c r="M122" t="s">
        <v>8</v>
      </c>
      <c r="N122" t="s">
        <v>8</v>
      </c>
      <c r="P122">
        <f t="shared" ref="P122" si="585">IF(C122=D122,0,((E122-D122)-(C122-E122))/(C122-D122))</f>
        <v>-0.25032425421530619</v>
      </c>
      <c r="Q122">
        <f t="shared" ref="Q122" si="586">F122*P122</f>
        <v>-42184549.198443815</v>
      </c>
      <c r="R122">
        <f t="shared" ref="R122" si="587">R123+Q122</f>
        <v>455272568.55480218</v>
      </c>
      <c r="S122">
        <f t="shared" ref="S122" si="588">R122/100000</f>
        <v>4552.7256855480218</v>
      </c>
      <c r="T122">
        <f t="shared" ref="T122" si="589">S122/1000</f>
        <v>4.5527256855480216</v>
      </c>
    </row>
    <row r="123" spans="1:20" x14ac:dyDescent="0.25">
      <c r="A123" s="5">
        <v>44470</v>
      </c>
      <c r="B123">
        <v>0.72240000000000004</v>
      </c>
      <c r="C123">
        <v>0.81499999999999995</v>
      </c>
      <c r="D123">
        <v>0.7157</v>
      </c>
      <c r="E123">
        <v>0.79020000000000001</v>
      </c>
      <c r="F123">
        <v>32051783</v>
      </c>
      <c r="G123">
        <v>0.79020000000000001</v>
      </c>
      <c r="L123" t="s">
        <v>8</v>
      </c>
      <c r="M123" t="s">
        <v>8</v>
      </c>
      <c r="N123" t="s">
        <v>8</v>
      </c>
      <c r="P123">
        <f t="shared" ref="P123" si="590">IF(C123=D123,0,((E123-D123)-(C123-E123))/(C123-D123))</f>
        <v>0.50050352467270998</v>
      </c>
      <c r="Q123">
        <f t="shared" ref="Q123" si="591">F123*P123</f>
        <v>16042030.363544846</v>
      </c>
      <c r="R123">
        <f t="shared" ref="R123" si="592">R124+Q123</f>
        <v>497457117.75324601</v>
      </c>
      <c r="S123">
        <f t="shared" ref="S123" si="593">R123/100000</f>
        <v>4974.5711775324598</v>
      </c>
      <c r="T123">
        <f t="shared" ref="T123" si="594">S123/1000</f>
        <v>4.9745711775324599</v>
      </c>
    </row>
    <row r="124" spans="1:20" x14ac:dyDescent="0.25">
      <c r="A124" s="5">
        <v>44469</v>
      </c>
      <c r="B124">
        <v>0.69779999999999998</v>
      </c>
      <c r="C124">
        <v>0.77439999999999998</v>
      </c>
      <c r="D124">
        <v>0.69120000000000004</v>
      </c>
      <c r="E124">
        <v>0.72289999999999999</v>
      </c>
      <c r="F124">
        <v>32909846</v>
      </c>
      <c r="G124">
        <v>0.72289999999999999</v>
      </c>
      <c r="L124" t="s">
        <v>8</v>
      </c>
      <c r="M124" t="s">
        <v>7</v>
      </c>
      <c r="N124" t="s">
        <v>8</v>
      </c>
      <c r="P124">
        <f t="shared" ref="P124" si="595">IF(C124=D124,0,((E124-D124)-(C124-E124))/(C124-D124))</f>
        <v>-0.23798076923076988</v>
      </c>
      <c r="Q124">
        <f t="shared" ref="Q124" si="596">F124*P124</f>
        <v>-7831910.4663461754</v>
      </c>
      <c r="R124">
        <f t="shared" ref="R124" si="597">R125+Q124</f>
        <v>481415087.38970119</v>
      </c>
      <c r="S124">
        <f t="shared" ref="S124" si="598">R124/100000</f>
        <v>4814.1508738970115</v>
      </c>
      <c r="T124">
        <f t="shared" ref="T124" si="599">S124/1000</f>
        <v>4.8141508738970114</v>
      </c>
    </row>
    <row r="125" spans="1:20" x14ac:dyDescent="0.25">
      <c r="A125" s="5">
        <v>44468</v>
      </c>
      <c r="B125">
        <v>0.68369999999999997</v>
      </c>
      <c r="C125">
        <v>0.75309999999999999</v>
      </c>
      <c r="D125">
        <v>0.67179999999999995</v>
      </c>
      <c r="E125">
        <v>0.69810000000000005</v>
      </c>
      <c r="F125">
        <v>37774862</v>
      </c>
      <c r="G125">
        <v>0.69810000000000005</v>
      </c>
      <c r="L125" t="s">
        <v>7</v>
      </c>
      <c r="M125" t="s">
        <v>7</v>
      </c>
      <c r="N125" t="s">
        <v>8</v>
      </c>
      <c r="P125">
        <f t="shared" ref="P125" si="600">IF(C125=D125,0,((E125-D125)-(C125-E125))/(C125-D125))</f>
        <v>-0.35301353013529918</v>
      </c>
      <c r="Q125">
        <f t="shared" ref="Q125" si="601">F125*P125</f>
        <v>-13335037.384993767</v>
      </c>
      <c r="R125">
        <f t="shared" ref="R125" si="602">R126+Q125</f>
        <v>489246997.85604739</v>
      </c>
      <c r="S125">
        <f t="shared" ref="S125" si="603">R125/100000</f>
        <v>4892.4699785604735</v>
      </c>
      <c r="T125">
        <f t="shared" ref="T125" si="604">S125/1000</f>
        <v>4.8924699785604737</v>
      </c>
    </row>
    <row r="126" spans="1:20" x14ac:dyDescent="0.25">
      <c r="A126" s="5">
        <v>44467</v>
      </c>
      <c r="B126">
        <v>0.73660000000000003</v>
      </c>
      <c r="C126">
        <v>0.75449999999999995</v>
      </c>
      <c r="D126">
        <v>0.68100000000000005</v>
      </c>
      <c r="E126">
        <v>0.68400000000000005</v>
      </c>
      <c r="F126">
        <v>95677823</v>
      </c>
      <c r="G126">
        <v>0.68400000000000005</v>
      </c>
      <c r="L126" t="s">
        <v>7</v>
      </c>
      <c r="M126" t="s">
        <v>7</v>
      </c>
      <c r="N126" t="s">
        <v>8</v>
      </c>
      <c r="P126">
        <f t="shared" ref="P126" si="605">IF(C126=D126,0,((E126-D126)-(C126-E126))/(C126-D126))</f>
        <v>-0.91836734693877531</v>
      </c>
      <c r="Q126">
        <f t="shared" ref="Q126" si="606">F126*P126</f>
        <v>-87867388.46938774</v>
      </c>
      <c r="R126">
        <f t="shared" ref="R126" si="607">R127+Q126</f>
        <v>502582035.24104118</v>
      </c>
      <c r="S126">
        <f t="shared" ref="S126" si="608">R126/100000</f>
        <v>5025.8203524104119</v>
      </c>
      <c r="T126">
        <f t="shared" ref="T126" si="609">S126/1000</f>
        <v>5.0258203524104124</v>
      </c>
    </row>
    <row r="127" spans="1:20" x14ac:dyDescent="0.25">
      <c r="A127" s="5">
        <v>44466</v>
      </c>
      <c r="B127">
        <v>0.81100000000000005</v>
      </c>
      <c r="C127">
        <v>0.83079999999999998</v>
      </c>
      <c r="D127">
        <v>0.7339</v>
      </c>
      <c r="E127">
        <v>0.73780000000000001</v>
      </c>
      <c r="F127">
        <v>42508761</v>
      </c>
      <c r="G127">
        <v>0.73780000000000001</v>
      </c>
      <c r="L127" t="s">
        <v>7</v>
      </c>
      <c r="M127" t="s">
        <v>7</v>
      </c>
      <c r="N127" t="s">
        <v>8</v>
      </c>
      <c r="P127">
        <f t="shared" ref="P127" si="610">IF(C127=D127,0,((E127-D127)-(C127-E127))/(C127-D127))</f>
        <v>-0.91950464396284803</v>
      </c>
      <c r="Q127">
        <f t="shared" ref="Q127" si="611">F127*P127</f>
        <v>-39087003.1486068</v>
      </c>
      <c r="R127">
        <f t="shared" ref="R127" si="612">R128+Q127</f>
        <v>590449423.71042895</v>
      </c>
      <c r="S127">
        <f t="shared" ref="S127" si="613">R127/100000</f>
        <v>5904.4942371042898</v>
      </c>
      <c r="T127">
        <f t="shared" ref="T127" si="614">S127/1000</f>
        <v>5.9044942371042897</v>
      </c>
    </row>
    <row r="128" spans="1:20" x14ac:dyDescent="0.25">
      <c r="A128" s="5">
        <v>44465</v>
      </c>
      <c r="B128">
        <v>0.83530000000000004</v>
      </c>
      <c r="C128">
        <v>0.875</v>
      </c>
      <c r="D128">
        <v>0.7651</v>
      </c>
      <c r="E128">
        <v>0.81140000000000001</v>
      </c>
      <c r="F128">
        <v>44821660</v>
      </c>
      <c r="G128">
        <v>0.81140000000000001</v>
      </c>
      <c r="L128" t="s">
        <v>7</v>
      </c>
      <c r="M128" t="s">
        <v>8</v>
      </c>
      <c r="N128" t="s">
        <v>8</v>
      </c>
      <c r="P128">
        <f t="shared" ref="P128" si="615">IF(C128=D128,0,((E128-D128)-(C128-E128))/(C128-D128))</f>
        <v>-0.15741583257506808</v>
      </c>
      <c r="Q128">
        <f t="shared" ref="Q128" si="616">F128*P128</f>
        <v>-7055638.9262966262</v>
      </c>
      <c r="R128">
        <f t="shared" ref="R128" si="617">R129+Q128</f>
        <v>629536426.85903573</v>
      </c>
      <c r="S128">
        <f t="shared" ref="S128" si="618">R128/100000</f>
        <v>6295.3642685903569</v>
      </c>
      <c r="T128">
        <f t="shared" ref="T128" si="619">S128/1000</f>
        <v>6.2953642685903572</v>
      </c>
    </row>
    <row r="129" spans="1:20" x14ac:dyDescent="0.25">
      <c r="A129" s="5">
        <v>44464</v>
      </c>
      <c r="B129">
        <v>0.81289999999999996</v>
      </c>
      <c r="C129">
        <v>0.88380000000000003</v>
      </c>
      <c r="D129">
        <v>0.77280000000000004</v>
      </c>
      <c r="E129">
        <v>0.83589999999999998</v>
      </c>
      <c r="F129">
        <v>66519121</v>
      </c>
      <c r="G129">
        <v>0.83589999999999998</v>
      </c>
      <c r="L129" t="s">
        <v>8</v>
      </c>
      <c r="M129" t="s">
        <v>8</v>
      </c>
      <c r="N129" t="s">
        <v>8</v>
      </c>
      <c r="P129">
        <f t="shared" ref="P129" si="620">IF(C129=D129,0,((E129-D129)-(C129-E129))/(C129-D129))</f>
        <v>0.13693693693693587</v>
      </c>
      <c r="Q129">
        <f t="shared" ref="Q129" si="621">F129*P129</f>
        <v>9108924.6774774063</v>
      </c>
      <c r="R129">
        <f t="shared" ref="R129" si="622">R130+Q129</f>
        <v>636592065.78533232</v>
      </c>
      <c r="S129">
        <f t="shared" ref="S129" si="623">R129/100000</f>
        <v>6365.9206578533231</v>
      </c>
      <c r="T129">
        <f t="shared" ref="T129" si="624">S129/1000</f>
        <v>6.365920657853323</v>
      </c>
    </row>
    <row r="130" spans="1:20" x14ac:dyDescent="0.25">
      <c r="A130" s="5">
        <v>44463</v>
      </c>
      <c r="B130">
        <v>0.84440000000000004</v>
      </c>
      <c r="C130">
        <v>0.87</v>
      </c>
      <c r="D130">
        <v>0.69469999999999998</v>
      </c>
      <c r="E130">
        <v>0.81289999999999996</v>
      </c>
      <c r="F130">
        <v>94194589</v>
      </c>
      <c r="G130">
        <v>0.81289999999999996</v>
      </c>
      <c r="L130" t="s">
        <v>7</v>
      </c>
      <c r="M130" t="s">
        <v>7</v>
      </c>
      <c r="N130" t="s">
        <v>8</v>
      </c>
      <c r="P130">
        <f t="shared" ref="P130" si="625">IF(C130=D130,0,((E130-D130)-(C130-E130))/(C130-D130))</f>
        <v>0.34854535082715304</v>
      </c>
      <c r="Q130">
        <f t="shared" ref="Q130" si="626">F130*P130</f>
        <v>32831086.069024492</v>
      </c>
      <c r="R130">
        <f t="shared" ref="R130" si="627">R131+Q130</f>
        <v>627483141.10785496</v>
      </c>
      <c r="S130">
        <f t="shared" ref="S130" si="628">R130/100000</f>
        <v>6274.8314110785495</v>
      </c>
      <c r="T130">
        <f t="shared" ref="T130" si="629">S130/1000</f>
        <v>6.2748314110785497</v>
      </c>
    </row>
    <row r="131" spans="1:20" x14ac:dyDescent="0.25">
      <c r="A131" s="5">
        <v>44462</v>
      </c>
      <c r="B131">
        <v>0.74360000000000004</v>
      </c>
      <c r="C131">
        <v>0.86950000000000005</v>
      </c>
      <c r="D131">
        <v>0.69810000000000005</v>
      </c>
      <c r="E131">
        <v>0.84430000000000005</v>
      </c>
      <c r="F131">
        <v>51299536</v>
      </c>
      <c r="G131">
        <v>0.84430000000000005</v>
      </c>
      <c r="L131" t="s">
        <v>8</v>
      </c>
      <c r="M131" t="s">
        <v>8</v>
      </c>
      <c r="N131" t="s">
        <v>8</v>
      </c>
      <c r="P131">
        <f t="shared" ref="P131" si="630">IF(C131=D131,0,((E131-D131)-(C131-E131))/(C131-D131))</f>
        <v>0.70595099183197196</v>
      </c>
      <c r="Q131">
        <f t="shared" ref="Q131" si="631">F131*P131</f>
        <v>36214958.319719955</v>
      </c>
      <c r="R131">
        <f t="shared" ref="R131" si="632">R132+Q131</f>
        <v>594652055.03883052</v>
      </c>
      <c r="S131">
        <f t="shared" ref="S131" si="633">R131/100000</f>
        <v>5946.5205503883053</v>
      </c>
      <c r="T131">
        <f t="shared" ref="T131" si="634">S131/1000</f>
        <v>5.9465205503883052</v>
      </c>
    </row>
    <row r="132" spans="1:20" x14ac:dyDescent="0.25">
      <c r="A132" s="5">
        <v>44461</v>
      </c>
      <c r="B132">
        <v>0.60289999999999999</v>
      </c>
      <c r="C132">
        <v>0.74509999999999998</v>
      </c>
      <c r="D132">
        <v>0.58699999999999997</v>
      </c>
      <c r="E132">
        <v>0.74299999999999999</v>
      </c>
      <c r="F132">
        <v>40485788</v>
      </c>
      <c r="G132">
        <v>0.74299999999999999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0.9734345351043644</v>
      </c>
      <c r="Q132">
        <f t="shared" ref="Q132" si="636">F132*P132</f>
        <v>39410264.220113851</v>
      </c>
      <c r="R132">
        <f t="shared" ref="R132" si="637">R133+Q132</f>
        <v>558437096.71911061</v>
      </c>
      <c r="S132">
        <f t="shared" ref="S132" si="638">R132/100000</f>
        <v>5584.3709671911065</v>
      </c>
      <c r="T132">
        <f t="shared" ref="T132" si="639">S132/1000</f>
        <v>5.5843709671911066</v>
      </c>
    </row>
    <row r="133" spans="1:20" x14ac:dyDescent="0.25">
      <c r="A133" s="5">
        <v>44460</v>
      </c>
      <c r="B133">
        <v>0.68110000000000004</v>
      </c>
      <c r="C133">
        <v>0.72199999999999998</v>
      </c>
      <c r="D133">
        <v>0.57999999999999996</v>
      </c>
      <c r="E133">
        <v>0.60309999999999997</v>
      </c>
      <c r="F133">
        <v>113118723</v>
      </c>
      <c r="G133">
        <v>0.60309999999999997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-0.67464788732394354</v>
      </c>
      <c r="Q133">
        <f t="shared" ref="Q133" si="641">F133*P133</f>
        <v>-76315307.488732383</v>
      </c>
      <c r="R133">
        <f t="shared" ref="R133" si="642">R134+Q133</f>
        <v>519026832.49899679</v>
      </c>
      <c r="S133">
        <f t="shared" ref="S133" si="643">R133/100000</f>
        <v>5190.2683249899683</v>
      </c>
      <c r="T133">
        <f t="shared" ref="T133" si="644">S133/1000</f>
        <v>5.1902683249899679</v>
      </c>
    </row>
    <row r="134" spans="1:20" x14ac:dyDescent="0.25">
      <c r="A134" s="5">
        <v>44459</v>
      </c>
      <c r="B134">
        <v>0.76519999999999999</v>
      </c>
      <c r="C134">
        <v>0.76790000000000003</v>
      </c>
      <c r="D134">
        <v>0.66879999999999995</v>
      </c>
      <c r="E134">
        <v>0.68489999999999995</v>
      </c>
      <c r="F134">
        <v>80742797</v>
      </c>
      <c r="G134">
        <v>0.68489999999999995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-0.67507568113017169</v>
      </c>
      <c r="Q134">
        <f t="shared" ref="Q134" si="646">F134*P134</f>
        <v>-54507498.681130186</v>
      </c>
      <c r="R134">
        <f t="shared" ref="R134" si="647">R135+Q134</f>
        <v>595342139.98772919</v>
      </c>
      <c r="S134">
        <f t="shared" ref="S134" si="648">R134/100000</f>
        <v>5953.4213998772921</v>
      </c>
      <c r="T134">
        <f t="shared" ref="T134" si="649">S134/1000</f>
        <v>5.9534213998772918</v>
      </c>
    </row>
    <row r="135" spans="1:20" x14ac:dyDescent="0.25">
      <c r="A135" s="5">
        <v>44458</v>
      </c>
      <c r="B135">
        <v>0.83789999999999998</v>
      </c>
      <c r="C135">
        <v>0.84699999999999998</v>
      </c>
      <c r="D135">
        <v>0.75749999999999995</v>
      </c>
      <c r="E135">
        <v>0.7651</v>
      </c>
      <c r="F135">
        <v>114348112</v>
      </c>
      <c r="G135">
        <v>0.7651</v>
      </c>
      <c r="L135" t="s">
        <v>7</v>
      </c>
      <c r="M135" t="s">
        <v>7</v>
      </c>
      <c r="N135" t="s">
        <v>7</v>
      </c>
      <c r="P135">
        <f t="shared" ref="P135" si="650">IF(C135=D135,0,((E135-D135)-(C135-E135))/(C135-D135))</f>
        <v>-0.83016759776536198</v>
      </c>
      <c r="Q135">
        <f t="shared" ref="Q135" si="651">F135*P135</f>
        <v>-94928097.448044568</v>
      </c>
      <c r="R135">
        <f t="shared" ref="R135" si="652">R136+Q135</f>
        <v>649849638.66885936</v>
      </c>
      <c r="S135">
        <f t="shared" ref="S135" si="653">R135/100000</f>
        <v>6498.4963866885937</v>
      </c>
      <c r="T135">
        <f t="shared" ref="T135" si="654">S135/1000</f>
        <v>6.4984963866885934</v>
      </c>
    </row>
    <row r="136" spans="1:20" x14ac:dyDescent="0.25">
      <c r="A136" s="5">
        <v>44457</v>
      </c>
      <c r="B136">
        <v>0.82589999999999997</v>
      </c>
      <c r="C136">
        <v>0.88829999999999998</v>
      </c>
      <c r="D136">
        <v>0.80610000000000004</v>
      </c>
      <c r="E136">
        <v>0.83850000000000002</v>
      </c>
      <c r="F136">
        <v>117785111</v>
      </c>
      <c r="G136">
        <v>0.83850000000000002</v>
      </c>
      <c r="L136" t="s">
        <v>7</v>
      </c>
      <c r="M136" t="s">
        <v>7</v>
      </c>
      <c r="N136" t="s">
        <v>7</v>
      </c>
      <c r="P136">
        <f t="shared" ref="P136" si="655">IF(C136=D136,0,((E136-D136)-(C136-E136))/(C136-D136))</f>
        <v>-0.21167883211678812</v>
      </c>
      <c r="Q136">
        <f t="shared" ref="Q136" si="656">F136*P136</f>
        <v>-24932614.737226255</v>
      </c>
      <c r="R136">
        <f t="shared" ref="R136" si="657">R137+Q136</f>
        <v>744777736.1169039</v>
      </c>
      <c r="S136">
        <f t="shared" ref="S136" si="658">R136/100000</f>
        <v>7447.7773611690391</v>
      </c>
      <c r="T136">
        <f t="shared" ref="T136" si="659">S136/1000</f>
        <v>7.447777361169039</v>
      </c>
    </row>
    <row r="137" spans="1:20" x14ac:dyDescent="0.25">
      <c r="A137" s="5">
        <v>44456</v>
      </c>
      <c r="B137">
        <v>0.91080000000000005</v>
      </c>
      <c r="C137">
        <v>0.94499999999999995</v>
      </c>
      <c r="D137">
        <v>0.82199999999999995</v>
      </c>
      <c r="E137">
        <v>0.82530000000000003</v>
      </c>
      <c r="F137">
        <v>62602587</v>
      </c>
      <c r="G137">
        <v>0.82530000000000003</v>
      </c>
      <c r="L137" t="s">
        <v>7</v>
      </c>
      <c r="M137" t="s">
        <v>7</v>
      </c>
      <c r="N137" t="s">
        <v>7</v>
      </c>
      <c r="P137">
        <f t="shared" ref="P137" si="660">IF(C137=D137,0,((E137-D137)-(C137-E137))/(C137-D137))</f>
        <v>-0.94634146341463288</v>
      </c>
      <c r="Q137">
        <f t="shared" ref="Q137" si="661">F137*P137</f>
        <v>-59243423.795121871</v>
      </c>
      <c r="R137">
        <f t="shared" ref="R137" si="662">R138+Q137</f>
        <v>769710350.85413015</v>
      </c>
      <c r="S137">
        <f t="shared" ref="S137" si="663">R137/100000</f>
        <v>7697.1035085413014</v>
      </c>
      <c r="T137">
        <f t="shared" ref="T137" si="664">S137/1000</f>
        <v>7.6971035085413018</v>
      </c>
    </row>
    <row r="138" spans="1:20" x14ac:dyDescent="0.25">
      <c r="A138" s="5">
        <v>44455</v>
      </c>
      <c r="B138">
        <v>0.94969999999999999</v>
      </c>
      <c r="C138">
        <v>1.0285</v>
      </c>
      <c r="D138">
        <v>0.8891</v>
      </c>
      <c r="E138">
        <v>0.90980000000000005</v>
      </c>
      <c r="F138">
        <v>48923309</v>
      </c>
      <c r="G138">
        <v>0.90980000000000005</v>
      </c>
      <c r="L138" t="s">
        <v>8</v>
      </c>
      <c r="M138" t="s">
        <v>8</v>
      </c>
      <c r="N138" t="s">
        <v>7</v>
      </c>
      <c r="P138">
        <f t="shared" ref="P138" si="665">IF(C138=D138,0,((E138-D138)-(C138-E138))/(C138-D138))</f>
        <v>-0.70301291248206521</v>
      </c>
      <c r="Q138">
        <f t="shared" ref="Q138" si="666">F138*P138</f>
        <v>-34393717.948350035</v>
      </c>
      <c r="R138">
        <f t="shared" ref="R138" si="667">R139+Q138</f>
        <v>828953774.64925206</v>
      </c>
      <c r="S138">
        <f t="shared" ref="S138" si="668">R138/100000</f>
        <v>8289.5377464925205</v>
      </c>
      <c r="T138">
        <f t="shared" ref="T138" si="669">S138/1000</f>
        <v>8.2895377464925204</v>
      </c>
    </row>
    <row r="139" spans="1:20" x14ac:dyDescent="0.25">
      <c r="A139" s="5">
        <v>44454</v>
      </c>
      <c r="B139">
        <v>0.90869999999999995</v>
      </c>
      <c r="C139">
        <v>0.98499999999999999</v>
      </c>
      <c r="D139">
        <v>0.87</v>
      </c>
      <c r="E139">
        <v>0.94969999999999999</v>
      </c>
      <c r="F139">
        <v>34829829</v>
      </c>
      <c r="G139">
        <v>0.94969999999999999</v>
      </c>
      <c r="L139" t="s">
        <v>7</v>
      </c>
      <c r="M139" t="s">
        <v>8</v>
      </c>
      <c r="N139" t="s">
        <v>7</v>
      </c>
      <c r="P139">
        <f t="shared" ref="P139" si="670">IF(C139=D139,0,((E139-D139)-(C139-E139))/(C139-D139))</f>
        <v>0.38608695652173913</v>
      </c>
      <c r="Q139">
        <f t="shared" ref="Q139" si="671">F139*P139</f>
        <v>13447342.67478261</v>
      </c>
      <c r="R139">
        <f t="shared" ref="R139" si="672">R140+Q139</f>
        <v>863347492.59760213</v>
      </c>
      <c r="S139">
        <f t="shared" ref="S139" si="673">R139/100000</f>
        <v>8633.474925976021</v>
      </c>
      <c r="T139">
        <f t="shared" ref="T139" si="674">S139/1000</f>
        <v>8.6334749259760208</v>
      </c>
    </row>
    <row r="140" spans="1:20" x14ac:dyDescent="0.25">
      <c r="A140" s="5">
        <v>44453</v>
      </c>
      <c r="B140">
        <v>0.89949999999999997</v>
      </c>
      <c r="C140">
        <v>1.01</v>
      </c>
      <c r="D140">
        <v>0.85860000000000003</v>
      </c>
      <c r="E140">
        <v>0.90849999999999997</v>
      </c>
      <c r="F140">
        <v>43030948</v>
      </c>
      <c r="G140">
        <v>0.90849999999999997</v>
      </c>
      <c r="L140" t="s">
        <v>8</v>
      </c>
      <c r="M140" t="s">
        <v>8</v>
      </c>
      <c r="N140" t="s">
        <v>7</v>
      </c>
      <c r="P140">
        <f t="shared" ref="P140" si="675">IF(C140=D140,0,((E140-D140)-(C140-E140))/(C140-D140))</f>
        <v>-0.34081902245706802</v>
      </c>
      <c r="Q140">
        <f t="shared" ref="Q140" si="676">F140*P140</f>
        <v>-14665765.632760927</v>
      </c>
      <c r="R140">
        <f t="shared" ref="R140" si="677">R141+Q140</f>
        <v>849900149.9228195</v>
      </c>
      <c r="S140">
        <f t="shared" ref="S140" si="678">R140/100000</f>
        <v>8499.0014992281958</v>
      </c>
      <c r="T140">
        <f t="shared" ref="T140" si="679">S140/1000</f>
        <v>8.4990014992281964</v>
      </c>
    </row>
    <row r="141" spans="1:20" x14ac:dyDescent="0.25">
      <c r="A141" s="5">
        <v>44452</v>
      </c>
      <c r="B141">
        <v>0.87949999999999995</v>
      </c>
      <c r="C141">
        <v>0.93079999999999996</v>
      </c>
      <c r="D141">
        <v>0.78439999999999999</v>
      </c>
      <c r="E141">
        <v>0.89900000000000002</v>
      </c>
      <c r="F141">
        <v>44172143</v>
      </c>
      <c r="G141">
        <v>0.89900000000000002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0.56557377049180402</v>
      </c>
      <c r="Q141">
        <f t="shared" ref="Q141" si="681">F141*P141</f>
        <v>24982605.467213146</v>
      </c>
      <c r="R141">
        <f t="shared" ref="R141" si="682">R142+Q141</f>
        <v>864565915.55558038</v>
      </c>
      <c r="S141">
        <f t="shared" ref="S141" si="683">R141/100000</f>
        <v>8645.6591555558043</v>
      </c>
      <c r="T141">
        <f t="shared" ref="T141" si="684">S141/1000</f>
        <v>8.6456591555558049</v>
      </c>
    </row>
    <row r="142" spans="1:20" x14ac:dyDescent="0.25">
      <c r="A142" s="5">
        <v>44451</v>
      </c>
      <c r="B142">
        <v>0.94750000000000001</v>
      </c>
      <c r="C142">
        <v>0.98880000000000001</v>
      </c>
      <c r="D142">
        <v>0.83630000000000004</v>
      </c>
      <c r="E142">
        <v>0.87949999999999995</v>
      </c>
      <c r="F142">
        <v>47856619</v>
      </c>
      <c r="G142">
        <v>0.87949999999999995</v>
      </c>
      <c r="L142" t="s">
        <v>8</v>
      </c>
      <c r="M142" t="s">
        <v>8</v>
      </c>
      <c r="N142" t="s">
        <v>7</v>
      </c>
      <c r="P142">
        <f t="shared" ref="P142" si="685">IF(C142=D142,0,((E142-D142)-(C142-E142))/(C142-D142))</f>
        <v>-0.43344262295082081</v>
      </c>
      <c r="Q142">
        <f t="shared" ref="Q142" si="686">F142*P142</f>
        <v>-20743098.464918088</v>
      </c>
      <c r="R142">
        <f t="shared" ref="R142" si="687">R143+Q142</f>
        <v>839583310.08836722</v>
      </c>
      <c r="S142">
        <f t="shared" ref="S142" si="688">R142/100000</f>
        <v>8395.8331008836722</v>
      </c>
      <c r="T142">
        <f t="shared" ref="T142" si="689">S142/1000</f>
        <v>8.3958331008836726</v>
      </c>
    </row>
    <row r="143" spans="1:20" x14ac:dyDescent="0.25">
      <c r="A143" s="5">
        <v>44450</v>
      </c>
      <c r="B143">
        <v>0.79090000000000005</v>
      </c>
      <c r="C143">
        <v>0.97040000000000004</v>
      </c>
      <c r="D143">
        <v>0.75519999999999998</v>
      </c>
      <c r="E143">
        <v>0.94720000000000004</v>
      </c>
      <c r="F143">
        <v>71792168</v>
      </c>
      <c r="G143">
        <v>0.94720000000000004</v>
      </c>
      <c r="L143" t="s">
        <v>7</v>
      </c>
      <c r="M143" t="s">
        <v>8</v>
      </c>
      <c r="N143" t="s">
        <v>7</v>
      </c>
      <c r="P143">
        <f t="shared" ref="P143" si="690">IF(C143=D143,0,((E143-D143)-(C143-E143))/(C143-D143))</f>
        <v>0.78438661710037183</v>
      </c>
      <c r="Q143">
        <f t="shared" ref="Q143" si="691">F143*P143</f>
        <v>56312815.791821569</v>
      </c>
      <c r="R143">
        <f t="shared" ref="R143" si="692">R144+Q143</f>
        <v>860326408.55328536</v>
      </c>
      <c r="S143">
        <f t="shared" ref="S143" si="693">R143/100000</f>
        <v>8603.2640855328536</v>
      </c>
      <c r="T143">
        <f t="shared" ref="T143" si="694">S143/1000</f>
        <v>8.603264085532853</v>
      </c>
    </row>
    <row r="144" spans="1:20" x14ac:dyDescent="0.25">
      <c r="A144" s="5">
        <v>44449</v>
      </c>
      <c r="B144">
        <v>0.89759999999999995</v>
      </c>
      <c r="C144">
        <v>0.94279999999999997</v>
      </c>
      <c r="D144">
        <v>0.76100000000000001</v>
      </c>
      <c r="E144">
        <v>0.7903</v>
      </c>
      <c r="F144">
        <v>63359418</v>
      </c>
      <c r="G144">
        <v>0.7903</v>
      </c>
      <c r="L144" t="s">
        <v>7</v>
      </c>
      <c r="M144" t="s">
        <v>7</v>
      </c>
      <c r="N144" t="s">
        <v>7</v>
      </c>
      <c r="P144">
        <f t="shared" ref="P144" si="695">IF(C144=D144,0,((E144-D144)-(C144-E144))/(C144-D144))</f>
        <v>-0.67766776677667773</v>
      </c>
      <c r="Q144">
        <f t="shared" ref="Q144" si="696">F144*P144</f>
        <v>-42936635.300330035</v>
      </c>
      <c r="R144">
        <f t="shared" ref="R144" si="697">R145+Q144</f>
        <v>804013592.76146376</v>
      </c>
      <c r="S144">
        <f t="shared" ref="S144" si="698">R144/100000</f>
        <v>8040.1359276146377</v>
      </c>
      <c r="T144">
        <f t="shared" ref="T144" si="699">S144/1000</f>
        <v>8.0401359276146369</v>
      </c>
    </row>
    <row r="145" spans="1:20" x14ac:dyDescent="0.25">
      <c r="A145" s="5">
        <v>44448</v>
      </c>
      <c r="B145">
        <v>0.88739999999999997</v>
      </c>
      <c r="C145">
        <v>1.036</v>
      </c>
      <c r="D145">
        <v>0.8256</v>
      </c>
      <c r="E145">
        <v>0.89770000000000005</v>
      </c>
      <c r="F145">
        <v>94158824</v>
      </c>
      <c r="G145">
        <v>0.89770000000000005</v>
      </c>
      <c r="L145" t="s">
        <v>7</v>
      </c>
      <c r="M145" t="s">
        <v>7</v>
      </c>
      <c r="N145" t="s">
        <v>7</v>
      </c>
      <c r="P145">
        <f t="shared" ref="P145" si="700">IF(C145=D145,0,((E145-D145)-(C145-E145))/(C145-D145))</f>
        <v>-0.31463878326996159</v>
      </c>
      <c r="Q145">
        <f t="shared" ref="Q145" si="701">F145*P145</f>
        <v>-29626017.817490458</v>
      </c>
      <c r="R145">
        <f t="shared" ref="R145" si="702">R146+Q145</f>
        <v>846950228.0617938</v>
      </c>
      <c r="S145">
        <f t="shared" ref="S145" si="703">R145/100000</f>
        <v>8469.5022806179386</v>
      </c>
      <c r="T145">
        <f t="shared" ref="T145" si="704">S145/1000</f>
        <v>8.4695022806179381</v>
      </c>
    </row>
    <row r="146" spans="1:20" x14ac:dyDescent="0.25">
      <c r="A146" s="5">
        <v>44447</v>
      </c>
      <c r="B146">
        <v>0.90990000000000004</v>
      </c>
      <c r="C146">
        <v>1.1984999999999999</v>
      </c>
      <c r="D146">
        <v>0.85229999999999995</v>
      </c>
      <c r="E146">
        <v>0.88719999999999999</v>
      </c>
      <c r="F146">
        <v>151871994.13</v>
      </c>
      <c r="G146">
        <v>0.88719999999999999</v>
      </c>
      <c r="L146" t="s">
        <v>8</v>
      </c>
      <c r="M146" t="s">
        <v>8</v>
      </c>
      <c r="N146" t="s">
        <v>8</v>
      </c>
      <c r="P146">
        <f t="shared" ref="P146" si="705">IF(C146=D146,0,((E146-D146)-(C146-E146))/(C146-D146))</f>
        <v>-0.79838243789716901</v>
      </c>
      <c r="Q146">
        <f t="shared" ref="Q146" si="706">F146*P146</f>
        <v>-121251932.92181394</v>
      </c>
      <c r="R146">
        <f t="shared" ref="R146" si="707">R147+Q146</f>
        <v>876576245.87928426</v>
      </c>
      <c r="S146">
        <f t="shared" ref="S146" si="708">R146/100000</f>
        <v>8765.7624587928422</v>
      </c>
      <c r="T146">
        <f t="shared" ref="T146" si="709">S146/1000</f>
        <v>8.7657624587928424</v>
      </c>
    </row>
    <row r="147" spans="1:20" x14ac:dyDescent="0.25">
      <c r="A147" s="5">
        <v>44446</v>
      </c>
      <c r="B147">
        <v>0.81499999999999995</v>
      </c>
      <c r="C147">
        <v>1.1200000000000001</v>
      </c>
      <c r="D147">
        <v>0.68500000000000005</v>
      </c>
      <c r="E147">
        <v>0.91149999999999998</v>
      </c>
      <c r="F147">
        <v>239019782.69999999</v>
      </c>
      <c r="G147">
        <v>0.91149999999999998</v>
      </c>
      <c r="L147" t="s">
        <v>8</v>
      </c>
      <c r="M147" t="s">
        <v>8</v>
      </c>
      <c r="N147" t="s">
        <v>8</v>
      </c>
      <c r="P147">
        <f t="shared" ref="P147" si="710">IF(C147=D147,0,((E147-D147)-(C147-E147))/(C147-D147))</f>
        <v>4.1379310344827107E-2</v>
      </c>
      <c r="Q147">
        <f t="shared" ref="Q147" si="711">F147*P147</f>
        <v>9890473.766896436</v>
      </c>
      <c r="R147">
        <f t="shared" ref="R147" si="712">R148+Q147</f>
        <v>997828178.80109823</v>
      </c>
      <c r="S147">
        <f t="shared" ref="S147" si="713">R147/100000</f>
        <v>9978.2817880109815</v>
      </c>
      <c r="T147">
        <f t="shared" ref="T147" si="714">S147/1000</f>
        <v>9.9782817880109818</v>
      </c>
    </row>
    <row r="148" spans="1:20" x14ac:dyDescent="0.25">
      <c r="A148" s="5">
        <v>44445</v>
      </c>
      <c r="B148">
        <v>0.67</v>
      </c>
      <c r="C148">
        <v>0.84</v>
      </c>
      <c r="D148">
        <v>0.65849999999999997</v>
      </c>
      <c r="E148">
        <v>0.81499999999999995</v>
      </c>
      <c r="F148">
        <v>54516567</v>
      </c>
      <c r="G148">
        <v>0.81499999999999995</v>
      </c>
      <c r="L148" t="s">
        <v>7</v>
      </c>
      <c r="M148" t="s">
        <v>8</v>
      </c>
      <c r="N148" t="s">
        <v>8</v>
      </c>
      <c r="P148">
        <f t="shared" ref="P148" si="715">IF(C148=D148,0,((E148-D148)-(C148-E148))/(C148-D148))</f>
        <v>0.72451790633608792</v>
      </c>
      <c r="Q148">
        <f t="shared" ref="Q148" si="716">F148*P148</f>
        <v>39498228.983471058</v>
      </c>
      <c r="R148">
        <f t="shared" ref="R148" si="717">R149+Q148</f>
        <v>987937705.03420174</v>
      </c>
      <c r="S148">
        <f t="shared" ref="S148" si="718">R148/100000</f>
        <v>9879.3770503420183</v>
      </c>
      <c r="T148">
        <f t="shared" ref="T148" si="719">S148/1000</f>
        <v>9.8793770503420184</v>
      </c>
    </row>
    <row r="149" spans="1:20" x14ac:dyDescent="0.25">
      <c r="A149" s="5">
        <v>44444</v>
      </c>
      <c r="B149">
        <v>0.70399999999999996</v>
      </c>
      <c r="C149">
        <v>0.70640000000000003</v>
      </c>
      <c r="D149">
        <v>0.6603</v>
      </c>
      <c r="E149">
        <v>0.6704</v>
      </c>
      <c r="F149">
        <v>28171277</v>
      </c>
      <c r="G149">
        <v>0.6704</v>
      </c>
      <c r="L149" t="s">
        <v>7</v>
      </c>
      <c r="M149" t="s">
        <v>8</v>
      </c>
      <c r="N149" t="s">
        <v>8</v>
      </c>
      <c r="P149">
        <f t="shared" ref="P149" si="720">IF(C149=D149,0,((E149-D149)-(C149-E149))/(C149-D149))</f>
        <v>-0.56182212581344937</v>
      </c>
      <c r="Q149">
        <f t="shared" ref="Q149" si="721">F149*P149</f>
        <v>-15827246.731019532</v>
      </c>
      <c r="R149">
        <f t="shared" ref="R149" si="722">R150+Q149</f>
        <v>948439476.05073071</v>
      </c>
      <c r="S149">
        <f t="shared" ref="S149" si="723">R149/100000</f>
        <v>9484.3947605073063</v>
      </c>
      <c r="T149">
        <f t="shared" ref="T149" si="724">S149/1000</f>
        <v>9.4843947605073069</v>
      </c>
    </row>
    <row r="150" spans="1:20" x14ac:dyDescent="0.25">
      <c r="A150" s="5">
        <v>44443</v>
      </c>
      <c r="B150">
        <v>0.73319999999999996</v>
      </c>
      <c r="C150">
        <v>0.73319999999999996</v>
      </c>
      <c r="D150">
        <v>0.69340000000000002</v>
      </c>
      <c r="E150">
        <v>0.70320000000000005</v>
      </c>
      <c r="F150">
        <v>25515188</v>
      </c>
      <c r="G150">
        <v>0.70320000000000005</v>
      </c>
      <c r="L150" t="s">
        <v>7</v>
      </c>
      <c r="M150" t="s">
        <v>8</v>
      </c>
      <c r="N150" t="s">
        <v>8</v>
      </c>
      <c r="P150">
        <f t="shared" ref="P150" si="725">IF(C150=D150,0,((E150-D150)-(C150-E150))/(C150-D150))</f>
        <v>-0.50753768844220881</v>
      </c>
      <c r="Q150">
        <f t="shared" ref="Q150" si="726">F150*P150</f>
        <v>-12949919.537688386</v>
      </c>
      <c r="R150">
        <f t="shared" ref="R150" si="727">R151+Q150</f>
        <v>964266722.7817502</v>
      </c>
      <c r="S150">
        <f t="shared" ref="S150" si="728">R150/100000</f>
        <v>9642.6672278175029</v>
      </c>
      <c r="T150">
        <f t="shared" ref="T150" si="729">S150/1000</f>
        <v>9.642667227817503</v>
      </c>
    </row>
    <row r="151" spans="1:20" x14ac:dyDescent="0.25">
      <c r="A151" s="5">
        <v>44442</v>
      </c>
      <c r="B151">
        <v>0.70569999999999999</v>
      </c>
      <c r="C151">
        <v>0.76</v>
      </c>
      <c r="D151">
        <v>0.6875</v>
      </c>
      <c r="E151">
        <v>0.73380000000000001</v>
      </c>
      <c r="F151">
        <v>27422427</v>
      </c>
      <c r="G151">
        <v>0.73380000000000001</v>
      </c>
      <c r="L151" t="s">
        <v>8</v>
      </c>
      <c r="M151" t="s">
        <v>8</v>
      </c>
      <c r="N151" t="s">
        <v>8</v>
      </c>
      <c r="P151">
        <f t="shared" ref="P151" si="730">IF(C151=D151,0,((E151-D151)-(C151-E151))/(C151-D151))</f>
        <v>0.27724137931034487</v>
      </c>
      <c r="Q151">
        <f t="shared" ref="Q151" si="731">F151*P151</f>
        <v>7602631.4855172429</v>
      </c>
      <c r="R151">
        <f t="shared" ref="R151" si="732">R152+Q151</f>
        <v>977216642.31943858</v>
      </c>
      <c r="S151">
        <f t="shared" ref="S151" si="733">R151/100000</f>
        <v>9772.1664231943851</v>
      </c>
      <c r="T151">
        <f t="shared" ref="T151" si="734">S151/1000</f>
        <v>9.7721664231943848</v>
      </c>
    </row>
    <row r="152" spans="1:20" x14ac:dyDescent="0.25">
      <c r="A152" s="5">
        <v>44441</v>
      </c>
      <c r="B152">
        <v>0.71099999999999997</v>
      </c>
      <c r="C152">
        <v>0.74</v>
      </c>
      <c r="D152">
        <v>0.67549999999999999</v>
      </c>
      <c r="E152">
        <v>0.70579999999999998</v>
      </c>
      <c r="F152">
        <v>36456363</v>
      </c>
      <c r="G152">
        <v>0.70579999999999998</v>
      </c>
      <c r="L152" t="s">
        <v>7</v>
      </c>
      <c r="M152" t="s">
        <v>8</v>
      </c>
      <c r="N152" t="s">
        <v>8</v>
      </c>
      <c r="P152">
        <f t="shared" ref="P152" si="735">IF(C152=D152,0,((E152-D152)-(C152-E152))/(C152-D152))</f>
        <v>-6.0465116279069989E-2</v>
      </c>
      <c r="Q152">
        <f t="shared" ref="Q152" si="736">F152*P152</f>
        <v>-2204338.2279069847</v>
      </c>
      <c r="R152">
        <f t="shared" ref="R152" si="737">R153+Q152</f>
        <v>969614010.83392131</v>
      </c>
      <c r="S152">
        <f t="shared" ref="S152" si="738">R152/100000</f>
        <v>9696.1401083392138</v>
      </c>
      <c r="T152">
        <f t="shared" ref="T152" si="739">S152/1000</f>
        <v>9.6961401083392147</v>
      </c>
    </row>
    <row r="153" spans="1:20" x14ac:dyDescent="0.25">
      <c r="A153" s="5">
        <v>44440</v>
      </c>
      <c r="B153">
        <v>0.72589999999999999</v>
      </c>
      <c r="C153">
        <v>0.77500000000000002</v>
      </c>
      <c r="D153">
        <v>0.66739999999999999</v>
      </c>
      <c r="E153">
        <v>0.71060000000000001</v>
      </c>
      <c r="F153">
        <v>56678752</v>
      </c>
      <c r="G153">
        <v>0.71060000000000001</v>
      </c>
      <c r="L153" t="s">
        <v>8</v>
      </c>
      <c r="M153" t="s">
        <v>8</v>
      </c>
      <c r="N153" t="s">
        <v>8</v>
      </c>
      <c r="P153">
        <f t="shared" ref="P153" si="740">IF(C153=D153,0,((E153-D153)-(C153-E153))/(C153-D153))</f>
        <v>-0.19702602230483263</v>
      </c>
      <c r="Q153">
        <f t="shared" ref="Q153" si="741">F153*P153</f>
        <v>-11167189.055762077</v>
      </c>
      <c r="R153">
        <f t="shared" ref="R153" si="742">R154+Q153</f>
        <v>971818349.06182826</v>
      </c>
      <c r="S153">
        <f t="shared" ref="S153" si="743">R153/100000</f>
        <v>9718.183490618283</v>
      </c>
      <c r="T153">
        <f t="shared" ref="T153" si="744">S153/1000</f>
        <v>9.7181834906182836</v>
      </c>
    </row>
    <row r="154" spans="1:20" x14ac:dyDescent="0.25">
      <c r="A154" s="5">
        <v>44439</v>
      </c>
      <c r="B154">
        <v>0.626</v>
      </c>
      <c r="C154">
        <v>0.73</v>
      </c>
      <c r="D154">
        <v>0.62060000000000004</v>
      </c>
      <c r="E154">
        <v>0.7248</v>
      </c>
      <c r="F154">
        <v>45379689.899999999</v>
      </c>
      <c r="G154">
        <v>0.7248</v>
      </c>
      <c r="L154" t="s">
        <v>8</v>
      </c>
      <c r="M154" t="s">
        <v>8</v>
      </c>
      <c r="N154" t="s">
        <v>8</v>
      </c>
      <c r="P154">
        <f t="shared" ref="P154" si="745">IF(C154=D154,0,((E154-D154)-(C154-E154))/(C154-D154))</f>
        <v>0.90493601462522877</v>
      </c>
      <c r="Q154">
        <f t="shared" ref="Q154" si="746">F154*P154</f>
        <v>41065715.723034747</v>
      </c>
      <c r="R154">
        <f t="shared" ref="R154" si="747">R155+Q154</f>
        <v>982985538.11759031</v>
      </c>
      <c r="S154">
        <f t="shared" ref="S154" si="748">R154/100000</f>
        <v>9829.8553811759029</v>
      </c>
      <c r="T154">
        <f t="shared" ref="T154" si="749">S154/1000</f>
        <v>9.8298553811759035</v>
      </c>
    </row>
    <row r="155" spans="1:20" x14ac:dyDescent="0.25">
      <c r="A155" s="5">
        <v>44438</v>
      </c>
      <c r="B155">
        <v>0.60589999999999999</v>
      </c>
      <c r="C155">
        <v>0.69340000000000002</v>
      </c>
      <c r="D155">
        <v>0.5867</v>
      </c>
      <c r="E155">
        <v>0.626</v>
      </c>
      <c r="F155">
        <v>59503278.899999999</v>
      </c>
      <c r="G155">
        <v>0.626</v>
      </c>
      <c r="L155" t="s">
        <v>8</v>
      </c>
      <c r="M155" t="s">
        <v>8</v>
      </c>
      <c r="N155" t="s">
        <v>8</v>
      </c>
      <c r="P155">
        <f t="shared" ref="P155" si="750">IF(C155=D155,0,((E155-D155)-(C155-E155))/(C155-D155))</f>
        <v>-0.26335520149953151</v>
      </c>
      <c r="Q155">
        <f t="shared" ref="Q155" si="751">F155*P155</f>
        <v>-15670498.004592322</v>
      </c>
      <c r="R155">
        <f t="shared" ref="R155" si="752">R156+Q155</f>
        <v>941919822.39455557</v>
      </c>
      <c r="S155">
        <f t="shared" ref="S155" si="753">R155/100000</f>
        <v>9419.1982239455556</v>
      </c>
      <c r="T155">
        <f t="shared" ref="T155" si="754">S155/1000</f>
        <v>9.4191982239455552</v>
      </c>
    </row>
    <row r="156" spans="1:20" x14ac:dyDescent="0.25">
      <c r="A156" s="5">
        <v>44437</v>
      </c>
      <c r="B156">
        <v>0.55100000000000005</v>
      </c>
      <c r="C156">
        <v>0.621</v>
      </c>
      <c r="D156">
        <v>0.54259999999999997</v>
      </c>
      <c r="E156">
        <v>0.60609999999999997</v>
      </c>
      <c r="F156">
        <v>46155617.700000003</v>
      </c>
      <c r="G156">
        <v>0.60609999999999997</v>
      </c>
      <c r="L156" t="s">
        <v>8</v>
      </c>
      <c r="M156" t="s">
        <v>8</v>
      </c>
      <c r="N156" t="s">
        <v>8</v>
      </c>
      <c r="P156">
        <f t="shared" ref="P156" si="755">IF(C156=D156,0,((E156-D156)-(C156-E156))/(C156-D156))</f>
        <v>0.61989795918367296</v>
      </c>
      <c r="Q156">
        <f t="shared" ref="Q156" si="756">F156*P156</f>
        <v>28611773.217091814</v>
      </c>
      <c r="R156">
        <f t="shared" ref="R156" si="757">R157+Q156</f>
        <v>957590320.39914787</v>
      </c>
      <c r="S156">
        <f t="shared" ref="S156" si="758">R156/100000</f>
        <v>9575.9032039914782</v>
      </c>
      <c r="T156">
        <f t="shared" ref="T156" si="759">S156/1000</f>
        <v>9.5759032039914782</v>
      </c>
    </row>
    <row r="157" spans="1:20" x14ac:dyDescent="0.25">
      <c r="A157" s="5">
        <v>44436</v>
      </c>
      <c r="B157">
        <v>0.56259999999999999</v>
      </c>
      <c r="C157">
        <v>0.56930000000000003</v>
      </c>
      <c r="D157">
        <v>0.53100000000000003</v>
      </c>
      <c r="E157">
        <v>0.5504</v>
      </c>
      <c r="F157">
        <v>23995339</v>
      </c>
      <c r="G157">
        <v>0.5504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1.3054830287204828E-2</v>
      </c>
      <c r="Q157">
        <f t="shared" ref="Q157" si="761">F157*P157</f>
        <v>313255.07832894719</v>
      </c>
      <c r="R157">
        <f t="shared" ref="R157" si="762">R158+Q157</f>
        <v>928978547.18205607</v>
      </c>
      <c r="S157">
        <f t="shared" ref="S157" si="763">R157/100000</f>
        <v>9289.7854718205599</v>
      </c>
      <c r="T157">
        <f t="shared" ref="T157" si="764">S157/1000</f>
        <v>9.2897854718205597</v>
      </c>
    </row>
    <row r="158" spans="1:20" x14ac:dyDescent="0.25">
      <c r="A158" s="5">
        <v>44435</v>
      </c>
      <c r="B158">
        <v>0.51600000000000001</v>
      </c>
      <c r="C158">
        <v>0.56289999999999996</v>
      </c>
      <c r="D158">
        <v>0.50209999999999999</v>
      </c>
      <c r="E158">
        <v>0.56220000000000003</v>
      </c>
      <c r="F158">
        <v>17828705.699999999</v>
      </c>
      <c r="G158">
        <v>0.56220000000000003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0.97697368421052888</v>
      </c>
      <c r="Q158">
        <f t="shared" ref="Q158" si="766">F158*P158</f>
        <v>17418176.292434257</v>
      </c>
      <c r="R158">
        <f t="shared" ref="R158" si="767">R159+Q158</f>
        <v>928665292.1037271</v>
      </c>
      <c r="S158">
        <f t="shared" ref="S158" si="768">R158/100000</f>
        <v>9286.6529210372719</v>
      </c>
      <c r="T158">
        <f t="shared" ref="T158" si="769">S158/1000</f>
        <v>9.2866529210372715</v>
      </c>
    </row>
    <row r="159" spans="1:20" x14ac:dyDescent="0.25">
      <c r="A159" s="5">
        <v>44434</v>
      </c>
      <c r="B159">
        <v>0.56940999999999997</v>
      </c>
      <c r="C159">
        <v>0.58499999999999996</v>
      </c>
      <c r="D159">
        <v>0.51459999999999995</v>
      </c>
      <c r="E159">
        <v>0.51559999999999995</v>
      </c>
      <c r="F159">
        <v>29865738.5</v>
      </c>
      <c r="G159">
        <v>0.51559999999999995</v>
      </c>
      <c r="L159" t="s">
        <v>7</v>
      </c>
      <c r="M159" t="s">
        <v>8</v>
      </c>
      <c r="N159" t="s">
        <v>8</v>
      </c>
      <c r="P159">
        <f t="shared" ref="P159" si="770">IF(C159=D159,0,((E159-D159)-(C159-E159))/(C159-D159))</f>
        <v>-0.97159090909090906</v>
      </c>
      <c r="Q159">
        <f t="shared" ref="Q159" si="771">F159*P159</f>
        <v>-29017280.019886363</v>
      </c>
      <c r="R159">
        <f t="shared" ref="R159" si="772">R160+Q159</f>
        <v>911247115.81129289</v>
      </c>
      <c r="S159">
        <f t="shared" ref="S159" si="773">R159/100000</f>
        <v>9112.4711581129286</v>
      </c>
      <c r="T159">
        <f t="shared" ref="T159" si="774">S159/1000</f>
        <v>9.1124711581129283</v>
      </c>
    </row>
    <row r="160" spans="1:20" x14ac:dyDescent="0.25">
      <c r="A160" s="5">
        <v>44433</v>
      </c>
      <c r="B160">
        <v>0.52076</v>
      </c>
      <c r="C160">
        <v>0.58919999999999995</v>
      </c>
      <c r="D160">
        <v>0.50921000000000005</v>
      </c>
      <c r="E160">
        <v>0.56894999999999996</v>
      </c>
      <c r="F160">
        <v>34516216.700000003</v>
      </c>
      <c r="G160">
        <v>0.56894999999999996</v>
      </c>
      <c r="L160" t="s">
        <v>8</v>
      </c>
      <c r="M160" t="s">
        <v>8</v>
      </c>
      <c r="N160" t="s">
        <v>8</v>
      </c>
      <c r="P160">
        <f t="shared" ref="P160" si="775">IF(C160=D160,0,((E160-D160)-(C160-E160))/(C160-D160))</f>
        <v>0.49368671083885446</v>
      </c>
      <c r="Q160">
        <f t="shared" ref="Q160" si="776">F160*P160</f>
        <v>17040197.49322414</v>
      </c>
      <c r="R160">
        <f t="shared" ref="R160" si="777">R161+Q160</f>
        <v>940264395.83117926</v>
      </c>
      <c r="S160">
        <f t="shared" ref="S160" si="778">R160/100000</f>
        <v>9402.6439583117917</v>
      </c>
      <c r="T160">
        <f t="shared" ref="T160" si="779">S160/1000</f>
        <v>9.402643958311792</v>
      </c>
    </row>
    <row r="161" spans="1:20" x14ac:dyDescent="0.25">
      <c r="A161" s="5">
        <v>44432</v>
      </c>
      <c r="B161">
        <v>0.55972</v>
      </c>
      <c r="C161">
        <v>0.56850000000000001</v>
      </c>
      <c r="D161">
        <v>0.50280000000000002</v>
      </c>
      <c r="E161">
        <v>0.52088000000000001</v>
      </c>
      <c r="F161">
        <v>33872607.299999997</v>
      </c>
      <c r="G161">
        <v>0.52088000000000001</v>
      </c>
      <c r="L161" t="s">
        <v>7</v>
      </c>
      <c r="M161" t="s">
        <v>7</v>
      </c>
      <c r="N161" t="s">
        <v>8</v>
      </c>
      <c r="P161">
        <f t="shared" ref="P161" si="780">IF(C161=D161,0,((E161-D161)-(C161-E161))/(C161-D161))</f>
        <v>-0.4496194824961951</v>
      </c>
      <c r="Q161">
        <f t="shared" ref="Q161" si="781">F161*P161</f>
        <v>-15229784.165022839</v>
      </c>
      <c r="R161">
        <f t="shared" ref="R161" si="782">R162+Q161</f>
        <v>923224198.33795512</v>
      </c>
      <c r="S161">
        <f t="shared" ref="S161" si="783">R161/100000</f>
        <v>9232.241983379552</v>
      </c>
      <c r="T161">
        <f t="shared" ref="T161" si="784">S161/1000</f>
        <v>9.2322419833795522</v>
      </c>
    </row>
    <row r="162" spans="1:20" x14ac:dyDescent="0.25">
      <c r="A162" s="5">
        <v>44431</v>
      </c>
      <c r="B162">
        <v>0.55879999999999996</v>
      </c>
      <c r="C162">
        <v>0.58526999999999996</v>
      </c>
      <c r="D162">
        <v>0.55274999999999996</v>
      </c>
      <c r="E162">
        <v>0.56006</v>
      </c>
      <c r="F162">
        <v>29048407.100000001</v>
      </c>
      <c r="G162">
        <v>0.56006</v>
      </c>
      <c r="L162" t="s">
        <v>7</v>
      </c>
      <c r="M162" t="s">
        <v>8</v>
      </c>
      <c r="N162" t="s">
        <v>8</v>
      </c>
      <c r="P162">
        <f t="shared" ref="P162" si="785">IF(C162=D162,0,((E162-D162)-(C162-E162))/(C162-D162))</f>
        <v>-0.55043050430504059</v>
      </c>
      <c r="Q162">
        <f t="shared" ref="Q162" si="786">F162*P162</f>
        <v>-15989129.369311122</v>
      </c>
      <c r="R162">
        <f t="shared" ref="R162" si="787">R163+Q162</f>
        <v>938453982.50297797</v>
      </c>
      <c r="S162">
        <f t="shared" ref="S162" si="788">R162/100000</f>
        <v>9384.5398250297803</v>
      </c>
      <c r="T162">
        <f t="shared" ref="T162" si="789">S162/1000</f>
        <v>9.3845398250297798</v>
      </c>
    </row>
    <row r="163" spans="1:20" x14ac:dyDescent="0.25">
      <c r="A163" s="5">
        <v>44430</v>
      </c>
      <c r="B163">
        <v>0.56613000000000002</v>
      </c>
      <c r="C163">
        <v>0.56999999999999995</v>
      </c>
      <c r="D163">
        <v>0.54242999999999997</v>
      </c>
      <c r="E163">
        <v>0.54457</v>
      </c>
      <c r="F163">
        <v>5351603.5999999996</v>
      </c>
      <c r="G163">
        <v>0.54457</v>
      </c>
      <c r="L163" t="s">
        <v>7</v>
      </c>
      <c r="M163" t="s">
        <v>8</v>
      </c>
      <c r="N163" t="s">
        <v>8</v>
      </c>
      <c r="P163">
        <f t="shared" ref="P163" si="790">IF(C163=D163,0,((E163-D163)-(C163-E163))/(C163-D163))</f>
        <v>-0.84475879579252577</v>
      </c>
      <c r="Q163">
        <f t="shared" ref="Q163" si="791">F163*P163</f>
        <v>-4520814.2126949457</v>
      </c>
      <c r="R163">
        <f t="shared" ref="R163" si="792">R164+Q163</f>
        <v>954443111.87228906</v>
      </c>
      <c r="S163">
        <f t="shared" ref="S163" si="793">R163/100000</f>
        <v>9544.4311187228905</v>
      </c>
      <c r="T163">
        <f t="shared" ref="T163" si="794">S163/1000</f>
        <v>9.5444311187228905</v>
      </c>
    </row>
    <row r="164" spans="1:20" x14ac:dyDescent="0.25">
      <c r="A164" s="5">
        <v>44429</v>
      </c>
      <c r="B164">
        <v>0.56308999999999998</v>
      </c>
      <c r="C164">
        <v>0.59099999999999997</v>
      </c>
      <c r="D164">
        <v>0.54993000000000003</v>
      </c>
      <c r="E164">
        <v>0.56596999999999997</v>
      </c>
      <c r="F164">
        <v>23261957.899999999</v>
      </c>
      <c r="G164">
        <v>0.56596999999999997</v>
      </c>
      <c r="L164" t="s">
        <v>7</v>
      </c>
      <c r="M164" t="s">
        <v>8</v>
      </c>
      <c r="N164" t="s">
        <v>8</v>
      </c>
      <c r="P164">
        <f t="shared" ref="P164" si="795">IF(C164=D164,0,((E164-D164)-(C164-E164))/(C164-D164))</f>
        <v>-0.21889457024592321</v>
      </c>
      <c r="Q164">
        <f t="shared" ref="Q164" si="796">F164*P164</f>
        <v>-5091916.2775992583</v>
      </c>
      <c r="R164">
        <f t="shared" ref="R164" si="797">R165+Q164</f>
        <v>958963926.08498406</v>
      </c>
      <c r="S164">
        <f t="shared" ref="S164" si="798">R164/100000</f>
        <v>9589.6392608498409</v>
      </c>
      <c r="T164">
        <f t="shared" ref="T164" si="799">S164/1000</f>
        <v>9.5896392608498413</v>
      </c>
    </row>
    <row r="165" spans="1:20" x14ac:dyDescent="0.25">
      <c r="A165" s="5">
        <v>44428</v>
      </c>
      <c r="B165">
        <v>0.54354999999999998</v>
      </c>
      <c r="C165">
        <v>0.58587999999999996</v>
      </c>
      <c r="D165">
        <v>0.53322999999999998</v>
      </c>
      <c r="E165">
        <v>0.56252999999999997</v>
      </c>
      <c r="F165">
        <v>27296403.600000001</v>
      </c>
      <c r="G165">
        <v>0.56252999999999997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0.11301044634377994</v>
      </c>
      <c r="Q165">
        <f t="shared" ref="Q165" si="801">F165*P165</f>
        <v>3084778.7544159614</v>
      </c>
      <c r="R165">
        <f t="shared" ref="R165" si="802">R166+Q165</f>
        <v>964055842.36258328</v>
      </c>
      <c r="S165">
        <f t="shared" ref="S165" si="803">R165/100000</f>
        <v>9640.5584236258328</v>
      </c>
      <c r="T165">
        <f t="shared" ref="T165" si="804">S165/1000</f>
        <v>9.6405584236258335</v>
      </c>
    </row>
    <row r="166" spans="1:20" x14ac:dyDescent="0.25">
      <c r="A166" s="5">
        <v>44427</v>
      </c>
      <c r="B166">
        <v>0.50080999999999998</v>
      </c>
      <c r="C166">
        <v>0.57899999999999996</v>
      </c>
      <c r="D166">
        <v>0.50031000000000003</v>
      </c>
      <c r="E166">
        <v>0.54523999999999995</v>
      </c>
      <c r="F166">
        <v>67010455.899999999</v>
      </c>
      <c r="G166">
        <v>0.54523999999999995</v>
      </c>
      <c r="L166" t="s">
        <v>8</v>
      </c>
      <c r="M166" t="s">
        <v>8</v>
      </c>
      <c r="N166" t="s">
        <v>8</v>
      </c>
      <c r="P166">
        <f t="shared" ref="P166" si="805">IF(C166=D166,0,((E166-D166)-(C166-E166))/(C166-D166))</f>
        <v>0.14194942178167383</v>
      </c>
      <c r="Q166">
        <f t="shared" ref="Q166" si="806">F166*P166</f>
        <v>9512095.4683313537</v>
      </c>
      <c r="R166">
        <f t="shared" ref="R166" si="807">R167+Q166</f>
        <v>960971063.60816729</v>
      </c>
      <c r="S166">
        <f t="shared" ref="S166" si="808">R166/100000</f>
        <v>9609.7106360816724</v>
      </c>
      <c r="T166">
        <f t="shared" ref="T166" si="809">S166/1000</f>
        <v>9.6097106360816724</v>
      </c>
    </row>
    <row r="167" spans="1:20" x14ac:dyDescent="0.25">
      <c r="A167" s="5">
        <v>44426</v>
      </c>
      <c r="B167">
        <v>0.46392</v>
      </c>
      <c r="C167">
        <v>0.53900000000000003</v>
      </c>
      <c r="D167">
        <v>0.442</v>
      </c>
      <c r="E167">
        <v>0.50033000000000005</v>
      </c>
      <c r="F167">
        <v>41237630.299999997</v>
      </c>
      <c r="G167">
        <v>0.50033000000000005</v>
      </c>
      <c r="L167" t="s">
        <v>7</v>
      </c>
      <c r="M167" t="s">
        <v>8</v>
      </c>
      <c r="N167" t="s">
        <v>8</v>
      </c>
      <c r="P167">
        <f t="shared" ref="P167" si="810">IF(C167=D167,0,((E167-D167)-(C167-E167))/(C167-D167))</f>
        <v>0.20268041237113463</v>
      </c>
      <c r="Q167">
        <f t="shared" ref="Q167" si="811">F167*P167</f>
        <v>8358059.9144123951</v>
      </c>
      <c r="R167">
        <f t="shared" ref="R167" si="812">R168+Q167</f>
        <v>951458968.13983595</v>
      </c>
      <c r="S167">
        <f t="shared" ref="S167" si="813">R167/100000</f>
        <v>9514.58968139836</v>
      </c>
      <c r="T167">
        <f t="shared" ref="T167" si="814">S167/1000</f>
        <v>9.5145896813983608</v>
      </c>
    </row>
    <row r="168" spans="1:20" x14ac:dyDescent="0.25">
      <c r="A168" s="5">
        <v>44425</v>
      </c>
      <c r="B168">
        <v>0.49077999999999999</v>
      </c>
      <c r="C168">
        <v>0.54500000000000004</v>
      </c>
      <c r="D168">
        <v>0.45729999999999998</v>
      </c>
      <c r="E168">
        <v>0.46318999999999999</v>
      </c>
      <c r="F168">
        <v>47008272.299999997</v>
      </c>
      <c r="G168">
        <v>0.46318999999999999</v>
      </c>
      <c r="L168" t="s">
        <v>7</v>
      </c>
      <c r="M168" t="s">
        <v>7</v>
      </c>
      <c r="N168" t="s">
        <v>8</v>
      </c>
      <c r="P168">
        <f t="shared" ref="P168" si="815">IF(C168=D168,0,((E168-D168)-(C168-E168))/(C168-D168))</f>
        <v>-0.86567844925883686</v>
      </c>
      <c r="Q168">
        <f t="shared" ref="Q168" si="816">F168*P168</f>
        <v>-40694048.267001137</v>
      </c>
      <c r="R168">
        <f t="shared" ref="R168" si="817">R169+Q168</f>
        <v>943100908.22542357</v>
      </c>
      <c r="S168">
        <f t="shared" ref="S168" si="818">R168/100000</f>
        <v>9431.0090822542352</v>
      </c>
      <c r="T168">
        <f t="shared" ref="T168" si="819">S168/1000</f>
        <v>9.431009082254235</v>
      </c>
    </row>
    <row r="169" spans="1:20" x14ac:dyDescent="0.25">
      <c r="A169" s="5">
        <v>44424</v>
      </c>
      <c r="B169">
        <v>0.49736999999999998</v>
      </c>
      <c r="C169">
        <v>0.54900000000000004</v>
      </c>
      <c r="D169">
        <v>0.48749999999999999</v>
      </c>
      <c r="E169">
        <v>0.49081999999999998</v>
      </c>
      <c r="F169">
        <v>36024809.799999997</v>
      </c>
      <c r="G169">
        <v>0.49081999999999998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-0.89203252032520364</v>
      </c>
      <c r="Q169">
        <f t="shared" ref="Q169" si="821">F169*P169</f>
        <v>-32135301.880130094</v>
      </c>
      <c r="R169">
        <f t="shared" ref="R169" si="822">R170+Q169</f>
        <v>983794956.49242473</v>
      </c>
      <c r="S169">
        <f t="shared" ref="S169" si="823">R169/100000</f>
        <v>9837.9495649242472</v>
      </c>
      <c r="T169">
        <f t="shared" ref="T169" si="824">S169/1000</f>
        <v>9.8379495649242479</v>
      </c>
    </row>
    <row r="170" spans="1:20" x14ac:dyDescent="0.25">
      <c r="A170" s="5">
        <v>44423</v>
      </c>
      <c r="B170">
        <v>0.50192999999999999</v>
      </c>
      <c r="C170">
        <v>0.50704000000000005</v>
      </c>
      <c r="D170">
        <v>0.47808</v>
      </c>
      <c r="E170">
        <v>0.49754999999999999</v>
      </c>
      <c r="F170">
        <v>17009952.699999999</v>
      </c>
      <c r="G170">
        <v>0.49754999999999999</v>
      </c>
      <c r="L170" t="s">
        <v>7</v>
      </c>
      <c r="M170" t="s">
        <v>8</v>
      </c>
      <c r="N170" t="s">
        <v>8</v>
      </c>
      <c r="P170">
        <f t="shared" ref="P170" si="825">IF(C170=D170,0,((E170-D170)-(C170-E170))/(C170-D170))</f>
        <v>0.34461325966850548</v>
      </c>
      <c r="Q170">
        <f t="shared" ref="Q170" si="826">F170*P170</f>
        <v>5861855.2467540959</v>
      </c>
      <c r="R170">
        <f t="shared" ref="R170" si="827">R171+Q170</f>
        <v>1015930258.3725548</v>
      </c>
      <c r="S170">
        <f t="shared" ref="S170" si="828">R170/100000</f>
        <v>10159.302583725548</v>
      </c>
      <c r="T170">
        <f t="shared" ref="T170" si="829">S170/1000</f>
        <v>10.159302583725548</v>
      </c>
    </row>
    <row r="171" spans="1:20" x14ac:dyDescent="0.25">
      <c r="A171" s="5">
        <v>44422</v>
      </c>
      <c r="B171">
        <v>0.51490999999999998</v>
      </c>
      <c r="C171">
        <v>0.52800000000000002</v>
      </c>
      <c r="D171">
        <v>0.49273</v>
      </c>
      <c r="E171">
        <v>0.50178</v>
      </c>
      <c r="F171">
        <v>16010750.5</v>
      </c>
      <c r="G171">
        <v>0.50178</v>
      </c>
      <c r="L171" t="s">
        <v>7</v>
      </c>
      <c r="M171" t="s">
        <v>8</v>
      </c>
      <c r="N171" t="s">
        <v>8</v>
      </c>
      <c r="P171">
        <f t="shared" ref="P171" si="830">IF(C171=D171,0,((E171-D171)-(C171-E171))/(C171-D171))</f>
        <v>-0.48681599092713373</v>
      </c>
      <c r="Q171">
        <f t="shared" ref="Q171" si="831">F171*P171</f>
        <v>-7794289.3701446019</v>
      </c>
      <c r="R171">
        <f t="shared" ref="R171" si="832">R172+Q171</f>
        <v>1010068403.1258007</v>
      </c>
      <c r="S171">
        <f t="shared" ref="S171" si="833">R171/100000</f>
        <v>10100.684031258008</v>
      </c>
      <c r="T171">
        <f t="shared" ref="T171" si="834">S171/1000</f>
        <v>10.100684031258009</v>
      </c>
    </row>
    <row r="172" spans="1:20" x14ac:dyDescent="0.25">
      <c r="A172" s="5">
        <v>44421</v>
      </c>
      <c r="B172">
        <v>0.50919000000000003</v>
      </c>
      <c r="C172">
        <v>0.53979999999999995</v>
      </c>
      <c r="D172">
        <v>0.50117</v>
      </c>
      <c r="E172">
        <v>0.51539000000000001</v>
      </c>
      <c r="F172">
        <v>23305741.600000001</v>
      </c>
      <c r="G172">
        <v>0.51539000000000001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-0.26378462334972658</v>
      </c>
      <c r="Q172">
        <f t="shared" ref="Q172" si="836">F172*P172</f>
        <v>-6147696.2698420547</v>
      </c>
      <c r="R172">
        <f t="shared" ref="R172" si="837">R173+Q172</f>
        <v>1017862692.4959453</v>
      </c>
      <c r="S172">
        <f t="shared" ref="S172" si="838">R172/100000</f>
        <v>10178.626924959453</v>
      </c>
      <c r="T172">
        <f t="shared" ref="T172" si="839">S172/1000</f>
        <v>10.178626924959453</v>
      </c>
    </row>
    <row r="173" spans="1:20" x14ac:dyDescent="0.25">
      <c r="A173" s="5">
        <v>44420</v>
      </c>
      <c r="B173">
        <v>0.48346</v>
      </c>
      <c r="C173">
        <v>0.51985000000000003</v>
      </c>
      <c r="D173">
        <v>0.46729999999999999</v>
      </c>
      <c r="E173">
        <v>0.50980999999999999</v>
      </c>
      <c r="F173">
        <v>35825843.100000001</v>
      </c>
      <c r="G173">
        <v>0.50980999999999999</v>
      </c>
      <c r="L173" t="s">
        <v>7</v>
      </c>
      <c r="M173" t="s">
        <v>8</v>
      </c>
      <c r="N173" t="s">
        <v>8</v>
      </c>
      <c r="P173">
        <f t="shared" ref="P173" si="840">IF(C173=D173,0,((E173-D173)-(C173-E173))/(C173-D173))</f>
        <v>0.61788772597526009</v>
      </c>
      <c r="Q173">
        <f t="shared" ref="Q173" si="841">F173*P173</f>
        <v>22136348.724205464</v>
      </c>
      <c r="R173">
        <f t="shared" ref="R173" si="842">R174+Q173</f>
        <v>1024010388.7657874</v>
      </c>
      <c r="S173">
        <f t="shared" ref="S173" si="843">R173/100000</f>
        <v>10240.103887657873</v>
      </c>
      <c r="T173">
        <f t="shared" ref="T173" si="844">S173/1000</f>
        <v>10.240103887657874</v>
      </c>
    </row>
    <row r="174" spans="1:20" x14ac:dyDescent="0.25">
      <c r="A174" s="5">
        <v>44419</v>
      </c>
      <c r="B174">
        <v>0.45571</v>
      </c>
      <c r="C174">
        <v>0.55384</v>
      </c>
      <c r="D174">
        <v>0.45085999999999998</v>
      </c>
      <c r="E174">
        <v>0.48337000000000002</v>
      </c>
      <c r="F174">
        <v>116614366.2</v>
      </c>
      <c r="G174">
        <v>0.48337000000000002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-0.36861526510001874</v>
      </c>
      <c r="Q174">
        <f t="shared" ref="Q174" si="846">F174*P174</f>
        <v>-42985835.511283666</v>
      </c>
      <c r="R174">
        <f t="shared" ref="R174" si="847">R175+Q174</f>
        <v>1001874040.0415819</v>
      </c>
      <c r="S174">
        <f t="shared" ref="S174" si="848">R174/100000</f>
        <v>10018.740400415818</v>
      </c>
      <c r="T174">
        <f t="shared" ref="T174" si="849">S174/1000</f>
        <v>10.018740400415817</v>
      </c>
    </row>
    <row r="175" spans="1:20" x14ac:dyDescent="0.25">
      <c r="A175" s="5">
        <v>44418</v>
      </c>
      <c r="B175">
        <v>0.39835999999999999</v>
      </c>
      <c r="C175">
        <v>0.46899999999999997</v>
      </c>
      <c r="D175">
        <v>0.39223000000000002</v>
      </c>
      <c r="E175">
        <v>0.45594000000000001</v>
      </c>
      <c r="F175">
        <v>70073516.700000003</v>
      </c>
      <c r="G175">
        <v>0.45594000000000001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0.65976292822717286</v>
      </c>
      <c r="Q175">
        <f t="shared" ref="Q175" si="851">F175*P175</f>
        <v>46231908.569167703</v>
      </c>
      <c r="R175">
        <f t="shared" ref="R175" si="852">R176+Q175</f>
        <v>1044859875.5528655</v>
      </c>
      <c r="S175">
        <f t="shared" ref="S175" si="853">R175/100000</f>
        <v>10448.598755528656</v>
      </c>
      <c r="T175">
        <f t="shared" ref="T175" si="854">S175/1000</f>
        <v>10.448598755528655</v>
      </c>
    </row>
    <row r="176" spans="1:20" x14ac:dyDescent="0.25">
      <c r="A176" s="5">
        <v>44417</v>
      </c>
      <c r="B176">
        <v>0.37674999999999997</v>
      </c>
      <c r="C176">
        <v>0.41</v>
      </c>
      <c r="D176">
        <v>0.37052000000000002</v>
      </c>
      <c r="E176">
        <v>0.39835999999999999</v>
      </c>
      <c r="F176">
        <v>35956265.5</v>
      </c>
      <c r="G176">
        <v>0.39835999999999999</v>
      </c>
      <c r="L176" t="s">
        <v>7</v>
      </c>
      <c r="M176" t="s">
        <v>7</v>
      </c>
      <c r="N176" t="s">
        <v>8</v>
      </c>
      <c r="P176">
        <f t="shared" ref="P176" si="855">IF(C176=D176,0,((E176-D176)-(C176-E176))/(C176-D176))</f>
        <v>0.41033434650455947</v>
      </c>
      <c r="Q176">
        <f t="shared" ref="Q176" si="856">F176*P176</f>
        <v>14754090.706686936</v>
      </c>
      <c r="R176">
        <f t="shared" ref="R176" si="857">R177+Q176</f>
        <v>998627966.98369777</v>
      </c>
      <c r="S176">
        <f t="shared" ref="S176" si="858">R176/100000</f>
        <v>9986.2796698369784</v>
      </c>
      <c r="T176">
        <f t="shared" ref="T176" si="859">S176/1000</f>
        <v>9.9862796698369785</v>
      </c>
    </row>
    <row r="177" spans="1:20" x14ac:dyDescent="0.25">
      <c r="A177" s="5">
        <v>44416</v>
      </c>
      <c r="B177">
        <v>0.40577999999999997</v>
      </c>
      <c r="C177">
        <v>0.41499999999999998</v>
      </c>
      <c r="D177">
        <v>0.37574000000000002</v>
      </c>
      <c r="E177">
        <v>0.37664999999999998</v>
      </c>
      <c r="F177">
        <v>43714393</v>
      </c>
      <c r="G177">
        <v>0.37664999999999998</v>
      </c>
      <c r="L177" t="s">
        <v>7</v>
      </c>
      <c r="M177" t="s">
        <v>7</v>
      </c>
      <c r="N177" t="s">
        <v>8</v>
      </c>
      <c r="P177">
        <f t="shared" ref="P177" si="860">IF(C177=D177,0,((E177-D177)-(C177-E177))/(C177-D177))</f>
        <v>-0.95364238410596192</v>
      </c>
      <c r="Q177">
        <f t="shared" ref="Q177" si="861">F177*P177</f>
        <v>-41687897.960264973</v>
      </c>
      <c r="R177">
        <f t="shared" ref="R177" si="862">R178+Q177</f>
        <v>983873876.2770108</v>
      </c>
      <c r="S177">
        <f t="shared" ref="S177" si="863">R177/100000</f>
        <v>9838.7387627701082</v>
      </c>
      <c r="T177">
        <f t="shared" ref="T177" si="864">S177/1000</f>
        <v>9.8387387627701077</v>
      </c>
    </row>
    <row r="178" spans="1:20" x14ac:dyDescent="0.25">
      <c r="A178" s="5">
        <v>44415</v>
      </c>
      <c r="B178">
        <v>0.41292000000000001</v>
      </c>
      <c r="C178">
        <v>0.42516999999999999</v>
      </c>
      <c r="D178">
        <v>0.39295999999999998</v>
      </c>
      <c r="E178">
        <v>0.40583000000000002</v>
      </c>
      <c r="F178">
        <v>68150565.900000006</v>
      </c>
      <c r="G178">
        <v>0.40583000000000002</v>
      </c>
      <c r="L178" t="s">
        <v>7</v>
      </c>
      <c r="M178" t="s">
        <v>8</v>
      </c>
      <c r="N178" t="s">
        <v>8</v>
      </c>
      <c r="P178">
        <f t="shared" ref="P178" si="865">IF(C178=D178,0,((E178-D178)-(C178-E178))/(C178-D178))</f>
        <v>-0.20086929524991981</v>
      </c>
      <c r="Q178">
        <f t="shared" ref="Q178" si="866">F178*P178</f>
        <v>-13689356.143216219</v>
      </c>
      <c r="R178">
        <f t="shared" ref="R178" si="867">R179+Q178</f>
        <v>1025561774.2372757</v>
      </c>
      <c r="S178">
        <f t="shared" ref="S178" si="868">R178/100000</f>
        <v>10255.617742372757</v>
      </c>
      <c r="T178">
        <f t="shared" ref="T178" si="869">S178/1000</f>
        <v>10.255617742372756</v>
      </c>
    </row>
    <row r="179" spans="1:20" x14ac:dyDescent="0.25">
      <c r="A179" s="5">
        <v>44414</v>
      </c>
      <c r="B179">
        <v>0.41586000000000001</v>
      </c>
      <c r="C179">
        <v>0.44069999999999998</v>
      </c>
      <c r="D179">
        <v>0.40736</v>
      </c>
      <c r="E179">
        <v>0.41292000000000001</v>
      </c>
      <c r="F179">
        <v>59348727.600000001</v>
      </c>
      <c r="G179">
        <v>0.41292000000000001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-0.66646670665866747</v>
      </c>
      <c r="Q179">
        <f t="shared" ref="Q179" si="871">F179*P179</f>
        <v>-39553951.027954362</v>
      </c>
      <c r="R179">
        <f t="shared" ref="R179" si="872">R180+Q179</f>
        <v>1039251130.380492</v>
      </c>
      <c r="S179">
        <f t="shared" ref="S179" si="873">R179/100000</f>
        <v>10392.51130380492</v>
      </c>
      <c r="T179">
        <f t="shared" ref="T179" si="874">S179/1000</f>
        <v>10.39251130380492</v>
      </c>
    </row>
    <row r="180" spans="1:20" x14ac:dyDescent="0.25">
      <c r="A180" s="5">
        <v>44413</v>
      </c>
      <c r="B180">
        <v>0.39548</v>
      </c>
      <c r="C180">
        <v>0.41903000000000001</v>
      </c>
      <c r="D180">
        <v>0.3921</v>
      </c>
      <c r="E180">
        <v>0.41577999999999998</v>
      </c>
      <c r="F180">
        <v>37578155.899999999</v>
      </c>
      <c r="G180">
        <v>0.41577999999999998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0.75863349424433502</v>
      </c>
      <c r="Q180">
        <f t="shared" ref="Q180" si="876">F180*P180</f>
        <v>28508047.717675373</v>
      </c>
      <c r="R180">
        <f t="shared" ref="R180" si="877">R181+Q180</f>
        <v>1078805081.4084463</v>
      </c>
      <c r="S180">
        <f t="shared" ref="S180" si="878">R180/100000</f>
        <v>10788.050814084463</v>
      </c>
      <c r="T180">
        <f t="shared" ref="T180" si="879">S180/1000</f>
        <v>10.788050814084464</v>
      </c>
    </row>
    <row r="181" spans="1:20" x14ac:dyDescent="0.25">
      <c r="A181" s="5">
        <v>44412</v>
      </c>
      <c r="B181">
        <v>0.37406</v>
      </c>
      <c r="C181">
        <v>0.40972999999999998</v>
      </c>
      <c r="D181">
        <v>0.36204999999999998</v>
      </c>
      <c r="E181">
        <v>0.39502999999999999</v>
      </c>
      <c r="F181">
        <v>28512375.100000001</v>
      </c>
      <c r="G181">
        <v>0.39502999999999999</v>
      </c>
      <c r="L181" t="s">
        <v>8</v>
      </c>
      <c r="M181" t="s">
        <v>8</v>
      </c>
      <c r="N181" t="s">
        <v>8</v>
      </c>
      <c r="P181">
        <f t="shared" ref="P181" si="880">IF(C181=D181,0,((E181-D181)-(C181-E181))/(C181-D181))</f>
        <v>0.38338926174496685</v>
      </c>
      <c r="Q181">
        <f t="shared" ref="Q181" si="881">F181*P181</f>
        <v>10931338.440184576</v>
      </c>
      <c r="R181">
        <f t="shared" ref="R181" si="882">R182+Q181</f>
        <v>1050297033.6907709</v>
      </c>
      <c r="S181">
        <f t="shared" ref="S181" si="883">R181/100000</f>
        <v>10502.970336907709</v>
      </c>
      <c r="T181">
        <f t="shared" ref="T181" si="884">S181/1000</f>
        <v>10.502970336907708</v>
      </c>
    </row>
    <row r="182" spans="1:20" x14ac:dyDescent="0.25">
      <c r="A182" s="5">
        <v>44411</v>
      </c>
      <c r="B182">
        <v>0.38178000000000001</v>
      </c>
      <c r="C182">
        <v>0.39499000000000001</v>
      </c>
      <c r="D182">
        <v>0.36244999999999999</v>
      </c>
      <c r="E182">
        <v>0.374</v>
      </c>
      <c r="F182">
        <v>30089675.199999999</v>
      </c>
      <c r="G182">
        <v>0.374</v>
      </c>
      <c r="L182" t="s">
        <v>7</v>
      </c>
      <c r="M182" t="s">
        <v>8</v>
      </c>
      <c r="N182" t="s">
        <v>8</v>
      </c>
      <c r="P182">
        <f t="shared" ref="P182" si="885">IF(C182=D182,0,((E182-D182)-(C182-E182))/(C182-D182))</f>
        <v>-0.29010448678549478</v>
      </c>
      <c r="Q182">
        <f t="shared" ref="Q182" si="886">F182*P182</f>
        <v>-8729149.7814382296</v>
      </c>
      <c r="R182">
        <f t="shared" ref="R182" si="887">R183+Q182</f>
        <v>1039365695.2505863</v>
      </c>
      <c r="S182">
        <f t="shared" ref="S182" si="888">R182/100000</f>
        <v>10393.656952505862</v>
      </c>
      <c r="T182">
        <f t="shared" ref="T182" si="889">S182/1000</f>
        <v>10.393656952505863</v>
      </c>
    </row>
    <row r="183" spans="1:20" x14ac:dyDescent="0.25">
      <c r="A183" s="5">
        <v>44410</v>
      </c>
      <c r="B183">
        <v>0.39091999999999999</v>
      </c>
      <c r="C183">
        <v>0.42137000000000002</v>
      </c>
      <c r="D183">
        <v>0.38</v>
      </c>
      <c r="E183">
        <v>0.38177</v>
      </c>
      <c r="F183">
        <v>44227524</v>
      </c>
      <c r="G183">
        <v>0.38177</v>
      </c>
      <c r="L183" t="s">
        <v>8</v>
      </c>
      <c r="M183" t="s">
        <v>8</v>
      </c>
      <c r="N183" t="s">
        <v>8</v>
      </c>
      <c r="P183">
        <f t="shared" ref="P183" si="890">IF(C183=D183,0,((E183-D183)-(C183-E183))/(C183-D183))</f>
        <v>-0.91443074691805692</v>
      </c>
      <c r="Q183">
        <f t="shared" ref="Q183" si="891">F183*P183</f>
        <v>-40443007.805656292</v>
      </c>
      <c r="R183">
        <f t="shared" ref="R183" si="892">R184+Q183</f>
        <v>1048094845.0320245</v>
      </c>
      <c r="S183">
        <f t="shared" ref="S183" si="893">R183/100000</f>
        <v>10480.948450320246</v>
      </c>
      <c r="T183">
        <f t="shared" ref="T183" si="894">S183/1000</f>
        <v>10.480948450320245</v>
      </c>
    </row>
    <row r="184" spans="1:20" x14ac:dyDescent="0.25">
      <c r="A184" s="5">
        <v>44409</v>
      </c>
      <c r="B184">
        <v>0.40499000000000002</v>
      </c>
      <c r="C184">
        <v>0.43135000000000001</v>
      </c>
      <c r="D184">
        <v>0.38446999999999998</v>
      </c>
      <c r="E184">
        <v>0.39101999999999998</v>
      </c>
      <c r="F184">
        <v>44930199.700000003</v>
      </c>
      <c r="G184">
        <v>0.39101999999999998</v>
      </c>
      <c r="L184" t="s">
        <v>7</v>
      </c>
      <c r="M184" t="s">
        <v>8</v>
      </c>
      <c r="N184" t="s">
        <v>8</v>
      </c>
      <c r="P184">
        <f t="shared" ref="P184" si="895">IF(C184=D184,0,((E184-D184)-(C184-E184))/(C184-D184))</f>
        <v>-0.72056313993174081</v>
      </c>
      <c r="Q184">
        <f t="shared" ref="Q184" si="896">F184*P184</f>
        <v>-32375045.773592163</v>
      </c>
      <c r="R184">
        <f t="shared" ref="R184" si="897">R185+Q184</f>
        <v>1088537852.8376808</v>
      </c>
      <c r="S184">
        <f t="shared" ref="S184" si="898">R184/100000</f>
        <v>10885.378528376808</v>
      </c>
      <c r="T184">
        <f t="shared" ref="T184" si="899">S184/1000</f>
        <v>10.885378528376808</v>
      </c>
    </row>
    <row r="185" spans="1:20" x14ac:dyDescent="0.25">
      <c r="A185" s="5">
        <v>44408</v>
      </c>
      <c r="B185">
        <v>0.37813999999999998</v>
      </c>
      <c r="C185">
        <v>0.42784</v>
      </c>
      <c r="D185">
        <v>0.36238999999999999</v>
      </c>
      <c r="E185">
        <v>0.40333999999999998</v>
      </c>
      <c r="F185">
        <v>53737709.399999999</v>
      </c>
      <c r="G185">
        <v>0.40333999999999998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0.25133689839572138</v>
      </c>
      <c r="Q185">
        <f t="shared" ref="Q185" si="901">F185*P185</f>
        <v>13506269.207486602</v>
      </c>
      <c r="R185">
        <f t="shared" ref="R185" si="902">R186+Q185</f>
        <v>1120912898.6112731</v>
      </c>
      <c r="S185">
        <f t="shared" ref="S185" si="903">R185/100000</f>
        <v>11209.12898611273</v>
      </c>
      <c r="T185">
        <f t="shared" ref="T185" si="904">S185/1000</f>
        <v>11.209128986112729</v>
      </c>
    </row>
    <row r="186" spans="1:20" x14ac:dyDescent="0.25">
      <c r="A186" s="5">
        <v>44407</v>
      </c>
      <c r="B186">
        <v>0.38861000000000001</v>
      </c>
      <c r="C186">
        <v>0.40288000000000002</v>
      </c>
      <c r="D186">
        <v>0.34531000000000001</v>
      </c>
      <c r="E186">
        <v>0.37801000000000001</v>
      </c>
      <c r="F186">
        <v>47760343.100000001</v>
      </c>
      <c r="G186">
        <v>0.37801000000000001</v>
      </c>
      <c r="L186" t="s">
        <v>8</v>
      </c>
      <c r="M186" t="s">
        <v>8</v>
      </c>
      <c r="N186" t="s">
        <v>8</v>
      </c>
      <c r="P186">
        <f t="shared" ref="P186" si="905">IF(C186=D186,0,((E186-D186)-(C186-E186))/(C186-D186))</f>
        <v>0.13600833767587289</v>
      </c>
      <c r="Q186">
        <f t="shared" ref="Q186" si="906">F186*P186</f>
        <v>6495804.8718603458</v>
      </c>
      <c r="R186">
        <f t="shared" ref="R186" si="907">R187+Q186</f>
        <v>1107406629.4037864</v>
      </c>
      <c r="S186">
        <f t="shared" ref="S186" si="908">R186/100000</f>
        <v>11074.066294037864</v>
      </c>
      <c r="T186">
        <f t="shared" ref="T186" si="909">S186/1000</f>
        <v>11.074066294037864</v>
      </c>
    </row>
    <row r="187" spans="1:20" x14ac:dyDescent="0.25">
      <c r="A187" s="5">
        <v>44406</v>
      </c>
      <c r="B187">
        <v>0.34348000000000001</v>
      </c>
      <c r="C187">
        <v>0.38900000000000001</v>
      </c>
      <c r="D187">
        <v>0.33251999999999998</v>
      </c>
      <c r="E187">
        <v>0.38900000000000001</v>
      </c>
      <c r="F187">
        <v>50439214.700000003</v>
      </c>
      <c r="G187">
        <v>0.38900000000000001</v>
      </c>
      <c r="L187" t="s">
        <v>7</v>
      </c>
      <c r="M187" t="s">
        <v>8</v>
      </c>
      <c r="N187" t="s">
        <v>8</v>
      </c>
      <c r="P187">
        <f t="shared" ref="P187" si="910">IF(C187=D187,0,((E187-D187)-(C187-E187))/(C187-D187))</f>
        <v>1</v>
      </c>
      <c r="Q187">
        <f t="shared" ref="Q187" si="911">F187*P187</f>
        <v>50439214.700000003</v>
      </c>
      <c r="R187">
        <f t="shared" ref="R187" si="912">R188+Q187</f>
        <v>1100910824.5319262</v>
      </c>
      <c r="S187">
        <f t="shared" ref="S187" si="913">R187/100000</f>
        <v>11009.108245319261</v>
      </c>
      <c r="T187">
        <f t="shared" ref="T187" si="914">S187/1000</f>
        <v>11.009108245319261</v>
      </c>
    </row>
    <row r="188" spans="1:20" x14ac:dyDescent="0.25">
      <c r="A188" s="5">
        <v>44405</v>
      </c>
      <c r="B188">
        <v>0.35499000000000003</v>
      </c>
      <c r="C188">
        <v>0.39</v>
      </c>
      <c r="D188">
        <v>0.33666000000000001</v>
      </c>
      <c r="E188">
        <v>0.34348000000000001</v>
      </c>
      <c r="F188">
        <v>62450483.600000001</v>
      </c>
      <c r="G188">
        <v>0.34348000000000001</v>
      </c>
      <c r="L188" t="s">
        <v>8</v>
      </c>
      <c r="M188" t="s">
        <v>8</v>
      </c>
      <c r="N188" t="s">
        <v>8</v>
      </c>
      <c r="P188">
        <f t="shared" ref="P188" si="915">IF(C188=D188,0,((E188-D188)-(C188-E188))/(C188-D188))</f>
        <v>-0.744281964754406</v>
      </c>
      <c r="Q188">
        <f t="shared" ref="Q188" si="916">F188*P188</f>
        <v>-46480768.633670814</v>
      </c>
      <c r="R188">
        <f t="shared" ref="R188" si="917">R189+Q188</f>
        <v>1050471609.8319261</v>
      </c>
      <c r="S188">
        <f t="shared" ref="S188" si="918">R188/100000</f>
        <v>10504.716098319261</v>
      </c>
      <c r="T188">
        <f t="shared" ref="T188" si="919">S188/1000</f>
        <v>10.50471609831926</v>
      </c>
    </row>
    <row r="189" spans="1:20" x14ac:dyDescent="0.25">
      <c r="A189" s="5">
        <v>44404</v>
      </c>
      <c r="B189">
        <v>0.31622</v>
      </c>
      <c r="C189">
        <v>0.37984000000000001</v>
      </c>
      <c r="D189">
        <v>0.30499999999999999</v>
      </c>
      <c r="E189">
        <v>0.35494999999999999</v>
      </c>
      <c r="F189">
        <v>102577463.7</v>
      </c>
      <c r="G189">
        <v>0.35494999999999999</v>
      </c>
      <c r="L189" t="s">
        <v>7</v>
      </c>
      <c r="M189" t="s">
        <v>7</v>
      </c>
      <c r="N189" t="s">
        <v>8</v>
      </c>
      <c r="P189">
        <f t="shared" ref="P189" si="920">IF(C189=D189,0,((E189-D189)-(C189-E189))/(C189-D189))</f>
        <v>0.33484767504008506</v>
      </c>
      <c r="Q189">
        <f t="shared" ref="Q189" si="921">F189*P189</f>
        <v>34347825.231453724</v>
      </c>
      <c r="R189">
        <f t="shared" ref="R189" si="922">R190+Q189</f>
        <v>1096952378.4655969</v>
      </c>
      <c r="S189">
        <f t="shared" ref="S189" si="923">R189/100000</f>
        <v>10969.523784655968</v>
      </c>
      <c r="T189">
        <f t="shared" ref="T189" si="924">S189/1000</f>
        <v>10.969523784655969</v>
      </c>
    </row>
    <row r="190" spans="1:20" x14ac:dyDescent="0.25">
      <c r="A190" s="5">
        <v>44403</v>
      </c>
      <c r="B190">
        <v>0.34565000000000001</v>
      </c>
      <c r="C190">
        <v>0.40633999999999998</v>
      </c>
      <c r="D190">
        <v>0.31439</v>
      </c>
      <c r="E190">
        <v>0.31641999999999998</v>
      </c>
      <c r="F190">
        <v>114502683.7</v>
      </c>
      <c r="G190">
        <v>0.31641999999999998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-0.95584556824361111</v>
      </c>
      <c r="Q190">
        <f t="shared" ref="Q190" si="926">F190*P190</f>
        <v>-109446882.76664497</v>
      </c>
      <c r="R190">
        <f t="shared" ref="R190" si="927">R191+Q190</f>
        <v>1062604553.2341433</v>
      </c>
      <c r="S190">
        <f t="shared" ref="S190" si="928">R190/100000</f>
        <v>10626.045532341432</v>
      </c>
      <c r="T190">
        <f t="shared" ref="T190" si="929">S190/1000</f>
        <v>10.626045532341431</v>
      </c>
    </row>
    <row r="191" spans="1:20" x14ac:dyDescent="0.25">
      <c r="A191" s="5">
        <v>44402</v>
      </c>
      <c r="B191">
        <v>0.27959000000000001</v>
      </c>
      <c r="C191">
        <v>0.35499999999999998</v>
      </c>
      <c r="D191">
        <v>0.27173000000000003</v>
      </c>
      <c r="E191">
        <v>0.34562999999999999</v>
      </c>
      <c r="F191">
        <v>73327304.799999997</v>
      </c>
      <c r="G191">
        <v>0.34562999999999999</v>
      </c>
      <c r="L191" t="s">
        <v>8</v>
      </c>
      <c r="M191" t="s">
        <v>8</v>
      </c>
      <c r="N191" t="s">
        <v>8</v>
      </c>
      <c r="P191">
        <f t="shared" ref="P191" si="930">IF(C191=D191,0,((E191-D191)-(C191-E191))/(C191-D191))</f>
        <v>0.77494896121052015</v>
      </c>
      <c r="Q191">
        <f t="shared" ref="Q191" si="931">F191*P191</f>
        <v>56824918.683127187</v>
      </c>
      <c r="R191">
        <f t="shared" ref="R191" si="932">R192+Q191</f>
        <v>1172051436.0007882</v>
      </c>
      <c r="S191">
        <f t="shared" ref="S191" si="933">R191/100000</f>
        <v>11720.514360007883</v>
      </c>
      <c r="T191">
        <f t="shared" ref="T191:T197" si="934">S191/1000</f>
        <v>11.720514360007883</v>
      </c>
    </row>
    <row r="192" spans="1:20" x14ac:dyDescent="0.25">
      <c r="A192" s="5">
        <v>44401</v>
      </c>
      <c r="B192">
        <v>0.28782000000000002</v>
      </c>
      <c r="C192">
        <v>0.29998999999999998</v>
      </c>
      <c r="D192">
        <v>0.27167999999999998</v>
      </c>
      <c r="E192">
        <v>0.27960000000000002</v>
      </c>
      <c r="F192">
        <v>31980002.100000001</v>
      </c>
      <c r="G192">
        <v>0.27960000000000002</v>
      </c>
      <c r="L192" t="s">
        <v>8</v>
      </c>
      <c r="M192" t="s">
        <v>8</v>
      </c>
      <c r="N192" t="s">
        <v>8</v>
      </c>
      <c r="P192">
        <f t="shared" ref="P192" si="935">IF(C192=D192,0,((E192-D192)-(C192-E192))/(C192-D192))</f>
        <v>-0.44048039561991964</v>
      </c>
      <c r="Q192">
        <f t="shared" ref="Q192" si="936">F192*P192</f>
        <v>-14086563.976933861</v>
      </c>
      <c r="R192">
        <f t="shared" ref="R192" si="937">R193+Q192</f>
        <v>1115226517.317661</v>
      </c>
      <c r="S192">
        <f t="shared" ref="S192" si="938">R192/100000</f>
        <v>11152.265173176611</v>
      </c>
      <c r="T192">
        <f t="shared" si="934"/>
        <v>11.152265173176611</v>
      </c>
    </row>
    <row r="193" spans="1:20" x14ac:dyDescent="0.25">
      <c r="A193" s="5">
        <v>44400</v>
      </c>
      <c r="B193">
        <v>0.26769999999999999</v>
      </c>
      <c r="C193">
        <v>0.29374</v>
      </c>
      <c r="D193">
        <v>0.26250000000000001</v>
      </c>
      <c r="E193">
        <v>0.28778999999999999</v>
      </c>
      <c r="F193">
        <v>38620238.100000001</v>
      </c>
      <c r="G193">
        <v>0.28778999999999999</v>
      </c>
      <c r="L193" t="s">
        <v>8</v>
      </c>
      <c r="M193" t="s">
        <v>8</v>
      </c>
      <c r="N193" t="s">
        <v>8</v>
      </c>
      <c r="P193">
        <f t="shared" ref="P193" si="939">IF(C193=D193,0,((E193-D193)-(C193-E193))/(C193-D193))</f>
        <v>0.61907810499359717</v>
      </c>
      <c r="Q193">
        <f t="shared" ref="Q193" si="940">F193*P193</f>
        <v>23908943.817349523</v>
      </c>
      <c r="R193">
        <f t="shared" ref="R193" si="941">R194+Q193</f>
        <v>1129313081.294595</v>
      </c>
      <c r="S193">
        <f t="shared" ref="S193" si="942">R193/100000</f>
        <v>11293.13081294595</v>
      </c>
      <c r="T193">
        <f t="shared" si="934"/>
        <v>11.29313081294595</v>
      </c>
    </row>
    <row r="194" spans="1:20" x14ac:dyDescent="0.25">
      <c r="A194" s="5">
        <v>44399</v>
      </c>
      <c r="B194">
        <v>0.26377</v>
      </c>
      <c r="C194">
        <v>0.28100000000000003</v>
      </c>
      <c r="D194">
        <v>0.25655</v>
      </c>
      <c r="E194">
        <v>0.26815</v>
      </c>
      <c r="F194">
        <v>43597190.899999999</v>
      </c>
      <c r="G194">
        <v>0.26815</v>
      </c>
      <c r="L194" t="s">
        <v>7</v>
      </c>
      <c r="M194" t="s">
        <v>8</v>
      </c>
      <c r="N194" t="s">
        <v>8</v>
      </c>
      <c r="P194">
        <f t="shared" ref="P194" si="943">IF(C194=D194,0,((E194-D194)-(C194-E194))/(C194-D194))</f>
        <v>-5.1124744376279244E-2</v>
      </c>
      <c r="Q194">
        <f t="shared" ref="Q194" si="944">F194*P194</f>
        <v>-2228895.2402863475</v>
      </c>
      <c r="R194">
        <f t="shared" ref="R194" si="945">R195+Q194</f>
        <v>1105404137.4772456</v>
      </c>
      <c r="S194">
        <f t="shared" ref="S194" si="946">R194/100000</f>
        <v>11054.041374772456</v>
      </c>
      <c r="T194">
        <f t="shared" si="934"/>
        <v>11.054041374772456</v>
      </c>
    </row>
    <row r="195" spans="1:20" x14ac:dyDescent="0.25">
      <c r="A195" s="5">
        <v>44398</v>
      </c>
      <c r="B195">
        <v>0.2601</v>
      </c>
      <c r="C195">
        <v>0.29744999999999999</v>
      </c>
      <c r="D195">
        <v>0.25563999999999998</v>
      </c>
      <c r="E195">
        <v>0.26424999999999998</v>
      </c>
      <c r="F195">
        <v>58357649.799999997</v>
      </c>
      <c r="G195">
        <v>0.26424999999999998</v>
      </c>
      <c r="L195" t="s">
        <v>8</v>
      </c>
      <c r="M195" t="s">
        <v>8</v>
      </c>
      <c r="N195" t="s">
        <v>8</v>
      </c>
      <c r="P195">
        <f t="shared" ref="P195" si="947">IF(C195=D195,0,((E195-D195)-(C195-E195))/(C195-D195))</f>
        <v>-0.5881368093757473</v>
      </c>
      <c r="Q195">
        <f t="shared" ref="Q195" si="948">F195*P195</f>
        <v>-34322281.956039213</v>
      </c>
      <c r="R195">
        <f t="shared" ref="R195" si="949">R196+Q195</f>
        <v>1107633032.7175319</v>
      </c>
      <c r="S195">
        <f t="shared" ref="S195" si="950">R195/100000</f>
        <v>11076.330327175319</v>
      </c>
      <c r="T195">
        <f t="shared" si="934"/>
        <v>11.07633032717532</v>
      </c>
    </row>
    <row r="196" spans="1:20" x14ac:dyDescent="0.25">
      <c r="A196" s="5">
        <v>44397</v>
      </c>
      <c r="B196">
        <v>0.22484000000000001</v>
      </c>
      <c r="C196">
        <v>0.29292000000000001</v>
      </c>
      <c r="D196">
        <v>0.21201999999999999</v>
      </c>
      <c r="E196">
        <v>0.26</v>
      </c>
      <c r="F196">
        <v>99126966.299999997</v>
      </c>
      <c r="G196">
        <v>0.26</v>
      </c>
      <c r="L196" t="s">
        <v>8</v>
      </c>
      <c r="M196" t="s">
        <v>8</v>
      </c>
      <c r="N196" t="s">
        <v>8</v>
      </c>
      <c r="P196">
        <f t="shared" ref="P196" si="951">IF(C196=D196,0,((E196-D196)-(C196-E196))/(C196-D196))</f>
        <v>0.18615574783683575</v>
      </c>
      <c r="Q196">
        <f t="shared" ref="Q196" si="952">F196*P196</f>
        <v>18453054.542373314</v>
      </c>
      <c r="R196">
        <f t="shared" ref="R196" si="953">R197+Q196</f>
        <v>1141955314.6735711</v>
      </c>
      <c r="S196">
        <f t="shared" ref="S196" si="954">R196/100000</f>
        <v>11419.55314673571</v>
      </c>
      <c r="T196">
        <f t="shared" si="934"/>
        <v>11.41955314673571</v>
      </c>
    </row>
    <row r="197" spans="1:20" x14ac:dyDescent="0.25">
      <c r="A197" s="5">
        <v>44396</v>
      </c>
      <c r="B197">
        <v>0.23330999999999999</v>
      </c>
      <c r="C197">
        <v>0.23371</v>
      </c>
      <c r="D197">
        <v>0.20757</v>
      </c>
      <c r="E197">
        <v>0.22467999999999999</v>
      </c>
      <c r="F197">
        <v>31341987.699999999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0.30910482019892799</v>
      </c>
      <c r="Q197">
        <f t="shared" ref="Q197" si="956">F197*P197</f>
        <v>9687959.4726855122</v>
      </c>
      <c r="R197">
        <f t="shared" ref="R197" si="957">R198+Q197</f>
        <v>1123502260.1311977</v>
      </c>
      <c r="S197">
        <f t="shared" ref="S197" si="958">R197/100000</f>
        <v>11235.022601311977</v>
      </c>
      <c r="T197">
        <f t="shared" si="934"/>
        <v>11.235022601311977</v>
      </c>
    </row>
    <row r="198" spans="1:20" x14ac:dyDescent="0.25">
      <c r="A198" s="5">
        <v>44395</v>
      </c>
      <c r="B198">
        <v>0.2185</v>
      </c>
      <c r="C198">
        <v>0.25900000000000001</v>
      </c>
      <c r="D198">
        <v>0.21751000000000001</v>
      </c>
      <c r="E198">
        <v>0.23280999999999999</v>
      </c>
      <c r="F198">
        <v>49990023</v>
      </c>
      <c r="G198">
        <v>0</v>
      </c>
      <c r="L198" t="s">
        <v>8</v>
      </c>
      <c r="M198" t="s">
        <v>8</v>
      </c>
      <c r="N198" t="s">
        <v>7</v>
      </c>
      <c r="P198">
        <f t="shared" ref="P198:P261" si="959">IF(C198=D198,0,((E198-D198)-(C198-E198))/(C198-D198))</f>
        <v>-0.26247288503253891</v>
      </c>
      <c r="Q198">
        <f t="shared" ref="Q198:Q261" si="960">F198*P198</f>
        <v>-13121025.559652975</v>
      </c>
      <c r="R198">
        <f t="shared" ref="R198:R261" si="961">R199+Q198</f>
        <v>1113814300.6585121</v>
      </c>
      <c r="S198">
        <f t="shared" ref="S198:S261" si="962">R198/100000</f>
        <v>11138.143006585122</v>
      </c>
      <c r="T198">
        <f t="shared" ref="T198:T261" si="963">S198/1000</f>
        <v>11.138143006585121</v>
      </c>
    </row>
    <row r="199" spans="1:20" x14ac:dyDescent="0.25">
      <c r="A199" s="5">
        <v>44394</v>
      </c>
      <c r="B199">
        <v>0.20024</v>
      </c>
      <c r="C199">
        <v>0.22495000000000001</v>
      </c>
      <c r="D199">
        <v>0.19522</v>
      </c>
      <c r="E199">
        <v>0.21856999999999999</v>
      </c>
      <c r="F199">
        <v>28057675.199999999</v>
      </c>
      <c r="G199">
        <v>0</v>
      </c>
      <c r="L199" t="s">
        <v>7</v>
      </c>
      <c r="M199" t="s">
        <v>7</v>
      </c>
      <c r="N199" t="s">
        <v>7</v>
      </c>
      <c r="P199">
        <f t="shared" si="959"/>
        <v>0.57080390178270946</v>
      </c>
      <c r="Q199">
        <f t="shared" si="960"/>
        <v>16015430.479111962</v>
      </c>
      <c r="R199">
        <f t="shared" si="961"/>
        <v>1126935326.2181652</v>
      </c>
      <c r="S199">
        <f t="shared" si="962"/>
        <v>11269.353262181652</v>
      </c>
      <c r="T199">
        <f t="shared" si="963"/>
        <v>11.269353262181651</v>
      </c>
    </row>
    <row r="200" spans="1:20" x14ac:dyDescent="0.25">
      <c r="A200" s="5">
        <v>44393</v>
      </c>
      <c r="B200">
        <v>0.22467999999999999</v>
      </c>
      <c r="C200">
        <v>0.23000999999999999</v>
      </c>
      <c r="D200">
        <v>0.2</v>
      </c>
      <c r="E200">
        <v>0.20000999999999999</v>
      </c>
      <c r="F200">
        <v>24167465.899999999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-0.99933355548150737</v>
      </c>
      <c r="Q200">
        <f t="shared" si="960"/>
        <v>-24151359.624825086</v>
      </c>
      <c r="R200">
        <f t="shared" si="961"/>
        <v>1110919895.7390532</v>
      </c>
      <c r="S200">
        <f t="shared" si="962"/>
        <v>11109.198957390532</v>
      </c>
      <c r="T200">
        <f t="shared" si="963"/>
        <v>11.109198957390532</v>
      </c>
    </row>
    <row r="201" spans="1:20" x14ac:dyDescent="0.25">
      <c r="A201" s="5">
        <v>44392</v>
      </c>
      <c r="B201">
        <v>0.24281</v>
      </c>
      <c r="C201">
        <v>0.24792</v>
      </c>
      <c r="D201">
        <v>0.22005</v>
      </c>
      <c r="E201">
        <v>0.22473000000000001</v>
      </c>
      <c r="F201">
        <v>20883358.199999999</v>
      </c>
      <c r="G201">
        <v>0</v>
      </c>
      <c r="L201" t="s">
        <v>8</v>
      </c>
      <c r="M201" t="s">
        <v>7</v>
      </c>
      <c r="N201" t="s">
        <v>8</v>
      </c>
      <c r="P201">
        <f t="shared" si="959"/>
        <v>-0.66415500538213013</v>
      </c>
      <c r="Q201">
        <f t="shared" si="960"/>
        <v>-13869786.877717951</v>
      </c>
      <c r="R201">
        <f t="shared" si="961"/>
        <v>1135071255.3638783</v>
      </c>
      <c r="S201">
        <f t="shared" si="962"/>
        <v>11350.712553638783</v>
      </c>
      <c r="T201">
        <f t="shared" si="963"/>
        <v>11.350712553638783</v>
      </c>
    </row>
    <row r="202" spans="1:20" x14ac:dyDescent="0.25">
      <c r="A202" s="5">
        <v>44391</v>
      </c>
      <c r="B202">
        <v>0.23860999999999999</v>
      </c>
      <c r="C202">
        <v>0.246</v>
      </c>
      <c r="D202">
        <v>0.22042999999999999</v>
      </c>
      <c r="E202">
        <v>0.24285999999999999</v>
      </c>
      <c r="F202">
        <v>22708167.600000001</v>
      </c>
      <c r="G202">
        <v>0</v>
      </c>
      <c r="L202" t="s">
        <v>7</v>
      </c>
      <c r="M202" t="s">
        <v>7</v>
      </c>
      <c r="N202" t="s">
        <v>8</v>
      </c>
      <c r="P202">
        <f t="shared" si="959"/>
        <v>0.75439968713335914</v>
      </c>
      <c r="Q202">
        <f t="shared" si="960"/>
        <v>17131034.532811884</v>
      </c>
      <c r="R202">
        <f t="shared" si="961"/>
        <v>1148941042.2415962</v>
      </c>
      <c r="S202">
        <f t="shared" si="962"/>
        <v>11489.410422415962</v>
      </c>
      <c r="T202">
        <f t="shared" si="963"/>
        <v>11.489410422415961</v>
      </c>
    </row>
    <row r="203" spans="1:20" x14ac:dyDescent="0.25">
      <c r="A203" s="5">
        <v>44390</v>
      </c>
      <c r="B203">
        <v>0.26563999999999999</v>
      </c>
      <c r="C203">
        <v>0.26602999999999999</v>
      </c>
      <c r="D203">
        <v>0.23377000000000001</v>
      </c>
      <c r="E203">
        <v>0.2387</v>
      </c>
      <c r="F203">
        <v>29465481.800000001</v>
      </c>
      <c r="G203">
        <v>0</v>
      </c>
      <c r="L203" t="s">
        <v>7</v>
      </c>
      <c r="M203" t="s">
        <v>7</v>
      </c>
      <c r="N203" t="s">
        <v>8</v>
      </c>
      <c r="P203">
        <f t="shared" si="959"/>
        <v>-0.69435833849969053</v>
      </c>
      <c r="Q203">
        <f t="shared" si="960"/>
        <v>-20459602.98574087</v>
      </c>
      <c r="R203">
        <f t="shared" si="961"/>
        <v>1131810007.7087843</v>
      </c>
      <c r="S203">
        <f t="shared" si="962"/>
        <v>11318.100077087844</v>
      </c>
      <c r="T203">
        <f t="shared" si="963"/>
        <v>11.318100077087843</v>
      </c>
    </row>
    <row r="204" spans="1:20" x14ac:dyDescent="0.25">
      <c r="A204" s="5">
        <v>44389</v>
      </c>
      <c r="B204">
        <v>0.28872999999999999</v>
      </c>
      <c r="C204">
        <v>0.29054000000000002</v>
      </c>
      <c r="D204">
        <v>0.25696999999999998</v>
      </c>
      <c r="E204">
        <v>0.26604</v>
      </c>
      <c r="F204">
        <v>22509651</v>
      </c>
      <c r="G204">
        <v>0</v>
      </c>
      <c r="L204" t="s">
        <v>7</v>
      </c>
      <c r="M204" t="s">
        <v>7</v>
      </c>
      <c r="N204" t="s">
        <v>8</v>
      </c>
      <c r="P204">
        <f t="shared" si="959"/>
        <v>-0.45963658028001131</v>
      </c>
      <c r="Q204">
        <f t="shared" si="960"/>
        <v>-10346259.008936537</v>
      </c>
      <c r="R204">
        <f t="shared" si="961"/>
        <v>1152269610.6945252</v>
      </c>
      <c r="S204">
        <f t="shared" si="962"/>
        <v>11522.696106945252</v>
      </c>
      <c r="T204">
        <f t="shared" si="963"/>
        <v>11.522696106945252</v>
      </c>
    </row>
    <row r="205" spans="1:20" x14ac:dyDescent="0.25">
      <c r="A205" s="5">
        <v>44388</v>
      </c>
      <c r="B205">
        <v>0.28328999999999999</v>
      </c>
      <c r="C205">
        <v>0.29586000000000001</v>
      </c>
      <c r="D205">
        <v>0.27839000000000003</v>
      </c>
      <c r="E205">
        <v>0.28900999999999999</v>
      </c>
      <c r="F205">
        <v>15153578</v>
      </c>
      <c r="G205">
        <v>0</v>
      </c>
      <c r="L205" t="s">
        <v>7</v>
      </c>
      <c r="M205" t="s">
        <v>8</v>
      </c>
      <c r="N205" t="s">
        <v>8</v>
      </c>
      <c r="P205">
        <f t="shared" si="959"/>
        <v>0.21579851173439857</v>
      </c>
      <c r="Q205">
        <f t="shared" si="960"/>
        <v>3270119.579851124</v>
      </c>
      <c r="R205">
        <f t="shared" si="961"/>
        <v>1162615869.7034619</v>
      </c>
      <c r="S205">
        <f t="shared" si="962"/>
        <v>11626.15869703462</v>
      </c>
      <c r="T205">
        <f t="shared" si="963"/>
        <v>11.62615869703462</v>
      </c>
    </row>
    <row r="206" spans="1:20" x14ac:dyDescent="0.25">
      <c r="A206" s="5">
        <v>44387</v>
      </c>
      <c r="B206">
        <v>0.28643000000000002</v>
      </c>
      <c r="C206">
        <v>0.31145</v>
      </c>
      <c r="D206">
        <v>0.27688000000000001</v>
      </c>
      <c r="E206">
        <v>0.28287000000000001</v>
      </c>
      <c r="F206">
        <v>35609833</v>
      </c>
      <c r="G206">
        <v>0</v>
      </c>
      <c r="L206" t="s">
        <v>8</v>
      </c>
      <c r="M206" t="s">
        <v>8</v>
      </c>
      <c r="N206" t="s">
        <v>8</v>
      </c>
      <c r="P206">
        <f t="shared" si="959"/>
        <v>-0.65345675441133944</v>
      </c>
      <c r="Q206">
        <f t="shared" si="960"/>
        <v>-23269485.89730981</v>
      </c>
      <c r="R206">
        <f t="shared" si="961"/>
        <v>1159345750.1236107</v>
      </c>
      <c r="S206">
        <f t="shared" si="962"/>
        <v>11593.457501236107</v>
      </c>
      <c r="T206">
        <f t="shared" si="963"/>
        <v>11.593457501236108</v>
      </c>
    </row>
    <row r="207" spans="1:20" x14ac:dyDescent="0.25">
      <c r="A207" s="5">
        <v>44386</v>
      </c>
      <c r="B207">
        <v>0.26757999999999998</v>
      </c>
      <c r="C207">
        <v>0.28971000000000002</v>
      </c>
      <c r="D207">
        <v>0.25519999999999998</v>
      </c>
      <c r="E207">
        <v>0.28605999999999998</v>
      </c>
      <c r="F207">
        <v>35235056.200000003</v>
      </c>
      <c r="G207">
        <v>0</v>
      </c>
      <c r="L207" t="s">
        <v>8</v>
      </c>
      <c r="M207" t="s">
        <v>7</v>
      </c>
      <c r="N207" t="s">
        <v>8</v>
      </c>
      <c r="P207">
        <f t="shared" si="959"/>
        <v>0.78846711098232181</v>
      </c>
      <c r="Q207">
        <f t="shared" si="960"/>
        <v>27781682.967313748</v>
      </c>
      <c r="R207">
        <f t="shared" si="961"/>
        <v>1182615236.0209205</v>
      </c>
      <c r="S207">
        <f t="shared" si="962"/>
        <v>11826.152360209206</v>
      </c>
      <c r="T207">
        <f t="shared" si="963"/>
        <v>11.826152360209205</v>
      </c>
    </row>
    <row r="208" spans="1:20" x14ac:dyDescent="0.25">
      <c r="A208" s="5">
        <v>44385</v>
      </c>
      <c r="B208">
        <v>0.27138000000000001</v>
      </c>
      <c r="C208">
        <v>0.28009000000000001</v>
      </c>
      <c r="D208">
        <v>0.25230999999999998</v>
      </c>
      <c r="E208">
        <v>0.26782</v>
      </c>
      <c r="F208">
        <v>34840110.100000001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0.11663066954643692</v>
      </c>
      <c r="Q208">
        <f t="shared" si="960"/>
        <v>4063425.3680345793</v>
      </c>
      <c r="R208">
        <f t="shared" si="961"/>
        <v>1154833553.0536067</v>
      </c>
      <c r="S208">
        <f t="shared" si="962"/>
        <v>11548.335530536067</v>
      </c>
      <c r="T208">
        <f t="shared" si="963"/>
        <v>11.548335530536068</v>
      </c>
    </row>
    <row r="209" spans="1:20" x14ac:dyDescent="0.25">
      <c r="A209" s="5">
        <v>44384</v>
      </c>
      <c r="B209">
        <v>0.28904999999999997</v>
      </c>
      <c r="C209">
        <v>0.29848999999999998</v>
      </c>
      <c r="D209">
        <v>0.26973000000000003</v>
      </c>
      <c r="E209">
        <v>0.27140999999999998</v>
      </c>
      <c r="F209">
        <v>27549298.600000001</v>
      </c>
      <c r="G209">
        <v>0</v>
      </c>
      <c r="L209" t="s">
        <v>7</v>
      </c>
      <c r="M209" t="s">
        <v>8</v>
      </c>
      <c r="N209" t="s">
        <v>8</v>
      </c>
      <c r="P209">
        <f t="shared" si="959"/>
        <v>-0.88317107093185243</v>
      </c>
      <c r="Q209">
        <f t="shared" si="960"/>
        <v>-24330743.547983386</v>
      </c>
      <c r="R209">
        <f t="shared" si="961"/>
        <v>1150770127.6855721</v>
      </c>
      <c r="S209">
        <f t="shared" si="962"/>
        <v>11507.701276855722</v>
      </c>
      <c r="T209">
        <f t="shared" si="963"/>
        <v>11.507701276855721</v>
      </c>
    </row>
    <row r="210" spans="1:20" x14ac:dyDescent="0.25">
      <c r="A210" s="5">
        <v>44383</v>
      </c>
      <c r="B210">
        <v>0.27524999999999999</v>
      </c>
      <c r="C210">
        <v>0.29665999999999998</v>
      </c>
      <c r="D210">
        <v>0.27310000000000001</v>
      </c>
      <c r="E210">
        <v>0.28922999999999999</v>
      </c>
      <c r="F210">
        <v>45075138.200000003</v>
      </c>
      <c r="G210">
        <v>0</v>
      </c>
      <c r="L210" t="s">
        <v>8</v>
      </c>
      <c r="M210" t="s">
        <v>8</v>
      </c>
      <c r="N210" t="s">
        <v>8</v>
      </c>
      <c r="P210">
        <f t="shared" si="959"/>
        <v>0.3692699490662138</v>
      </c>
      <c r="Q210">
        <f t="shared" si="960"/>
        <v>16644893.98726655</v>
      </c>
      <c r="R210">
        <f t="shared" si="961"/>
        <v>1175100871.2335556</v>
      </c>
      <c r="S210">
        <f t="shared" si="962"/>
        <v>11751.008712335555</v>
      </c>
      <c r="T210">
        <f t="shared" si="963"/>
        <v>11.751008712335555</v>
      </c>
    </row>
    <row r="211" spans="1:20" x14ac:dyDescent="0.25">
      <c r="A211" s="5">
        <v>44382</v>
      </c>
      <c r="B211">
        <v>0.27588000000000001</v>
      </c>
      <c r="C211">
        <v>0.28999999999999998</v>
      </c>
      <c r="D211">
        <v>0.24586</v>
      </c>
      <c r="E211">
        <v>0.27500999999999998</v>
      </c>
      <c r="F211">
        <v>44700419.100000001</v>
      </c>
      <c r="G211">
        <v>0</v>
      </c>
      <c r="L211" t="s">
        <v>7</v>
      </c>
      <c r="M211" t="s">
        <v>8</v>
      </c>
      <c r="N211" t="s">
        <v>8</v>
      </c>
      <c r="P211">
        <f t="shared" si="959"/>
        <v>0.32079746261893938</v>
      </c>
      <c r="Q211">
        <f t="shared" si="960"/>
        <v>14339781.025283175</v>
      </c>
      <c r="R211">
        <f t="shared" si="961"/>
        <v>1158455977.246289</v>
      </c>
      <c r="S211">
        <f t="shared" si="962"/>
        <v>11584.55977246289</v>
      </c>
      <c r="T211">
        <f t="shared" si="963"/>
        <v>11.584559772462889</v>
      </c>
    </row>
    <row r="212" spans="1:20" x14ac:dyDescent="0.25">
      <c r="A212" s="5">
        <v>44381</v>
      </c>
      <c r="B212">
        <v>0.26796999999999999</v>
      </c>
      <c r="C212">
        <v>0.27994999999999998</v>
      </c>
      <c r="D212">
        <v>0.2601</v>
      </c>
      <c r="E212">
        <v>0.27594000000000002</v>
      </c>
      <c r="F212">
        <v>47856637.299999997</v>
      </c>
      <c r="G212">
        <v>0</v>
      </c>
      <c r="L212" t="s">
        <v>7</v>
      </c>
      <c r="M212" t="s">
        <v>8</v>
      </c>
      <c r="N212" t="s">
        <v>8</v>
      </c>
      <c r="P212">
        <f t="shared" si="959"/>
        <v>0.59596977329975187</v>
      </c>
      <c r="Q212">
        <f t="shared" si="960"/>
        <v>28521109.282569449</v>
      </c>
      <c r="R212">
        <f t="shared" si="961"/>
        <v>1144116196.2210059</v>
      </c>
      <c r="S212">
        <f t="shared" si="962"/>
        <v>11441.161962210059</v>
      </c>
      <c r="T212">
        <f t="shared" si="963"/>
        <v>11.441161962210058</v>
      </c>
    </row>
    <row r="213" spans="1:20" x14ac:dyDescent="0.25">
      <c r="A213" s="5">
        <v>44380</v>
      </c>
      <c r="B213">
        <v>0.25091999999999998</v>
      </c>
      <c r="C213">
        <v>0.29199999999999998</v>
      </c>
      <c r="D213">
        <v>0.24804999999999999</v>
      </c>
      <c r="E213">
        <v>0.26796999999999999</v>
      </c>
      <c r="F213">
        <v>58690955</v>
      </c>
      <c r="G213">
        <v>0</v>
      </c>
      <c r="L213" t="s">
        <v>8</v>
      </c>
      <c r="M213" t="s">
        <v>8</v>
      </c>
      <c r="N213" t="s">
        <v>8</v>
      </c>
      <c r="P213">
        <f t="shared" si="959"/>
        <v>-9.3515358361774825E-2</v>
      </c>
      <c r="Q213">
        <f t="shared" si="960"/>
        <v>-5488505.6894198004</v>
      </c>
      <c r="R213">
        <f t="shared" si="961"/>
        <v>1115595086.9384365</v>
      </c>
      <c r="S213">
        <f t="shared" si="962"/>
        <v>11155.950869384365</v>
      </c>
      <c r="T213">
        <f t="shared" si="963"/>
        <v>11.155950869384366</v>
      </c>
    </row>
    <row r="214" spans="1:20" x14ac:dyDescent="0.25">
      <c r="A214" s="5">
        <v>44379</v>
      </c>
      <c r="B214">
        <v>0.24942</v>
      </c>
      <c r="C214">
        <v>0.25474999999999998</v>
      </c>
      <c r="D214">
        <v>0.23057</v>
      </c>
      <c r="E214">
        <v>0.25091999999999998</v>
      </c>
      <c r="F214">
        <v>50665629.100000001</v>
      </c>
      <c r="G214">
        <v>0</v>
      </c>
      <c r="L214" t="s">
        <v>7</v>
      </c>
      <c r="M214" t="s">
        <v>8</v>
      </c>
      <c r="N214" t="s">
        <v>8</v>
      </c>
      <c r="P214">
        <f t="shared" si="959"/>
        <v>0.68320926385442482</v>
      </c>
      <c r="Q214">
        <f t="shared" si="960"/>
        <v>34615227.160132326</v>
      </c>
      <c r="R214">
        <f t="shared" si="961"/>
        <v>1121083592.6278563</v>
      </c>
      <c r="S214">
        <f t="shared" si="962"/>
        <v>11210.835926278563</v>
      </c>
      <c r="T214">
        <f t="shared" si="963"/>
        <v>11.210835926278563</v>
      </c>
    </row>
    <row r="215" spans="1:20" x14ac:dyDescent="0.25">
      <c r="A215" s="5">
        <v>44378</v>
      </c>
      <c r="B215">
        <v>0.22811999999999999</v>
      </c>
      <c r="C215">
        <v>0.25475999999999999</v>
      </c>
      <c r="D215">
        <v>0.21199999999999999</v>
      </c>
      <c r="E215">
        <v>0.25015999999999999</v>
      </c>
      <c r="F215">
        <v>65480958.799999997</v>
      </c>
      <c r="G215">
        <v>0</v>
      </c>
      <c r="L215" t="s">
        <v>8</v>
      </c>
      <c r="M215" t="s">
        <v>8</v>
      </c>
      <c r="N215" t="s">
        <v>8</v>
      </c>
      <c r="P215">
        <f t="shared" si="959"/>
        <v>0.78484565014031837</v>
      </c>
      <c r="Q215">
        <f t="shared" si="960"/>
        <v>51392445.681197397</v>
      </c>
      <c r="R215">
        <f t="shared" si="961"/>
        <v>1086468365.4677238</v>
      </c>
      <c r="S215">
        <f t="shared" si="962"/>
        <v>10864.683654677239</v>
      </c>
      <c r="T215">
        <f t="shared" si="963"/>
        <v>10.86468365467724</v>
      </c>
    </row>
    <row r="216" spans="1:20" x14ac:dyDescent="0.25">
      <c r="A216" s="5">
        <v>44377</v>
      </c>
      <c r="B216">
        <v>0.22309000000000001</v>
      </c>
      <c r="C216">
        <v>0.2349</v>
      </c>
      <c r="D216">
        <v>0.2041</v>
      </c>
      <c r="E216">
        <v>0.22803999999999999</v>
      </c>
      <c r="F216">
        <v>45608822.399999999</v>
      </c>
      <c r="G216">
        <v>0</v>
      </c>
      <c r="L216" t="s">
        <v>7</v>
      </c>
      <c r="M216" t="s">
        <v>8</v>
      </c>
      <c r="N216" t="s">
        <v>8</v>
      </c>
      <c r="P216">
        <f t="shared" si="959"/>
        <v>0.55454545454545412</v>
      </c>
      <c r="Q216">
        <f t="shared" si="960"/>
        <v>25292165.14909089</v>
      </c>
      <c r="R216">
        <f t="shared" si="961"/>
        <v>1035075919.7865266</v>
      </c>
      <c r="S216">
        <f t="shared" si="962"/>
        <v>10350.759197865265</v>
      </c>
      <c r="T216">
        <f t="shared" si="963"/>
        <v>10.350759197865266</v>
      </c>
    </row>
    <row r="217" spans="1:20" x14ac:dyDescent="0.25">
      <c r="A217" s="5">
        <v>44376</v>
      </c>
      <c r="B217">
        <v>0.21068000000000001</v>
      </c>
      <c r="C217">
        <v>0.23707</v>
      </c>
      <c r="D217">
        <v>0.20896000000000001</v>
      </c>
      <c r="E217">
        <v>0.22309999999999999</v>
      </c>
      <c r="F217">
        <v>40342851.700000003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6.0476698683733813E-3</v>
      </c>
      <c r="Q217">
        <f t="shared" si="960"/>
        <v>243980.24863034586</v>
      </c>
      <c r="R217">
        <f t="shared" si="961"/>
        <v>1009783754.6374357</v>
      </c>
      <c r="S217">
        <f t="shared" si="962"/>
        <v>10097.837546374356</v>
      </c>
      <c r="T217">
        <f t="shared" si="963"/>
        <v>10.097837546374356</v>
      </c>
    </row>
    <row r="218" spans="1:20" x14ac:dyDescent="0.25">
      <c r="A218" s="5">
        <v>44375</v>
      </c>
      <c r="B218">
        <v>0.19239000000000001</v>
      </c>
      <c r="C218">
        <v>0.216</v>
      </c>
      <c r="D218">
        <v>0.18872</v>
      </c>
      <c r="E218">
        <v>0.20999000000000001</v>
      </c>
      <c r="F218">
        <v>48025102.899999999</v>
      </c>
      <c r="G218">
        <v>0</v>
      </c>
      <c r="L218" t="s">
        <v>8</v>
      </c>
      <c r="M218" t="s">
        <v>8</v>
      </c>
      <c r="N218" t="s">
        <v>7</v>
      </c>
      <c r="P218">
        <f t="shared" si="959"/>
        <v>0.55938416422287474</v>
      </c>
      <c r="Q218">
        <f t="shared" si="960"/>
        <v>26864482.047434058</v>
      </c>
      <c r="R218">
        <f t="shared" si="961"/>
        <v>1009539774.3888053</v>
      </c>
      <c r="S218">
        <f t="shared" si="962"/>
        <v>10095.397743888052</v>
      </c>
      <c r="T218">
        <f t="shared" si="963"/>
        <v>10.095397743888052</v>
      </c>
    </row>
    <row r="219" spans="1:20" x14ac:dyDescent="0.25">
      <c r="A219" s="5">
        <v>44374</v>
      </c>
      <c r="B219">
        <v>0.18670999999999999</v>
      </c>
      <c r="C219">
        <v>0.19816</v>
      </c>
      <c r="D219">
        <v>0.17874000000000001</v>
      </c>
      <c r="E219">
        <v>0.19228999999999999</v>
      </c>
      <c r="F219">
        <v>50387142</v>
      </c>
      <c r="G219">
        <v>0</v>
      </c>
      <c r="L219" t="s">
        <v>8</v>
      </c>
      <c r="M219" t="s">
        <v>7</v>
      </c>
      <c r="N219" t="s">
        <v>7</v>
      </c>
      <c r="P219">
        <f t="shared" si="959"/>
        <v>0.39546858908341748</v>
      </c>
      <c r="Q219">
        <f t="shared" si="960"/>
        <v>19926531.954685807</v>
      </c>
      <c r="R219">
        <f t="shared" si="961"/>
        <v>982675292.34137118</v>
      </c>
      <c r="S219">
        <f t="shared" si="962"/>
        <v>9826.752923413711</v>
      </c>
      <c r="T219">
        <f t="shared" si="963"/>
        <v>9.8267529234137108</v>
      </c>
    </row>
    <row r="220" spans="1:20" x14ac:dyDescent="0.25">
      <c r="A220" s="5">
        <v>44373</v>
      </c>
      <c r="B220">
        <v>0.18673999999999999</v>
      </c>
      <c r="C220">
        <v>0.19478000000000001</v>
      </c>
      <c r="D220">
        <v>0.17433000000000001</v>
      </c>
      <c r="E220">
        <v>0.18698000000000001</v>
      </c>
      <c r="F220">
        <v>47886246.200000003</v>
      </c>
      <c r="G220">
        <v>0</v>
      </c>
      <c r="L220" t="s">
        <v>7</v>
      </c>
      <c r="M220" t="s">
        <v>7</v>
      </c>
      <c r="N220" t="s">
        <v>7</v>
      </c>
      <c r="P220">
        <f t="shared" si="959"/>
        <v>0.2371638141809288</v>
      </c>
      <c r="Q220">
        <f t="shared" si="960"/>
        <v>11356884.795599008</v>
      </c>
      <c r="R220">
        <f t="shared" si="961"/>
        <v>962748760.38668537</v>
      </c>
      <c r="S220">
        <f t="shared" si="962"/>
        <v>9627.4876038668535</v>
      </c>
      <c r="T220">
        <f t="shared" si="963"/>
        <v>9.6274876038668538</v>
      </c>
    </row>
    <row r="221" spans="1:20" x14ac:dyDescent="0.25">
      <c r="A221" s="5">
        <v>44372</v>
      </c>
      <c r="B221">
        <v>0.21326999999999999</v>
      </c>
      <c r="C221">
        <v>0.21673999999999999</v>
      </c>
      <c r="D221">
        <v>0.18511</v>
      </c>
      <c r="E221">
        <v>0.18690000000000001</v>
      </c>
      <c r="F221">
        <v>46484058.399999999</v>
      </c>
      <c r="G221">
        <v>0</v>
      </c>
      <c r="L221" t="s">
        <v>7</v>
      </c>
      <c r="M221" t="s">
        <v>8</v>
      </c>
      <c r="N221" t="s">
        <v>7</v>
      </c>
      <c r="P221">
        <f t="shared" si="959"/>
        <v>-0.8868163136263032</v>
      </c>
      <c r="Q221">
        <f t="shared" si="960"/>
        <v>-41222821.312677793</v>
      </c>
      <c r="R221">
        <f t="shared" si="961"/>
        <v>951391875.59108639</v>
      </c>
      <c r="S221">
        <f t="shared" si="962"/>
        <v>9513.9187559108632</v>
      </c>
      <c r="T221">
        <f t="shared" si="963"/>
        <v>9.5139187559108631</v>
      </c>
    </row>
    <row r="222" spans="1:20" x14ac:dyDescent="0.25">
      <c r="A222" s="5">
        <v>44371</v>
      </c>
      <c r="B222">
        <v>0.20448</v>
      </c>
      <c r="C222">
        <v>0.21446000000000001</v>
      </c>
      <c r="D222">
        <v>0.19800000000000001</v>
      </c>
      <c r="E222">
        <v>0.21317</v>
      </c>
      <c r="F222">
        <v>58963625.299999997</v>
      </c>
      <c r="G222">
        <v>0</v>
      </c>
      <c r="L222" t="s">
        <v>7</v>
      </c>
      <c r="M222" t="s">
        <v>8</v>
      </c>
      <c r="N222" t="s">
        <v>7</v>
      </c>
      <c r="P222">
        <f t="shared" si="959"/>
        <v>0.84325637910084894</v>
      </c>
      <c r="Q222">
        <f t="shared" si="960"/>
        <v>49721453.169137202</v>
      </c>
      <c r="R222">
        <f t="shared" si="961"/>
        <v>992614696.90376413</v>
      </c>
      <c r="S222">
        <f t="shared" si="962"/>
        <v>9926.1469690376416</v>
      </c>
      <c r="T222">
        <f t="shared" si="963"/>
        <v>9.9261469690376423</v>
      </c>
    </row>
    <row r="223" spans="1:20" x14ac:dyDescent="0.25">
      <c r="A223" s="5">
        <v>44370</v>
      </c>
      <c r="B223">
        <v>0.18789</v>
      </c>
      <c r="C223">
        <v>0.21360999999999999</v>
      </c>
      <c r="D223">
        <v>0.18110000000000001</v>
      </c>
      <c r="E223">
        <v>0.20455000000000001</v>
      </c>
      <c r="F223">
        <v>74706898.599999994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0.44263303598892711</v>
      </c>
      <c r="Q223">
        <f t="shared" si="960"/>
        <v>33067741.336634926</v>
      </c>
      <c r="R223">
        <f t="shared" si="961"/>
        <v>942893243.73462689</v>
      </c>
      <c r="S223">
        <f t="shared" si="962"/>
        <v>9428.9324373462696</v>
      </c>
      <c r="T223">
        <f t="shared" si="963"/>
        <v>9.4289324373462691</v>
      </c>
    </row>
    <row r="224" spans="1:20" x14ac:dyDescent="0.25">
      <c r="A224" s="5">
        <v>44369</v>
      </c>
      <c r="B224">
        <v>0.19495000000000001</v>
      </c>
      <c r="C224">
        <v>0.21068999999999999</v>
      </c>
      <c r="D224">
        <v>0.15869</v>
      </c>
      <c r="E224">
        <v>0.18779999999999999</v>
      </c>
      <c r="F224">
        <v>65967313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0.11961538461538471</v>
      </c>
      <c r="Q224">
        <f t="shared" si="960"/>
        <v>7890705.5165384673</v>
      </c>
      <c r="R224">
        <f t="shared" si="961"/>
        <v>909825502.39799201</v>
      </c>
      <c r="S224">
        <f t="shared" si="962"/>
        <v>9098.2550239799202</v>
      </c>
      <c r="T224">
        <f t="shared" si="963"/>
        <v>9.0982550239799203</v>
      </c>
    </row>
    <row r="225" spans="1:20" x14ac:dyDescent="0.25">
      <c r="A225" s="5">
        <v>44368</v>
      </c>
      <c r="B225">
        <v>0.26118000000000002</v>
      </c>
      <c r="C225">
        <v>0.26344000000000001</v>
      </c>
      <c r="D225">
        <v>0.19</v>
      </c>
      <c r="E225">
        <v>0.19472</v>
      </c>
      <c r="F225">
        <v>64250726.399999999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-0.87145969498910669</v>
      </c>
      <c r="Q225">
        <f t="shared" si="960"/>
        <v>-55991918.431372546</v>
      </c>
      <c r="R225">
        <f t="shared" si="961"/>
        <v>901934796.88145351</v>
      </c>
      <c r="S225">
        <f t="shared" si="962"/>
        <v>9019.3479688145344</v>
      </c>
      <c r="T225">
        <f t="shared" si="963"/>
        <v>9.0193479688145342</v>
      </c>
    </row>
    <row r="226" spans="1:20" x14ac:dyDescent="0.25">
      <c r="A226" s="5">
        <v>44367</v>
      </c>
      <c r="B226">
        <v>0.25567000000000001</v>
      </c>
      <c r="C226">
        <v>0.26363999999999999</v>
      </c>
      <c r="D226">
        <v>0.23608999999999999</v>
      </c>
      <c r="E226">
        <v>0.26132</v>
      </c>
      <c r="F226">
        <v>44721066.5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0.83157894736842186</v>
      </c>
      <c r="Q226">
        <f t="shared" si="960"/>
        <v>37189097.405263193</v>
      </c>
      <c r="R226">
        <f t="shared" si="961"/>
        <v>957926715.31282604</v>
      </c>
      <c r="S226">
        <f t="shared" si="962"/>
        <v>9579.2671531282613</v>
      </c>
      <c r="T226">
        <f t="shared" si="963"/>
        <v>9.5792671531282618</v>
      </c>
    </row>
    <row r="227" spans="1:20" x14ac:dyDescent="0.25">
      <c r="A227" s="5">
        <v>44366</v>
      </c>
      <c r="B227">
        <v>0.26748</v>
      </c>
      <c r="C227">
        <v>0.27639000000000002</v>
      </c>
      <c r="D227">
        <v>0.25580999999999998</v>
      </c>
      <c r="E227">
        <v>0.25588</v>
      </c>
      <c r="F227">
        <v>46589227.799999997</v>
      </c>
      <c r="G227">
        <v>0</v>
      </c>
      <c r="L227" t="s">
        <v>8</v>
      </c>
      <c r="M227" t="s">
        <v>7</v>
      </c>
      <c r="N227" t="s">
        <v>7</v>
      </c>
      <c r="P227">
        <f t="shared" si="959"/>
        <v>-0.99319727891156329</v>
      </c>
      <c r="Q227">
        <f t="shared" si="960"/>
        <v>-46272294.277550958</v>
      </c>
      <c r="R227">
        <f t="shared" si="961"/>
        <v>920737617.90756285</v>
      </c>
      <c r="S227">
        <f t="shared" si="962"/>
        <v>9207.3761790756289</v>
      </c>
      <c r="T227">
        <f t="shared" si="963"/>
        <v>9.207376179075629</v>
      </c>
    </row>
    <row r="228" spans="1:20" x14ac:dyDescent="0.25">
      <c r="A228" s="5">
        <v>44365</v>
      </c>
      <c r="B228">
        <v>0.29260000000000003</v>
      </c>
      <c r="C228">
        <v>0.29631999999999997</v>
      </c>
      <c r="D228">
        <v>0.255</v>
      </c>
      <c r="E228">
        <v>0.26762000000000002</v>
      </c>
      <c r="F228">
        <v>53814751.5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-0.3891577928363974</v>
      </c>
      <c r="Q228">
        <f t="shared" si="960"/>
        <v>-20942429.915779207</v>
      </c>
      <c r="R228">
        <f t="shared" si="961"/>
        <v>967009912.18511379</v>
      </c>
      <c r="S228">
        <f t="shared" si="962"/>
        <v>9670.0991218511372</v>
      </c>
      <c r="T228">
        <f t="shared" si="963"/>
        <v>9.6700991218511376</v>
      </c>
    </row>
    <row r="229" spans="1:20" x14ac:dyDescent="0.25">
      <c r="A229" s="5">
        <v>44364</v>
      </c>
      <c r="B229">
        <v>0.29410999999999998</v>
      </c>
      <c r="C229">
        <v>0.31</v>
      </c>
      <c r="D229">
        <v>0.28050000000000003</v>
      </c>
      <c r="E229">
        <v>0.29255999999999999</v>
      </c>
      <c r="F229">
        <v>63027296.700000003</v>
      </c>
      <c r="G229">
        <v>0</v>
      </c>
      <c r="L229" t="s">
        <v>7</v>
      </c>
      <c r="M229" t="s">
        <v>8</v>
      </c>
      <c r="N229" t="s">
        <v>7</v>
      </c>
      <c r="P229">
        <f t="shared" si="959"/>
        <v>-0.18237288135593413</v>
      </c>
      <c r="Q229">
        <f t="shared" si="960"/>
        <v>-11494469.703254359</v>
      </c>
      <c r="R229">
        <f t="shared" si="961"/>
        <v>987952342.10089302</v>
      </c>
      <c r="S229">
        <f t="shared" si="962"/>
        <v>9879.5234210089311</v>
      </c>
      <c r="T229">
        <f t="shared" si="963"/>
        <v>9.8795234210089315</v>
      </c>
    </row>
    <row r="230" spans="1:20" x14ac:dyDescent="0.25">
      <c r="A230" s="5">
        <v>44363</v>
      </c>
      <c r="B230">
        <v>0.28963</v>
      </c>
      <c r="C230">
        <v>0.31083</v>
      </c>
      <c r="D230">
        <v>0.28000999999999998</v>
      </c>
      <c r="E230">
        <v>0.29432999999999998</v>
      </c>
      <c r="F230">
        <v>57924008.700000003</v>
      </c>
      <c r="G230">
        <v>0</v>
      </c>
      <c r="L230" t="s">
        <v>8</v>
      </c>
      <c r="M230" t="s">
        <v>8</v>
      </c>
      <c r="N230" t="s">
        <v>7</v>
      </c>
      <c r="P230">
        <f t="shared" si="959"/>
        <v>-7.0733290071382682E-2</v>
      </c>
      <c r="Q230">
        <f t="shared" si="960"/>
        <v>-4097155.7094743941</v>
      </c>
      <c r="R230">
        <f t="shared" si="961"/>
        <v>999446811.80414736</v>
      </c>
      <c r="S230">
        <f t="shared" si="962"/>
        <v>9994.4681180414736</v>
      </c>
      <c r="T230">
        <f t="shared" si="963"/>
        <v>9.9944681180414729</v>
      </c>
    </row>
    <row r="231" spans="1:20" x14ac:dyDescent="0.25">
      <c r="A231" s="5">
        <v>44362</v>
      </c>
      <c r="B231">
        <v>0.29137000000000002</v>
      </c>
      <c r="C231">
        <v>0.29949999999999999</v>
      </c>
      <c r="D231">
        <v>0.27861000000000002</v>
      </c>
      <c r="E231">
        <v>0.2903</v>
      </c>
      <c r="F231">
        <v>52480507.899999999</v>
      </c>
      <c r="G231">
        <v>0</v>
      </c>
      <c r="L231" t="s">
        <v>7</v>
      </c>
      <c r="M231" t="s">
        <v>8</v>
      </c>
      <c r="N231" t="s">
        <v>7</v>
      </c>
      <c r="P231">
        <f t="shared" si="959"/>
        <v>0.11919578745811377</v>
      </c>
      <c r="Q231">
        <f t="shared" si="960"/>
        <v>6255455.46534226</v>
      </c>
      <c r="R231">
        <f t="shared" si="961"/>
        <v>1003543967.5136218</v>
      </c>
      <c r="S231">
        <f t="shared" si="962"/>
        <v>10035.439675136218</v>
      </c>
      <c r="T231">
        <f t="shared" si="963"/>
        <v>10.035439675136219</v>
      </c>
    </row>
    <row r="232" spans="1:20" x14ac:dyDescent="0.25">
      <c r="A232" s="5">
        <v>44361</v>
      </c>
      <c r="B232">
        <v>0.28253</v>
      </c>
      <c r="C232">
        <v>0.30026999999999998</v>
      </c>
      <c r="D232">
        <v>0.27795999999999998</v>
      </c>
      <c r="E232">
        <v>0.29138999999999998</v>
      </c>
      <c r="F232">
        <v>35615612.5</v>
      </c>
      <c r="G232">
        <v>0</v>
      </c>
      <c r="L232" t="s">
        <v>8</v>
      </c>
      <c r="M232" t="s">
        <v>8</v>
      </c>
      <c r="N232" t="s">
        <v>7</v>
      </c>
      <c r="P232">
        <f t="shared" si="959"/>
        <v>0.20394441954280587</v>
      </c>
      <c r="Q232">
        <f t="shared" si="960"/>
        <v>7263605.4179740008</v>
      </c>
      <c r="R232">
        <f t="shared" si="961"/>
        <v>997288512.04827952</v>
      </c>
      <c r="S232">
        <f t="shared" si="962"/>
        <v>9972.8851204827952</v>
      </c>
      <c r="T232">
        <f t="shared" si="963"/>
        <v>9.9728851204827951</v>
      </c>
    </row>
    <row r="233" spans="1:20" x14ac:dyDescent="0.25">
      <c r="A233" s="5">
        <v>44360</v>
      </c>
      <c r="B233">
        <v>0.25478000000000001</v>
      </c>
      <c r="C233">
        <v>0.28802</v>
      </c>
      <c r="D233">
        <v>0.24864</v>
      </c>
      <c r="E233">
        <v>0.28271000000000002</v>
      </c>
      <c r="F233">
        <v>29612581.699999999</v>
      </c>
      <c r="G233">
        <v>0</v>
      </c>
      <c r="L233" t="s">
        <v>7</v>
      </c>
      <c r="M233" t="s">
        <v>7</v>
      </c>
      <c r="N233" t="s">
        <v>7</v>
      </c>
      <c r="P233">
        <f t="shared" si="959"/>
        <v>0.73031995937023964</v>
      </c>
      <c r="Q233">
        <f t="shared" si="960"/>
        <v>21626659.463991903</v>
      </c>
      <c r="R233">
        <f t="shared" si="961"/>
        <v>990024906.63030553</v>
      </c>
      <c r="S233">
        <f t="shared" si="962"/>
        <v>9900.2490663030549</v>
      </c>
      <c r="T233">
        <f t="shared" si="963"/>
        <v>9.9002490663030542</v>
      </c>
    </row>
    <row r="234" spans="1:20" x14ac:dyDescent="0.25">
      <c r="A234" s="5">
        <v>44359</v>
      </c>
      <c r="B234">
        <v>0.27146999999999999</v>
      </c>
      <c r="C234">
        <v>0.27543000000000001</v>
      </c>
      <c r="D234">
        <v>0.25246000000000002</v>
      </c>
      <c r="E234">
        <v>0.25456000000000001</v>
      </c>
      <c r="F234">
        <v>31004681.199999999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-0.81715280801044909</v>
      </c>
      <c r="Q234">
        <f t="shared" si="960"/>
        <v>-25335562.30404878</v>
      </c>
      <c r="R234">
        <f t="shared" si="961"/>
        <v>968398247.16631365</v>
      </c>
      <c r="S234">
        <f t="shared" si="962"/>
        <v>9683.9824716631356</v>
      </c>
      <c r="T234">
        <f t="shared" si="963"/>
        <v>9.6839824716631355</v>
      </c>
    </row>
    <row r="235" spans="1:20" x14ac:dyDescent="0.25">
      <c r="A235" s="5">
        <v>44358</v>
      </c>
      <c r="B235">
        <v>0.28633999999999998</v>
      </c>
      <c r="C235">
        <v>0.30499999999999999</v>
      </c>
      <c r="D235">
        <v>0.26829999999999998</v>
      </c>
      <c r="E235">
        <v>0.27146999999999999</v>
      </c>
      <c r="F235">
        <v>26600352.600000001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-0.82724795640326942</v>
      </c>
      <c r="Q235">
        <f t="shared" si="960"/>
        <v>-22005087.327956397</v>
      </c>
      <c r="R235">
        <f t="shared" si="961"/>
        <v>993733809.47036242</v>
      </c>
      <c r="S235">
        <f t="shared" si="962"/>
        <v>9937.3380947036239</v>
      </c>
      <c r="T235">
        <f t="shared" si="963"/>
        <v>9.9373380947036232</v>
      </c>
    </row>
    <row r="236" spans="1:20" x14ac:dyDescent="0.25">
      <c r="A236" s="5">
        <v>44357</v>
      </c>
      <c r="B236">
        <v>0.31462000000000001</v>
      </c>
      <c r="C236">
        <v>0.32024999999999998</v>
      </c>
      <c r="D236">
        <v>0.27976000000000001</v>
      </c>
      <c r="E236">
        <v>0.28610000000000002</v>
      </c>
      <c r="F236">
        <v>35156381</v>
      </c>
      <c r="G236">
        <v>0</v>
      </c>
      <c r="L236" t="s">
        <v>7</v>
      </c>
      <c r="M236" t="s">
        <v>7</v>
      </c>
      <c r="N236" t="s">
        <v>7</v>
      </c>
      <c r="P236">
        <f t="shared" si="959"/>
        <v>-0.68683625586564501</v>
      </c>
      <c r="Q236">
        <f t="shared" si="960"/>
        <v>-24146677.095826101</v>
      </c>
      <c r="R236">
        <f t="shared" si="961"/>
        <v>1015738896.7983189</v>
      </c>
      <c r="S236">
        <f t="shared" si="962"/>
        <v>10157.388967983188</v>
      </c>
      <c r="T236">
        <f t="shared" si="963"/>
        <v>10.157388967983188</v>
      </c>
    </row>
    <row r="237" spans="1:20" x14ac:dyDescent="0.25">
      <c r="A237" s="5">
        <v>44356</v>
      </c>
      <c r="B237">
        <v>0.31391999999999998</v>
      </c>
      <c r="C237">
        <v>0.33656000000000003</v>
      </c>
      <c r="D237">
        <v>0.29307</v>
      </c>
      <c r="E237">
        <v>0.31453999999999999</v>
      </c>
      <c r="F237">
        <v>48012883.200000003</v>
      </c>
      <c r="G237">
        <v>0</v>
      </c>
      <c r="L237" t="s">
        <v>8</v>
      </c>
      <c r="M237" t="s">
        <v>8</v>
      </c>
      <c r="N237" t="s">
        <v>7</v>
      </c>
      <c r="P237">
        <f t="shared" si="959"/>
        <v>-1.2646585421937228E-2</v>
      </c>
      <c r="Q237">
        <f t="shared" si="960"/>
        <v>-607199.02874229487</v>
      </c>
      <c r="R237">
        <f t="shared" si="961"/>
        <v>1039885573.894145</v>
      </c>
      <c r="S237">
        <f t="shared" si="962"/>
        <v>10398.855738941451</v>
      </c>
      <c r="T237">
        <f t="shared" si="963"/>
        <v>10.398855738941451</v>
      </c>
    </row>
    <row r="238" spans="1:20" x14ac:dyDescent="0.25">
      <c r="A238" s="5">
        <v>44355</v>
      </c>
      <c r="B238">
        <v>0.30647000000000002</v>
      </c>
      <c r="C238">
        <v>0.32462999999999997</v>
      </c>
      <c r="D238">
        <v>0.26001999999999997</v>
      </c>
      <c r="E238">
        <v>0.31507000000000002</v>
      </c>
      <c r="F238">
        <v>58447850.100000001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0.70407057731001521</v>
      </c>
      <c r="Q238">
        <f t="shared" si="960"/>
        <v>41151411.56243623</v>
      </c>
      <c r="R238">
        <f t="shared" si="961"/>
        <v>1040492772.9228873</v>
      </c>
      <c r="S238">
        <f t="shared" si="962"/>
        <v>10404.927729228873</v>
      </c>
      <c r="T238">
        <f t="shared" si="963"/>
        <v>10.404927729228874</v>
      </c>
    </row>
    <row r="239" spans="1:20" x14ac:dyDescent="0.25">
      <c r="A239" s="5">
        <v>44354</v>
      </c>
      <c r="B239">
        <v>0.35304000000000002</v>
      </c>
      <c r="C239">
        <v>0.37373000000000001</v>
      </c>
      <c r="D239">
        <v>0.30114999999999997</v>
      </c>
      <c r="E239">
        <v>0.30654999999999999</v>
      </c>
      <c r="F239">
        <v>42025373.5</v>
      </c>
      <c r="G239">
        <v>0</v>
      </c>
      <c r="L239" t="s">
        <v>7</v>
      </c>
      <c r="M239" t="s">
        <v>7</v>
      </c>
      <c r="N239" t="s">
        <v>7</v>
      </c>
      <c r="P239">
        <f t="shared" si="959"/>
        <v>-0.85119867732157584</v>
      </c>
      <c r="Q239">
        <f t="shared" si="960"/>
        <v>-35771942.337145202</v>
      </c>
      <c r="R239">
        <f t="shared" si="961"/>
        <v>999341361.3604511</v>
      </c>
      <c r="S239">
        <f t="shared" si="962"/>
        <v>9993.4136136045108</v>
      </c>
      <c r="T239">
        <f t="shared" si="963"/>
        <v>9.9934136136045115</v>
      </c>
    </row>
    <row r="240" spans="1:20" x14ac:dyDescent="0.25">
      <c r="A240" s="5">
        <v>44353</v>
      </c>
      <c r="B240">
        <v>0.35388999999999998</v>
      </c>
      <c r="C240">
        <v>0.37697999999999998</v>
      </c>
      <c r="D240">
        <v>0.33505000000000001</v>
      </c>
      <c r="E240">
        <v>0.35291</v>
      </c>
      <c r="F240">
        <v>45623983.100000001</v>
      </c>
      <c r="G240">
        <v>0</v>
      </c>
      <c r="L240" t="s">
        <v>7</v>
      </c>
      <c r="M240" t="s">
        <v>7</v>
      </c>
      <c r="N240" t="s">
        <v>8</v>
      </c>
      <c r="P240">
        <f t="shared" si="959"/>
        <v>-0.14810398282852369</v>
      </c>
      <c r="Q240">
        <f t="shared" si="960"/>
        <v>-6757093.6096112551</v>
      </c>
      <c r="R240">
        <f t="shared" si="961"/>
        <v>1035113303.6975963</v>
      </c>
      <c r="S240">
        <f t="shared" si="962"/>
        <v>10351.133036975963</v>
      </c>
      <c r="T240">
        <f t="shared" si="963"/>
        <v>10.351133036975963</v>
      </c>
    </row>
    <row r="241" spans="1:20" x14ac:dyDescent="0.25">
      <c r="A241" s="5">
        <v>44352</v>
      </c>
      <c r="B241">
        <v>0.36503000000000002</v>
      </c>
      <c r="C241">
        <v>0.43078</v>
      </c>
      <c r="D241">
        <v>0.3362</v>
      </c>
      <c r="E241">
        <v>0.35294999999999999</v>
      </c>
      <c r="F241">
        <v>57386698.399999999</v>
      </c>
      <c r="G241">
        <v>0</v>
      </c>
      <c r="L241" t="s">
        <v>8</v>
      </c>
      <c r="M241" t="s">
        <v>8</v>
      </c>
      <c r="N241" t="s">
        <v>8</v>
      </c>
      <c r="P241">
        <f t="shared" si="959"/>
        <v>-0.6458024952421233</v>
      </c>
      <c r="Q241">
        <f t="shared" si="960"/>
        <v>-37060473.020427167</v>
      </c>
      <c r="R241">
        <f t="shared" si="961"/>
        <v>1041870397.3072076</v>
      </c>
      <c r="S241">
        <f t="shared" si="962"/>
        <v>10418.703973072075</v>
      </c>
      <c r="T241">
        <f t="shared" si="963"/>
        <v>10.418703973072075</v>
      </c>
    </row>
    <row r="242" spans="1:20" x14ac:dyDescent="0.25">
      <c r="A242" s="5">
        <v>44351</v>
      </c>
      <c r="B242">
        <v>0.40703</v>
      </c>
      <c r="C242">
        <v>0.4103</v>
      </c>
      <c r="D242">
        <v>0.33156999999999998</v>
      </c>
      <c r="E242">
        <v>0.36598999999999998</v>
      </c>
      <c r="F242">
        <v>46907788.600000001</v>
      </c>
      <c r="G242">
        <v>0</v>
      </c>
      <c r="L242" t="s">
        <v>7</v>
      </c>
      <c r="M242" t="s">
        <v>7</v>
      </c>
      <c r="N242" t="s">
        <v>8</v>
      </c>
      <c r="P242">
        <f t="shared" si="959"/>
        <v>-0.12561920487742928</v>
      </c>
      <c r="Q242">
        <f t="shared" si="960"/>
        <v>-5892519.1064905422</v>
      </c>
      <c r="R242">
        <f t="shared" si="961"/>
        <v>1078930870.3276348</v>
      </c>
      <c r="S242">
        <f t="shared" si="962"/>
        <v>10789.308703276349</v>
      </c>
      <c r="T242">
        <f t="shared" si="963"/>
        <v>10.789308703276349</v>
      </c>
    </row>
    <row r="243" spans="1:20" x14ac:dyDescent="0.25">
      <c r="A243" s="5">
        <v>44350</v>
      </c>
      <c r="B243">
        <v>0.35116999999999998</v>
      </c>
      <c r="C243">
        <v>0.43890000000000001</v>
      </c>
      <c r="D243">
        <v>0.34717999999999999</v>
      </c>
      <c r="E243">
        <v>0.40705000000000002</v>
      </c>
      <c r="F243">
        <v>73672930.599999994</v>
      </c>
      <c r="G243">
        <v>0</v>
      </c>
      <c r="L243" t="s">
        <v>8</v>
      </c>
      <c r="M243" t="s">
        <v>8</v>
      </c>
      <c r="N243" t="s">
        <v>8</v>
      </c>
      <c r="P243">
        <f t="shared" si="959"/>
        <v>0.30549498473615394</v>
      </c>
      <c r="Q243">
        <f t="shared" si="960"/>
        <v>22506710.809114728</v>
      </c>
      <c r="R243">
        <f t="shared" si="961"/>
        <v>1084823389.4341254</v>
      </c>
      <c r="S243">
        <f t="shared" si="962"/>
        <v>10848.233894341254</v>
      </c>
      <c r="T243">
        <f t="shared" si="963"/>
        <v>10.848233894341254</v>
      </c>
    </row>
    <row r="244" spans="1:20" x14ac:dyDescent="0.25">
      <c r="A244" s="5">
        <v>44349</v>
      </c>
      <c r="B244">
        <v>0.32662999999999998</v>
      </c>
      <c r="C244">
        <v>0.35858000000000001</v>
      </c>
      <c r="D244">
        <v>0.31223000000000001</v>
      </c>
      <c r="E244">
        <v>0.35097</v>
      </c>
      <c r="F244">
        <v>70188295.299999997</v>
      </c>
      <c r="G244">
        <v>0</v>
      </c>
      <c r="L244" t="s">
        <v>8</v>
      </c>
      <c r="M244" t="s">
        <v>8</v>
      </c>
      <c r="N244" t="s">
        <v>8</v>
      </c>
      <c r="P244">
        <f t="shared" si="959"/>
        <v>0.67162891046386164</v>
      </c>
      <c r="Q244">
        <f t="shared" si="960"/>
        <v>47140488.299654782</v>
      </c>
      <c r="R244">
        <f t="shared" si="961"/>
        <v>1062316678.6250107</v>
      </c>
      <c r="S244">
        <f t="shared" si="962"/>
        <v>10623.166786250107</v>
      </c>
      <c r="T244">
        <f t="shared" si="963"/>
        <v>10.623166786250108</v>
      </c>
    </row>
    <row r="245" spans="1:20" x14ac:dyDescent="0.25">
      <c r="A245" s="5">
        <v>44348</v>
      </c>
      <c r="B245">
        <v>0.32699</v>
      </c>
      <c r="C245">
        <v>0.33945999999999998</v>
      </c>
      <c r="D245">
        <v>0.31</v>
      </c>
      <c r="E245">
        <v>0.32699</v>
      </c>
      <c r="F245">
        <v>88773693.299999997</v>
      </c>
      <c r="G245">
        <v>0</v>
      </c>
      <c r="L245" t="s">
        <v>7</v>
      </c>
      <c r="M245" t="s">
        <v>8</v>
      </c>
      <c r="N245" t="s">
        <v>8</v>
      </c>
      <c r="P245">
        <f t="shared" si="959"/>
        <v>0.15342837746096491</v>
      </c>
      <c r="Q245">
        <f t="shared" si="960"/>
        <v>13620403.724236332</v>
      </c>
      <c r="R245">
        <f t="shared" si="961"/>
        <v>1015176190.325356</v>
      </c>
      <c r="S245">
        <f t="shared" si="962"/>
        <v>10151.76190325356</v>
      </c>
      <c r="T245">
        <f t="shared" si="963"/>
        <v>10.15176190325356</v>
      </c>
    </row>
    <row r="246" spans="1:20" x14ac:dyDescent="0.25">
      <c r="A246" s="5">
        <v>44347</v>
      </c>
      <c r="B246">
        <v>0.31158000000000002</v>
      </c>
      <c r="C246">
        <v>0.33800000000000002</v>
      </c>
      <c r="D246">
        <v>0.28709000000000001</v>
      </c>
      <c r="E246">
        <v>0.32774999999999999</v>
      </c>
      <c r="F246">
        <v>49256574.399999999</v>
      </c>
      <c r="G246">
        <v>0</v>
      </c>
      <c r="L246" t="s">
        <v>8</v>
      </c>
      <c r="M246" t="s">
        <v>8</v>
      </c>
      <c r="N246" t="s">
        <v>8</v>
      </c>
      <c r="P246">
        <f t="shared" si="959"/>
        <v>0.59732861913179991</v>
      </c>
      <c r="Q246">
        <f t="shared" si="960"/>
        <v>29422361.569514766</v>
      </c>
      <c r="R246">
        <f t="shared" si="961"/>
        <v>1001555786.6011196</v>
      </c>
      <c r="S246">
        <f t="shared" si="962"/>
        <v>10015.557866011197</v>
      </c>
      <c r="T246">
        <f t="shared" si="963"/>
        <v>10.015557866011196</v>
      </c>
    </row>
    <row r="247" spans="1:20" x14ac:dyDescent="0.25">
      <c r="A247" s="5">
        <v>44346</v>
      </c>
      <c r="B247">
        <v>0.28188000000000002</v>
      </c>
      <c r="C247">
        <v>0.33</v>
      </c>
      <c r="D247">
        <v>0.26185000000000003</v>
      </c>
      <c r="E247">
        <v>0.30984</v>
      </c>
      <c r="F247">
        <v>49787691.899999999</v>
      </c>
      <c r="G247">
        <v>0</v>
      </c>
      <c r="L247" t="s">
        <v>7</v>
      </c>
      <c r="M247" t="s">
        <v>7</v>
      </c>
      <c r="N247" t="s">
        <v>8</v>
      </c>
      <c r="P247">
        <f t="shared" si="959"/>
        <v>0.40836390315480514</v>
      </c>
      <c r="Q247">
        <f t="shared" si="960"/>
        <v>20331496.193352874</v>
      </c>
      <c r="R247">
        <f t="shared" si="961"/>
        <v>972133425.03160489</v>
      </c>
      <c r="S247">
        <f t="shared" si="962"/>
        <v>9721.3342503160493</v>
      </c>
      <c r="T247">
        <f t="shared" si="963"/>
        <v>9.7213342503160494</v>
      </c>
    </row>
    <row r="248" spans="1:20" x14ac:dyDescent="0.25">
      <c r="A248" s="5">
        <v>44345</v>
      </c>
      <c r="B248">
        <v>0.31395000000000001</v>
      </c>
      <c r="C248">
        <v>0.34777999999999998</v>
      </c>
      <c r="D248">
        <v>0.26363999999999999</v>
      </c>
      <c r="E248">
        <v>0.28186</v>
      </c>
      <c r="F248">
        <v>146793122.80000001</v>
      </c>
      <c r="G248">
        <v>0</v>
      </c>
      <c r="L248" t="s">
        <v>8</v>
      </c>
      <c r="M248" t="s">
        <v>8</v>
      </c>
      <c r="N248" t="s">
        <v>8</v>
      </c>
      <c r="P248">
        <f t="shared" si="959"/>
        <v>-0.56691228904207236</v>
      </c>
      <c r="Q248">
        <f t="shared" si="960"/>
        <v>-83218825.262182027</v>
      </c>
      <c r="R248">
        <f t="shared" si="961"/>
        <v>951801928.83825207</v>
      </c>
      <c r="S248">
        <f t="shared" si="962"/>
        <v>9518.0192883825202</v>
      </c>
      <c r="T248">
        <f t="shared" si="963"/>
        <v>9.5180192883825203</v>
      </c>
    </row>
    <row r="249" spans="1:20" x14ac:dyDescent="0.25">
      <c r="A249" s="5">
        <v>44344</v>
      </c>
      <c r="B249">
        <v>0.29608000000000001</v>
      </c>
      <c r="C249">
        <v>0.33900000000000002</v>
      </c>
      <c r="D249">
        <v>0.24367</v>
      </c>
      <c r="E249">
        <v>0.31372</v>
      </c>
      <c r="F249">
        <v>102859476.8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0.46963180530787751</v>
      </c>
      <c r="Q249">
        <f t="shared" si="960"/>
        <v>48306081.782607742</v>
      </c>
      <c r="R249">
        <f t="shared" si="961"/>
        <v>1035020754.1004341</v>
      </c>
      <c r="S249">
        <f t="shared" si="962"/>
        <v>10350.20754100434</v>
      </c>
      <c r="T249">
        <f t="shared" si="963"/>
        <v>10.350207541004339</v>
      </c>
    </row>
    <row r="250" spans="1:20" x14ac:dyDescent="0.25">
      <c r="A250" s="5">
        <v>44343</v>
      </c>
      <c r="B250">
        <v>0.33307999999999999</v>
      </c>
      <c r="C250">
        <v>0.33616000000000001</v>
      </c>
      <c r="D250">
        <v>0.28999999999999998</v>
      </c>
      <c r="E250">
        <v>0.29591000000000001</v>
      </c>
      <c r="F250">
        <v>52178830.299999997</v>
      </c>
      <c r="G250">
        <v>0</v>
      </c>
      <c r="L250" t="s">
        <v>7</v>
      </c>
      <c r="M250" t="s">
        <v>7</v>
      </c>
      <c r="N250" t="s">
        <v>8</v>
      </c>
      <c r="P250">
        <f t="shared" si="959"/>
        <v>-0.7439341421143838</v>
      </c>
      <c r="Q250">
        <f t="shared" si="960"/>
        <v>-38817613.355762511</v>
      </c>
      <c r="R250">
        <f t="shared" si="961"/>
        <v>986714672.31782627</v>
      </c>
      <c r="S250">
        <f t="shared" si="962"/>
        <v>9867.1467231782626</v>
      </c>
      <c r="T250">
        <f t="shared" si="963"/>
        <v>9.8671467231782621</v>
      </c>
    </row>
    <row r="251" spans="1:20" x14ac:dyDescent="0.25">
      <c r="A251" s="5">
        <v>44342</v>
      </c>
      <c r="B251">
        <v>0.27850999999999998</v>
      </c>
      <c r="C251">
        <v>0.34298000000000001</v>
      </c>
      <c r="D251">
        <v>0.26578000000000002</v>
      </c>
      <c r="E251">
        <v>0.33352999999999999</v>
      </c>
      <c r="F251">
        <v>73093327.099999994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0.75518134715025864</v>
      </c>
      <c r="Q251">
        <f t="shared" si="960"/>
        <v>55198717.2270725</v>
      </c>
      <c r="R251">
        <f t="shared" si="961"/>
        <v>1025532285.6735888</v>
      </c>
      <c r="S251">
        <f t="shared" si="962"/>
        <v>10255.322856735887</v>
      </c>
      <c r="T251">
        <f t="shared" si="963"/>
        <v>10.255322856735887</v>
      </c>
    </row>
    <row r="252" spans="1:20" x14ac:dyDescent="0.25">
      <c r="A252" s="5">
        <v>44341</v>
      </c>
      <c r="B252">
        <v>0.28787000000000001</v>
      </c>
      <c r="C252">
        <v>0.30147000000000002</v>
      </c>
      <c r="D252">
        <v>0.24228</v>
      </c>
      <c r="E252">
        <v>0.27909</v>
      </c>
      <c r="F252">
        <v>62732163.799999997</v>
      </c>
      <c r="G252">
        <v>0</v>
      </c>
      <c r="L252" t="s">
        <v>7</v>
      </c>
      <c r="M252" t="s">
        <v>7</v>
      </c>
      <c r="N252" t="s">
        <v>8</v>
      </c>
      <c r="P252">
        <f t="shared" si="959"/>
        <v>0.2437911809427267</v>
      </c>
      <c r="Q252">
        <f t="shared" si="960"/>
        <v>15293548.295894569</v>
      </c>
      <c r="R252">
        <f t="shared" si="961"/>
        <v>970333568.44651628</v>
      </c>
      <c r="S252">
        <f t="shared" si="962"/>
        <v>9703.3356844651626</v>
      </c>
      <c r="T252">
        <f t="shared" si="963"/>
        <v>9.7033356844651628</v>
      </c>
    </row>
    <row r="253" spans="1:20" x14ac:dyDescent="0.25">
      <c r="A253" s="5">
        <v>44340</v>
      </c>
      <c r="B253">
        <v>0.21259</v>
      </c>
      <c r="C253">
        <v>0.29998999999999998</v>
      </c>
      <c r="D253">
        <v>0.20522000000000001</v>
      </c>
      <c r="E253">
        <v>0.28716000000000003</v>
      </c>
      <c r="F253">
        <v>70908900.5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0.72923921072069309</v>
      </c>
      <c r="Q253">
        <f t="shared" si="960"/>
        <v>51709550.63369216</v>
      </c>
      <c r="R253">
        <f t="shared" si="961"/>
        <v>955040020.15062165</v>
      </c>
      <c r="S253">
        <f t="shared" si="962"/>
        <v>9550.400201506216</v>
      </c>
      <c r="T253">
        <f t="shared" si="963"/>
        <v>9.5504002015062159</v>
      </c>
    </row>
    <row r="254" spans="1:20" x14ac:dyDescent="0.25">
      <c r="A254" s="5">
        <v>44339</v>
      </c>
      <c r="B254">
        <v>0.24847</v>
      </c>
      <c r="C254">
        <v>0.2641</v>
      </c>
      <c r="D254">
        <v>0.17141000000000001</v>
      </c>
      <c r="E254">
        <v>0.21257999999999999</v>
      </c>
      <c r="F254">
        <v>64196712.600000001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-0.11166253101737002</v>
      </c>
      <c r="Q254">
        <f t="shared" si="960"/>
        <v>-7168367.4119106885</v>
      </c>
      <c r="R254">
        <f t="shared" si="961"/>
        <v>903330469.51692951</v>
      </c>
      <c r="S254">
        <f t="shared" si="962"/>
        <v>9033.3046951692959</v>
      </c>
      <c r="T254">
        <f t="shared" si="963"/>
        <v>9.0333046951692957</v>
      </c>
    </row>
    <row r="255" spans="1:20" x14ac:dyDescent="0.25">
      <c r="A255" s="5">
        <v>44338</v>
      </c>
      <c r="B255">
        <v>0.29086000000000001</v>
      </c>
      <c r="C255">
        <v>0.29375000000000001</v>
      </c>
      <c r="D255">
        <v>0.2452</v>
      </c>
      <c r="E255">
        <v>0.24842</v>
      </c>
      <c r="F255">
        <v>60844702.200000003</v>
      </c>
      <c r="G255">
        <v>0</v>
      </c>
      <c r="L255" t="s">
        <v>8</v>
      </c>
      <c r="M255" t="s">
        <v>7</v>
      </c>
      <c r="N255" t="s">
        <v>7</v>
      </c>
      <c r="P255">
        <f t="shared" si="959"/>
        <v>-0.86735324407826986</v>
      </c>
      <c r="Q255">
        <f t="shared" si="960"/>
        <v>-52773849.838146247</v>
      </c>
      <c r="R255">
        <f t="shared" si="961"/>
        <v>910498836.92884016</v>
      </c>
      <c r="S255">
        <f t="shared" si="962"/>
        <v>9104.9883692884014</v>
      </c>
      <c r="T255">
        <f t="shared" si="963"/>
        <v>9.1049883692884013</v>
      </c>
    </row>
    <row r="256" spans="1:20" x14ac:dyDescent="0.25">
      <c r="A256" s="5">
        <v>44337</v>
      </c>
      <c r="B256">
        <v>0.34721999999999997</v>
      </c>
      <c r="C256">
        <v>0.36337000000000003</v>
      </c>
      <c r="D256">
        <v>0.25</v>
      </c>
      <c r="E256">
        <v>0.29188999999999998</v>
      </c>
      <c r="F256">
        <v>49673834.299999997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-0.26100379289053588</v>
      </c>
      <c r="Q256">
        <f t="shared" si="960"/>
        <v>-12965059.159715997</v>
      </c>
      <c r="R256">
        <f t="shared" si="961"/>
        <v>963272686.76698637</v>
      </c>
      <c r="S256">
        <f t="shared" si="962"/>
        <v>9632.7268676698641</v>
      </c>
      <c r="T256">
        <f t="shared" si="963"/>
        <v>9.6327268676698647</v>
      </c>
    </row>
    <row r="257" spans="1:20" x14ac:dyDescent="0.25">
      <c r="A257" s="5">
        <v>44336</v>
      </c>
      <c r="B257">
        <v>0.32634000000000002</v>
      </c>
      <c r="C257">
        <v>0.39927000000000001</v>
      </c>
      <c r="D257">
        <v>0.28422999999999998</v>
      </c>
      <c r="E257">
        <v>0.34948000000000001</v>
      </c>
      <c r="F257">
        <v>48098558.399999999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0.13438803894297657</v>
      </c>
      <c r="Q257">
        <f t="shared" si="960"/>
        <v>6463870.939360233</v>
      </c>
      <c r="R257">
        <f t="shared" si="961"/>
        <v>976237745.92670238</v>
      </c>
      <c r="S257">
        <f t="shared" si="962"/>
        <v>9762.3774592670234</v>
      </c>
      <c r="T257">
        <f t="shared" si="963"/>
        <v>9.7623774592670234</v>
      </c>
    </row>
    <row r="258" spans="1:20" x14ac:dyDescent="0.25">
      <c r="A258" s="5">
        <v>44335</v>
      </c>
      <c r="B258">
        <v>0.50892999999999999</v>
      </c>
      <c r="C258">
        <v>0.51424000000000003</v>
      </c>
      <c r="D258">
        <v>0.24789</v>
      </c>
      <c r="E258">
        <v>0.32774999999999999</v>
      </c>
      <c r="F258">
        <v>70577592.400000006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-0.40033790125774377</v>
      </c>
      <c r="Q258">
        <f t="shared" si="960"/>
        <v>-28254885.21724049</v>
      </c>
      <c r="R258">
        <f t="shared" si="961"/>
        <v>969773874.98734212</v>
      </c>
      <c r="S258">
        <f t="shared" si="962"/>
        <v>9697.7387498734206</v>
      </c>
      <c r="T258">
        <f t="shared" si="963"/>
        <v>9.6977387498734213</v>
      </c>
    </row>
    <row r="259" spans="1:20" x14ac:dyDescent="0.25">
      <c r="A259" s="5">
        <v>44334</v>
      </c>
      <c r="B259">
        <v>0.43346000000000001</v>
      </c>
      <c r="C259">
        <v>0.54800000000000004</v>
      </c>
      <c r="D259">
        <v>0.42687000000000003</v>
      </c>
      <c r="E259">
        <v>0.50893999999999995</v>
      </c>
      <c r="F259">
        <v>69577263.700000003</v>
      </c>
      <c r="G259">
        <v>0</v>
      </c>
      <c r="L259" t="s">
        <v>8</v>
      </c>
      <c r="M259" t="s">
        <v>8</v>
      </c>
      <c r="N259" t="s">
        <v>7</v>
      </c>
      <c r="P259">
        <f t="shared" si="959"/>
        <v>0.35507306199950317</v>
      </c>
      <c r="Q259">
        <f t="shared" si="960"/>
        <v>24705012.067505881</v>
      </c>
      <c r="R259">
        <f t="shared" si="961"/>
        <v>998028760.20458257</v>
      </c>
      <c r="S259">
        <f t="shared" si="962"/>
        <v>9980.2876020458261</v>
      </c>
      <c r="T259">
        <f t="shared" si="963"/>
        <v>9.9802876020458253</v>
      </c>
    </row>
    <row r="260" spans="1:20" x14ac:dyDescent="0.25">
      <c r="A260" s="5">
        <v>44333</v>
      </c>
      <c r="B260">
        <v>0.46327000000000002</v>
      </c>
      <c r="C260">
        <v>0.47017999999999999</v>
      </c>
      <c r="D260">
        <v>0.40922999999999998</v>
      </c>
      <c r="E260">
        <v>0.43345</v>
      </c>
      <c r="F260">
        <v>29348155.100000001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-0.20525020508613559</v>
      </c>
      <c r="Q260">
        <f t="shared" si="960"/>
        <v>-6023714.8531747162</v>
      </c>
      <c r="R260">
        <f t="shared" si="961"/>
        <v>973323748.13707674</v>
      </c>
      <c r="S260">
        <f t="shared" si="962"/>
        <v>9733.2374813707665</v>
      </c>
      <c r="T260">
        <f t="shared" si="963"/>
        <v>9.7332374813707663</v>
      </c>
    </row>
    <row r="261" spans="1:20" x14ac:dyDescent="0.25">
      <c r="A261" s="5">
        <v>44332</v>
      </c>
      <c r="B261">
        <v>0.47938999999999998</v>
      </c>
      <c r="C261">
        <v>0.57650999999999997</v>
      </c>
      <c r="D261">
        <v>0.43301000000000001</v>
      </c>
      <c r="E261">
        <v>0.46339999999999998</v>
      </c>
      <c r="F261">
        <v>70761652.200000003</v>
      </c>
      <c r="G261">
        <v>0</v>
      </c>
      <c r="L261" t="s">
        <v>8</v>
      </c>
      <c r="M261" t="s">
        <v>8</v>
      </c>
      <c r="N261" t="s">
        <v>8</v>
      </c>
      <c r="P261">
        <f t="shared" si="959"/>
        <v>-0.57644599303135913</v>
      </c>
      <c r="Q261">
        <f t="shared" si="960"/>
        <v>-40790270.870968662</v>
      </c>
      <c r="R261">
        <f t="shared" si="961"/>
        <v>979347462.99025142</v>
      </c>
      <c r="S261">
        <f t="shared" si="962"/>
        <v>9793.4746299025137</v>
      </c>
      <c r="T261">
        <f t="shared" si="963"/>
        <v>9.7934746299025139</v>
      </c>
    </row>
    <row r="262" spans="1:20" x14ac:dyDescent="0.25">
      <c r="A262" s="5">
        <v>44331</v>
      </c>
      <c r="B262">
        <v>0.47249000000000002</v>
      </c>
      <c r="C262">
        <v>0.53776000000000002</v>
      </c>
      <c r="D262">
        <v>0.43047000000000002</v>
      </c>
      <c r="E262">
        <v>0.47902</v>
      </c>
      <c r="F262">
        <v>54751662.399999999</v>
      </c>
      <c r="G262">
        <v>0</v>
      </c>
      <c r="L262" t="s">
        <v>8</v>
      </c>
      <c r="M262" t="s">
        <v>8</v>
      </c>
      <c r="N262" t="s">
        <v>7</v>
      </c>
      <c r="P262">
        <f t="shared" ref="P262:P325" si="964">IF(C262=D262,0,((E262-D262)-(C262-E262))/(C262-D262))</f>
        <v>-9.4976232640507335E-2</v>
      </c>
      <c r="Q262">
        <f t="shared" ref="Q262:Q325" si="965">F262*P262</f>
        <v>-5200106.6255569179</v>
      </c>
      <c r="R262">
        <f t="shared" ref="R262:R325" si="966">R263+Q262</f>
        <v>1020137733.8612201</v>
      </c>
      <c r="S262">
        <f t="shared" ref="S262:S325" si="967">R262/100000</f>
        <v>10201.377338612201</v>
      </c>
      <c r="T262">
        <f t="shared" ref="T262:T325" si="968">S262/1000</f>
        <v>10.2013773386122</v>
      </c>
    </row>
    <row r="263" spans="1:20" x14ac:dyDescent="0.25">
      <c r="A263" s="5">
        <v>44330</v>
      </c>
      <c r="B263">
        <v>0.44690999999999997</v>
      </c>
      <c r="C263">
        <v>0.50431999999999999</v>
      </c>
      <c r="D263">
        <v>0.44408999999999998</v>
      </c>
      <c r="E263">
        <v>0.47341</v>
      </c>
      <c r="F263">
        <v>32459023.199999999</v>
      </c>
      <c r="G263">
        <v>0</v>
      </c>
      <c r="L263" t="s">
        <v>8</v>
      </c>
      <c r="M263" t="s">
        <v>8</v>
      </c>
      <c r="N263" t="s">
        <v>7</v>
      </c>
      <c r="P263">
        <f t="shared" si="964"/>
        <v>-2.6398804582433672E-2</v>
      </c>
      <c r="Q263">
        <f t="shared" si="965"/>
        <v>-856879.41039348091</v>
      </c>
      <c r="R263">
        <f t="shared" si="966"/>
        <v>1025337840.4867771</v>
      </c>
      <c r="S263">
        <f t="shared" si="967"/>
        <v>10253.37840486777</v>
      </c>
      <c r="T263">
        <f t="shared" si="968"/>
        <v>10.253378404867769</v>
      </c>
    </row>
    <row r="264" spans="1:20" x14ac:dyDescent="0.25">
      <c r="A264" s="5">
        <v>44329</v>
      </c>
      <c r="B264">
        <v>0.44538</v>
      </c>
      <c r="C264">
        <v>0.48948000000000003</v>
      </c>
      <c r="D264">
        <v>0.41183999999999998</v>
      </c>
      <c r="E264">
        <v>0.44661000000000001</v>
      </c>
      <c r="F264">
        <v>34151224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-0.10432766615146821</v>
      </c>
      <c r="Q264">
        <f t="shared" si="965"/>
        <v>-3562917.4961360088</v>
      </c>
      <c r="R264">
        <f t="shared" si="966"/>
        <v>1026194719.8971705</v>
      </c>
      <c r="S264">
        <f t="shared" si="967"/>
        <v>10261.947198971706</v>
      </c>
      <c r="T264">
        <f t="shared" si="968"/>
        <v>10.261947198971706</v>
      </c>
    </row>
    <row r="265" spans="1:20" x14ac:dyDescent="0.25">
      <c r="A265" s="5">
        <v>44328</v>
      </c>
      <c r="B265">
        <v>0.54466000000000003</v>
      </c>
      <c r="C265">
        <v>0.55420999999999998</v>
      </c>
      <c r="D265">
        <v>0.43876999999999999</v>
      </c>
      <c r="E265">
        <v>0.44540000000000002</v>
      </c>
      <c r="F265">
        <v>24319436.699999999</v>
      </c>
      <c r="G265">
        <v>0</v>
      </c>
      <c r="L265" t="s">
        <v>7</v>
      </c>
      <c r="M265" t="s">
        <v>7</v>
      </c>
      <c r="N265" t="s">
        <v>7</v>
      </c>
      <c r="P265">
        <f t="shared" si="964"/>
        <v>-0.88513513513513464</v>
      </c>
      <c r="Q265">
        <f t="shared" si="965"/>
        <v>-21525987.889864851</v>
      </c>
      <c r="R265">
        <f t="shared" si="966"/>
        <v>1029757637.3933065</v>
      </c>
      <c r="S265">
        <f t="shared" si="967"/>
        <v>10297.576373933065</v>
      </c>
      <c r="T265">
        <f t="shared" si="968"/>
        <v>10.297576373933065</v>
      </c>
    </row>
    <row r="266" spans="1:20" x14ac:dyDescent="0.25">
      <c r="A266" s="5">
        <v>44327</v>
      </c>
      <c r="B266">
        <v>0.49006</v>
      </c>
      <c r="C266">
        <v>0.57149000000000005</v>
      </c>
      <c r="D266">
        <v>0.46394999999999997</v>
      </c>
      <c r="E266">
        <v>0.54403999999999997</v>
      </c>
      <c r="F266">
        <v>31514596.100000001</v>
      </c>
      <c r="G266">
        <v>0</v>
      </c>
      <c r="L266" t="s">
        <v>8</v>
      </c>
      <c r="M266" t="s">
        <v>8</v>
      </c>
      <c r="N266" t="s">
        <v>7</v>
      </c>
      <c r="P266">
        <f t="shared" si="964"/>
        <v>0.48949228194160194</v>
      </c>
      <c r="Q266">
        <f t="shared" si="965"/>
        <v>15426151.559456909</v>
      </c>
      <c r="R266">
        <f t="shared" si="966"/>
        <v>1051283625.2831713</v>
      </c>
      <c r="S266">
        <f t="shared" si="967"/>
        <v>10512.836252831714</v>
      </c>
      <c r="T266">
        <f t="shared" si="968"/>
        <v>10.512836252831715</v>
      </c>
    </row>
    <row r="267" spans="1:20" x14ac:dyDescent="0.25">
      <c r="A267" s="5">
        <v>44326</v>
      </c>
      <c r="B267">
        <v>0.53117999999999999</v>
      </c>
      <c r="C267">
        <v>0.57799999999999996</v>
      </c>
      <c r="D267">
        <v>0.44550000000000001</v>
      </c>
      <c r="E267">
        <v>0.48977999999999999</v>
      </c>
      <c r="F267">
        <v>38813602.600000001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-0.33162264150943394</v>
      </c>
      <c r="Q267">
        <f t="shared" si="965"/>
        <v>-12871469.420709433</v>
      </c>
      <c r="R267">
        <f t="shared" si="966"/>
        <v>1035857473.7237144</v>
      </c>
      <c r="S267">
        <f t="shared" si="967"/>
        <v>10358.574737237144</v>
      </c>
      <c r="T267">
        <f t="shared" si="968"/>
        <v>10.358574737237145</v>
      </c>
    </row>
    <row r="268" spans="1:20" x14ac:dyDescent="0.25">
      <c r="A268" s="5">
        <v>44325</v>
      </c>
      <c r="B268">
        <v>0.55479999999999996</v>
      </c>
      <c r="C268">
        <v>0.55723</v>
      </c>
      <c r="D268">
        <v>0.51036000000000004</v>
      </c>
      <c r="E268">
        <v>0.53163000000000005</v>
      </c>
      <c r="F268">
        <v>26959336.399999999</v>
      </c>
      <c r="G268">
        <v>0</v>
      </c>
      <c r="L268" t="s">
        <v>7</v>
      </c>
      <c r="M268" t="s">
        <v>7</v>
      </c>
      <c r="N268" t="s">
        <v>7</v>
      </c>
      <c r="P268">
        <f t="shared" si="964"/>
        <v>-9.2383187540003159E-2</v>
      </c>
      <c r="Q268">
        <f t="shared" si="965"/>
        <v>-2490589.4305952336</v>
      </c>
      <c r="R268">
        <f t="shared" si="966"/>
        <v>1048728943.1444238</v>
      </c>
      <c r="S268">
        <f t="shared" si="967"/>
        <v>10487.289431444238</v>
      </c>
      <c r="T268">
        <f t="shared" si="968"/>
        <v>10.487289431444239</v>
      </c>
    </row>
    <row r="269" spans="1:20" x14ac:dyDescent="0.25">
      <c r="A269" s="5">
        <v>44324</v>
      </c>
      <c r="B269">
        <v>0.57054000000000005</v>
      </c>
      <c r="C269">
        <v>0.58328000000000002</v>
      </c>
      <c r="D269">
        <v>0.54103999999999997</v>
      </c>
      <c r="E269">
        <v>0.55481999999999998</v>
      </c>
      <c r="F269">
        <v>23132168.199999999</v>
      </c>
      <c r="G269">
        <v>0</v>
      </c>
      <c r="L269" t="s">
        <v>8</v>
      </c>
      <c r="M269" t="s">
        <v>7</v>
      </c>
      <c r="N269" t="s">
        <v>8</v>
      </c>
      <c r="P269">
        <f t="shared" si="964"/>
        <v>-0.34753787878787895</v>
      </c>
      <c r="Q269">
        <f t="shared" si="965"/>
        <v>-8039304.6679924279</v>
      </c>
      <c r="R269">
        <f t="shared" si="966"/>
        <v>1051219532.5750191</v>
      </c>
      <c r="S269">
        <f t="shared" si="967"/>
        <v>10512.195325750192</v>
      </c>
      <c r="T269">
        <f t="shared" si="968"/>
        <v>10.512195325750191</v>
      </c>
    </row>
    <row r="270" spans="1:20" x14ac:dyDescent="0.25">
      <c r="A270" s="5">
        <v>44323</v>
      </c>
      <c r="B270">
        <v>0.56320999999999999</v>
      </c>
      <c r="C270">
        <v>0.60633999999999999</v>
      </c>
      <c r="D270">
        <v>0.53785000000000005</v>
      </c>
      <c r="E270">
        <v>0.57067999999999997</v>
      </c>
      <c r="F270">
        <v>33070281.600000001</v>
      </c>
      <c r="G270">
        <v>0</v>
      </c>
      <c r="L270" t="s">
        <v>7</v>
      </c>
      <c r="M270" t="s">
        <v>7</v>
      </c>
      <c r="N270" t="s">
        <v>8</v>
      </c>
      <c r="P270">
        <f t="shared" si="964"/>
        <v>-4.1319900715434559E-2</v>
      </c>
      <c r="Q270">
        <f t="shared" si="965"/>
        <v>-1366460.7523434623</v>
      </c>
      <c r="R270">
        <f t="shared" si="966"/>
        <v>1059258837.2430116</v>
      </c>
      <c r="S270">
        <f t="shared" si="967"/>
        <v>10592.588372430117</v>
      </c>
      <c r="T270">
        <f t="shared" si="968"/>
        <v>10.592588372430116</v>
      </c>
    </row>
    <row r="271" spans="1:20" x14ac:dyDescent="0.25">
      <c r="A271" s="5">
        <v>44322</v>
      </c>
      <c r="B271">
        <v>0.59006000000000003</v>
      </c>
      <c r="C271">
        <v>0.61646999999999996</v>
      </c>
      <c r="D271">
        <v>0.54700000000000004</v>
      </c>
      <c r="E271">
        <v>0.56206</v>
      </c>
      <c r="F271">
        <v>35789970.200000003</v>
      </c>
      <c r="G271">
        <v>0</v>
      </c>
      <c r="L271" t="s">
        <v>7</v>
      </c>
      <c r="M271" t="s">
        <v>7</v>
      </c>
      <c r="N271" t="s">
        <v>8</v>
      </c>
      <c r="P271">
        <f t="shared" si="964"/>
        <v>-0.56643155318842719</v>
      </c>
      <c r="Q271">
        <f t="shared" si="965"/>
        <v>-20272568.408953525</v>
      </c>
      <c r="R271">
        <f t="shared" si="966"/>
        <v>1060625297.995355</v>
      </c>
      <c r="S271">
        <f t="shared" si="967"/>
        <v>10606.25297995355</v>
      </c>
      <c r="T271">
        <f t="shared" si="968"/>
        <v>10.606252979953549</v>
      </c>
    </row>
    <row r="272" spans="1:20" x14ac:dyDescent="0.25">
      <c r="A272" s="5">
        <v>44321</v>
      </c>
      <c r="B272">
        <v>0.54718999999999995</v>
      </c>
      <c r="C272">
        <v>0.61878999999999995</v>
      </c>
      <c r="D272">
        <v>0.53510000000000002</v>
      </c>
      <c r="E272">
        <v>0.59101000000000004</v>
      </c>
      <c r="F272">
        <v>42946281.100000001</v>
      </c>
      <c r="G272">
        <v>0</v>
      </c>
      <c r="L272" t="s">
        <v>8</v>
      </c>
      <c r="M272" t="s">
        <v>7</v>
      </c>
      <c r="N272" t="s">
        <v>8</v>
      </c>
      <c r="P272">
        <f t="shared" si="964"/>
        <v>0.33612140040626265</v>
      </c>
      <c r="Q272">
        <f t="shared" si="965"/>
        <v>14435164.145573011</v>
      </c>
      <c r="R272">
        <f t="shared" si="966"/>
        <v>1080897866.4043086</v>
      </c>
      <c r="S272">
        <f t="shared" si="967"/>
        <v>10808.978664043085</v>
      </c>
      <c r="T272">
        <f t="shared" si="968"/>
        <v>10.808978664043085</v>
      </c>
    </row>
    <row r="273" spans="1:20" x14ac:dyDescent="0.25">
      <c r="A273" s="5">
        <v>44320</v>
      </c>
      <c r="B273">
        <v>0.63305999999999996</v>
      </c>
      <c r="C273">
        <v>0.63514000000000004</v>
      </c>
      <c r="D273">
        <v>0.53088999999999997</v>
      </c>
      <c r="E273">
        <v>0.54757</v>
      </c>
      <c r="F273">
        <v>63252856.600000001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-0.6799999999999996</v>
      </c>
      <c r="Q273">
        <f t="shared" si="965"/>
        <v>-43011942.487999976</v>
      </c>
      <c r="R273">
        <f t="shared" si="966"/>
        <v>1066462702.2587357</v>
      </c>
      <c r="S273">
        <f t="shared" si="967"/>
        <v>10664.627022587356</v>
      </c>
      <c r="T273">
        <f t="shared" si="968"/>
        <v>10.664627022587355</v>
      </c>
    </row>
    <row r="274" spans="1:20" x14ac:dyDescent="0.25">
      <c r="A274" s="5">
        <v>44319</v>
      </c>
      <c r="B274">
        <v>0.63522000000000001</v>
      </c>
      <c r="C274">
        <v>0.69679999999999997</v>
      </c>
      <c r="D274">
        <v>0.62600999999999996</v>
      </c>
      <c r="E274">
        <v>0.63210999999999995</v>
      </c>
      <c r="F274">
        <v>39115925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-0.82765927390874439</v>
      </c>
      <c r="Q274">
        <f t="shared" si="965"/>
        <v>-32374658.0837689</v>
      </c>
      <c r="R274">
        <f t="shared" si="966"/>
        <v>1109474644.7467356</v>
      </c>
      <c r="S274">
        <f t="shared" si="967"/>
        <v>11094.746447467356</v>
      </c>
      <c r="T274">
        <f t="shared" si="968"/>
        <v>11.094746447467356</v>
      </c>
    </row>
    <row r="275" spans="1:20" x14ac:dyDescent="0.25">
      <c r="A275" s="5">
        <v>44318</v>
      </c>
      <c r="B275">
        <v>0.67440999999999995</v>
      </c>
      <c r="C275">
        <v>0.69</v>
      </c>
      <c r="D275">
        <v>0.61799999999999999</v>
      </c>
      <c r="E275">
        <v>0.63505999999999996</v>
      </c>
      <c r="F275">
        <v>39676022.100000001</v>
      </c>
      <c r="G275">
        <v>0</v>
      </c>
      <c r="L275" t="s">
        <v>7</v>
      </c>
      <c r="M275" t="s">
        <v>8</v>
      </c>
      <c r="N275" t="s">
        <v>8</v>
      </c>
      <c r="P275">
        <f t="shared" si="964"/>
        <v>-0.52611111111111175</v>
      </c>
      <c r="Q275">
        <f t="shared" si="965"/>
        <v>-20873996.071500026</v>
      </c>
      <c r="R275">
        <f t="shared" si="966"/>
        <v>1141849302.8305044</v>
      </c>
      <c r="S275">
        <f t="shared" si="967"/>
        <v>11418.493028305043</v>
      </c>
      <c r="T275">
        <f t="shared" si="968"/>
        <v>11.418493028305043</v>
      </c>
    </row>
    <row r="276" spans="1:20" x14ac:dyDescent="0.25">
      <c r="A276" s="5">
        <v>44317</v>
      </c>
      <c r="B276">
        <v>0.59882999999999997</v>
      </c>
      <c r="C276">
        <v>0.69999</v>
      </c>
      <c r="D276">
        <v>0.59545999999999999</v>
      </c>
      <c r="E276">
        <v>0.67410000000000003</v>
      </c>
      <c r="F276">
        <v>68772093.099999994</v>
      </c>
      <c r="G276">
        <v>0</v>
      </c>
      <c r="L276" t="s">
        <v>8</v>
      </c>
      <c r="M276" t="s">
        <v>8</v>
      </c>
      <c r="N276" t="s">
        <v>8</v>
      </c>
      <c r="P276">
        <f t="shared" si="964"/>
        <v>0.50463981632067412</v>
      </c>
      <c r="Q276">
        <f t="shared" si="965"/>
        <v>34705136.429972298</v>
      </c>
      <c r="R276">
        <f t="shared" si="966"/>
        <v>1162723298.9020045</v>
      </c>
      <c r="S276">
        <f t="shared" si="967"/>
        <v>11627.232989020045</v>
      </c>
      <c r="T276">
        <f t="shared" si="968"/>
        <v>11.627232989020046</v>
      </c>
    </row>
    <row r="277" spans="1:20" x14ac:dyDescent="0.25">
      <c r="A277" s="5">
        <v>44316</v>
      </c>
      <c r="B277">
        <v>0.56210000000000004</v>
      </c>
      <c r="C277">
        <v>0.622</v>
      </c>
      <c r="D277">
        <v>0.55081000000000002</v>
      </c>
      <c r="E277">
        <v>0.60007999999999995</v>
      </c>
      <c r="F277">
        <v>46922660</v>
      </c>
      <c r="G277">
        <v>0</v>
      </c>
      <c r="L277" t="s">
        <v>7</v>
      </c>
      <c r="M277" t="s">
        <v>8</v>
      </c>
      <c r="N277" t="s">
        <v>8</v>
      </c>
      <c r="P277">
        <f t="shared" si="964"/>
        <v>0.38418317179378964</v>
      </c>
      <c r="Q277">
        <f t="shared" si="965"/>
        <v>18026896.347801581</v>
      </c>
      <c r="R277">
        <f t="shared" si="966"/>
        <v>1128018162.4720321</v>
      </c>
      <c r="S277">
        <f t="shared" si="967"/>
        <v>11280.181624720321</v>
      </c>
      <c r="T277">
        <f t="shared" si="968"/>
        <v>11.280181624720321</v>
      </c>
    </row>
    <row r="278" spans="1:20" x14ac:dyDescent="0.25">
      <c r="A278" s="5">
        <v>44315</v>
      </c>
      <c r="B278">
        <v>0.57987999999999995</v>
      </c>
      <c r="C278">
        <v>0.63500000000000001</v>
      </c>
      <c r="D278">
        <v>0.54800000000000004</v>
      </c>
      <c r="E278">
        <v>0.56208999999999998</v>
      </c>
      <c r="F278">
        <v>57770470.299999997</v>
      </c>
      <c r="G278">
        <v>0</v>
      </c>
      <c r="L278" t="s">
        <v>8</v>
      </c>
      <c r="M278" t="s">
        <v>8</v>
      </c>
      <c r="N278" t="s">
        <v>8</v>
      </c>
      <c r="P278">
        <f t="shared" si="964"/>
        <v>-0.67609195402298983</v>
      </c>
      <c r="Q278">
        <f t="shared" si="965"/>
        <v>-39058150.149954095</v>
      </c>
      <c r="R278">
        <f t="shared" si="966"/>
        <v>1109991266.1242304</v>
      </c>
      <c r="S278">
        <f t="shared" si="967"/>
        <v>11099.912661242304</v>
      </c>
      <c r="T278">
        <f t="shared" si="968"/>
        <v>11.099912661242303</v>
      </c>
    </row>
    <row r="279" spans="1:20" x14ac:dyDescent="0.25">
      <c r="A279" s="5">
        <v>44314</v>
      </c>
      <c r="B279">
        <v>0.62212999999999996</v>
      </c>
      <c r="C279">
        <v>0.64900999999999998</v>
      </c>
      <c r="D279">
        <v>0.52910999999999997</v>
      </c>
      <c r="E279">
        <v>0.58004</v>
      </c>
      <c r="F279">
        <v>87491896.599999994</v>
      </c>
      <c r="G279">
        <v>0</v>
      </c>
      <c r="L279" t="s">
        <v>7</v>
      </c>
      <c r="M279" t="s">
        <v>7</v>
      </c>
      <c r="N279" t="s">
        <v>8</v>
      </c>
      <c r="P279">
        <f t="shared" si="964"/>
        <v>-0.15045871559632981</v>
      </c>
      <c r="Q279">
        <f t="shared" si="965"/>
        <v>-13163918.387522895</v>
      </c>
      <c r="R279">
        <f t="shared" si="966"/>
        <v>1149049416.2741845</v>
      </c>
      <c r="S279">
        <f t="shared" si="967"/>
        <v>11490.494162741845</v>
      </c>
      <c r="T279">
        <f t="shared" si="968"/>
        <v>11.490494162741845</v>
      </c>
    </row>
    <row r="280" spans="1:20" x14ac:dyDescent="0.25">
      <c r="A280" s="5">
        <v>44313</v>
      </c>
      <c r="B280">
        <v>0.45831</v>
      </c>
      <c r="C280">
        <v>0.64983000000000002</v>
      </c>
      <c r="D280">
        <v>0.45100000000000001</v>
      </c>
      <c r="E280">
        <v>0.62309999999999999</v>
      </c>
      <c r="F280">
        <v>123636060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0.73112709349695693</v>
      </c>
      <c r="Q280">
        <f t="shared" si="965"/>
        <v>90393673.199215382</v>
      </c>
      <c r="R280">
        <f t="shared" si="966"/>
        <v>1162213334.6617074</v>
      </c>
      <c r="S280">
        <f t="shared" si="967"/>
        <v>11622.133346617074</v>
      </c>
      <c r="T280">
        <f t="shared" si="968"/>
        <v>11.622133346617074</v>
      </c>
    </row>
    <row r="281" spans="1:20" x14ac:dyDescent="0.25">
      <c r="A281" s="5">
        <v>44312</v>
      </c>
      <c r="B281">
        <v>0.35870999999999997</v>
      </c>
      <c r="C281">
        <v>0.47749999999999998</v>
      </c>
      <c r="D281">
        <v>0.35103000000000001</v>
      </c>
      <c r="E281">
        <v>0.45942</v>
      </c>
      <c r="F281">
        <v>86613261.099999994</v>
      </c>
      <c r="G281">
        <v>0</v>
      </c>
      <c r="L281" t="s">
        <v>8</v>
      </c>
      <c r="M281" t="s">
        <v>8</v>
      </c>
      <c r="N281" t="s">
        <v>8</v>
      </c>
      <c r="P281">
        <f t="shared" si="964"/>
        <v>0.71408239108088889</v>
      </c>
      <c r="Q281">
        <f t="shared" si="965"/>
        <v>61849004.585601337</v>
      </c>
      <c r="R281">
        <f t="shared" si="966"/>
        <v>1071819661.462492</v>
      </c>
      <c r="S281">
        <f t="shared" si="967"/>
        <v>10718.19661462492</v>
      </c>
      <c r="T281">
        <f t="shared" si="968"/>
        <v>10.718196614624919</v>
      </c>
    </row>
    <row r="282" spans="1:20" x14ac:dyDescent="0.25">
      <c r="A282" s="5">
        <v>44311</v>
      </c>
      <c r="B282">
        <v>0.36821999999999999</v>
      </c>
      <c r="C282">
        <v>0.41259000000000001</v>
      </c>
      <c r="D282">
        <v>0.33349000000000001</v>
      </c>
      <c r="E282">
        <v>0.35865000000000002</v>
      </c>
      <c r="F282">
        <v>38881871.899999999</v>
      </c>
      <c r="G282">
        <v>0</v>
      </c>
      <c r="L282" t="s">
        <v>7</v>
      </c>
      <c r="M282" t="s">
        <v>7</v>
      </c>
      <c r="N282" t="s">
        <v>7</v>
      </c>
      <c r="P282">
        <f t="shared" si="964"/>
        <v>-0.36384323640960775</v>
      </c>
      <c r="Q282">
        <f t="shared" si="965"/>
        <v>-14146906.109759783</v>
      </c>
      <c r="R282">
        <f t="shared" si="966"/>
        <v>1009970656.8768907</v>
      </c>
      <c r="S282">
        <f t="shared" si="967"/>
        <v>10099.706568768906</v>
      </c>
      <c r="T282">
        <f t="shared" si="968"/>
        <v>10.099706568768907</v>
      </c>
    </row>
    <row r="283" spans="1:20" x14ac:dyDescent="0.25">
      <c r="A283" s="5">
        <v>44310</v>
      </c>
      <c r="B283">
        <v>0.41415999999999997</v>
      </c>
      <c r="C283">
        <v>0.41454999999999997</v>
      </c>
      <c r="D283">
        <v>0.35233999999999999</v>
      </c>
      <c r="E283">
        <v>0.36898999999999998</v>
      </c>
      <c r="F283">
        <v>41934203.100000001</v>
      </c>
      <c r="G283">
        <v>0</v>
      </c>
      <c r="L283" t="s">
        <v>8</v>
      </c>
      <c r="M283" t="s">
        <v>8</v>
      </c>
      <c r="N283" t="s">
        <v>7</v>
      </c>
      <c r="P283">
        <f t="shared" si="964"/>
        <v>-0.46471628355569838</v>
      </c>
      <c r="Q283">
        <f t="shared" si="965"/>
        <v>-19487507.018501848</v>
      </c>
      <c r="R283">
        <f t="shared" si="966"/>
        <v>1024117562.9866505</v>
      </c>
      <c r="S283">
        <f t="shared" si="967"/>
        <v>10241.175629866504</v>
      </c>
      <c r="T283">
        <f t="shared" si="968"/>
        <v>10.241175629866504</v>
      </c>
    </row>
    <row r="284" spans="1:20" x14ac:dyDescent="0.25">
      <c r="A284" s="5">
        <v>44309</v>
      </c>
      <c r="B284">
        <v>0.40722000000000003</v>
      </c>
      <c r="C284">
        <v>0.41860000000000003</v>
      </c>
      <c r="D284">
        <v>0.33953</v>
      </c>
      <c r="E284">
        <v>0.41488000000000003</v>
      </c>
      <c r="F284">
        <v>52855716.899999999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0.90590615909953209</v>
      </c>
      <c r="Q284">
        <f t="shared" si="965"/>
        <v>47882319.483331226</v>
      </c>
      <c r="R284">
        <f t="shared" si="966"/>
        <v>1043605070.0051523</v>
      </c>
      <c r="S284">
        <f t="shared" si="967"/>
        <v>10436.050700051523</v>
      </c>
      <c r="T284">
        <f t="shared" si="968"/>
        <v>10.436050700051522</v>
      </c>
    </row>
    <row r="285" spans="1:20" x14ac:dyDescent="0.25">
      <c r="A285" s="5">
        <v>44308</v>
      </c>
      <c r="B285">
        <v>0.46606999999999998</v>
      </c>
      <c r="C285">
        <v>0.49403000000000002</v>
      </c>
      <c r="D285">
        <v>0.39534000000000002</v>
      </c>
      <c r="E285">
        <v>0.40684999999999999</v>
      </c>
      <c r="F285">
        <v>50840826.799999997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-0.76674435099807547</v>
      </c>
      <c r="Q285">
        <f t="shared" si="965"/>
        <v>-38981916.748971559</v>
      </c>
      <c r="R285">
        <f t="shared" si="966"/>
        <v>995722750.52182114</v>
      </c>
      <c r="S285">
        <f t="shared" si="967"/>
        <v>9957.2275052182122</v>
      </c>
      <c r="T285">
        <f t="shared" si="968"/>
        <v>9.9572275052182118</v>
      </c>
    </row>
    <row r="286" spans="1:20" x14ac:dyDescent="0.25">
      <c r="A286" s="5">
        <v>44307</v>
      </c>
      <c r="B286">
        <v>0.53456000000000004</v>
      </c>
      <c r="C286">
        <v>0.56440000000000001</v>
      </c>
      <c r="D286">
        <v>0.46561000000000002</v>
      </c>
      <c r="E286">
        <v>0.46711000000000003</v>
      </c>
      <c r="F286">
        <v>43596510.299999997</v>
      </c>
      <c r="G286">
        <v>0</v>
      </c>
      <c r="L286" t="s">
        <v>8</v>
      </c>
      <c r="M286" t="s">
        <v>8</v>
      </c>
      <c r="N286" t="s">
        <v>7</v>
      </c>
      <c r="P286">
        <f t="shared" si="964"/>
        <v>-0.96963255390221681</v>
      </c>
      <c r="Q286">
        <f t="shared" si="965"/>
        <v>-42272595.623413295</v>
      </c>
      <c r="R286">
        <f t="shared" si="966"/>
        <v>1034704667.2707927</v>
      </c>
      <c r="S286">
        <f t="shared" si="967"/>
        <v>10347.046672707927</v>
      </c>
      <c r="T286">
        <f t="shared" si="968"/>
        <v>10.347046672707927</v>
      </c>
    </row>
    <row r="287" spans="1:20" x14ac:dyDescent="0.25">
      <c r="A287" s="5">
        <v>44306</v>
      </c>
      <c r="B287">
        <v>0.47842000000000001</v>
      </c>
      <c r="C287">
        <v>0.54847000000000001</v>
      </c>
      <c r="D287">
        <v>0.41110000000000002</v>
      </c>
      <c r="E287">
        <v>0.53493999999999997</v>
      </c>
      <c r="F287">
        <v>57790593.600000001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0.80301375846254575</v>
      </c>
      <c r="Q287">
        <f t="shared" si="965"/>
        <v>46406641.770517543</v>
      </c>
      <c r="R287">
        <f t="shared" si="966"/>
        <v>1076977262.894206</v>
      </c>
      <c r="S287">
        <f t="shared" si="967"/>
        <v>10769.772628942061</v>
      </c>
      <c r="T287">
        <f t="shared" si="968"/>
        <v>10.769772628942061</v>
      </c>
    </row>
    <row r="288" spans="1:20" x14ac:dyDescent="0.25">
      <c r="A288" s="5">
        <v>44305</v>
      </c>
      <c r="B288">
        <v>0.54325000000000001</v>
      </c>
      <c r="C288">
        <v>0.57799999999999996</v>
      </c>
      <c r="D288">
        <v>0.46210000000000001</v>
      </c>
      <c r="E288">
        <v>0.47802</v>
      </c>
      <c r="F288">
        <v>46085537</v>
      </c>
      <c r="G288">
        <v>0</v>
      </c>
      <c r="L288" t="s">
        <v>8</v>
      </c>
      <c r="M288" t="s">
        <v>8</v>
      </c>
      <c r="N288" t="s">
        <v>7</v>
      </c>
      <c r="P288">
        <f t="shared" si="964"/>
        <v>-0.72528041415012945</v>
      </c>
      <c r="Q288">
        <f t="shared" si="965"/>
        <v>-33424937.361691114</v>
      </c>
      <c r="R288">
        <f t="shared" si="966"/>
        <v>1030570621.1236886</v>
      </c>
      <c r="S288">
        <f t="shared" si="967"/>
        <v>10305.706211236886</v>
      </c>
      <c r="T288">
        <f t="shared" si="968"/>
        <v>10.305706211236886</v>
      </c>
    </row>
    <row r="289" spans="1:20" x14ac:dyDescent="0.25">
      <c r="A289" s="5">
        <v>44304</v>
      </c>
      <c r="B289">
        <v>0.63834000000000002</v>
      </c>
      <c r="C289">
        <v>0.64607000000000003</v>
      </c>
      <c r="D289">
        <v>0.46754000000000001</v>
      </c>
      <c r="E289">
        <v>0.54357999999999995</v>
      </c>
      <c r="F289">
        <v>48187615.200000003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-0.14815437181426167</v>
      </c>
      <c r="Q289">
        <f t="shared" si="965"/>
        <v>-7139205.8591833673</v>
      </c>
      <c r="R289">
        <f t="shared" si="966"/>
        <v>1063995558.4853797</v>
      </c>
      <c r="S289">
        <f t="shared" si="967"/>
        <v>10639.955584853797</v>
      </c>
      <c r="T289">
        <f t="shared" si="968"/>
        <v>10.639955584853796</v>
      </c>
    </row>
    <row r="290" spans="1:20" x14ac:dyDescent="0.25">
      <c r="A290" s="5">
        <v>44303</v>
      </c>
      <c r="B290">
        <v>0.60519000000000001</v>
      </c>
      <c r="C290">
        <v>0.69</v>
      </c>
      <c r="D290">
        <v>0.60519000000000001</v>
      </c>
      <c r="E290">
        <v>0.63834000000000002</v>
      </c>
      <c r="F290">
        <v>48114491.200000003</v>
      </c>
      <c r="G290">
        <v>0</v>
      </c>
      <c r="L290" t="s">
        <v>8</v>
      </c>
      <c r="M290" t="s">
        <v>8</v>
      </c>
      <c r="N290" t="s">
        <v>8</v>
      </c>
      <c r="P290">
        <f t="shared" si="964"/>
        <v>-0.21825256455606565</v>
      </c>
      <c r="Q290">
        <f t="shared" si="965"/>
        <v>-10501111.096710254</v>
      </c>
      <c r="R290">
        <f t="shared" si="966"/>
        <v>1071134764.344563</v>
      </c>
      <c r="S290">
        <f t="shared" si="967"/>
        <v>10711.34764344563</v>
      </c>
      <c r="T290">
        <f t="shared" si="968"/>
        <v>10.711347643445629</v>
      </c>
    </row>
    <row r="291" spans="1:20" x14ac:dyDescent="0.25">
      <c r="A291" s="5">
        <v>44302</v>
      </c>
      <c r="B291">
        <v>0.65007000000000004</v>
      </c>
      <c r="C291">
        <v>0.66108999999999996</v>
      </c>
      <c r="D291">
        <v>0.5887</v>
      </c>
      <c r="E291">
        <v>0.60558999999999996</v>
      </c>
      <c r="F291">
        <v>41679060.100000001</v>
      </c>
      <c r="G291">
        <v>0</v>
      </c>
      <c r="L291" t="s">
        <v>7</v>
      </c>
      <c r="M291" t="s">
        <v>7</v>
      </c>
      <c r="N291" t="s">
        <v>8</v>
      </c>
      <c r="P291">
        <f t="shared" si="964"/>
        <v>-0.53336096145876577</v>
      </c>
      <c r="Q291">
        <f t="shared" si="965"/>
        <v>-22229983.567633685</v>
      </c>
      <c r="R291">
        <f t="shared" si="966"/>
        <v>1081635875.4412732</v>
      </c>
      <c r="S291">
        <f t="shared" si="967"/>
        <v>10816.358754412731</v>
      </c>
      <c r="T291">
        <f t="shared" si="968"/>
        <v>10.816358754412731</v>
      </c>
    </row>
    <row r="292" spans="1:20" x14ac:dyDescent="0.25">
      <c r="A292" s="5">
        <v>44301</v>
      </c>
      <c r="B292">
        <v>0.59604999999999997</v>
      </c>
      <c r="C292">
        <v>0.66327999999999998</v>
      </c>
      <c r="D292">
        <v>0.58426</v>
      </c>
      <c r="E292">
        <v>0.65010000000000001</v>
      </c>
      <c r="F292">
        <v>49436681.700000003</v>
      </c>
      <c r="G292">
        <v>0</v>
      </c>
      <c r="L292" t="s">
        <v>8</v>
      </c>
      <c r="M292" t="s">
        <v>7</v>
      </c>
      <c r="N292" t="s">
        <v>8</v>
      </c>
      <c r="P292">
        <f t="shared" si="964"/>
        <v>0.66641356618577641</v>
      </c>
      <c r="Q292">
        <f t="shared" si="965"/>
        <v>32945275.352088112</v>
      </c>
      <c r="R292">
        <f t="shared" si="966"/>
        <v>1103865859.0089068</v>
      </c>
      <c r="S292">
        <f t="shared" si="967"/>
        <v>11038.658590089068</v>
      </c>
      <c r="T292">
        <f t="shared" si="968"/>
        <v>11.038658590089067</v>
      </c>
    </row>
    <row r="293" spans="1:20" x14ac:dyDescent="0.25">
      <c r="A293" s="5">
        <v>44300</v>
      </c>
      <c r="B293">
        <v>0.60716999999999999</v>
      </c>
      <c r="C293">
        <v>0.61782000000000004</v>
      </c>
      <c r="D293">
        <v>0.57081000000000004</v>
      </c>
      <c r="E293">
        <v>0.59596000000000005</v>
      </c>
      <c r="F293">
        <v>39281475</v>
      </c>
      <c r="G293">
        <v>0</v>
      </c>
      <c r="L293" t="s">
        <v>8</v>
      </c>
      <c r="M293" t="s">
        <v>7</v>
      </c>
      <c r="N293" t="s">
        <v>8</v>
      </c>
      <c r="P293">
        <f t="shared" si="964"/>
        <v>6.9985109551159649E-2</v>
      </c>
      <c r="Q293">
        <f t="shared" si="965"/>
        <v>2749118.3312061392</v>
      </c>
      <c r="R293">
        <f t="shared" si="966"/>
        <v>1070920583.6568187</v>
      </c>
      <c r="S293">
        <f t="shared" si="967"/>
        <v>10709.205836568188</v>
      </c>
      <c r="T293">
        <f t="shared" si="968"/>
        <v>10.709205836568188</v>
      </c>
    </row>
    <row r="294" spans="1:20" x14ac:dyDescent="0.25">
      <c r="A294" s="5">
        <v>44299</v>
      </c>
      <c r="B294">
        <v>0.60899999999999999</v>
      </c>
      <c r="C294">
        <v>0.64393999999999996</v>
      </c>
      <c r="D294">
        <v>0.57118000000000002</v>
      </c>
      <c r="E294">
        <v>0.60802999999999996</v>
      </c>
      <c r="F294">
        <v>43340953.100000001</v>
      </c>
      <c r="G294">
        <v>0</v>
      </c>
      <c r="L294" t="s">
        <v>7</v>
      </c>
      <c r="M294" t="s">
        <v>7</v>
      </c>
      <c r="N294" t="s">
        <v>8</v>
      </c>
      <c r="P294">
        <f t="shared" si="964"/>
        <v>1.2919186366134438E-2</v>
      </c>
      <c r="Q294">
        <f t="shared" si="965"/>
        <v>559929.85038479208</v>
      </c>
      <c r="R294">
        <f t="shared" si="966"/>
        <v>1068171465.3256127</v>
      </c>
      <c r="S294">
        <f t="shared" si="967"/>
        <v>10681.714653256127</v>
      </c>
      <c r="T294">
        <f t="shared" si="968"/>
        <v>10.681714653256128</v>
      </c>
    </row>
    <row r="295" spans="1:20" x14ac:dyDescent="0.25">
      <c r="A295" s="5">
        <v>44298</v>
      </c>
      <c r="B295">
        <v>0.63141999999999998</v>
      </c>
      <c r="C295">
        <v>0.67</v>
      </c>
      <c r="D295">
        <v>0.59999000000000002</v>
      </c>
      <c r="E295">
        <v>0.60938000000000003</v>
      </c>
      <c r="F295">
        <v>45074512.100000001</v>
      </c>
      <c r="G295">
        <v>0</v>
      </c>
      <c r="L295" t="s">
        <v>7</v>
      </c>
      <c r="M295" t="s">
        <v>7</v>
      </c>
      <c r="N295" t="s">
        <v>8</v>
      </c>
      <c r="P295">
        <f t="shared" si="964"/>
        <v>-0.73175260677046117</v>
      </c>
      <c r="Q295">
        <f t="shared" si="965"/>
        <v>-32983391.728081696</v>
      </c>
      <c r="R295">
        <f t="shared" si="966"/>
        <v>1067611535.4752278</v>
      </c>
      <c r="S295">
        <f t="shared" si="967"/>
        <v>10676.115354752279</v>
      </c>
      <c r="T295">
        <f t="shared" si="968"/>
        <v>10.676115354752278</v>
      </c>
    </row>
    <row r="296" spans="1:20" x14ac:dyDescent="0.25">
      <c r="A296" s="5">
        <v>44297</v>
      </c>
      <c r="B296">
        <v>0.65571999999999997</v>
      </c>
      <c r="C296">
        <v>0.65771000000000002</v>
      </c>
      <c r="D296">
        <v>0.61538999999999999</v>
      </c>
      <c r="E296">
        <v>0.63278000000000001</v>
      </c>
      <c r="F296">
        <v>37097171.799999997</v>
      </c>
      <c r="G296">
        <v>0</v>
      </c>
      <c r="L296" t="s">
        <v>7</v>
      </c>
      <c r="M296" t="s">
        <v>7</v>
      </c>
      <c r="N296" t="s">
        <v>8</v>
      </c>
      <c r="P296">
        <f t="shared" si="964"/>
        <v>-0.17816635160680497</v>
      </c>
      <c r="Q296">
        <f t="shared" si="965"/>
        <v>-6609467.7545368494</v>
      </c>
      <c r="R296">
        <f t="shared" si="966"/>
        <v>1100594927.2033095</v>
      </c>
      <c r="S296">
        <f t="shared" si="967"/>
        <v>11005.949272033095</v>
      </c>
      <c r="T296">
        <f t="shared" si="968"/>
        <v>11.005949272033094</v>
      </c>
    </row>
    <row r="297" spans="1:20" x14ac:dyDescent="0.25">
      <c r="A297" s="5">
        <v>44296</v>
      </c>
      <c r="B297">
        <v>0.68210999999999999</v>
      </c>
      <c r="C297">
        <v>0.7</v>
      </c>
      <c r="D297">
        <v>0.63075999999999999</v>
      </c>
      <c r="E297">
        <v>0.65527999999999997</v>
      </c>
      <c r="F297">
        <v>49609062.700000003</v>
      </c>
      <c r="G297">
        <v>0</v>
      </c>
      <c r="L297" t="s">
        <v>7</v>
      </c>
      <c r="M297" t="s">
        <v>7</v>
      </c>
      <c r="N297" t="s">
        <v>8</v>
      </c>
      <c r="P297">
        <f t="shared" si="964"/>
        <v>-0.29173887926054309</v>
      </c>
      <c r="Q297">
        <f t="shared" si="965"/>
        <v>-14472892.353264013</v>
      </c>
      <c r="R297">
        <f t="shared" si="966"/>
        <v>1107204394.9578464</v>
      </c>
      <c r="S297">
        <f t="shared" si="967"/>
        <v>11072.043949578465</v>
      </c>
      <c r="T297">
        <f t="shared" si="968"/>
        <v>11.072043949578465</v>
      </c>
    </row>
    <row r="298" spans="1:20" x14ac:dyDescent="0.25">
      <c r="A298" s="5">
        <v>44295</v>
      </c>
      <c r="B298">
        <v>0.60665000000000002</v>
      </c>
      <c r="C298">
        <v>0.76919999999999999</v>
      </c>
      <c r="D298">
        <v>0.60089999999999999</v>
      </c>
      <c r="E298">
        <v>0.68364999999999998</v>
      </c>
      <c r="F298">
        <v>137422710.30000001</v>
      </c>
      <c r="G298">
        <v>0</v>
      </c>
      <c r="L298" t="s">
        <v>8</v>
      </c>
      <c r="M298" t="s">
        <v>8</v>
      </c>
      <c r="N298" t="s">
        <v>8</v>
      </c>
      <c r="P298">
        <f t="shared" si="964"/>
        <v>-1.6636957813428548E-2</v>
      </c>
      <c r="Q298">
        <f t="shared" si="965"/>
        <v>-2286295.8338681129</v>
      </c>
      <c r="R298">
        <f t="shared" si="966"/>
        <v>1121677287.3111105</v>
      </c>
      <c r="S298">
        <f t="shared" si="967"/>
        <v>11216.772873111106</v>
      </c>
      <c r="T298">
        <f t="shared" si="968"/>
        <v>11.216772873111106</v>
      </c>
    </row>
    <row r="299" spans="1:20" x14ac:dyDescent="0.25">
      <c r="A299" s="5">
        <v>44294</v>
      </c>
      <c r="B299">
        <v>0.59557000000000004</v>
      </c>
      <c r="C299">
        <v>0.65678000000000003</v>
      </c>
      <c r="D299">
        <v>0.58679999999999999</v>
      </c>
      <c r="E299">
        <v>0.60660000000000003</v>
      </c>
      <c r="F299">
        <v>35094330.100000001</v>
      </c>
      <c r="G299">
        <v>0</v>
      </c>
      <c r="L299" t="s">
        <v>8</v>
      </c>
      <c r="M299" t="s">
        <v>8</v>
      </c>
      <c r="N299" t="s">
        <v>7</v>
      </c>
      <c r="P299">
        <f t="shared" si="964"/>
        <v>-0.43412403543869599</v>
      </c>
      <c r="Q299">
        <f t="shared" si="965"/>
        <v>-15235292.204029696</v>
      </c>
      <c r="R299">
        <f t="shared" si="966"/>
        <v>1123963583.1449785</v>
      </c>
      <c r="S299">
        <f t="shared" si="967"/>
        <v>11239.635831449785</v>
      </c>
      <c r="T299">
        <f t="shared" si="968"/>
        <v>11.239635831449785</v>
      </c>
    </row>
    <row r="300" spans="1:20" x14ac:dyDescent="0.25">
      <c r="A300" s="5">
        <v>44293</v>
      </c>
      <c r="B300">
        <v>0.66705999999999999</v>
      </c>
      <c r="C300">
        <v>0.68159999999999998</v>
      </c>
      <c r="D300">
        <v>0.55549999999999999</v>
      </c>
      <c r="E300">
        <v>0.59565999999999997</v>
      </c>
      <c r="F300">
        <v>54135169.299999997</v>
      </c>
      <c r="G300">
        <v>0</v>
      </c>
      <c r="L300" t="s">
        <v>7</v>
      </c>
      <c r="M300" t="s">
        <v>7</v>
      </c>
      <c r="N300" t="s">
        <v>7</v>
      </c>
      <c r="P300">
        <f t="shared" si="964"/>
        <v>-0.36304520222046033</v>
      </c>
      <c r="Q300">
        <f t="shared" si="965"/>
        <v>-19653513.485757355</v>
      </c>
      <c r="R300">
        <f t="shared" si="966"/>
        <v>1139198875.3490083</v>
      </c>
      <c r="S300">
        <f t="shared" si="967"/>
        <v>11391.988753490083</v>
      </c>
      <c r="T300">
        <f t="shared" si="968"/>
        <v>11.391988753490082</v>
      </c>
    </row>
    <row r="301" spans="1:20" x14ac:dyDescent="0.25">
      <c r="A301" s="5">
        <v>44292</v>
      </c>
      <c r="B301">
        <v>0.68189999999999995</v>
      </c>
      <c r="C301">
        <v>0.74750000000000005</v>
      </c>
      <c r="D301">
        <v>0.63473000000000002</v>
      </c>
      <c r="E301">
        <v>0.66700999999999999</v>
      </c>
      <c r="F301">
        <v>64837832.600000001</v>
      </c>
      <c r="G301">
        <v>0</v>
      </c>
      <c r="L301" t="s">
        <v>8</v>
      </c>
      <c r="M301" t="s">
        <v>8</v>
      </c>
      <c r="N301" t="s">
        <v>7</v>
      </c>
      <c r="P301">
        <f t="shared" si="964"/>
        <v>-0.42750731577547285</v>
      </c>
      <c r="Q301">
        <f t="shared" si="965"/>
        <v>-27718647.775525447</v>
      </c>
      <c r="R301">
        <f t="shared" si="966"/>
        <v>1158852388.8347657</v>
      </c>
      <c r="S301">
        <f t="shared" si="967"/>
        <v>11588.523888347656</v>
      </c>
      <c r="T301">
        <f t="shared" si="968"/>
        <v>11.588523888347655</v>
      </c>
    </row>
    <row r="302" spans="1:20" x14ac:dyDescent="0.25">
      <c r="A302" s="5">
        <v>44291</v>
      </c>
      <c r="B302">
        <v>0.72299999999999998</v>
      </c>
      <c r="C302">
        <v>0.72960000000000003</v>
      </c>
      <c r="D302">
        <v>0.66</v>
      </c>
      <c r="E302">
        <v>0.68135000000000001</v>
      </c>
      <c r="F302">
        <v>40056829.899999999</v>
      </c>
      <c r="G302">
        <v>0</v>
      </c>
      <c r="L302" t="s">
        <v>8</v>
      </c>
      <c r="M302" t="s">
        <v>8</v>
      </c>
      <c r="N302" t="s">
        <v>7</v>
      </c>
      <c r="P302">
        <f t="shared" si="964"/>
        <v>-0.38649425287356376</v>
      </c>
      <c r="Q302">
        <f t="shared" si="965"/>
        <v>-15481734.54468393</v>
      </c>
      <c r="R302">
        <f t="shared" si="966"/>
        <v>1186571036.610291</v>
      </c>
      <c r="S302">
        <f t="shared" si="967"/>
        <v>11865.71036610291</v>
      </c>
      <c r="T302">
        <f t="shared" si="968"/>
        <v>11.86571036610291</v>
      </c>
    </row>
    <row r="303" spans="1:20" x14ac:dyDescent="0.25">
      <c r="A303" s="5">
        <v>44290</v>
      </c>
      <c r="B303">
        <v>0.63277000000000005</v>
      </c>
      <c r="C303">
        <v>0.74</v>
      </c>
      <c r="D303">
        <v>0.61143000000000003</v>
      </c>
      <c r="E303">
        <v>0.72304000000000002</v>
      </c>
      <c r="F303">
        <v>42784169.700000003</v>
      </c>
      <c r="G303">
        <v>0</v>
      </c>
      <c r="L303" t="s">
        <v>7</v>
      </c>
      <c r="M303" t="s">
        <v>7</v>
      </c>
      <c r="N303" t="s">
        <v>7</v>
      </c>
      <c r="P303">
        <f t="shared" si="964"/>
        <v>0.73617484638718234</v>
      </c>
      <c r="Q303">
        <f t="shared" si="965"/>
        <v>31496629.556700643</v>
      </c>
      <c r="R303">
        <f t="shared" si="966"/>
        <v>1202052771.1549749</v>
      </c>
      <c r="S303">
        <f t="shared" si="967"/>
        <v>12020.52771154975</v>
      </c>
      <c r="T303">
        <f t="shared" si="968"/>
        <v>12.02052771154975</v>
      </c>
    </row>
    <row r="304" spans="1:20" x14ac:dyDescent="0.25">
      <c r="A304" s="5">
        <v>44289</v>
      </c>
      <c r="B304">
        <v>0.69350999999999996</v>
      </c>
      <c r="C304">
        <v>0.72</v>
      </c>
      <c r="D304">
        <v>0.63129999999999997</v>
      </c>
      <c r="E304">
        <v>0.63402999999999998</v>
      </c>
      <c r="F304">
        <v>40445261.799999997</v>
      </c>
      <c r="G304">
        <v>0</v>
      </c>
      <c r="L304" t="s">
        <v>7</v>
      </c>
      <c r="M304" t="s">
        <v>7</v>
      </c>
      <c r="N304" t="s">
        <v>8</v>
      </c>
      <c r="P304">
        <f t="shared" si="964"/>
        <v>-0.93844419391206291</v>
      </c>
      <c r="Q304">
        <f t="shared" si="965"/>
        <v>-37955621.107463345</v>
      </c>
      <c r="R304">
        <f t="shared" si="966"/>
        <v>1170556141.5982742</v>
      </c>
      <c r="S304">
        <f t="shared" si="967"/>
        <v>11705.561415982742</v>
      </c>
      <c r="T304">
        <f t="shared" si="968"/>
        <v>11.705561415982741</v>
      </c>
    </row>
    <row r="305" spans="1:20" x14ac:dyDescent="0.25">
      <c r="A305" s="5">
        <v>44288</v>
      </c>
      <c r="B305">
        <v>0.70801000000000003</v>
      </c>
      <c r="C305">
        <v>0.75661999999999996</v>
      </c>
      <c r="D305">
        <v>0.68325000000000002</v>
      </c>
      <c r="E305">
        <v>0.69364000000000003</v>
      </c>
      <c r="F305">
        <v>37347872</v>
      </c>
      <c r="G305">
        <v>0</v>
      </c>
      <c r="L305" t="s">
        <v>8</v>
      </c>
      <c r="M305" t="s">
        <v>7</v>
      </c>
      <c r="N305" t="s">
        <v>8</v>
      </c>
      <c r="P305">
        <f t="shared" si="964"/>
        <v>-0.71677797464903859</v>
      </c>
      <c r="Q305">
        <f t="shared" si="965"/>
        <v>-26770132.049611539</v>
      </c>
      <c r="R305">
        <f t="shared" si="966"/>
        <v>1208511762.7057376</v>
      </c>
      <c r="S305">
        <f t="shared" si="967"/>
        <v>12085.117627057376</v>
      </c>
      <c r="T305">
        <f t="shared" si="968"/>
        <v>12.085117627057375</v>
      </c>
    </row>
    <row r="306" spans="1:20" x14ac:dyDescent="0.25">
      <c r="A306" s="5">
        <v>44287</v>
      </c>
      <c r="B306">
        <v>0.72680999999999996</v>
      </c>
      <c r="C306">
        <v>0.76329000000000002</v>
      </c>
      <c r="D306">
        <v>0.68311999999999995</v>
      </c>
      <c r="E306">
        <v>0.70796000000000003</v>
      </c>
      <c r="F306">
        <v>53147751.299999997</v>
      </c>
      <c r="G306">
        <v>0</v>
      </c>
      <c r="L306" t="s">
        <v>7</v>
      </c>
      <c r="M306" t="s">
        <v>7</v>
      </c>
      <c r="N306" t="s">
        <v>8</v>
      </c>
      <c r="P306">
        <f t="shared" si="964"/>
        <v>-0.38031682674316925</v>
      </c>
      <c r="Q306">
        <f t="shared" si="965"/>
        <v>-20212984.122951146</v>
      </c>
      <c r="R306">
        <f t="shared" si="966"/>
        <v>1235281894.7553492</v>
      </c>
      <c r="S306">
        <f t="shared" si="967"/>
        <v>12352.818947553491</v>
      </c>
      <c r="T306">
        <f t="shared" si="968"/>
        <v>12.352818947553491</v>
      </c>
    </row>
    <row r="307" spans="1:20" x14ac:dyDescent="0.25">
      <c r="A307" s="5">
        <v>44286</v>
      </c>
      <c r="B307">
        <v>0.80701000000000001</v>
      </c>
      <c r="C307">
        <v>0.87870999999999999</v>
      </c>
      <c r="D307">
        <v>0.71775999999999995</v>
      </c>
      <c r="E307">
        <v>0.72674000000000005</v>
      </c>
      <c r="F307">
        <v>84830667.599999994</v>
      </c>
      <c r="G307">
        <v>0</v>
      </c>
      <c r="L307" t="s">
        <v>8</v>
      </c>
      <c r="M307" t="s">
        <v>7</v>
      </c>
      <c r="N307" t="s">
        <v>8</v>
      </c>
      <c r="P307">
        <f t="shared" si="964"/>
        <v>-0.8884125504815148</v>
      </c>
      <c r="Q307">
        <f t="shared" si="965"/>
        <v>-75364629.761565596</v>
      </c>
      <c r="R307">
        <f t="shared" si="966"/>
        <v>1255494878.8783002</v>
      </c>
      <c r="S307">
        <f t="shared" si="967"/>
        <v>12554.948788783002</v>
      </c>
      <c r="T307">
        <f t="shared" si="968"/>
        <v>12.554948788783001</v>
      </c>
    </row>
    <row r="308" spans="1:20" x14ac:dyDescent="0.25">
      <c r="A308" s="5">
        <v>44285</v>
      </c>
      <c r="B308">
        <v>0.81991000000000003</v>
      </c>
      <c r="C308">
        <v>0.84</v>
      </c>
      <c r="D308">
        <v>0.76610999999999996</v>
      </c>
      <c r="E308">
        <v>0.80994999999999995</v>
      </c>
      <c r="F308">
        <v>45797845</v>
      </c>
      <c r="G308">
        <v>0</v>
      </c>
      <c r="L308" t="s">
        <v>8</v>
      </c>
      <c r="M308" t="s">
        <v>8</v>
      </c>
      <c r="N308" t="s">
        <v>8</v>
      </c>
      <c r="P308">
        <f t="shared" si="964"/>
        <v>0.1866287724996612</v>
      </c>
      <c r="Q308">
        <f t="shared" si="965"/>
        <v>8547195.5954797454</v>
      </c>
      <c r="R308">
        <f t="shared" si="966"/>
        <v>1330859508.6398659</v>
      </c>
      <c r="S308">
        <f t="shared" si="967"/>
        <v>13308.595086398658</v>
      </c>
      <c r="T308">
        <f t="shared" si="968"/>
        <v>13.308595086398658</v>
      </c>
    </row>
    <row r="309" spans="1:20" x14ac:dyDescent="0.25">
      <c r="A309" s="5">
        <v>44284</v>
      </c>
      <c r="B309">
        <v>0.77915000000000001</v>
      </c>
      <c r="C309">
        <v>0.84750000000000003</v>
      </c>
      <c r="D309">
        <v>0.751</v>
      </c>
      <c r="E309">
        <v>0.82</v>
      </c>
      <c r="F309">
        <v>44625550.399999999</v>
      </c>
      <c r="G309">
        <v>0</v>
      </c>
      <c r="L309" t="s">
        <v>7</v>
      </c>
      <c r="M309" t="s">
        <v>8</v>
      </c>
      <c r="N309" t="s">
        <v>8</v>
      </c>
      <c r="P309">
        <f t="shared" si="964"/>
        <v>0.43005181347150112</v>
      </c>
      <c r="Q309">
        <f t="shared" si="965"/>
        <v>19191298.876683872</v>
      </c>
      <c r="R309">
        <f t="shared" si="966"/>
        <v>1322312313.0443861</v>
      </c>
      <c r="S309">
        <f t="shared" si="967"/>
        <v>13223.123130443861</v>
      </c>
      <c r="T309">
        <f t="shared" si="968"/>
        <v>13.223123130443861</v>
      </c>
    </row>
    <row r="310" spans="1:20" x14ac:dyDescent="0.25">
      <c r="A310" s="5">
        <v>44283</v>
      </c>
      <c r="B310">
        <v>0.78890000000000005</v>
      </c>
      <c r="C310">
        <v>0.86499999999999999</v>
      </c>
      <c r="D310">
        <v>0.75</v>
      </c>
      <c r="E310">
        <v>0.77915999999999996</v>
      </c>
      <c r="F310">
        <v>66572003.100000001</v>
      </c>
      <c r="G310">
        <v>0</v>
      </c>
      <c r="L310" t="s">
        <v>8</v>
      </c>
      <c r="M310" t="s">
        <v>8</v>
      </c>
      <c r="N310" t="s">
        <v>8</v>
      </c>
      <c r="P310">
        <f t="shared" si="964"/>
        <v>-0.49286956521739189</v>
      </c>
      <c r="Q310">
        <f t="shared" si="965"/>
        <v>-32811314.223547865</v>
      </c>
      <c r="R310">
        <f t="shared" si="966"/>
        <v>1303121014.1677022</v>
      </c>
      <c r="S310">
        <f t="shared" si="967"/>
        <v>13031.210141677022</v>
      </c>
      <c r="T310">
        <f t="shared" si="968"/>
        <v>13.031210141677022</v>
      </c>
    </row>
    <row r="311" spans="1:20" x14ac:dyDescent="0.25">
      <c r="A311" s="5">
        <v>44282</v>
      </c>
      <c r="B311">
        <v>0.70033000000000001</v>
      </c>
      <c r="C311">
        <v>0.81735999999999998</v>
      </c>
      <c r="D311">
        <v>0.66664999999999996</v>
      </c>
      <c r="E311">
        <v>0.78885000000000005</v>
      </c>
      <c r="F311">
        <v>57976438.899999999</v>
      </c>
      <c r="G311">
        <v>0</v>
      </c>
      <c r="L311" t="s">
        <v>8</v>
      </c>
      <c r="M311" t="s">
        <v>8</v>
      </c>
      <c r="N311" t="s">
        <v>8</v>
      </c>
      <c r="P311">
        <f t="shared" si="964"/>
        <v>0.62165748789065201</v>
      </c>
      <c r="Q311">
        <f t="shared" si="965"/>
        <v>36041487.363419876</v>
      </c>
      <c r="R311">
        <f t="shared" si="966"/>
        <v>1335932328.3912501</v>
      </c>
      <c r="S311">
        <f t="shared" si="967"/>
        <v>13359.323283912501</v>
      </c>
      <c r="T311">
        <f t="shared" si="968"/>
        <v>13.3593232839125</v>
      </c>
    </row>
    <row r="312" spans="1:20" x14ac:dyDescent="0.25">
      <c r="A312" s="5">
        <v>44281</v>
      </c>
      <c r="B312">
        <v>0.60660999999999998</v>
      </c>
      <c r="C312">
        <v>0.74</v>
      </c>
      <c r="D312">
        <v>0.60301000000000005</v>
      </c>
      <c r="E312">
        <v>0.69757000000000002</v>
      </c>
      <c r="F312">
        <v>48742885.299999997</v>
      </c>
      <c r="G312">
        <v>0</v>
      </c>
      <c r="L312" t="s">
        <v>8</v>
      </c>
      <c r="M312" t="s">
        <v>8</v>
      </c>
      <c r="N312" t="s">
        <v>7</v>
      </c>
      <c r="P312">
        <f t="shared" si="964"/>
        <v>0.38053872545441297</v>
      </c>
      <c r="Q312">
        <f t="shared" si="965"/>
        <v>18548555.447032642</v>
      </c>
      <c r="R312">
        <f t="shared" si="966"/>
        <v>1299890841.0278304</v>
      </c>
      <c r="S312">
        <f t="shared" si="967"/>
        <v>12998.908410278304</v>
      </c>
      <c r="T312">
        <f t="shared" si="968"/>
        <v>12.998908410278304</v>
      </c>
    </row>
    <row r="313" spans="1:20" x14ac:dyDescent="0.25">
      <c r="A313" s="5">
        <v>44280</v>
      </c>
      <c r="B313">
        <v>0.61994000000000005</v>
      </c>
      <c r="C313">
        <v>0.64354999999999996</v>
      </c>
      <c r="D313">
        <v>0.55745999999999996</v>
      </c>
      <c r="E313">
        <v>0.60863</v>
      </c>
      <c r="F313">
        <v>42943400.399999999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0.18875595307236726</v>
      </c>
      <c r="Q313">
        <f t="shared" si="965"/>
        <v>8105822.4706702773</v>
      </c>
      <c r="R313">
        <f t="shared" si="966"/>
        <v>1281342285.5807977</v>
      </c>
      <c r="S313">
        <f t="shared" si="967"/>
        <v>12813.422855807978</v>
      </c>
      <c r="T313">
        <f t="shared" si="968"/>
        <v>12.813422855807978</v>
      </c>
    </row>
    <row r="314" spans="1:20" x14ac:dyDescent="0.25">
      <c r="A314" s="5">
        <v>44279</v>
      </c>
      <c r="B314">
        <v>0.62990999999999997</v>
      </c>
      <c r="C314">
        <v>0.73</v>
      </c>
      <c r="D314">
        <v>0.58387999999999995</v>
      </c>
      <c r="E314">
        <v>0.61858000000000002</v>
      </c>
      <c r="F314">
        <v>46760082.899999999</v>
      </c>
      <c r="G314">
        <v>0</v>
      </c>
      <c r="L314" t="s">
        <v>7</v>
      </c>
      <c r="M314" t="s">
        <v>7</v>
      </c>
      <c r="N314" t="s">
        <v>8</v>
      </c>
      <c r="P314">
        <f t="shared" si="964"/>
        <v>-0.52504790583082317</v>
      </c>
      <c r="Q314">
        <f t="shared" si="965"/>
        <v>-24551283.603120685</v>
      </c>
      <c r="R314">
        <f t="shared" si="966"/>
        <v>1273236463.1101274</v>
      </c>
      <c r="S314">
        <f t="shared" si="967"/>
        <v>12732.364631101274</v>
      </c>
      <c r="T314">
        <f t="shared" si="968"/>
        <v>12.732364631101275</v>
      </c>
    </row>
    <row r="315" spans="1:20" x14ac:dyDescent="0.25">
      <c r="A315" s="5">
        <v>44278</v>
      </c>
      <c r="B315">
        <v>0.67203000000000002</v>
      </c>
      <c r="C315">
        <v>0.71523999999999999</v>
      </c>
      <c r="D315">
        <v>0.59638000000000002</v>
      </c>
      <c r="E315">
        <v>0.62812000000000001</v>
      </c>
      <c r="F315">
        <v>56920141.200000003</v>
      </c>
      <c r="G315">
        <v>0</v>
      </c>
      <c r="L315" t="s">
        <v>7</v>
      </c>
      <c r="M315" t="s">
        <v>7</v>
      </c>
      <c r="N315" t="s">
        <v>8</v>
      </c>
      <c r="P315">
        <f t="shared" si="964"/>
        <v>-0.46592629984856132</v>
      </c>
      <c r="Q315">
        <f t="shared" si="965"/>
        <v>-26520590.776173651</v>
      </c>
      <c r="R315">
        <f t="shared" si="966"/>
        <v>1297787746.7132483</v>
      </c>
      <c r="S315">
        <f t="shared" si="967"/>
        <v>12977.877467132483</v>
      </c>
      <c r="T315">
        <f t="shared" si="968"/>
        <v>12.977877467132483</v>
      </c>
    </row>
    <row r="316" spans="1:20" x14ac:dyDescent="0.25">
      <c r="A316" s="5">
        <v>44277</v>
      </c>
      <c r="B316">
        <v>0.63973000000000002</v>
      </c>
      <c r="C316">
        <v>0.77939000000000003</v>
      </c>
      <c r="D316">
        <v>0.59499999999999997</v>
      </c>
      <c r="E316">
        <v>0.67196</v>
      </c>
      <c r="F316">
        <v>112597872.09999999</v>
      </c>
      <c r="G316">
        <v>0</v>
      </c>
      <c r="L316" t="s">
        <v>8</v>
      </c>
      <c r="M316" t="s">
        <v>8</v>
      </c>
      <c r="N316" t="s">
        <v>8</v>
      </c>
      <c r="P316">
        <f t="shared" si="964"/>
        <v>-0.16524757307880031</v>
      </c>
      <c r="Q316">
        <f t="shared" si="965"/>
        <v>-18606525.098362159</v>
      </c>
      <c r="R316">
        <f t="shared" si="966"/>
        <v>1324308337.4894218</v>
      </c>
      <c r="S316">
        <f t="shared" si="967"/>
        <v>13243.083374894219</v>
      </c>
      <c r="T316">
        <f t="shared" si="968"/>
        <v>13.243083374894219</v>
      </c>
    </row>
    <row r="317" spans="1:20" x14ac:dyDescent="0.25">
      <c r="A317" s="5">
        <v>44276</v>
      </c>
      <c r="B317">
        <v>0.58443000000000001</v>
      </c>
      <c r="C317">
        <v>0.65</v>
      </c>
      <c r="D317">
        <v>0.52729000000000004</v>
      </c>
      <c r="E317">
        <v>0.64181999999999995</v>
      </c>
      <c r="F317">
        <v>50206465.100000001</v>
      </c>
      <c r="G317">
        <v>0</v>
      </c>
      <c r="L317" t="s">
        <v>8</v>
      </c>
      <c r="M317" t="s">
        <v>7</v>
      </c>
      <c r="N317" t="s">
        <v>7</v>
      </c>
      <c r="P317">
        <f t="shared" si="964"/>
        <v>0.86667753239344669</v>
      </c>
      <c r="Q317">
        <f t="shared" si="965"/>
        <v>43512815.283065699</v>
      </c>
      <c r="R317">
        <f t="shared" si="966"/>
        <v>1342914862.5877841</v>
      </c>
      <c r="S317">
        <f t="shared" si="967"/>
        <v>13429.14862587784</v>
      </c>
      <c r="T317">
        <f t="shared" si="968"/>
        <v>13.42914862587784</v>
      </c>
    </row>
    <row r="318" spans="1:20" x14ac:dyDescent="0.25">
      <c r="A318" s="5">
        <v>44275</v>
      </c>
      <c r="B318">
        <v>0.60367999999999999</v>
      </c>
      <c r="C318">
        <v>0.64068999999999998</v>
      </c>
      <c r="D318">
        <v>0.58440000000000003</v>
      </c>
      <c r="E318">
        <v>0.58633000000000002</v>
      </c>
      <c r="F318">
        <v>37603032.899999999</v>
      </c>
      <c r="G318">
        <v>0</v>
      </c>
      <c r="L318" t="s">
        <v>8</v>
      </c>
      <c r="M318" t="s">
        <v>7</v>
      </c>
      <c r="N318" t="s">
        <v>7</v>
      </c>
      <c r="P318">
        <f t="shared" si="964"/>
        <v>-0.93142654112631063</v>
      </c>
      <c r="Q318">
        <f t="shared" si="965"/>
        <v>-35024462.869905859</v>
      </c>
      <c r="R318">
        <f t="shared" si="966"/>
        <v>1299402047.3047183</v>
      </c>
      <c r="S318">
        <f t="shared" si="967"/>
        <v>12994.020473047183</v>
      </c>
      <c r="T318">
        <f t="shared" si="968"/>
        <v>12.994020473047183</v>
      </c>
    </row>
    <row r="319" spans="1:20" x14ac:dyDescent="0.25">
      <c r="A319" s="5">
        <v>44274</v>
      </c>
      <c r="B319">
        <v>0.59477999999999998</v>
      </c>
      <c r="C319">
        <v>0.6512</v>
      </c>
      <c r="D319">
        <v>0.56911</v>
      </c>
      <c r="E319">
        <v>0.6038</v>
      </c>
      <c r="F319">
        <v>53050428.899999999</v>
      </c>
      <c r="G319">
        <v>0</v>
      </c>
      <c r="L319" t="s">
        <v>7</v>
      </c>
      <c r="M319" t="s">
        <v>7</v>
      </c>
      <c r="N319" t="s">
        <v>7</v>
      </c>
      <c r="P319">
        <f t="shared" si="964"/>
        <v>-0.15483006456328419</v>
      </c>
      <c r="Q319">
        <f t="shared" si="965"/>
        <v>-8213801.3316969173</v>
      </c>
      <c r="R319">
        <f t="shared" si="966"/>
        <v>1334426510.1746242</v>
      </c>
      <c r="S319">
        <f t="shared" si="967"/>
        <v>13344.265101746241</v>
      </c>
      <c r="T319">
        <f t="shared" si="968"/>
        <v>13.344265101746242</v>
      </c>
    </row>
    <row r="320" spans="1:20" x14ac:dyDescent="0.25">
      <c r="A320" s="5">
        <v>44273</v>
      </c>
      <c r="B320">
        <v>0.65939999999999999</v>
      </c>
      <c r="C320">
        <v>0.66798000000000002</v>
      </c>
      <c r="D320">
        <v>0.58148999999999995</v>
      </c>
      <c r="E320">
        <v>0.59455000000000002</v>
      </c>
      <c r="F320">
        <v>48942130.100000001</v>
      </c>
      <c r="G320">
        <v>0</v>
      </c>
      <c r="L320" t="s">
        <v>7</v>
      </c>
      <c r="M320" t="s">
        <v>7</v>
      </c>
      <c r="N320" t="s">
        <v>7</v>
      </c>
      <c r="P320">
        <f t="shared" si="964"/>
        <v>-0.69799976875939274</v>
      </c>
      <c r="Q320">
        <f t="shared" si="965"/>
        <v>-34161595.492392115</v>
      </c>
      <c r="R320">
        <f t="shared" si="966"/>
        <v>1342640311.5063212</v>
      </c>
      <c r="S320">
        <f t="shared" si="967"/>
        <v>13426.403115063213</v>
      </c>
      <c r="T320">
        <f t="shared" si="968"/>
        <v>13.426403115063213</v>
      </c>
    </row>
    <row r="321" spans="1:20" x14ac:dyDescent="0.25">
      <c r="A321" s="5">
        <v>44272</v>
      </c>
      <c r="B321">
        <v>0.61550000000000005</v>
      </c>
      <c r="C321">
        <v>0.68191000000000002</v>
      </c>
      <c r="D321">
        <v>0.59245999999999999</v>
      </c>
      <c r="E321">
        <v>0.65800000000000003</v>
      </c>
      <c r="F321">
        <v>45906442.799999997</v>
      </c>
      <c r="G321">
        <v>0</v>
      </c>
      <c r="L321" t="s">
        <v>8</v>
      </c>
      <c r="M321" t="s">
        <v>8</v>
      </c>
      <c r="N321" t="s">
        <v>7</v>
      </c>
      <c r="P321">
        <f t="shared" si="964"/>
        <v>0.46539966461710502</v>
      </c>
      <c r="Q321">
        <f t="shared" si="965"/>
        <v>21364843.082884315</v>
      </c>
      <c r="R321">
        <f t="shared" si="966"/>
        <v>1376801906.9987133</v>
      </c>
      <c r="S321">
        <f t="shared" si="967"/>
        <v>13768.019069987133</v>
      </c>
      <c r="T321">
        <f t="shared" si="968"/>
        <v>13.768019069987133</v>
      </c>
    </row>
    <row r="322" spans="1:20" x14ac:dyDescent="0.25">
      <c r="A322" s="5">
        <v>44271</v>
      </c>
      <c r="B322">
        <v>0.64795999999999998</v>
      </c>
      <c r="C322">
        <v>0.66635999999999995</v>
      </c>
      <c r="D322">
        <v>0.56264000000000003</v>
      </c>
      <c r="E322">
        <v>0.61548999999999998</v>
      </c>
      <c r="F322">
        <v>64934663.399999999</v>
      </c>
      <c r="G322">
        <v>0</v>
      </c>
      <c r="L322" t="s">
        <v>7</v>
      </c>
      <c r="M322" t="s">
        <v>7</v>
      </c>
      <c r="N322" t="s">
        <v>7</v>
      </c>
      <c r="P322">
        <f t="shared" si="964"/>
        <v>1.9089857308137132E-2</v>
      </c>
      <c r="Q322">
        <f t="shared" si="965"/>
        <v>1239593.4586579148</v>
      </c>
      <c r="R322">
        <f t="shared" si="966"/>
        <v>1355437063.9158289</v>
      </c>
      <c r="S322">
        <f t="shared" si="967"/>
        <v>13554.370639158289</v>
      </c>
      <c r="T322">
        <f t="shared" si="968"/>
        <v>13.554370639158289</v>
      </c>
    </row>
    <row r="323" spans="1:20" x14ac:dyDescent="0.25">
      <c r="A323" s="5">
        <v>44270</v>
      </c>
      <c r="B323">
        <v>0.68730000000000002</v>
      </c>
      <c r="C323">
        <v>0.73980000000000001</v>
      </c>
      <c r="D323">
        <v>0.57882</v>
      </c>
      <c r="E323">
        <v>0.64610000000000001</v>
      </c>
      <c r="F323">
        <v>66671779.200000003</v>
      </c>
      <c r="G323">
        <v>0</v>
      </c>
      <c r="L323" t="s">
        <v>7</v>
      </c>
      <c r="M323" t="s">
        <v>7</v>
      </c>
      <c r="N323" t="s">
        <v>8</v>
      </c>
      <c r="P323">
        <f t="shared" si="964"/>
        <v>-0.16411976643061249</v>
      </c>
      <c r="Q323">
        <f t="shared" si="965"/>
        <v>-10942156.829817368</v>
      </c>
      <c r="R323">
        <f t="shared" si="966"/>
        <v>1354197470.457171</v>
      </c>
      <c r="S323">
        <f t="shared" si="967"/>
        <v>13541.97470457171</v>
      </c>
      <c r="T323">
        <f t="shared" si="968"/>
        <v>13.541974704571711</v>
      </c>
    </row>
    <row r="324" spans="1:20" x14ac:dyDescent="0.25">
      <c r="A324" s="5">
        <v>44269</v>
      </c>
      <c r="B324">
        <v>0.62095999999999996</v>
      </c>
      <c r="C324">
        <v>0.755</v>
      </c>
      <c r="D324">
        <v>0.60836999999999997</v>
      </c>
      <c r="E324">
        <v>0.68703999999999998</v>
      </c>
      <c r="F324">
        <v>102482032.8</v>
      </c>
      <c r="G324">
        <v>0</v>
      </c>
      <c r="L324" t="s">
        <v>8</v>
      </c>
      <c r="M324" t="s">
        <v>8</v>
      </c>
      <c r="N324" t="s">
        <v>8</v>
      </c>
      <c r="P324">
        <f t="shared" si="964"/>
        <v>7.3040987519607137E-2</v>
      </c>
      <c r="Q324">
        <f t="shared" si="965"/>
        <v>7485388.8787287688</v>
      </c>
      <c r="R324">
        <f t="shared" si="966"/>
        <v>1365139627.2869883</v>
      </c>
      <c r="S324">
        <f t="shared" si="967"/>
        <v>13651.396272869883</v>
      </c>
      <c r="T324">
        <f t="shared" si="968"/>
        <v>13.651396272869883</v>
      </c>
    </row>
    <row r="325" spans="1:20" x14ac:dyDescent="0.25">
      <c r="A325" s="5">
        <v>44268</v>
      </c>
      <c r="B325">
        <v>0.52568000000000004</v>
      </c>
      <c r="C325">
        <v>0.64505999999999997</v>
      </c>
      <c r="D325">
        <v>0.5</v>
      </c>
      <c r="E325">
        <v>0.62092000000000003</v>
      </c>
      <c r="F325">
        <v>90164384.510000005</v>
      </c>
      <c r="G325">
        <v>0</v>
      </c>
      <c r="L325" t="s">
        <v>8</v>
      </c>
      <c r="M325" t="s">
        <v>8</v>
      </c>
      <c r="N325" t="s">
        <v>8</v>
      </c>
      <c r="P325">
        <f t="shared" si="964"/>
        <v>0.66717220460499183</v>
      </c>
      <c r="Q325">
        <f t="shared" si="965"/>
        <v>60155171.190388881</v>
      </c>
      <c r="R325">
        <f t="shared" si="966"/>
        <v>1357654238.4082594</v>
      </c>
      <c r="S325">
        <f t="shared" si="967"/>
        <v>13576.542384082593</v>
      </c>
      <c r="T325">
        <f t="shared" si="968"/>
        <v>13.576542384082593</v>
      </c>
    </row>
    <row r="326" spans="1:20" x14ac:dyDescent="0.25">
      <c r="A326" s="5">
        <v>44267</v>
      </c>
      <c r="B326">
        <v>0.44170999999999999</v>
      </c>
      <c r="C326">
        <v>0.54413999999999996</v>
      </c>
      <c r="D326">
        <v>0.43143999999999999</v>
      </c>
      <c r="E326">
        <v>0.52549999999999997</v>
      </c>
      <c r="F326">
        <v>85176414.969999999</v>
      </c>
      <c r="G326">
        <v>0</v>
      </c>
      <c r="L326" t="s">
        <v>8</v>
      </c>
      <c r="M326" t="s">
        <v>8</v>
      </c>
      <c r="N326" t="s">
        <v>8</v>
      </c>
      <c r="P326">
        <f t="shared" ref="P326:P389" si="969">IF(C326=D326,0,((E326-D326)-(C326-E326))/(C326-D326))</f>
        <v>0.66921029281277733</v>
      </c>
      <c r="Q326">
        <f t="shared" ref="Q326:Q389" si="970">F326*P326</f>
        <v>57000933.602816328</v>
      </c>
      <c r="R326">
        <f t="shared" ref="R326:R389" si="971">R327+Q326</f>
        <v>1297499067.2178705</v>
      </c>
      <c r="S326">
        <f t="shared" ref="S326:S389" si="972">R326/100000</f>
        <v>12974.990672178705</v>
      </c>
      <c r="T326">
        <f t="shared" ref="T326:T389" si="973">S326/1000</f>
        <v>12.974990672178704</v>
      </c>
    </row>
    <row r="327" spans="1:20" x14ac:dyDescent="0.25">
      <c r="A327" s="5">
        <v>44266</v>
      </c>
      <c r="B327">
        <v>0.45535999999999999</v>
      </c>
      <c r="C327">
        <v>0.47199999999999998</v>
      </c>
      <c r="D327">
        <v>0.41299999999999998</v>
      </c>
      <c r="E327">
        <v>0.44166</v>
      </c>
      <c r="F327">
        <v>54542949.200000003</v>
      </c>
      <c r="G327">
        <v>0</v>
      </c>
      <c r="L327" t="s">
        <v>7</v>
      </c>
      <c r="M327" t="s">
        <v>8</v>
      </c>
      <c r="N327" t="s">
        <v>8</v>
      </c>
      <c r="P327">
        <f t="shared" si="969"/>
        <v>-2.8474576271185752E-2</v>
      </c>
      <c r="Q327">
        <f t="shared" si="970"/>
        <v>-1553087.36705081</v>
      </c>
      <c r="R327">
        <f t="shared" si="971"/>
        <v>1240498133.6150541</v>
      </c>
      <c r="S327">
        <f t="shared" si="972"/>
        <v>12404.981336150542</v>
      </c>
      <c r="T327">
        <f t="shared" si="973"/>
        <v>12.404981336150541</v>
      </c>
    </row>
    <row r="328" spans="1:20" x14ac:dyDescent="0.25">
      <c r="A328" s="5">
        <v>44265</v>
      </c>
      <c r="B328">
        <v>0.42873</v>
      </c>
      <c r="C328">
        <v>0.495</v>
      </c>
      <c r="D328">
        <v>0.39341999999999999</v>
      </c>
      <c r="E328">
        <v>0.45400000000000001</v>
      </c>
      <c r="F328">
        <v>72647525.840000004</v>
      </c>
      <c r="G328">
        <v>0</v>
      </c>
      <c r="L328" t="s">
        <v>8</v>
      </c>
      <c r="M328" t="s">
        <v>7</v>
      </c>
      <c r="N328" t="s">
        <v>8</v>
      </c>
      <c r="P328">
        <f t="shared" si="969"/>
        <v>0.19275447922819494</v>
      </c>
      <c r="Q328">
        <f t="shared" si="970"/>
        <v>14003136.010506036</v>
      </c>
      <c r="R328">
        <f t="shared" si="971"/>
        <v>1242051220.982105</v>
      </c>
      <c r="S328">
        <f t="shared" si="972"/>
        <v>12420.51220982105</v>
      </c>
      <c r="T328">
        <f t="shared" si="973"/>
        <v>12.42051220982105</v>
      </c>
    </row>
    <row r="329" spans="1:20" x14ac:dyDescent="0.25">
      <c r="A329" s="5">
        <v>44264</v>
      </c>
      <c r="B329">
        <v>0.44255</v>
      </c>
      <c r="C329">
        <v>0.48499999999999999</v>
      </c>
      <c r="D329">
        <v>0.4249</v>
      </c>
      <c r="E329">
        <v>0.42837999999999998</v>
      </c>
      <c r="F329">
        <v>75236630.599999994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-0.88419301164725517</v>
      </c>
      <c r="Q329">
        <f t="shared" si="970"/>
        <v>-66523702.996406026</v>
      </c>
      <c r="R329">
        <f t="shared" si="971"/>
        <v>1228048084.9715989</v>
      </c>
      <c r="S329">
        <f t="shared" si="972"/>
        <v>12280.480849715988</v>
      </c>
      <c r="T329">
        <f t="shared" si="973"/>
        <v>12.280480849715989</v>
      </c>
    </row>
    <row r="330" spans="1:20" x14ac:dyDescent="0.25">
      <c r="A330" s="5">
        <v>44263</v>
      </c>
      <c r="B330">
        <v>0.37297999999999998</v>
      </c>
      <c r="C330">
        <v>0.44900000000000001</v>
      </c>
      <c r="D330">
        <v>0.36825999999999998</v>
      </c>
      <c r="E330">
        <v>0.44438</v>
      </c>
      <c r="F330">
        <v>77063876.480000004</v>
      </c>
      <c r="G330">
        <v>0</v>
      </c>
      <c r="L330" t="s">
        <v>8</v>
      </c>
      <c r="M330" t="s">
        <v>8</v>
      </c>
      <c r="N330" t="s">
        <v>8</v>
      </c>
      <c r="P330">
        <f t="shared" si="969"/>
        <v>0.88555858310626678</v>
      </c>
      <c r="Q330">
        <f t="shared" si="970"/>
        <v>68244577.264305159</v>
      </c>
      <c r="R330">
        <f t="shared" si="971"/>
        <v>1294571787.9680049</v>
      </c>
      <c r="S330">
        <f t="shared" si="972"/>
        <v>12945.717879680049</v>
      </c>
      <c r="T330">
        <f t="shared" si="973"/>
        <v>12.94571787968005</v>
      </c>
    </row>
    <row r="331" spans="1:20" x14ac:dyDescent="0.25">
      <c r="A331" s="5">
        <v>44262</v>
      </c>
      <c r="B331">
        <v>0.3831</v>
      </c>
      <c r="C331">
        <v>0.38799</v>
      </c>
      <c r="D331">
        <v>0.35249999999999998</v>
      </c>
      <c r="E331">
        <v>0.37246000000000001</v>
      </c>
      <c r="F331">
        <v>34463937.200000003</v>
      </c>
      <c r="G331">
        <v>0</v>
      </c>
      <c r="L331" t="s">
        <v>8</v>
      </c>
      <c r="M331" t="s">
        <v>8</v>
      </c>
      <c r="N331" t="s">
        <v>8</v>
      </c>
      <c r="P331">
        <f t="shared" si="969"/>
        <v>0.12482389405466447</v>
      </c>
      <c r="Q331">
        <f t="shared" si="970"/>
        <v>4301922.8457594104</v>
      </c>
      <c r="R331">
        <f t="shared" si="971"/>
        <v>1226327210.7036998</v>
      </c>
      <c r="S331">
        <f t="shared" si="972"/>
        <v>12263.272107036999</v>
      </c>
      <c r="T331">
        <f t="shared" si="973"/>
        <v>12.263272107036999</v>
      </c>
    </row>
    <row r="332" spans="1:20" x14ac:dyDescent="0.25">
      <c r="A332" s="5">
        <v>44261</v>
      </c>
      <c r="B332">
        <v>0.37431999999999999</v>
      </c>
      <c r="C332">
        <v>0.4</v>
      </c>
      <c r="D332">
        <v>0.34856999999999999</v>
      </c>
      <c r="E332">
        <v>0.3831</v>
      </c>
      <c r="F332">
        <v>51387455.700000003</v>
      </c>
      <c r="G332">
        <v>0</v>
      </c>
      <c r="L332" t="s">
        <v>7</v>
      </c>
      <c r="M332" t="s">
        <v>8</v>
      </c>
      <c r="N332" t="s">
        <v>8</v>
      </c>
      <c r="P332">
        <f t="shared" si="969"/>
        <v>0.34279603344351484</v>
      </c>
      <c r="Q332">
        <f t="shared" si="970"/>
        <v>17615415.982714336</v>
      </c>
      <c r="R332">
        <f t="shared" si="971"/>
        <v>1222025287.8579404</v>
      </c>
      <c r="S332">
        <f t="shared" si="972"/>
        <v>12220.252878579404</v>
      </c>
      <c r="T332">
        <f t="shared" si="973"/>
        <v>12.220252878579403</v>
      </c>
    </row>
    <row r="333" spans="1:20" x14ac:dyDescent="0.25">
      <c r="A333" s="5">
        <v>44260</v>
      </c>
      <c r="B333">
        <v>0.32256000000000001</v>
      </c>
      <c r="C333">
        <v>0.4</v>
      </c>
      <c r="D333">
        <v>0.30145</v>
      </c>
      <c r="E333">
        <v>0.37369999999999998</v>
      </c>
      <c r="F333">
        <v>108326867.87</v>
      </c>
      <c r="G333">
        <v>0</v>
      </c>
      <c r="L333" t="s">
        <v>8</v>
      </c>
      <c r="M333" t="s">
        <v>8</v>
      </c>
      <c r="N333" t="s">
        <v>8</v>
      </c>
      <c r="P333">
        <f t="shared" si="969"/>
        <v>0.46626078132927368</v>
      </c>
      <c r="Q333">
        <f t="shared" si="970"/>
        <v>50508570.052019194</v>
      </c>
      <c r="R333">
        <f t="shared" si="971"/>
        <v>1204409871.875226</v>
      </c>
      <c r="S333">
        <f t="shared" si="972"/>
        <v>12044.098718752261</v>
      </c>
      <c r="T333">
        <f t="shared" si="973"/>
        <v>12.044098718752261</v>
      </c>
    </row>
    <row r="334" spans="1:20" x14ac:dyDescent="0.25">
      <c r="A334" s="5">
        <v>44259</v>
      </c>
      <c r="B334">
        <v>0.36192999999999997</v>
      </c>
      <c r="C334">
        <v>0.37289</v>
      </c>
      <c r="D334">
        <v>0.31509999999999999</v>
      </c>
      <c r="E334">
        <v>0.32349</v>
      </c>
      <c r="F334">
        <v>79345108.700000003</v>
      </c>
      <c r="G334">
        <v>0</v>
      </c>
      <c r="L334" t="s">
        <v>8</v>
      </c>
      <c r="M334" t="s">
        <v>8</v>
      </c>
      <c r="N334" t="s">
        <v>8</v>
      </c>
      <c r="P334">
        <f t="shared" si="969"/>
        <v>-0.70963834573455586</v>
      </c>
      <c r="Q334">
        <f t="shared" si="970"/>
        <v>-56306331.67999652</v>
      </c>
      <c r="R334">
        <f t="shared" si="971"/>
        <v>1153901301.8232069</v>
      </c>
      <c r="S334">
        <f t="shared" si="972"/>
        <v>11539.013018232068</v>
      </c>
      <c r="T334">
        <f t="shared" si="973"/>
        <v>11.539013018232069</v>
      </c>
    </row>
    <row r="335" spans="1:20" x14ac:dyDescent="0.25">
      <c r="A335" s="5">
        <v>44258</v>
      </c>
      <c r="B335">
        <v>0.31181999999999999</v>
      </c>
      <c r="C335">
        <v>0.37</v>
      </c>
      <c r="D335">
        <v>0.30127999999999999</v>
      </c>
      <c r="E335">
        <v>0.36387999999999998</v>
      </c>
      <c r="F335">
        <v>76500148.459999993</v>
      </c>
      <c r="G335">
        <v>0</v>
      </c>
      <c r="L335" t="s">
        <v>8</v>
      </c>
      <c r="M335" t="s">
        <v>8</v>
      </c>
      <c r="N335" t="s">
        <v>8</v>
      </c>
      <c r="P335">
        <f t="shared" si="969"/>
        <v>0.82188591385331744</v>
      </c>
      <c r="Q335">
        <f t="shared" si="970"/>
        <v>62874394.426961549</v>
      </c>
      <c r="R335">
        <f t="shared" si="971"/>
        <v>1210207633.5032034</v>
      </c>
      <c r="S335">
        <f t="shared" si="972"/>
        <v>12102.076335032034</v>
      </c>
      <c r="T335">
        <f t="shared" si="973"/>
        <v>12.102076335032034</v>
      </c>
    </row>
    <row r="336" spans="1:20" x14ac:dyDescent="0.25">
      <c r="A336" s="5">
        <v>44257</v>
      </c>
      <c r="B336">
        <v>0.27925</v>
      </c>
      <c r="C336">
        <v>0.31607000000000002</v>
      </c>
      <c r="D336">
        <v>0.27</v>
      </c>
      <c r="E336">
        <v>0.31185000000000002</v>
      </c>
      <c r="F336">
        <v>59353616.5</v>
      </c>
      <c r="G336">
        <v>0</v>
      </c>
      <c r="L336" t="s">
        <v>8</v>
      </c>
      <c r="M336" t="s">
        <v>8</v>
      </c>
      <c r="N336" t="s">
        <v>8</v>
      </c>
      <c r="P336">
        <f t="shared" si="969"/>
        <v>0.81680052094638589</v>
      </c>
      <c r="Q336">
        <f t="shared" si="970"/>
        <v>48480064.877252005</v>
      </c>
      <c r="R336">
        <f t="shared" si="971"/>
        <v>1147333239.0762417</v>
      </c>
      <c r="S336">
        <f t="shared" si="972"/>
        <v>11473.332390762418</v>
      </c>
      <c r="T336">
        <f t="shared" si="973"/>
        <v>11.473332390762419</v>
      </c>
    </row>
    <row r="337" spans="1:20" x14ac:dyDescent="0.25">
      <c r="A337" s="5">
        <v>44256</v>
      </c>
      <c r="B337">
        <v>0.24589</v>
      </c>
      <c r="C337">
        <v>0.28799999999999998</v>
      </c>
      <c r="D337">
        <v>0.24309</v>
      </c>
      <c r="E337">
        <v>0.27925</v>
      </c>
      <c r="F337">
        <v>49801055</v>
      </c>
      <c r="G337">
        <v>0</v>
      </c>
      <c r="L337" t="s">
        <v>8</v>
      </c>
      <c r="M337" t="s">
        <v>8</v>
      </c>
      <c r="N337" t="s">
        <v>8</v>
      </c>
      <c r="P337">
        <f t="shared" si="969"/>
        <v>0.61033177466043265</v>
      </c>
      <c r="Q337">
        <f t="shared" si="970"/>
        <v>30395166.278111812</v>
      </c>
      <c r="R337">
        <f t="shared" si="971"/>
        <v>1098853174.1989896</v>
      </c>
      <c r="S337">
        <f t="shared" si="972"/>
        <v>10988.531741989897</v>
      </c>
      <c r="T337">
        <f t="shared" si="973"/>
        <v>10.988531741989897</v>
      </c>
    </row>
    <row r="338" spans="1:20" x14ac:dyDescent="0.25">
      <c r="A338" s="5">
        <v>44255</v>
      </c>
      <c r="B338">
        <v>0.27611999999999998</v>
      </c>
      <c r="C338">
        <v>0.27817999999999998</v>
      </c>
      <c r="D338">
        <v>0.22036</v>
      </c>
      <c r="E338">
        <v>0.24682000000000001</v>
      </c>
      <c r="F338">
        <v>60326795.200000003</v>
      </c>
      <c r="G338">
        <v>0</v>
      </c>
      <c r="L338" t="s">
        <v>7</v>
      </c>
      <c r="M338" t="s">
        <v>7</v>
      </c>
      <c r="N338" t="s">
        <v>8</v>
      </c>
      <c r="P338">
        <f t="shared" si="969"/>
        <v>-8.4745762711863737E-2</v>
      </c>
      <c r="Q338">
        <f t="shared" si="970"/>
        <v>-5112440.2711864002</v>
      </c>
      <c r="R338">
        <f t="shared" si="971"/>
        <v>1068458007.9208778</v>
      </c>
      <c r="S338">
        <f t="shared" si="972"/>
        <v>10684.580079208778</v>
      </c>
      <c r="T338">
        <f t="shared" si="973"/>
        <v>10.684580079208777</v>
      </c>
    </row>
    <row r="339" spans="1:20" x14ac:dyDescent="0.25">
      <c r="A339" s="5">
        <v>44254</v>
      </c>
      <c r="B339">
        <v>0.22502</v>
      </c>
      <c r="C339">
        <v>0.29248000000000002</v>
      </c>
      <c r="D339">
        <v>0.22478999999999999</v>
      </c>
      <c r="E339">
        <v>0.27528999999999998</v>
      </c>
      <c r="F339">
        <v>81679395.200000003</v>
      </c>
      <c r="G339">
        <v>0</v>
      </c>
      <c r="L339" t="s">
        <v>8</v>
      </c>
      <c r="M339" t="s">
        <v>8</v>
      </c>
      <c r="N339" t="s">
        <v>8</v>
      </c>
      <c r="P339">
        <f t="shared" si="969"/>
        <v>0.49209632146550358</v>
      </c>
      <c r="Q339">
        <f t="shared" si="970"/>
        <v>40194129.917447113</v>
      </c>
      <c r="R339">
        <f t="shared" si="971"/>
        <v>1073570448.1920642</v>
      </c>
      <c r="S339">
        <f t="shared" si="972"/>
        <v>10735.704481920642</v>
      </c>
      <c r="T339">
        <f t="shared" si="973"/>
        <v>10.735704481920642</v>
      </c>
    </row>
    <row r="340" spans="1:20" x14ac:dyDescent="0.25">
      <c r="A340" s="5">
        <v>44253</v>
      </c>
      <c r="B340">
        <v>0.22658</v>
      </c>
      <c r="C340">
        <v>0.24323</v>
      </c>
      <c r="D340">
        <v>0.2</v>
      </c>
      <c r="E340">
        <v>0.22514000000000001</v>
      </c>
      <c r="F340">
        <v>51731654.100000001</v>
      </c>
      <c r="G340">
        <v>0</v>
      </c>
      <c r="L340" t="s">
        <v>7</v>
      </c>
      <c r="M340" t="s">
        <v>7</v>
      </c>
      <c r="N340" t="s">
        <v>8</v>
      </c>
      <c r="P340">
        <f t="shared" si="969"/>
        <v>0.16308119361554482</v>
      </c>
      <c r="Q340">
        <f t="shared" si="970"/>
        <v>8436459.8983344939</v>
      </c>
      <c r="R340">
        <f t="shared" si="971"/>
        <v>1033376318.2746171</v>
      </c>
      <c r="S340">
        <f t="shared" si="972"/>
        <v>10333.76318274617</v>
      </c>
      <c r="T340">
        <f t="shared" si="973"/>
        <v>10.33376318274617</v>
      </c>
    </row>
    <row r="341" spans="1:20" x14ac:dyDescent="0.25">
      <c r="A341" s="5">
        <v>44252</v>
      </c>
      <c r="B341">
        <v>0.23286999999999999</v>
      </c>
      <c r="C341">
        <v>0.26400000000000001</v>
      </c>
      <c r="D341">
        <v>0.22313</v>
      </c>
      <c r="E341">
        <v>0.22555</v>
      </c>
      <c r="F341">
        <v>44581365.399999999</v>
      </c>
      <c r="G341">
        <v>0</v>
      </c>
      <c r="L341" t="s">
        <v>7</v>
      </c>
      <c r="M341" t="s">
        <v>7</v>
      </c>
      <c r="N341" t="s">
        <v>8</v>
      </c>
      <c r="P341">
        <f t="shared" si="969"/>
        <v>-0.88157572791778793</v>
      </c>
      <c r="Q341">
        <f t="shared" si="970"/>
        <v>-39301849.654073887</v>
      </c>
      <c r="R341">
        <f t="shared" si="971"/>
        <v>1024939858.3762826</v>
      </c>
      <c r="S341">
        <f t="shared" si="972"/>
        <v>10249.398583762826</v>
      </c>
      <c r="T341">
        <f t="shared" si="973"/>
        <v>10.249398583762826</v>
      </c>
    </row>
    <row r="342" spans="1:20" x14ac:dyDescent="0.25">
      <c r="A342" s="5">
        <v>44251</v>
      </c>
      <c r="B342">
        <v>0.22342000000000001</v>
      </c>
      <c r="C342">
        <v>0.27589999999999998</v>
      </c>
      <c r="D342">
        <v>0.20746999999999999</v>
      </c>
      <c r="E342">
        <v>0.23286999999999999</v>
      </c>
      <c r="F342">
        <v>60216533.899999999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-0.2576355399678501</v>
      </c>
      <c r="Q342">
        <f t="shared" si="970"/>
        <v>-15513919.226318851</v>
      </c>
      <c r="R342">
        <f t="shared" si="971"/>
        <v>1064241708.0303564</v>
      </c>
      <c r="S342">
        <f t="shared" si="972"/>
        <v>10642.417080303565</v>
      </c>
      <c r="T342">
        <f t="shared" si="973"/>
        <v>10.642417080303565</v>
      </c>
    </row>
    <row r="343" spans="1:20" x14ac:dyDescent="0.25">
      <c r="A343" s="5">
        <v>44250</v>
      </c>
      <c r="B343">
        <v>0.27477000000000001</v>
      </c>
      <c r="C343">
        <v>0.27672999999999998</v>
      </c>
      <c r="D343">
        <v>0.17391999999999999</v>
      </c>
      <c r="E343">
        <v>0.22398999999999999</v>
      </c>
      <c r="F343">
        <v>89899332.400000006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-2.5970236358330692E-2</v>
      </c>
      <c r="Q343">
        <f t="shared" si="970"/>
        <v>-2334706.9108841363</v>
      </c>
      <c r="R343">
        <f t="shared" si="971"/>
        <v>1079755627.2566752</v>
      </c>
      <c r="S343">
        <f t="shared" si="972"/>
        <v>10797.556272566753</v>
      </c>
      <c r="T343">
        <f t="shared" si="973"/>
        <v>10.797556272566753</v>
      </c>
    </row>
    <row r="344" spans="1:20" x14ac:dyDescent="0.25">
      <c r="A344" s="5">
        <v>44249</v>
      </c>
      <c r="B344">
        <v>0.29570000000000002</v>
      </c>
      <c r="C344">
        <v>0.29937000000000002</v>
      </c>
      <c r="D344">
        <v>0.22009999999999999</v>
      </c>
      <c r="E344">
        <v>0.27521000000000001</v>
      </c>
      <c r="F344">
        <v>87646447.400000006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0.39043774441781243</v>
      </c>
      <c r="Q344">
        <f t="shared" si="970"/>
        <v>34220481.229090445</v>
      </c>
      <c r="R344">
        <f t="shared" si="971"/>
        <v>1082090334.1675594</v>
      </c>
      <c r="S344">
        <f t="shared" si="972"/>
        <v>10820.903341675594</v>
      </c>
      <c r="T344">
        <f t="shared" si="973"/>
        <v>10.820903341675594</v>
      </c>
    </row>
    <row r="345" spans="1:20" x14ac:dyDescent="0.25">
      <c r="A345" s="5">
        <v>44248</v>
      </c>
      <c r="B345">
        <v>0.28949999999999998</v>
      </c>
      <c r="C345">
        <v>0.31772</v>
      </c>
      <c r="D345">
        <v>0.27160000000000001</v>
      </c>
      <c r="E345">
        <v>0.29609000000000002</v>
      </c>
      <c r="F345">
        <v>68143953.599999994</v>
      </c>
      <c r="G345">
        <v>0</v>
      </c>
      <c r="L345" t="s">
        <v>8</v>
      </c>
      <c r="M345" t="s">
        <v>8</v>
      </c>
      <c r="N345" t="s">
        <v>8</v>
      </c>
      <c r="P345">
        <f t="shared" si="969"/>
        <v>6.2012142237641579E-2</v>
      </c>
      <c r="Q345">
        <f t="shared" si="970"/>
        <v>4225752.5432784474</v>
      </c>
      <c r="R345">
        <f t="shared" si="971"/>
        <v>1047869852.9384689</v>
      </c>
      <c r="S345">
        <f t="shared" si="972"/>
        <v>10478.69852938469</v>
      </c>
      <c r="T345">
        <f t="shared" si="973"/>
        <v>10.47869852938469</v>
      </c>
    </row>
    <row r="346" spans="1:20" x14ac:dyDescent="0.25">
      <c r="A346" s="5">
        <v>44247</v>
      </c>
      <c r="B346">
        <v>0.29148000000000002</v>
      </c>
      <c r="C346">
        <v>0.31922</v>
      </c>
      <c r="D346">
        <v>0.26300000000000001</v>
      </c>
      <c r="E346">
        <v>0.28839999999999999</v>
      </c>
      <c r="F346">
        <v>91116545</v>
      </c>
      <c r="G346">
        <v>0</v>
      </c>
      <c r="L346" t="s">
        <v>7</v>
      </c>
      <c r="M346" t="s">
        <v>7</v>
      </c>
      <c r="N346" t="s">
        <v>8</v>
      </c>
      <c r="P346">
        <f t="shared" si="969"/>
        <v>-9.6406972607613606E-2</v>
      </c>
      <c r="Q346">
        <f t="shared" si="970"/>
        <v>-8784270.2579153925</v>
      </c>
      <c r="R346">
        <f t="shared" si="971"/>
        <v>1043644100.3951905</v>
      </c>
      <c r="S346">
        <f t="shared" si="972"/>
        <v>10436.441003951904</v>
      </c>
      <c r="T346">
        <f t="shared" si="973"/>
        <v>10.436441003951904</v>
      </c>
    </row>
    <row r="347" spans="1:20" x14ac:dyDescent="0.25">
      <c r="A347" s="5">
        <v>44246</v>
      </c>
      <c r="B347">
        <v>0.30704999999999999</v>
      </c>
      <c r="C347">
        <v>0.31741999999999998</v>
      </c>
      <c r="D347">
        <v>0.27</v>
      </c>
      <c r="E347">
        <v>0.29227999999999998</v>
      </c>
      <c r="F347">
        <v>74207457.400000006</v>
      </c>
      <c r="G347">
        <v>0</v>
      </c>
      <c r="L347" t="s">
        <v>7</v>
      </c>
      <c r="M347" t="s">
        <v>7</v>
      </c>
      <c r="N347" t="s">
        <v>8</v>
      </c>
      <c r="P347">
        <f t="shared" si="969"/>
        <v>-6.0312104597217031E-2</v>
      </c>
      <c r="Q347">
        <f t="shared" si="970"/>
        <v>-4475607.9326023273</v>
      </c>
      <c r="R347">
        <f t="shared" si="971"/>
        <v>1052428370.6531059</v>
      </c>
      <c r="S347">
        <f t="shared" si="972"/>
        <v>10524.283706531058</v>
      </c>
      <c r="T347">
        <f t="shared" si="973"/>
        <v>10.524283706531058</v>
      </c>
    </row>
    <row r="348" spans="1:20" x14ac:dyDescent="0.25">
      <c r="A348" s="5">
        <v>44245</v>
      </c>
      <c r="B348">
        <v>0.23602000000000001</v>
      </c>
      <c r="C348">
        <v>0.32600000000000001</v>
      </c>
      <c r="D348">
        <v>0.23602000000000001</v>
      </c>
      <c r="E348">
        <v>0.30729000000000001</v>
      </c>
      <c r="F348">
        <v>159232400.72</v>
      </c>
      <c r="G348">
        <v>0</v>
      </c>
      <c r="L348" t="s">
        <v>8</v>
      </c>
      <c r="M348" t="s">
        <v>8</v>
      </c>
      <c r="N348" t="s">
        <v>8</v>
      </c>
      <c r="P348">
        <f t="shared" si="969"/>
        <v>0.58412980662369407</v>
      </c>
      <c r="Q348">
        <f t="shared" si="970"/>
        <v>93012391.44080016</v>
      </c>
      <c r="R348">
        <f t="shared" si="971"/>
        <v>1056903978.5857081</v>
      </c>
      <c r="S348">
        <f t="shared" si="972"/>
        <v>10569.039785857081</v>
      </c>
      <c r="T348">
        <f t="shared" si="973"/>
        <v>10.569039785857081</v>
      </c>
    </row>
    <row r="349" spans="1:20" x14ac:dyDescent="0.25">
      <c r="A349" s="5">
        <v>44244</v>
      </c>
      <c r="B349">
        <v>0.22655</v>
      </c>
      <c r="C349">
        <v>0.24890999999999999</v>
      </c>
      <c r="D349">
        <v>0.20943000000000001</v>
      </c>
      <c r="E349">
        <v>0.23594000000000001</v>
      </c>
      <c r="F349">
        <v>29811102.399999999</v>
      </c>
      <c r="G349">
        <v>0</v>
      </c>
      <c r="L349" t="s">
        <v>7</v>
      </c>
      <c r="M349" t="s">
        <v>7</v>
      </c>
      <c r="N349" t="s">
        <v>7</v>
      </c>
      <c r="P349">
        <f t="shared" si="969"/>
        <v>0.34295845997973728</v>
      </c>
      <c r="Q349">
        <f t="shared" si="970"/>
        <v>10223969.769402249</v>
      </c>
      <c r="R349">
        <f t="shared" si="971"/>
        <v>963891587.14490795</v>
      </c>
      <c r="S349">
        <f t="shared" si="972"/>
        <v>9638.9158714490786</v>
      </c>
      <c r="T349">
        <f t="shared" si="973"/>
        <v>9.638915871449079</v>
      </c>
    </row>
    <row r="350" spans="1:20" x14ac:dyDescent="0.25">
      <c r="A350" s="5">
        <v>44243</v>
      </c>
      <c r="B350">
        <v>0.2394</v>
      </c>
      <c r="C350">
        <v>0.25796000000000002</v>
      </c>
      <c r="D350">
        <v>0.21609</v>
      </c>
      <c r="E350">
        <v>0.22678999999999999</v>
      </c>
      <c r="F350">
        <v>38789254.399999999</v>
      </c>
      <c r="G350">
        <v>0</v>
      </c>
      <c r="L350" t="s">
        <v>8</v>
      </c>
      <c r="M350" t="s">
        <v>8</v>
      </c>
      <c r="N350" t="s">
        <v>7</v>
      </c>
      <c r="P350">
        <f t="shared" si="969"/>
        <v>-0.48889419632194969</v>
      </c>
      <c r="Q350">
        <f t="shared" si="970"/>
        <v>-18963841.355815649</v>
      </c>
      <c r="R350">
        <f t="shared" si="971"/>
        <v>953667617.37550569</v>
      </c>
      <c r="S350">
        <f t="shared" si="972"/>
        <v>9536.6761737550569</v>
      </c>
      <c r="T350">
        <f t="shared" si="973"/>
        <v>9.5366761737550565</v>
      </c>
    </row>
    <row r="351" spans="1:20" x14ac:dyDescent="0.25">
      <c r="A351" s="5">
        <v>44242</v>
      </c>
      <c r="B351">
        <v>0.24868000000000001</v>
      </c>
      <c r="C351">
        <v>0.27733999999999998</v>
      </c>
      <c r="D351">
        <v>0.1888</v>
      </c>
      <c r="E351">
        <v>0.2394</v>
      </c>
      <c r="F351">
        <v>69962419.900000006</v>
      </c>
      <c r="G351">
        <v>0</v>
      </c>
      <c r="L351" t="s">
        <v>7</v>
      </c>
      <c r="M351" t="s">
        <v>7</v>
      </c>
      <c r="N351" t="s">
        <v>7</v>
      </c>
      <c r="P351">
        <f t="shared" si="969"/>
        <v>0.1429862209171</v>
      </c>
      <c r="Q351">
        <f t="shared" si="970"/>
        <v>10003662.027716314</v>
      </c>
      <c r="R351">
        <f t="shared" si="971"/>
        <v>972631458.73132133</v>
      </c>
      <c r="S351">
        <f t="shared" si="972"/>
        <v>9726.3145873132125</v>
      </c>
      <c r="T351">
        <f t="shared" si="973"/>
        <v>9.7263145873132117</v>
      </c>
    </row>
    <row r="352" spans="1:20" x14ac:dyDescent="0.25">
      <c r="A352" s="5">
        <v>44241</v>
      </c>
      <c r="B352">
        <v>0.26445000000000002</v>
      </c>
      <c r="C352">
        <v>0.2873</v>
      </c>
      <c r="D352">
        <v>0.23477999999999999</v>
      </c>
      <c r="E352">
        <v>0.24812999999999999</v>
      </c>
      <c r="F352">
        <v>61947369.299999997</v>
      </c>
      <c r="G352">
        <v>0</v>
      </c>
      <c r="L352" t="s">
        <v>8</v>
      </c>
      <c r="M352" t="s">
        <v>7</v>
      </c>
      <c r="N352" t="s">
        <v>8</v>
      </c>
      <c r="P352">
        <f t="shared" si="969"/>
        <v>-0.49162223914699171</v>
      </c>
      <c r="Q352">
        <f t="shared" si="970"/>
        <v>-30454704.404531613</v>
      </c>
      <c r="R352">
        <f t="shared" si="971"/>
        <v>962627796.70360506</v>
      </c>
      <c r="S352">
        <f t="shared" si="972"/>
        <v>9626.2779670360505</v>
      </c>
      <c r="T352">
        <f t="shared" si="973"/>
        <v>9.6262779670360512</v>
      </c>
    </row>
    <row r="353" spans="1:20" x14ac:dyDescent="0.25">
      <c r="A353" s="5">
        <v>44240</v>
      </c>
      <c r="B353">
        <v>0.25164999999999998</v>
      </c>
      <c r="C353">
        <v>0.28660000000000002</v>
      </c>
      <c r="D353">
        <v>0.22624</v>
      </c>
      <c r="E353">
        <v>0.26401999999999998</v>
      </c>
      <c r="F353">
        <v>80192696.840000004</v>
      </c>
      <c r="G353">
        <v>0</v>
      </c>
      <c r="L353" t="s">
        <v>8</v>
      </c>
      <c r="M353" t="s">
        <v>8</v>
      </c>
      <c r="N353" t="s">
        <v>8</v>
      </c>
      <c r="P353">
        <f t="shared" si="969"/>
        <v>0.25182239893969399</v>
      </c>
      <c r="Q353">
        <f t="shared" si="970"/>
        <v>20194317.295692418</v>
      </c>
      <c r="R353">
        <f t="shared" si="971"/>
        <v>993082501.10813665</v>
      </c>
      <c r="S353">
        <f t="shared" si="972"/>
        <v>9930.825011081366</v>
      </c>
      <c r="T353">
        <f t="shared" si="973"/>
        <v>9.9308250110813656</v>
      </c>
    </row>
    <row r="354" spans="1:20" x14ac:dyDescent="0.25">
      <c r="A354" s="5">
        <v>44239</v>
      </c>
      <c r="B354">
        <v>0.23499</v>
      </c>
      <c r="C354">
        <v>0.27</v>
      </c>
      <c r="D354">
        <v>0.223</v>
      </c>
      <c r="E354">
        <v>0.25158000000000003</v>
      </c>
      <c r="F354">
        <v>66513092.100000001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0.21617021276595802</v>
      </c>
      <c r="Q354">
        <f t="shared" si="970"/>
        <v>14378149.270978762</v>
      </c>
      <c r="R354">
        <f t="shared" si="971"/>
        <v>972888183.81244421</v>
      </c>
      <c r="S354">
        <f t="shared" si="972"/>
        <v>9728.8818381244419</v>
      </c>
      <c r="T354">
        <f t="shared" si="973"/>
        <v>9.7288818381244422</v>
      </c>
    </row>
    <row r="355" spans="1:20" x14ac:dyDescent="0.25">
      <c r="A355" s="5">
        <v>44238</v>
      </c>
      <c r="B355">
        <v>0.23921999999999999</v>
      </c>
      <c r="C355">
        <v>0.25863000000000003</v>
      </c>
      <c r="D355">
        <v>0.21956999999999999</v>
      </c>
      <c r="E355">
        <v>0.23532</v>
      </c>
      <c r="F355">
        <v>63208848.600000001</v>
      </c>
      <c r="G355">
        <v>0</v>
      </c>
      <c r="L355" t="s">
        <v>7</v>
      </c>
      <c r="M355" t="s">
        <v>8</v>
      </c>
      <c r="N355" t="s">
        <v>8</v>
      </c>
      <c r="P355">
        <f t="shared" si="969"/>
        <v>-0.19354838709677427</v>
      </c>
      <c r="Q355">
        <f t="shared" si="970"/>
        <v>-12233970.6967742</v>
      </c>
      <c r="R355">
        <f t="shared" si="971"/>
        <v>958510034.5414654</v>
      </c>
      <c r="S355">
        <f t="shared" si="972"/>
        <v>9585.1003454146539</v>
      </c>
      <c r="T355">
        <f t="shared" si="973"/>
        <v>9.5851003454146539</v>
      </c>
    </row>
    <row r="356" spans="1:20" x14ac:dyDescent="0.25">
      <c r="A356" s="5">
        <v>44237</v>
      </c>
      <c r="B356">
        <v>0.25194</v>
      </c>
      <c r="C356">
        <v>0.27622000000000002</v>
      </c>
      <c r="D356">
        <v>0.2064</v>
      </c>
      <c r="E356">
        <v>0.23952000000000001</v>
      </c>
      <c r="F356">
        <v>79231285.819999993</v>
      </c>
      <c r="G356">
        <v>0</v>
      </c>
      <c r="L356" t="s">
        <v>8</v>
      </c>
      <c r="M356" t="s">
        <v>7</v>
      </c>
      <c r="N356" t="s">
        <v>8</v>
      </c>
      <c r="P356">
        <f t="shared" si="969"/>
        <v>-5.1274706387854467E-2</v>
      </c>
      <c r="Q356">
        <f t="shared" si="970"/>
        <v>-4062560.9171526767</v>
      </c>
      <c r="R356">
        <f t="shared" si="971"/>
        <v>970744005.23823965</v>
      </c>
      <c r="S356">
        <f t="shared" si="972"/>
        <v>9707.440052382397</v>
      </c>
      <c r="T356">
        <f t="shared" si="973"/>
        <v>9.7074400523823972</v>
      </c>
    </row>
    <row r="357" spans="1:20" x14ac:dyDescent="0.25">
      <c r="A357" s="5">
        <v>44236</v>
      </c>
      <c r="B357">
        <v>0.21376000000000001</v>
      </c>
      <c r="C357">
        <v>0.27479999999999999</v>
      </c>
      <c r="D357">
        <v>0.20599999999999999</v>
      </c>
      <c r="E357">
        <v>0.25112000000000001</v>
      </c>
      <c r="F357">
        <v>104719827.72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0.31162790697674481</v>
      </c>
      <c r="Q357">
        <f t="shared" si="970"/>
        <v>32633620.731348902</v>
      </c>
      <c r="R357">
        <f t="shared" si="971"/>
        <v>974806566.15539229</v>
      </c>
      <c r="S357">
        <f t="shared" si="972"/>
        <v>9748.0656615539228</v>
      </c>
      <c r="T357">
        <f t="shared" si="973"/>
        <v>9.7480656615539232</v>
      </c>
    </row>
    <row r="358" spans="1:20" x14ac:dyDescent="0.25">
      <c r="A358" s="5">
        <v>44235</v>
      </c>
      <c r="B358">
        <v>0.18218999999999999</v>
      </c>
      <c r="C358">
        <v>0.22950000000000001</v>
      </c>
      <c r="D358">
        <v>0.17812</v>
      </c>
      <c r="E358">
        <v>0.21432000000000001</v>
      </c>
      <c r="F358">
        <v>136022792.84999999</v>
      </c>
      <c r="G358">
        <v>0</v>
      </c>
      <c r="L358" t="s">
        <v>8</v>
      </c>
      <c r="M358" t="s">
        <v>8</v>
      </c>
      <c r="N358" t="s">
        <v>8</v>
      </c>
      <c r="P358">
        <f t="shared" si="969"/>
        <v>0.40910860256909315</v>
      </c>
      <c r="Q358">
        <f t="shared" si="970"/>
        <v>55648094.700408734</v>
      </c>
      <c r="R358">
        <f t="shared" si="971"/>
        <v>942172945.42404342</v>
      </c>
      <c r="S358">
        <f t="shared" si="972"/>
        <v>9421.7294542404343</v>
      </c>
      <c r="T358">
        <f t="shared" si="973"/>
        <v>9.4217294542404346</v>
      </c>
    </row>
    <row r="359" spans="1:20" x14ac:dyDescent="0.25">
      <c r="A359" s="5">
        <v>44234</v>
      </c>
      <c r="B359">
        <v>0.17</v>
      </c>
      <c r="C359">
        <v>0.18844</v>
      </c>
      <c r="D359">
        <v>0.15273</v>
      </c>
      <c r="E359">
        <v>0.18214</v>
      </c>
      <c r="F359">
        <v>68659964.400000006</v>
      </c>
      <c r="G359">
        <v>0</v>
      </c>
      <c r="L359" t="s">
        <v>8</v>
      </c>
      <c r="M359" t="s">
        <v>8</v>
      </c>
      <c r="N359" t="s">
        <v>8</v>
      </c>
      <c r="P359">
        <f t="shared" si="969"/>
        <v>0.64715765891907018</v>
      </c>
      <c r="Q359">
        <f t="shared" si="970"/>
        <v>44433821.822570704</v>
      </c>
      <c r="R359">
        <f t="shared" si="971"/>
        <v>886524850.72363472</v>
      </c>
      <c r="S359">
        <f t="shared" si="972"/>
        <v>8865.248507236347</v>
      </c>
      <c r="T359">
        <f t="shared" si="973"/>
        <v>8.8652485072363465</v>
      </c>
    </row>
    <row r="360" spans="1:20" x14ac:dyDescent="0.25">
      <c r="A360" s="5">
        <v>44233</v>
      </c>
      <c r="B360">
        <v>0.17912</v>
      </c>
      <c r="C360">
        <v>0.18024999999999999</v>
      </c>
      <c r="D360">
        <v>0.15085000000000001</v>
      </c>
      <c r="E360">
        <v>0.17</v>
      </c>
      <c r="F360">
        <v>66797149.100000001</v>
      </c>
      <c r="G360">
        <v>0</v>
      </c>
      <c r="L360" t="s">
        <v>7</v>
      </c>
      <c r="M360" t="s">
        <v>7</v>
      </c>
      <c r="N360" t="s">
        <v>8</v>
      </c>
      <c r="P360">
        <f t="shared" si="969"/>
        <v>0.30272108843537499</v>
      </c>
      <c r="Q360">
        <f t="shared" si="970"/>
        <v>20220905.679932028</v>
      </c>
      <c r="R360">
        <f t="shared" si="971"/>
        <v>842091028.90106404</v>
      </c>
      <c r="S360">
        <f t="shared" si="972"/>
        <v>8420.9102890106406</v>
      </c>
      <c r="T360">
        <f t="shared" si="973"/>
        <v>8.4209102890106404</v>
      </c>
    </row>
    <row r="361" spans="1:20" x14ac:dyDescent="0.25">
      <c r="A361" s="5">
        <v>44232</v>
      </c>
      <c r="B361">
        <v>0.14843000000000001</v>
      </c>
      <c r="C361">
        <v>0.1888</v>
      </c>
      <c r="D361">
        <v>0.14702000000000001</v>
      </c>
      <c r="E361">
        <v>0.17848</v>
      </c>
      <c r="F361">
        <v>98621473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0.50598372426998561</v>
      </c>
      <c r="Q361">
        <f t="shared" si="970"/>
        <v>49900860.201531827</v>
      </c>
      <c r="R361">
        <f t="shared" si="971"/>
        <v>821870123.22113204</v>
      </c>
      <c r="S361">
        <f t="shared" si="972"/>
        <v>8218.7012322113205</v>
      </c>
      <c r="T361">
        <f t="shared" si="973"/>
        <v>8.2187012322113198</v>
      </c>
    </row>
    <row r="362" spans="1:20" x14ac:dyDescent="0.25">
      <c r="A362" s="5">
        <v>44231</v>
      </c>
      <c r="B362">
        <v>0.15819</v>
      </c>
      <c r="C362">
        <v>0.1585</v>
      </c>
      <c r="D362">
        <v>0.13</v>
      </c>
      <c r="E362">
        <v>0.14849000000000001</v>
      </c>
      <c r="F362">
        <v>76147102.299999997</v>
      </c>
      <c r="G362">
        <v>0</v>
      </c>
      <c r="L362" t="s">
        <v>7</v>
      </c>
      <c r="M362" t="s">
        <v>7</v>
      </c>
      <c r="N362" t="s">
        <v>8</v>
      </c>
      <c r="P362">
        <f t="shared" si="969"/>
        <v>0.29754385964912339</v>
      </c>
      <c r="Q362">
        <f t="shared" si="970"/>
        <v>22657102.719438639</v>
      </c>
      <c r="R362">
        <f t="shared" si="971"/>
        <v>771969263.01960015</v>
      </c>
      <c r="S362">
        <f t="shared" si="972"/>
        <v>7719.6926301960011</v>
      </c>
      <c r="T362">
        <f t="shared" si="973"/>
        <v>7.7196926301960014</v>
      </c>
    </row>
    <row r="363" spans="1:20" x14ac:dyDescent="0.25">
      <c r="A363" s="5">
        <v>44230</v>
      </c>
      <c r="B363">
        <v>0.10993</v>
      </c>
      <c r="C363">
        <v>0.16</v>
      </c>
      <c r="D363">
        <v>0.10983</v>
      </c>
      <c r="E363">
        <v>0.15841</v>
      </c>
      <c r="F363">
        <v>134649000.80000001</v>
      </c>
      <c r="G363">
        <v>0</v>
      </c>
      <c r="L363" t="s">
        <v>8</v>
      </c>
      <c r="M363" t="s">
        <v>8</v>
      </c>
      <c r="N363" t="s">
        <v>8</v>
      </c>
      <c r="P363">
        <f t="shared" si="969"/>
        <v>0.93661550727526377</v>
      </c>
      <c r="Q363">
        <f t="shared" si="970"/>
        <v>126114342.1883994</v>
      </c>
      <c r="R363">
        <f t="shared" si="971"/>
        <v>749312160.30016148</v>
      </c>
      <c r="S363">
        <f t="shared" si="972"/>
        <v>7493.1216030016149</v>
      </c>
      <c r="T363">
        <f t="shared" si="973"/>
        <v>7.4931216030016152</v>
      </c>
    </row>
    <row r="364" spans="1:20" x14ac:dyDescent="0.25">
      <c r="A364" s="5">
        <v>44229</v>
      </c>
      <c r="B364">
        <v>0.10886999999999999</v>
      </c>
      <c r="C364">
        <v>0.11268</v>
      </c>
      <c r="D364">
        <v>0.105</v>
      </c>
      <c r="E364">
        <v>0.1101</v>
      </c>
      <c r="F364">
        <v>29307259.800000001</v>
      </c>
      <c r="G364">
        <v>0</v>
      </c>
      <c r="L364" t="s">
        <v>7</v>
      </c>
      <c r="M364" t="s">
        <v>8</v>
      </c>
      <c r="N364" t="s">
        <v>8</v>
      </c>
      <c r="P364">
        <f t="shared" si="969"/>
        <v>0.32812500000000083</v>
      </c>
      <c r="Q364">
        <f t="shared" si="970"/>
        <v>9616444.6218750253</v>
      </c>
      <c r="R364">
        <f t="shared" si="971"/>
        <v>623197818.11176205</v>
      </c>
      <c r="S364">
        <f t="shared" si="972"/>
        <v>6231.9781811176208</v>
      </c>
      <c r="T364">
        <f t="shared" si="973"/>
        <v>6.2319781811176211</v>
      </c>
    </row>
    <row r="365" spans="1:20" x14ac:dyDescent="0.25">
      <c r="A365" s="5">
        <v>44228</v>
      </c>
      <c r="B365">
        <v>9.8100000000000007E-2</v>
      </c>
      <c r="C365">
        <v>0.11513</v>
      </c>
      <c r="D365">
        <v>9.5000000000000001E-2</v>
      </c>
      <c r="E365">
        <v>0.10884000000000001</v>
      </c>
      <c r="F365">
        <v>48472490.299999997</v>
      </c>
      <c r="G365">
        <v>0</v>
      </c>
      <c r="L365" t="s">
        <v>8</v>
      </c>
      <c r="M365" t="s">
        <v>8</v>
      </c>
      <c r="N365" t="s">
        <v>8</v>
      </c>
      <c r="P365">
        <f t="shared" si="969"/>
        <v>0.37506209637357263</v>
      </c>
      <c r="Q365">
        <f t="shared" si="970"/>
        <v>18180193.828365665</v>
      </c>
      <c r="R365">
        <f t="shared" si="971"/>
        <v>613581373.489887</v>
      </c>
      <c r="S365">
        <f t="shared" si="972"/>
        <v>6135.8137348988703</v>
      </c>
      <c r="T365">
        <f t="shared" si="973"/>
        <v>6.1358137348988704</v>
      </c>
    </row>
    <row r="366" spans="1:20" x14ac:dyDescent="0.25">
      <c r="A366" s="5">
        <v>44227</v>
      </c>
      <c r="B366">
        <v>0.10453999999999999</v>
      </c>
      <c r="C366">
        <v>0.10564999999999999</v>
      </c>
      <c r="D366">
        <v>9.5079999999999998E-2</v>
      </c>
      <c r="E366">
        <v>9.8030000000000006E-2</v>
      </c>
      <c r="F366">
        <v>33902982.200000003</v>
      </c>
      <c r="G366">
        <v>0</v>
      </c>
      <c r="L366" t="s">
        <v>7</v>
      </c>
      <c r="M366" t="s">
        <v>7</v>
      </c>
      <c r="N366" t="s">
        <v>8</v>
      </c>
      <c r="P366">
        <f t="shared" si="969"/>
        <v>-0.44181646168400962</v>
      </c>
      <c r="Q366">
        <f t="shared" si="970"/>
        <v>-14978895.636139961</v>
      </c>
      <c r="R366">
        <f t="shared" si="971"/>
        <v>595401179.66152132</v>
      </c>
      <c r="S366">
        <f t="shared" si="972"/>
        <v>5954.0117966152129</v>
      </c>
      <c r="T366">
        <f t="shared" si="973"/>
        <v>5.9540117966152133</v>
      </c>
    </row>
    <row r="367" spans="1:20" x14ac:dyDescent="0.25">
      <c r="A367" s="5">
        <v>44226</v>
      </c>
      <c r="B367">
        <v>0.11162999999999999</v>
      </c>
      <c r="C367">
        <v>0.1197</v>
      </c>
      <c r="D367">
        <v>0.10199999999999999</v>
      </c>
      <c r="E367">
        <v>0.10452</v>
      </c>
      <c r="F367">
        <v>48664332.200000003</v>
      </c>
      <c r="G367">
        <v>0</v>
      </c>
      <c r="L367" t="s">
        <v>8</v>
      </c>
      <c r="M367" t="s">
        <v>8</v>
      </c>
      <c r="N367" t="s">
        <v>8</v>
      </c>
      <c r="P367">
        <f t="shared" si="969"/>
        <v>-0.71525423728813475</v>
      </c>
      <c r="Q367">
        <f t="shared" si="970"/>
        <v>-34807369.810847417</v>
      </c>
      <c r="R367">
        <f t="shared" si="971"/>
        <v>610380075.2976613</v>
      </c>
      <c r="S367">
        <f t="shared" si="972"/>
        <v>6103.8007529766128</v>
      </c>
      <c r="T367">
        <f t="shared" si="973"/>
        <v>6.1038007529766132</v>
      </c>
    </row>
    <row r="368" spans="1:20" x14ac:dyDescent="0.25">
      <c r="A368" s="5">
        <v>44225</v>
      </c>
      <c r="B368">
        <v>8.8859999999999995E-2</v>
      </c>
      <c r="C368">
        <v>0.11550000000000001</v>
      </c>
      <c r="D368">
        <v>8.8179999999999994E-2</v>
      </c>
      <c r="E368">
        <v>0.11164</v>
      </c>
      <c r="F368">
        <v>69174021.400000006</v>
      </c>
      <c r="G368">
        <v>0</v>
      </c>
      <c r="L368" t="s">
        <v>8</v>
      </c>
      <c r="M368" t="s">
        <v>8</v>
      </c>
      <c r="N368" t="s">
        <v>8</v>
      </c>
      <c r="P368">
        <f t="shared" si="969"/>
        <v>0.71742313323572471</v>
      </c>
      <c r="Q368">
        <f t="shared" si="970"/>
        <v>49627043.171303079</v>
      </c>
      <c r="R368">
        <f t="shared" si="971"/>
        <v>645187445.10850871</v>
      </c>
      <c r="S368">
        <f t="shared" si="972"/>
        <v>6451.8744510850875</v>
      </c>
      <c r="T368">
        <f t="shared" si="973"/>
        <v>6.4518744510850876</v>
      </c>
    </row>
    <row r="369" spans="1:20" x14ac:dyDescent="0.25">
      <c r="A369" s="5">
        <v>44224</v>
      </c>
      <c r="B369">
        <v>8.9969999999999994E-2</v>
      </c>
      <c r="C369">
        <v>9.6420000000000006E-2</v>
      </c>
      <c r="D369">
        <v>8.7410000000000002E-2</v>
      </c>
      <c r="E369">
        <v>8.8569999999999996E-2</v>
      </c>
      <c r="F369">
        <v>31531639.800000001</v>
      </c>
      <c r="G369">
        <v>0</v>
      </c>
      <c r="L369" t="s">
        <v>7</v>
      </c>
      <c r="M369" t="s">
        <v>8</v>
      </c>
      <c r="N369" t="s">
        <v>8</v>
      </c>
      <c r="P369">
        <f t="shared" si="969"/>
        <v>-0.74250832408435208</v>
      </c>
      <c r="Q369">
        <f t="shared" si="970"/>
        <v>-23412505.023529455</v>
      </c>
      <c r="R369">
        <f t="shared" si="971"/>
        <v>595560401.93720567</v>
      </c>
      <c r="S369">
        <f t="shared" si="972"/>
        <v>5955.6040193720564</v>
      </c>
      <c r="T369">
        <f t="shared" si="973"/>
        <v>5.9556040193720561</v>
      </c>
    </row>
    <row r="370" spans="1:20" x14ac:dyDescent="0.25">
      <c r="A370" s="5">
        <v>44223</v>
      </c>
      <c r="B370">
        <v>9.536E-2</v>
      </c>
      <c r="C370">
        <v>0.10456</v>
      </c>
      <c r="D370">
        <v>8.2110000000000002E-2</v>
      </c>
      <c r="E370">
        <v>0.09</v>
      </c>
      <c r="F370">
        <v>61527466.899999999</v>
      </c>
      <c r="G370">
        <v>0</v>
      </c>
      <c r="L370" t="s">
        <v>8</v>
      </c>
      <c r="M370" t="s">
        <v>8</v>
      </c>
      <c r="N370" t="s">
        <v>8</v>
      </c>
      <c r="P370">
        <f t="shared" si="969"/>
        <v>-0.29710467706013405</v>
      </c>
      <c r="Q370">
        <f t="shared" si="970"/>
        <v>-18280098.183652587</v>
      </c>
      <c r="R370">
        <f t="shared" si="971"/>
        <v>618972906.96073508</v>
      </c>
      <c r="S370">
        <f t="shared" si="972"/>
        <v>6189.7290696073505</v>
      </c>
      <c r="T370">
        <f t="shared" si="973"/>
        <v>6.1897290696073508</v>
      </c>
    </row>
    <row r="371" spans="1:20" x14ac:dyDescent="0.25">
      <c r="A371" s="5">
        <v>44222</v>
      </c>
      <c r="B371">
        <v>8.251E-2</v>
      </c>
      <c r="C371">
        <v>9.9500000000000005E-2</v>
      </c>
      <c r="D371">
        <v>0.08</v>
      </c>
      <c r="E371">
        <v>9.5180000000000001E-2</v>
      </c>
      <c r="F371">
        <v>44370329</v>
      </c>
      <c r="G371">
        <v>0</v>
      </c>
      <c r="L371" t="s">
        <v>8</v>
      </c>
      <c r="M371" t="s">
        <v>8</v>
      </c>
      <c r="N371" t="s">
        <v>7</v>
      </c>
      <c r="P371">
        <f t="shared" si="969"/>
        <v>0.55692307692307652</v>
      </c>
      <c r="Q371">
        <f t="shared" si="970"/>
        <v>24710860.150769211</v>
      </c>
      <c r="R371">
        <f t="shared" si="971"/>
        <v>637253005.14438772</v>
      </c>
      <c r="S371">
        <f t="shared" si="972"/>
        <v>6372.5300514438768</v>
      </c>
      <c r="T371">
        <f t="shared" si="973"/>
        <v>6.372530051443877</v>
      </c>
    </row>
    <row r="372" spans="1:20" x14ac:dyDescent="0.25">
      <c r="A372" s="5">
        <v>44221</v>
      </c>
      <c r="B372">
        <v>8.7690000000000004E-2</v>
      </c>
      <c r="C372">
        <v>9.1200000000000003E-2</v>
      </c>
      <c r="D372">
        <v>8.0750000000000002E-2</v>
      </c>
      <c r="E372">
        <v>8.2530000000000006E-2</v>
      </c>
      <c r="F372">
        <v>30208663.800000001</v>
      </c>
      <c r="G372">
        <v>0</v>
      </c>
      <c r="L372" t="s">
        <v>7</v>
      </c>
      <c r="M372" t="s">
        <v>8</v>
      </c>
      <c r="N372" t="s">
        <v>7</v>
      </c>
      <c r="P372">
        <f t="shared" si="969"/>
        <v>-0.65933014354066921</v>
      </c>
      <c r="Q372">
        <f t="shared" si="970"/>
        <v>-19917482.639425818</v>
      </c>
      <c r="R372">
        <f t="shared" si="971"/>
        <v>612542144.99361849</v>
      </c>
      <c r="S372">
        <f t="shared" si="972"/>
        <v>6125.4214499361851</v>
      </c>
      <c r="T372">
        <f t="shared" si="973"/>
        <v>6.1254214499361854</v>
      </c>
    </row>
    <row r="373" spans="1:20" x14ac:dyDescent="0.25">
      <c r="A373" s="5">
        <v>44220</v>
      </c>
      <c r="B373">
        <v>8.9469999999999994E-2</v>
      </c>
      <c r="C373">
        <v>9.3780000000000002E-2</v>
      </c>
      <c r="D373">
        <v>8.2790000000000002E-2</v>
      </c>
      <c r="E373">
        <v>8.7790000000000007E-2</v>
      </c>
      <c r="F373">
        <v>39291168.399999999</v>
      </c>
      <c r="G373">
        <v>0</v>
      </c>
      <c r="L373" t="s">
        <v>7</v>
      </c>
      <c r="M373" t="s">
        <v>8</v>
      </c>
      <c r="N373" t="s">
        <v>7</v>
      </c>
      <c r="P373">
        <f t="shared" si="969"/>
        <v>-9.0081892629662499E-2</v>
      </c>
      <c r="Q373">
        <f t="shared" si="970"/>
        <v>-3539422.8131027878</v>
      </c>
      <c r="R373">
        <f t="shared" si="971"/>
        <v>632459627.63304436</v>
      </c>
      <c r="S373">
        <f t="shared" si="972"/>
        <v>6324.5962763304433</v>
      </c>
      <c r="T373">
        <f t="shared" si="973"/>
        <v>6.3245962763304435</v>
      </c>
    </row>
    <row r="374" spans="1:20" x14ac:dyDescent="0.25">
      <c r="A374" s="5">
        <v>44219</v>
      </c>
      <c r="B374">
        <v>8.9580000000000007E-2</v>
      </c>
      <c r="C374">
        <v>9.3710000000000002E-2</v>
      </c>
      <c r="D374">
        <v>8.4669999999999995E-2</v>
      </c>
      <c r="E374">
        <v>8.9330000000000007E-2</v>
      </c>
      <c r="F374">
        <v>28187605</v>
      </c>
      <c r="G374">
        <v>0</v>
      </c>
      <c r="L374" t="s">
        <v>8</v>
      </c>
      <c r="M374" t="s">
        <v>8</v>
      </c>
      <c r="N374" t="s">
        <v>7</v>
      </c>
      <c r="P374">
        <f t="shared" si="969"/>
        <v>3.0973451327435415E-2</v>
      </c>
      <c r="Q374">
        <f t="shared" si="970"/>
        <v>873067.41150447517</v>
      </c>
      <c r="R374">
        <f t="shared" si="971"/>
        <v>635999050.4461472</v>
      </c>
      <c r="S374">
        <f t="shared" si="972"/>
        <v>6359.9905044614725</v>
      </c>
      <c r="T374">
        <f t="shared" si="973"/>
        <v>6.3599905044614724</v>
      </c>
    </row>
    <row r="375" spans="1:20" x14ac:dyDescent="0.25">
      <c r="A375" s="5">
        <v>44218</v>
      </c>
      <c r="B375">
        <v>8.0640000000000003E-2</v>
      </c>
      <c r="C375">
        <v>9.6189999999999998E-2</v>
      </c>
      <c r="D375">
        <v>7.3810000000000001E-2</v>
      </c>
      <c r="E375">
        <v>8.9550000000000005E-2</v>
      </c>
      <c r="F375">
        <v>39731055.299999997</v>
      </c>
      <c r="G375">
        <v>0</v>
      </c>
      <c r="L375" t="s">
        <v>7</v>
      </c>
      <c r="M375" t="s">
        <v>7</v>
      </c>
      <c r="N375" t="s">
        <v>7</v>
      </c>
      <c r="P375">
        <f t="shared" si="969"/>
        <v>0.40661304736371812</v>
      </c>
      <c r="Q375">
        <f t="shared" si="970"/>
        <v>16155165.470509402</v>
      </c>
      <c r="R375">
        <f t="shared" si="971"/>
        <v>635125983.0346427</v>
      </c>
      <c r="S375">
        <f t="shared" si="972"/>
        <v>6351.2598303464274</v>
      </c>
      <c r="T375">
        <f t="shared" si="973"/>
        <v>6.3512598303464278</v>
      </c>
    </row>
    <row r="376" spans="1:20" x14ac:dyDescent="0.25">
      <c r="A376" s="5">
        <v>44217</v>
      </c>
      <c r="B376">
        <v>9.2119999999999994E-2</v>
      </c>
      <c r="C376">
        <v>9.264E-2</v>
      </c>
      <c r="D376">
        <v>7.8329999999999997E-2</v>
      </c>
      <c r="E376">
        <v>8.0640000000000003E-2</v>
      </c>
      <c r="F376">
        <v>36035473.799999997</v>
      </c>
      <c r="G376">
        <v>0</v>
      </c>
      <c r="L376" t="s">
        <v>7</v>
      </c>
      <c r="M376" t="s">
        <v>7</v>
      </c>
      <c r="N376" t="s">
        <v>8</v>
      </c>
      <c r="P376">
        <f t="shared" si="969"/>
        <v>-0.67714884696016686</v>
      </c>
      <c r="Q376">
        <f t="shared" si="970"/>
        <v>-24401379.533333302</v>
      </c>
      <c r="R376">
        <f t="shared" si="971"/>
        <v>618970817.56413329</v>
      </c>
      <c r="S376">
        <f t="shared" si="972"/>
        <v>6189.7081756413327</v>
      </c>
      <c r="T376">
        <f t="shared" si="973"/>
        <v>6.189708175641333</v>
      </c>
    </row>
    <row r="377" spans="1:20" x14ac:dyDescent="0.25">
      <c r="A377" s="5">
        <v>44216</v>
      </c>
      <c r="B377">
        <v>9.1289999999999996E-2</v>
      </c>
      <c r="C377">
        <v>9.9989999999999996E-2</v>
      </c>
      <c r="D377">
        <v>8.1530000000000005E-2</v>
      </c>
      <c r="E377">
        <v>9.1999999999999998E-2</v>
      </c>
      <c r="F377">
        <v>43323249.700000003</v>
      </c>
      <c r="G377">
        <v>0</v>
      </c>
      <c r="L377" t="s">
        <v>7</v>
      </c>
      <c r="M377" t="s">
        <v>7</v>
      </c>
      <c r="N377" t="s">
        <v>8</v>
      </c>
      <c r="P377">
        <f t="shared" si="969"/>
        <v>0.13434452871072575</v>
      </c>
      <c r="Q377">
        <f t="shared" si="970"/>
        <v>5820241.5631635906</v>
      </c>
      <c r="R377">
        <f t="shared" si="971"/>
        <v>643372197.09746659</v>
      </c>
      <c r="S377">
        <f t="shared" si="972"/>
        <v>6433.721970974666</v>
      </c>
      <c r="T377">
        <f t="shared" si="973"/>
        <v>6.4337219709746662</v>
      </c>
    </row>
    <row r="378" spans="1:20" x14ac:dyDescent="0.25">
      <c r="A378" s="5">
        <v>44215</v>
      </c>
      <c r="B378">
        <v>9.6829999999999999E-2</v>
      </c>
      <c r="C378">
        <v>0.10462</v>
      </c>
      <c r="D378">
        <v>8.8999999999999996E-2</v>
      </c>
      <c r="E378">
        <v>9.1149999999999995E-2</v>
      </c>
      <c r="F378">
        <v>50886785.700000003</v>
      </c>
      <c r="G378">
        <v>0</v>
      </c>
      <c r="L378" t="s">
        <v>8</v>
      </c>
      <c r="M378" t="s">
        <v>8</v>
      </c>
      <c r="N378" t="s">
        <v>8</v>
      </c>
      <c r="P378">
        <f t="shared" si="969"/>
        <v>-0.72471190781049966</v>
      </c>
      <c r="Q378">
        <f t="shared" si="970"/>
        <v>-36878259.546991058</v>
      </c>
      <c r="R378">
        <f t="shared" si="971"/>
        <v>637551955.53430295</v>
      </c>
      <c r="S378">
        <f t="shared" si="972"/>
        <v>6375.5195553430294</v>
      </c>
      <c r="T378">
        <f t="shared" si="973"/>
        <v>6.3755195553430291</v>
      </c>
    </row>
    <row r="379" spans="1:20" x14ac:dyDescent="0.25">
      <c r="A379" s="5">
        <v>44214</v>
      </c>
      <c r="B379">
        <v>9.4950000000000007E-2</v>
      </c>
      <c r="C379">
        <v>0.10051</v>
      </c>
      <c r="D379">
        <v>9.0649999999999994E-2</v>
      </c>
      <c r="E379">
        <v>9.6799999999999997E-2</v>
      </c>
      <c r="F379">
        <v>34696586</v>
      </c>
      <c r="G379">
        <v>0</v>
      </c>
      <c r="L379" t="s">
        <v>8</v>
      </c>
      <c r="M379" t="s">
        <v>8</v>
      </c>
      <c r="N379" t="s">
        <v>8</v>
      </c>
      <c r="P379">
        <f t="shared" si="969"/>
        <v>0.24746450304259593</v>
      </c>
      <c r="Q379">
        <f t="shared" si="970"/>
        <v>8586173.4117646907</v>
      </c>
      <c r="R379">
        <f t="shared" si="971"/>
        <v>674430215.08129406</v>
      </c>
      <c r="S379">
        <f t="shared" si="972"/>
        <v>6744.3021508129405</v>
      </c>
      <c r="T379">
        <f t="shared" si="973"/>
        <v>6.7443021508129402</v>
      </c>
    </row>
    <row r="380" spans="1:20" x14ac:dyDescent="0.25">
      <c r="A380" s="5">
        <v>44213</v>
      </c>
      <c r="B380">
        <v>8.4589999999999999E-2</v>
      </c>
      <c r="C380">
        <v>0.104</v>
      </c>
      <c r="D380">
        <v>7.5079999999999994E-2</v>
      </c>
      <c r="E380">
        <v>9.4869999999999996E-2</v>
      </c>
      <c r="F380">
        <v>75755943.299999997</v>
      </c>
      <c r="G380">
        <v>0</v>
      </c>
      <c r="L380" t="s">
        <v>7</v>
      </c>
      <c r="M380" t="s">
        <v>8</v>
      </c>
      <c r="N380" t="s">
        <v>8</v>
      </c>
      <c r="P380">
        <f t="shared" si="969"/>
        <v>0.36860304287690188</v>
      </c>
      <c r="Q380">
        <f t="shared" si="970"/>
        <v>27923871.216390047</v>
      </c>
      <c r="R380">
        <f t="shared" si="971"/>
        <v>665844041.66952932</v>
      </c>
      <c r="S380">
        <f t="shared" si="972"/>
        <v>6658.4404166952936</v>
      </c>
      <c r="T380">
        <f t="shared" si="973"/>
        <v>6.658440416695294</v>
      </c>
    </row>
    <row r="381" spans="1:20" x14ac:dyDescent="0.25">
      <c r="A381" s="5">
        <v>44212</v>
      </c>
      <c r="B381">
        <v>8.8510000000000005E-2</v>
      </c>
      <c r="C381">
        <v>9.2770000000000005E-2</v>
      </c>
      <c r="D381">
        <v>8.0449999999999994E-2</v>
      </c>
      <c r="E381">
        <v>8.4589999999999999E-2</v>
      </c>
      <c r="F381">
        <v>65600310.100000001</v>
      </c>
      <c r="G381">
        <v>0</v>
      </c>
      <c r="L381" t="s">
        <v>7</v>
      </c>
      <c r="M381" t="s">
        <v>8</v>
      </c>
      <c r="N381" t="s">
        <v>8</v>
      </c>
      <c r="P381">
        <f t="shared" si="969"/>
        <v>-0.32792207792207778</v>
      </c>
      <c r="Q381">
        <f t="shared" si="970"/>
        <v>-21511790.000324667</v>
      </c>
      <c r="R381">
        <f t="shared" si="971"/>
        <v>637920170.45313931</v>
      </c>
      <c r="S381">
        <f t="shared" si="972"/>
        <v>6379.2017045313933</v>
      </c>
      <c r="T381">
        <f t="shared" si="973"/>
        <v>6.3792017045313933</v>
      </c>
    </row>
    <row r="382" spans="1:20" x14ac:dyDescent="0.25">
      <c r="A382" s="5">
        <v>44211</v>
      </c>
      <c r="B382">
        <v>7.6799999999999993E-2</v>
      </c>
      <c r="C382">
        <v>9.1490000000000002E-2</v>
      </c>
      <c r="D382">
        <v>6.5769999999999995E-2</v>
      </c>
      <c r="E382">
        <v>8.8510000000000005E-2</v>
      </c>
      <c r="F382">
        <v>92144736.799999997</v>
      </c>
      <c r="G382">
        <v>0</v>
      </c>
      <c r="L382" t="s">
        <v>8</v>
      </c>
      <c r="M382" t="s">
        <v>8</v>
      </c>
      <c r="N382" t="s">
        <v>8</v>
      </c>
      <c r="P382">
        <f t="shared" si="969"/>
        <v>0.76827371695178881</v>
      </c>
      <c r="Q382">
        <f t="shared" si="970"/>
        <v>70792379.43888028</v>
      </c>
      <c r="R382">
        <f t="shared" si="971"/>
        <v>659431960.45346403</v>
      </c>
      <c r="S382">
        <f t="shared" si="972"/>
        <v>6594.3196045346403</v>
      </c>
      <c r="T382">
        <f t="shared" si="973"/>
        <v>6.5943196045346406</v>
      </c>
    </row>
    <row r="383" spans="1:20" x14ac:dyDescent="0.25">
      <c r="A383" s="5">
        <v>44210</v>
      </c>
      <c r="B383">
        <v>6.6089999999999996E-2</v>
      </c>
      <c r="C383">
        <v>7.9000000000000001E-2</v>
      </c>
      <c r="D383">
        <v>6.4549999999999996E-2</v>
      </c>
      <c r="E383">
        <v>7.6960000000000001E-2</v>
      </c>
      <c r="F383">
        <v>36101520.700000003</v>
      </c>
      <c r="G383">
        <v>0</v>
      </c>
      <c r="L383" t="s">
        <v>8</v>
      </c>
      <c r="M383" t="s">
        <v>8</v>
      </c>
      <c r="N383" t="s">
        <v>8</v>
      </c>
      <c r="P383">
        <f t="shared" si="969"/>
        <v>0.71764705882352953</v>
      </c>
      <c r="Q383">
        <f t="shared" si="970"/>
        <v>25908150.149411771</v>
      </c>
      <c r="R383">
        <f t="shared" si="971"/>
        <v>588639581.01458371</v>
      </c>
      <c r="S383">
        <f t="shared" si="972"/>
        <v>5886.3958101458375</v>
      </c>
      <c r="T383">
        <f t="shared" si="973"/>
        <v>5.8863958101458378</v>
      </c>
    </row>
    <row r="384" spans="1:20" x14ac:dyDescent="0.25">
      <c r="A384" s="5">
        <v>44209</v>
      </c>
      <c r="B384">
        <v>5.8569999999999997E-2</v>
      </c>
      <c r="C384">
        <v>6.7570000000000005E-2</v>
      </c>
      <c r="D384">
        <v>5.6000000000000001E-2</v>
      </c>
      <c r="E384">
        <v>6.6040000000000001E-2</v>
      </c>
      <c r="F384">
        <v>25784672.5</v>
      </c>
      <c r="G384">
        <v>0</v>
      </c>
      <c r="L384" t="s">
        <v>8</v>
      </c>
      <c r="M384" t="s">
        <v>8</v>
      </c>
      <c r="N384" t="s">
        <v>7</v>
      </c>
      <c r="P384">
        <f t="shared" si="969"/>
        <v>0.73552290406222942</v>
      </c>
      <c r="Q384">
        <f t="shared" si="970"/>
        <v>18965217.197493505</v>
      </c>
      <c r="R384">
        <f t="shared" si="971"/>
        <v>562731430.86517191</v>
      </c>
      <c r="S384">
        <f t="shared" si="972"/>
        <v>5627.3143086517193</v>
      </c>
      <c r="T384">
        <f t="shared" si="973"/>
        <v>5.6273143086517194</v>
      </c>
    </row>
    <row r="385" spans="1:20" x14ac:dyDescent="0.25">
      <c r="A385" s="5">
        <v>44208</v>
      </c>
      <c r="B385">
        <v>6.0569999999999999E-2</v>
      </c>
      <c r="C385">
        <v>6.4219999999999999E-2</v>
      </c>
      <c r="D385">
        <v>5.6259999999999998E-2</v>
      </c>
      <c r="E385">
        <v>5.8810000000000001E-2</v>
      </c>
      <c r="F385">
        <v>23596409.600000001</v>
      </c>
      <c r="G385">
        <v>0</v>
      </c>
      <c r="L385" t="s">
        <v>8</v>
      </c>
      <c r="M385" t="s">
        <v>8</v>
      </c>
      <c r="N385" t="s">
        <v>7</v>
      </c>
      <c r="P385">
        <f t="shared" si="969"/>
        <v>-0.35929648241205953</v>
      </c>
      <c r="Q385">
        <f t="shared" si="970"/>
        <v>-8478106.966834154</v>
      </c>
      <c r="R385">
        <f t="shared" si="971"/>
        <v>543766213.66767836</v>
      </c>
      <c r="S385">
        <f t="shared" si="972"/>
        <v>5437.6621366767831</v>
      </c>
      <c r="T385">
        <f t="shared" si="973"/>
        <v>5.4376621366767832</v>
      </c>
    </row>
    <row r="386" spans="1:20" x14ac:dyDescent="0.25">
      <c r="A386" s="5">
        <v>44207</v>
      </c>
      <c r="B386">
        <v>6.9900000000000004E-2</v>
      </c>
      <c r="C386">
        <v>7.0110000000000006E-2</v>
      </c>
      <c r="D386">
        <v>5.203E-2</v>
      </c>
      <c r="E386">
        <v>6.0490000000000002E-2</v>
      </c>
      <c r="F386">
        <v>36700361.100000001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-6.4159292035398288E-2</v>
      </c>
      <c r="Q386">
        <f t="shared" si="970"/>
        <v>-2354669.1856194711</v>
      </c>
      <c r="R386">
        <f t="shared" si="971"/>
        <v>552244320.63451254</v>
      </c>
      <c r="S386">
        <f t="shared" si="972"/>
        <v>5522.4432063451259</v>
      </c>
      <c r="T386">
        <f t="shared" si="973"/>
        <v>5.5224432063451259</v>
      </c>
    </row>
    <row r="387" spans="1:20" x14ac:dyDescent="0.25">
      <c r="A387" s="5">
        <v>44206</v>
      </c>
      <c r="B387">
        <v>7.2569999999999996E-2</v>
      </c>
      <c r="C387">
        <v>7.8399999999999997E-2</v>
      </c>
      <c r="D387">
        <v>6.232E-2</v>
      </c>
      <c r="E387">
        <v>6.9900000000000004E-2</v>
      </c>
      <c r="F387">
        <v>43265182.700000003</v>
      </c>
      <c r="G387">
        <v>0</v>
      </c>
      <c r="L387" t="s">
        <v>7</v>
      </c>
      <c r="M387" t="s">
        <v>7</v>
      </c>
      <c r="N387" t="s">
        <v>7</v>
      </c>
      <c r="P387">
        <f t="shared" si="969"/>
        <v>-5.7213930348258113E-2</v>
      </c>
      <c r="Q387">
        <f t="shared" si="970"/>
        <v>-2475371.1495024622</v>
      </c>
      <c r="R387">
        <f t="shared" si="971"/>
        <v>554598989.82013202</v>
      </c>
      <c r="S387">
        <f t="shared" si="972"/>
        <v>5545.9898982013201</v>
      </c>
      <c r="T387">
        <f t="shared" si="973"/>
        <v>5.54598989820132</v>
      </c>
    </row>
    <row r="388" spans="1:20" x14ac:dyDescent="0.25">
      <c r="A388" s="5">
        <v>44205</v>
      </c>
      <c r="B388">
        <v>7.102E-2</v>
      </c>
      <c r="C388">
        <v>8.0310000000000006E-2</v>
      </c>
      <c r="D388">
        <v>6.9570000000000007E-2</v>
      </c>
      <c r="E388">
        <v>7.2609999999999994E-2</v>
      </c>
      <c r="F388">
        <v>41511631.200000003</v>
      </c>
      <c r="G388">
        <v>0</v>
      </c>
      <c r="L388" t="s">
        <v>8</v>
      </c>
      <c r="M388" t="s">
        <v>8</v>
      </c>
      <c r="N388" t="s">
        <v>7</v>
      </c>
      <c r="P388">
        <f t="shared" si="969"/>
        <v>-0.4338919925512128</v>
      </c>
      <c r="Q388">
        <f t="shared" si="970"/>
        <v>-18011564.375419095</v>
      </c>
      <c r="R388">
        <f t="shared" si="971"/>
        <v>557074360.96963453</v>
      </c>
      <c r="S388">
        <f t="shared" si="972"/>
        <v>5570.7436096963456</v>
      </c>
      <c r="T388">
        <f t="shared" si="973"/>
        <v>5.5707436096963452</v>
      </c>
    </row>
    <row r="389" spans="1:20" x14ac:dyDescent="0.25">
      <c r="A389" s="5">
        <v>44204</v>
      </c>
      <c r="B389">
        <v>7.0999999999999994E-2</v>
      </c>
      <c r="C389">
        <v>8.1949999999999995E-2</v>
      </c>
      <c r="D389">
        <v>6.0199999999999997E-2</v>
      </c>
      <c r="E389">
        <v>7.1040000000000006E-2</v>
      </c>
      <c r="F389">
        <v>57147614.700000003</v>
      </c>
      <c r="G389">
        <v>0</v>
      </c>
      <c r="L389" t="s">
        <v>7</v>
      </c>
      <c r="M389" t="s">
        <v>7</v>
      </c>
      <c r="N389" t="s">
        <v>7</v>
      </c>
      <c r="P389">
        <f t="shared" si="969"/>
        <v>-3.2183908045967727E-3</v>
      </c>
      <c r="Q389">
        <f t="shared" si="970"/>
        <v>-183923.35765511935</v>
      </c>
      <c r="R389">
        <f t="shared" si="971"/>
        <v>575085925.34505367</v>
      </c>
      <c r="S389">
        <f t="shared" si="972"/>
        <v>5750.8592534505369</v>
      </c>
      <c r="T389">
        <f t="shared" si="973"/>
        <v>5.7508592534505372</v>
      </c>
    </row>
    <row r="390" spans="1:20" x14ac:dyDescent="0.25">
      <c r="A390" s="5">
        <v>44203</v>
      </c>
      <c r="B390">
        <v>7.3109999999999994E-2</v>
      </c>
      <c r="C390">
        <v>8.4180000000000005E-2</v>
      </c>
      <c r="D390">
        <v>6.4000000000000001E-2</v>
      </c>
      <c r="E390">
        <v>7.1120000000000003E-2</v>
      </c>
      <c r="F390">
        <v>65402785.700000003</v>
      </c>
      <c r="G390">
        <v>0</v>
      </c>
      <c r="L390" t="s">
        <v>8</v>
      </c>
      <c r="M390" t="s">
        <v>8</v>
      </c>
      <c r="N390" t="s">
        <v>8</v>
      </c>
      <c r="P390">
        <f t="shared" ref="P390:P453" si="974">IF(C390=D390,0,((E390-D390)-(C390-E390))/(C390-D390))</f>
        <v>-0.29435084241823589</v>
      </c>
      <c r="Q390">
        <f t="shared" ref="Q390:Q453" si="975">F390*P390</f>
        <v>-19251365.067294352</v>
      </c>
      <c r="R390">
        <f t="shared" ref="R390:R453" si="976">R391+Q390</f>
        <v>575269848.70270884</v>
      </c>
      <c r="S390">
        <f t="shared" ref="S390:S453" si="977">R390/100000</f>
        <v>5752.698487027088</v>
      </c>
      <c r="T390">
        <f t="shared" ref="T390:T453" si="978">S390/1000</f>
        <v>5.7526984870270876</v>
      </c>
    </row>
    <row r="391" spans="1:20" x14ac:dyDescent="0.25">
      <c r="A391" s="5">
        <v>44202</v>
      </c>
      <c r="B391">
        <v>6.182E-2</v>
      </c>
      <c r="C391">
        <v>7.5999999999999998E-2</v>
      </c>
      <c r="D391">
        <v>5.8000000000000003E-2</v>
      </c>
      <c r="E391">
        <v>7.3109999999999994E-2</v>
      </c>
      <c r="F391">
        <v>69266740</v>
      </c>
      <c r="G391">
        <v>0</v>
      </c>
      <c r="L391" t="s">
        <v>8</v>
      </c>
      <c r="M391" t="s">
        <v>8</v>
      </c>
      <c r="N391" t="s">
        <v>8</v>
      </c>
      <c r="P391">
        <f t="shared" si="974"/>
        <v>0.67888888888888843</v>
      </c>
      <c r="Q391">
        <f t="shared" si="975"/>
        <v>47024420.155555524</v>
      </c>
      <c r="R391">
        <f t="shared" si="976"/>
        <v>594521213.7700032</v>
      </c>
      <c r="S391">
        <f t="shared" si="977"/>
        <v>5945.2121377000321</v>
      </c>
      <c r="T391">
        <f t="shared" si="978"/>
        <v>5.9452121377000324</v>
      </c>
    </row>
    <row r="392" spans="1:20" x14ac:dyDescent="0.25">
      <c r="A392" s="5">
        <v>44201</v>
      </c>
      <c r="B392">
        <v>5.697E-2</v>
      </c>
      <c r="C392">
        <v>6.4500000000000002E-2</v>
      </c>
      <c r="D392">
        <v>5.6180000000000001E-2</v>
      </c>
      <c r="E392">
        <v>6.182E-2</v>
      </c>
      <c r="F392">
        <v>34720941.5</v>
      </c>
      <c r="G392">
        <v>0</v>
      </c>
      <c r="L392" t="s">
        <v>7</v>
      </c>
      <c r="M392" t="s">
        <v>7</v>
      </c>
      <c r="N392" t="s">
        <v>8</v>
      </c>
      <c r="P392">
        <f t="shared" si="974"/>
        <v>0.35576923076923039</v>
      </c>
      <c r="Q392">
        <f t="shared" si="975"/>
        <v>12352642.649038449</v>
      </c>
      <c r="R392">
        <f t="shared" si="976"/>
        <v>547496793.61444771</v>
      </c>
      <c r="S392">
        <f t="shared" si="977"/>
        <v>5474.9679361444769</v>
      </c>
      <c r="T392">
        <f t="shared" si="978"/>
        <v>5.474967936144477</v>
      </c>
    </row>
    <row r="393" spans="1:20" x14ac:dyDescent="0.25">
      <c r="A393" s="5">
        <v>44200</v>
      </c>
      <c r="B393">
        <v>5.6840000000000002E-2</v>
      </c>
      <c r="C393">
        <v>6.7369999999999999E-2</v>
      </c>
      <c r="D393">
        <v>5.1029999999999999E-2</v>
      </c>
      <c r="E393">
        <v>5.7230000000000003E-2</v>
      </c>
      <c r="F393">
        <v>55930957.600000001</v>
      </c>
      <c r="G393">
        <v>0</v>
      </c>
      <c r="L393" t="s">
        <v>8</v>
      </c>
      <c r="M393" t="s">
        <v>8</v>
      </c>
      <c r="N393" t="s">
        <v>8</v>
      </c>
      <c r="P393">
        <f t="shared" si="974"/>
        <v>-0.24112607099143157</v>
      </c>
      <c r="Q393">
        <f t="shared" si="975"/>
        <v>-13486412.05287635</v>
      </c>
      <c r="R393">
        <f t="shared" si="976"/>
        <v>535144150.96540928</v>
      </c>
      <c r="S393">
        <f t="shared" si="977"/>
        <v>5351.4415096540924</v>
      </c>
      <c r="T393">
        <f t="shared" si="978"/>
        <v>5.3514415096540926</v>
      </c>
    </row>
    <row r="394" spans="1:20" x14ac:dyDescent="0.25">
      <c r="A394" s="5">
        <v>44199</v>
      </c>
      <c r="B394">
        <v>5.1229999999999998E-2</v>
      </c>
      <c r="C394">
        <v>5.8500000000000003E-2</v>
      </c>
      <c r="D394">
        <v>0.05</v>
      </c>
      <c r="E394">
        <v>5.6710000000000003E-2</v>
      </c>
      <c r="F394">
        <v>25197786.699999999</v>
      </c>
      <c r="G394">
        <v>0</v>
      </c>
      <c r="L394" t="s">
        <v>8</v>
      </c>
      <c r="M394" t="s">
        <v>7</v>
      </c>
      <c r="N394" t="s">
        <v>7</v>
      </c>
      <c r="P394">
        <f t="shared" si="974"/>
        <v>0.57882352941176474</v>
      </c>
      <c r="Q394">
        <f t="shared" si="975"/>
        <v>14585071.831058824</v>
      </c>
      <c r="R394">
        <f t="shared" si="976"/>
        <v>548630563.01828563</v>
      </c>
      <c r="S394">
        <f t="shared" si="977"/>
        <v>5486.3056301828565</v>
      </c>
      <c r="T394">
        <f t="shared" si="978"/>
        <v>5.4863056301828568</v>
      </c>
    </row>
    <row r="395" spans="1:20" x14ac:dyDescent="0.25">
      <c r="A395" s="5">
        <v>44198</v>
      </c>
      <c r="B395">
        <v>5.3330000000000002E-2</v>
      </c>
      <c r="C395">
        <v>5.5300000000000002E-2</v>
      </c>
      <c r="D395">
        <v>5.015E-2</v>
      </c>
      <c r="E395">
        <v>5.1270000000000003E-2</v>
      </c>
      <c r="F395">
        <v>16856607.100000001</v>
      </c>
      <c r="G395">
        <v>0</v>
      </c>
      <c r="L395" t="s">
        <v>7</v>
      </c>
      <c r="M395" t="s">
        <v>7</v>
      </c>
      <c r="N395" t="s">
        <v>7</v>
      </c>
      <c r="P395">
        <f t="shared" si="974"/>
        <v>-0.56504854368931945</v>
      </c>
      <c r="Q395">
        <f t="shared" si="975"/>
        <v>-9524801.2933980431</v>
      </c>
      <c r="R395">
        <f t="shared" si="976"/>
        <v>534045491.18722677</v>
      </c>
      <c r="S395">
        <f t="shared" si="977"/>
        <v>5340.454911872268</v>
      </c>
      <c r="T395">
        <f t="shared" si="978"/>
        <v>5.3404549118722677</v>
      </c>
    </row>
    <row r="396" spans="1:20" x14ac:dyDescent="0.25">
      <c r="A396" s="5">
        <v>44197</v>
      </c>
      <c r="B396">
        <v>5.16E-2</v>
      </c>
      <c r="C396">
        <v>5.6070000000000002E-2</v>
      </c>
      <c r="D396">
        <v>5.1499999999999997E-2</v>
      </c>
      <c r="E396">
        <v>5.3330000000000002E-2</v>
      </c>
      <c r="F396">
        <v>15879644.5</v>
      </c>
      <c r="G396">
        <v>0</v>
      </c>
      <c r="L396" t="s">
        <v>8</v>
      </c>
      <c r="M396" t="s">
        <v>7</v>
      </c>
      <c r="N396" t="s">
        <v>7</v>
      </c>
      <c r="P396">
        <f t="shared" si="974"/>
        <v>-0.19912472647702259</v>
      </c>
      <c r="Q396">
        <f t="shared" si="975"/>
        <v>-3162029.867614856</v>
      </c>
      <c r="R396">
        <f t="shared" si="976"/>
        <v>543570292.48062479</v>
      </c>
      <c r="S396">
        <f t="shared" si="977"/>
        <v>5435.7029248062481</v>
      </c>
      <c r="T396">
        <f t="shared" si="978"/>
        <v>5.4357029248062485</v>
      </c>
    </row>
    <row r="397" spans="1:20" x14ac:dyDescent="0.25">
      <c r="A397" s="5">
        <v>44196</v>
      </c>
      <c r="B397">
        <v>5.219E-2</v>
      </c>
      <c r="C397">
        <v>5.457E-2</v>
      </c>
      <c r="D397">
        <v>5.008E-2</v>
      </c>
      <c r="E397">
        <v>5.1520000000000003E-2</v>
      </c>
      <c r="F397">
        <v>13816606</v>
      </c>
      <c r="G397">
        <v>0</v>
      </c>
      <c r="L397" t="s">
        <v>8</v>
      </c>
      <c r="M397" t="s">
        <v>7</v>
      </c>
      <c r="N397" t="s">
        <v>7</v>
      </c>
      <c r="P397">
        <f t="shared" si="974"/>
        <v>-0.35857461024498732</v>
      </c>
      <c r="Q397">
        <f t="shared" si="975"/>
        <v>-4954284.1113585532</v>
      </c>
      <c r="R397">
        <f t="shared" si="976"/>
        <v>546732322.34823966</v>
      </c>
      <c r="S397">
        <f t="shared" si="977"/>
        <v>5467.3232234823963</v>
      </c>
      <c r="T397">
        <f t="shared" si="978"/>
        <v>5.4673232234823965</v>
      </c>
    </row>
    <row r="398" spans="1:20" x14ac:dyDescent="0.25">
      <c r="A398" s="5">
        <v>44195</v>
      </c>
      <c r="B398">
        <v>5.2319999999999998E-2</v>
      </c>
      <c r="C398">
        <v>5.3499999999999999E-2</v>
      </c>
      <c r="D398">
        <v>5.0009999999999999E-2</v>
      </c>
      <c r="E398">
        <v>5.2049999999999999E-2</v>
      </c>
      <c r="F398">
        <v>17586079.600000001</v>
      </c>
      <c r="G398">
        <v>0</v>
      </c>
      <c r="L398" t="s">
        <v>8</v>
      </c>
      <c r="M398" t="s">
        <v>7</v>
      </c>
      <c r="N398" t="s">
        <v>7</v>
      </c>
      <c r="P398">
        <f t="shared" si="974"/>
        <v>0.16905444126074506</v>
      </c>
      <c r="Q398">
        <f t="shared" si="975"/>
        <v>2973004.8607449871</v>
      </c>
      <c r="R398">
        <f t="shared" si="976"/>
        <v>551686606.45959818</v>
      </c>
      <c r="S398">
        <f t="shared" si="977"/>
        <v>5516.8660645959817</v>
      </c>
      <c r="T398">
        <f t="shared" si="978"/>
        <v>5.5168660645959813</v>
      </c>
    </row>
    <row r="399" spans="1:20" x14ac:dyDescent="0.25">
      <c r="A399" s="5">
        <v>44194</v>
      </c>
      <c r="B399">
        <v>5.475E-2</v>
      </c>
      <c r="C399">
        <v>5.919E-2</v>
      </c>
      <c r="D399">
        <v>0.05</v>
      </c>
      <c r="E399">
        <v>5.2310000000000002E-2</v>
      </c>
      <c r="F399">
        <v>28729791.399999999</v>
      </c>
      <c r="G399">
        <v>0</v>
      </c>
      <c r="L399" t="s">
        <v>7</v>
      </c>
      <c r="M399" t="s">
        <v>8</v>
      </c>
      <c r="N399" t="s">
        <v>7</v>
      </c>
      <c r="P399">
        <f t="shared" si="974"/>
        <v>-0.49727965179542971</v>
      </c>
      <c r="Q399">
        <f t="shared" si="975"/>
        <v>-14286740.66354733</v>
      </c>
      <c r="R399">
        <f t="shared" si="976"/>
        <v>548713601.59885323</v>
      </c>
      <c r="S399">
        <f t="shared" si="977"/>
        <v>5487.1360159885326</v>
      </c>
      <c r="T399">
        <f t="shared" si="978"/>
        <v>5.4871360159885327</v>
      </c>
    </row>
    <row r="400" spans="1:20" x14ac:dyDescent="0.25">
      <c r="A400" s="5">
        <v>44193</v>
      </c>
      <c r="B400">
        <v>5.321E-2</v>
      </c>
      <c r="C400">
        <v>5.8000000000000003E-2</v>
      </c>
      <c r="D400">
        <v>5.2970000000000003E-2</v>
      </c>
      <c r="E400">
        <v>5.4690000000000003E-2</v>
      </c>
      <c r="F400">
        <v>21424539.100000001</v>
      </c>
      <c r="G400">
        <v>0</v>
      </c>
      <c r="L400" t="s">
        <v>7</v>
      </c>
      <c r="M400" t="s">
        <v>8</v>
      </c>
      <c r="N400" t="s">
        <v>7</v>
      </c>
      <c r="P400">
        <f t="shared" si="974"/>
        <v>-0.31610337972167024</v>
      </c>
      <c r="Q400">
        <f t="shared" si="975"/>
        <v>-6772369.2184890714</v>
      </c>
      <c r="R400">
        <f t="shared" si="976"/>
        <v>563000342.26240051</v>
      </c>
      <c r="S400">
        <f t="shared" si="977"/>
        <v>5630.003422624005</v>
      </c>
      <c r="T400">
        <f t="shared" si="978"/>
        <v>5.6300034226240054</v>
      </c>
    </row>
    <row r="401" spans="1:20" x14ac:dyDescent="0.25">
      <c r="A401" s="5">
        <v>44192</v>
      </c>
      <c r="B401">
        <v>5.0380000000000001E-2</v>
      </c>
      <c r="C401">
        <v>5.7889999999999997E-2</v>
      </c>
      <c r="D401">
        <v>4.829E-2</v>
      </c>
      <c r="E401">
        <v>5.3129999999999997E-2</v>
      </c>
      <c r="F401">
        <v>23274589.600000001</v>
      </c>
      <c r="G401">
        <v>0</v>
      </c>
      <c r="L401" t="s">
        <v>8</v>
      </c>
      <c r="M401" t="s">
        <v>8</v>
      </c>
      <c r="N401" t="s">
        <v>7</v>
      </c>
      <c r="P401">
        <f t="shared" si="974"/>
        <v>8.3333333333329967E-3</v>
      </c>
      <c r="Q401">
        <f t="shared" si="975"/>
        <v>193954.9133333255</v>
      </c>
      <c r="R401">
        <f t="shared" si="976"/>
        <v>569772711.48088956</v>
      </c>
      <c r="S401">
        <f t="shared" si="977"/>
        <v>5697.7271148088957</v>
      </c>
      <c r="T401">
        <f t="shared" si="978"/>
        <v>5.6977271148088962</v>
      </c>
    </row>
    <row r="402" spans="1:20" x14ac:dyDescent="0.25">
      <c r="A402" s="5">
        <v>44191</v>
      </c>
      <c r="B402">
        <v>5.1950000000000003E-2</v>
      </c>
      <c r="C402">
        <v>5.4089999999999999E-2</v>
      </c>
      <c r="D402">
        <v>4.8099999999999997E-2</v>
      </c>
      <c r="E402">
        <v>5.0310000000000001E-2</v>
      </c>
      <c r="F402">
        <v>20840171.199999999</v>
      </c>
      <c r="G402">
        <v>0</v>
      </c>
      <c r="L402" t="s">
        <v>7</v>
      </c>
      <c r="M402" t="s">
        <v>7</v>
      </c>
      <c r="N402" t="s">
        <v>7</v>
      </c>
      <c r="P402">
        <f t="shared" si="974"/>
        <v>-0.26210350584307085</v>
      </c>
      <c r="Q402">
        <f t="shared" si="975"/>
        <v>-5462281.933889797</v>
      </c>
      <c r="R402">
        <f t="shared" si="976"/>
        <v>569578756.56755626</v>
      </c>
      <c r="S402">
        <f t="shared" si="977"/>
        <v>5695.7875656755623</v>
      </c>
      <c r="T402">
        <f t="shared" si="978"/>
        <v>5.6957875656755625</v>
      </c>
    </row>
    <row r="403" spans="1:20" x14ac:dyDescent="0.25">
      <c r="A403" s="5">
        <v>44190</v>
      </c>
      <c r="B403">
        <v>5.1290000000000002E-2</v>
      </c>
      <c r="C403">
        <v>5.305E-2</v>
      </c>
      <c r="D403">
        <v>4.8419999999999998E-2</v>
      </c>
      <c r="E403">
        <v>5.1999999999999998E-2</v>
      </c>
      <c r="F403">
        <v>22385578.100000001</v>
      </c>
      <c r="G403">
        <v>0</v>
      </c>
      <c r="L403" t="s">
        <v>7</v>
      </c>
      <c r="M403" t="s">
        <v>7</v>
      </c>
      <c r="N403" t="s">
        <v>7</v>
      </c>
      <c r="P403">
        <f t="shared" si="974"/>
        <v>0.54643628509719144</v>
      </c>
      <c r="Q403">
        <f t="shared" si="975"/>
        <v>12232292.136717046</v>
      </c>
      <c r="R403">
        <f t="shared" si="976"/>
        <v>575041038.50144601</v>
      </c>
      <c r="S403">
        <f t="shared" si="977"/>
        <v>5750.4103850144602</v>
      </c>
      <c r="T403">
        <f t="shared" si="978"/>
        <v>5.7504103850144599</v>
      </c>
    </row>
    <row r="404" spans="1:20" x14ac:dyDescent="0.25">
      <c r="A404" s="5">
        <v>44189</v>
      </c>
      <c r="B404">
        <v>5.0479999999999997E-2</v>
      </c>
      <c r="C404">
        <v>5.2389999999999999E-2</v>
      </c>
      <c r="D404">
        <v>4.6559999999999997E-2</v>
      </c>
      <c r="E404">
        <v>5.1290000000000002E-2</v>
      </c>
      <c r="F404">
        <v>31567537.300000001</v>
      </c>
      <c r="G404">
        <v>0</v>
      </c>
      <c r="L404" t="s">
        <v>8</v>
      </c>
      <c r="M404" t="s">
        <v>7</v>
      </c>
      <c r="N404" t="s">
        <v>7</v>
      </c>
      <c r="P404">
        <f t="shared" si="974"/>
        <v>0.62264150943396346</v>
      </c>
      <c r="Q404">
        <f t="shared" si="975"/>
        <v>19655259.073584944</v>
      </c>
      <c r="R404">
        <f t="shared" si="976"/>
        <v>562808746.36472893</v>
      </c>
      <c r="S404">
        <f t="shared" si="977"/>
        <v>5628.087463647289</v>
      </c>
      <c r="T404">
        <f t="shared" si="978"/>
        <v>5.6280874636472893</v>
      </c>
    </row>
    <row r="405" spans="1:20" x14ac:dyDescent="0.25">
      <c r="A405" s="5">
        <v>44188</v>
      </c>
      <c r="B405">
        <v>5.3999999999999999E-2</v>
      </c>
      <c r="C405">
        <v>5.9679999999999997E-2</v>
      </c>
      <c r="D405">
        <v>4.7E-2</v>
      </c>
      <c r="E405">
        <v>5.0500000000000003E-2</v>
      </c>
      <c r="F405">
        <v>42670058.100000001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-0.44794952681387951</v>
      </c>
      <c r="Q405">
        <f t="shared" si="975"/>
        <v>-19114032.335015748</v>
      </c>
      <c r="R405">
        <f t="shared" si="976"/>
        <v>543153487.29114401</v>
      </c>
      <c r="S405">
        <f t="shared" si="977"/>
        <v>5431.5348729114403</v>
      </c>
      <c r="T405">
        <f t="shared" si="978"/>
        <v>5.4315348729114401</v>
      </c>
    </row>
    <row r="406" spans="1:20" x14ac:dyDescent="0.25">
      <c r="A406" s="5">
        <v>44187</v>
      </c>
      <c r="B406">
        <v>5.296E-2</v>
      </c>
      <c r="C406">
        <v>5.5620000000000003E-2</v>
      </c>
      <c r="D406">
        <v>4.9090000000000002E-2</v>
      </c>
      <c r="E406">
        <v>5.391E-2</v>
      </c>
      <c r="F406">
        <v>23102277.600000001</v>
      </c>
      <c r="G406">
        <v>0</v>
      </c>
      <c r="L406" t="s">
        <v>7</v>
      </c>
      <c r="M406" t="s">
        <v>7</v>
      </c>
      <c r="N406" t="s">
        <v>8</v>
      </c>
      <c r="P406">
        <f t="shared" si="974"/>
        <v>0.47626339969372039</v>
      </c>
      <c r="Q406">
        <f t="shared" si="975"/>
        <v>11002769.270444084</v>
      </c>
      <c r="R406">
        <f t="shared" si="976"/>
        <v>562267519.62615979</v>
      </c>
      <c r="S406">
        <f t="shared" si="977"/>
        <v>5622.6751962615981</v>
      </c>
      <c r="T406">
        <f t="shared" si="978"/>
        <v>5.6226751962615982</v>
      </c>
    </row>
    <row r="407" spans="1:20" x14ac:dyDescent="0.25">
      <c r="A407" s="5">
        <v>44186</v>
      </c>
      <c r="B407">
        <v>5.6250000000000001E-2</v>
      </c>
      <c r="C407">
        <v>5.8119999999999998E-2</v>
      </c>
      <c r="D407">
        <v>5.0290000000000001E-2</v>
      </c>
      <c r="E407">
        <v>5.289E-2</v>
      </c>
      <c r="F407">
        <v>19675340.699999999</v>
      </c>
      <c r="G407">
        <v>0</v>
      </c>
      <c r="L407" t="s">
        <v>7</v>
      </c>
      <c r="M407" t="s">
        <v>7</v>
      </c>
      <c r="N407" t="s">
        <v>8</v>
      </c>
      <c r="P407">
        <f t="shared" si="974"/>
        <v>-0.3358876117496809</v>
      </c>
      <c r="Q407">
        <f t="shared" si="975"/>
        <v>-6608703.1980842948</v>
      </c>
      <c r="R407">
        <f t="shared" si="976"/>
        <v>551264750.35571575</v>
      </c>
      <c r="S407">
        <f t="shared" si="977"/>
        <v>5512.6475035571575</v>
      </c>
      <c r="T407">
        <f t="shared" si="978"/>
        <v>5.5126475035571572</v>
      </c>
    </row>
    <row r="408" spans="1:20" x14ac:dyDescent="0.25">
      <c r="A408" s="5">
        <v>44185</v>
      </c>
      <c r="B408">
        <v>5.8999999999999997E-2</v>
      </c>
      <c r="C408">
        <v>6.0299999999999999E-2</v>
      </c>
      <c r="D408">
        <v>5.5620000000000003E-2</v>
      </c>
      <c r="E408">
        <v>5.6430000000000001E-2</v>
      </c>
      <c r="F408">
        <v>22961788.800000001</v>
      </c>
      <c r="G408">
        <v>0</v>
      </c>
      <c r="L408" t="s">
        <v>7</v>
      </c>
      <c r="M408" t="s">
        <v>8</v>
      </c>
      <c r="N408" t="s">
        <v>8</v>
      </c>
      <c r="P408">
        <f t="shared" si="974"/>
        <v>-0.65384615384615441</v>
      </c>
      <c r="Q408">
        <f t="shared" si="975"/>
        <v>-15013477.292307707</v>
      </c>
      <c r="R408">
        <f t="shared" si="976"/>
        <v>557873453.55379999</v>
      </c>
      <c r="S408">
        <f t="shared" si="977"/>
        <v>5578.7345355380003</v>
      </c>
      <c r="T408">
        <f t="shared" si="978"/>
        <v>5.5787345355380005</v>
      </c>
    </row>
    <row r="409" spans="1:20" x14ac:dyDescent="0.25">
      <c r="A409" s="5">
        <v>44184</v>
      </c>
      <c r="B409">
        <v>5.9810000000000002E-2</v>
      </c>
      <c r="C409">
        <v>6.4170000000000005E-2</v>
      </c>
      <c r="D409">
        <v>5.8000000000000003E-2</v>
      </c>
      <c r="E409">
        <v>5.8979999999999998E-2</v>
      </c>
      <c r="F409">
        <v>27129445.899999999</v>
      </c>
      <c r="G409">
        <v>0</v>
      </c>
      <c r="L409" t="s">
        <v>8</v>
      </c>
      <c r="M409" t="s">
        <v>8</v>
      </c>
      <c r="N409" t="s">
        <v>8</v>
      </c>
      <c r="P409">
        <f t="shared" si="974"/>
        <v>-0.68233387358184949</v>
      </c>
      <c r="Q409">
        <f t="shared" si="975"/>
        <v>-18511339.909076225</v>
      </c>
      <c r="R409">
        <f t="shared" si="976"/>
        <v>572886930.84610772</v>
      </c>
      <c r="S409">
        <f t="shared" si="977"/>
        <v>5728.8693084610768</v>
      </c>
      <c r="T409">
        <f t="shared" si="978"/>
        <v>5.7288693084610767</v>
      </c>
    </row>
    <row r="410" spans="1:20" x14ac:dyDescent="0.25">
      <c r="A410" s="5">
        <v>44183</v>
      </c>
      <c r="B410">
        <v>5.7000000000000002E-2</v>
      </c>
      <c r="C410">
        <v>6.2820000000000001E-2</v>
      </c>
      <c r="D410">
        <v>5.5500000000000001E-2</v>
      </c>
      <c r="E410">
        <v>5.9950000000000003E-2</v>
      </c>
      <c r="F410">
        <v>28261064.100000001</v>
      </c>
      <c r="G410">
        <v>0</v>
      </c>
      <c r="L410" t="s">
        <v>8</v>
      </c>
      <c r="M410" t="s">
        <v>8</v>
      </c>
      <c r="N410" t="s">
        <v>7</v>
      </c>
      <c r="P410">
        <f t="shared" si="974"/>
        <v>0.21584699453551981</v>
      </c>
      <c r="Q410">
        <f t="shared" si="975"/>
        <v>6100065.7483606758</v>
      </c>
      <c r="R410">
        <f t="shared" si="976"/>
        <v>591398270.75518394</v>
      </c>
      <c r="S410">
        <f t="shared" si="977"/>
        <v>5913.9827075518397</v>
      </c>
      <c r="T410">
        <f t="shared" si="978"/>
        <v>5.9139827075518401</v>
      </c>
    </row>
    <row r="411" spans="1:20" x14ac:dyDescent="0.25">
      <c r="A411" s="5">
        <v>44182</v>
      </c>
      <c r="B411">
        <v>5.5910000000000001E-2</v>
      </c>
      <c r="C411">
        <v>5.9499999999999997E-2</v>
      </c>
      <c r="D411">
        <v>5.348E-2</v>
      </c>
      <c r="E411">
        <v>5.6989999999999999E-2</v>
      </c>
      <c r="F411">
        <v>44517934.399999999</v>
      </c>
      <c r="G411">
        <v>0</v>
      </c>
      <c r="L411" t="s">
        <v>8</v>
      </c>
      <c r="M411" t="s">
        <v>8</v>
      </c>
      <c r="N411" t="s">
        <v>7</v>
      </c>
      <c r="P411">
        <f t="shared" si="974"/>
        <v>0.16611295681063146</v>
      </c>
      <c r="Q411">
        <f t="shared" si="975"/>
        <v>7395005.7142857239</v>
      </c>
      <c r="R411">
        <f t="shared" si="976"/>
        <v>585298205.0068233</v>
      </c>
      <c r="S411">
        <f t="shared" si="977"/>
        <v>5852.9820500682326</v>
      </c>
      <c r="T411">
        <f t="shared" si="978"/>
        <v>5.852982050068233</v>
      </c>
    </row>
    <row r="412" spans="1:20" x14ac:dyDescent="0.25">
      <c r="A412" s="5">
        <v>44181</v>
      </c>
      <c r="B412">
        <v>5.203E-2</v>
      </c>
      <c r="C412">
        <v>5.7549999999999997E-2</v>
      </c>
      <c r="D412">
        <v>5.1220000000000002E-2</v>
      </c>
      <c r="E412">
        <v>5.5890000000000002E-2</v>
      </c>
      <c r="F412">
        <v>33221404.899999999</v>
      </c>
      <c r="G412">
        <v>0</v>
      </c>
      <c r="L412" t="s">
        <v>8</v>
      </c>
      <c r="M412" t="s">
        <v>8</v>
      </c>
      <c r="N412" t="s">
        <v>7</v>
      </c>
      <c r="P412">
        <f t="shared" si="974"/>
        <v>0.47551342812006442</v>
      </c>
      <c r="Q412">
        <f t="shared" si="975"/>
        <v>15797224.130963705</v>
      </c>
      <c r="R412">
        <f t="shared" si="976"/>
        <v>577903199.29253757</v>
      </c>
      <c r="S412">
        <f t="shared" si="977"/>
        <v>5779.0319929253756</v>
      </c>
      <c r="T412">
        <f t="shared" si="978"/>
        <v>5.7790319929253755</v>
      </c>
    </row>
    <row r="413" spans="1:20" x14ac:dyDescent="0.25">
      <c r="A413" s="5">
        <v>44180</v>
      </c>
      <c r="B413">
        <v>5.28E-2</v>
      </c>
      <c r="C413">
        <v>5.3670000000000002E-2</v>
      </c>
      <c r="D413">
        <v>5.074E-2</v>
      </c>
      <c r="E413">
        <v>5.2019999999999997E-2</v>
      </c>
      <c r="F413">
        <v>26175709.800000001</v>
      </c>
      <c r="G413">
        <v>0</v>
      </c>
      <c r="L413" t="s">
        <v>7</v>
      </c>
      <c r="M413" t="s">
        <v>8</v>
      </c>
      <c r="N413" t="s">
        <v>7</v>
      </c>
      <c r="P413">
        <f t="shared" si="974"/>
        <v>-0.12627986348123171</v>
      </c>
      <c r="Q413">
        <f t="shared" si="975"/>
        <v>-3305465.0600683391</v>
      </c>
      <c r="R413">
        <f t="shared" si="976"/>
        <v>562105975.16157389</v>
      </c>
      <c r="S413">
        <f t="shared" si="977"/>
        <v>5621.0597516157386</v>
      </c>
      <c r="T413">
        <f t="shared" si="978"/>
        <v>5.6210597516157383</v>
      </c>
    </row>
    <row r="414" spans="1:20" x14ac:dyDescent="0.25">
      <c r="A414" s="5">
        <v>44179</v>
      </c>
      <c r="B414">
        <v>5.194E-2</v>
      </c>
      <c r="C414">
        <v>5.5500000000000001E-2</v>
      </c>
      <c r="D414">
        <v>5.1700000000000003E-2</v>
      </c>
      <c r="E414">
        <v>5.2679999999999998E-2</v>
      </c>
      <c r="F414">
        <v>24227499</v>
      </c>
      <c r="G414">
        <v>0</v>
      </c>
      <c r="L414" t="s">
        <v>8</v>
      </c>
      <c r="M414" t="s">
        <v>8</v>
      </c>
      <c r="N414" t="s">
        <v>7</v>
      </c>
      <c r="P414">
        <f t="shared" si="974"/>
        <v>-0.48421052631579192</v>
      </c>
      <c r="Q414">
        <f t="shared" si="975"/>
        <v>-11731210.042105323</v>
      </c>
      <c r="R414">
        <f t="shared" si="976"/>
        <v>565411440.22164226</v>
      </c>
      <c r="S414">
        <f t="shared" si="977"/>
        <v>5654.1144022164226</v>
      </c>
      <c r="T414">
        <f t="shared" si="978"/>
        <v>5.6541144022164227</v>
      </c>
    </row>
    <row r="415" spans="1:20" x14ac:dyDescent="0.25">
      <c r="A415" s="5">
        <v>44178</v>
      </c>
      <c r="B415">
        <v>5.0599999999999999E-2</v>
      </c>
      <c r="C415">
        <v>5.2990000000000002E-2</v>
      </c>
      <c r="D415">
        <v>4.9959999999999997E-2</v>
      </c>
      <c r="E415">
        <v>5.1990000000000001E-2</v>
      </c>
      <c r="F415">
        <v>18505544.399999999</v>
      </c>
      <c r="G415">
        <v>0</v>
      </c>
      <c r="L415" t="s">
        <v>7</v>
      </c>
      <c r="M415" t="s">
        <v>8</v>
      </c>
      <c r="N415" t="s">
        <v>7</v>
      </c>
      <c r="P415">
        <f t="shared" si="974"/>
        <v>0.33993399339934044</v>
      </c>
      <c r="Q415">
        <f t="shared" si="975"/>
        <v>6290663.6079208013</v>
      </c>
      <c r="R415">
        <f t="shared" si="976"/>
        <v>577142650.26374757</v>
      </c>
      <c r="S415">
        <f t="shared" si="977"/>
        <v>5771.426502637476</v>
      </c>
      <c r="T415">
        <f t="shared" si="978"/>
        <v>5.7714265026374756</v>
      </c>
    </row>
    <row r="416" spans="1:20" x14ac:dyDescent="0.25">
      <c r="A416" s="5">
        <v>44177</v>
      </c>
      <c r="B416">
        <v>5.1060000000000001E-2</v>
      </c>
      <c r="C416">
        <v>5.4440000000000002E-2</v>
      </c>
      <c r="D416">
        <v>5.0220000000000001E-2</v>
      </c>
      <c r="E416">
        <v>5.0689999999999999E-2</v>
      </c>
      <c r="F416">
        <v>29208243.199999999</v>
      </c>
      <c r="G416">
        <v>0</v>
      </c>
      <c r="L416" t="s">
        <v>8</v>
      </c>
      <c r="M416" t="s">
        <v>8</v>
      </c>
      <c r="N416" t="s">
        <v>7</v>
      </c>
      <c r="P416">
        <f t="shared" si="974"/>
        <v>-0.77725118483412414</v>
      </c>
      <c r="Q416">
        <f t="shared" si="975"/>
        <v>-22702141.634123251</v>
      </c>
      <c r="R416">
        <f t="shared" si="976"/>
        <v>570851986.65582681</v>
      </c>
      <c r="S416">
        <f t="shared" si="977"/>
        <v>5708.5198665582684</v>
      </c>
      <c r="T416">
        <f t="shared" si="978"/>
        <v>5.7085198665582686</v>
      </c>
    </row>
    <row r="417" spans="1:20" x14ac:dyDescent="0.25">
      <c r="A417" s="5">
        <v>44176</v>
      </c>
      <c r="B417">
        <v>5.0310000000000001E-2</v>
      </c>
      <c r="C417">
        <v>5.2819999999999999E-2</v>
      </c>
      <c r="D417">
        <v>4.6980000000000001E-2</v>
      </c>
      <c r="E417">
        <v>5.0959999999999998E-2</v>
      </c>
      <c r="F417">
        <v>23043311.899999999</v>
      </c>
      <c r="G417">
        <v>0</v>
      </c>
      <c r="L417" t="s">
        <v>7</v>
      </c>
      <c r="M417" t="s">
        <v>7</v>
      </c>
      <c r="N417" t="s">
        <v>7</v>
      </c>
      <c r="P417">
        <f t="shared" si="974"/>
        <v>0.36301369863013661</v>
      </c>
      <c r="Q417">
        <f t="shared" si="975"/>
        <v>8365037.8815068398</v>
      </c>
      <c r="R417">
        <f t="shared" si="976"/>
        <v>593554128.28995001</v>
      </c>
      <c r="S417">
        <f t="shared" si="977"/>
        <v>5935.5412828995004</v>
      </c>
      <c r="T417">
        <f t="shared" si="978"/>
        <v>5.9355412828995</v>
      </c>
    </row>
    <row r="418" spans="1:20" x14ac:dyDescent="0.25">
      <c r="A418" s="5">
        <v>44175</v>
      </c>
      <c r="B418">
        <v>4.8550000000000003E-2</v>
      </c>
      <c r="C418">
        <v>5.2999999999999999E-2</v>
      </c>
      <c r="D418">
        <v>4.6219999999999997E-2</v>
      </c>
      <c r="E418">
        <v>5.0139999999999997E-2</v>
      </c>
      <c r="F418">
        <v>25235534.199999999</v>
      </c>
      <c r="G418">
        <v>0</v>
      </c>
      <c r="L418" t="s">
        <v>8</v>
      </c>
      <c r="M418" t="s">
        <v>7</v>
      </c>
      <c r="N418" t="s">
        <v>7</v>
      </c>
      <c r="P418">
        <f t="shared" si="974"/>
        <v>0.15634218289085519</v>
      </c>
      <c r="Q418">
        <f t="shared" si="975"/>
        <v>3945378.5032448308</v>
      </c>
      <c r="R418">
        <f t="shared" si="976"/>
        <v>585189090.40844321</v>
      </c>
      <c r="S418">
        <f t="shared" si="977"/>
        <v>5851.8909040844319</v>
      </c>
      <c r="T418">
        <f t="shared" si="978"/>
        <v>5.8518909040844322</v>
      </c>
    </row>
    <row r="419" spans="1:20" x14ac:dyDescent="0.25">
      <c r="A419" s="5">
        <v>44174</v>
      </c>
      <c r="B419">
        <v>4.7789999999999999E-2</v>
      </c>
      <c r="C419">
        <v>4.8930000000000001E-2</v>
      </c>
      <c r="D419">
        <v>4.4420000000000001E-2</v>
      </c>
      <c r="E419">
        <v>4.8550000000000003E-2</v>
      </c>
      <c r="F419">
        <v>24739635.699999999</v>
      </c>
      <c r="G419">
        <v>0</v>
      </c>
      <c r="L419" t="s">
        <v>7</v>
      </c>
      <c r="M419" t="s">
        <v>7</v>
      </c>
      <c r="N419" t="s">
        <v>7</v>
      </c>
      <c r="P419">
        <f t="shared" si="974"/>
        <v>0.83148558758314928</v>
      </c>
      <c r="Q419">
        <f t="shared" si="975"/>
        <v>20570650.526607554</v>
      </c>
      <c r="R419">
        <f t="shared" si="976"/>
        <v>581243711.90519834</v>
      </c>
      <c r="S419">
        <f t="shared" si="977"/>
        <v>5812.4371190519832</v>
      </c>
      <c r="T419">
        <f t="shared" si="978"/>
        <v>5.8124371190519835</v>
      </c>
    </row>
    <row r="420" spans="1:20" x14ac:dyDescent="0.25">
      <c r="A420" s="5">
        <v>44173</v>
      </c>
      <c r="B420">
        <v>5.3199999999999997E-2</v>
      </c>
      <c r="C420">
        <v>5.3589999999999999E-2</v>
      </c>
      <c r="D420">
        <v>4.6350000000000002E-2</v>
      </c>
      <c r="E420">
        <v>4.793E-2</v>
      </c>
      <c r="F420">
        <v>31293936.199999999</v>
      </c>
      <c r="G420">
        <v>0</v>
      </c>
      <c r="L420" t="s">
        <v>7</v>
      </c>
      <c r="M420" t="s">
        <v>7</v>
      </c>
      <c r="N420" t="s">
        <v>7</v>
      </c>
      <c r="P420">
        <f t="shared" si="974"/>
        <v>-0.56353591160221028</v>
      </c>
      <c r="Q420">
        <f t="shared" si="975"/>
        <v>-17635256.864088409</v>
      </c>
      <c r="R420">
        <f t="shared" si="976"/>
        <v>560673061.37859082</v>
      </c>
      <c r="S420">
        <f t="shared" si="977"/>
        <v>5606.7306137859086</v>
      </c>
      <c r="T420">
        <f t="shared" si="978"/>
        <v>5.606730613785909</v>
      </c>
    </row>
    <row r="421" spans="1:20" x14ac:dyDescent="0.25">
      <c r="A421" s="5">
        <v>44172</v>
      </c>
      <c r="B421">
        <v>5.2069999999999998E-2</v>
      </c>
      <c r="C421">
        <v>5.398E-2</v>
      </c>
      <c r="D421">
        <v>5.1189999999999999E-2</v>
      </c>
      <c r="E421">
        <v>5.3179999999999998E-2</v>
      </c>
      <c r="F421">
        <v>27932374.699999999</v>
      </c>
      <c r="G421">
        <v>0</v>
      </c>
      <c r="L421" t="s">
        <v>8</v>
      </c>
      <c r="M421" t="s">
        <v>8</v>
      </c>
      <c r="N421" t="s">
        <v>7</v>
      </c>
      <c r="P421">
        <f t="shared" si="974"/>
        <v>0.42652329749103807</v>
      </c>
      <c r="Q421">
        <f t="shared" si="975"/>
        <v>11913808.563799245</v>
      </c>
      <c r="R421">
        <f t="shared" si="976"/>
        <v>578308318.24267924</v>
      </c>
      <c r="S421">
        <f t="shared" si="977"/>
        <v>5783.0831824267925</v>
      </c>
      <c r="T421">
        <f t="shared" si="978"/>
        <v>5.7830831824267923</v>
      </c>
    </row>
    <row r="422" spans="1:20" x14ac:dyDescent="0.25">
      <c r="A422" s="5">
        <v>44171</v>
      </c>
      <c r="B422">
        <v>5.3490000000000003E-2</v>
      </c>
      <c r="C422">
        <v>5.3990000000000003E-2</v>
      </c>
      <c r="D422">
        <v>5.1029999999999999E-2</v>
      </c>
      <c r="E422">
        <v>5.2010000000000001E-2</v>
      </c>
      <c r="F422">
        <v>23198109.100000001</v>
      </c>
      <c r="G422">
        <v>0</v>
      </c>
      <c r="L422" t="s">
        <v>8</v>
      </c>
      <c r="M422" t="s">
        <v>8</v>
      </c>
      <c r="N422" t="s">
        <v>7</v>
      </c>
      <c r="P422">
        <f t="shared" si="974"/>
        <v>-0.33783783783783766</v>
      </c>
      <c r="Q422">
        <f t="shared" si="975"/>
        <v>-7837199.0202702666</v>
      </c>
      <c r="R422">
        <f t="shared" si="976"/>
        <v>566394509.67887998</v>
      </c>
      <c r="S422">
        <f t="shared" si="977"/>
        <v>5663.9450967887997</v>
      </c>
      <c r="T422">
        <f t="shared" si="978"/>
        <v>5.6639450967888001</v>
      </c>
    </row>
    <row r="423" spans="1:20" x14ac:dyDescent="0.25">
      <c r="A423" s="5">
        <v>44170</v>
      </c>
      <c r="B423">
        <v>5.0279999999999998E-2</v>
      </c>
      <c r="C423">
        <v>5.3900000000000003E-2</v>
      </c>
      <c r="D423">
        <v>4.9160000000000002E-2</v>
      </c>
      <c r="E423">
        <v>5.3469999999999997E-2</v>
      </c>
      <c r="F423">
        <v>20515210.300000001</v>
      </c>
      <c r="G423">
        <v>0</v>
      </c>
      <c r="L423" t="s">
        <v>7</v>
      </c>
      <c r="M423" t="s">
        <v>8</v>
      </c>
      <c r="N423" t="s">
        <v>7</v>
      </c>
      <c r="P423">
        <f t="shared" si="974"/>
        <v>0.81856540084387908</v>
      </c>
      <c r="Q423">
        <f t="shared" si="975"/>
        <v>16793041.342615977</v>
      </c>
      <c r="R423">
        <f t="shared" si="976"/>
        <v>574231708.6991502</v>
      </c>
      <c r="S423">
        <f t="shared" si="977"/>
        <v>5742.317086991502</v>
      </c>
      <c r="T423">
        <f t="shared" si="978"/>
        <v>5.7423170869915019</v>
      </c>
    </row>
    <row r="424" spans="1:20" x14ac:dyDescent="0.25">
      <c r="A424" s="5">
        <v>44169</v>
      </c>
      <c r="B424">
        <v>5.534E-2</v>
      </c>
      <c r="C424">
        <v>5.595E-2</v>
      </c>
      <c r="D424">
        <v>4.9669999999999999E-2</v>
      </c>
      <c r="E424">
        <v>5.0209999999999998E-2</v>
      </c>
      <c r="F424">
        <v>29077964.300000001</v>
      </c>
      <c r="G424">
        <v>0</v>
      </c>
      <c r="L424" t="s">
        <v>7</v>
      </c>
      <c r="M424" t="s">
        <v>8</v>
      </c>
      <c r="N424" t="s">
        <v>7</v>
      </c>
      <c r="P424">
        <f t="shared" si="974"/>
        <v>-0.82802547770700674</v>
      </c>
      <c r="Q424">
        <f t="shared" si="975"/>
        <v>-24077295.280254789</v>
      </c>
      <c r="R424">
        <f t="shared" si="976"/>
        <v>557438667.35653424</v>
      </c>
      <c r="S424">
        <f t="shared" si="977"/>
        <v>5574.3866735653428</v>
      </c>
      <c r="T424">
        <f t="shared" si="978"/>
        <v>5.5743866735653427</v>
      </c>
    </row>
    <row r="425" spans="1:20" x14ac:dyDescent="0.25">
      <c r="A425" s="5">
        <v>44168</v>
      </c>
      <c r="B425">
        <v>5.2769999999999997E-2</v>
      </c>
      <c r="C425">
        <v>5.8470000000000001E-2</v>
      </c>
      <c r="D425">
        <v>5.2490000000000002E-2</v>
      </c>
      <c r="E425">
        <v>5.5239999999999997E-2</v>
      </c>
      <c r="F425">
        <v>29794004</v>
      </c>
      <c r="G425">
        <v>0</v>
      </c>
      <c r="L425" t="s">
        <v>8</v>
      </c>
      <c r="M425" t="s">
        <v>8</v>
      </c>
      <c r="N425" t="s">
        <v>7</v>
      </c>
      <c r="P425">
        <f t="shared" si="974"/>
        <v>-8.026755852842947E-2</v>
      </c>
      <c r="Q425">
        <f t="shared" si="975"/>
        <v>-2391491.9598662616</v>
      </c>
      <c r="R425">
        <f t="shared" si="976"/>
        <v>581515962.63678908</v>
      </c>
      <c r="S425">
        <f t="shared" si="977"/>
        <v>5815.1596263678912</v>
      </c>
      <c r="T425">
        <f t="shared" si="978"/>
        <v>5.8151596263678913</v>
      </c>
    </row>
    <row r="426" spans="1:20" x14ac:dyDescent="0.25">
      <c r="A426" s="5">
        <v>44167</v>
      </c>
      <c r="B426">
        <v>4.8809999999999999E-2</v>
      </c>
      <c r="C426">
        <v>5.3900000000000003E-2</v>
      </c>
      <c r="D426">
        <v>4.8149999999999998E-2</v>
      </c>
      <c r="E426">
        <v>5.2720000000000003E-2</v>
      </c>
      <c r="F426">
        <v>26186867.899999999</v>
      </c>
      <c r="G426">
        <v>0</v>
      </c>
      <c r="L426" t="s">
        <v>7</v>
      </c>
      <c r="M426" t="s">
        <v>8</v>
      </c>
      <c r="N426" t="s">
        <v>7</v>
      </c>
      <c r="P426">
        <f t="shared" si="974"/>
        <v>0.58956521739130452</v>
      </c>
      <c r="Q426">
        <f t="shared" si="975"/>
        <v>15438866.466260873</v>
      </c>
      <c r="R426">
        <f t="shared" si="976"/>
        <v>583907454.59665537</v>
      </c>
      <c r="S426">
        <f t="shared" si="977"/>
        <v>5839.0745459665541</v>
      </c>
      <c r="T426">
        <f t="shared" si="978"/>
        <v>5.8390745459665538</v>
      </c>
    </row>
    <row r="427" spans="1:20" x14ac:dyDescent="0.25">
      <c r="A427" s="5">
        <v>44166</v>
      </c>
      <c r="B427">
        <v>5.0689999999999999E-2</v>
      </c>
      <c r="C427">
        <v>5.3999999999999999E-2</v>
      </c>
      <c r="D427">
        <v>4.7030000000000002E-2</v>
      </c>
      <c r="E427">
        <v>4.9029999999999997E-2</v>
      </c>
      <c r="F427">
        <v>36387443.200000003</v>
      </c>
      <c r="G427">
        <v>0</v>
      </c>
      <c r="L427" t="s">
        <v>8</v>
      </c>
      <c r="M427" t="s">
        <v>8</v>
      </c>
      <c r="N427" t="s">
        <v>7</v>
      </c>
      <c r="P427">
        <f t="shared" si="974"/>
        <v>-0.42611190817790656</v>
      </c>
      <c r="Q427">
        <f t="shared" si="975"/>
        <v>-15505122.855667192</v>
      </c>
      <c r="R427">
        <f t="shared" si="976"/>
        <v>568468588.13039446</v>
      </c>
      <c r="S427">
        <f t="shared" si="977"/>
        <v>5684.6858813039444</v>
      </c>
      <c r="T427">
        <f t="shared" si="978"/>
        <v>5.6846858813039445</v>
      </c>
    </row>
    <row r="428" spans="1:20" x14ac:dyDescent="0.25">
      <c r="A428" s="5">
        <v>44165</v>
      </c>
      <c r="B428">
        <v>4.9910000000000003E-2</v>
      </c>
      <c r="C428">
        <v>5.1810000000000002E-2</v>
      </c>
      <c r="D428">
        <v>4.8599999999999997E-2</v>
      </c>
      <c r="E428">
        <v>5.0689999999999999E-2</v>
      </c>
      <c r="F428">
        <v>26578302.300000001</v>
      </c>
      <c r="G428">
        <v>0</v>
      </c>
      <c r="L428" t="s">
        <v>8</v>
      </c>
      <c r="M428" t="s">
        <v>7</v>
      </c>
      <c r="N428" t="s">
        <v>7</v>
      </c>
      <c r="P428">
        <f t="shared" si="974"/>
        <v>0.3021806853582546</v>
      </c>
      <c r="Q428">
        <f t="shared" si="975"/>
        <v>8031449.6046728743</v>
      </c>
      <c r="R428">
        <f t="shared" si="976"/>
        <v>583973710.98606169</v>
      </c>
      <c r="S428">
        <f t="shared" si="977"/>
        <v>5839.7371098606172</v>
      </c>
      <c r="T428">
        <f t="shared" si="978"/>
        <v>5.839737109860617</v>
      </c>
    </row>
    <row r="429" spans="1:20" x14ac:dyDescent="0.25">
      <c r="A429" s="5">
        <v>44164</v>
      </c>
      <c r="B429">
        <v>5.1920000000000001E-2</v>
      </c>
      <c r="C429">
        <v>5.212E-2</v>
      </c>
      <c r="D429">
        <v>4.8669999999999998E-2</v>
      </c>
      <c r="E429">
        <v>4.9919999999999999E-2</v>
      </c>
      <c r="F429">
        <v>21163418.800000001</v>
      </c>
      <c r="G429">
        <v>0</v>
      </c>
      <c r="L429" t="s">
        <v>8</v>
      </c>
      <c r="M429" t="s">
        <v>7</v>
      </c>
      <c r="N429" t="s">
        <v>7</v>
      </c>
      <c r="P429">
        <f t="shared" si="974"/>
        <v>-0.27536231884057943</v>
      </c>
      <c r="Q429">
        <f t="shared" si="975"/>
        <v>-5827608.0753623135</v>
      </c>
      <c r="R429">
        <f t="shared" si="976"/>
        <v>575942261.38138878</v>
      </c>
      <c r="S429">
        <f t="shared" si="977"/>
        <v>5759.4226138138874</v>
      </c>
      <c r="T429">
        <f t="shared" si="978"/>
        <v>5.7594226138138875</v>
      </c>
    </row>
    <row r="430" spans="1:20" x14ac:dyDescent="0.25">
      <c r="A430" s="5">
        <v>44163</v>
      </c>
      <c r="B430">
        <v>4.9360000000000001E-2</v>
      </c>
      <c r="C430">
        <v>5.2150000000000002E-2</v>
      </c>
      <c r="D430">
        <v>4.7530000000000003E-2</v>
      </c>
      <c r="E430">
        <v>5.2089999999999997E-2</v>
      </c>
      <c r="F430">
        <v>30544063.199999999</v>
      </c>
      <c r="G430">
        <v>0</v>
      </c>
      <c r="L430" t="s">
        <v>7</v>
      </c>
      <c r="M430" t="s">
        <v>7</v>
      </c>
      <c r="N430" t="s">
        <v>7</v>
      </c>
      <c r="P430">
        <f t="shared" si="974"/>
        <v>0.97402597402597213</v>
      </c>
      <c r="Q430">
        <f t="shared" si="975"/>
        <v>29750710.909090851</v>
      </c>
      <c r="R430">
        <f t="shared" si="976"/>
        <v>581769869.45675111</v>
      </c>
      <c r="S430">
        <f t="shared" si="977"/>
        <v>5817.6986945675108</v>
      </c>
      <c r="T430">
        <f t="shared" si="978"/>
        <v>5.8176986945675111</v>
      </c>
    </row>
    <row r="431" spans="1:20" x14ac:dyDescent="0.25">
      <c r="A431" s="5">
        <v>44162</v>
      </c>
      <c r="B431">
        <v>4.9770000000000002E-2</v>
      </c>
      <c r="C431">
        <v>5.1869999999999999E-2</v>
      </c>
      <c r="D431">
        <v>4.5659999999999999E-2</v>
      </c>
      <c r="E431">
        <v>4.9299999999999997E-2</v>
      </c>
      <c r="F431">
        <v>33565974.100000001</v>
      </c>
      <c r="G431">
        <v>0</v>
      </c>
      <c r="L431" t="s">
        <v>8</v>
      </c>
      <c r="M431" t="s">
        <v>7</v>
      </c>
      <c r="N431" t="s">
        <v>7</v>
      </c>
      <c r="P431">
        <f t="shared" si="974"/>
        <v>0.17230273752012795</v>
      </c>
      <c r="Q431">
        <f t="shared" si="975"/>
        <v>5783509.2249597134</v>
      </c>
      <c r="R431">
        <f t="shared" si="976"/>
        <v>552019158.54766023</v>
      </c>
      <c r="S431">
        <f t="shared" si="977"/>
        <v>5520.1915854766021</v>
      </c>
      <c r="T431">
        <f t="shared" si="978"/>
        <v>5.5201915854766019</v>
      </c>
    </row>
    <row r="432" spans="1:20" x14ac:dyDescent="0.25">
      <c r="A432" s="5">
        <v>44161</v>
      </c>
      <c r="B432">
        <v>5.9580000000000001E-2</v>
      </c>
      <c r="C432">
        <v>6.2E-2</v>
      </c>
      <c r="D432">
        <v>4.5830000000000003E-2</v>
      </c>
      <c r="E432">
        <v>4.9750000000000003E-2</v>
      </c>
      <c r="F432">
        <v>68591104.900000006</v>
      </c>
      <c r="G432">
        <v>0</v>
      </c>
      <c r="L432" t="s">
        <v>7</v>
      </c>
      <c r="M432" t="s">
        <v>7</v>
      </c>
      <c r="N432" t="s">
        <v>7</v>
      </c>
      <c r="P432">
        <f t="shared" si="974"/>
        <v>-0.51515151515151503</v>
      </c>
      <c r="Q432">
        <f t="shared" si="975"/>
        <v>-35334811.61515151</v>
      </c>
      <c r="R432">
        <f t="shared" si="976"/>
        <v>546235649.3227005</v>
      </c>
      <c r="S432">
        <f t="shared" si="977"/>
        <v>5462.3564932270046</v>
      </c>
      <c r="T432">
        <f t="shared" si="978"/>
        <v>5.4623564932270048</v>
      </c>
    </row>
    <row r="433" spans="1:20" x14ac:dyDescent="0.25">
      <c r="A433" s="5">
        <v>44160</v>
      </c>
      <c r="B433">
        <v>6.2370000000000002E-2</v>
      </c>
      <c r="C433">
        <v>6.8330000000000002E-2</v>
      </c>
      <c r="D433">
        <v>5.7000000000000002E-2</v>
      </c>
      <c r="E433">
        <v>5.9589999999999997E-2</v>
      </c>
      <c r="F433">
        <v>52527229.299999997</v>
      </c>
      <c r="G433">
        <v>0</v>
      </c>
      <c r="L433" t="s">
        <v>8</v>
      </c>
      <c r="M433" t="s">
        <v>8</v>
      </c>
      <c r="N433" t="s">
        <v>8</v>
      </c>
      <c r="P433">
        <f t="shared" si="974"/>
        <v>-0.54280670785525242</v>
      </c>
      <c r="Q433">
        <f t="shared" si="975"/>
        <v>-28512132.409090955</v>
      </c>
      <c r="R433">
        <f t="shared" si="976"/>
        <v>581570460.93785203</v>
      </c>
      <c r="S433">
        <f t="shared" si="977"/>
        <v>5815.7046093785202</v>
      </c>
      <c r="T433">
        <f t="shared" si="978"/>
        <v>5.8157046093785203</v>
      </c>
    </row>
    <row r="434" spans="1:20" x14ac:dyDescent="0.25">
      <c r="A434" s="5">
        <v>44159</v>
      </c>
      <c r="B434">
        <v>6.3100000000000003E-2</v>
      </c>
      <c r="C434">
        <v>6.5290000000000001E-2</v>
      </c>
      <c r="D434">
        <v>5.7840000000000003E-2</v>
      </c>
      <c r="E434">
        <v>6.2269999999999999E-2</v>
      </c>
      <c r="F434">
        <v>55364128.100000001</v>
      </c>
      <c r="G434">
        <v>0</v>
      </c>
      <c r="L434" t="s">
        <v>8</v>
      </c>
      <c r="M434" t="s">
        <v>8</v>
      </c>
      <c r="N434" t="s">
        <v>8</v>
      </c>
      <c r="P434">
        <f t="shared" si="974"/>
        <v>0.18926174496644227</v>
      </c>
      <c r="Q434">
        <f t="shared" si="975"/>
        <v>10478311.492751641</v>
      </c>
      <c r="R434">
        <f t="shared" si="976"/>
        <v>610082593.34694302</v>
      </c>
      <c r="S434">
        <f t="shared" si="977"/>
        <v>6100.8259334694303</v>
      </c>
      <c r="T434">
        <f t="shared" si="978"/>
        <v>6.1008259334694301</v>
      </c>
    </row>
    <row r="435" spans="1:20" x14ac:dyDescent="0.25">
      <c r="A435" s="5">
        <v>44158</v>
      </c>
      <c r="B435">
        <v>5.4199999999999998E-2</v>
      </c>
      <c r="C435">
        <v>6.4100000000000004E-2</v>
      </c>
      <c r="D435">
        <v>5.2900000000000003E-2</v>
      </c>
      <c r="E435">
        <v>6.3140000000000002E-2</v>
      </c>
      <c r="F435">
        <v>60902526.299999997</v>
      </c>
      <c r="G435">
        <v>0</v>
      </c>
      <c r="L435" t="s">
        <v>8</v>
      </c>
      <c r="M435" t="s">
        <v>7</v>
      </c>
      <c r="N435" t="s">
        <v>8</v>
      </c>
      <c r="P435">
        <f t="shared" si="974"/>
        <v>0.82857142857142818</v>
      </c>
      <c r="Q435">
        <f t="shared" si="975"/>
        <v>50462093.219999976</v>
      </c>
      <c r="R435">
        <f t="shared" si="976"/>
        <v>599604281.85419142</v>
      </c>
      <c r="S435">
        <f t="shared" si="977"/>
        <v>5996.0428185419141</v>
      </c>
      <c r="T435">
        <f t="shared" si="978"/>
        <v>5.9960428185419143</v>
      </c>
    </row>
    <row r="436" spans="1:20" x14ac:dyDescent="0.25">
      <c r="A436" s="5">
        <v>44157</v>
      </c>
      <c r="B436">
        <v>5.8470000000000001E-2</v>
      </c>
      <c r="C436">
        <v>6.2530000000000002E-2</v>
      </c>
      <c r="D436">
        <v>5.0819999999999997E-2</v>
      </c>
      <c r="E436">
        <v>5.4239999999999997E-2</v>
      </c>
      <c r="F436">
        <v>64168702.799999997</v>
      </c>
      <c r="G436">
        <v>0</v>
      </c>
      <c r="L436" t="s">
        <v>8</v>
      </c>
      <c r="M436" t="s">
        <v>8</v>
      </c>
      <c r="N436" t="s">
        <v>8</v>
      </c>
      <c r="P436">
        <f t="shared" si="974"/>
        <v>-0.41588385994876209</v>
      </c>
      <c r="Q436">
        <f t="shared" si="975"/>
        <v>-26686727.808368936</v>
      </c>
      <c r="R436">
        <f t="shared" si="976"/>
        <v>549142188.63419139</v>
      </c>
      <c r="S436">
        <f t="shared" si="977"/>
        <v>5491.4218863419137</v>
      </c>
      <c r="T436">
        <f t="shared" si="978"/>
        <v>5.4914218863419135</v>
      </c>
    </row>
    <row r="437" spans="1:20" x14ac:dyDescent="0.25">
      <c r="A437" s="5">
        <v>44156</v>
      </c>
      <c r="B437">
        <v>5.373E-2</v>
      </c>
      <c r="C437">
        <v>5.91E-2</v>
      </c>
      <c r="D437">
        <v>5.0889999999999998E-2</v>
      </c>
      <c r="E437">
        <v>5.8389999999999997E-2</v>
      </c>
      <c r="F437">
        <v>52989408.299999997</v>
      </c>
      <c r="G437">
        <v>0</v>
      </c>
      <c r="L437" t="s">
        <v>8</v>
      </c>
      <c r="M437" t="s">
        <v>8</v>
      </c>
      <c r="N437" t="s">
        <v>8</v>
      </c>
      <c r="P437">
        <f t="shared" si="974"/>
        <v>0.82704019488428693</v>
      </c>
      <c r="Q437">
        <f t="shared" si="975"/>
        <v>43824370.567235045</v>
      </c>
      <c r="R437">
        <f t="shared" si="976"/>
        <v>575828916.44256032</v>
      </c>
      <c r="S437">
        <f t="shared" si="977"/>
        <v>5758.2891644256033</v>
      </c>
      <c r="T437">
        <f t="shared" si="978"/>
        <v>5.7582891644256033</v>
      </c>
    </row>
    <row r="438" spans="1:20" x14ac:dyDescent="0.25">
      <c r="A438" s="5">
        <v>44155</v>
      </c>
      <c r="B438">
        <v>5.3120000000000001E-2</v>
      </c>
      <c r="C438">
        <v>5.6980000000000003E-2</v>
      </c>
      <c r="D438">
        <v>5.076E-2</v>
      </c>
      <c r="E438">
        <v>5.373E-2</v>
      </c>
      <c r="F438">
        <v>64405311.600000001</v>
      </c>
      <c r="G438">
        <v>0</v>
      </c>
      <c r="L438" t="s">
        <v>7</v>
      </c>
      <c r="M438" t="s">
        <v>8</v>
      </c>
      <c r="N438" t="s">
        <v>8</v>
      </c>
      <c r="P438">
        <f t="shared" si="974"/>
        <v>-4.5016077170418382E-2</v>
      </c>
      <c r="Q438">
        <f t="shared" si="975"/>
        <v>-2899274.4771704422</v>
      </c>
      <c r="R438">
        <f t="shared" si="976"/>
        <v>532004545.87532526</v>
      </c>
      <c r="S438">
        <f t="shared" si="977"/>
        <v>5320.0454587532522</v>
      </c>
      <c r="T438">
        <f t="shared" si="978"/>
        <v>5.3200454587532526</v>
      </c>
    </row>
    <row r="439" spans="1:20" x14ac:dyDescent="0.25">
      <c r="A439" s="5">
        <v>44154</v>
      </c>
      <c r="B439">
        <v>4.6359999999999998E-2</v>
      </c>
      <c r="C439">
        <v>5.6989999999999999E-2</v>
      </c>
      <c r="D439">
        <v>4.5780000000000001E-2</v>
      </c>
      <c r="E439">
        <v>5.3109999999999997E-2</v>
      </c>
      <c r="F439">
        <v>89001701.700000003</v>
      </c>
      <c r="G439">
        <v>0</v>
      </c>
      <c r="L439" t="s">
        <v>8</v>
      </c>
      <c r="M439" t="s">
        <v>8</v>
      </c>
      <c r="N439" t="s">
        <v>8</v>
      </c>
      <c r="P439">
        <f t="shared" si="974"/>
        <v>0.30776092774308611</v>
      </c>
      <c r="Q439">
        <f t="shared" si="975"/>
        <v>27391246.285905406</v>
      </c>
      <c r="R439">
        <f t="shared" si="976"/>
        <v>534903820.35249573</v>
      </c>
      <c r="S439">
        <f t="shared" si="977"/>
        <v>5349.0382035249577</v>
      </c>
      <c r="T439">
        <f t="shared" si="978"/>
        <v>5.349038203524958</v>
      </c>
    </row>
    <row r="440" spans="1:20" x14ac:dyDescent="0.25">
      <c r="A440" s="5">
        <v>44153</v>
      </c>
      <c r="B440">
        <v>5.0860000000000002E-2</v>
      </c>
      <c r="C440">
        <v>5.2449999999999997E-2</v>
      </c>
      <c r="D440">
        <v>4.3229999999999998E-2</v>
      </c>
      <c r="E440">
        <v>4.6390000000000001E-2</v>
      </c>
      <c r="F440">
        <v>59084928.600000001</v>
      </c>
      <c r="G440">
        <v>0</v>
      </c>
      <c r="L440" t="s">
        <v>8</v>
      </c>
      <c r="M440" t="s">
        <v>7</v>
      </c>
      <c r="N440" t="s">
        <v>8</v>
      </c>
      <c r="P440">
        <f t="shared" si="974"/>
        <v>-0.31453362255965217</v>
      </c>
      <c r="Q440">
        <f t="shared" si="975"/>
        <v>-18584196.631236397</v>
      </c>
      <c r="R440">
        <f t="shared" si="976"/>
        <v>507512574.06659031</v>
      </c>
      <c r="S440">
        <f t="shared" si="977"/>
        <v>5075.1257406659033</v>
      </c>
      <c r="T440">
        <f t="shared" si="978"/>
        <v>5.0751257406659036</v>
      </c>
    </row>
    <row r="441" spans="1:20" x14ac:dyDescent="0.25">
      <c r="A441" s="5">
        <v>44152</v>
      </c>
      <c r="B441">
        <v>4.2720000000000001E-2</v>
      </c>
      <c r="C441">
        <v>5.1389999999999998E-2</v>
      </c>
      <c r="D441">
        <v>4.2220000000000001E-2</v>
      </c>
      <c r="E441">
        <v>5.092E-2</v>
      </c>
      <c r="F441">
        <v>63463532.399999999</v>
      </c>
      <c r="G441">
        <v>0</v>
      </c>
      <c r="L441" t="s">
        <v>8</v>
      </c>
      <c r="M441" t="s">
        <v>8</v>
      </c>
      <c r="N441" t="s">
        <v>7</v>
      </c>
      <c r="P441">
        <f t="shared" si="974"/>
        <v>0.89749182115594361</v>
      </c>
      <c r="Q441">
        <f t="shared" si="975"/>
        <v>56958001.270665228</v>
      </c>
      <c r="R441">
        <f t="shared" si="976"/>
        <v>526096770.69782668</v>
      </c>
      <c r="S441">
        <f t="shared" si="977"/>
        <v>5260.9677069782665</v>
      </c>
      <c r="T441">
        <f t="shared" si="978"/>
        <v>5.2609677069782661</v>
      </c>
    </row>
    <row r="442" spans="1:20" x14ac:dyDescent="0.25">
      <c r="A442" s="5">
        <v>44151</v>
      </c>
      <c r="B442">
        <v>4.2340000000000003E-2</v>
      </c>
      <c r="C442">
        <v>4.4760000000000001E-2</v>
      </c>
      <c r="D442">
        <v>4.1570000000000003E-2</v>
      </c>
      <c r="E442">
        <v>4.2790000000000002E-2</v>
      </c>
      <c r="F442">
        <v>32093086.899999999</v>
      </c>
      <c r="G442">
        <v>0</v>
      </c>
      <c r="L442" t="s">
        <v>8</v>
      </c>
      <c r="M442" t="s">
        <v>7</v>
      </c>
      <c r="N442" t="s">
        <v>7</v>
      </c>
      <c r="P442">
        <f t="shared" si="974"/>
        <v>-0.2351097178683389</v>
      </c>
      <c r="Q442">
        <f t="shared" si="975"/>
        <v>-7545396.606583083</v>
      </c>
      <c r="R442">
        <f t="shared" si="976"/>
        <v>469138769.42716146</v>
      </c>
      <c r="S442">
        <f t="shared" si="977"/>
        <v>4691.3876942716142</v>
      </c>
      <c r="T442">
        <f t="shared" si="978"/>
        <v>4.6913876942716142</v>
      </c>
    </row>
    <row r="443" spans="1:20" x14ac:dyDescent="0.25">
      <c r="A443" s="5">
        <v>44150</v>
      </c>
      <c r="B443">
        <v>4.4359999999999997E-2</v>
      </c>
      <c r="C443">
        <v>4.5440000000000001E-2</v>
      </c>
      <c r="D443">
        <v>4.0710000000000003E-2</v>
      </c>
      <c r="E443">
        <v>4.2410000000000003E-2</v>
      </c>
      <c r="F443">
        <v>36970534.100000001</v>
      </c>
      <c r="G443">
        <v>0</v>
      </c>
      <c r="L443" t="s">
        <v>7</v>
      </c>
      <c r="M443" t="s">
        <v>7</v>
      </c>
      <c r="N443" t="s">
        <v>7</v>
      </c>
      <c r="P443">
        <f t="shared" si="974"/>
        <v>-0.28118393234672268</v>
      </c>
      <c r="Q443">
        <f t="shared" si="975"/>
        <v>-10395520.159196604</v>
      </c>
      <c r="R443">
        <f t="shared" si="976"/>
        <v>476684166.03374451</v>
      </c>
      <c r="S443">
        <f t="shared" si="977"/>
        <v>4766.8416603374453</v>
      </c>
      <c r="T443">
        <f t="shared" si="978"/>
        <v>4.7668416603374455</v>
      </c>
    </row>
    <row r="444" spans="1:20" x14ac:dyDescent="0.25">
      <c r="A444" s="5">
        <v>44149</v>
      </c>
      <c r="B444">
        <v>4.6149999999999997E-2</v>
      </c>
      <c r="C444">
        <v>4.6399999999999997E-2</v>
      </c>
      <c r="D444">
        <v>4.231E-2</v>
      </c>
      <c r="E444">
        <v>4.4540000000000003E-2</v>
      </c>
      <c r="F444">
        <v>41096441.899999999</v>
      </c>
      <c r="G444">
        <v>0</v>
      </c>
      <c r="L444" t="s">
        <v>7</v>
      </c>
      <c r="M444" t="s">
        <v>7</v>
      </c>
      <c r="N444" t="s">
        <v>7</v>
      </c>
      <c r="P444">
        <f t="shared" si="974"/>
        <v>9.0464547677263946E-2</v>
      </c>
      <c r="Q444">
        <f t="shared" si="975"/>
        <v>3717771.0276284576</v>
      </c>
      <c r="R444">
        <f t="shared" si="976"/>
        <v>487079686.19294113</v>
      </c>
      <c r="S444">
        <f t="shared" si="977"/>
        <v>4870.7968619294115</v>
      </c>
      <c r="T444">
        <f t="shared" si="978"/>
        <v>4.8707968619294117</v>
      </c>
    </row>
    <row r="445" spans="1:20" x14ac:dyDescent="0.25">
      <c r="A445" s="5">
        <v>44148</v>
      </c>
      <c r="B445">
        <v>4.1759999999999999E-2</v>
      </c>
      <c r="C445">
        <v>4.8349999999999997E-2</v>
      </c>
      <c r="D445">
        <v>4.1119999999999997E-2</v>
      </c>
      <c r="E445">
        <v>4.5999999999999999E-2</v>
      </c>
      <c r="F445">
        <v>38227801</v>
      </c>
      <c r="G445">
        <v>0</v>
      </c>
      <c r="L445" t="s">
        <v>8</v>
      </c>
      <c r="M445" t="s">
        <v>7</v>
      </c>
      <c r="N445" t="s">
        <v>7</v>
      </c>
      <c r="P445">
        <f t="shared" si="974"/>
        <v>0.34993084370677791</v>
      </c>
      <c r="Q445">
        <f t="shared" si="975"/>
        <v>13377086.656984808</v>
      </c>
      <c r="R445">
        <f t="shared" si="976"/>
        <v>483361915.16531265</v>
      </c>
      <c r="S445">
        <f t="shared" si="977"/>
        <v>4833.6191516531262</v>
      </c>
      <c r="T445">
        <f t="shared" si="978"/>
        <v>4.8336191516531262</v>
      </c>
    </row>
    <row r="446" spans="1:20" x14ac:dyDescent="0.25">
      <c r="A446" s="5">
        <v>44147</v>
      </c>
      <c r="B446">
        <v>4.4900000000000002E-2</v>
      </c>
      <c r="C446">
        <v>4.675E-2</v>
      </c>
      <c r="D446">
        <v>4.1000000000000002E-2</v>
      </c>
      <c r="E446">
        <v>4.1730000000000003E-2</v>
      </c>
      <c r="F446">
        <v>31411823.5</v>
      </c>
      <c r="G446">
        <v>0</v>
      </c>
      <c r="L446" t="s">
        <v>7</v>
      </c>
      <c r="M446" t="s">
        <v>7</v>
      </c>
      <c r="N446" t="s">
        <v>7</v>
      </c>
      <c r="P446">
        <f t="shared" si="974"/>
        <v>-0.74608695652173851</v>
      </c>
      <c r="Q446">
        <f t="shared" si="975"/>
        <v>-23435951.793913025</v>
      </c>
      <c r="R446">
        <f t="shared" si="976"/>
        <v>469984828.50832784</v>
      </c>
      <c r="S446">
        <f t="shared" si="977"/>
        <v>4699.8482850832788</v>
      </c>
      <c r="T446">
        <f t="shared" si="978"/>
        <v>4.699848285083279</v>
      </c>
    </row>
    <row r="447" spans="1:20" x14ac:dyDescent="0.25">
      <c r="A447" s="5">
        <v>44146</v>
      </c>
      <c r="B447">
        <v>4.5719999999999997E-2</v>
      </c>
      <c r="C447">
        <v>4.9149999999999999E-2</v>
      </c>
      <c r="D447">
        <v>4.4060000000000002E-2</v>
      </c>
      <c r="E447">
        <v>4.4839999999999998E-2</v>
      </c>
      <c r="F447">
        <v>39715356.200000003</v>
      </c>
      <c r="G447">
        <v>0</v>
      </c>
      <c r="L447" t="s">
        <v>8</v>
      </c>
      <c r="M447" t="s">
        <v>8</v>
      </c>
      <c r="N447" t="s">
        <v>7</v>
      </c>
      <c r="P447">
        <f t="shared" si="974"/>
        <v>-0.69351669941061045</v>
      </c>
      <c r="Q447">
        <f t="shared" si="975"/>
        <v>-27543262.747740727</v>
      </c>
      <c r="R447">
        <f t="shared" si="976"/>
        <v>493420780.30224085</v>
      </c>
      <c r="S447">
        <f t="shared" si="977"/>
        <v>4934.2078030224084</v>
      </c>
      <c r="T447">
        <f t="shared" si="978"/>
        <v>4.9342078030224084</v>
      </c>
    </row>
    <row r="448" spans="1:20" x14ac:dyDescent="0.25">
      <c r="A448" s="5">
        <v>44145</v>
      </c>
      <c r="B448">
        <v>4.2299999999999997E-2</v>
      </c>
      <c r="C448">
        <v>4.7730000000000002E-2</v>
      </c>
      <c r="D448">
        <v>4.1360000000000001E-2</v>
      </c>
      <c r="E448">
        <v>4.5699999999999998E-2</v>
      </c>
      <c r="F448">
        <v>41682448.5</v>
      </c>
      <c r="G448">
        <v>0</v>
      </c>
      <c r="L448" t="s">
        <v>8</v>
      </c>
      <c r="M448" t="s">
        <v>8</v>
      </c>
      <c r="N448" t="s">
        <v>7</v>
      </c>
      <c r="P448">
        <f t="shared" si="974"/>
        <v>0.36263736263736146</v>
      </c>
      <c r="Q448">
        <f t="shared" si="975"/>
        <v>15115613.192307644</v>
      </c>
      <c r="R448">
        <f t="shared" si="976"/>
        <v>520964043.04998159</v>
      </c>
      <c r="S448">
        <f t="shared" si="977"/>
        <v>5209.6404304998159</v>
      </c>
      <c r="T448">
        <f t="shared" si="978"/>
        <v>5.2096404304998156</v>
      </c>
    </row>
    <row r="449" spans="1:20" x14ac:dyDescent="0.25">
      <c r="A449" s="5">
        <v>44144</v>
      </c>
      <c r="B449">
        <v>4.1959999999999997E-2</v>
      </c>
      <c r="C449">
        <v>4.3049999999999998E-2</v>
      </c>
      <c r="D449">
        <v>3.9199999999999999E-2</v>
      </c>
      <c r="E449">
        <v>4.2250000000000003E-2</v>
      </c>
      <c r="F449">
        <v>29658642.300000001</v>
      </c>
      <c r="G449">
        <v>0</v>
      </c>
      <c r="L449" t="s">
        <v>8</v>
      </c>
      <c r="M449" t="s">
        <v>7</v>
      </c>
      <c r="N449" t="s">
        <v>7</v>
      </c>
      <c r="P449">
        <f t="shared" si="974"/>
        <v>0.58441558441558683</v>
      </c>
      <c r="Q449">
        <f t="shared" si="975"/>
        <v>17332972.772727344</v>
      </c>
      <c r="R449">
        <f t="shared" si="976"/>
        <v>505848429.85767394</v>
      </c>
      <c r="S449">
        <f t="shared" si="977"/>
        <v>5058.4842985767391</v>
      </c>
      <c r="T449">
        <f t="shared" si="978"/>
        <v>5.0584842985767393</v>
      </c>
    </row>
    <row r="450" spans="1:20" x14ac:dyDescent="0.25">
      <c r="A450" s="5">
        <v>44143</v>
      </c>
      <c r="B450">
        <v>4.0050000000000002E-2</v>
      </c>
      <c r="C450">
        <v>4.4479999999999999E-2</v>
      </c>
      <c r="D450">
        <v>3.9550000000000002E-2</v>
      </c>
      <c r="E450">
        <v>4.1959999999999997E-2</v>
      </c>
      <c r="F450">
        <v>30190063.699999999</v>
      </c>
      <c r="G450">
        <v>0</v>
      </c>
      <c r="L450" t="s">
        <v>7</v>
      </c>
      <c r="M450" t="s">
        <v>7</v>
      </c>
      <c r="N450" t="s">
        <v>7</v>
      </c>
      <c r="P450">
        <f t="shared" si="974"/>
        <v>-2.2312373225153347E-2</v>
      </c>
      <c r="Q450">
        <f t="shared" si="975"/>
        <v>-673611.96896555403</v>
      </c>
      <c r="R450">
        <f t="shared" si="976"/>
        <v>488515457.08494657</v>
      </c>
      <c r="S450">
        <f t="shared" si="977"/>
        <v>4885.1545708494659</v>
      </c>
      <c r="T450">
        <f t="shared" si="978"/>
        <v>4.8851545708494664</v>
      </c>
    </row>
    <row r="451" spans="1:20" x14ac:dyDescent="0.25">
      <c r="A451" s="5">
        <v>44142</v>
      </c>
      <c r="B451">
        <v>4.3740000000000001E-2</v>
      </c>
      <c r="C451">
        <v>4.9189999999999998E-2</v>
      </c>
      <c r="D451">
        <v>3.8929999999999999E-2</v>
      </c>
      <c r="E451">
        <v>4.0050000000000002E-2</v>
      </c>
      <c r="F451">
        <v>46949319.399999999</v>
      </c>
      <c r="G451">
        <v>0</v>
      </c>
      <c r="L451" t="s">
        <v>8</v>
      </c>
      <c r="M451" t="s">
        <v>8</v>
      </c>
      <c r="N451" t="s">
        <v>7</v>
      </c>
      <c r="P451">
        <f t="shared" si="974"/>
        <v>-0.78167641325535997</v>
      </c>
      <c r="Q451">
        <f t="shared" si="975"/>
        <v>-36699175.593372285</v>
      </c>
      <c r="R451">
        <f t="shared" si="976"/>
        <v>489189069.0539121</v>
      </c>
      <c r="S451">
        <f t="shared" si="977"/>
        <v>4891.8906905391214</v>
      </c>
      <c r="T451">
        <f t="shared" si="978"/>
        <v>4.8918906905391211</v>
      </c>
    </row>
    <row r="452" spans="1:20" x14ac:dyDescent="0.25">
      <c r="A452" s="5">
        <v>44141</v>
      </c>
      <c r="B452">
        <v>3.9899999999999998E-2</v>
      </c>
      <c r="C452">
        <v>4.5229999999999999E-2</v>
      </c>
      <c r="D452">
        <v>3.9559999999999998E-2</v>
      </c>
      <c r="E452">
        <v>4.3740000000000001E-2</v>
      </c>
      <c r="F452">
        <v>37269901.899999999</v>
      </c>
      <c r="G452">
        <v>0</v>
      </c>
      <c r="L452" t="s">
        <v>8</v>
      </c>
      <c r="M452" t="s">
        <v>8</v>
      </c>
      <c r="N452" t="s">
        <v>7</v>
      </c>
      <c r="P452">
        <f t="shared" si="974"/>
        <v>0.47442680776014184</v>
      </c>
      <c r="Q452">
        <f t="shared" si="975"/>
        <v>17681840.583950646</v>
      </c>
      <c r="R452">
        <f t="shared" si="976"/>
        <v>525888244.64728439</v>
      </c>
      <c r="S452">
        <f t="shared" si="977"/>
        <v>5258.8824464728441</v>
      </c>
      <c r="T452">
        <f t="shared" si="978"/>
        <v>5.2588824464728443</v>
      </c>
    </row>
    <row r="453" spans="1:20" x14ac:dyDescent="0.25">
      <c r="A453" s="5">
        <v>44140</v>
      </c>
      <c r="B453">
        <v>3.95E-2</v>
      </c>
      <c r="C453">
        <v>4.1000000000000002E-2</v>
      </c>
      <c r="D453">
        <v>3.7199999999999997E-2</v>
      </c>
      <c r="E453">
        <v>3.9719999999999998E-2</v>
      </c>
      <c r="F453">
        <v>33036826.800000001</v>
      </c>
      <c r="G453">
        <v>0</v>
      </c>
      <c r="L453" t="s">
        <v>8</v>
      </c>
      <c r="M453" t="s">
        <v>7</v>
      </c>
      <c r="N453" t="s">
        <v>7</v>
      </c>
      <c r="P453">
        <f t="shared" si="974"/>
        <v>0.32631578947368328</v>
      </c>
      <c r="Q453">
        <f t="shared" si="975"/>
        <v>10780438.218947338</v>
      </c>
      <c r="R453">
        <f t="shared" si="976"/>
        <v>508206404.06333375</v>
      </c>
      <c r="S453">
        <f t="shared" si="977"/>
        <v>5082.0640406333378</v>
      </c>
      <c r="T453">
        <f t="shared" si="978"/>
        <v>5.0820640406333375</v>
      </c>
    </row>
    <row r="454" spans="1:20" x14ac:dyDescent="0.25">
      <c r="A454" s="5">
        <v>44139</v>
      </c>
      <c r="B454">
        <v>3.7179999999999998E-2</v>
      </c>
      <c r="C454">
        <v>3.9849999999999997E-2</v>
      </c>
      <c r="D454">
        <v>3.678E-2</v>
      </c>
      <c r="E454">
        <v>3.9559999999999998E-2</v>
      </c>
      <c r="F454">
        <v>23540196.600000001</v>
      </c>
      <c r="G454">
        <v>0</v>
      </c>
      <c r="L454" t="s">
        <v>8</v>
      </c>
      <c r="M454" t="s">
        <v>7</v>
      </c>
      <c r="N454" t="s">
        <v>7</v>
      </c>
      <c r="P454">
        <f t="shared" ref="P454:P517" si="979">IF(C454=D454,0,((E454-D454)-(C454-E454))/(C454-D454))</f>
        <v>0.81107491856677594</v>
      </c>
      <c r="Q454">
        <f t="shared" ref="Q454:Q517" si="980">F454*P454</f>
        <v>19092863.040390898</v>
      </c>
      <c r="R454">
        <f t="shared" ref="R454:R517" si="981">R455+Q454</f>
        <v>497425965.8443864</v>
      </c>
      <c r="S454">
        <f t="shared" ref="S454:S517" si="982">R454/100000</f>
        <v>4974.2596584438643</v>
      </c>
      <c r="T454">
        <f t="shared" ref="T454:T517" si="983">S454/1000</f>
        <v>4.9742596584438639</v>
      </c>
    </row>
    <row r="455" spans="1:20" x14ac:dyDescent="0.25">
      <c r="A455" s="5">
        <v>44138</v>
      </c>
      <c r="B455">
        <v>4.0379999999999999E-2</v>
      </c>
      <c r="C455">
        <v>4.0779999999999997E-2</v>
      </c>
      <c r="D455">
        <v>3.6990000000000002E-2</v>
      </c>
      <c r="E455">
        <v>3.6990000000000002E-2</v>
      </c>
      <c r="F455">
        <v>22796705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-1</v>
      </c>
      <c r="Q455">
        <f t="shared" si="980"/>
        <v>-22796705</v>
      </c>
      <c r="R455">
        <f t="shared" si="981"/>
        <v>478333102.80399549</v>
      </c>
      <c r="S455">
        <f t="shared" si="982"/>
        <v>4783.3310280399546</v>
      </c>
      <c r="T455">
        <f t="shared" si="983"/>
        <v>4.7833310280399548</v>
      </c>
    </row>
    <row r="456" spans="1:20" x14ac:dyDescent="0.25">
      <c r="A456" s="5">
        <v>44137</v>
      </c>
      <c r="B456">
        <v>4.5420000000000002E-2</v>
      </c>
      <c r="C456">
        <v>4.6289999999999998E-2</v>
      </c>
      <c r="D456">
        <v>4.0120000000000003E-2</v>
      </c>
      <c r="E456">
        <v>4.0399999999999998E-2</v>
      </c>
      <c r="F456">
        <v>35114303</v>
      </c>
      <c r="G456">
        <v>0</v>
      </c>
      <c r="L456" t="s">
        <v>7</v>
      </c>
      <c r="M456" t="s">
        <v>7</v>
      </c>
      <c r="N456" t="s">
        <v>7</v>
      </c>
      <c r="P456">
        <f t="shared" si="979"/>
        <v>-0.90923824959481503</v>
      </c>
      <c r="Q456">
        <f t="shared" si="980"/>
        <v>-31927267.395461962</v>
      </c>
      <c r="R456">
        <f t="shared" si="981"/>
        <v>501129807.80399549</v>
      </c>
      <c r="S456">
        <f t="shared" si="982"/>
        <v>5011.2980780399548</v>
      </c>
      <c r="T456">
        <f t="shared" si="983"/>
        <v>5.011298078039955</v>
      </c>
    </row>
    <row r="457" spans="1:20" x14ac:dyDescent="0.25">
      <c r="A457" s="5">
        <v>44136</v>
      </c>
      <c r="B457">
        <v>4.4049999999999999E-2</v>
      </c>
      <c r="C457">
        <v>4.5760000000000002E-2</v>
      </c>
      <c r="D457">
        <v>4.3720000000000002E-2</v>
      </c>
      <c r="E457">
        <v>4.5229999999999999E-2</v>
      </c>
      <c r="F457">
        <v>18396410</v>
      </c>
      <c r="G457">
        <v>0</v>
      </c>
      <c r="L457" t="s">
        <v>7</v>
      </c>
      <c r="M457" t="s">
        <v>7</v>
      </c>
      <c r="N457" t="s">
        <v>7</v>
      </c>
      <c r="P457">
        <f t="shared" si="979"/>
        <v>0.4803921568627425</v>
      </c>
      <c r="Q457">
        <f t="shared" si="980"/>
        <v>8837491.078431325</v>
      </c>
      <c r="R457">
        <f t="shared" si="981"/>
        <v>533057075.19945747</v>
      </c>
      <c r="S457">
        <f t="shared" si="982"/>
        <v>5330.5707519945745</v>
      </c>
      <c r="T457">
        <f t="shared" si="983"/>
        <v>5.3305707519945749</v>
      </c>
    </row>
    <row r="458" spans="1:20" x14ac:dyDescent="0.25">
      <c r="A458" s="5">
        <v>44135</v>
      </c>
      <c r="B458">
        <v>4.5199999999999997E-2</v>
      </c>
      <c r="C458">
        <v>4.6870000000000002E-2</v>
      </c>
      <c r="D458">
        <v>4.3869999999999999E-2</v>
      </c>
      <c r="E458">
        <v>4.4049999999999999E-2</v>
      </c>
      <c r="F458">
        <v>23523066.600000001</v>
      </c>
      <c r="G458">
        <v>0</v>
      </c>
      <c r="L458" t="s">
        <v>8</v>
      </c>
      <c r="M458" t="s">
        <v>7</v>
      </c>
      <c r="N458" t="s">
        <v>7</v>
      </c>
      <c r="P458">
        <f t="shared" si="979"/>
        <v>-0.88000000000000034</v>
      </c>
      <c r="Q458">
        <f t="shared" si="980"/>
        <v>-20700298.60800001</v>
      </c>
      <c r="R458">
        <f t="shared" si="981"/>
        <v>524219584.12102616</v>
      </c>
      <c r="S458">
        <f t="shared" si="982"/>
        <v>5242.1958412102613</v>
      </c>
      <c r="T458">
        <f t="shared" si="983"/>
        <v>5.2421958412102612</v>
      </c>
    </row>
    <row r="459" spans="1:20" x14ac:dyDescent="0.25">
      <c r="A459" s="5">
        <v>44134</v>
      </c>
      <c r="B459">
        <v>4.5760000000000002E-2</v>
      </c>
      <c r="C459">
        <v>4.6019999999999998E-2</v>
      </c>
      <c r="D459">
        <v>4.351E-2</v>
      </c>
      <c r="E459">
        <v>4.512E-2</v>
      </c>
      <c r="F459">
        <v>22327018.199999999</v>
      </c>
      <c r="G459">
        <v>0</v>
      </c>
      <c r="L459" t="s">
        <v>7</v>
      </c>
      <c r="M459" t="s">
        <v>7</v>
      </c>
      <c r="N459" t="s">
        <v>7</v>
      </c>
      <c r="P459">
        <f t="shared" si="979"/>
        <v>0.28286852589641542</v>
      </c>
      <c r="Q459">
        <f t="shared" si="980"/>
        <v>6315610.7258964386</v>
      </c>
      <c r="R459">
        <f t="shared" si="981"/>
        <v>544919882.7290262</v>
      </c>
      <c r="S459">
        <f t="shared" si="982"/>
        <v>5449.1988272902618</v>
      </c>
      <c r="T459">
        <f t="shared" si="983"/>
        <v>5.4491988272902621</v>
      </c>
    </row>
    <row r="460" spans="1:20" x14ac:dyDescent="0.25">
      <c r="A460" s="5">
        <v>44133</v>
      </c>
      <c r="B460">
        <v>4.5089999999999998E-2</v>
      </c>
      <c r="C460">
        <v>4.7699999999999999E-2</v>
      </c>
      <c r="D460">
        <v>4.3819999999999998E-2</v>
      </c>
      <c r="E460">
        <v>4.5830000000000003E-2</v>
      </c>
      <c r="F460">
        <v>26187300.600000001</v>
      </c>
      <c r="G460">
        <v>0</v>
      </c>
      <c r="L460" t="s">
        <v>8</v>
      </c>
      <c r="M460" t="s">
        <v>7</v>
      </c>
      <c r="N460" t="s">
        <v>7</v>
      </c>
      <c r="P460">
        <f t="shared" si="979"/>
        <v>3.6082474226806216E-2</v>
      </c>
      <c r="Q460">
        <f t="shared" si="980"/>
        <v>944902.59896912705</v>
      </c>
      <c r="R460">
        <f t="shared" si="981"/>
        <v>538604272.00312972</v>
      </c>
      <c r="S460">
        <f t="shared" si="982"/>
        <v>5386.042720031297</v>
      </c>
      <c r="T460">
        <f t="shared" si="983"/>
        <v>5.3860427200312966</v>
      </c>
    </row>
    <row r="461" spans="1:20" x14ac:dyDescent="0.25">
      <c r="A461" s="5">
        <v>44132</v>
      </c>
      <c r="B461">
        <v>4.6710000000000002E-2</v>
      </c>
      <c r="C461">
        <v>4.7370000000000002E-2</v>
      </c>
      <c r="D461">
        <v>4.3499999999999997E-2</v>
      </c>
      <c r="E461">
        <v>4.5179999999999998E-2</v>
      </c>
      <c r="F461">
        <v>27523441.800000001</v>
      </c>
      <c r="G461">
        <v>0</v>
      </c>
      <c r="L461" t="s">
        <v>7</v>
      </c>
      <c r="M461" t="s">
        <v>7</v>
      </c>
      <c r="N461" t="s">
        <v>7</v>
      </c>
      <c r="P461">
        <f t="shared" si="979"/>
        <v>-0.13178294573643484</v>
      </c>
      <c r="Q461">
        <f t="shared" si="980"/>
        <v>-3627120.2372093224</v>
      </c>
      <c r="R461">
        <f t="shared" si="981"/>
        <v>537659369.40416062</v>
      </c>
      <c r="S461">
        <f t="shared" si="982"/>
        <v>5376.5936940416059</v>
      </c>
      <c r="T461">
        <f t="shared" si="983"/>
        <v>5.3765936940416061</v>
      </c>
    </row>
    <row r="462" spans="1:20" x14ac:dyDescent="0.25">
      <c r="A462" s="5">
        <v>44131</v>
      </c>
      <c r="B462">
        <v>4.7820000000000001E-2</v>
      </c>
      <c r="C462">
        <v>4.8590000000000001E-2</v>
      </c>
      <c r="D462">
        <v>4.5560000000000003E-2</v>
      </c>
      <c r="E462">
        <v>4.6829999999999997E-2</v>
      </c>
      <c r="F462">
        <v>27869036.5</v>
      </c>
      <c r="G462">
        <v>0</v>
      </c>
      <c r="L462" t="s">
        <v>7</v>
      </c>
      <c r="M462" t="s">
        <v>7</v>
      </c>
      <c r="N462" t="s">
        <v>7</v>
      </c>
      <c r="P462">
        <f t="shared" si="979"/>
        <v>-0.16171617161716553</v>
      </c>
      <c r="Q462">
        <f t="shared" si="980"/>
        <v>-4506873.8894390501</v>
      </c>
      <c r="R462">
        <f t="shared" si="981"/>
        <v>541286489.64136994</v>
      </c>
      <c r="S462">
        <f t="shared" si="982"/>
        <v>5412.8648964136992</v>
      </c>
      <c r="T462">
        <f t="shared" si="983"/>
        <v>5.4128648964136996</v>
      </c>
    </row>
    <row r="463" spans="1:20" x14ac:dyDescent="0.25">
      <c r="A463" s="5">
        <v>44130</v>
      </c>
      <c r="B463">
        <v>5.11E-2</v>
      </c>
      <c r="C463">
        <v>5.3010000000000002E-2</v>
      </c>
      <c r="D463">
        <v>4.6280000000000002E-2</v>
      </c>
      <c r="E463">
        <v>4.7780000000000003E-2</v>
      </c>
      <c r="F463">
        <v>38711997.799999997</v>
      </c>
      <c r="G463">
        <v>0</v>
      </c>
      <c r="L463" t="s">
        <v>7</v>
      </c>
      <c r="M463" t="s">
        <v>7</v>
      </c>
      <c r="N463" t="s">
        <v>7</v>
      </c>
      <c r="P463">
        <f t="shared" si="979"/>
        <v>-0.55423476968796392</v>
      </c>
      <c r="Q463">
        <f t="shared" si="980"/>
        <v>-21455535.184843965</v>
      </c>
      <c r="R463">
        <f t="shared" si="981"/>
        <v>545793363.53080904</v>
      </c>
      <c r="S463">
        <f t="shared" si="982"/>
        <v>5457.9336353080907</v>
      </c>
      <c r="T463">
        <f t="shared" si="983"/>
        <v>5.4579336353080912</v>
      </c>
    </row>
    <row r="464" spans="1:20" x14ac:dyDescent="0.25">
      <c r="A464" s="5">
        <v>44129</v>
      </c>
      <c r="B464">
        <v>5.636E-2</v>
      </c>
      <c r="C464">
        <v>5.7599999999999998E-2</v>
      </c>
      <c r="D464">
        <v>5.0819999999999997E-2</v>
      </c>
      <c r="E464">
        <v>5.11E-2</v>
      </c>
      <c r="F464">
        <v>39395324.399999999</v>
      </c>
      <c r="G464">
        <v>0</v>
      </c>
      <c r="L464" t="s">
        <v>7</v>
      </c>
      <c r="M464" t="s">
        <v>8</v>
      </c>
      <c r="N464" t="s">
        <v>7</v>
      </c>
      <c r="P464">
        <f t="shared" si="979"/>
        <v>-0.9174041297935096</v>
      </c>
      <c r="Q464">
        <f t="shared" si="980"/>
        <v>-36141433.299115017</v>
      </c>
      <c r="R464">
        <f t="shared" si="981"/>
        <v>567248898.71565306</v>
      </c>
      <c r="S464">
        <f t="shared" si="982"/>
        <v>5672.488987156531</v>
      </c>
      <c r="T464">
        <f t="shared" si="983"/>
        <v>5.6724889871565312</v>
      </c>
    </row>
    <row r="465" spans="1:20" x14ac:dyDescent="0.25">
      <c r="A465" s="5">
        <v>44128</v>
      </c>
      <c r="B465">
        <v>5.3179999999999998E-2</v>
      </c>
      <c r="C465">
        <v>5.7700000000000001E-2</v>
      </c>
      <c r="D465">
        <v>5.1520000000000003E-2</v>
      </c>
      <c r="E465">
        <v>5.6419999999999998E-2</v>
      </c>
      <c r="F465">
        <v>31180127.899999999</v>
      </c>
      <c r="G465">
        <v>0</v>
      </c>
      <c r="L465" t="s">
        <v>8</v>
      </c>
      <c r="M465" t="s">
        <v>8</v>
      </c>
      <c r="N465" t="s">
        <v>7</v>
      </c>
      <c r="P465">
        <f t="shared" si="979"/>
        <v>0.58576051779935157</v>
      </c>
      <c r="Q465">
        <f t="shared" si="980"/>
        <v>18264087.863754008</v>
      </c>
      <c r="R465">
        <f t="shared" si="981"/>
        <v>603390332.01476812</v>
      </c>
      <c r="S465">
        <f t="shared" si="982"/>
        <v>6033.9033201476814</v>
      </c>
      <c r="T465">
        <f t="shared" si="983"/>
        <v>6.0339033201476813</v>
      </c>
    </row>
    <row r="466" spans="1:20" x14ac:dyDescent="0.25">
      <c r="A466" s="5">
        <v>44127</v>
      </c>
      <c r="B466">
        <v>4.9099999999999998E-2</v>
      </c>
      <c r="C466">
        <v>5.3490000000000003E-2</v>
      </c>
      <c r="D466">
        <v>4.8079999999999998E-2</v>
      </c>
      <c r="E466">
        <v>5.3120000000000001E-2</v>
      </c>
      <c r="F466">
        <v>30044464.300000001</v>
      </c>
      <c r="G466">
        <v>0</v>
      </c>
      <c r="L466" t="s">
        <v>8</v>
      </c>
      <c r="M466" t="s">
        <v>8</v>
      </c>
      <c r="N466" t="s">
        <v>7</v>
      </c>
      <c r="P466">
        <f t="shared" si="979"/>
        <v>0.86321626617375158</v>
      </c>
      <c r="Q466">
        <f t="shared" si="980"/>
        <v>25934870.292236578</v>
      </c>
      <c r="R466">
        <f t="shared" si="981"/>
        <v>585126244.15101409</v>
      </c>
      <c r="S466">
        <f t="shared" si="982"/>
        <v>5851.2624415101409</v>
      </c>
      <c r="T466">
        <f t="shared" si="983"/>
        <v>5.8512624415101406</v>
      </c>
    </row>
    <row r="467" spans="1:20" x14ac:dyDescent="0.25">
      <c r="A467" s="5">
        <v>44126</v>
      </c>
      <c r="B467">
        <v>4.564E-2</v>
      </c>
      <c r="C467">
        <v>5.0999999999999997E-2</v>
      </c>
      <c r="D467">
        <v>4.5580000000000002E-2</v>
      </c>
      <c r="E467">
        <v>4.9009999999999998E-2</v>
      </c>
      <c r="F467">
        <v>33790561.899999999</v>
      </c>
      <c r="G467">
        <v>0</v>
      </c>
      <c r="L467" t="s">
        <v>8</v>
      </c>
      <c r="M467" t="s">
        <v>8</v>
      </c>
      <c r="N467" t="s">
        <v>7</v>
      </c>
      <c r="P467">
        <f t="shared" si="979"/>
        <v>0.26568265682656794</v>
      </c>
      <c r="Q467">
        <f t="shared" si="980"/>
        <v>8977566.2612546012</v>
      </c>
      <c r="R467">
        <f t="shared" si="981"/>
        <v>559191373.85877752</v>
      </c>
      <c r="S467">
        <f t="shared" si="982"/>
        <v>5591.9137385877748</v>
      </c>
      <c r="T467">
        <f t="shared" si="983"/>
        <v>5.5919137385877749</v>
      </c>
    </row>
    <row r="468" spans="1:20" x14ac:dyDescent="0.25">
      <c r="A468" s="5">
        <v>44125</v>
      </c>
      <c r="B468">
        <v>4.505E-2</v>
      </c>
      <c r="C468">
        <v>4.8309999999999999E-2</v>
      </c>
      <c r="D468">
        <v>4.4760000000000001E-2</v>
      </c>
      <c r="E468">
        <v>4.5449999999999997E-2</v>
      </c>
      <c r="F468">
        <v>34022496.899999999</v>
      </c>
      <c r="G468">
        <v>0</v>
      </c>
      <c r="L468" t="s">
        <v>7</v>
      </c>
      <c r="M468" t="s">
        <v>8</v>
      </c>
      <c r="N468" t="s">
        <v>7</v>
      </c>
      <c r="P468">
        <f t="shared" si="979"/>
        <v>-0.61126760563380467</v>
      </c>
      <c r="Q468">
        <f t="shared" si="980"/>
        <v>-20796850.217746541</v>
      </c>
      <c r="R468">
        <f t="shared" si="981"/>
        <v>550213807.59752297</v>
      </c>
      <c r="S468">
        <f t="shared" si="982"/>
        <v>5502.1380759752301</v>
      </c>
      <c r="T468">
        <f t="shared" si="983"/>
        <v>5.5021380759752301</v>
      </c>
    </row>
    <row r="469" spans="1:20" x14ac:dyDescent="0.25">
      <c r="A469" s="5">
        <v>44124</v>
      </c>
      <c r="B469">
        <v>5.0169999999999999E-2</v>
      </c>
      <c r="C469">
        <v>5.237E-2</v>
      </c>
      <c r="D469">
        <v>4.4359999999999997E-2</v>
      </c>
      <c r="E469">
        <v>4.514E-2</v>
      </c>
      <c r="F469">
        <v>34482008.200000003</v>
      </c>
      <c r="G469">
        <v>0</v>
      </c>
      <c r="L469" t="s">
        <v>8</v>
      </c>
      <c r="M469" t="s">
        <v>8</v>
      </c>
      <c r="N469" t="s">
        <v>7</v>
      </c>
      <c r="P469">
        <f t="shared" si="979"/>
        <v>-0.8052434456928832</v>
      </c>
      <c r="Q469">
        <f t="shared" si="980"/>
        <v>-27766411.097378254</v>
      </c>
      <c r="R469">
        <f t="shared" si="981"/>
        <v>571010657.81526947</v>
      </c>
      <c r="S469">
        <f t="shared" si="982"/>
        <v>5710.106578152695</v>
      </c>
      <c r="T469">
        <f t="shared" si="983"/>
        <v>5.7101065781526952</v>
      </c>
    </row>
    <row r="470" spans="1:20" x14ac:dyDescent="0.25">
      <c r="A470" s="5">
        <v>44123</v>
      </c>
      <c r="B470">
        <v>4.8739999999999999E-2</v>
      </c>
      <c r="C470">
        <v>5.1999999999999998E-2</v>
      </c>
      <c r="D470">
        <v>4.6530000000000002E-2</v>
      </c>
      <c r="E470">
        <v>5.006E-2</v>
      </c>
      <c r="F470">
        <v>31886709</v>
      </c>
      <c r="G470">
        <v>0</v>
      </c>
      <c r="L470" t="s">
        <v>8</v>
      </c>
      <c r="M470" t="s">
        <v>8</v>
      </c>
      <c r="N470" t="s">
        <v>7</v>
      </c>
      <c r="P470">
        <f t="shared" si="979"/>
        <v>0.29067641681901324</v>
      </c>
      <c r="Q470">
        <f t="shared" si="980"/>
        <v>9268714.3162705805</v>
      </c>
      <c r="R470">
        <f t="shared" si="981"/>
        <v>598777068.91264772</v>
      </c>
      <c r="S470">
        <f t="shared" si="982"/>
        <v>5987.770689126477</v>
      </c>
      <c r="T470">
        <f t="shared" si="983"/>
        <v>5.987770689126477</v>
      </c>
    </row>
    <row r="471" spans="1:20" x14ac:dyDescent="0.25">
      <c r="A471" s="5">
        <v>44122</v>
      </c>
      <c r="B471">
        <v>4.7230000000000001E-2</v>
      </c>
      <c r="C471">
        <v>5.0599999999999999E-2</v>
      </c>
      <c r="D471">
        <v>4.6080000000000003E-2</v>
      </c>
      <c r="E471">
        <v>4.8680000000000001E-2</v>
      </c>
      <c r="F471">
        <v>23852214.300000001</v>
      </c>
      <c r="G471">
        <v>0</v>
      </c>
      <c r="L471" t="s">
        <v>8</v>
      </c>
      <c r="M471" t="s">
        <v>7</v>
      </c>
      <c r="N471" t="s">
        <v>7</v>
      </c>
      <c r="P471">
        <f t="shared" si="979"/>
        <v>0.15044247787610632</v>
      </c>
      <c r="Q471">
        <f t="shared" si="980"/>
        <v>3588386.2221238967</v>
      </c>
      <c r="R471">
        <f t="shared" si="981"/>
        <v>589508354.59637713</v>
      </c>
      <c r="S471">
        <f t="shared" si="982"/>
        <v>5895.083545963771</v>
      </c>
      <c r="T471">
        <f t="shared" si="983"/>
        <v>5.8950835459637707</v>
      </c>
    </row>
    <row r="472" spans="1:20" x14ac:dyDescent="0.25">
      <c r="A472" s="5">
        <v>44121</v>
      </c>
      <c r="B472">
        <v>4.367E-2</v>
      </c>
      <c r="C472">
        <v>4.7500000000000001E-2</v>
      </c>
      <c r="D472">
        <v>4.3380000000000002E-2</v>
      </c>
      <c r="E472">
        <v>4.7199999999999999E-2</v>
      </c>
      <c r="F472">
        <v>22343037</v>
      </c>
      <c r="G472">
        <v>0</v>
      </c>
      <c r="L472" t="s">
        <v>8</v>
      </c>
      <c r="M472" t="s">
        <v>7</v>
      </c>
      <c r="N472" t="s">
        <v>7</v>
      </c>
      <c r="P472">
        <f t="shared" si="979"/>
        <v>0.85436893203883413</v>
      </c>
      <c r="Q472">
        <f t="shared" si="980"/>
        <v>19089196.660194155</v>
      </c>
      <c r="R472">
        <f t="shared" si="981"/>
        <v>585919968.37425327</v>
      </c>
      <c r="S472">
        <f t="shared" si="982"/>
        <v>5859.1996837425331</v>
      </c>
      <c r="T472">
        <f t="shared" si="983"/>
        <v>5.8591996837425331</v>
      </c>
    </row>
    <row r="473" spans="1:20" x14ac:dyDescent="0.25">
      <c r="A473" s="5">
        <v>44120</v>
      </c>
      <c r="B473">
        <v>5.0349999999999999E-2</v>
      </c>
      <c r="C473">
        <v>5.1979999999999998E-2</v>
      </c>
      <c r="D473">
        <v>4.3400000000000001E-2</v>
      </c>
      <c r="E473">
        <v>4.3659999999999997E-2</v>
      </c>
      <c r="F473">
        <v>37966570.899999999</v>
      </c>
      <c r="G473">
        <v>0</v>
      </c>
      <c r="L473" t="s">
        <v>7</v>
      </c>
      <c r="M473" t="s">
        <v>7</v>
      </c>
      <c r="N473" t="s">
        <v>7</v>
      </c>
      <c r="P473">
        <f t="shared" si="979"/>
        <v>-0.93939393939394022</v>
      </c>
      <c r="Q473">
        <f t="shared" si="980"/>
        <v>-35665566.603030331</v>
      </c>
      <c r="R473">
        <f t="shared" si="981"/>
        <v>566830771.71405911</v>
      </c>
      <c r="S473">
        <f t="shared" si="982"/>
        <v>5668.3077171405912</v>
      </c>
      <c r="T473">
        <f t="shared" si="983"/>
        <v>5.6683077171405909</v>
      </c>
    </row>
    <row r="474" spans="1:20" x14ac:dyDescent="0.25">
      <c r="A474" s="5">
        <v>44119</v>
      </c>
      <c r="B474">
        <v>5.1909999999999998E-2</v>
      </c>
      <c r="C474">
        <v>5.1979999999999998E-2</v>
      </c>
      <c r="D474">
        <v>4.8500000000000001E-2</v>
      </c>
      <c r="E474">
        <v>5.0389999999999997E-2</v>
      </c>
      <c r="F474">
        <v>22648498.800000001</v>
      </c>
      <c r="G474">
        <v>0</v>
      </c>
      <c r="L474" t="s">
        <v>7</v>
      </c>
      <c r="M474" t="s">
        <v>7</v>
      </c>
      <c r="N474" t="s">
        <v>7</v>
      </c>
      <c r="P474">
        <f t="shared" si="979"/>
        <v>8.62068965517227E-2</v>
      </c>
      <c r="Q474">
        <f t="shared" si="980"/>
        <v>1952456.7931034158</v>
      </c>
      <c r="R474">
        <f t="shared" si="981"/>
        <v>602496338.31708944</v>
      </c>
      <c r="S474">
        <f t="shared" si="982"/>
        <v>6024.9633831708943</v>
      </c>
      <c r="T474">
        <f t="shared" si="983"/>
        <v>6.0249633831708946</v>
      </c>
    </row>
    <row r="475" spans="1:20" x14ac:dyDescent="0.25">
      <c r="A475" s="5">
        <v>44118</v>
      </c>
      <c r="B475">
        <v>5.3010000000000002E-2</v>
      </c>
      <c r="C475">
        <v>5.432E-2</v>
      </c>
      <c r="D475">
        <v>4.9599999999999998E-2</v>
      </c>
      <c r="E475">
        <v>5.1909999999999998E-2</v>
      </c>
      <c r="F475">
        <v>19566719.800000001</v>
      </c>
      <c r="G475">
        <v>0</v>
      </c>
      <c r="L475" t="s">
        <v>7</v>
      </c>
      <c r="M475" t="s">
        <v>8</v>
      </c>
      <c r="N475" t="s">
        <v>7</v>
      </c>
      <c r="P475">
        <f t="shared" si="979"/>
        <v>-2.1186440677966701E-2</v>
      </c>
      <c r="Q475">
        <f t="shared" si="980"/>
        <v>-414549.14830509649</v>
      </c>
      <c r="R475">
        <f t="shared" si="981"/>
        <v>600543881.52398598</v>
      </c>
      <c r="S475">
        <f t="shared" si="982"/>
        <v>6005.4388152398597</v>
      </c>
      <c r="T475">
        <f t="shared" si="983"/>
        <v>6.0054388152398595</v>
      </c>
    </row>
    <row r="476" spans="1:20" x14ac:dyDescent="0.25">
      <c r="A476" s="5">
        <v>44117</v>
      </c>
      <c r="B476">
        <v>5.4019999999999999E-2</v>
      </c>
      <c r="C476">
        <v>5.8000000000000003E-2</v>
      </c>
      <c r="D476">
        <v>5.1740000000000001E-2</v>
      </c>
      <c r="E476">
        <v>5.2999999999999999E-2</v>
      </c>
      <c r="F476">
        <v>26254553.300000001</v>
      </c>
      <c r="G476">
        <v>0</v>
      </c>
      <c r="L476" t="s">
        <v>7</v>
      </c>
      <c r="M476" t="s">
        <v>8</v>
      </c>
      <c r="N476" t="s">
        <v>7</v>
      </c>
      <c r="P476">
        <f t="shared" si="979"/>
        <v>-0.59744408945687</v>
      </c>
      <c r="Q476">
        <f t="shared" si="980"/>
        <v>-15685627.690415362</v>
      </c>
      <c r="R476">
        <f t="shared" si="981"/>
        <v>600958430.67229104</v>
      </c>
      <c r="S476">
        <f t="shared" si="982"/>
        <v>6009.5843067229107</v>
      </c>
      <c r="T476">
        <f t="shared" si="983"/>
        <v>6.0095843067229104</v>
      </c>
    </row>
    <row r="477" spans="1:20" x14ac:dyDescent="0.25">
      <c r="A477" s="5">
        <v>44116</v>
      </c>
      <c r="B477">
        <v>5.3839999999999999E-2</v>
      </c>
      <c r="C477">
        <v>5.8700000000000002E-2</v>
      </c>
      <c r="D477">
        <v>5.2880000000000003E-2</v>
      </c>
      <c r="E477">
        <v>5.4039999999999998E-2</v>
      </c>
      <c r="F477">
        <v>37288496.299999997</v>
      </c>
      <c r="G477">
        <v>0</v>
      </c>
      <c r="L477" t="s">
        <v>8</v>
      </c>
      <c r="M477" t="s">
        <v>8</v>
      </c>
      <c r="N477" t="s">
        <v>7</v>
      </c>
      <c r="P477">
        <f t="shared" si="979"/>
        <v>-0.60137457044673726</v>
      </c>
      <c r="Q477">
        <f t="shared" si="980"/>
        <v>-22424353.445017248</v>
      </c>
      <c r="R477">
        <f t="shared" si="981"/>
        <v>616644058.36270642</v>
      </c>
      <c r="S477">
        <f t="shared" si="982"/>
        <v>6166.4405836270644</v>
      </c>
      <c r="T477">
        <f t="shared" si="983"/>
        <v>6.1664405836270646</v>
      </c>
    </row>
    <row r="478" spans="1:20" x14ac:dyDescent="0.25">
      <c r="A478" s="5">
        <v>44115</v>
      </c>
      <c r="B478">
        <v>5.2229999999999999E-2</v>
      </c>
      <c r="C478">
        <v>5.4480000000000001E-2</v>
      </c>
      <c r="D478">
        <v>5.0020000000000002E-2</v>
      </c>
      <c r="E478">
        <v>5.3780000000000001E-2</v>
      </c>
      <c r="F478">
        <v>21135253.899999999</v>
      </c>
      <c r="G478">
        <v>0</v>
      </c>
      <c r="L478" t="s">
        <v>7</v>
      </c>
      <c r="M478" t="s">
        <v>8</v>
      </c>
      <c r="N478" t="s">
        <v>7</v>
      </c>
      <c r="P478">
        <f t="shared" si="979"/>
        <v>0.68609865470852038</v>
      </c>
      <c r="Q478">
        <f t="shared" si="980"/>
        <v>14500869.267713008</v>
      </c>
      <c r="R478">
        <f t="shared" si="981"/>
        <v>639068411.80772364</v>
      </c>
      <c r="S478">
        <f t="shared" si="982"/>
        <v>6390.6841180772362</v>
      </c>
      <c r="T478">
        <f t="shared" si="983"/>
        <v>6.3906841180772362</v>
      </c>
    </row>
    <row r="479" spans="1:20" x14ac:dyDescent="0.25">
      <c r="A479" s="5">
        <v>44114</v>
      </c>
      <c r="B479">
        <v>5.3510000000000002E-2</v>
      </c>
      <c r="C479">
        <v>5.6250000000000001E-2</v>
      </c>
      <c r="D479">
        <v>5.1999999999999998E-2</v>
      </c>
      <c r="E479">
        <v>5.2170000000000001E-2</v>
      </c>
      <c r="F479">
        <v>21746139.100000001</v>
      </c>
      <c r="G479">
        <v>0</v>
      </c>
      <c r="L479" t="s">
        <v>8</v>
      </c>
      <c r="M479" t="s">
        <v>8</v>
      </c>
      <c r="N479" t="s">
        <v>7</v>
      </c>
      <c r="P479">
        <f t="shared" si="979"/>
        <v>-0.91999999999999849</v>
      </c>
      <c r="Q479">
        <f t="shared" si="980"/>
        <v>-20006447.971999969</v>
      </c>
      <c r="R479">
        <f t="shared" si="981"/>
        <v>624567542.54001069</v>
      </c>
      <c r="S479">
        <f t="shared" si="982"/>
        <v>6245.6754254001071</v>
      </c>
      <c r="T479">
        <f t="shared" si="983"/>
        <v>6.2456754254001075</v>
      </c>
    </row>
    <row r="480" spans="1:20" x14ac:dyDescent="0.25">
      <c r="A480" s="5">
        <v>44113</v>
      </c>
      <c r="B480">
        <v>5.1090000000000003E-2</v>
      </c>
      <c r="C480">
        <v>5.5169999999999997E-2</v>
      </c>
      <c r="D480">
        <v>4.8500000000000001E-2</v>
      </c>
      <c r="E480">
        <v>5.3650000000000003E-2</v>
      </c>
      <c r="F480">
        <v>23158701.600000001</v>
      </c>
      <c r="G480">
        <v>0</v>
      </c>
      <c r="L480" t="s">
        <v>8</v>
      </c>
      <c r="M480" t="s">
        <v>8</v>
      </c>
      <c r="N480" t="s">
        <v>7</v>
      </c>
      <c r="P480">
        <f t="shared" si="979"/>
        <v>0.54422788605697314</v>
      </c>
      <c r="Q480">
        <f t="shared" si="980"/>
        <v>12603611.215592243</v>
      </c>
      <c r="R480">
        <f t="shared" si="981"/>
        <v>644573990.51201069</v>
      </c>
      <c r="S480">
        <f t="shared" si="982"/>
        <v>6445.7399051201073</v>
      </c>
      <c r="T480">
        <f t="shared" si="983"/>
        <v>6.4457399051201074</v>
      </c>
    </row>
    <row r="481" spans="1:20" x14ac:dyDescent="0.25">
      <c r="A481" s="5">
        <v>44112</v>
      </c>
      <c r="B481">
        <v>4.6420000000000003E-2</v>
      </c>
      <c r="C481">
        <v>5.3190000000000001E-2</v>
      </c>
      <c r="D481">
        <v>4.3200000000000002E-2</v>
      </c>
      <c r="E481">
        <v>5.1090000000000003E-2</v>
      </c>
      <c r="F481">
        <v>33842530.399999999</v>
      </c>
      <c r="G481">
        <v>0</v>
      </c>
      <c r="L481" t="s">
        <v>8</v>
      </c>
      <c r="M481" t="s">
        <v>8</v>
      </c>
      <c r="N481" t="s">
        <v>7</v>
      </c>
      <c r="P481">
        <f t="shared" si="979"/>
        <v>0.57957957957957995</v>
      </c>
      <c r="Q481">
        <f t="shared" si="980"/>
        <v>19614439.541141152</v>
      </c>
      <c r="R481">
        <f t="shared" si="981"/>
        <v>631970379.29641843</v>
      </c>
      <c r="S481">
        <f t="shared" si="982"/>
        <v>6319.7037929641847</v>
      </c>
      <c r="T481">
        <f t="shared" si="983"/>
        <v>6.3197037929641846</v>
      </c>
    </row>
    <row r="482" spans="1:20" x14ac:dyDescent="0.25">
      <c r="A482" s="5">
        <v>44111</v>
      </c>
      <c r="B482">
        <v>4.4049999999999999E-2</v>
      </c>
      <c r="C482">
        <v>4.6809999999999997E-2</v>
      </c>
      <c r="D482">
        <v>4.326E-2</v>
      </c>
      <c r="E482">
        <v>4.6420000000000003E-2</v>
      </c>
      <c r="F482">
        <v>28681241.800000001</v>
      </c>
      <c r="G482">
        <v>0</v>
      </c>
      <c r="L482" t="s">
        <v>7</v>
      </c>
      <c r="M482" t="s">
        <v>7</v>
      </c>
      <c r="N482" t="s">
        <v>7</v>
      </c>
      <c r="P482">
        <f t="shared" si="979"/>
        <v>0.78028169014084803</v>
      </c>
      <c r="Q482">
        <f t="shared" si="980"/>
        <v>22379447.827042338</v>
      </c>
      <c r="R482">
        <f t="shared" si="981"/>
        <v>612355939.75527728</v>
      </c>
      <c r="S482">
        <f t="shared" si="982"/>
        <v>6123.5593975527727</v>
      </c>
      <c r="T482">
        <f t="shared" si="983"/>
        <v>6.1235593975527731</v>
      </c>
    </row>
    <row r="483" spans="1:20" x14ac:dyDescent="0.25">
      <c r="A483" s="5">
        <v>44110</v>
      </c>
      <c r="B483">
        <v>5.178E-2</v>
      </c>
      <c r="C483">
        <v>5.1909999999999998E-2</v>
      </c>
      <c r="D483">
        <v>4.3920000000000001E-2</v>
      </c>
      <c r="E483">
        <v>4.4069999999999998E-2</v>
      </c>
      <c r="F483">
        <v>27866836.199999999</v>
      </c>
      <c r="G483">
        <v>0</v>
      </c>
      <c r="L483" t="s">
        <v>7</v>
      </c>
      <c r="M483" t="s">
        <v>7</v>
      </c>
      <c r="N483" t="s">
        <v>7</v>
      </c>
      <c r="P483">
        <f t="shared" si="979"/>
        <v>-0.96245306633291683</v>
      </c>
      <c r="Q483">
        <f t="shared" si="980"/>
        <v>-26820521.949687127</v>
      </c>
      <c r="R483">
        <f t="shared" si="981"/>
        <v>589976491.92823493</v>
      </c>
      <c r="S483">
        <f t="shared" si="982"/>
        <v>5899.7649192823492</v>
      </c>
      <c r="T483">
        <f t="shared" si="983"/>
        <v>5.8997649192823491</v>
      </c>
    </row>
    <row r="484" spans="1:20" x14ac:dyDescent="0.25">
      <c r="A484" s="5">
        <v>44109</v>
      </c>
      <c r="B484">
        <v>5.2359999999999997E-2</v>
      </c>
      <c r="C484">
        <v>5.4149999999999997E-2</v>
      </c>
      <c r="D484">
        <v>5.0560000000000001E-2</v>
      </c>
      <c r="E484">
        <v>5.1769999999999997E-2</v>
      </c>
      <c r="F484">
        <v>30342626.800000001</v>
      </c>
      <c r="G484">
        <v>0</v>
      </c>
      <c r="L484" t="s">
        <v>7</v>
      </c>
      <c r="M484" t="s">
        <v>7</v>
      </c>
      <c r="N484" t="s">
        <v>7</v>
      </c>
      <c r="P484">
        <f t="shared" si="979"/>
        <v>-0.32590529247911021</v>
      </c>
      <c r="Q484">
        <f t="shared" si="980"/>
        <v>-9888822.6618384887</v>
      </c>
      <c r="R484">
        <f t="shared" si="981"/>
        <v>616797013.87792206</v>
      </c>
      <c r="S484">
        <f t="shared" si="982"/>
        <v>6167.9701387792202</v>
      </c>
      <c r="T484">
        <f t="shared" si="983"/>
        <v>6.1679701387792205</v>
      </c>
    </row>
    <row r="485" spans="1:20" x14ac:dyDescent="0.25">
      <c r="A485" s="5">
        <v>44108</v>
      </c>
      <c r="B485">
        <v>5.1040000000000002E-2</v>
      </c>
      <c r="C485">
        <v>5.2690000000000001E-2</v>
      </c>
      <c r="D485">
        <v>5.0310000000000001E-2</v>
      </c>
      <c r="E485">
        <v>5.2350000000000001E-2</v>
      </c>
      <c r="F485">
        <v>26851922.899999999</v>
      </c>
      <c r="G485">
        <v>0</v>
      </c>
      <c r="L485" t="s">
        <v>7</v>
      </c>
      <c r="M485" t="s">
        <v>7</v>
      </c>
      <c r="N485" t="s">
        <v>7</v>
      </c>
      <c r="P485">
        <f t="shared" si="979"/>
        <v>0.7142857142857143</v>
      </c>
      <c r="Q485">
        <f t="shared" si="980"/>
        <v>19179944.928571429</v>
      </c>
      <c r="R485">
        <f t="shared" si="981"/>
        <v>626685836.53976059</v>
      </c>
      <c r="S485">
        <f t="shared" si="982"/>
        <v>6266.8583653976057</v>
      </c>
      <c r="T485">
        <f t="shared" si="983"/>
        <v>6.2668583653976055</v>
      </c>
    </row>
    <row r="486" spans="1:20" x14ac:dyDescent="0.25">
      <c r="A486" s="5">
        <v>44107</v>
      </c>
      <c r="B486">
        <v>5.4780000000000002E-2</v>
      </c>
      <c r="C486">
        <v>5.604E-2</v>
      </c>
      <c r="D486">
        <v>5.0880000000000002E-2</v>
      </c>
      <c r="E486">
        <v>5.1040000000000002E-2</v>
      </c>
      <c r="F486">
        <v>27245635</v>
      </c>
      <c r="G486">
        <v>0</v>
      </c>
      <c r="L486" t="s">
        <v>7</v>
      </c>
      <c r="M486" t="s">
        <v>7</v>
      </c>
      <c r="N486" t="s">
        <v>7</v>
      </c>
      <c r="P486">
        <f t="shared" si="979"/>
        <v>-0.93798449612403079</v>
      </c>
      <c r="Q486">
        <f t="shared" si="980"/>
        <v>-25555983.217054259</v>
      </c>
      <c r="R486">
        <f t="shared" si="981"/>
        <v>607505891.61118913</v>
      </c>
      <c r="S486">
        <f t="shared" si="982"/>
        <v>6075.0589161118914</v>
      </c>
      <c r="T486">
        <f t="shared" si="983"/>
        <v>6.0750589161118915</v>
      </c>
    </row>
    <row r="487" spans="1:20" x14ac:dyDescent="0.25">
      <c r="A487" s="5">
        <v>44106</v>
      </c>
      <c r="B487">
        <v>6.1690000000000002E-2</v>
      </c>
      <c r="C487">
        <v>6.1699999999999998E-2</v>
      </c>
      <c r="D487">
        <v>5.2630000000000003E-2</v>
      </c>
      <c r="E487">
        <v>5.4769999999999999E-2</v>
      </c>
      <c r="F487">
        <v>36925723.700000003</v>
      </c>
      <c r="G487">
        <v>0</v>
      </c>
      <c r="L487" t="s">
        <v>7</v>
      </c>
      <c r="M487" t="s">
        <v>7</v>
      </c>
      <c r="N487" t="s">
        <v>8</v>
      </c>
      <c r="P487">
        <f t="shared" si="979"/>
        <v>-0.52811466372657168</v>
      </c>
      <c r="Q487">
        <f t="shared" si="980"/>
        <v>-19501016.154685799</v>
      </c>
      <c r="R487">
        <f t="shared" si="981"/>
        <v>633061874.82824337</v>
      </c>
      <c r="S487">
        <f t="shared" si="982"/>
        <v>6330.6187482824334</v>
      </c>
      <c r="T487">
        <f t="shared" si="983"/>
        <v>6.3306187482824336</v>
      </c>
    </row>
    <row r="488" spans="1:20" x14ac:dyDescent="0.25">
      <c r="A488" s="5">
        <v>44105</v>
      </c>
      <c r="B488">
        <v>6.8879999999999997E-2</v>
      </c>
      <c r="C488">
        <v>7.2040000000000007E-2</v>
      </c>
      <c r="D488">
        <v>0.06</v>
      </c>
      <c r="E488">
        <v>6.166E-2</v>
      </c>
      <c r="F488">
        <v>31656024.100000001</v>
      </c>
      <c r="G488">
        <v>0</v>
      </c>
      <c r="L488" t="s">
        <v>7</v>
      </c>
      <c r="M488" t="s">
        <v>7</v>
      </c>
      <c r="N488" t="s">
        <v>8</v>
      </c>
      <c r="P488">
        <f t="shared" si="979"/>
        <v>-0.72425249169435213</v>
      </c>
      <c r="Q488">
        <f t="shared" si="980"/>
        <v>-22926954.331561461</v>
      </c>
      <c r="R488">
        <f t="shared" si="981"/>
        <v>652562890.98292923</v>
      </c>
      <c r="S488">
        <f t="shared" si="982"/>
        <v>6525.6289098292928</v>
      </c>
      <c r="T488">
        <f t="shared" si="983"/>
        <v>6.525628909829293</v>
      </c>
    </row>
    <row r="489" spans="1:20" x14ac:dyDescent="0.25">
      <c r="A489" s="5">
        <v>44104</v>
      </c>
      <c r="B489">
        <v>7.1379999999999999E-2</v>
      </c>
      <c r="C489">
        <v>7.5980000000000006E-2</v>
      </c>
      <c r="D489">
        <v>6.7229999999999998E-2</v>
      </c>
      <c r="E489">
        <v>6.8879999999999997E-2</v>
      </c>
      <c r="F489">
        <v>36206017.899999999</v>
      </c>
      <c r="G489">
        <v>0</v>
      </c>
      <c r="L489" t="s">
        <v>8</v>
      </c>
      <c r="M489" t="s">
        <v>8</v>
      </c>
      <c r="N489" t="s">
        <v>8</v>
      </c>
      <c r="P489">
        <f t="shared" si="979"/>
        <v>-0.62285714285714344</v>
      </c>
      <c r="Q489">
        <f t="shared" si="980"/>
        <v>-22551176.863428593</v>
      </c>
      <c r="R489">
        <f t="shared" si="981"/>
        <v>675489845.31449068</v>
      </c>
      <c r="S489">
        <f t="shared" si="982"/>
        <v>6754.8984531449069</v>
      </c>
      <c r="T489">
        <f t="shared" si="983"/>
        <v>6.7548984531449072</v>
      </c>
    </row>
    <row r="490" spans="1:20" x14ac:dyDescent="0.25">
      <c r="A490" s="5">
        <v>44103</v>
      </c>
      <c r="B490">
        <v>6.234E-2</v>
      </c>
      <c r="C490">
        <v>7.2739999999999999E-2</v>
      </c>
      <c r="D490">
        <v>6.1499999999999999E-2</v>
      </c>
      <c r="E490">
        <v>7.1360000000000007E-2</v>
      </c>
      <c r="F490">
        <v>36334829.700000003</v>
      </c>
      <c r="G490">
        <v>0</v>
      </c>
      <c r="L490" t="s">
        <v>8</v>
      </c>
      <c r="M490" t="s">
        <v>8</v>
      </c>
      <c r="N490" t="s">
        <v>8</v>
      </c>
      <c r="P490">
        <f t="shared" si="979"/>
        <v>0.7544483985765138</v>
      </c>
      <c r="Q490">
        <f t="shared" si="980"/>
        <v>27412754.079715353</v>
      </c>
      <c r="R490">
        <f t="shared" si="981"/>
        <v>698041022.17791927</v>
      </c>
      <c r="S490">
        <f t="shared" si="982"/>
        <v>6980.4102217791924</v>
      </c>
      <c r="T490">
        <f t="shared" si="983"/>
        <v>6.9804102217791923</v>
      </c>
    </row>
    <row r="491" spans="1:20" x14ac:dyDescent="0.25">
      <c r="A491" s="5">
        <v>44102</v>
      </c>
      <c r="B491">
        <v>5.9409999999999998E-2</v>
      </c>
      <c r="C491">
        <v>6.8750000000000006E-2</v>
      </c>
      <c r="D491">
        <v>5.9409999999999998E-2</v>
      </c>
      <c r="E491">
        <v>6.2590000000000007E-2</v>
      </c>
      <c r="F491">
        <v>29051294.699999999</v>
      </c>
      <c r="G491">
        <v>0</v>
      </c>
      <c r="L491" t="s">
        <v>8</v>
      </c>
      <c r="M491" t="s">
        <v>8</v>
      </c>
      <c r="N491" t="s">
        <v>8</v>
      </c>
      <c r="P491">
        <f t="shared" si="979"/>
        <v>-0.31905781584582305</v>
      </c>
      <c r="Q491">
        <f t="shared" si="980"/>
        <v>-9269042.6344753355</v>
      </c>
      <c r="R491">
        <f t="shared" si="981"/>
        <v>670628268.0982039</v>
      </c>
      <c r="S491">
        <f t="shared" si="982"/>
        <v>6706.282680982039</v>
      </c>
      <c r="T491">
        <f t="shared" si="983"/>
        <v>6.7062826809820386</v>
      </c>
    </row>
    <row r="492" spans="1:20" x14ac:dyDescent="0.25">
      <c r="A492" s="5">
        <v>44101</v>
      </c>
      <c r="B492">
        <v>5.883E-2</v>
      </c>
      <c r="C492">
        <v>6.0780000000000001E-2</v>
      </c>
      <c r="D492">
        <v>5.416E-2</v>
      </c>
      <c r="E492">
        <v>5.9240000000000001E-2</v>
      </c>
      <c r="F492">
        <v>21864298.100000001</v>
      </c>
      <c r="G492">
        <v>0</v>
      </c>
      <c r="L492" t="s">
        <v>7</v>
      </c>
      <c r="M492" t="s">
        <v>8</v>
      </c>
      <c r="N492" t="s">
        <v>7</v>
      </c>
      <c r="P492">
        <f t="shared" si="979"/>
        <v>0.53474320241691853</v>
      </c>
      <c r="Q492">
        <f t="shared" si="980"/>
        <v>11691784.784592148</v>
      </c>
      <c r="R492">
        <f t="shared" si="981"/>
        <v>679897310.73267925</v>
      </c>
      <c r="S492">
        <f t="shared" si="982"/>
        <v>6798.9731073267922</v>
      </c>
      <c r="T492">
        <f t="shared" si="983"/>
        <v>6.7989731073267921</v>
      </c>
    </row>
    <row r="493" spans="1:20" x14ac:dyDescent="0.25">
      <c r="A493" s="5">
        <v>44100</v>
      </c>
      <c r="B493">
        <v>6.08E-2</v>
      </c>
      <c r="C493">
        <v>6.2579999999999997E-2</v>
      </c>
      <c r="D493">
        <v>5.731E-2</v>
      </c>
      <c r="E493">
        <v>5.8930000000000003E-2</v>
      </c>
      <c r="F493">
        <v>24306411.5</v>
      </c>
      <c r="G493">
        <v>0</v>
      </c>
      <c r="L493" t="s">
        <v>8</v>
      </c>
      <c r="M493" t="s">
        <v>8</v>
      </c>
      <c r="N493" t="s">
        <v>7</v>
      </c>
      <c r="P493">
        <f t="shared" si="979"/>
        <v>-0.3851992409867156</v>
      </c>
      <c r="Q493">
        <f t="shared" si="980"/>
        <v>-9362811.2609107755</v>
      </c>
      <c r="R493">
        <f t="shared" si="981"/>
        <v>668205525.9480871</v>
      </c>
      <c r="S493">
        <f t="shared" si="982"/>
        <v>6682.0552594808705</v>
      </c>
      <c r="T493">
        <f t="shared" si="983"/>
        <v>6.6820552594808706</v>
      </c>
    </row>
    <row r="494" spans="1:20" x14ac:dyDescent="0.25">
      <c r="A494" s="5">
        <v>44099</v>
      </c>
      <c r="B494">
        <v>5.7680000000000002E-2</v>
      </c>
      <c r="C494">
        <v>6.2140000000000001E-2</v>
      </c>
      <c r="D494">
        <v>5.5300000000000002E-2</v>
      </c>
      <c r="E494">
        <v>6.1129999999999997E-2</v>
      </c>
      <c r="F494">
        <v>36092516.899999999</v>
      </c>
      <c r="G494">
        <v>0</v>
      </c>
      <c r="L494" t="s">
        <v>8</v>
      </c>
      <c r="M494" t="s">
        <v>8</v>
      </c>
      <c r="N494" t="s">
        <v>7</v>
      </c>
      <c r="P494">
        <f t="shared" si="979"/>
        <v>0.70467836257309824</v>
      </c>
      <c r="Q494">
        <f t="shared" si="980"/>
        <v>25433615.710233875</v>
      </c>
      <c r="R494">
        <f t="shared" si="981"/>
        <v>677568337.20899785</v>
      </c>
      <c r="S494">
        <f t="shared" si="982"/>
        <v>6775.6833720899785</v>
      </c>
      <c r="T494">
        <f t="shared" si="983"/>
        <v>6.7756833720899783</v>
      </c>
    </row>
    <row r="495" spans="1:20" x14ac:dyDescent="0.25">
      <c r="A495" s="5">
        <v>44098</v>
      </c>
      <c r="B495">
        <v>4.7370000000000002E-2</v>
      </c>
      <c r="C495">
        <v>5.9069999999999998E-2</v>
      </c>
      <c r="D495">
        <v>4.6390000000000001E-2</v>
      </c>
      <c r="E495">
        <v>5.7639999999999997E-2</v>
      </c>
      <c r="F495">
        <v>32154884.600000001</v>
      </c>
      <c r="G495">
        <v>0</v>
      </c>
      <c r="L495" t="s">
        <v>7</v>
      </c>
      <c r="M495" t="s">
        <v>8</v>
      </c>
      <c r="N495" t="s">
        <v>7</v>
      </c>
      <c r="P495">
        <f t="shared" si="979"/>
        <v>0.77444794952681373</v>
      </c>
      <c r="Q495">
        <f t="shared" si="980"/>
        <v>24902284.445741322</v>
      </c>
      <c r="R495">
        <f t="shared" si="981"/>
        <v>652134721.49876392</v>
      </c>
      <c r="S495">
        <f t="shared" si="982"/>
        <v>6521.3472149876388</v>
      </c>
      <c r="T495">
        <f t="shared" si="983"/>
        <v>6.5213472149876388</v>
      </c>
    </row>
    <row r="496" spans="1:20" x14ac:dyDescent="0.25">
      <c r="A496" s="5">
        <v>44097</v>
      </c>
      <c r="B496">
        <v>5.5199999999999999E-2</v>
      </c>
      <c r="C496">
        <v>5.7439999999999998E-2</v>
      </c>
      <c r="D496">
        <v>4.7129999999999998E-2</v>
      </c>
      <c r="E496">
        <v>4.7350000000000003E-2</v>
      </c>
      <c r="F496">
        <v>24776736.199999999</v>
      </c>
      <c r="G496">
        <v>0</v>
      </c>
      <c r="L496" t="s">
        <v>7</v>
      </c>
      <c r="M496" t="s">
        <v>7</v>
      </c>
      <c r="N496" t="s">
        <v>7</v>
      </c>
      <c r="P496">
        <f t="shared" si="979"/>
        <v>-0.95732298739088173</v>
      </c>
      <c r="Q496">
        <f t="shared" si="980"/>
        <v>-23719339.116779801</v>
      </c>
      <c r="R496">
        <f t="shared" si="981"/>
        <v>627232437.05302262</v>
      </c>
      <c r="S496">
        <f t="shared" si="982"/>
        <v>6272.3243705302266</v>
      </c>
      <c r="T496">
        <f t="shared" si="983"/>
        <v>6.2723243705302263</v>
      </c>
    </row>
    <row r="497" spans="1:20" x14ac:dyDescent="0.25">
      <c r="A497" s="5">
        <v>44096</v>
      </c>
      <c r="B497">
        <v>5.7669999999999999E-2</v>
      </c>
      <c r="C497">
        <v>5.91E-2</v>
      </c>
      <c r="D497">
        <v>5.1400000000000001E-2</v>
      </c>
      <c r="E497">
        <v>5.5160000000000001E-2</v>
      </c>
      <c r="F497">
        <v>34271325.399999999</v>
      </c>
      <c r="G497">
        <v>0</v>
      </c>
      <c r="L497" t="s">
        <v>7</v>
      </c>
      <c r="M497" t="s">
        <v>7</v>
      </c>
      <c r="N497" t="s">
        <v>7</v>
      </c>
      <c r="P497">
        <f t="shared" si="979"/>
        <v>-2.3376623376623329E-2</v>
      </c>
      <c r="Q497">
        <f t="shared" si="980"/>
        <v>-801147.86649350484</v>
      </c>
      <c r="R497">
        <f t="shared" si="981"/>
        <v>650951776.16980243</v>
      </c>
      <c r="S497">
        <f t="shared" si="982"/>
        <v>6509.5177616980245</v>
      </c>
      <c r="T497">
        <f t="shared" si="983"/>
        <v>6.5095177616980244</v>
      </c>
    </row>
    <row r="498" spans="1:20" x14ac:dyDescent="0.25">
      <c r="A498" s="5">
        <v>44095</v>
      </c>
      <c r="B498">
        <v>6.6259999999999999E-2</v>
      </c>
      <c r="C498">
        <v>6.9900000000000004E-2</v>
      </c>
      <c r="D498">
        <v>5.7509999999999999E-2</v>
      </c>
      <c r="E498">
        <v>5.7520000000000002E-2</v>
      </c>
      <c r="F498">
        <v>36223684.600000001</v>
      </c>
      <c r="G498">
        <v>0</v>
      </c>
      <c r="L498" t="s">
        <v>7</v>
      </c>
      <c r="M498" t="s">
        <v>7</v>
      </c>
      <c r="N498" t="s">
        <v>7</v>
      </c>
      <c r="P498">
        <f t="shared" si="979"/>
        <v>-0.99838579499596403</v>
      </c>
      <c r="Q498">
        <f t="shared" si="980"/>
        <v>-36165212.147054061</v>
      </c>
      <c r="R498">
        <f t="shared" si="981"/>
        <v>651752924.03629589</v>
      </c>
      <c r="S498">
        <f t="shared" si="982"/>
        <v>6517.5292403629592</v>
      </c>
      <c r="T498">
        <f t="shared" si="983"/>
        <v>6.5175292403629594</v>
      </c>
    </row>
    <row r="499" spans="1:20" x14ac:dyDescent="0.25">
      <c r="A499" s="5">
        <v>44094</v>
      </c>
      <c r="B499">
        <v>6.7849999999999994E-2</v>
      </c>
      <c r="C499">
        <v>6.9000000000000006E-2</v>
      </c>
      <c r="D499">
        <v>6.4259999999999998E-2</v>
      </c>
      <c r="E499">
        <v>6.6259999999999999E-2</v>
      </c>
      <c r="F499">
        <v>25085529.5</v>
      </c>
      <c r="G499">
        <v>0</v>
      </c>
      <c r="L499" t="s">
        <v>7</v>
      </c>
      <c r="M499" t="s">
        <v>7</v>
      </c>
      <c r="N499" t="s">
        <v>7</v>
      </c>
      <c r="P499">
        <f t="shared" si="979"/>
        <v>-0.15611814345991631</v>
      </c>
      <c r="Q499">
        <f t="shared" si="980"/>
        <v>-3916306.2932489626</v>
      </c>
      <c r="R499">
        <f t="shared" si="981"/>
        <v>687918136.18334997</v>
      </c>
      <c r="S499">
        <f t="shared" si="982"/>
        <v>6879.1813618335</v>
      </c>
      <c r="T499">
        <f t="shared" si="983"/>
        <v>6.8791813618335</v>
      </c>
    </row>
    <row r="500" spans="1:20" x14ac:dyDescent="0.25">
      <c r="A500" s="5">
        <v>44093</v>
      </c>
      <c r="B500">
        <v>6.5769999999999995E-2</v>
      </c>
      <c r="C500">
        <v>7.0749999999999993E-2</v>
      </c>
      <c r="D500">
        <v>6.5280000000000005E-2</v>
      </c>
      <c r="E500">
        <v>6.7839999999999998E-2</v>
      </c>
      <c r="F500">
        <v>23235708.300000001</v>
      </c>
      <c r="G500">
        <v>0</v>
      </c>
      <c r="L500" t="s">
        <v>8</v>
      </c>
      <c r="M500" t="s">
        <v>7</v>
      </c>
      <c r="N500" t="s">
        <v>7</v>
      </c>
      <c r="P500">
        <f t="shared" si="979"/>
        <v>-6.3985374771481501E-2</v>
      </c>
      <c r="Q500">
        <f t="shared" si="980"/>
        <v>-1486745.5036563233</v>
      </c>
      <c r="R500">
        <f t="shared" si="981"/>
        <v>691834442.47659898</v>
      </c>
      <c r="S500">
        <f t="shared" si="982"/>
        <v>6918.34442476599</v>
      </c>
      <c r="T500">
        <f t="shared" si="983"/>
        <v>6.9183444247659898</v>
      </c>
    </row>
    <row r="501" spans="1:20" x14ac:dyDescent="0.25">
      <c r="A501" s="5">
        <v>44092</v>
      </c>
      <c r="B501">
        <v>6.8959999999999994E-2</v>
      </c>
      <c r="C501">
        <v>6.9339999999999999E-2</v>
      </c>
      <c r="D501">
        <v>6.4350000000000004E-2</v>
      </c>
      <c r="E501">
        <v>6.5689999999999998E-2</v>
      </c>
      <c r="F501">
        <v>27611341.300000001</v>
      </c>
      <c r="G501">
        <v>0</v>
      </c>
      <c r="L501" t="s">
        <v>7</v>
      </c>
      <c r="M501" t="s">
        <v>7</v>
      </c>
      <c r="N501" t="s">
        <v>7</v>
      </c>
      <c r="P501">
        <f t="shared" si="979"/>
        <v>-0.46292585170340861</v>
      </c>
      <c r="Q501">
        <f t="shared" si="980"/>
        <v>-12782003.687976003</v>
      </c>
      <c r="R501">
        <f t="shared" si="981"/>
        <v>693321187.98025525</v>
      </c>
      <c r="S501">
        <f t="shared" si="982"/>
        <v>6933.2118798025522</v>
      </c>
      <c r="T501">
        <f t="shared" si="983"/>
        <v>6.9332118798025526</v>
      </c>
    </row>
    <row r="502" spans="1:20" x14ac:dyDescent="0.25">
      <c r="A502" s="5">
        <v>44091</v>
      </c>
      <c r="B502">
        <v>6.9589999999999999E-2</v>
      </c>
      <c r="C502">
        <v>7.0980000000000001E-2</v>
      </c>
      <c r="D502">
        <v>6.5299999999999997E-2</v>
      </c>
      <c r="E502">
        <v>6.8959999999999994E-2</v>
      </c>
      <c r="F502">
        <v>31014730.100000001</v>
      </c>
      <c r="G502">
        <v>0</v>
      </c>
      <c r="L502" t="s">
        <v>8</v>
      </c>
      <c r="M502" t="s">
        <v>7</v>
      </c>
      <c r="N502" t="s">
        <v>7</v>
      </c>
      <c r="P502">
        <f t="shared" si="979"/>
        <v>0.28873239436619497</v>
      </c>
      <c r="Q502">
        <f t="shared" si="980"/>
        <v>8954957.2823942974</v>
      </c>
      <c r="R502">
        <f t="shared" si="981"/>
        <v>706103191.66823125</v>
      </c>
      <c r="S502">
        <f t="shared" si="982"/>
        <v>7061.0319166823128</v>
      </c>
      <c r="T502">
        <f t="shared" si="983"/>
        <v>7.061031916682313</v>
      </c>
    </row>
    <row r="503" spans="1:20" x14ac:dyDescent="0.25">
      <c r="A503" s="5">
        <v>44090</v>
      </c>
      <c r="B503">
        <v>6.5659999999999996E-2</v>
      </c>
      <c r="C503">
        <v>7.1389999999999995E-2</v>
      </c>
      <c r="D503">
        <v>6.4430000000000001E-2</v>
      </c>
      <c r="E503">
        <v>6.9709999999999994E-2</v>
      </c>
      <c r="F503">
        <v>35578759.799999997</v>
      </c>
      <c r="G503">
        <v>0</v>
      </c>
      <c r="L503" t="s">
        <v>7</v>
      </c>
      <c r="M503" t="s">
        <v>7</v>
      </c>
      <c r="N503" t="s">
        <v>7</v>
      </c>
      <c r="P503">
        <f t="shared" si="979"/>
        <v>0.51724137931034408</v>
      </c>
      <c r="Q503">
        <f t="shared" si="980"/>
        <v>18402806.793103419</v>
      </c>
      <c r="R503">
        <f t="shared" si="981"/>
        <v>697148234.38583696</v>
      </c>
      <c r="S503">
        <f t="shared" si="982"/>
        <v>6971.4823438583699</v>
      </c>
      <c r="T503">
        <f t="shared" si="983"/>
        <v>6.9714823438583702</v>
      </c>
    </row>
    <row r="504" spans="1:20" x14ac:dyDescent="0.25">
      <c r="A504" s="5">
        <v>44089</v>
      </c>
      <c r="B504">
        <v>7.4020000000000002E-2</v>
      </c>
      <c r="C504">
        <v>7.7499999999999999E-2</v>
      </c>
      <c r="D504">
        <v>6.5089999999999995E-2</v>
      </c>
      <c r="E504">
        <v>6.5680000000000002E-2</v>
      </c>
      <c r="F504">
        <v>39502814</v>
      </c>
      <c r="G504">
        <v>0</v>
      </c>
      <c r="L504" t="s">
        <v>7</v>
      </c>
      <c r="M504" t="s">
        <v>7</v>
      </c>
      <c r="N504" t="s">
        <v>7</v>
      </c>
      <c r="P504">
        <f t="shared" si="979"/>
        <v>-0.90491539081385863</v>
      </c>
      <c r="Q504">
        <f t="shared" si="980"/>
        <v>-35746704.369057164</v>
      </c>
      <c r="R504">
        <f t="shared" si="981"/>
        <v>678745427.5927335</v>
      </c>
      <c r="S504">
        <f t="shared" si="982"/>
        <v>6787.4542759273354</v>
      </c>
      <c r="T504">
        <f t="shared" si="983"/>
        <v>6.7874542759273355</v>
      </c>
    </row>
    <row r="505" spans="1:20" x14ac:dyDescent="0.25">
      <c r="A505" s="5">
        <v>44088</v>
      </c>
      <c r="B505">
        <v>7.6219999999999996E-2</v>
      </c>
      <c r="C505">
        <v>8.1030000000000005E-2</v>
      </c>
      <c r="D505">
        <v>7.3289999999999994E-2</v>
      </c>
      <c r="E505">
        <v>7.4020000000000002E-2</v>
      </c>
      <c r="F505">
        <v>30528674.899999999</v>
      </c>
      <c r="G505">
        <v>0</v>
      </c>
      <c r="L505" t="s">
        <v>7</v>
      </c>
      <c r="M505" t="s">
        <v>7</v>
      </c>
      <c r="N505" t="s">
        <v>8</v>
      </c>
      <c r="P505">
        <f t="shared" si="979"/>
        <v>-0.81136950904392569</v>
      </c>
      <c r="Q505">
        <f t="shared" si="980"/>
        <v>-24770035.965374615</v>
      </c>
      <c r="R505">
        <f t="shared" si="981"/>
        <v>714492131.96179068</v>
      </c>
      <c r="S505">
        <f t="shared" si="982"/>
        <v>7144.9213196179071</v>
      </c>
      <c r="T505">
        <f t="shared" si="983"/>
        <v>7.1449213196179073</v>
      </c>
    </row>
    <row r="506" spans="1:20" x14ac:dyDescent="0.25">
      <c r="A506" s="5">
        <v>44087</v>
      </c>
      <c r="B506">
        <v>8.652E-2</v>
      </c>
      <c r="C506">
        <v>8.9300000000000004E-2</v>
      </c>
      <c r="D506">
        <v>7.4770000000000003E-2</v>
      </c>
      <c r="E506">
        <v>7.6550000000000007E-2</v>
      </c>
      <c r="F506">
        <v>25884496.5</v>
      </c>
      <c r="G506">
        <v>0</v>
      </c>
      <c r="L506" t="s">
        <v>8</v>
      </c>
      <c r="M506" t="s">
        <v>7</v>
      </c>
      <c r="N506" t="s">
        <v>8</v>
      </c>
      <c r="P506">
        <f t="shared" si="979"/>
        <v>-0.75498967653131399</v>
      </c>
      <c r="Q506">
        <f t="shared" si="980"/>
        <v>-19542527.639710929</v>
      </c>
      <c r="R506">
        <f t="shared" si="981"/>
        <v>739262167.92716527</v>
      </c>
      <c r="S506">
        <f t="shared" si="982"/>
        <v>7392.6216792716523</v>
      </c>
      <c r="T506">
        <f t="shared" si="983"/>
        <v>7.3926216792716524</v>
      </c>
    </row>
    <row r="507" spans="1:20" x14ac:dyDescent="0.25">
      <c r="A507" s="5">
        <v>44086</v>
      </c>
      <c r="B507">
        <v>8.2189999999999999E-2</v>
      </c>
      <c r="C507">
        <v>8.6790000000000006E-2</v>
      </c>
      <c r="D507">
        <v>8.1089999999999995E-2</v>
      </c>
      <c r="E507">
        <v>8.6699999999999999E-2</v>
      </c>
      <c r="F507">
        <v>13174921.9</v>
      </c>
      <c r="G507">
        <v>0</v>
      </c>
      <c r="L507" t="s">
        <v>8</v>
      </c>
      <c r="M507" t="s">
        <v>7</v>
      </c>
      <c r="N507" t="s">
        <v>8</v>
      </c>
      <c r="P507">
        <f t="shared" si="979"/>
        <v>0.96842105263157663</v>
      </c>
      <c r="Q507">
        <f t="shared" si="980"/>
        <v>12758871.734736811</v>
      </c>
      <c r="R507">
        <f t="shared" si="981"/>
        <v>758804695.56687617</v>
      </c>
      <c r="S507">
        <f t="shared" si="982"/>
        <v>7588.0469556687622</v>
      </c>
      <c r="T507">
        <f t="shared" si="983"/>
        <v>7.5880469556687622</v>
      </c>
    </row>
    <row r="508" spans="1:20" x14ac:dyDescent="0.25">
      <c r="A508" s="5">
        <v>44085</v>
      </c>
      <c r="B508">
        <v>8.6929999999999993E-2</v>
      </c>
      <c r="C508">
        <v>8.7679999999999994E-2</v>
      </c>
      <c r="D508">
        <v>7.8600000000000003E-2</v>
      </c>
      <c r="E508">
        <v>8.2519999999999996E-2</v>
      </c>
      <c r="F508">
        <v>14127262.699999999</v>
      </c>
      <c r="G508">
        <v>0</v>
      </c>
      <c r="L508" t="s">
        <v>7</v>
      </c>
      <c r="M508" t="s">
        <v>7</v>
      </c>
      <c r="N508" t="s">
        <v>8</v>
      </c>
      <c r="P508">
        <f t="shared" si="979"/>
        <v>-0.13656387665198308</v>
      </c>
      <c r="Q508">
        <f t="shared" si="980"/>
        <v>-1929273.7607929613</v>
      </c>
      <c r="R508">
        <f t="shared" si="981"/>
        <v>746045823.83213937</v>
      </c>
      <c r="S508">
        <f t="shared" si="982"/>
        <v>7460.4582383213938</v>
      </c>
      <c r="T508">
        <f t="shared" si="983"/>
        <v>7.4604582383213938</v>
      </c>
    </row>
    <row r="509" spans="1:20" x14ac:dyDescent="0.25">
      <c r="A509" s="5">
        <v>44084</v>
      </c>
      <c r="B509">
        <v>7.6810000000000003E-2</v>
      </c>
      <c r="C509">
        <v>9.5000000000000001E-2</v>
      </c>
      <c r="D509">
        <v>7.6810000000000003E-2</v>
      </c>
      <c r="E509">
        <v>8.6849999999999997E-2</v>
      </c>
      <c r="F509">
        <v>36841553.799999997</v>
      </c>
      <c r="G509">
        <v>0</v>
      </c>
      <c r="L509" t="s">
        <v>8</v>
      </c>
      <c r="M509" t="s">
        <v>8</v>
      </c>
      <c r="N509" t="s">
        <v>8</v>
      </c>
      <c r="P509">
        <f t="shared" si="979"/>
        <v>0.10390324354040623</v>
      </c>
      <c r="Q509">
        <f t="shared" si="980"/>
        <v>3827956.9368883781</v>
      </c>
      <c r="R509">
        <f t="shared" si="981"/>
        <v>747975097.59293234</v>
      </c>
      <c r="S509">
        <f t="shared" si="982"/>
        <v>7479.7509759293234</v>
      </c>
      <c r="T509">
        <f t="shared" si="983"/>
        <v>7.4797509759293233</v>
      </c>
    </row>
    <row r="510" spans="1:20" x14ac:dyDescent="0.25">
      <c r="A510" s="5">
        <v>44083</v>
      </c>
      <c r="B510">
        <v>7.4950000000000003E-2</v>
      </c>
      <c r="C510">
        <v>8.1710000000000005E-2</v>
      </c>
      <c r="D510">
        <v>7.1999999999999995E-2</v>
      </c>
      <c r="E510">
        <v>7.6829999999999996E-2</v>
      </c>
      <c r="F510">
        <v>20620180.5</v>
      </c>
      <c r="G510">
        <v>0</v>
      </c>
      <c r="L510" t="s">
        <v>7</v>
      </c>
      <c r="M510" t="s">
        <v>8</v>
      </c>
      <c r="N510" t="s">
        <v>7</v>
      </c>
      <c r="P510">
        <f t="shared" si="979"/>
        <v>-5.1493305870245433E-3</v>
      </c>
      <c r="Q510">
        <f t="shared" si="980"/>
        <v>-106180.12615861704</v>
      </c>
      <c r="R510">
        <f t="shared" si="981"/>
        <v>744147140.65604401</v>
      </c>
      <c r="S510">
        <f t="shared" si="982"/>
        <v>7441.4714065604403</v>
      </c>
      <c r="T510">
        <f t="shared" si="983"/>
        <v>7.4414714065604404</v>
      </c>
    </row>
    <row r="511" spans="1:20" x14ac:dyDescent="0.25">
      <c r="A511" s="5">
        <v>44082</v>
      </c>
      <c r="B511">
        <v>8.4209999999999993E-2</v>
      </c>
      <c r="C511">
        <v>8.4599999999999995E-2</v>
      </c>
      <c r="D511">
        <v>7.2580000000000006E-2</v>
      </c>
      <c r="E511">
        <v>7.5109999999999996E-2</v>
      </c>
      <c r="F511">
        <v>24453735.800000001</v>
      </c>
      <c r="G511">
        <v>0</v>
      </c>
      <c r="L511" t="s">
        <v>8</v>
      </c>
      <c r="M511" t="s">
        <v>8</v>
      </c>
      <c r="N511" t="s">
        <v>7</v>
      </c>
      <c r="P511">
        <f t="shared" si="979"/>
        <v>-0.57903494176372827</v>
      </c>
      <c r="Q511">
        <f t="shared" si="980"/>
        <v>-14159567.484858599</v>
      </c>
      <c r="R511">
        <f t="shared" si="981"/>
        <v>744253320.7822026</v>
      </c>
      <c r="S511">
        <f t="shared" si="982"/>
        <v>7442.5332078220263</v>
      </c>
      <c r="T511">
        <f t="shared" si="983"/>
        <v>7.4425332078220263</v>
      </c>
    </row>
    <row r="512" spans="1:20" x14ac:dyDescent="0.25">
      <c r="A512" s="5">
        <v>44081</v>
      </c>
      <c r="B512">
        <v>8.3930000000000005E-2</v>
      </c>
      <c r="C512">
        <v>8.5199999999999998E-2</v>
      </c>
      <c r="D512">
        <v>6.8419999999999995E-2</v>
      </c>
      <c r="E512">
        <v>8.4220000000000003E-2</v>
      </c>
      <c r="F512">
        <v>37620657.5</v>
      </c>
      <c r="G512">
        <v>0</v>
      </c>
      <c r="L512" t="s">
        <v>7</v>
      </c>
      <c r="M512" t="s">
        <v>7</v>
      </c>
      <c r="N512" t="s">
        <v>7</v>
      </c>
      <c r="P512">
        <f t="shared" si="979"/>
        <v>0.88319427890345714</v>
      </c>
      <c r="Q512">
        <f t="shared" si="980"/>
        <v>33226349.472586438</v>
      </c>
      <c r="R512">
        <f t="shared" si="981"/>
        <v>758412888.26706123</v>
      </c>
      <c r="S512">
        <f t="shared" si="982"/>
        <v>7584.1288826706123</v>
      </c>
      <c r="T512">
        <f t="shared" si="983"/>
        <v>7.5841288826706119</v>
      </c>
    </row>
    <row r="513" spans="1:20" x14ac:dyDescent="0.25">
      <c r="A513" s="5">
        <v>44080</v>
      </c>
      <c r="B513">
        <v>7.4260000000000007E-2</v>
      </c>
      <c r="C513">
        <v>8.4449999999999997E-2</v>
      </c>
      <c r="D513">
        <v>6.7930000000000004E-2</v>
      </c>
      <c r="E513">
        <v>8.4080000000000002E-2</v>
      </c>
      <c r="F513">
        <v>24631650.600000001</v>
      </c>
      <c r="G513">
        <v>0</v>
      </c>
      <c r="L513" t="s">
        <v>8</v>
      </c>
      <c r="M513" t="s">
        <v>8</v>
      </c>
      <c r="N513" t="s">
        <v>7</v>
      </c>
      <c r="P513">
        <f t="shared" si="979"/>
        <v>0.95520581113801506</v>
      </c>
      <c r="Q513">
        <f t="shared" si="980"/>
        <v>23528295.791041177</v>
      </c>
      <c r="R513">
        <f t="shared" si="981"/>
        <v>725186538.79447484</v>
      </c>
      <c r="S513">
        <f t="shared" si="982"/>
        <v>7251.8653879447484</v>
      </c>
      <c r="T513">
        <f t="shared" si="983"/>
        <v>7.2518653879447488</v>
      </c>
    </row>
    <row r="514" spans="1:20" x14ac:dyDescent="0.25">
      <c r="A514" s="5">
        <v>44079</v>
      </c>
      <c r="B514">
        <v>9.0709999999999999E-2</v>
      </c>
      <c r="C514">
        <v>9.4649999999999998E-2</v>
      </c>
      <c r="D514">
        <v>6.3500000000000001E-2</v>
      </c>
      <c r="E514">
        <v>7.4060000000000001E-2</v>
      </c>
      <c r="F514">
        <v>39251056.299999997</v>
      </c>
      <c r="G514">
        <v>0</v>
      </c>
      <c r="L514" t="s">
        <v>7</v>
      </c>
      <c r="M514" t="s">
        <v>7</v>
      </c>
      <c r="N514" t="s">
        <v>7</v>
      </c>
      <c r="P514">
        <f t="shared" si="979"/>
        <v>-0.32199036918138035</v>
      </c>
      <c r="Q514">
        <f t="shared" si="980"/>
        <v>-12638462.108796144</v>
      </c>
      <c r="R514">
        <f t="shared" si="981"/>
        <v>701658243.0034337</v>
      </c>
      <c r="S514">
        <f t="shared" si="982"/>
        <v>7016.5824300343374</v>
      </c>
      <c r="T514">
        <f t="shared" si="983"/>
        <v>7.0165824300343376</v>
      </c>
    </row>
    <row r="515" spans="1:20" x14ac:dyDescent="0.25">
      <c r="A515" s="5">
        <v>44078</v>
      </c>
      <c r="B515">
        <v>9.1719999999999996E-2</v>
      </c>
      <c r="C515">
        <v>9.5000000000000001E-2</v>
      </c>
      <c r="D515">
        <v>7.8969999999999999E-2</v>
      </c>
      <c r="E515">
        <v>9.0999999999999998E-2</v>
      </c>
      <c r="F515">
        <v>42432805.700000003</v>
      </c>
      <c r="G515">
        <v>0</v>
      </c>
      <c r="L515" t="s">
        <v>7</v>
      </c>
      <c r="M515" t="s">
        <v>7</v>
      </c>
      <c r="N515" t="s">
        <v>7</v>
      </c>
      <c r="P515">
        <f t="shared" si="979"/>
        <v>0.50093574547722985</v>
      </c>
      <c r="Q515">
        <f t="shared" si="980"/>
        <v>21256109.156019948</v>
      </c>
      <c r="R515">
        <f t="shared" si="981"/>
        <v>714296705.11222982</v>
      </c>
      <c r="S515">
        <f t="shared" si="982"/>
        <v>7142.9670511222985</v>
      </c>
      <c r="T515">
        <f t="shared" si="983"/>
        <v>7.1429670511222989</v>
      </c>
    </row>
    <row r="516" spans="1:20" x14ac:dyDescent="0.25">
      <c r="A516" s="5">
        <v>44077</v>
      </c>
      <c r="B516">
        <v>0.10745</v>
      </c>
      <c r="C516">
        <v>0.11368</v>
      </c>
      <c r="D516">
        <v>9.1200000000000003E-2</v>
      </c>
      <c r="E516">
        <v>9.1899999999999996E-2</v>
      </c>
      <c r="F516">
        <v>32599976</v>
      </c>
      <c r="G516">
        <v>0</v>
      </c>
      <c r="L516" t="s">
        <v>7</v>
      </c>
      <c r="M516" t="s">
        <v>7</v>
      </c>
      <c r="N516" t="s">
        <v>7</v>
      </c>
      <c r="P516">
        <f t="shared" si="979"/>
        <v>-0.93772241992882632</v>
      </c>
      <c r="Q516">
        <f t="shared" si="980"/>
        <v>-30569728.384341661</v>
      </c>
      <c r="R516">
        <f t="shared" si="981"/>
        <v>693040595.9562099</v>
      </c>
      <c r="S516">
        <f t="shared" si="982"/>
        <v>6930.4059595620993</v>
      </c>
      <c r="T516">
        <f t="shared" si="983"/>
        <v>6.9304059595620995</v>
      </c>
    </row>
    <row r="517" spans="1:20" x14ac:dyDescent="0.25">
      <c r="A517" s="5">
        <v>44076</v>
      </c>
      <c r="B517">
        <v>0.11029</v>
      </c>
      <c r="C517">
        <v>0.11609</v>
      </c>
      <c r="D517">
        <v>0.10145</v>
      </c>
      <c r="E517">
        <v>0.10743999999999999</v>
      </c>
      <c r="F517">
        <v>24363495.800000001</v>
      </c>
      <c r="G517">
        <v>0</v>
      </c>
      <c r="L517" t="s">
        <v>7</v>
      </c>
      <c r="M517" t="s">
        <v>7</v>
      </c>
      <c r="N517" t="s">
        <v>7</v>
      </c>
      <c r="P517">
        <f t="shared" si="979"/>
        <v>-0.1816939890710389</v>
      </c>
      <c r="Q517">
        <f t="shared" si="980"/>
        <v>-4426700.7396175023</v>
      </c>
      <c r="R517">
        <f t="shared" si="981"/>
        <v>723610324.34055161</v>
      </c>
      <c r="S517">
        <f t="shared" si="982"/>
        <v>7236.103243405516</v>
      </c>
      <c r="T517">
        <f t="shared" si="983"/>
        <v>7.2361032434055161</v>
      </c>
    </row>
    <row r="518" spans="1:20" x14ac:dyDescent="0.25">
      <c r="A518" s="5">
        <v>44075</v>
      </c>
      <c r="B518">
        <v>0.11328000000000001</v>
      </c>
      <c r="C518">
        <v>0.11876</v>
      </c>
      <c r="D518">
        <v>0.11</v>
      </c>
      <c r="E518">
        <v>0.11022999999999999</v>
      </c>
      <c r="F518">
        <v>35102852.299999997</v>
      </c>
      <c r="G518">
        <v>0</v>
      </c>
      <c r="L518" t="s">
        <v>7</v>
      </c>
      <c r="M518" t="s">
        <v>7</v>
      </c>
      <c r="N518" t="s">
        <v>7</v>
      </c>
      <c r="P518">
        <f t="shared" ref="P518:P581" si="984">IF(C518=D518,0,((E518-D518)-(C518-E518))/(C518-D518))</f>
        <v>-0.94748858447488726</v>
      </c>
      <c r="Q518">
        <f t="shared" ref="Q518:Q581" si="985">F518*P518</f>
        <v>-33259551.836758036</v>
      </c>
      <c r="R518">
        <f t="shared" ref="R518:R581" si="986">R519+Q518</f>
        <v>728037025.08016908</v>
      </c>
      <c r="S518">
        <f t="shared" ref="S518:S581" si="987">R518/100000</f>
        <v>7280.3702508016904</v>
      </c>
      <c r="T518">
        <f t="shared" ref="T518:T581" si="988">S518/1000</f>
        <v>7.2803702508016901</v>
      </c>
    </row>
    <row r="519" spans="1:20" x14ac:dyDescent="0.25">
      <c r="A519" s="5">
        <v>44074</v>
      </c>
      <c r="B519">
        <v>0.1245</v>
      </c>
      <c r="C519">
        <v>0.12934000000000001</v>
      </c>
      <c r="D519">
        <v>0.11264</v>
      </c>
      <c r="E519">
        <v>0.11328000000000001</v>
      </c>
      <c r="F519">
        <v>31521103.399999999</v>
      </c>
      <c r="G519">
        <v>0</v>
      </c>
      <c r="L519" t="s">
        <v>7</v>
      </c>
      <c r="M519" t="s">
        <v>8</v>
      </c>
      <c r="N519" t="s">
        <v>7</v>
      </c>
      <c r="P519">
        <f t="shared" si="984"/>
        <v>-0.92335329341317351</v>
      </c>
      <c r="Q519">
        <f t="shared" si="985"/>
        <v>-29105114.636407182</v>
      </c>
      <c r="R519">
        <f t="shared" si="986"/>
        <v>761296576.9169271</v>
      </c>
      <c r="S519">
        <f t="shared" si="987"/>
        <v>7612.965769169271</v>
      </c>
      <c r="T519">
        <f t="shared" si="988"/>
        <v>7.6129657691692714</v>
      </c>
    </row>
    <row r="520" spans="1:20" x14ac:dyDescent="0.25">
      <c r="A520" s="5">
        <v>44073</v>
      </c>
      <c r="B520">
        <v>0.11175</v>
      </c>
      <c r="C520">
        <v>0.13</v>
      </c>
      <c r="D520">
        <v>0.10798000000000001</v>
      </c>
      <c r="E520">
        <v>0.12439</v>
      </c>
      <c r="F520">
        <v>31635127.199999999</v>
      </c>
      <c r="G520">
        <v>0</v>
      </c>
      <c r="L520" t="s">
        <v>8</v>
      </c>
      <c r="M520" t="s">
        <v>8</v>
      </c>
      <c r="N520" t="s">
        <v>7</v>
      </c>
      <c r="P520">
        <f t="shared" si="984"/>
        <v>0.49046321525885517</v>
      </c>
      <c r="Q520">
        <f t="shared" si="985"/>
        <v>15515866.201634863</v>
      </c>
      <c r="R520">
        <f t="shared" si="986"/>
        <v>790401691.55333424</v>
      </c>
      <c r="S520">
        <f t="shared" si="987"/>
        <v>7904.0169155333424</v>
      </c>
      <c r="T520">
        <f t="shared" si="988"/>
        <v>7.904016915533342</v>
      </c>
    </row>
    <row r="521" spans="1:20" x14ac:dyDescent="0.25">
      <c r="A521" s="5">
        <v>44072</v>
      </c>
      <c r="B521">
        <v>0.10736</v>
      </c>
      <c r="C521">
        <v>0.11587</v>
      </c>
      <c r="D521">
        <v>0.106</v>
      </c>
      <c r="E521">
        <v>0.1115</v>
      </c>
      <c r="F521">
        <v>20282185.300000001</v>
      </c>
      <c r="G521">
        <v>0</v>
      </c>
      <c r="L521" t="s">
        <v>8</v>
      </c>
      <c r="M521" t="s">
        <v>7</v>
      </c>
      <c r="N521" t="s">
        <v>7</v>
      </c>
      <c r="P521">
        <f t="shared" si="984"/>
        <v>0.11448834853090228</v>
      </c>
      <c r="Q521">
        <f t="shared" si="985"/>
        <v>2322073.8995947428</v>
      </c>
      <c r="R521">
        <f t="shared" si="986"/>
        <v>774885825.35169935</v>
      </c>
      <c r="S521">
        <f t="shared" si="987"/>
        <v>7748.8582535169935</v>
      </c>
      <c r="T521">
        <f t="shared" si="988"/>
        <v>7.7488582535169934</v>
      </c>
    </row>
    <row r="522" spans="1:20" x14ac:dyDescent="0.25">
      <c r="A522" s="5">
        <v>44071</v>
      </c>
      <c r="B522">
        <v>0.10381</v>
      </c>
      <c r="C522">
        <v>0.11085</v>
      </c>
      <c r="D522">
        <v>0.10213</v>
      </c>
      <c r="E522">
        <v>0.10736</v>
      </c>
      <c r="F522">
        <v>21041207.800000001</v>
      </c>
      <c r="G522">
        <v>0</v>
      </c>
      <c r="L522" t="s">
        <v>8</v>
      </c>
      <c r="M522" t="s">
        <v>7</v>
      </c>
      <c r="N522" t="s">
        <v>7</v>
      </c>
      <c r="P522">
        <f t="shared" si="984"/>
        <v>0.19954128440366864</v>
      </c>
      <c r="Q522">
        <f t="shared" si="985"/>
        <v>4198589.6298164912</v>
      </c>
      <c r="R522">
        <f t="shared" si="986"/>
        <v>772563751.45210457</v>
      </c>
      <c r="S522">
        <f t="shared" si="987"/>
        <v>7725.6375145210459</v>
      </c>
      <c r="T522">
        <f t="shared" si="988"/>
        <v>7.7256375145210461</v>
      </c>
    </row>
    <row r="523" spans="1:20" x14ac:dyDescent="0.25">
      <c r="A523" s="5">
        <v>44070</v>
      </c>
      <c r="B523">
        <v>0.11384</v>
      </c>
      <c r="C523">
        <v>0.11594</v>
      </c>
      <c r="D523">
        <v>0.10074</v>
      </c>
      <c r="E523">
        <v>0.10399</v>
      </c>
      <c r="F523">
        <v>35939909.399999999</v>
      </c>
      <c r="G523">
        <v>0</v>
      </c>
      <c r="L523" t="s">
        <v>7</v>
      </c>
      <c r="M523" t="s">
        <v>7</v>
      </c>
      <c r="N523" t="s">
        <v>7</v>
      </c>
      <c r="P523">
        <f t="shared" si="984"/>
        <v>-0.5723684210526313</v>
      </c>
      <c r="Q523">
        <f t="shared" si="985"/>
        <v>-20570869.196052622</v>
      </c>
      <c r="R523">
        <f t="shared" si="986"/>
        <v>768365161.82228804</v>
      </c>
      <c r="S523">
        <f t="shared" si="987"/>
        <v>7683.6516182228806</v>
      </c>
      <c r="T523">
        <f t="shared" si="988"/>
        <v>7.6836516182228802</v>
      </c>
    </row>
    <row r="524" spans="1:20" x14ac:dyDescent="0.25">
      <c r="A524" s="5">
        <v>44069</v>
      </c>
      <c r="B524">
        <v>0.11393</v>
      </c>
      <c r="C524">
        <v>0.125</v>
      </c>
      <c r="D524">
        <v>0.11046</v>
      </c>
      <c r="E524">
        <v>0.11347</v>
      </c>
      <c r="F524">
        <v>53309975.899999999</v>
      </c>
      <c r="G524">
        <v>0</v>
      </c>
      <c r="L524" t="s">
        <v>8</v>
      </c>
      <c r="M524" t="s">
        <v>8</v>
      </c>
      <c r="N524" t="s">
        <v>7</v>
      </c>
      <c r="P524">
        <f t="shared" si="984"/>
        <v>-0.58596973865199464</v>
      </c>
      <c r="Q524">
        <f t="shared" si="985"/>
        <v>-31238032.645667132</v>
      </c>
      <c r="R524">
        <f t="shared" si="986"/>
        <v>788936031.01834071</v>
      </c>
      <c r="S524">
        <f t="shared" si="987"/>
        <v>7889.3603101834069</v>
      </c>
      <c r="T524">
        <f t="shared" si="988"/>
        <v>7.8893603101834069</v>
      </c>
    </row>
    <row r="525" spans="1:20" x14ac:dyDescent="0.25">
      <c r="A525" s="5">
        <v>44068</v>
      </c>
      <c r="B525">
        <v>0.12526000000000001</v>
      </c>
      <c r="C525">
        <v>0.12597</v>
      </c>
      <c r="D525">
        <v>0.105</v>
      </c>
      <c r="E525">
        <v>0.11393</v>
      </c>
      <c r="F525">
        <v>51759330.600000001</v>
      </c>
      <c r="G525">
        <v>0</v>
      </c>
      <c r="L525" t="s">
        <v>7</v>
      </c>
      <c r="M525" t="s">
        <v>7</v>
      </c>
      <c r="N525" t="s">
        <v>7</v>
      </c>
      <c r="P525">
        <f t="shared" si="984"/>
        <v>-0.14830710538864986</v>
      </c>
      <c r="Q525">
        <f t="shared" si="985"/>
        <v>-7676276.4981401693</v>
      </c>
      <c r="R525">
        <f t="shared" si="986"/>
        <v>820174063.66400778</v>
      </c>
      <c r="S525">
        <f t="shared" si="987"/>
        <v>8201.7406366400774</v>
      </c>
      <c r="T525">
        <f t="shared" si="988"/>
        <v>8.2017406366400767</v>
      </c>
    </row>
    <row r="526" spans="1:20" x14ac:dyDescent="0.25">
      <c r="A526" s="5">
        <v>44067</v>
      </c>
      <c r="B526">
        <v>0.11651</v>
      </c>
      <c r="C526">
        <v>0.13</v>
      </c>
      <c r="D526">
        <v>0.1143</v>
      </c>
      <c r="E526">
        <v>0.12526000000000001</v>
      </c>
      <c r="F526">
        <v>36668890.799999997</v>
      </c>
      <c r="G526">
        <v>0</v>
      </c>
      <c r="L526" t="s">
        <v>7</v>
      </c>
      <c r="M526" t="s">
        <v>8</v>
      </c>
      <c r="N526" t="s">
        <v>7</v>
      </c>
      <c r="P526">
        <f t="shared" si="984"/>
        <v>0.39617834394904555</v>
      </c>
      <c r="Q526">
        <f t="shared" si="985"/>
        <v>14527420.431592392</v>
      </c>
      <c r="R526">
        <f t="shared" si="986"/>
        <v>827850340.162148</v>
      </c>
      <c r="S526">
        <f t="shared" si="987"/>
        <v>8278.5034016214795</v>
      </c>
      <c r="T526">
        <f t="shared" si="988"/>
        <v>8.2785034016214798</v>
      </c>
    </row>
    <row r="527" spans="1:20" x14ac:dyDescent="0.25">
      <c r="A527" s="5">
        <v>44066</v>
      </c>
      <c r="B527">
        <v>0.12912999999999999</v>
      </c>
      <c r="C527">
        <v>0.13317999999999999</v>
      </c>
      <c r="D527">
        <v>0.11067</v>
      </c>
      <c r="E527">
        <v>0.11670999999999999</v>
      </c>
      <c r="F527">
        <v>48356193.700000003</v>
      </c>
      <c r="G527">
        <v>0</v>
      </c>
      <c r="L527" t="s">
        <v>8</v>
      </c>
      <c r="M527" t="s">
        <v>8</v>
      </c>
      <c r="N527" t="s">
        <v>7</v>
      </c>
      <c r="P527">
        <f t="shared" si="984"/>
        <v>-0.46334962239004951</v>
      </c>
      <c r="Q527">
        <f t="shared" si="985"/>
        <v>-22405824.091115091</v>
      </c>
      <c r="R527">
        <f t="shared" si="986"/>
        <v>813322919.73055565</v>
      </c>
      <c r="S527">
        <f t="shared" si="987"/>
        <v>8133.2291973055562</v>
      </c>
      <c r="T527">
        <f t="shared" si="988"/>
        <v>8.1332291973055568</v>
      </c>
    </row>
    <row r="528" spans="1:20" x14ac:dyDescent="0.25">
      <c r="A528" s="5">
        <v>44065</v>
      </c>
      <c r="B528">
        <v>0.10546</v>
      </c>
      <c r="C528">
        <v>0.13256999999999999</v>
      </c>
      <c r="D528">
        <v>9.6250000000000002E-2</v>
      </c>
      <c r="E528">
        <v>0.12928000000000001</v>
      </c>
      <c r="F528">
        <v>90381178.900000006</v>
      </c>
      <c r="G528">
        <v>0</v>
      </c>
      <c r="L528" t="s">
        <v>7</v>
      </c>
      <c r="M528" t="s">
        <v>7</v>
      </c>
      <c r="N528" t="s">
        <v>7</v>
      </c>
      <c r="P528">
        <f t="shared" si="984"/>
        <v>0.81883259911894335</v>
      </c>
      <c r="Q528">
        <f t="shared" si="985"/>
        <v>74007055.630121201</v>
      </c>
      <c r="R528">
        <f t="shared" si="986"/>
        <v>835728743.82167077</v>
      </c>
      <c r="S528">
        <f t="shared" si="987"/>
        <v>8357.2874382167083</v>
      </c>
      <c r="T528">
        <f t="shared" si="988"/>
        <v>8.3572874382167086</v>
      </c>
    </row>
    <row r="529" spans="1:20" x14ac:dyDescent="0.25">
      <c r="A529" s="5">
        <v>44064</v>
      </c>
      <c r="B529">
        <v>0.11808</v>
      </c>
      <c r="C529">
        <v>0.129</v>
      </c>
      <c r="D529">
        <v>0.10495</v>
      </c>
      <c r="E529">
        <v>0.10528999999999999</v>
      </c>
      <c r="F529">
        <v>79674889</v>
      </c>
      <c r="G529">
        <v>0</v>
      </c>
      <c r="L529" t="s">
        <v>7</v>
      </c>
      <c r="M529" t="s">
        <v>7</v>
      </c>
      <c r="N529" t="s">
        <v>7</v>
      </c>
      <c r="P529">
        <f t="shared" si="984"/>
        <v>-0.97172557172557228</v>
      </c>
      <c r="Q529">
        <f t="shared" si="985"/>
        <v>-77422127.065696508</v>
      </c>
      <c r="R529">
        <f t="shared" si="986"/>
        <v>761721688.19154954</v>
      </c>
      <c r="S529">
        <f t="shared" si="987"/>
        <v>7617.2168819154958</v>
      </c>
      <c r="T529">
        <f t="shared" si="988"/>
        <v>7.6172168819154962</v>
      </c>
    </row>
    <row r="530" spans="1:20" x14ac:dyDescent="0.25">
      <c r="A530" s="5">
        <v>44063</v>
      </c>
      <c r="B530">
        <v>0.12792000000000001</v>
      </c>
      <c r="C530">
        <v>0.14299999999999999</v>
      </c>
      <c r="D530">
        <v>0.11523</v>
      </c>
      <c r="E530">
        <v>0.11799999999999999</v>
      </c>
      <c r="F530">
        <v>77938755.799999997</v>
      </c>
      <c r="G530">
        <v>0</v>
      </c>
      <c r="L530" t="s">
        <v>7</v>
      </c>
      <c r="M530" t="s">
        <v>7</v>
      </c>
      <c r="N530" t="s">
        <v>7</v>
      </c>
      <c r="P530">
        <f t="shared" si="984"/>
        <v>-0.80050414115952495</v>
      </c>
      <c r="Q530">
        <f t="shared" si="985"/>
        <v>-62390296.774720944</v>
      </c>
      <c r="R530">
        <f t="shared" si="986"/>
        <v>839143815.25724602</v>
      </c>
      <c r="S530">
        <f t="shared" si="987"/>
        <v>8391.4381525724602</v>
      </c>
      <c r="T530">
        <f t="shared" si="988"/>
        <v>8.3914381525724604</v>
      </c>
    </row>
    <row r="531" spans="1:20" x14ac:dyDescent="0.25">
      <c r="A531" s="5">
        <v>44062</v>
      </c>
      <c r="B531">
        <v>0.15140000000000001</v>
      </c>
      <c r="C531">
        <v>0.1535</v>
      </c>
      <c r="D531">
        <v>0.1222</v>
      </c>
      <c r="E531">
        <v>0.12791</v>
      </c>
      <c r="F531">
        <v>75689048.700000003</v>
      </c>
      <c r="G531">
        <v>0</v>
      </c>
      <c r="L531" t="s">
        <v>7</v>
      </c>
      <c r="M531" t="s">
        <v>7</v>
      </c>
      <c r="N531" t="s">
        <v>7</v>
      </c>
      <c r="P531">
        <f t="shared" si="984"/>
        <v>-0.63514376996805155</v>
      </c>
      <c r="Q531">
        <f t="shared" si="985"/>
        <v>-48073427.736613452</v>
      </c>
      <c r="R531">
        <f t="shared" si="986"/>
        <v>901534112.03196692</v>
      </c>
      <c r="S531">
        <f t="shared" si="987"/>
        <v>9015.3411203196702</v>
      </c>
      <c r="T531">
        <f t="shared" si="988"/>
        <v>9.0153411203196701</v>
      </c>
    </row>
    <row r="532" spans="1:20" x14ac:dyDescent="0.25">
      <c r="A532" s="5">
        <v>44061</v>
      </c>
      <c r="B532">
        <v>0.15767999999999999</v>
      </c>
      <c r="C532">
        <v>0.19</v>
      </c>
      <c r="D532">
        <v>0.13594000000000001</v>
      </c>
      <c r="E532">
        <v>0.15153</v>
      </c>
      <c r="F532">
        <v>145578270.55000001</v>
      </c>
      <c r="G532">
        <v>0</v>
      </c>
      <c r="L532" t="s">
        <v>8</v>
      </c>
      <c r="M532" t="s">
        <v>8</v>
      </c>
      <c r="N532" t="s">
        <v>8</v>
      </c>
      <c r="P532">
        <f t="shared" si="984"/>
        <v>-0.42323344432112492</v>
      </c>
      <c r="Q532">
        <f t="shared" si="985"/>
        <v>-61613592.863189086</v>
      </c>
      <c r="R532">
        <f t="shared" si="986"/>
        <v>949607539.76858044</v>
      </c>
      <c r="S532">
        <f t="shared" si="987"/>
        <v>9496.075397685805</v>
      </c>
      <c r="T532">
        <f t="shared" si="988"/>
        <v>9.4960753976858054</v>
      </c>
    </row>
    <row r="533" spans="1:20" x14ac:dyDescent="0.25">
      <c r="A533" s="5">
        <v>44060</v>
      </c>
      <c r="B533">
        <v>0.13608999999999999</v>
      </c>
      <c r="C533">
        <v>0.16500000000000001</v>
      </c>
      <c r="D533">
        <v>0.13120000000000001</v>
      </c>
      <c r="E533">
        <v>0.15761</v>
      </c>
      <c r="F533">
        <v>76481915.049999997</v>
      </c>
      <c r="G533">
        <v>0</v>
      </c>
      <c r="L533" t="s">
        <v>8</v>
      </c>
      <c r="M533" t="s">
        <v>8</v>
      </c>
      <c r="N533" t="s">
        <v>8</v>
      </c>
      <c r="P533">
        <f t="shared" si="984"/>
        <v>0.56272189349112378</v>
      </c>
      <c r="Q533">
        <f t="shared" si="985"/>
        <v>43038048.054763272</v>
      </c>
      <c r="R533">
        <f t="shared" si="986"/>
        <v>1011221132.6317695</v>
      </c>
      <c r="S533">
        <f t="shared" si="987"/>
        <v>10112.211326317696</v>
      </c>
      <c r="T533">
        <f t="shared" si="988"/>
        <v>10.112211326317697</v>
      </c>
    </row>
    <row r="534" spans="1:20" x14ac:dyDescent="0.25">
      <c r="A534" s="5">
        <v>44059</v>
      </c>
      <c r="B534">
        <v>0.11648</v>
      </c>
      <c r="C534">
        <v>0.15</v>
      </c>
      <c r="D534">
        <v>0.11584999999999999</v>
      </c>
      <c r="E534">
        <v>0.1361</v>
      </c>
      <c r="F534">
        <v>63557184.560000002</v>
      </c>
      <c r="G534">
        <v>0</v>
      </c>
      <c r="L534" t="s">
        <v>8</v>
      </c>
      <c r="M534" t="s">
        <v>8</v>
      </c>
      <c r="N534" t="s">
        <v>8</v>
      </c>
      <c r="P534">
        <f t="shared" si="984"/>
        <v>0.1859443631039534</v>
      </c>
      <c r="Q534">
        <f t="shared" si="985"/>
        <v>11818100.203689622</v>
      </c>
      <c r="R534">
        <f t="shared" si="986"/>
        <v>968183084.57700622</v>
      </c>
      <c r="S534">
        <f t="shared" si="987"/>
        <v>9681.8308457700623</v>
      </c>
      <c r="T534">
        <f t="shared" si="988"/>
        <v>9.6818308457700617</v>
      </c>
    </row>
    <row r="535" spans="1:20" x14ac:dyDescent="0.25">
      <c r="A535" s="5">
        <v>44058</v>
      </c>
      <c r="B535">
        <v>0.11093</v>
      </c>
      <c r="C535">
        <v>0.11965000000000001</v>
      </c>
      <c r="D535">
        <v>0.10521999999999999</v>
      </c>
      <c r="E535">
        <v>0.11677999999999999</v>
      </c>
      <c r="F535">
        <v>34890976.710000001</v>
      </c>
      <c r="G535">
        <v>0</v>
      </c>
      <c r="L535" t="s">
        <v>8</v>
      </c>
      <c r="M535" t="s">
        <v>8</v>
      </c>
      <c r="N535" t="s">
        <v>8</v>
      </c>
      <c r="P535">
        <f t="shared" si="984"/>
        <v>0.60221760221760101</v>
      </c>
      <c r="Q535">
        <f t="shared" si="985"/>
        <v>21011960.333326362</v>
      </c>
      <c r="R535">
        <f t="shared" si="986"/>
        <v>956364984.37331665</v>
      </c>
      <c r="S535">
        <f t="shared" si="987"/>
        <v>9563.6498437331666</v>
      </c>
      <c r="T535">
        <f t="shared" si="988"/>
        <v>9.5636498437331667</v>
      </c>
    </row>
    <row r="536" spans="1:20" x14ac:dyDescent="0.25">
      <c r="A536" s="5">
        <v>44057</v>
      </c>
      <c r="B536">
        <v>9.493E-2</v>
      </c>
      <c r="C536">
        <v>0.11677</v>
      </c>
      <c r="D536">
        <v>9.3020000000000005E-2</v>
      </c>
      <c r="E536">
        <v>0.11117</v>
      </c>
      <c r="F536">
        <v>49111344.960000001</v>
      </c>
      <c r="G536">
        <v>0</v>
      </c>
      <c r="L536" t="s">
        <v>8</v>
      </c>
      <c r="M536" t="s">
        <v>8</v>
      </c>
      <c r="N536" t="s">
        <v>8</v>
      </c>
      <c r="P536">
        <f t="shared" si="984"/>
        <v>0.52842105263157935</v>
      </c>
      <c r="Q536">
        <f t="shared" si="985"/>
        <v>25951468.59991581</v>
      </c>
      <c r="R536">
        <f t="shared" si="986"/>
        <v>935353024.03999031</v>
      </c>
      <c r="S536">
        <f t="shared" si="987"/>
        <v>9353.5302403999031</v>
      </c>
      <c r="T536">
        <f t="shared" si="988"/>
        <v>9.3535302403999037</v>
      </c>
    </row>
    <row r="537" spans="1:20" x14ac:dyDescent="0.25">
      <c r="A537" s="5">
        <v>44056</v>
      </c>
      <c r="B537">
        <v>9.6790000000000001E-2</v>
      </c>
      <c r="C537">
        <v>0.10149</v>
      </c>
      <c r="D537">
        <v>9.2050000000000007E-2</v>
      </c>
      <c r="E537">
        <v>9.4969999999999999E-2</v>
      </c>
      <c r="F537">
        <v>33096219.100000001</v>
      </c>
      <c r="G537">
        <v>0</v>
      </c>
      <c r="L537" t="s">
        <v>8</v>
      </c>
      <c r="M537" t="s">
        <v>7</v>
      </c>
      <c r="N537" t="s">
        <v>8</v>
      </c>
      <c r="P537">
        <f t="shared" si="984"/>
        <v>-0.38135593220339087</v>
      </c>
      <c r="Q537">
        <f t="shared" si="985"/>
        <v>-12621439.487288171</v>
      </c>
      <c r="R537">
        <f t="shared" si="986"/>
        <v>909401555.44007444</v>
      </c>
      <c r="S537">
        <f t="shared" si="987"/>
        <v>9094.0155544007448</v>
      </c>
      <c r="T537">
        <f t="shared" si="988"/>
        <v>9.0940155544007446</v>
      </c>
    </row>
    <row r="538" spans="1:20" x14ac:dyDescent="0.25">
      <c r="A538" s="5">
        <v>44055</v>
      </c>
      <c r="B538">
        <v>9.418E-2</v>
      </c>
      <c r="C538">
        <v>0.10084</v>
      </c>
      <c r="D538">
        <v>8.8999999999999996E-2</v>
      </c>
      <c r="E538">
        <v>9.6790000000000001E-2</v>
      </c>
      <c r="F538">
        <v>39390115.899999999</v>
      </c>
      <c r="G538">
        <v>0</v>
      </c>
      <c r="L538" t="s">
        <v>7</v>
      </c>
      <c r="M538" t="s">
        <v>7</v>
      </c>
      <c r="N538" t="s">
        <v>8</v>
      </c>
      <c r="P538">
        <f t="shared" si="984"/>
        <v>0.3158783783783789</v>
      </c>
      <c r="Q538">
        <f t="shared" si="985"/>
        <v>12442485.934628399</v>
      </c>
      <c r="R538">
        <f t="shared" si="986"/>
        <v>922022994.92736256</v>
      </c>
      <c r="S538">
        <f t="shared" si="987"/>
        <v>9220.2299492736256</v>
      </c>
      <c r="T538">
        <f t="shared" si="988"/>
        <v>9.2202299492736248</v>
      </c>
    </row>
    <row r="539" spans="1:20" x14ac:dyDescent="0.25">
      <c r="A539" s="5">
        <v>44054</v>
      </c>
      <c r="B539">
        <v>0.10650999999999999</v>
      </c>
      <c r="C539">
        <v>0.109</v>
      </c>
      <c r="D539">
        <v>8.8999999999999996E-2</v>
      </c>
      <c r="E539">
        <v>9.418E-2</v>
      </c>
      <c r="F539">
        <v>51457827</v>
      </c>
      <c r="G539">
        <v>0</v>
      </c>
      <c r="L539" t="s">
        <v>8</v>
      </c>
      <c r="M539" t="s">
        <v>7</v>
      </c>
      <c r="N539" t="s">
        <v>8</v>
      </c>
      <c r="P539">
        <f t="shared" si="984"/>
        <v>-0.48199999999999971</v>
      </c>
      <c r="Q539">
        <f t="shared" si="985"/>
        <v>-24802672.613999985</v>
      </c>
      <c r="R539">
        <f t="shared" si="986"/>
        <v>909580508.99273419</v>
      </c>
      <c r="S539">
        <f t="shared" si="987"/>
        <v>9095.8050899273421</v>
      </c>
      <c r="T539">
        <f t="shared" si="988"/>
        <v>9.0958050899273424</v>
      </c>
    </row>
    <row r="540" spans="1:20" x14ac:dyDescent="0.25">
      <c r="A540" s="5">
        <v>44053</v>
      </c>
      <c r="B540">
        <v>9.3820000000000001E-2</v>
      </c>
      <c r="C540">
        <v>0.10788</v>
      </c>
      <c r="D540">
        <v>8.6800000000000002E-2</v>
      </c>
      <c r="E540">
        <v>0.10691000000000001</v>
      </c>
      <c r="F540">
        <v>47177466.439999998</v>
      </c>
      <c r="G540">
        <v>0</v>
      </c>
      <c r="L540" t="s">
        <v>8</v>
      </c>
      <c r="M540" t="s">
        <v>8</v>
      </c>
      <c r="N540" t="s">
        <v>8</v>
      </c>
      <c r="P540">
        <f t="shared" si="984"/>
        <v>0.9079696394686908</v>
      </c>
      <c r="Q540">
        <f t="shared" si="985"/>
        <v>42835707.19457306</v>
      </c>
      <c r="R540">
        <f t="shared" si="986"/>
        <v>934383181.60673416</v>
      </c>
      <c r="S540">
        <f t="shared" si="987"/>
        <v>9343.8318160673407</v>
      </c>
      <c r="T540">
        <f t="shared" si="988"/>
        <v>9.3438318160673415</v>
      </c>
    </row>
    <row r="541" spans="1:20" x14ac:dyDescent="0.25">
      <c r="A541" s="5">
        <v>44052</v>
      </c>
      <c r="B541">
        <v>9.2460000000000001E-2</v>
      </c>
      <c r="C541">
        <v>9.5049999999999996E-2</v>
      </c>
      <c r="D541">
        <v>8.6999999999999994E-2</v>
      </c>
      <c r="E541">
        <v>9.3820000000000001E-2</v>
      </c>
      <c r="F541">
        <v>35141799.399999999</v>
      </c>
      <c r="G541">
        <v>0</v>
      </c>
      <c r="L541" t="s">
        <v>7</v>
      </c>
      <c r="M541" t="s">
        <v>7</v>
      </c>
      <c r="N541" t="s">
        <v>8</v>
      </c>
      <c r="P541">
        <f t="shared" si="984"/>
        <v>0.69440993788820005</v>
      </c>
      <c r="Q541">
        <f t="shared" si="985"/>
        <v>24402814.738633584</v>
      </c>
      <c r="R541">
        <f t="shared" si="986"/>
        <v>891547474.41216111</v>
      </c>
      <c r="S541">
        <f t="shared" si="987"/>
        <v>8915.4747441216114</v>
      </c>
      <c r="T541">
        <f t="shared" si="988"/>
        <v>8.915474744121612</v>
      </c>
    </row>
    <row r="542" spans="1:20" x14ac:dyDescent="0.25">
      <c r="A542" s="5">
        <v>44051</v>
      </c>
      <c r="B542">
        <v>9.5839999999999995E-2</v>
      </c>
      <c r="C542">
        <v>9.8210000000000006E-2</v>
      </c>
      <c r="D542">
        <v>9.0999999999999998E-2</v>
      </c>
      <c r="E542">
        <v>9.2480000000000007E-2</v>
      </c>
      <c r="F542">
        <v>33192274.899999999</v>
      </c>
      <c r="G542">
        <v>0</v>
      </c>
      <c r="L542" t="s">
        <v>7</v>
      </c>
      <c r="M542" t="s">
        <v>8</v>
      </c>
      <c r="N542" t="s">
        <v>8</v>
      </c>
      <c r="P542">
        <f t="shared" si="984"/>
        <v>-0.58945908460471363</v>
      </c>
      <c r="Q542">
        <f t="shared" si="985"/>
        <v>-19565487.978502013</v>
      </c>
      <c r="R542">
        <f t="shared" si="986"/>
        <v>867144659.67352748</v>
      </c>
      <c r="S542">
        <f t="shared" si="987"/>
        <v>8671.4465967352753</v>
      </c>
      <c r="T542">
        <f t="shared" si="988"/>
        <v>8.6714465967352758</v>
      </c>
    </row>
    <row r="543" spans="1:20" x14ac:dyDescent="0.25">
      <c r="A543" s="5">
        <v>44050</v>
      </c>
      <c r="B543">
        <v>9.7000000000000003E-2</v>
      </c>
      <c r="C543">
        <v>0.10100000000000001</v>
      </c>
      <c r="D543">
        <v>8.8700000000000001E-2</v>
      </c>
      <c r="E543">
        <v>9.5909999999999995E-2</v>
      </c>
      <c r="F543">
        <v>46367163.119999997</v>
      </c>
      <c r="G543">
        <v>0</v>
      </c>
      <c r="L543" t="s">
        <v>8</v>
      </c>
      <c r="M543" t="s">
        <v>8</v>
      </c>
      <c r="N543" t="s">
        <v>8</v>
      </c>
      <c r="P543">
        <f t="shared" si="984"/>
        <v>0.17235772357723431</v>
      </c>
      <c r="Q543">
        <f t="shared" si="985"/>
        <v>7991738.6840974921</v>
      </c>
      <c r="R543">
        <f t="shared" si="986"/>
        <v>886710147.65202951</v>
      </c>
      <c r="S543">
        <f t="shared" si="987"/>
        <v>8867.1014765202945</v>
      </c>
      <c r="T543">
        <f t="shared" si="988"/>
        <v>8.8671014765202951</v>
      </c>
    </row>
    <row r="544" spans="1:20" x14ac:dyDescent="0.25">
      <c r="A544" s="5">
        <v>44049</v>
      </c>
      <c r="B544">
        <v>8.7620000000000003E-2</v>
      </c>
      <c r="C544">
        <v>9.8159999999999997E-2</v>
      </c>
      <c r="D544">
        <v>8.5800000000000001E-2</v>
      </c>
      <c r="E544">
        <v>9.7000000000000003E-2</v>
      </c>
      <c r="F544">
        <v>45937834.909999996</v>
      </c>
      <c r="G544">
        <v>0</v>
      </c>
      <c r="L544" t="s">
        <v>8</v>
      </c>
      <c r="M544" t="s">
        <v>8</v>
      </c>
      <c r="N544" t="s">
        <v>8</v>
      </c>
      <c r="P544">
        <f t="shared" si="984"/>
        <v>0.81229773462783261</v>
      </c>
      <c r="Q544">
        <f t="shared" si="985"/>
        <v>37315199.231100366</v>
      </c>
      <c r="R544">
        <f t="shared" si="986"/>
        <v>878718408.96793199</v>
      </c>
      <c r="S544">
        <f t="shared" si="987"/>
        <v>8787.1840896793201</v>
      </c>
      <c r="T544">
        <f t="shared" si="988"/>
        <v>8.7871840896793199</v>
      </c>
    </row>
    <row r="545" spans="1:20" x14ac:dyDescent="0.25">
      <c r="A545" s="5">
        <v>44048</v>
      </c>
      <c r="B545">
        <v>7.7170000000000002E-2</v>
      </c>
      <c r="C545">
        <v>8.7999999999999995E-2</v>
      </c>
      <c r="D545">
        <v>7.5340000000000004E-2</v>
      </c>
      <c r="E545">
        <v>8.7620000000000003E-2</v>
      </c>
      <c r="F545">
        <v>50850557.850000001</v>
      </c>
      <c r="G545">
        <v>0</v>
      </c>
      <c r="L545" t="s">
        <v>8</v>
      </c>
      <c r="M545" t="s">
        <v>8</v>
      </c>
      <c r="N545" t="s">
        <v>8</v>
      </c>
      <c r="P545">
        <f t="shared" si="984"/>
        <v>0.93996840442338203</v>
      </c>
      <c r="Q545">
        <f t="shared" si="985"/>
        <v>47797917.726303384</v>
      </c>
      <c r="R545">
        <f t="shared" si="986"/>
        <v>841403209.73683167</v>
      </c>
      <c r="S545">
        <f t="shared" si="987"/>
        <v>8414.0320973683174</v>
      </c>
      <c r="T545">
        <f t="shared" si="988"/>
        <v>8.4140320973683167</v>
      </c>
    </row>
    <row r="546" spans="1:20" x14ac:dyDescent="0.25">
      <c r="A546" s="5">
        <v>44047</v>
      </c>
      <c r="B546">
        <v>7.22E-2</v>
      </c>
      <c r="C546">
        <v>7.7329999999999996E-2</v>
      </c>
      <c r="D546">
        <v>7.1040000000000006E-2</v>
      </c>
      <c r="E546">
        <v>7.7130000000000004E-2</v>
      </c>
      <c r="F546">
        <v>23620134.699999999</v>
      </c>
      <c r="G546">
        <v>0</v>
      </c>
      <c r="L546" t="s">
        <v>7</v>
      </c>
      <c r="M546" t="s">
        <v>8</v>
      </c>
      <c r="N546" t="s">
        <v>8</v>
      </c>
      <c r="P546">
        <f t="shared" si="984"/>
        <v>0.93640699523052717</v>
      </c>
      <c r="Q546">
        <f t="shared" si="985"/>
        <v>22118059.361367308</v>
      </c>
      <c r="R546">
        <f t="shared" si="986"/>
        <v>793605292.01052833</v>
      </c>
      <c r="S546">
        <f t="shared" si="987"/>
        <v>7936.0529201052832</v>
      </c>
      <c r="T546">
        <f t="shared" si="988"/>
        <v>7.9360529201052836</v>
      </c>
    </row>
    <row r="547" spans="1:20" x14ac:dyDescent="0.25">
      <c r="A547" s="5">
        <v>44046</v>
      </c>
      <c r="B547">
        <v>7.1550000000000002E-2</v>
      </c>
      <c r="C547">
        <v>7.6689999999999994E-2</v>
      </c>
      <c r="D547">
        <v>7.0400000000000004E-2</v>
      </c>
      <c r="E547">
        <v>7.1679999999999994E-2</v>
      </c>
      <c r="F547">
        <v>24088072.199999999</v>
      </c>
      <c r="G547">
        <v>0</v>
      </c>
      <c r="L547" t="s">
        <v>8</v>
      </c>
      <c r="M547" t="s">
        <v>8</v>
      </c>
      <c r="N547" t="s">
        <v>8</v>
      </c>
      <c r="P547">
        <f t="shared" si="984"/>
        <v>-0.5930047694753604</v>
      </c>
      <c r="Q547">
        <f t="shared" si="985"/>
        <v>-14284341.702066837</v>
      </c>
      <c r="R547">
        <f t="shared" si="986"/>
        <v>771487232.64916098</v>
      </c>
      <c r="S547">
        <f t="shared" si="987"/>
        <v>7714.8723264916098</v>
      </c>
      <c r="T547">
        <f t="shared" si="988"/>
        <v>7.7148723264916095</v>
      </c>
    </row>
    <row r="548" spans="1:20" x14ac:dyDescent="0.25">
      <c r="A548" s="5">
        <v>44045</v>
      </c>
      <c r="B548">
        <v>7.4950000000000003E-2</v>
      </c>
      <c r="C548">
        <v>7.6969999999999997E-2</v>
      </c>
      <c r="D548">
        <v>6.4759999999999998E-2</v>
      </c>
      <c r="E548">
        <v>7.1629999999999999E-2</v>
      </c>
      <c r="F548">
        <v>36539729.200000003</v>
      </c>
      <c r="G548">
        <v>0</v>
      </c>
      <c r="L548" t="s">
        <v>7</v>
      </c>
      <c r="M548" t="s">
        <v>7</v>
      </c>
      <c r="N548" t="s">
        <v>8</v>
      </c>
      <c r="P548">
        <f t="shared" si="984"/>
        <v>0.12530712530712562</v>
      </c>
      <c r="Q548">
        <f t="shared" si="985"/>
        <v>4578688.4255528376</v>
      </c>
      <c r="R548">
        <f t="shared" si="986"/>
        <v>785771574.35122776</v>
      </c>
      <c r="S548">
        <f t="shared" si="987"/>
        <v>7857.7157435122772</v>
      </c>
      <c r="T548">
        <f t="shared" si="988"/>
        <v>7.8577157435122773</v>
      </c>
    </row>
    <row r="549" spans="1:20" x14ac:dyDescent="0.25">
      <c r="A549" s="5">
        <v>44044</v>
      </c>
      <c r="B549">
        <v>7.4179999999999996E-2</v>
      </c>
      <c r="C549">
        <v>7.9000000000000001E-2</v>
      </c>
      <c r="D549">
        <v>7.2419999999999998E-2</v>
      </c>
      <c r="E549">
        <v>7.4950000000000003E-2</v>
      </c>
      <c r="F549">
        <v>34662380.5</v>
      </c>
      <c r="G549">
        <v>0</v>
      </c>
      <c r="L549" t="s">
        <v>7</v>
      </c>
      <c r="M549" t="s">
        <v>8</v>
      </c>
      <c r="N549" t="s">
        <v>8</v>
      </c>
      <c r="P549">
        <f t="shared" si="984"/>
        <v>-0.23100303951367676</v>
      </c>
      <c r="Q549">
        <f t="shared" si="985"/>
        <v>-8007115.2522795992</v>
      </c>
      <c r="R549">
        <f t="shared" si="986"/>
        <v>781192885.92567492</v>
      </c>
      <c r="S549">
        <f t="shared" si="987"/>
        <v>7811.9288592567491</v>
      </c>
      <c r="T549">
        <f t="shared" si="988"/>
        <v>7.8119288592567493</v>
      </c>
    </row>
    <row r="550" spans="1:20" x14ac:dyDescent="0.25">
      <c r="A550" s="5">
        <v>44043</v>
      </c>
      <c r="B550">
        <v>7.6310000000000003E-2</v>
      </c>
      <c r="C550">
        <v>8.2000000000000003E-2</v>
      </c>
      <c r="D550">
        <v>7.1330000000000005E-2</v>
      </c>
      <c r="E550">
        <v>7.4370000000000006E-2</v>
      </c>
      <c r="F550">
        <v>62861237.700000003</v>
      </c>
      <c r="G550">
        <v>0</v>
      </c>
      <c r="L550" t="s">
        <v>8</v>
      </c>
      <c r="M550" t="s">
        <v>8</v>
      </c>
      <c r="N550" t="s">
        <v>8</v>
      </c>
      <c r="P550">
        <f t="shared" si="984"/>
        <v>-0.43017806935332681</v>
      </c>
      <c r="Q550">
        <f t="shared" si="985"/>
        <v>-27041525.870946564</v>
      </c>
      <c r="R550">
        <f t="shared" si="986"/>
        <v>789200001.17795455</v>
      </c>
      <c r="S550">
        <f t="shared" si="987"/>
        <v>7892.0000117795453</v>
      </c>
      <c r="T550">
        <f t="shared" si="988"/>
        <v>7.8920000117795457</v>
      </c>
    </row>
    <row r="551" spans="1:20" x14ac:dyDescent="0.25">
      <c r="A551" s="5">
        <v>44042</v>
      </c>
      <c r="B551">
        <v>6.88E-2</v>
      </c>
      <c r="C551">
        <v>7.8490000000000004E-2</v>
      </c>
      <c r="D551">
        <v>6.7269999999999996E-2</v>
      </c>
      <c r="E551">
        <v>7.6289999999999997E-2</v>
      </c>
      <c r="F551">
        <v>53048372.5</v>
      </c>
      <c r="G551">
        <v>0</v>
      </c>
      <c r="L551" t="s">
        <v>8</v>
      </c>
      <c r="M551" t="s">
        <v>8</v>
      </c>
      <c r="N551" t="s">
        <v>8</v>
      </c>
      <c r="P551">
        <f t="shared" si="984"/>
        <v>0.60784313725490091</v>
      </c>
      <c r="Q551">
        <f t="shared" si="985"/>
        <v>32245089.166666612</v>
      </c>
      <c r="R551">
        <f t="shared" si="986"/>
        <v>816241527.04890108</v>
      </c>
      <c r="S551">
        <f t="shared" si="987"/>
        <v>8162.4152704890112</v>
      </c>
      <c r="T551">
        <f t="shared" si="988"/>
        <v>8.1624152704890118</v>
      </c>
    </row>
    <row r="552" spans="1:20" x14ac:dyDescent="0.25">
      <c r="A552" s="5">
        <v>44041</v>
      </c>
      <c r="B552">
        <v>7.2489999999999999E-2</v>
      </c>
      <c r="C552">
        <v>7.4999999999999997E-2</v>
      </c>
      <c r="D552">
        <v>6.7030000000000006E-2</v>
      </c>
      <c r="E552">
        <v>6.8779999999999994E-2</v>
      </c>
      <c r="F552">
        <v>57957644.700000003</v>
      </c>
      <c r="G552">
        <v>0</v>
      </c>
      <c r="L552" t="s">
        <v>7</v>
      </c>
      <c r="M552" t="s">
        <v>8</v>
      </c>
      <c r="N552" t="s">
        <v>8</v>
      </c>
      <c r="P552">
        <f t="shared" si="984"/>
        <v>-0.56085319949812051</v>
      </c>
      <c r="Q552">
        <f t="shared" si="985"/>
        <v>-32505730.46537029</v>
      </c>
      <c r="R552">
        <f t="shared" si="986"/>
        <v>783996437.88223445</v>
      </c>
      <c r="S552">
        <f t="shared" si="987"/>
        <v>7839.9643788223448</v>
      </c>
      <c r="T552">
        <f t="shared" si="988"/>
        <v>7.8399643788223452</v>
      </c>
    </row>
    <row r="553" spans="1:20" x14ac:dyDescent="0.25">
      <c r="A553" s="5">
        <v>44040</v>
      </c>
      <c r="B553">
        <v>6.2350000000000003E-2</v>
      </c>
      <c r="C553">
        <v>7.5609999999999997E-2</v>
      </c>
      <c r="D553">
        <v>6.0970000000000003E-2</v>
      </c>
      <c r="E553">
        <v>7.2660000000000002E-2</v>
      </c>
      <c r="F553">
        <v>98879960.459999993</v>
      </c>
      <c r="G553">
        <v>0</v>
      </c>
      <c r="L553" t="s">
        <v>8</v>
      </c>
      <c r="M553" t="s">
        <v>8</v>
      </c>
      <c r="N553" t="s">
        <v>8</v>
      </c>
      <c r="P553">
        <f t="shared" si="984"/>
        <v>0.59699453551912629</v>
      </c>
      <c r="Q553">
        <f t="shared" si="985"/>
        <v>59030796.066967271</v>
      </c>
      <c r="R553">
        <f t="shared" si="986"/>
        <v>816502168.34760475</v>
      </c>
      <c r="S553">
        <f t="shared" si="987"/>
        <v>8165.0216834760477</v>
      </c>
      <c r="T553">
        <f t="shared" si="988"/>
        <v>8.1650216834760485</v>
      </c>
    </row>
    <row r="554" spans="1:20" x14ac:dyDescent="0.25">
      <c r="A554" s="5">
        <v>44039</v>
      </c>
      <c r="B554">
        <v>5.305E-2</v>
      </c>
      <c r="C554">
        <v>6.6600000000000006E-2</v>
      </c>
      <c r="D554">
        <v>5.0500000000000003E-2</v>
      </c>
      <c r="E554">
        <v>6.2210000000000001E-2</v>
      </c>
      <c r="F554">
        <v>134271597.09999999</v>
      </c>
      <c r="G554">
        <v>0</v>
      </c>
      <c r="L554" t="s">
        <v>8</v>
      </c>
      <c r="M554" t="s">
        <v>8</v>
      </c>
      <c r="N554" t="s">
        <v>8</v>
      </c>
      <c r="P554">
        <f t="shared" si="984"/>
        <v>0.45465838509316719</v>
      </c>
      <c r="Q554">
        <f t="shared" si="985"/>
        <v>61047707.501366392</v>
      </c>
      <c r="R554">
        <f t="shared" si="986"/>
        <v>757471372.2806375</v>
      </c>
      <c r="S554">
        <f t="shared" si="987"/>
        <v>7574.7137228063748</v>
      </c>
      <c r="T554">
        <f t="shared" si="988"/>
        <v>7.5747137228063748</v>
      </c>
    </row>
    <row r="555" spans="1:20" x14ac:dyDescent="0.25">
      <c r="A555" s="5">
        <v>44038</v>
      </c>
      <c r="B555">
        <v>5.0270000000000002E-2</v>
      </c>
      <c r="C555">
        <v>5.3809999999999997E-2</v>
      </c>
      <c r="D555">
        <v>4.8800000000000003E-2</v>
      </c>
      <c r="E555">
        <v>5.289E-2</v>
      </c>
      <c r="F555">
        <v>34447823.799999997</v>
      </c>
      <c r="G555">
        <v>0</v>
      </c>
      <c r="L555" t="s">
        <v>7</v>
      </c>
      <c r="M555" t="s">
        <v>8</v>
      </c>
      <c r="N555" t="s">
        <v>8</v>
      </c>
      <c r="P555">
        <f t="shared" si="984"/>
        <v>0.63273453093812437</v>
      </c>
      <c r="Q555">
        <f t="shared" si="985"/>
        <v>21796327.633932155</v>
      </c>
      <c r="R555">
        <f t="shared" si="986"/>
        <v>696423664.77927113</v>
      </c>
      <c r="S555">
        <f t="shared" si="987"/>
        <v>6964.2366477927117</v>
      </c>
      <c r="T555">
        <f t="shared" si="988"/>
        <v>6.9642366477927116</v>
      </c>
    </row>
    <row r="556" spans="1:20" x14ac:dyDescent="0.25">
      <c r="A556" s="5">
        <v>44037</v>
      </c>
      <c r="B556">
        <v>4.929E-2</v>
      </c>
      <c r="C556">
        <v>5.6550000000000003E-2</v>
      </c>
      <c r="D556">
        <v>4.9119999999999997E-2</v>
      </c>
      <c r="E556">
        <v>5.0279999999999998E-2</v>
      </c>
      <c r="F556">
        <v>54687687.700000003</v>
      </c>
      <c r="G556">
        <v>0</v>
      </c>
      <c r="L556" t="s">
        <v>8</v>
      </c>
      <c r="M556" t="s">
        <v>8</v>
      </c>
      <c r="N556" t="s">
        <v>8</v>
      </c>
      <c r="P556">
        <f t="shared" si="984"/>
        <v>-0.6877523553162852</v>
      </c>
      <c r="Q556">
        <f t="shared" si="985"/>
        <v>-37611586.022476442</v>
      </c>
      <c r="R556">
        <f t="shared" si="986"/>
        <v>674627337.14533901</v>
      </c>
      <c r="S556">
        <f t="shared" si="987"/>
        <v>6746.2733714533897</v>
      </c>
      <c r="T556">
        <f t="shared" si="988"/>
        <v>6.7462733714533893</v>
      </c>
    </row>
    <row r="557" spans="1:20" x14ac:dyDescent="0.25">
      <c r="A557" s="5">
        <v>44036</v>
      </c>
      <c r="B557">
        <v>5.3100000000000001E-2</v>
      </c>
      <c r="C557">
        <v>5.3100000000000001E-2</v>
      </c>
      <c r="D557">
        <v>4.8500000000000001E-2</v>
      </c>
      <c r="E557">
        <v>4.9410000000000003E-2</v>
      </c>
      <c r="F557">
        <v>37199953.899999999</v>
      </c>
      <c r="G557">
        <v>0</v>
      </c>
      <c r="L557" t="s">
        <v>7</v>
      </c>
      <c r="M557" t="s">
        <v>7</v>
      </c>
      <c r="N557" t="s">
        <v>8</v>
      </c>
      <c r="P557">
        <f t="shared" si="984"/>
        <v>-0.60434782608695603</v>
      </c>
      <c r="Q557">
        <f t="shared" si="985"/>
        <v>-22481711.269999981</v>
      </c>
      <c r="R557">
        <f t="shared" si="986"/>
        <v>712238923.16781545</v>
      </c>
      <c r="S557">
        <f t="shared" si="987"/>
        <v>7122.3892316781548</v>
      </c>
      <c r="T557">
        <f t="shared" si="988"/>
        <v>7.122389231678155</v>
      </c>
    </row>
    <row r="558" spans="1:20" x14ac:dyDescent="0.25">
      <c r="A558" s="5">
        <v>44035</v>
      </c>
      <c r="B558">
        <v>5.4949999999999999E-2</v>
      </c>
      <c r="C558">
        <v>5.518E-2</v>
      </c>
      <c r="D558">
        <v>5.0340000000000003E-2</v>
      </c>
      <c r="E558">
        <v>5.3100000000000001E-2</v>
      </c>
      <c r="F558">
        <v>54109165.600000001</v>
      </c>
      <c r="G558">
        <v>0</v>
      </c>
      <c r="L558" t="s">
        <v>7</v>
      </c>
      <c r="M558" t="s">
        <v>8</v>
      </c>
      <c r="N558" t="s">
        <v>8</v>
      </c>
      <c r="P558">
        <f t="shared" si="984"/>
        <v>0.14049586776859513</v>
      </c>
      <c r="Q558">
        <f t="shared" si="985"/>
        <v>7602114.1752066165</v>
      </c>
      <c r="R558">
        <f t="shared" si="986"/>
        <v>734720634.43781543</v>
      </c>
      <c r="S558">
        <f t="shared" si="987"/>
        <v>7347.2063443781544</v>
      </c>
      <c r="T558">
        <f t="shared" si="988"/>
        <v>7.3472063443781543</v>
      </c>
    </row>
    <row r="559" spans="1:20" x14ac:dyDescent="0.25">
      <c r="A559" s="5">
        <v>44034</v>
      </c>
      <c r="B559">
        <v>5.629E-2</v>
      </c>
      <c r="C559">
        <v>5.8709999999999998E-2</v>
      </c>
      <c r="D559">
        <v>5.3159999999999999E-2</v>
      </c>
      <c r="E559">
        <v>5.4859999999999999E-2</v>
      </c>
      <c r="F559">
        <v>46757938</v>
      </c>
      <c r="G559">
        <v>0</v>
      </c>
      <c r="L559" t="s">
        <v>8</v>
      </c>
      <c r="M559" t="s">
        <v>8</v>
      </c>
      <c r="N559" t="s">
        <v>8</v>
      </c>
      <c r="P559">
        <f t="shared" si="984"/>
        <v>-0.38738738738738726</v>
      </c>
      <c r="Q559">
        <f t="shared" si="985"/>
        <v>-18113435.441441435</v>
      </c>
      <c r="R559">
        <f t="shared" si="986"/>
        <v>727118520.26260877</v>
      </c>
      <c r="S559">
        <f t="shared" si="987"/>
        <v>7271.1852026260876</v>
      </c>
      <c r="T559">
        <f t="shared" si="988"/>
        <v>7.2711852026260875</v>
      </c>
    </row>
    <row r="560" spans="1:20" x14ac:dyDescent="0.25">
      <c r="A560" s="5">
        <v>44033</v>
      </c>
      <c r="B560">
        <v>5.5599999999999997E-2</v>
      </c>
      <c r="C560">
        <v>5.6710000000000003E-2</v>
      </c>
      <c r="D560">
        <v>4.6370000000000001E-2</v>
      </c>
      <c r="E560">
        <v>5.6480000000000002E-2</v>
      </c>
      <c r="F560">
        <v>110911716.3</v>
      </c>
      <c r="G560">
        <v>0</v>
      </c>
      <c r="L560" t="s">
        <v>7</v>
      </c>
      <c r="M560" t="s">
        <v>7</v>
      </c>
      <c r="N560" t="s">
        <v>8</v>
      </c>
      <c r="P560">
        <f t="shared" si="984"/>
        <v>0.95551257253384891</v>
      </c>
      <c r="Q560">
        <f t="shared" si="985"/>
        <v>105977539.36595742</v>
      </c>
      <c r="R560">
        <f t="shared" si="986"/>
        <v>745231955.70405018</v>
      </c>
      <c r="S560">
        <f t="shared" si="987"/>
        <v>7452.3195570405014</v>
      </c>
      <c r="T560">
        <f t="shared" si="988"/>
        <v>7.4523195570405019</v>
      </c>
    </row>
    <row r="561" spans="1:104" x14ac:dyDescent="0.25">
      <c r="A561" s="5">
        <v>44032</v>
      </c>
      <c r="B561">
        <v>5.4100000000000002E-2</v>
      </c>
      <c r="C561">
        <v>5.9249999999999997E-2</v>
      </c>
      <c r="D561">
        <v>5.1900000000000002E-2</v>
      </c>
      <c r="E561">
        <v>5.5599999999999997E-2</v>
      </c>
      <c r="F561">
        <v>55886109.100000001</v>
      </c>
      <c r="G561">
        <v>0</v>
      </c>
      <c r="L561" t="s">
        <v>8</v>
      </c>
      <c r="M561" t="s">
        <v>8</v>
      </c>
      <c r="N561" t="s">
        <v>8</v>
      </c>
      <c r="P561">
        <f t="shared" si="984"/>
        <v>6.8027210884346288E-3</v>
      </c>
      <c r="Q561">
        <f t="shared" si="985"/>
        <v>380177.61292512843</v>
      </c>
      <c r="R561">
        <f t="shared" si="986"/>
        <v>639254416.3380928</v>
      </c>
      <c r="S561">
        <f t="shared" si="987"/>
        <v>6392.5441633809278</v>
      </c>
      <c r="T561">
        <f t="shared" si="988"/>
        <v>6.3925441633809275</v>
      </c>
      <c r="CZ561" t="s">
        <v>7</v>
      </c>
    </row>
    <row r="562" spans="1:104" x14ac:dyDescent="0.25">
      <c r="A562" s="5">
        <v>44031</v>
      </c>
      <c r="B562">
        <v>5.4460000000000001E-2</v>
      </c>
      <c r="C562">
        <v>5.6980000000000003E-2</v>
      </c>
      <c r="D562">
        <v>5.33E-2</v>
      </c>
      <c r="E562">
        <v>5.423E-2</v>
      </c>
      <c r="F562">
        <v>41456974.299999997</v>
      </c>
      <c r="G562">
        <v>0</v>
      </c>
      <c r="L562" t="s">
        <v>8</v>
      </c>
      <c r="M562" t="s">
        <v>8</v>
      </c>
      <c r="N562" t="s">
        <v>8</v>
      </c>
      <c r="P562">
        <f t="shared" si="984"/>
        <v>-0.49456521739130455</v>
      </c>
      <c r="Q562">
        <f t="shared" si="985"/>
        <v>-20503177.507065225</v>
      </c>
      <c r="R562">
        <f t="shared" si="986"/>
        <v>638874238.72516763</v>
      </c>
      <c r="S562">
        <f t="shared" si="987"/>
        <v>6388.7423872516765</v>
      </c>
      <c r="T562">
        <f t="shared" si="988"/>
        <v>6.3887423872516766</v>
      </c>
      <c r="CZ562" t="s">
        <v>7</v>
      </c>
    </row>
    <row r="563" spans="1:104" x14ac:dyDescent="0.25">
      <c r="A563" s="5">
        <v>44030</v>
      </c>
      <c r="B563">
        <v>5.0930000000000003E-2</v>
      </c>
      <c r="C563">
        <v>5.5960000000000003E-2</v>
      </c>
      <c r="D563">
        <v>4.9160000000000002E-2</v>
      </c>
      <c r="E563">
        <v>5.4480000000000001E-2</v>
      </c>
      <c r="F563">
        <v>40854647.399999999</v>
      </c>
      <c r="G563">
        <v>0</v>
      </c>
      <c r="L563" t="s">
        <v>8</v>
      </c>
      <c r="M563" t="s">
        <v>8</v>
      </c>
      <c r="N563" t="s">
        <v>8</v>
      </c>
      <c r="P563">
        <f t="shared" si="984"/>
        <v>0.56470588235294061</v>
      </c>
      <c r="Q563">
        <f t="shared" si="985"/>
        <v>23070859.708235271</v>
      </c>
      <c r="R563">
        <f t="shared" si="986"/>
        <v>659377416.23223281</v>
      </c>
      <c r="S563">
        <f t="shared" si="987"/>
        <v>6593.7741623223283</v>
      </c>
      <c r="T563">
        <f t="shared" si="988"/>
        <v>6.5937741623223278</v>
      </c>
      <c r="CZ563" t="s">
        <v>7</v>
      </c>
    </row>
    <row r="564" spans="1:104" x14ac:dyDescent="0.25">
      <c r="A564" s="5">
        <v>44029</v>
      </c>
      <c r="B564">
        <v>5.2040000000000003E-2</v>
      </c>
      <c r="C564">
        <v>5.441E-2</v>
      </c>
      <c r="D564">
        <v>4.929E-2</v>
      </c>
      <c r="E564">
        <v>5.0880000000000002E-2</v>
      </c>
      <c r="F564">
        <v>50492554.700000003</v>
      </c>
      <c r="G564">
        <v>0</v>
      </c>
      <c r="L564" t="s">
        <v>7</v>
      </c>
      <c r="M564" t="s">
        <v>8</v>
      </c>
      <c r="N564" t="s">
        <v>8</v>
      </c>
      <c r="P564">
        <f t="shared" si="984"/>
        <v>-0.3789062499999995</v>
      </c>
      <c r="Q564">
        <f t="shared" si="985"/>
        <v>-19131944.554296851</v>
      </c>
      <c r="R564">
        <f t="shared" si="986"/>
        <v>636306556.52399755</v>
      </c>
      <c r="S564">
        <f t="shared" si="987"/>
        <v>6363.0655652399755</v>
      </c>
      <c r="T564">
        <f t="shared" si="988"/>
        <v>6.3630655652399755</v>
      </c>
    </row>
    <row r="565" spans="1:104" x14ac:dyDescent="0.25">
      <c r="A565" s="5">
        <v>44028</v>
      </c>
      <c r="B565">
        <v>4.8710000000000003E-2</v>
      </c>
      <c r="C565">
        <v>5.5E-2</v>
      </c>
      <c r="D565">
        <v>4.6519999999999999E-2</v>
      </c>
      <c r="E565">
        <v>5.2049999999999999E-2</v>
      </c>
      <c r="F565">
        <v>93178508.299999997</v>
      </c>
      <c r="G565">
        <v>0</v>
      </c>
      <c r="L565" t="s">
        <v>8</v>
      </c>
      <c r="M565" t="s">
        <v>8</v>
      </c>
      <c r="N565" t="s">
        <v>8</v>
      </c>
      <c r="P565">
        <f t="shared" si="984"/>
        <v>0.30424528301886777</v>
      </c>
      <c r="Q565">
        <f t="shared" si="985"/>
        <v>28349121.629009418</v>
      </c>
      <c r="R565">
        <f t="shared" si="986"/>
        <v>655438501.0782944</v>
      </c>
      <c r="S565">
        <f t="shared" si="987"/>
        <v>6554.3850107829439</v>
      </c>
      <c r="T565">
        <f t="shared" si="988"/>
        <v>6.5543850107829442</v>
      </c>
    </row>
    <row r="566" spans="1:104" x14ac:dyDescent="0.25">
      <c r="A566" s="5">
        <v>44027</v>
      </c>
      <c r="B566">
        <v>4.5900000000000003E-2</v>
      </c>
      <c r="C566">
        <v>4.8919999999999998E-2</v>
      </c>
      <c r="D566">
        <v>4.3610000000000003E-2</v>
      </c>
      <c r="E566">
        <v>4.8750000000000002E-2</v>
      </c>
      <c r="F566">
        <v>50603253.600000001</v>
      </c>
      <c r="G566">
        <v>0</v>
      </c>
      <c r="L566" t="s">
        <v>8</v>
      </c>
      <c r="M566" t="s">
        <v>8</v>
      </c>
      <c r="N566" t="s">
        <v>8</v>
      </c>
      <c r="P566">
        <f t="shared" si="984"/>
        <v>0.93596986817325922</v>
      </c>
      <c r="Q566">
        <f t="shared" si="985"/>
        <v>47363120.601130009</v>
      </c>
      <c r="R566">
        <f t="shared" si="986"/>
        <v>627089379.44928503</v>
      </c>
      <c r="S566">
        <f t="shared" si="987"/>
        <v>6270.8937944928502</v>
      </c>
      <c r="T566">
        <f t="shared" si="988"/>
        <v>6.2708937944928502</v>
      </c>
    </row>
    <row r="567" spans="1:104" x14ac:dyDescent="0.25">
      <c r="A567" s="5">
        <v>44026</v>
      </c>
      <c r="B567">
        <v>4.7149999999999997E-2</v>
      </c>
      <c r="C567">
        <v>4.913E-2</v>
      </c>
      <c r="D567">
        <v>4.2700000000000002E-2</v>
      </c>
      <c r="E567">
        <v>4.5909999999999999E-2</v>
      </c>
      <c r="F567">
        <v>58761985.299999997</v>
      </c>
      <c r="G567">
        <v>0</v>
      </c>
      <c r="L567" t="s">
        <v>7</v>
      </c>
      <c r="M567" t="s">
        <v>8</v>
      </c>
      <c r="N567" t="s">
        <v>8</v>
      </c>
      <c r="P567">
        <f t="shared" si="984"/>
        <v>-1.555209953344178E-3</v>
      </c>
      <c r="Q567">
        <f t="shared" si="985"/>
        <v>-91387.224416824276</v>
      </c>
      <c r="R567">
        <f t="shared" si="986"/>
        <v>579726258.84815502</v>
      </c>
      <c r="S567">
        <f t="shared" si="987"/>
        <v>5797.2625884815507</v>
      </c>
      <c r="T567">
        <f t="shared" si="988"/>
        <v>5.7972625884815505</v>
      </c>
    </row>
    <row r="568" spans="1:104" x14ac:dyDescent="0.25">
      <c r="A568" s="5">
        <v>44025</v>
      </c>
      <c r="B568">
        <v>4.3139999999999998E-2</v>
      </c>
      <c r="C568">
        <v>4.9500000000000002E-2</v>
      </c>
      <c r="D568">
        <v>4.0849999999999997E-2</v>
      </c>
      <c r="E568">
        <v>4.7050000000000002E-2</v>
      </c>
      <c r="F568">
        <v>124361042.5</v>
      </c>
      <c r="G568">
        <v>0</v>
      </c>
      <c r="L568" t="s">
        <v>8</v>
      </c>
      <c r="M568" t="s">
        <v>8</v>
      </c>
      <c r="N568" t="s">
        <v>8</v>
      </c>
      <c r="P568">
        <f t="shared" si="984"/>
        <v>0.43352601156069376</v>
      </c>
      <c r="Q568">
        <f t="shared" si="985"/>
        <v>53913746.74855493</v>
      </c>
      <c r="R568">
        <f t="shared" si="986"/>
        <v>579817646.07257187</v>
      </c>
      <c r="S568">
        <f t="shared" si="987"/>
        <v>5798.1764607257192</v>
      </c>
      <c r="T568">
        <f t="shared" si="988"/>
        <v>5.7981764607257196</v>
      </c>
    </row>
    <row r="569" spans="1:104" x14ac:dyDescent="0.25">
      <c r="A569" s="5">
        <v>44024</v>
      </c>
      <c r="B569">
        <v>3.8379999999999997E-2</v>
      </c>
      <c r="C569">
        <v>4.326E-2</v>
      </c>
      <c r="D569">
        <v>3.6240000000000001E-2</v>
      </c>
      <c r="E569">
        <v>4.3180000000000003E-2</v>
      </c>
      <c r="F569">
        <v>67281844.299999997</v>
      </c>
      <c r="G569">
        <v>0</v>
      </c>
      <c r="L569" t="s">
        <v>8</v>
      </c>
      <c r="M569" t="s">
        <v>8</v>
      </c>
      <c r="N569" t="s">
        <v>8</v>
      </c>
      <c r="P569">
        <f t="shared" si="984"/>
        <v>0.97720797720797814</v>
      </c>
      <c r="Q569">
        <f t="shared" si="985"/>
        <v>65748354.971225128</v>
      </c>
      <c r="R569">
        <f t="shared" si="986"/>
        <v>525903899.32401699</v>
      </c>
      <c r="S569">
        <f t="shared" si="987"/>
        <v>5259.0389932401695</v>
      </c>
      <c r="T569">
        <f t="shared" si="988"/>
        <v>5.2590389932401695</v>
      </c>
    </row>
    <row r="570" spans="1:104" x14ac:dyDescent="0.25">
      <c r="A570" s="5">
        <v>44023</v>
      </c>
      <c r="B570">
        <v>3.4930000000000003E-2</v>
      </c>
      <c r="C570">
        <v>3.909E-2</v>
      </c>
      <c r="D570">
        <v>3.4200000000000001E-2</v>
      </c>
      <c r="E570">
        <v>3.8300000000000001E-2</v>
      </c>
      <c r="F570">
        <v>54714767.700000003</v>
      </c>
      <c r="G570">
        <v>0</v>
      </c>
      <c r="L570" t="s">
        <v>8</v>
      </c>
      <c r="M570" t="s">
        <v>8</v>
      </c>
      <c r="N570" t="s">
        <v>8</v>
      </c>
      <c r="P570">
        <f t="shared" si="984"/>
        <v>0.67689161554192256</v>
      </c>
      <c r="Q570">
        <f t="shared" si="985"/>
        <v>37035967.502454005</v>
      </c>
      <c r="R570">
        <f t="shared" si="986"/>
        <v>460155544.35279185</v>
      </c>
      <c r="S570">
        <f t="shared" si="987"/>
        <v>4601.5554435279182</v>
      </c>
      <c r="T570">
        <f t="shared" si="988"/>
        <v>4.6015554435279178</v>
      </c>
    </row>
    <row r="571" spans="1:104" x14ac:dyDescent="0.25">
      <c r="A571" s="5">
        <v>44022</v>
      </c>
      <c r="B571">
        <v>3.542E-2</v>
      </c>
      <c r="C571">
        <v>3.5499999999999997E-2</v>
      </c>
      <c r="D571">
        <v>3.2460000000000003E-2</v>
      </c>
      <c r="E571">
        <v>3.5040000000000002E-2</v>
      </c>
      <c r="F571">
        <v>40944132.399999999</v>
      </c>
      <c r="G571">
        <v>0</v>
      </c>
      <c r="L571" t="s">
        <v>7</v>
      </c>
      <c r="M571" t="s">
        <v>8</v>
      </c>
      <c r="N571" t="s">
        <v>8</v>
      </c>
      <c r="P571">
        <f t="shared" si="984"/>
        <v>0.69736842105263419</v>
      </c>
      <c r="Q571">
        <f t="shared" si="985"/>
        <v>28553144.963158</v>
      </c>
      <c r="R571">
        <f t="shared" si="986"/>
        <v>423119576.85033786</v>
      </c>
      <c r="S571">
        <f t="shared" si="987"/>
        <v>4231.1957685033785</v>
      </c>
      <c r="T571">
        <f t="shared" si="988"/>
        <v>4.2311957685033788</v>
      </c>
    </row>
    <row r="572" spans="1:104" x14ac:dyDescent="0.25">
      <c r="A572" s="5">
        <v>44021</v>
      </c>
      <c r="B572">
        <v>3.6499999999999998E-2</v>
      </c>
      <c r="C572">
        <v>3.6519999999999997E-2</v>
      </c>
      <c r="D572">
        <v>3.2680000000000001E-2</v>
      </c>
      <c r="E572">
        <v>3.5380000000000002E-2</v>
      </c>
      <c r="F572">
        <v>52507333.5</v>
      </c>
      <c r="G572">
        <v>0</v>
      </c>
      <c r="L572" t="s">
        <v>7</v>
      </c>
      <c r="M572" t="s">
        <v>8</v>
      </c>
      <c r="N572" t="s">
        <v>8</v>
      </c>
      <c r="P572">
        <f t="shared" si="984"/>
        <v>0.40625000000000194</v>
      </c>
      <c r="Q572">
        <f t="shared" si="985"/>
        <v>21331104.234375101</v>
      </c>
      <c r="R572">
        <f t="shared" si="986"/>
        <v>394566431.88717985</v>
      </c>
      <c r="S572">
        <f t="shared" si="987"/>
        <v>3945.6643188717985</v>
      </c>
      <c r="T572">
        <f t="shared" si="988"/>
        <v>3.9456643188717986</v>
      </c>
    </row>
    <row r="573" spans="1:104" x14ac:dyDescent="0.25">
      <c r="A573" s="5">
        <v>44020</v>
      </c>
      <c r="B573">
        <v>3.2079999999999997E-2</v>
      </c>
      <c r="C573">
        <v>3.6900000000000002E-2</v>
      </c>
      <c r="D573">
        <v>3.0460000000000001E-2</v>
      </c>
      <c r="E573">
        <v>3.6499999999999998E-2</v>
      </c>
      <c r="F573">
        <v>66564379.299999997</v>
      </c>
      <c r="G573">
        <v>0</v>
      </c>
      <c r="L573" t="s">
        <v>8</v>
      </c>
      <c r="M573" t="s">
        <v>8</v>
      </c>
      <c r="N573" t="s">
        <v>8</v>
      </c>
      <c r="P573">
        <f t="shared" si="984"/>
        <v>0.87577639751552661</v>
      </c>
      <c r="Q573">
        <f t="shared" si="985"/>
        <v>58295512.306211092</v>
      </c>
      <c r="R573">
        <f t="shared" si="986"/>
        <v>373235327.65280473</v>
      </c>
      <c r="S573">
        <f t="shared" si="987"/>
        <v>3732.3532765280474</v>
      </c>
      <c r="T573">
        <f t="shared" si="988"/>
        <v>3.7323532765280474</v>
      </c>
    </row>
    <row r="574" spans="1:104" x14ac:dyDescent="0.25">
      <c r="A574" s="5">
        <v>44019</v>
      </c>
      <c r="B574">
        <v>3.1119999999999998E-2</v>
      </c>
      <c r="C574">
        <v>3.2460000000000003E-2</v>
      </c>
      <c r="D574">
        <v>3.0009999999999998E-2</v>
      </c>
      <c r="E574">
        <v>3.2140000000000002E-2</v>
      </c>
      <c r="F574">
        <v>47896583.299999997</v>
      </c>
      <c r="G574">
        <v>0</v>
      </c>
      <c r="L574" t="s">
        <v>8</v>
      </c>
      <c r="M574" t="s">
        <v>8</v>
      </c>
      <c r="N574" t="s">
        <v>8</v>
      </c>
      <c r="P574">
        <f t="shared" si="984"/>
        <v>0.73877551020408139</v>
      </c>
      <c r="Q574">
        <f t="shared" si="985"/>
        <v>35384822.764489785</v>
      </c>
      <c r="R574">
        <f t="shared" si="986"/>
        <v>314939815.34659362</v>
      </c>
      <c r="S574">
        <f t="shared" si="987"/>
        <v>3149.398153465936</v>
      </c>
      <c r="T574">
        <f t="shared" si="988"/>
        <v>3.1493981534659361</v>
      </c>
    </row>
    <row r="575" spans="1:104" x14ac:dyDescent="0.25">
      <c r="A575" s="5">
        <v>44018</v>
      </c>
      <c r="B575">
        <v>2.794E-2</v>
      </c>
      <c r="C575">
        <v>3.1699999999999999E-2</v>
      </c>
      <c r="D575">
        <v>2.7689999999999999E-2</v>
      </c>
      <c r="E575">
        <v>3.1119999999999998E-2</v>
      </c>
      <c r="F575">
        <v>44336172.700000003</v>
      </c>
      <c r="G575">
        <v>0</v>
      </c>
      <c r="L575" t="s">
        <v>7</v>
      </c>
      <c r="M575" t="s">
        <v>8</v>
      </c>
      <c r="N575" t="s">
        <v>8</v>
      </c>
      <c r="P575">
        <f t="shared" si="984"/>
        <v>0.71072319201994982</v>
      </c>
      <c r="Q575">
        <f t="shared" si="985"/>
        <v>31510746.183291759</v>
      </c>
      <c r="R575">
        <f t="shared" si="986"/>
        <v>279554992.58210385</v>
      </c>
      <c r="S575">
        <f t="shared" si="987"/>
        <v>2795.5499258210384</v>
      </c>
      <c r="T575">
        <f t="shared" si="988"/>
        <v>2.7955499258210383</v>
      </c>
    </row>
    <row r="576" spans="1:104" x14ac:dyDescent="0.25">
      <c r="A576" s="5">
        <v>44017</v>
      </c>
      <c r="B576">
        <v>2.9680000000000002E-2</v>
      </c>
      <c r="C576">
        <v>3.0290000000000001E-2</v>
      </c>
      <c r="D576">
        <v>2.7820000000000001E-2</v>
      </c>
      <c r="E576">
        <v>2.7990000000000001E-2</v>
      </c>
      <c r="F576">
        <v>39659260.299999997</v>
      </c>
      <c r="G576">
        <v>0</v>
      </c>
      <c r="L576" t="s">
        <v>7</v>
      </c>
      <c r="M576" t="s">
        <v>8</v>
      </c>
      <c r="N576" t="s">
        <v>8</v>
      </c>
      <c r="P576">
        <f t="shared" si="984"/>
        <v>-0.86234817813765186</v>
      </c>
      <c r="Q576">
        <f t="shared" si="985"/>
        <v>-34200090.865991898</v>
      </c>
      <c r="R576">
        <f t="shared" si="986"/>
        <v>248044246.39881212</v>
      </c>
      <c r="S576">
        <f t="shared" si="987"/>
        <v>2480.4424639881213</v>
      </c>
      <c r="T576">
        <f t="shared" si="988"/>
        <v>2.4804424639881213</v>
      </c>
    </row>
    <row r="577" spans="1:20" x14ac:dyDescent="0.25">
      <c r="A577" s="5">
        <v>44016</v>
      </c>
      <c r="B577">
        <v>3.0700000000000002E-2</v>
      </c>
      <c r="C577">
        <v>3.1449999999999999E-2</v>
      </c>
      <c r="D577">
        <v>2.92E-2</v>
      </c>
      <c r="E577">
        <v>2.9680000000000002E-2</v>
      </c>
      <c r="F577">
        <v>44612215.799999997</v>
      </c>
      <c r="G577">
        <v>0</v>
      </c>
      <c r="L577" t="s">
        <v>7</v>
      </c>
      <c r="M577" t="s">
        <v>8</v>
      </c>
      <c r="N577" t="s">
        <v>8</v>
      </c>
      <c r="P577">
        <f t="shared" si="984"/>
        <v>-0.57333333333333192</v>
      </c>
      <c r="Q577">
        <f t="shared" si="985"/>
        <v>-25577670.391999934</v>
      </c>
      <c r="R577">
        <f t="shared" si="986"/>
        <v>282244337.26480401</v>
      </c>
      <c r="S577">
        <f t="shared" si="987"/>
        <v>2822.4433726480402</v>
      </c>
      <c r="T577">
        <f t="shared" si="988"/>
        <v>2.8224433726480402</v>
      </c>
    </row>
    <row r="578" spans="1:20" x14ac:dyDescent="0.25">
      <c r="A578" s="5">
        <v>44015</v>
      </c>
      <c r="B578">
        <v>2.9010000000000001E-2</v>
      </c>
      <c r="C578">
        <v>3.1660000000000001E-2</v>
      </c>
      <c r="D578">
        <v>2.877E-2</v>
      </c>
      <c r="E578">
        <v>3.0689999999999999E-2</v>
      </c>
      <c r="F578">
        <v>59825760.899999999</v>
      </c>
      <c r="G578">
        <v>0</v>
      </c>
      <c r="L578" t="s">
        <v>8</v>
      </c>
      <c r="M578" t="s">
        <v>8</v>
      </c>
      <c r="N578" t="s">
        <v>8</v>
      </c>
      <c r="P578">
        <f t="shared" si="984"/>
        <v>0.3287197231833896</v>
      </c>
      <c r="Q578">
        <f t="shared" si="985"/>
        <v>19665907.562283654</v>
      </c>
      <c r="R578">
        <f t="shared" si="986"/>
        <v>307822007.65680397</v>
      </c>
      <c r="S578">
        <f t="shared" si="987"/>
        <v>3078.2200765680395</v>
      </c>
      <c r="T578">
        <f t="shared" si="988"/>
        <v>3.0782200765680394</v>
      </c>
    </row>
    <row r="579" spans="1:20" x14ac:dyDescent="0.25">
      <c r="A579" s="5">
        <v>44014</v>
      </c>
      <c r="B579">
        <v>2.7879999999999999E-2</v>
      </c>
      <c r="C579">
        <v>2.989E-2</v>
      </c>
      <c r="D579">
        <v>2.7099999999999999E-2</v>
      </c>
      <c r="E579">
        <v>2.895E-2</v>
      </c>
      <c r="F579">
        <v>48758278.100000001</v>
      </c>
      <c r="G579">
        <v>0</v>
      </c>
      <c r="L579" t="s">
        <v>8</v>
      </c>
      <c r="M579" t="s">
        <v>8</v>
      </c>
      <c r="N579" t="s">
        <v>8</v>
      </c>
      <c r="P579">
        <f t="shared" si="984"/>
        <v>0.32616487455197163</v>
      </c>
      <c r="Q579">
        <f t="shared" si="985"/>
        <v>15903237.659856645</v>
      </c>
      <c r="R579">
        <f t="shared" si="986"/>
        <v>288156100.09452033</v>
      </c>
      <c r="S579">
        <f t="shared" si="987"/>
        <v>2881.5610009452034</v>
      </c>
      <c r="T579">
        <f t="shared" si="988"/>
        <v>2.8815610009452035</v>
      </c>
    </row>
    <row r="580" spans="1:20" x14ac:dyDescent="0.25">
      <c r="A580" s="5">
        <v>44013</v>
      </c>
      <c r="B580">
        <v>2.7650000000000001E-2</v>
      </c>
      <c r="C580">
        <v>2.8129999999999999E-2</v>
      </c>
      <c r="D580">
        <v>2.7320000000000001E-2</v>
      </c>
      <c r="E580">
        <v>2.7879999999999999E-2</v>
      </c>
      <c r="F580">
        <v>41507929.200000003</v>
      </c>
      <c r="G580">
        <v>0</v>
      </c>
      <c r="L580" t="s">
        <v>8</v>
      </c>
      <c r="M580" t="s">
        <v>7</v>
      </c>
      <c r="N580" t="s">
        <v>8</v>
      </c>
      <c r="P580">
        <f t="shared" si="984"/>
        <v>0.38271604938271414</v>
      </c>
      <c r="Q580">
        <f t="shared" si="985"/>
        <v>15885750.681481404</v>
      </c>
      <c r="R580">
        <f t="shared" si="986"/>
        <v>272252862.43466371</v>
      </c>
      <c r="S580">
        <f t="shared" si="987"/>
        <v>2722.5286243466371</v>
      </c>
      <c r="T580">
        <f t="shared" si="988"/>
        <v>2.7225286243466371</v>
      </c>
    </row>
    <row r="581" spans="1:20" x14ac:dyDescent="0.25">
      <c r="A581" s="5">
        <v>44012</v>
      </c>
      <c r="B581">
        <v>2.725E-2</v>
      </c>
      <c r="C581">
        <v>2.8129999999999999E-2</v>
      </c>
      <c r="D581">
        <v>2.6339999999999999E-2</v>
      </c>
      <c r="E581">
        <v>2.7720000000000002E-2</v>
      </c>
      <c r="F581">
        <v>44787715.600000001</v>
      </c>
      <c r="G581">
        <v>0</v>
      </c>
      <c r="L581" t="s">
        <v>8</v>
      </c>
      <c r="M581" t="s">
        <v>7</v>
      </c>
      <c r="N581" t="s">
        <v>8</v>
      </c>
      <c r="P581">
        <f t="shared" si="984"/>
        <v>0.54189944134078527</v>
      </c>
      <c r="Q581">
        <f t="shared" si="985"/>
        <v>24270438.062569976</v>
      </c>
      <c r="R581">
        <f t="shared" si="986"/>
        <v>256367111.75318229</v>
      </c>
      <c r="S581">
        <f t="shared" si="987"/>
        <v>2563.6711175318228</v>
      </c>
      <c r="T581">
        <f t="shared" si="988"/>
        <v>2.5636711175318228</v>
      </c>
    </row>
    <row r="582" spans="1:20" x14ac:dyDescent="0.25">
      <c r="A582" s="5">
        <v>44011</v>
      </c>
      <c r="B582">
        <v>2.6620000000000001E-2</v>
      </c>
      <c r="C582">
        <v>2.7320000000000001E-2</v>
      </c>
      <c r="D582">
        <v>2.5899999999999999E-2</v>
      </c>
      <c r="E582">
        <v>2.7220000000000001E-2</v>
      </c>
      <c r="F582">
        <v>20607857.899999999</v>
      </c>
      <c r="G582">
        <v>0</v>
      </c>
      <c r="L582" t="s">
        <v>8</v>
      </c>
      <c r="M582" t="s">
        <v>7</v>
      </c>
      <c r="N582" t="s">
        <v>8</v>
      </c>
      <c r="P582">
        <f t="shared" ref="P582:P645" si="989">IF(C582=D582,0,((E582-D582)-(C582-E582))/(C582-D582))</f>
        <v>0.85915492957746575</v>
      </c>
      <c r="Q582">
        <f t="shared" ref="Q582:Q645" si="990">F582*P582</f>
        <v>17705342.702816918</v>
      </c>
      <c r="R582">
        <f t="shared" ref="R582:R645" si="991">R583+Q582</f>
        <v>232096673.69061232</v>
      </c>
      <c r="S582">
        <f t="shared" ref="S582:S645" si="992">R582/100000</f>
        <v>2320.9667369061231</v>
      </c>
      <c r="T582">
        <f t="shared" ref="T582:T645" si="993">S582/1000</f>
        <v>2.3209667369061231</v>
      </c>
    </row>
    <row r="583" spans="1:20" x14ac:dyDescent="0.25">
      <c r="A583" s="5">
        <v>44010</v>
      </c>
      <c r="B583">
        <v>2.6210000000000001E-2</v>
      </c>
      <c r="C583">
        <v>2.724E-2</v>
      </c>
      <c r="D583">
        <v>2.5499999999999998E-2</v>
      </c>
      <c r="E583">
        <v>2.6620000000000001E-2</v>
      </c>
      <c r="F583">
        <v>10866873.6</v>
      </c>
      <c r="G583">
        <v>0</v>
      </c>
      <c r="L583" t="s">
        <v>8</v>
      </c>
      <c r="M583" t="s">
        <v>7</v>
      </c>
      <c r="N583" t="s">
        <v>8</v>
      </c>
      <c r="P583">
        <f t="shared" si="989"/>
        <v>0.28735632183908238</v>
      </c>
      <c r="Q583">
        <f t="shared" si="990"/>
        <v>3122664.8275862276</v>
      </c>
      <c r="R583">
        <f t="shared" si="991"/>
        <v>214391330.98779541</v>
      </c>
      <c r="S583">
        <f t="shared" si="992"/>
        <v>2143.9133098779539</v>
      </c>
      <c r="T583">
        <f t="shared" si="993"/>
        <v>2.1439133098779539</v>
      </c>
    </row>
    <row r="584" spans="1:20" x14ac:dyDescent="0.25">
      <c r="A584" s="5">
        <v>44009</v>
      </c>
      <c r="B584">
        <v>2.7449999999999999E-2</v>
      </c>
      <c r="C584">
        <v>2.8070000000000001E-2</v>
      </c>
      <c r="D584">
        <v>2.5100000000000001E-2</v>
      </c>
      <c r="E584">
        <v>2.6210000000000001E-2</v>
      </c>
      <c r="F584">
        <v>19558868.399999999</v>
      </c>
      <c r="G584">
        <v>0</v>
      </c>
      <c r="L584" t="s">
        <v>7</v>
      </c>
      <c r="M584" t="s">
        <v>7</v>
      </c>
      <c r="N584" t="s">
        <v>8</v>
      </c>
      <c r="P584">
        <f t="shared" si="989"/>
        <v>-0.25252525252525271</v>
      </c>
      <c r="Q584">
        <f t="shared" si="990"/>
        <v>-4939108.1818181854</v>
      </c>
      <c r="R584">
        <f t="shared" si="991"/>
        <v>211268666.16020918</v>
      </c>
      <c r="S584">
        <f t="shared" si="992"/>
        <v>2112.6866616020916</v>
      </c>
      <c r="T584">
        <f t="shared" si="993"/>
        <v>2.1126866616020914</v>
      </c>
    </row>
    <row r="585" spans="1:20" x14ac:dyDescent="0.25">
      <c r="A585" s="5">
        <v>44008</v>
      </c>
      <c r="B585">
        <v>2.8029999999999999E-2</v>
      </c>
      <c r="C585">
        <v>2.845E-2</v>
      </c>
      <c r="D585">
        <v>2.6950000000000002E-2</v>
      </c>
      <c r="E585">
        <v>2.742E-2</v>
      </c>
      <c r="F585">
        <v>15819810.800000001</v>
      </c>
      <c r="G585">
        <v>0</v>
      </c>
      <c r="L585" t="s">
        <v>7</v>
      </c>
      <c r="M585" t="s">
        <v>7</v>
      </c>
      <c r="N585" t="s">
        <v>8</v>
      </c>
      <c r="P585">
        <f t="shared" si="989"/>
        <v>-0.37333333333333485</v>
      </c>
      <c r="Q585">
        <f t="shared" si="990"/>
        <v>-5906062.6986666908</v>
      </c>
      <c r="R585">
        <f t="shared" si="991"/>
        <v>216207774.34202737</v>
      </c>
      <c r="S585">
        <f t="shared" si="992"/>
        <v>2162.0777434202737</v>
      </c>
      <c r="T585">
        <f t="shared" si="993"/>
        <v>2.1620777434202738</v>
      </c>
    </row>
    <row r="586" spans="1:20" x14ac:dyDescent="0.25">
      <c r="A586" s="5">
        <v>44007</v>
      </c>
      <c r="B586">
        <v>2.8819999999999998E-2</v>
      </c>
      <c r="C586">
        <v>2.8889999999999999E-2</v>
      </c>
      <c r="D586">
        <v>2.6749999999999999E-2</v>
      </c>
      <c r="E586">
        <v>2.8029999999999999E-2</v>
      </c>
      <c r="F586">
        <v>23898792.300000001</v>
      </c>
      <c r="G586">
        <v>0</v>
      </c>
      <c r="L586" t="s">
        <v>7</v>
      </c>
      <c r="M586" t="s">
        <v>7</v>
      </c>
      <c r="N586" t="s">
        <v>8</v>
      </c>
      <c r="P586">
        <f t="shared" si="989"/>
        <v>0.19626168224299081</v>
      </c>
      <c r="Q586">
        <f t="shared" si="990"/>
        <v>4690417.1803738354</v>
      </c>
      <c r="R586">
        <f t="shared" si="991"/>
        <v>222113837.04069406</v>
      </c>
      <c r="S586">
        <f t="shared" si="992"/>
        <v>2221.1383704069408</v>
      </c>
      <c r="T586">
        <f t="shared" si="993"/>
        <v>2.221138370406941</v>
      </c>
    </row>
    <row r="587" spans="1:20" x14ac:dyDescent="0.25">
      <c r="A587" s="5">
        <v>44006</v>
      </c>
      <c r="B587">
        <v>3.005E-2</v>
      </c>
      <c r="C587">
        <v>3.0499999999999999E-2</v>
      </c>
      <c r="D587">
        <v>2.8500000000000001E-2</v>
      </c>
      <c r="E587">
        <v>2.8879999999999999E-2</v>
      </c>
      <c r="F587">
        <v>46671013.899999999</v>
      </c>
      <c r="G587">
        <v>0</v>
      </c>
      <c r="L587" t="s">
        <v>7</v>
      </c>
      <c r="M587" t="s">
        <v>8</v>
      </c>
      <c r="N587" t="s">
        <v>8</v>
      </c>
      <c r="P587">
        <f t="shared" si="989"/>
        <v>-0.62000000000000133</v>
      </c>
      <c r="Q587">
        <f t="shared" si="990"/>
        <v>-28936028.61800006</v>
      </c>
      <c r="R587">
        <f t="shared" si="991"/>
        <v>217423419.86032021</v>
      </c>
      <c r="S587">
        <f t="shared" si="992"/>
        <v>2174.234198603202</v>
      </c>
      <c r="T587">
        <f t="shared" si="993"/>
        <v>2.1742341986032021</v>
      </c>
    </row>
    <row r="588" spans="1:20" x14ac:dyDescent="0.25">
      <c r="A588" s="5">
        <v>44005</v>
      </c>
      <c r="B588">
        <v>3.1260000000000003E-2</v>
      </c>
      <c r="C588">
        <v>3.1550000000000002E-2</v>
      </c>
      <c r="D588">
        <v>2.9790000000000001E-2</v>
      </c>
      <c r="E588">
        <v>3.0040000000000001E-2</v>
      </c>
      <c r="F588">
        <v>355429505.89999998</v>
      </c>
      <c r="G588">
        <v>0</v>
      </c>
      <c r="L588" t="s">
        <v>7</v>
      </c>
      <c r="M588" t="s">
        <v>8</v>
      </c>
      <c r="N588" t="s">
        <v>8</v>
      </c>
      <c r="P588">
        <f t="shared" si="989"/>
        <v>-0.71590909090909083</v>
      </c>
      <c r="Q588">
        <f t="shared" si="990"/>
        <v>-254455214.45113632</v>
      </c>
      <c r="R588">
        <f t="shared" si="991"/>
        <v>246359448.47832027</v>
      </c>
      <c r="S588">
        <f t="shared" si="992"/>
        <v>2463.5944847832029</v>
      </c>
      <c r="T588">
        <f t="shared" si="993"/>
        <v>2.463594484783203</v>
      </c>
    </row>
    <row r="589" spans="1:20" x14ac:dyDescent="0.25">
      <c r="A589" s="5">
        <v>44004</v>
      </c>
      <c r="B589">
        <v>3.1179999999999999E-2</v>
      </c>
      <c r="C589">
        <v>3.2349999999999997E-2</v>
      </c>
      <c r="D589">
        <v>3.092E-2</v>
      </c>
      <c r="E589">
        <v>3.1280000000000002E-2</v>
      </c>
      <c r="F589">
        <v>184216780.19999999</v>
      </c>
      <c r="G589">
        <v>0</v>
      </c>
      <c r="L589" t="s">
        <v>8</v>
      </c>
      <c r="M589" t="s">
        <v>8</v>
      </c>
      <c r="N589" t="s">
        <v>8</v>
      </c>
      <c r="P589">
        <f t="shared" si="989"/>
        <v>-0.49650349650349179</v>
      </c>
      <c r="Q589">
        <f t="shared" si="990"/>
        <v>-91464275.48391521</v>
      </c>
      <c r="R589">
        <f t="shared" si="991"/>
        <v>500814662.92945659</v>
      </c>
      <c r="S589">
        <f t="shared" si="992"/>
        <v>5008.1466292945661</v>
      </c>
      <c r="T589">
        <f t="shared" si="993"/>
        <v>5.0081466292945658</v>
      </c>
    </row>
    <row r="590" spans="1:20" x14ac:dyDescent="0.25">
      <c r="A590" s="5">
        <v>44003</v>
      </c>
      <c r="B590">
        <v>3.099E-2</v>
      </c>
      <c r="C590">
        <v>3.1710000000000002E-2</v>
      </c>
      <c r="D590">
        <v>3.065E-2</v>
      </c>
      <c r="E590">
        <v>3.117E-2</v>
      </c>
      <c r="F590">
        <v>127210460.40000001</v>
      </c>
      <c r="G590">
        <v>0</v>
      </c>
      <c r="L590" t="s">
        <v>8</v>
      </c>
      <c r="M590" t="s">
        <v>8</v>
      </c>
      <c r="N590" t="s">
        <v>8</v>
      </c>
      <c r="P590">
        <f t="shared" si="989"/>
        <v>-1.8867924528304356E-2</v>
      </c>
      <c r="Q590">
        <f t="shared" si="990"/>
        <v>-2400197.36603805</v>
      </c>
      <c r="R590">
        <f t="shared" si="991"/>
        <v>592278938.4133718</v>
      </c>
      <c r="S590">
        <f t="shared" si="992"/>
        <v>5922.7893841337182</v>
      </c>
      <c r="T590">
        <f t="shared" si="993"/>
        <v>5.9227893841337185</v>
      </c>
    </row>
    <row r="591" spans="1:20" x14ac:dyDescent="0.25">
      <c r="A591" s="5">
        <v>44002</v>
      </c>
      <c r="B591">
        <v>3.1199999999999999E-2</v>
      </c>
      <c r="C591">
        <v>3.159E-2</v>
      </c>
      <c r="D591">
        <v>2.9909999999999999E-2</v>
      </c>
      <c r="E591">
        <v>3.0970000000000001E-2</v>
      </c>
      <c r="F591">
        <v>108132465.2</v>
      </c>
      <c r="G591">
        <v>0</v>
      </c>
      <c r="L591" t="s">
        <v>8</v>
      </c>
      <c r="M591" t="s">
        <v>8</v>
      </c>
      <c r="N591" t="s">
        <v>8</v>
      </c>
      <c r="P591">
        <f t="shared" si="989"/>
        <v>0.26190476190476347</v>
      </c>
      <c r="Q591">
        <f t="shared" si="990"/>
        <v>28320407.552381124</v>
      </c>
      <c r="R591">
        <f t="shared" si="991"/>
        <v>594679135.77940989</v>
      </c>
      <c r="S591">
        <f t="shared" si="992"/>
        <v>5946.791357794099</v>
      </c>
      <c r="T591">
        <f t="shared" si="993"/>
        <v>5.9467913577940994</v>
      </c>
    </row>
    <row r="592" spans="1:20" x14ac:dyDescent="0.25">
      <c r="A592" s="5">
        <v>44001</v>
      </c>
      <c r="B592">
        <v>3.0439999999999998E-2</v>
      </c>
      <c r="C592">
        <v>3.1879999999999999E-2</v>
      </c>
      <c r="D592">
        <v>2.9229999999999999E-2</v>
      </c>
      <c r="E592">
        <v>3.1199999999999999E-2</v>
      </c>
      <c r="F592">
        <v>267590326.59999999</v>
      </c>
      <c r="G592">
        <v>0</v>
      </c>
      <c r="L592" t="s">
        <v>7</v>
      </c>
      <c r="M592" t="s">
        <v>8</v>
      </c>
      <c r="N592" t="s">
        <v>8</v>
      </c>
      <c r="P592">
        <f t="shared" si="989"/>
        <v>0.48679245283018857</v>
      </c>
      <c r="Q592">
        <f t="shared" si="990"/>
        <v>130260951.43924525</v>
      </c>
      <c r="R592">
        <f t="shared" si="991"/>
        <v>566358728.22702873</v>
      </c>
      <c r="S592">
        <f t="shared" si="992"/>
        <v>5663.5872822702877</v>
      </c>
      <c r="T592">
        <f t="shared" si="993"/>
        <v>5.6635872822702877</v>
      </c>
    </row>
    <row r="593" spans="1:20" x14ac:dyDescent="0.25">
      <c r="A593" s="5">
        <v>44000</v>
      </c>
      <c r="B593">
        <v>3.1019999999999999E-2</v>
      </c>
      <c r="C593">
        <v>3.1329999999999997E-2</v>
      </c>
      <c r="D593">
        <v>3.0079999999999999E-2</v>
      </c>
      <c r="E593">
        <v>3.0460000000000001E-2</v>
      </c>
      <c r="F593">
        <v>149889454.30000001</v>
      </c>
      <c r="G593">
        <v>0</v>
      </c>
      <c r="L593" t="s">
        <v>7</v>
      </c>
      <c r="M593" t="s">
        <v>8</v>
      </c>
      <c r="N593" t="s">
        <v>8</v>
      </c>
      <c r="P593">
        <f t="shared" si="989"/>
        <v>-0.39199999999999585</v>
      </c>
      <c r="Q593">
        <f t="shared" si="990"/>
        <v>-58756666.085599385</v>
      </c>
      <c r="R593">
        <f t="shared" si="991"/>
        <v>436097776.78778344</v>
      </c>
      <c r="S593">
        <f t="shared" si="992"/>
        <v>4360.9777678778346</v>
      </c>
      <c r="T593">
        <f t="shared" si="993"/>
        <v>4.3609777678778343</v>
      </c>
    </row>
    <row r="594" spans="1:20" x14ac:dyDescent="0.25">
      <c r="A594" s="5">
        <v>43999</v>
      </c>
      <c r="B594">
        <v>3.2719999999999999E-2</v>
      </c>
      <c r="C594">
        <v>3.2849999999999997E-2</v>
      </c>
      <c r="D594">
        <v>2.9590000000000002E-2</v>
      </c>
      <c r="E594">
        <v>3.1019999999999999E-2</v>
      </c>
      <c r="F594">
        <v>227887764.40000001</v>
      </c>
      <c r="G594">
        <v>0</v>
      </c>
      <c r="L594" t="s">
        <v>7</v>
      </c>
      <c r="M594" t="s">
        <v>8</v>
      </c>
      <c r="N594" t="s">
        <v>8</v>
      </c>
      <c r="P594">
        <f t="shared" si="989"/>
        <v>-0.12269938650306797</v>
      </c>
      <c r="Q594">
        <f t="shared" si="990"/>
        <v>-27961688.883435693</v>
      </c>
      <c r="R594">
        <f t="shared" si="991"/>
        <v>494854442.87338281</v>
      </c>
      <c r="S594">
        <f t="shared" si="992"/>
        <v>4948.5444287338278</v>
      </c>
      <c r="T594">
        <f t="shared" si="993"/>
        <v>4.948544428733828</v>
      </c>
    </row>
    <row r="595" spans="1:20" x14ac:dyDescent="0.25">
      <c r="A595" s="5">
        <v>43998</v>
      </c>
      <c r="B595">
        <v>2.87E-2</v>
      </c>
      <c r="C595">
        <v>3.2989999999999998E-2</v>
      </c>
      <c r="D595">
        <v>2.861E-2</v>
      </c>
      <c r="E595">
        <v>3.2739999999999998E-2</v>
      </c>
      <c r="F595">
        <v>103523707</v>
      </c>
      <c r="G595">
        <v>0</v>
      </c>
      <c r="L595" t="s">
        <v>8</v>
      </c>
      <c r="M595" t="s">
        <v>8</v>
      </c>
      <c r="N595" t="s">
        <v>8</v>
      </c>
      <c r="P595">
        <f t="shared" si="989"/>
        <v>0.88584474885844733</v>
      </c>
      <c r="Q595">
        <f t="shared" si="990"/>
        <v>91705932.228310481</v>
      </c>
      <c r="R595">
        <f t="shared" si="991"/>
        <v>522816131.75681847</v>
      </c>
      <c r="S595">
        <f t="shared" si="992"/>
        <v>5228.161317568185</v>
      </c>
      <c r="T595">
        <f t="shared" si="993"/>
        <v>5.2281613175681851</v>
      </c>
    </row>
    <row r="596" spans="1:20" x14ac:dyDescent="0.25">
      <c r="A596" s="5">
        <v>43997</v>
      </c>
      <c r="B596">
        <v>2.903E-2</v>
      </c>
      <c r="C596">
        <v>2.9190000000000001E-2</v>
      </c>
      <c r="D596">
        <v>2.606E-2</v>
      </c>
      <c r="E596">
        <v>2.8580000000000001E-2</v>
      </c>
      <c r="F596">
        <v>34782020.899999999</v>
      </c>
      <c r="G596">
        <v>0</v>
      </c>
      <c r="L596" t="s">
        <v>7</v>
      </c>
      <c r="M596" t="s">
        <v>8</v>
      </c>
      <c r="N596" t="s">
        <v>8</v>
      </c>
      <c r="P596">
        <f t="shared" si="989"/>
        <v>0.61022364217252445</v>
      </c>
      <c r="Q596">
        <f t="shared" si="990"/>
        <v>21224811.475718867</v>
      </c>
      <c r="R596">
        <f t="shared" si="991"/>
        <v>431110199.52850801</v>
      </c>
      <c r="S596">
        <f t="shared" si="992"/>
        <v>4311.1019952850802</v>
      </c>
      <c r="T596">
        <f t="shared" si="993"/>
        <v>4.31110199528508</v>
      </c>
    </row>
    <row r="597" spans="1:20" x14ac:dyDescent="0.25">
      <c r="A597" s="5">
        <v>43996</v>
      </c>
      <c r="B597">
        <v>2.962E-2</v>
      </c>
      <c r="C597">
        <v>3.1220000000000001E-2</v>
      </c>
      <c r="D597">
        <v>2.8000000000000001E-2</v>
      </c>
      <c r="E597">
        <v>2.9049999999999999E-2</v>
      </c>
      <c r="F597">
        <v>39516383.799999997</v>
      </c>
      <c r="G597">
        <v>0</v>
      </c>
      <c r="L597" t="s">
        <v>8</v>
      </c>
      <c r="M597" t="s">
        <v>8</v>
      </c>
      <c r="N597" t="s">
        <v>8</v>
      </c>
      <c r="P597">
        <f t="shared" si="989"/>
        <v>-0.34782608695652256</v>
      </c>
      <c r="Q597">
        <f t="shared" si="990"/>
        <v>-13744829.147826118</v>
      </c>
      <c r="R597">
        <f t="shared" si="991"/>
        <v>409885388.05278915</v>
      </c>
      <c r="S597">
        <f t="shared" si="992"/>
        <v>4098.8538805278913</v>
      </c>
      <c r="T597">
        <f t="shared" si="993"/>
        <v>4.0988538805278916</v>
      </c>
    </row>
    <row r="598" spans="1:20" x14ac:dyDescent="0.25">
      <c r="A598" s="5">
        <v>43995</v>
      </c>
      <c r="B598">
        <v>2.7480000000000001E-2</v>
      </c>
      <c r="C598">
        <v>2.981E-2</v>
      </c>
      <c r="D598">
        <v>2.6589999999999999E-2</v>
      </c>
      <c r="E598">
        <v>2.9610000000000001E-2</v>
      </c>
      <c r="F598">
        <v>36565943.399999999</v>
      </c>
      <c r="G598">
        <v>0</v>
      </c>
      <c r="L598" t="s">
        <v>8</v>
      </c>
      <c r="M598" t="s">
        <v>7</v>
      </c>
      <c r="N598" t="s">
        <v>8</v>
      </c>
      <c r="P598">
        <f t="shared" si="989"/>
        <v>0.87577639751552872</v>
      </c>
      <c r="Q598">
        <f t="shared" si="990"/>
        <v>32023590.182608724</v>
      </c>
      <c r="R598">
        <f t="shared" si="991"/>
        <v>423630217.20061529</v>
      </c>
      <c r="S598">
        <f t="shared" si="992"/>
        <v>4236.3021720061524</v>
      </c>
      <c r="T598">
        <f t="shared" si="993"/>
        <v>4.2363021720061527</v>
      </c>
    </row>
    <row r="599" spans="1:20" x14ac:dyDescent="0.25">
      <c r="A599" s="5">
        <v>43994</v>
      </c>
      <c r="B599">
        <v>2.631E-2</v>
      </c>
      <c r="C599">
        <v>2.8750000000000001E-2</v>
      </c>
      <c r="D599">
        <v>2.598E-2</v>
      </c>
      <c r="E599">
        <v>2.7550000000000002E-2</v>
      </c>
      <c r="F599">
        <v>34336356.5</v>
      </c>
      <c r="G599">
        <v>0</v>
      </c>
      <c r="L599" t="s">
        <v>7</v>
      </c>
      <c r="M599" t="s">
        <v>7</v>
      </c>
      <c r="N599" t="s">
        <v>8</v>
      </c>
      <c r="P599">
        <f t="shared" si="989"/>
        <v>0.13357400722021734</v>
      </c>
      <c r="Q599">
        <f t="shared" si="990"/>
        <v>4586444.731046957</v>
      </c>
      <c r="R599">
        <f t="shared" si="991"/>
        <v>391606627.01800656</v>
      </c>
      <c r="S599">
        <f t="shared" si="992"/>
        <v>3916.0662701800657</v>
      </c>
      <c r="T599">
        <f t="shared" si="993"/>
        <v>3.9160662701800657</v>
      </c>
    </row>
    <row r="600" spans="1:20" x14ac:dyDescent="0.25">
      <c r="A600" s="5">
        <v>43993</v>
      </c>
      <c r="B600">
        <v>2.911E-2</v>
      </c>
      <c r="C600">
        <v>3.1199999999999999E-2</v>
      </c>
      <c r="D600">
        <v>2.5000000000000001E-2</v>
      </c>
      <c r="E600">
        <v>2.6210000000000001E-2</v>
      </c>
      <c r="F600">
        <v>61499203.5</v>
      </c>
      <c r="G600">
        <v>0</v>
      </c>
      <c r="L600" t="s">
        <v>8</v>
      </c>
      <c r="M600" t="s">
        <v>7</v>
      </c>
      <c r="N600" t="s">
        <v>8</v>
      </c>
      <c r="P600">
        <f t="shared" si="989"/>
        <v>-0.60967741935483877</v>
      </c>
      <c r="Q600">
        <f t="shared" si="990"/>
        <v>-37494675.68225807</v>
      </c>
      <c r="R600">
        <f t="shared" si="991"/>
        <v>387020182.28695959</v>
      </c>
      <c r="S600">
        <f t="shared" si="992"/>
        <v>3870.2018228695961</v>
      </c>
      <c r="T600">
        <f t="shared" si="993"/>
        <v>3.8702018228695962</v>
      </c>
    </row>
    <row r="601" spans="1:20" x14ac:dyDescent="0.25">
      <c r="A601" s="5">
        <v>43992</v>
      </c>
      <c r="B601">
        <v>2.743E-2</v>
      </c>
      <c r="C601">
        <v>0.03</v>
      </c>
      <c r="D601">
        <v>2.69E-2</v>
      </c>
      <c r="E601">
        <v>2.9260000000000001E-2</v>
      </c>
      <c r="F601">
        <v>40708284.899999999</v>
      </c>
      <c r="G601">
        <v>0</v>
      </c>
      <c r="L601" t="s">
        <v>8</v>
      </c>
      <c r="M601" t="s">
        <v>8</v>
      </c>
      <c r="N601" t="s">
        <v>8</v>
      </c>
      <c r="P601">
        <f t="shared" si="989"/>
        <v>0.52258064516129166</v>
      </c>
      <c r="Q601">
        <f t="shared" si="990"/>
        <v>21273361.786451668</v>
      </c>
      <c r="R601">
        <f t="shared" si="991"/>
        <v>424514857.96921766</v>
      </c>
      <c r="S601">
        <f t="shared" si="992"/>
        <v>4245.148579692177</v>
      </c>
      <c r="T601">
        <f t="shared" si="993"/>
        <v>4.2451485796921773</v>
      </c>
    </row>
    <row r="602" spans="1:20" x14ac:dyDescent="0.25">
      <c r="A602" s="5">
        <v>43991</v>
      </c>
      <c r="B602">
        <v>2.7099999999999999E-2</v>
      </c>
      <c r="C602">
        <v>2.869E-2</v>
      </c>
      <c r="D602">
        <v>2.588E-2</v>
      </c>
      <c r="E602">
        <v>2.7519999999999999E-2</v>
      </c>
      <c r="F602">
        <v>37160843.100000001</v>
      </c>
      <c r="G602">
        <v>0</v>
      </c>
      <c r="L602" t="s">
        <v>7</v>
      </c>
      <c r="M602" t="s">
        <v>8</v>
      </c>
      <c r="N602" t="s">
        <v>8</v>
      </c>
      <c r="P602">
        <f t="shared" si="989"/>
        <v>0.16725978647686768</v>
      </c>
      <c r="Q602">
        <f t="shared" si="990"/>
        <v>6215514.682206382</v>
      </c>
      <c r="R602">
        <f t="shared" si="991"/>
        <v>403241496.18276602</v>
      </c>
      <c r="S602">
        <f t="shared" si="992"/>
        <v>4032.4149618276601</v>
      </c>
      <c r="T602">
        <f t="shared" si="993"/>
        <v>4.0324149618276603</v>
      </c>
    </row>
    <row r="603" spans="1:20" x14ac:dyDescent="0.25">
      <c r="A603" s="5">
        <v>43990</v>
      </c>
      <c r="B603">
        <v>2.7439999999999999E-2</v>
      </c>
      <c r="C603">
        <v>2.9749999999999999E-2</v>
      </c>
      <c r="D603">
        <v>2.707E-2</v>
      </c>
      <c r="E603">
        <v>2.7089999999999999E-2</v>
      </c>
      <c r="F603">
        <v>46151345.600000001</v>
      </c>
      <c r="G603">
        <v>0</v>
      </c>
      <c r="L603" t="s">
        <v>7</v>
      </c>
      <c r="M603" t="s">
        <v>8</v>
      </c>
      <c r="N603" t="s">
        <v>8</v>
      </c>
      <c r="P603">
        <f t="shared" si="989"/>
        <v>-0.98507462686567226</v>
      </c>
      <c r="Q603">
        <f t="shared" si="990"/>
        <v>-45462519.546268687</v>
      </c>
      <c r="R603">
        <f t="shared" si="991"/>
        <v>397025981.50055963</v>
      </c>
      <c r="S603">
        <f t="shared" si="992"/>
        <v>3970.2598150055965</v>
      </c>
      <c r="T603">
        <f t="shared" si="993"/>
        <v>3.9702598150055963</v>
      </c>
    </row>
    <row r="604" spans="1:20" x14ac:dyDescent="0.25">
      <c r="A604" s="5">
        <v>43989</v>
      </c>
      <c r="B604">
        <v>2.7990000000000001E-2</v>
      </c>
      <c r="C604">
        <v>2.9929999999999998E-2</v>
      </c>
      <c r="D604">
        <v>2.6360000000000001E-2</v>
      </c>
      <c r="E604">
        <v>2.7519999999999999E-2</v>
      </c>
      <c r="F604">
        <v>73767296.799999997</v>
      </c>
      <c r="G604">
        <v>0</v>
      </c>
      <c r="L604" t="s">
        <v>8</v>
      </c>
      <c r="M604" t="s">
        <v>8</v>
      </c>
      <c r="N604" t="s">
        <v>8</v>
      </c>
      <c r="P604">
        <f t="shared" si="989"/>
        <v>-0.35014005602240961</v>
      </c>
      <c r="Q604">
        <f t="shared" si="990"/>
        <v>-25828885.434173714</v>
      </c>
      <c r="R604">
        <f t="shared" si="991"/>
        <v>442488501.04682833</v>
      </c>
      <c r="S604">
        <f t="shared" si="992"/>
        <v>4424.8850104682833</v>
      </c>
      <c r="T604">
        <f t="shared" si="993"/>
        <v>4.4248850104682838</v>
      </c>
    </row>
    <row r="605" spans="1:20" x14ac:dyDescent="0.25">
      <c r="A605" s="5">
        <v>43988</v>
      </c>
      <c r="B605">
        <v>2.4809999999999999E-2</v>
      </c>
      <c r="C605">
        <v>2.7990000000000001E-2</v>
      </c>
      <c r="D605">
        <v>2.4240000000000001E-2</v>
      </c>
      <c r="E605">
        <v>2.7990000000000001E-2</v>
      </c>
      <c r="F605">
        <v>43027911.700000003</v>
      </c>
      <c r="G605">
        <v>0</v>
      </c>
      <c r="L605" t="s">
        <v>8</v>
      </c>
      <c r="M605" t="s">
        <v>8</v>
      </c>
      <c r="N605" t="s">
        <v>8</v>
      </c>
      <c r="P605">
        <f t="shared" si="989"/>
        <v>1</v>
      </c>
      <c r="Q605">
        <f t="shared" si="990"/>
        <v>43027911.700000003</v>
      </c>
      <c r="R605">
        <f t="shared" si="991"/>
        <v>468317386.48100203</v>
      </c>
      <c r="S605">
        <f t="shared" si="992"/>
        <v>4683.1738648100199</v>
      </c>
      <c r="T605">
        <f t="shared" si="993"/>
        <v>4.6831738648100201</v>
      </c>
    </row>
    <row r="606" spans="1:20" x14ac:dyDescent="0.25">
      <c r="A606" s="5">
        <v>43987</v>
      </c>
      <c r="B606">
        <v>2.4490000000000001E-2</v>
      </c>
      <c r="C606">
        <v>2.4879999999999999E-2</v>
      </c>
      <c r="D606">
        <v>2.3959999999999999E-2</v>
      </c>
      <c r="E606">
        <v>2.4809999999999999E-2</v>
      </c>
      <c r="F606">
        <v>33313272.399999999</v>
      </c>
      <c r="G606">
        <v>0</v>
      </c>
      <c r="L606" t="s">
        <v>8</v>
      </c>
      <c r="M606" t="s">
        <v>8</v>
      </c>
      <c r="N606" t="s">
        <v>8</v>
      </c>
      <c r="P606">
        <f t="shared" si="989"/>
        <v>0.84782608695652051</v>
      </c>
      <c r="Q606">
        <f t="shared" si="990"/>
        <v>28243861.382608652</v>
      </c>
      <c r="R606">
        <f t="shared" si="991"/>
        <v>425289474.78100204</v>
      </c>
      <c r="S606">
        <f t="shared" si="992"/>
        <v>4252.8947478100208</v>
      </c>
      <c r="T606">
        <f t="shared" si="993"/>
        <v>4.2528947478100205</v>
      </c>
    </row>
    <row r="607" spans="1:20" x14ac:dyDescent="0.25">
      <c r="A607" s="5">
        <v>43986</v>
      </c>
      <c r="B607">
        <v>2.495E-2</v>
      </c>
      <c r="C607">
        <v>2.5000000000000001E-2</v>
      </c>
      <c r="D607">
        <v>2.3619999999999999E-2</v>
      </c>
      <c r="E607">
        <v>2.452E-2</v>
      </c>
      <c r="F607">
        <v>32623501.100000001</v>
      </c>
      <c r="G607">
        <v>0</v>
      </c>
      <c r="L607" t="s">
        <v>8</v>
      </c>
      <c r="M607" t="s">
        <v>8</v>
      </c>
      <c r="N607" t="s">
        <v>8</v>
      </c>
      <c r="P607">
        <f t="shared" si="989"/>
        <v>0.3043478260869561</v>
      </c>
      <c r="Q607">
        <f t="shared" si="990"/>
        <v>9928891.639130421</v>
      </c>
      <c r="R607">
        <f t="shared" si="991"/>
        <v>397045613.39839339</v>
      </c>
      <c r="S607">
        <f t="shared" si="992"/>
        <v>3970.4561339839338</v>
      </c>
      <c r="T607">
        <f t="shared" si="993"/>
        <v>3.9704561339839337</v>
      </c>
    </row>
    <row r="608" spans="1:20" x14ac:dyDescent="0.25">
      <c r="A608" s="5">
        <v>43985</v>
      </c>
      <c r="B608">
        <v>2.2939999999999999E-2</v>
      </c>
      <c r="C608">
        <v>2.4979999999999999E-2</v>
      </c>
      <c r="D608">
        <v>2.2939999999999999E-2</v>
      </c>
      <c r="E608">
        <v>2.496E-2</v>
      </c>
      <c r="F608">
        <v>38436432.100000001</v>
      </c>
      <c r="G608">
        <v>0</v>
      </c>
      <c r="L608" t="s">
        <v>8</v>
      </c>
      <c r="M608" t="s">
        <v>8</v>
      </c>
      <c r="N608" t="s">
        <v>8</v>
      </c>
      <c r="P608">
        <f t="shared" si="989"/>
        <v>0.98039215686274594</v>
      </c>
      <c r="Q608">
        <f t="shared" si="990"/>
        <v>37682776.568627484</v>
      </c>
      <c r="R608">
        <f t="shared" si="991"/>
        <v>387116721.75926298</v>
      </c>
      <c r="S608">
        <f t="shared" si="992"/>
        <v>3871.1672175926296</v>
      </c>
      <c r="T608">
        <f t="shared" si="993"/>
        <v>3.8711672175926295</v>
      </c>
    </row>
    <row r="609" spans="1:20" x14ac:dyDescent="0.25">
      <c r="A609" s="5">
        <v>43984</v>
      </c>
      <c r="B609">
        <v>2.3720000000000001E-2</v>
      </c>
      <c r="C609">
        <v>2.52E-2</v>
      </c>
      <c r="D609">
        <v>2.0660000000000001E-2</v>
      </c>
      <c r="E609">
        <v>2.3029999999999998E-2</v>
      </c>
      <c r="F609">
        <v>43055629.799999997</v>
      </c>
      <c r="G609">
        <v>0</v>
      </c>
      <c r="L609" t="s">
        <v>7</v>
      </c>
      <c r="M609" t="s">
        <v>8</v>
      </c>
      <c r="N609" t="s">
        <v>8</v>
      </c>
      <c r="P609">
        <f t="shared" si="989"/>
        <v>4.405286343612233E-2</v>
      </c>
      <c r="Q609">
        <f t="shared" si="990"/>
        <v>1896723.7797356388</v>
      </c>
      <c r="R609">
        <f t="shared" si="991"/>
        <v>349433945.1906355</v>
      </c>
      <c r="S609">
        <f t="shared" si="992"/>
        <v>3494.339451906355</v>
      </c>
      <c r="T609">
        <f t="shared" si="993"/>
        <v>3.4943394519063551</v>
      </c>
    </row>
    <row r="610" spans="1:20" x14ac:dyDescent="0.25">
      <c r="A610" s="5">
        <v>43983</v>
      </c>
      <c r="B610">
        <v>2.214E-2</v>
      </c>
      <c r="C610">
        <v>2.452E-2</v>
      </c>
      <c r="D610">
        <v>2.214E-2</v>
      </c>
      <c r="E610">
        <v>2.3720000000000001E-2</v>
      </c>
      <c r="F610">
        <v>34282841.600000001</v>
      </c>
      <c r="G610">
        <v>0</v>
      </c>
      <c r="L610" t="s">
        <v>7</v>
      </c>
      <c r="M610" t="s">
        <v>7</v>
      </c>
      <c r="N610" t="s">
        <v>8</v>
      </c>
      <c r="P610">
        <f t="shared" si="989"/>
        <v>0.32773109243697601</v>
      </c>
      <c r="Q610">
        <f t="shared" si="990"/>
        <v>11235553.129411807</v>
      </c>
      <c r="R610">
        <f t="shared" si="991"/>
        <v>347537221.41089988</v>
      </c>
      <c r="S610">
        <f t="shared" si="992"/>
        <v>3475.3722141089988</v>
      </c>
      <c r="T610">
        <f t="shared" si="993"/>
        <v>3.4753722141089987</v>
      </c>
    </row>
    <row r="611" spans="1:20" x14ac:dyDescent="0.25">
      <c r="A611" s="5">
        <v>43982</v>
      </c>
      <c r="B611">
        <v>2.239E-2</v>
      </c>
      <c r="C611">
        <v>2.4459999999999999E-2</v>
      </c>
      <c r="D611">
        <v>2.1499999999999998E-2</v>
      </c>
      <c r="E611">
        <v>2.2329999999999999E-2</v>
      </c>
      <c r="F611">
        <v>78604478.799999997</v>
      </c>
      <c r="G611">
        <v>0</v>
      </c>
      <c r="L611" t="s">
        <v>8</v>
      </c>
      <c r="M611" t="s">
        <v>7</v>
      </c>
      <c r="N611" t="s">
        <v>8</v>
      </c>
      <c r="P611">
        <f t="shared" si="989"/>
        <v>-0.43918918918918876</v>
      </c>
      <c r="Q611">
        <f t="shared" si="990"/>
        <v>-34522237.310810775</v>
      </c>
      <c r="R611">
        <f t="shared" si="991"/>
        <v>336301668.28148806</v>
      </c>
      <c r="S611">
        <f t="shared" si="992"/>
        <v>3363.0166828148808</v>
      </c>
      <c r="T611">
        <f t="shared" si="993"/>
        <v>3.3630166828148806</v>
      </c>
    </row>
    <row r="612" spans="1:20" x14ac:dyDescent="0.25">
      <c r="A612" s="5">
        <v>43981</v>
      </c>
      <c r="B612">
        <v>2.2710000000000001E-2</v>
      </c>
      <c r="C612">
        <v>2.3949999999999999E-2</v>
      </c>
      <c r="D612">
        <v>2.1999999999999999E-2</v>
      </c>
      <c r="E612">
        <v>2.2419999999999999E-2</v>
      </c>
      <c r="F612">
        <v>45248117.799999997</v>
      </c>
      <c r="G612">
        <v>0</v>
      </c>
      <c r="L612" t="s">
        <v>8</v>
      </c>
      <c r="M612" t="s">
        <v>7</v>
      </c>
      <c r="N612" t="s">
        <v>8</v>
      </c>
      <c r="P612">
        <f t="shared" si="989"/>
        <v>-0.5692307692307691</v>
      </c>
      <c r="Q612">
        <f t="shared" si="990"/>
        <v>-25756620.901538454</v>
      </c>
      <c r="R612">
        <f t="shared" si="991"/>
        <v>370823905.59229881</v>
      </c>
      <c r="S612">
        <f t="shared" si="992"/>
        <v>3708.239055922988</v>
      </c>
      <c r="T612">
        <f t="shared" si="993"/>
        <v>3.7082390559229879</v>
      </c>
    </row>
    <row r="613" spans="1:20" x14ac:dyDescent="0.25">
      <c r="A613" s="5">
        <v>43980</v>
      </c>
      <c r="B613">
        <v>2.2110000000000001E-2</v>
      </c>
      <c r="C613">
        <v>2.3290000000000002E-2</v>
      </c>
      <c r="D613">
        <v>2.1829999999999999E-2</v>
      </c>
      <c r="E613">
        <v>2.2710000000000001E-2</v>
      </c>
      <c r="F613">
        <v>47400690.299999997</v>
      </c>
      <c r="G613">
        <v>0</v>
      </c>
      <c r="L613" t="s">
        <v>8</v>
      </c>
      <c r="M613" t="s">
        <v>7</v>
      </c>
      <c r="N613" t="s">
        <v>8</v>
      </c>
      <c r="P613">
        <f t="shared" si="989"/>
        <v>0.20547945205479523</v>
      </c>
      <c r="Q613">
        <f t="shared" si="990"/>
        <v>9739867.8698630463</v>
      </c>
      <c r="R613">
        <f t="shared" si="991"/>
        <v>396580526.49383724</v>
      </c>
      <c r="S613">
        <f t="shared" si="992"/>
        <v>3965.8052649383721</v>
      </c>
      <c r="T613">
        <f t="shared" si="993"/>
        <v>3.9658052649383722</v>
      </c>
    </row>
    <row r="614" spans="1:20" x14ac:dyDescent="0.25">
      <c r="A614" s="5">
        <v>43979</v>
      </c>
      <c r="B614">
        <v>2.2870000000000001E-2</v>
      </c>
      <c r="C614">
        <v>2.3E-2</v>
      </c>
      <c r="D614">
        <v>2.102E-2</v>
      </c>
      <c r="E614">
        <v>2.2110000000000001E-2</v>
      </c>
      <c r="F614">
        <v>45284088.200000003</v>
      </c>
      <c r="G614">
        <v>0</v>
      </c>
      <c r="L614" t="s">
        <v>7</v>
      </c>
      <c r="M614" t="s">
        <v>7</v>
      </c>
      <c r="N614" t="s">
        <v>8</v>
      </c>
      <c r="P614">
        <f t="shared" si="989"/>
        <v>0.1010101010101022</v>
      </c>
      <c r="Q614">
        <f t="shared" si="990"/>
        <v>4574150.3232323779</v>
      </c>
      <c r="R614">
        <f t="shared" si="991"/>
        <v>386840658.6239742</v>
      </c>
      <c r="S614">
        <f t="shared" si="992"/>
        <v>3868.406586239742</v>
      </c>
      <c r="T614">
        <f t="shared" si="993"/>
        <v>3.8684065862397419</v>
      </c>
    </row>
    <row r="615" spans="1:20" x14ac:dyDescent="0.25">
      <c r="A615" s="5">
        <v>43978</v>
      </c>
      <c r="B615">
        <v>2.3800000000000002E-2</v>
      </c>
      <c r="C615">
        <v>2.3890000000000002E-2</v>
      </c>
      <c r="D615">
        <v>2.1680000000000001E-2</v>
      </c>
      <c r="E615">
        <v>2.2939999999999999E-2</v>
      </c>
      <c r="F615">
        <v>44470869.299999997</v>
      </c>
      <c r="G615">
        <v>0</v>
      </c>
      <c r="L615" t="s">
        <v>7</v>
      </c>
      <c r="M615" t="s">
        <v>7</v>
      </c>
      <c r="N615" t="s">
        <v>8</v>
      </c>
      <c r="P615">
        <f t="shared" si="989"/>
        <v>0.1402714932126671</v>
      </c>
      <c r="Q615">
        <f t="shared" si="990"/>
        <v>6237995.2411763556</v>
      </c>
      <c r="R615">
        <f t="shared" si="991"/>
        <v>382266508.30074185</v>
      </c>
      <c r="S615">
        <f t="shared" si="992"/>
        <v>3822.6650830074186</v>
      </c>
      <c r="T615">
        <f t="shared" si="993"/>
        <v>3.8226650830074185</v>
      </c>
    </row>
    <row r="616" spans="1:20" x14ac:dyDescent="0.25">
      <c r="A616" s="5">
        <v>43977</v>
      </c>
      <c r="B616">
        <v>2.273E-2</v>
      </c>
      <c r="C616">
        <v>2.5919999999999999E-2</v>
      </c>
      <c r="D616">
        <v>2.205E-2</v>
      </c>
      <c r="E616">
        <v>2.3859999999999999E-2</v>
      </c>
      <c r="F616">
        <v>97604803.299999997</v>
      </c>
      <c r="G616">
        <v>0</v>
      </c>
      <c r="L616" t="s">
        <v>8</v>
      </c>
      <c r="M616" t="s">
        <v>8</v>
      </c>
      <c r="N616" t="s">
        <v>8</v>
      </c>
      <c r="P616">
        <f t="shared" si="989"/>
        <v>-6.4599483204134445E-2</v>
      </c>
      <c r="Q616">
        <f t="shared" si="990"/>
        <v>-6305219.851421196</v>
      </c>
      <c r="R616">
        <f t="shared" si="991"/>
        <v>376028513.05956548</v>
      </c>
      <c r="S616">
        <f t="shared" si="992"/>
        <v>3760.2851305956547</v>
      </c>
      <c r="T616">
        <f t="shared" si="993"/>
        <v>3.7602851305956548</v>
      </c>
    </row>
    <row r="617" spans="1:20" x14ac:dyDescent="0.25">
      <c r="A617" s="5">
        <v>43976</v>
      </c>
      <c r="B617">
        <v>1.9990000000000001E-2</v>
      </c>
      <c r="C617">
        <v>2.299E-2</v>
      </c>
      <c r="D617">
        <v>1.967E-2</v>
      </c>
      <c r="E617">
        <v>2.256E-2</v>
      </c>
      <c r="F617">
        <v>85570910.099999994</v>
      </c>
      <c r="G617">
        <v>0</v>
      </c>
      <c r="L617" t="s">
        <v>8</v>
      </c>
      <c r="M617" t="s">
        <v>8</v>
      </c>
      <c r="N617" t="s">
        <v>8</v>
      </c>
      <c r="P617">
        <f t="shared" si="989"/>
        <v>0.74096385542168686</v>
      </c>
      <c r="Q617">
        <f t="shared" si="990"/>
        <v>63404951.459638558</v>
      </c>
      <c r="R617">
        <f t="shared" si="991"/>
        <v>382333732.91098666</v>
      </c>
      <c r="S617">
        <f t="shared" si="992"/>
        <v>3823.3373291098665</v>
      </c>
      <c r="T617">
        <f t="shared" si="993"/>
        <v>3.8233373291098665</v>
      </c>
    </row>
    <row r="618" spans="1:20" x14ac:dyDescent="0.25">
      <c r="A618" s="5">
        <v>43975</v>
      </c>
      <c r="B618">
        <v>1.9959999999999999E-2</v>
      </c>
      <c r="C618">
        <v>2.1000000000000001E-2</v>
      </c>
      <c r="D618">
        <v>1.8890000000000001E-2</v>
      </c>
      <c r="E618">
        <v>1.9990000000000001E-2</v>
      </c>
      <c r="F618">
        <v>75714480.799999997</v>
      </c>
      <c r="G618">
        <v>0</v>
      </c>
      <c r="L618" t="s">
        <v>7</v>
      </c>
      <c r="M618" t="s">
        <v>7</v>
      </c>
      <c r="N618" t="s">
        <v>8</v>
      </c>
      <c r="P618">
        <f t="shared" si="989"/>
        <v>4.265402843601885E-2</v>
      </c>
      <c r="Q618">
        <f t="shared" si="990"/>
        <v>3229527.6170616029</v>
      </c>
      <c r="R618">
        <f t="shared" si="991"/>
        <v>318928781.45134813</v>
      </c>
      <c r="S618">
        <f t="shared" si="992"/>
        <v>3189.2878145134814</v>
      </c>
      <c r="T618">
        <f t="shared" si="993"/>
        <v>3.1892878145134813</v>
      </c>
    </row>
    <row r="619" spans="1:20" x14ac:dyDescent="0.25">
      <c r="A619" s="5">
        <v>43974</v>
      </c>
      <c r="B619">
        <v>2.0410000000000001E-2</v>
      </c>
      <c r="C619">
        <v>2.0910000000000002E-2</v>
      </c>
      <c r="D619">
        <v>1.9619999999999999E-2</v>
      </c>
      <c r="E619">
        <v>2.0029999999999999E-2</v>
      </c>
      <c r="F619">
        <v>73797629.099999994</v>
      </c>
      <c r="G619">
        <v>0</v>
      </c>
      <c r="L619" t="s">
        <v>8</v>
      </c>
      <c r="M619" t="s">
        <v>7</v>
      </c>
      <c r="N619" t="s">
        <v>8</v>
      </c>
      <c r="P619">
        <f t="shared" si="989"/>
        <v>-0.36434108527131831</v>
      </c>
      <c r="Q619">
        <f t="shared" si="990"/>
        <v>-26887508.27674422</v>
      </c>
      <c r="R619">
        <f t="shared" si="991"/>
        <v>315699253.83428651</v>
      </c>
      <c r="S619">
        <f t="shared" si="992"/>
        <v>3156.9925383428649</v>
      </c>
      <c r="T619">
        <f t="shared" si="993"/>
        <v>3.1569925383428648</v>
      </c>
    </row>
    <row r="620" spans="1:20" x14ac:dyDescent="0.25">
      <c r="A620" s="5">
        <v>43973</v>
      </c>
      <c r="B620">
        <v>1.9099999999999999E-2</v>
      </c>
      <c r="C620">
        <v>2.0930000000000001E-2</v>
      </c>
      <c r="D620">
        <v>1.8960000000000001E-2</v>
      </c>
      <c r="E620">
        <v>2.034E-2</v>
      </c>
      <c r="F620">
        <v>68779500.5</v>
      </c>
      <c r="G620">
        <v>0</v>
      </c>
      <c r="L620" t="s">
        <v>8</v>
      </c>
      <c r="M620" t="s">
        <v>7</v>
      </c>
      <c r="N620" t="s">
        <v>8</v>
      </c>
      <c r="P620">
        <f t="shared" si="989"/>
        <v>0.40101522842639553</v>
      </c>
      <c r="Q620">
        <f t="shared" si="990"/>
        <v>27581627.104060885</v>
      </c>
      <c r="R620">
        <f t="shared" si="991"/>
        <v>342586762.11103076</v>
      </c>
      <c r="S620">
        <f t="shared" si="992"/>
        <v>3425.8676211103075</v>
      </c>
      <c r="T620">
        <f t="shared" si="993"/>
        <v>3.4258676211103074</v>
      </c>
    </row>
    <row r="621" spans="1:20" x14ac:dyDescent="0.25">
      <c r="A621" s="5">
        <v>43972</v>
      </c>
      <c r="B621">
        <v>1.9619999999999999E-2</v>
      </c>
      <c r="C621">
        <v>1.9890000000000001E-2</v>
      </c>
      <c r="D621">
        <v>1.831E-2</v>
      </c>
      <c r="E621">
        <v>1.915E-2</v>
      </c>
      <c r="F621">
        <v>71012050.099999994</v>
      </c>
      <c r="G621">
        <v>0</v>
      </c>
      <c r="L621" t="s">
        <v>7</v>
      </c>
      <c r="M621" t="s">
        <v>7</v>
      </c>
      <c r="N621" t="s">
        <v>8</v>
      </c>
      <c r="P621">
        <f t="shared" si="989"/>
        <v>6.3291139240505889E-2</v>
      </c>
      <c r="Q621">
        <f t="shared" si="990"/>
        <v>4494433.5506328801</v>
      </c>
      <c r="R621">
        <f t="shared" si="991"/>
        <v>315005135.00696987</v>
      </c>
      <c r="S621">
        <f t="shared" si="992"/>
        <v>3150.0513500696989</v>
      </c>
      <c r="T621">
        <f t="shared" si="993"/>
        <v>3.1500513500696989</v>
      </c>
    </row>
    <row r="622" spans="1:20" x14ac:dyDescent="0.25">
      <c r="A622" s="5">
        <v>43971</v>
      </c>
      <c r="B622">
        <v>2.043E-2</v>
      </c>
      <c r="C622">
        <v>2.0799999999999999E-2</v>
      </c>
      <c r="D622">
        <v>1.8849999999999999E-2</v>
      </c>
      <c r="E622">
        <v>1.967E-2</v>
      </c>
      <c r="F622">
        <v>57205814.700000003</v>
      </c>
      <c r="G622">
        <v>0</v>
      </c>
      <c r="L622" t="s">
        <v>7</v>
      </c>
      <c r="M622" t="s">
        <v>7</v>
      </c>
      <c r="N622" t="s">
        <v>8</v>
      </c>
      <c r="P622">
        <f t="shared" si="989"/>
        <v>-0.1589743589743578</v>
      </c>
      <c r="Q622">
        <f t="shared" si="990"/>
        <v>-9094257.7215383947</v>
      </c>
      <c r="R622">
        <f t="shared" si="991"/>
        <v>310510701.45633698</v>
      </c>
      <c r="S622">
        <f t="shared" si="992"/>
        <v>3105.1070145633698</v>
      </c>
      <c r="T622">
        <f t="shared" si="993"/>
        <v>3.1051070145633699</v>
      </c>
    </row>
    <row r="623" spans="1:20" x14ac:dyDescent="0.25">
      <c r="A623" s="5">
        <v>43970</v>
      </c>
      <c r="B623">
        <v>2.0230000000000001E-2</v>
      </c>
      <c r="C623">
        <v>2.0559999999999998E-2</v>
      </c>
      <c r="D623">
        <v>1.9650000000000001E-2</v>
      </c>
      <c r="E623">
        <v>2.0500000000000001E-2</v>
      </c>
      <c r="F623">
        <v>51242229.799999997</v>
      </c>
      <c r="G623">
        <v>0</v>
      </c>
      <c r="L623" t="s">
        <v>7</v>
      </c>
      <c r="M623" t="s">
        <v>8</v>
      </c>
      <c r="N623" t="s">
        <v>8</v>
      </c>
      <c r="P623">
        <f t="shared" si="989"/>
        <v>0.86813186813187315</v>
      </c>
      <c r="Q623">
        <f t="shared" si="990"/>
        <v>44485012.683516741</v>
      </c>
      <c r="R623">
        <f t="shared" si="991"/>
        <v>319604959.1778754</v>
      </c>
      <c r="S623">
        <f t="shared" si="992"/>
        <v>3196.0495917787539</v>
      </c>
      <c r="T623">
        <f t="shared" si="993"/>
        <v>3.1960495917787539</v>
      </c>
    </row>
    <row r="624" spans="1:20" x14ac:dyDescent="0.25">
      <c r="A624" s="5">
        <v>43969</v>
      </c>
      <c r="B624">
        <v>2.0580000000000001E-2</v>
      </c>
      <c r="C624">
        <v>2.0969999999999999E-2</v>
      </c>
      <c r="D624">
        <v>2.01E-2</v>
      </c>
      <c r="E624">
        <v>2.0230000000000001E-2</v>
      </c>
      <c r="F624">
        <v>40802421.100000001</v>
      </c>
      <c r="G624">
        <v>0</v>
      </c>
      <c r="L624" t="s">
        <v>7</v>
      </c>
      <c r="M624" t="s">
        <v>8</v>
      </c>
      <c r="N624" t="s">
        <v>8</v>
      </c>
      <c r="P624">
        <f t="shared" si="989"/>
        <v>-0.70114942528735225</v>
      </c>
      <c r="Q624">
        <f t="shared" si="990"/>
        <v>-28608594.104597535</v>
      </c>
      <c r="R624">
        <f t="shared" si="991"/>
        <v>275119946.49435866</v>
      </c>
      <c r="S624">
        <f t="shared" si="992"/>
        <v>2751.1994649435865</v>
      </c>
      <c r="T624">
        <f t="shared" si="993"/>
        <v>2.7511994649435865</v>
      </c>
    </row>
    <row r="625" spans="1:20" x14ac:dyDescent="0.25">
      <c r="A625" s="5">
        <v>43968</v>
      </c>
      <c r="B625">
        <v>2.146E-2</v>
      </c>
      <c r="C625">
        <v>2.2440000000000002E-2</v>
      </c>
      <c r="D625">
        <v>2.0400000000000001E-2</v>
      </c>
      <c r="E625">
        <v>2.0580000000000001E-2</v>
      </c>
      <c r="F625">
        <v>64259019.399999999</v>
      </c>
      <c r="G625">
        <v>0</v>
      </c>
      <c r="L625" t="s">
        <v>7</v>
      </c>
      <c r="M625" t="s">
        <v>8</v>
      </c>
      <c r="N625" t="s">
        <v>8</v>
      </c>
      <c r="P625">
        <f t="shared" si="989"/>
        <v>-0.82352941176470629</v>
      </c>
      <c r="Q625">
        <f t="shared" si="990"/>
        <v>-52919192.447058849</v>
      </c>
      <c r="R625">
        <f t="shared" si="991"/>
        <v>303728540.59895617</v>
      </c>
      <c r="S625">
        <f t="shared" si="992"/>
        <v>3037.2854059895617</v>
      </c>
      <c r="T625">
        <f t="shared" si="993"/>
        <v>3.0372854059895618</v>
      </c>
    </row>
    <row r="626" spans="1:20" x14ac:dyDescent="0.25">
      <c r="A626" s="5">
        <v>43967</v>
      </c>
      <c r="B626">
        <v>1.951E-2</v>
      </c>
      <c r="C626">
        <v>2.2339999999999999E-2</v>
      </c>
      <c r="D626">
        <v>1.9400000000000001E-2</v>
      </c>
      <c r="E626">
        <v>2.1559999999999999E-2</v>
      </c>
      <c r="F626">
        <v>88229435.5</v>
      </c>
      <c r="G626">
        <v>0</v>
      </c>
      <c r="L626" t="s">
        <v>8</v>
      </c>
      <c r="M626" t="s">
        <v>8</v>
      </c>
      <c r="N626" t="s">
        <v>8</v>
      </c>
      <c r="P626">
        <f t="shared" si="989"/>
        <v>0.46938775510204084</v>
      </c>
      <c r="Q626">
        <f t="shared" si="990"/>
        <v>41413816.66326531</v>
      </c>
      <c r="R626">
        <f t="shared" si="991"/>
        <v>356647733.04601502</v>
      </c>
      <c r="S626">
        <f t="shared" si="992"/>
        <v>3566.4773304601504</v>
      </c>
      <c r="T626">
        <f t="shared" si="993"/>
        <v>3.5664773304601503</v>
      </c>
    </row>
    <row r="627" spans="1:20" x14ac:dyDescent="0.25">
      <c r="A627" s="5">
        <v>43966</v>
      </c>
      <c r="B627">
        <v>1.9480000000000001E-2</v>
      </c>
      <c r="C627">
        <v>2.0809999999999999E-2</v>
      </c>
      <c r="D627">
        <v>1.9009999999999999E-2</v>
      </c>
      <c r="E627">
        <v>1.95E-2</v>
      </c>
      <c r="F627">
        <v>70563592.299999997</v>
      </c>
      <c r="G627">
        <v>0</v>
      </c>
      <c r="L627" t="s">
        <v>8</v>
      </c>
      <c r="M627" t="s">
        <v>8</v>
      </c>
      <c r="N627" t="s">
        <v>7</v>
      </c>
      <c r="P627">
        <f t="shared" si="989"/>
        <v>-0.45555555555555444</v>
      </c>
      <c r="Q627">
        <f t="shared" si="990"/>
        <v>-32145636.492222141</v>
      </c>
      <c r="R627">
        <f t="shared" si="991"/>
        <v>315233916.38274974</v>
      </c>
      <c r="S627">
        <f t="shared" si="992"/>
        <v>3152.3391638274975</v>
      </c>
      <c r="T627">
        <f t="shared" si="993"/>
        <v>3.1523391638274973</v>
      </c>
    </row>
    <row r="628" spans="1:20" x14ac:dyDescent="0.25">
      <c r="A628" s="5">
        <v>43965</v>
      </c>
      <c r="B628">
        <v>1.8530000000000001E-2</v>
      </c>
      <c r="C628">
        <v>1.9480000000000001E-2</v>
      </c>
      <c r="D628">
        <v>1.83E-2</v>
      </c>
      <c r="E628">
        <v>1.9439999999999999E-2</v>
      </c>
      <c r="F628">
        <v>59658597.899999999</v>
      </c>
      <c r="G628">
        <v>0</v>
      </c>
      <c r="L628" t="s">
        <v>8</v>
      </c>
      <c r="M628" t="s">
        <v>8</v>
      </c>
      <c r="N628" t="s">
        <v>7</v>
      </c>
      <c r="P628">
        <f t="shared" si="989"/>
        <v>0.93220338983050544</v>
      </c>
      <c r="Q628">
        <f t="shared" si="990"/>
        <v>55613947.194915071</v>
      </c>
      <c r="R628">
        <f t="shared" si="991"/>
        <v>347379552.87497187</v>
      </c>
      <c r="S628">
        <f t="shared" si="992"/>
        <v>3473.7955287497189</v>
      </c>
      <c r="T628">
        <f t="shared" si="993"/>
        <v>3.4737955287497191</v>
      </c>
    </row>
    <row r="629" spans="1:20" x14ac:dyDescent="0.25">
      <c r="A629" s="5">
        <v>43964</v>
      </c>
      <c r="B629">
        <v>1.7850000000000001E-2</v>
      </c>
      <c r="C629">
        <v>1.908E-2</v>
      </c>
      <c r="D629">
        <v>1.7729999999999999E-2</v>
      </c>
      <c r="E629">
        <v>1.8530000000000001E-2</v>
      </c>
      <c r="F629">
        <v>51789723.600000001</v>
      </c>
      <c r="G629">
        <v>0</v>
      </c>
      <c r="L629" t="s">
        <v>8</v>
      </c>
      <c r="M629" t="s">
        <v>8</v>
      </c>
      <c r="N629" t="s">
        <v>7</v>
      </c>
      <c r="P629">
        <f t="shared" si="989"/>
        <v>0.18518518518518784</v>
      </c>
      <c r="Q629">
        <f t="shared" si="990"/>
        <v>9590689.5555556938</v>
      </c>
      <c r="R629">
        <f t="shared" si="991"/>
        <v>291765605.68005681</v>
      </c>
      <c r="S629">
        <f t="shared" si="992"/>
        <v>2917.656056800568</v>
      </c>
      <c r="T629">
        <f t="shared" si="993"/>
        <v>2.9176560568005678</v>
      </c>
    </row>
    <row r="630" spans="1:20" x14ac:dyDescent="0.25">
      <c r="A630" s="5">
        <v>43963</v>
      </c>
      <c r="B630">
        <v>1.6990000000000002E-2</v>
      </c>
      <c r="C630">
        <v>1.831E-2</v>
      </c>
      <c r="D630">
        <v>1.6670000000000001E-2</v>
      </c>
      <c r="E630">
        <v>1.7850000000000001E-2</v>
      </c>
      <c r="F630">
        <v>26831272.199999999</v>
      </c>
      <c r="G630">
        <v>0</v>
      </c>
      <c r="L630" t="s">
        <v>7</v>
      </c>
      <c r="M630" t="s">
        <v>8</v>
      </c>
      <c r="N630" t="s">
        <v>7</v>
      </c>
      <c r="P630">
        <f t="shared" si="989"/>
        <v>0.43902439024390383</v>
      </c>
      <c r="Q630">
        <f t="shared" si="990"/>
        <v>11779582.917073207</v>
      </c>
      <c r="R630">
        <f t="shared" si="991"/>
        <v>282174916.12450111</v>
      </c>
      <c r="S630">
        <f t="shared" si="992"/>
        <v>2821.7491612450112</v>
      </c>
      <c r="T630">
        <f t="shared" si="993"/>
        <v>2.8217491612450112</v>
      </c>
    </row>
    <row r="631" spans="1:20" x14ac:dyDescent="0.25">
      <c r="A631" s="5">
        <v>43962</v>
      </c>
      <c r="B631">
        <v>1.77E-2</v>
      </c>
      <c r="C631">
        <v>1.8100000000000002E-2</v>
      </c>
      <c r="D631">
        <v>1.6240000000000001E-2</v>
      </c>
      <c r="E631">
        <v>1.6969999999999999E-2</v>
      </c>
      <c r="F631">
        <v>27820946.5</v>
      </c>
      <c r="G631">
        <v>0</v>
      </c>
      <c r="L631" t="s">
        <v>8</v>
      </c>
      <c r="M631" t="s">
        <v>7</v>
      </c>
      <c r="N631" t="s">
        <v>7</v>
      </c>
      <c r="P631">
        <f t="shared" si="989"/>
        <v>-0.21505376344086258</v>
      </c>
      <c r="Q631">
        <f t="shared" si="990"/>
        <v>-5982999.2473118939</v>
      </c>
      <c r="R631">
        <f t="shared" si="991"/>
        <v>270395333.20742792</v>
      </c>
      <c r="S631">
        <f t="shared" si="992"/>
        <v>2703.9533320742794</v>
      </c>
      <c r="T631">
        <f t="shared" si="993"/>
        <v>2.7039533320742795</v>
      </c>
    </row>
    <row r="632" spans="1:20" x14ac:dyDescent="0.25">
      <c r="A632" s="5">
        <v>43961</v>
      </c>
      <c r="B632">
        <v>1.873E-2</v>
      </c>
      <c r="C632">
        <v>1.874E-2</v>
      </c>
      <c r="D632">
        <v>1.5469999999999999E-2</v>
      </c>
      <c r="E632">
        <v>1.7680000000000001E-2</v>
      </c>
      <c r="F632">
        <v>40638622.399999999</v>
      </c>
      <c r="G632">
        <v>0</v>
      </c>
      <c r="L632" t="s">
        <v>7</v>
      </c>
      <c r="M632" t="s">
        <v>7</v>
      </c>
      <c r="N632" t="s">
        <v>7</v>
      </c>
      <c r="P632">
        <f t="shared" si="989"/>
        <v>0.35168195718654538</v>
      </c>
      <c r="Q632">
        <f t="shared" si="990"/>
        <v>14291870.262996983</v>
      </c>
      <c r="R632">
        <f t="shared" si="991"/>
        <v>276378332.45473981</v>
      </c>
      <c r="S632">
        <f t="shared" si="992"/>
        <v>2763.783324547398</v>
      </c>
      <c r="T632">
        <f t="shared" si="993"/>
        <v>2.7637833245473979</v>
      </c>
    </row>
    <row r="633" spans="1:20" x14ac:dyDescent="0.25">
      <c r="A633" s="5">
        <v>43960</v>
      </c>
      <c r="B633">
        <v>1.881E-2</v>
      </c>
      <c r="C633">
        <v>1.9769999999999999E-2</v>
      </c>
      <c r="D633">
        <v>1.8720000000000001E-2</v>
      </c>
      <c r="E633">
        <v>1.8790000000000001E-2</v>
      </c>
      <c r="F633">
        <v>28150374.100000001</v>
      </c>
      <c r="G633">
        <v>0</v>
      </c>
      <c r="L633" t="s">
        <v>8</v>
      </c>
      <c r="M633" t="s">
        <v>7</v>
      </c>
      <c r="N633" t="s">
        <v>8</v>
      </c>
      <c r="P633">
        <f t="shared" si="989"/>
        <v>-0.86666666666666536</v>
      </c>
      <c r="Q633">
        <f t="shared" si="990"/>
        <v>-24396990.886666629</v>
      </c>
      <c r="R633">
        <f t="shared" si="991"/>
        <v>262086462.19174281</v>
      </c>
      <c r="S633">
        <f t="shared" si="992"/>
        <v>2620.8646219174279</v>
      </c>
      <c r="T633">
        <f t="shared" si="993"/>
        <v>2.6208646219174279</v>
      </c>
    </row>
    <row r="634" spans="1:20" x14ac:dyDescent="0.25">
      <c r="A634" s="5">
        <v>43959</v>
      </c>
      <c r="B634">
        <v>1.7999999999999999E-2</v>
      </c>
      <c r="C634">
        <v>1.9429999999999999E-2</v>
      </c>
      <c r="D634">
        <v>1.7999999999999999E-2</v>
      </c>
      <c r="E634">
        <v>1.8890000000000001E-2</v>
      </c>
      <c r="F634">
        <v>25190079.600000001</v>
      </c>
      <c r="G634">
        <v>0</v>
      </c>
      <c r="L634" t="s">
        <v>8</v>
      </c>
      <c r="M634" t="s">
        <v>7</v>
      </c>
      <c r="N634" t="s">
        <v>8</v>
      </c>
      <c r="P634">
        <f t="shared" si="989"/>
        <v>0.24475524475524679</v>
      </c>
      <c r="Q634">
        <f t="shared" si="990"/>
        <v>6165404.0979021499</v>
      </c>
      <c r="R634">
        <f t="shared" si="991"/>
        <v>286483453.07840943</v>
      </c>
      <c r="S634">
        <f t="shared" si="992"/>
        <v>2864.8345307840941</v>
      </c>
      <c r="T634">
        <f t="shared" si="993"/>
        <v>2.8648345307840941</v>
      </c>
    </row>
    <row r="635" spans="1:20" x14ac:dyDescent="0.25">
      <c r="A635" s="5">
        <v>43958</v>
      </c>
      <c r="B635">
        <v>1.8440000000000002E-2</v>
      </c>
      <c r="C635">
        <v>1.9199999999999998E-2</v>
      </c>
      <c r="D635">
        <v>1.7340000000000001E-2</v>
      </c>
      <c r="E635">
        <v>1.806E-2</v>
      </c>
      <c r="F635">
        <v>33091300.399999999</v>
      </c>
      <c r="G635">
        <v>0</v>
      </c>
      <c r="L635" t="s">
        <v>7</v>
      </c>
      <c r="M635" t="s">
        <v>7</v>
      </c>
      <c r="N635" t="s">
        <v>8</v>
      </c>
      <c r="P635">
        <f t="shared" si="989"/>
        <v>-0.22580645161290372</v>
      </c>
      <c r="Q635">
        <f t="shared" si="990"/>
        <v>-7472229.1225806614</v>
      </c>
      <c r="R635">
        <f t="shared" si="991"/>
        <v>280318048.98050725</v>
      </c>
      <c r="S635">
        <f t="shared" si="992"/>
        <v>2803.1804898050727</v>
      </c>
      <c r="T635">
        <f t="shared" si="993"/>
        <v>2.8031804898050727</v>
      </c>
    </row>
    <row r="636" spans="1:20" x14ac:dyDescent="0.25">
      <c r="A636" s="5">
        <v>43957</v>
      </c>
      <c r="B636">
        <v>1.959E-2</v>
      </c>
      <c r="C636">
        <v>1.9879999999999998E-2</v>
      </c>
      <c r="D636">
        <v>1.84E-2</v>
      </c>
      <c r="E636">
        <v>1.8519999999999998E-2</v>
      </c>
      <c r="F636">
        <v>23310354.600000001</v>
      </c>
      <c r="G636">
        <v>0</v>
      </c>
      <c r="L636" t="s">
        <v>7</v>
      </c>
      <c r="M636" t="s">
        <v>7</v>
      </c>
      <c r="N636" t="s">
        <v>8</v>
      </c>
      <c r="P636">
        <f t="shared" si="989"/>
        <v>-0.83783783783783961</v>
      </c>
      <c r="Q636">
        <f t="shared" si="990"/>
        <v>-19530297.097297341</v>
      </c>
      <c r="R636">
        <f t="shared" si="991"/>
        <v>287790278.1030879</v>
      </c>
      <c r="S636">
        <f t="shared" si="992"/>
        <v>2877.9027810308789</v>
      </c>
      <c r="T636">
        <f t="shared" si="993"/>
        <v>2.8779027810308788</v>
      </c>
    </row>
    <row r="637" spans="1:20" x14ac:dyDescent="0.25">
      <c r="A637" s="5">
        <v>43956</v>
      </c>
      <c r="B637">
        <v>1.8950000000000002E-2</v>
      </c>
      <c r="C637">
        <v>2.018E-2</v>
      </c>
      <c r="D637">
        <v>1.8239999999999999E-2</v>
      </c>
      <c r="E637">
        <v>1.959E-2</v>
      </c>
      <c r="F637">
        <v>31153949.199999999</v>
      </c>
      <c r="G637">
        <v>0</v>
      </c>
      <c r="L637" t="s">
        <v>8</v>
      </c>
      <c r="M637" t="s">
        <v>7</v>
      </c>
      <c r="N637" t="s">
        <v>8</v>
      </c>
      <c r="P637">
        <f t="shared" si="989"/>
        <v>0.39175257731958762</v>
      </c>
      <c r="Q637">
        <f t="shared" si="990"/>
        <v>12204639.892783504</v>
      </c>
      <c r="R637">
        <f t="shared" si="991"/>
        <v>307320575.20038521</v>
      </c>
      <c r="S637">
        <f t="shared" si="992"/>
        <v>3073.205752003852</v>
      </c>
      <c r="T637">
        <f t="shared" si="993"/>
        <v>3.0732057520038518</v>
      </c>
    </row>
    <row r="638" spans="1:20" x14ac:dyDescent="0.25">
      <c r="A638" s="5">
        <v>43955</v>
      </c>
      <c r="B638">
        <v>2.0049999999999998E-2</v>
      </c>
      <c r="C638">
        <v>2.0150000000000001E-2</v>
      </c>
      <c r="D638">
        <v>1.8030000000000001E-2</v>
      </c>
      <c r="E638">
        <v>1.89E-2</v>
      </c>
      <c r="F638">
        <v>27738925.800000001</v>
      </c>
      <c r="G638">
        <v>0</v>
      </c>
      <c r="L638" t="s">
        <v>7</v>
      </c>
      <c r="M638" t="s">
        <v>7</v>
      </c>
      <c r="N638" t="s">
        <v>8</v>
      </c>
      <c r="P638">
        <f t="shared" si="989"/>
        <v>-0.17924528301886877</v>
      </c>
      <c r="Q638">
        <f t="shared" si="990"/>
        <v>-4972071.6056604013</v>
      </c>
      <c r="R638">
        <f t="shared" si="991"/>
        <v>295115935.30760169</v>
      </c>
      <c r="S638">
        <f t="shared" si="992"/>
        <v>2951.1593530760169</v>
      </c>
      <c r="T638">
        <f t="shared" si="993"/>
        <v>2.951159353076017</v>
      </c>
    </row>
    <row r="639" spans="1:20" x14ac:dyDescent="0.25">
      <c r="A639" s="5">
        <v>43954</v>
      </c>
      <c r="B639">
        <v>2.0289999999999999E-2</v>
      </c>
      <c r="C639">
        <v>2.0420000000000001E-2</v>
      </c>
      <c r="D639">
        <v>1.9009999999999999E-2</v>
      </c>
      <c r="E639">
        <v>2.0049999999999998E-2</v>
      </c>
      <c r="F639">
        <v>30353143.800000001</v>
      </c>
      <c r="G639">
        <v>0</v>
      </c>
      <c r="L639" t="s">
        <v>7</v>
      </c>
      <c r="M639" t="s">
        <v>7</v>
      </c>
      <c r="N639" t="s">
        <v>8</v>
      </c>
      <c r="P639">
        <f t="shared" si="989"/>
        <v>0.47517730496453636</v>
      </c>
      <c r="Q639">
        <f t="shared" si="990"/>
        <v>14423125.068085026</v>
      </c>
      <c r="R639">
        <f t="shared" si="991"/>
        <v>300088006.91326207</v>
      </c>
      <c r="S639">
        <f t="shared" si="992"/>
        <v>3000.8800691326205</v>
      </c>
      <c r="T639">
        <f t="shared" si="993"/>
        <v>3.0008800691326205</v>
      </c>
    </row>
    <row r="640" spans="1:20" x14ac:dyDescent="0.25">
      <c r="A640" s="5">
        <v>43953</v>
      </c>
      <c r="B640">
        <v>2.0449999999999999E-2</v>
      </c>
      <c r="C640">
        <v>2.1340000000000001E-2</v>
      </c>
      <c r="D640">
        <v>1.95E-2</v>
      </c>
      <c r="E640">
        <v>2.0289999999999999E-2</v>
      </c>
      <c r="F640">
        <v>31114254</v>
      </c>
      <c r="G640">
        <v>0</v>
      </c>
      <c r="L640" t="s">
        <v>7</v>
      </c>
      <c r="M640" t="s">
        <v>8</v>
      </c>
      <c r="N640" t="s">
        <v>8</v>
      </c>
      <c r="P640">
        <f t="shared" si="989"/>
        <v>-0.14130434782608864</v>
      </c>
      <c r="Q640">
        <f t="shared" si="990"/>
        <v>-4396579.3695652699</v>
      </c>
      <c r="R640">
        <f t="shared" si="991"/>
        <v>285664881.84517705</v>
      </c>
      <c r="S640">
        <f t="shared" si="992"/>
        <v>2856.6488184517707</v>
      </c>
      <c r="T640">
        <f t="shared" si="993"/>
        <v>2.8566488184517707</v>
      </c>
    </row>
    <row r="641" spans="1:20" x14ac:dyDescent="0.25">
      <c r="A641" s="5">
        <v>43952</v>
      </c>
      <c r="B641">
        <v>2.0039999999999999E-2</v>
      </c>
      <c r="C641">
        <v>2.1690000000000001E-2</v>
      </c>
      <c r="D641">
        <v>2.0039999999999999E-2</v>
      </c>
      <c r="E641">
        <v>2.053E-2</v>
      </c>
      <c r="F641">
        <v>26392432.800000001</v>
      </c>
      <c r="G641">
        <v>0</v>
      </c>
      <c r="L641" t="s">
        <v>7</v>
      </c>
      <c r="M641" t="s">
        <v>8</v>
      </c>
      <c r="N641" t="s">
        <v>8</v>
      </c>
      <c r="P641">
        <f t="shared" si="989"/>
        <v>-0.40606060606060579</v>
      </c>
      <c r="Q641">
        <f t="shared" si="990"/>
        <v>-10716927.25818181</v>
      </c>
      <c r="R641">
        <f t="shared" si="991"/>
        <v>290061461.2147423</v>
      </c>
      <c r="S641">
        <f t="shared" si="992"/>
        <v>2900.614612147423</v>
      </c>
      <c r="T641">
        <f t="shared" si="993"/>
        <v>2.900614612147423</v>
      </c>
    </row>
    <row r="642" spans="1:20" x14ac:dyDescent="0.25">
      <c r="A642" s="5">
        <v>43951</v>
      </c>
      <c r="B642">
        <v>2.095E-2</v>
      </c>
      <c r="C642">
        <v>2.24E-2</v>
      </c>
      <c r="D642">
        <v>1.9439999999999999E-2</v>
      </c>
      <c r="E642">
        <v>1.9970000000000002E-2</v>
      </c>
      <c r="F642">
        <v>55273239.700000003</v>
      </c>
      <c r="G642">
        <v>0</v>
      </c>
      <c r="L642" t="s">
        <v>8</v>
      </c>
      <c r="M642" t="s">
        <v>8</v>
      </c>
      <c r="N642" t="s">
        <v>8</v>
      </c>
      <c r="P642">
        <f t="shared" si="989"/>
        <v>-0.64189189189189022</v>
      </c>
      <c r="Q642">
        <f t="shared" si="990"/>
        <v>-35479444.402026936</v>
      </c>
      <c r="R642">
        <f t="shared" si="991"/>
        <v>300778388.47292411</v>
      </c>
      <c r="S642">
        <f t="shared" si="992"/>
        <v>3007.783884729241</v>
      </c>
      <c r="T642">
        <f t="shared" si="993"/>
        <v>3.0077838847292409</v>
      </c>
    </row>
    <row r="643" spans="1:20" x14ac:dyDescent="0.25">
      <c r="A643" s="5">
        <v>43950</v>
      </c>
      <c r="B643">
        <v>2.0549999999999999E-2</v>
      </c>
      <c r="C643">
        <v>2.103E-2</v>
      </c>
      <c r="D643">
        <v>1.9689999999999999E-2</v>
      </c>
      <c r="E643">
        <v>2.094E-2</v>
      </c>
      <c r="F643">
        <v>57017190.399999999</v>
      </c>
      <c r="G643">
        <v>0</v>
      </c>
      <c r="L643" t="s">
        <v>7</v>
      </c>
      <c r="M643" t="s">
        <v>8</v>
      </c>
      <c r="N643" t="s">
        <v>8</v>
      </c>
      <c r="P643">
        <f t="shared" si="989"/>
        <v>0.86567164179104517</v>
      </c>
      <c r="Q643">
        <f t="shared" si="990"/>
        <v>49358164.82388062</v>
      </c>
      <c r="R643">
        <f t="shared" si="991"/>
        <v>336257832.87495106</v>
      </c>
      <c r="S643">
        <f t="shared" si="992"/>
        <v>3362.5783287495105</v>
      </c>
      <c r="T643">
        <f t="shared" si="993"/>
        <v>3.3625783287495103</v>
      </c>
    </row>
    <row r="644" spans="1:20" x14ac:dyDescent="0.25">
      <c r="A644" s="5">
        <v>43949</v>
      </c>
      <c r="B644">
        <v>2.0310000000000002E-2</v>
      </c>
      <c r="C644">
        <v>2.1499999999999998E-2</v>
      </c>
      <c r="D644">
        <v>1.8859999999999998E-2</v>
      </c>
      <c r="E644">
        <v>2.0549999999999999E-2</v>
      </c>
      <c r="F644">
        <v>57252685.799999997</v>
      </c>
      <c r="G644">
        <v>0</v>
      </c>
      <c r="L644" t="s">
        <v>8</v>
      </c>
      <c r="M644" t="s">
        <v>8</v>
      </c>
      <c r="N644" t="s">
        <v>8</v>
      </c>
      <c r="P644">
        <f t="shared" si="989"/>
        <v>0.28030303030303072</v>
      </c>
      <c r="Q644">
        <f t="shared" si="990"/>
        <v>16048101.322727297</v>
      </c>
      <c r="R644">
        <f t="shared" si="991"/>
        <v>286899668.05107045</v>
      </c>
      <c r="S644">
        <f t="shared" si="992"/>
        <v>2868.9966805107047</v>
      </c>
      <c r="T644">
        <f t="shared" si="993"/>
        <v>2.8689966805107048</v>
      </c>
    </row>
    <row r="645" spans="1:20" x14ac:dyDescent="0.25">
      <c r="A645" s="5">
        <v>43948</v>
      </c>
      <c r="B645">
        <v>1.8800000000000001E-2</v>
      </c>
      <c r="C645">
        <v>2.0420000000000001E-2</v>
      </c>
      <c r="D645">
        <v>1.7940000000000001E-2</v>
      </c>
      <c r="E645">
        <v>2.0230000000000001E-2</v>
      </c>
      <c r="F645">
        <v>53495075.600000001</v>
      </c>
      <c r="G645">
        <v>0</v>
      </c>
      <c r="L645" t="s">
        <v>7</v>
      </c>
      <c r="M645" t="s">
        <v>8</v>
      </c>
      <c r="N645" t="s">
        <v>8</v>
      </c>
      <c r="P645">
        <f t="shared" si="989"/>
        <v>0.84677419354838768</v>
      </c>
      <c r="Q645">
        <f t="shared" si="990"/>
        <v>45298249.50000003</v>
      </c>
      <c r="R645">
        <f t="shared" si="991"/>
        <v>270851566.72834313</v>
      </c>
      <c r="S645">
        <f t="shared" si="992"/>
        <v>2708.5156672834314</v>
      </c>
      <c r="T645">
        <f t="shared" si="993"/>
        <v>2.7085156672834314</v>
      </c>
    </row>
    <row r="646" spans="1:20" x14ac:dyDescent="0.25">
      <c r="A646" s="5">
        <v>43947</v>
      </c>
      <c r="B646">
        <v>2.0219999999999998E-2</v>
      </c>
      <c r="C646">
        <v>2.1000000000000001E-2</v>
      </c>
      <c r="D646">
        <v>1.84E-2</v>
      </c>
      <c r="E646">
        <v>1.874E-2</v>
      </c>
      <c r="F646">
        <v>80798728.599999994</v>
      </c>
      <c r="G646">
        <v>0</v>
      </c>
      <c r="L646" t="s">
        <v>7</v>
      </c>
      <c r="M646" t="s">
        <v>8</v>
      </c>
      <c r="N646" t="s">
        <v>8</v>
      </c>
      <c r="P646">
        <f t="shared" ref="P646:P709" si="994">IF(C646=D646,0,((E646-D646)-(C646-E646))/(C646-D646))</f>
        <v>-0.73846153846153861</v>
      </c>
      <c r="Q646">
        <f t="shared" ref="Q646:Q709" si="995">F646*P646</f>
        <v>-59666753.427692316</v>
      </c>
      <c r="R646">
        <f t="shared" ref="R646:R709" si="996">R647+Q646</f>
        <v>225553317.2283431</v>
      </c>
      <c r="S646">
        <f t="shared" ref="S646:S709" si="997">R646/100000</f>
        <v>2255.5331722834312</v>
      </c>
      <c r="T646">
        <f t="shared" ref="T646:T709" si="998">S646/1000</f>
        <v>2.2555331722834313</v>
      </c>
    </row>
    <row r="647" spans="1:20" x14ac:dyDescent="0.25">
      <c r="A647" s="5">
        <v>43946</v>
      </c>
      <c r="B647">
        <v>1.6889999999999999E-2</v>
      </c>
      <c r="C647">
        <v>2.0750000000000001E-2</v>
      </c>
      <c r="D647">
        <v>1.6279999999999999E-2</v>
      </c>
      <c r="E647">
        <v>2.0320000000000001E-2</v>
      </c>
      <c r="F647">
        <v>130042785.09999999</v>
      </c>
      <c r="G647">
        <v>0</v>
      </c>
      <c r="L647" t="s">
        <v>8</v>
      </c>
      <c r="M647" t="s">
        <v>8</v>
      </c>
      <c r="N647" t="s">
        <v>8</v>
      </c>
      <c r="P647">
        <f t="shared" si="994"/>
        <v>0.80760626398210311</v>
      </c>
      <c r="Q647">
        <f t="shared" si="995"/>
        <v>105023367.8324385</v>
      </c>
      <c r="R647">
        <f t="shared" si="996"/>
        <v>285220070.65603542</v>
      </c>
      <c r="S647">
        <f t="shared" si="997"/>
        <v>2852.2007065603543</v>
      </c>
      <c r="T647">
        <f t="shared" si="998"/>
        <v>2.8522007065603545</v>
      </c>
    </row>
    <row r="648" spans="1:20" x14ac:dyDescent="0.25">
      <c r="A648" s="5">
        <v>43945</v>
      </c>
      <c r="B648">
        <v>1.536E-2</v>
      </c>
      <c r="C648">
        <v>1.712E-2</v>
      </c>
      <c r="D648">
        <v>1.532E-2</v>
      </c>
      <c r="E648">
        <v>1.6930000000000001E-2</v>
      </c>
      <c r="F648">
        <v>50153251.700000003</v>
      </c>
      <c r="G648">
        <v>0</v>
      </c>
      <c r="L648" t="s">
        <v>8</v>
      </c>
      <c r="M648" t="s">
        <v>8</v>
      </c>
      <c r="N648" t="s">
        <v>8</v>
      </c>
      <c r="P648">
        <f t="shared" si="994"/>
        <v>0.78888888888888975</v>
      </c>
      <c r="Q648">
        <f t="shared" si="995"/>
        <v>39565343.007777825</v>
      </c>
      <c r="R648">
        <f t="shared" si="996"/>
        <v>180196702.82359695</v>
      </c>
      <c r="S648">
        <f t="shared" si="997"/>
        <v>1801.9670282359696</v>
      </c>
      <c r="T648">
        <f t="shared" si="998"/>
        <v>1.8019670282359697</v>
      </c>
    </row>
    <row r="649" spans="1:20" x14ac:dyDescent="0.25">
      <c r="A649" s="5">
        <v>43944</v>
      </c>
      <c r="B649">
        <v>1.486E-2</v>
      </c>
      <c r="C649">
        <v>1.5939999999999999E-2</v>
      </c>
      <c r="D649">
        <v>1.468E-2</v>
      </c>
      <c r="E649">
        <v>1.536E-2</v>
      </c>
      <c r="F649">
        <v>42658981.399999999</v>
      </c>
      <c r="G649">
        <v>0</v>
      </c>
      <c r="L649" t="s">
        <v>8</v>
      </c>
      <c r="M649" t="s">
        <v>8</v>
      </c>
      <c r="N649" t="s">
        <v>8</v>
      </c>
      <c r="P649">
        <f t="shared" si="994"/>
        <v>7.9365079365080332E-2</v>
      </c>
      <c r="Q649">
        <f t="shared" si="995"/>
        <v>3385633.4444444855</v>
      </c>
      <c r="R649">
        <f t="shared" si="996"/>
        <v>140631359.81581911</v>
      </c>
      <c r="S649">
        <f t="shared" si="997"/>
        <v>1406.3135981581911</v>
      </c>
      <c r="T649">
        <f t="shared" si="998"/>
        <v>1.4063135981581911</v>
      </c>
    </row>
    <row r="650" spans="1:20" x14ac:dyDescent="0.25">
      <c r="A650" s="5">
        <v>43943</v>
      </c>
      <c r="B650">
        <v>1.443E-2</v>
      </c>
      <c r="C650">
        <v>1.5049999999999999E-2</v>
      </c>
      <c r="D650">
        <v>1.4319999999999999E-2</v>
      </c>
      <c r="E650">
        <v>1.489E-2</v>
      </c>
      <c r="F650">
        <v>32606996.5</v>
      </c>
      <c r="G650">
        <v>0</v>
      </c>
      <c r="L650" t="s">
        <v>8</v>
      </c>
      <c r="M650" t="s">
        <v>8</v>
      </c>
      <c r="N650" t="s">
        <v>8</v>
      </c>
      <c r="P650">
        <f t="shared" si="994"/>
        <v>0.56164383561644182</v>
      </c>
      <c r="Q650">
        <f t="shared" si="995"/>
        <v>18313518.582191896</v>
      </c>
      <c r="R650">
        <f t="shared" si="996"/>
        <v>137245726.37137464</v>
      </c>
      <c r="S650">
        <f t="shared" si="997"/>
        <v>1372.4572637137464</v>
      </c>
      <c r="T650">
        <f t="shared" si="998"/>
        <v>1.3724572637137464</v>
      </c>
    </row>
    <row r="651" spans="1:20" x14ac:dyDescent="0.25">
      <c r="A651" s="5">
        <v>43942</v>
      </c>
      <c r="B651">
        <v>1.438E-2</v>
      </c>
      <c r="C651">
        <v>1.468E-2</v>
      </c>
      <c r="D651">
        <v>1.413E-2</v>
      </c>
      <c r="E651">
        <v>1.4409999999999999E-2</v>
      </c>
      <c r="F651">
        <v>31829699.199999999</v>
      </c>
      <c r="G651">
        <v>0</v>
      </c>
      <c r="L651" t="s">
        <v>7</v>
      </c>
      <c r="M651" t="s">
        <v>8</v>
      </c>
      <c r="N651" t="s">
        <v>8</v>
      </c>
      <c r="P651">
        <f t="shared" si="994"/>
        <v>1.8181818181814281E-2</v>
      </c>
      <c r="Q651">
        <f t="shared" si="995"/>
        <v>578721.80363623949</v>
      </c>
      <c r="R651">
        <f t="shared" si="996"/>
        <v>118932207.78918274</v>
      </c>
      <c r="S651">
        <f t="shared" si="997"/>
        <v>1189.3220778918273</v>
      </c>
      <c r="T651">
        <f t="shared" si="998"/>
        <v>1.1893220778918274</v>
      </c>
    </row>
    <row r="652" spans="1:20" x14ac:dyDescent="0.25">
      <c r="A652" s="5">
        <v>43941</v>
      </c>
      <c r="B652">
        <v>1.554E-2</v>
      </c>
      <c r="C652">
        <v>1.5699999999999999E-2</v>
      </c>
      <c r="D652">
        <v>1.4189999999999999E-2</v>
      </c>
      <c r="E652">
        <v>1.438E-2</v>
      </c>
      <c r="F652">
        <v>35474005.899999999</v>
      </c>
      <c r="G652">
        <v>0</v>
      </c>
      <c r="L652" t="s">
        <v>7</v>
      </c>
      <c r="M652" t="s">
        <v>8</v>
      </c>
      <c r="N652" t="s">
        <v>8</v>
      </c>
      <c r="P652">
        <f t="shared" si="994"/>
        <v>-0.74834437086092576</v>
      </c>
      <c r="Q652">
        <f t="shared" si="995"/>
        <v>-26546772.627152268</v>
      </c>
      <c r="R652">
        <f t="shared" si="996"/>
        <v>118353485.9855465</v>
      </c>
      <c r="S652">
        <f t="shared" si="997"/>
        <v>1183.5348598554649</v>
      </c>
      <c r="T652">
        <f t="shared" si="998"/>
        <v>1.1835348598554649</v>
      </c>
    </row>
    <row r="653" spans="1:20" x14ac:dyDescent="0.25">
      <c r="A653" s="5">
        <v>43940</v>
      </c>
      <c r="B653">
        <v>1.5440000000000001E-2</v>
      </c>
      <c r="C653">
        <v>1.5990000000000001E-2</v>
      </c>
      <c r="D653">
        <v>1.499E-2</v>
      </c>
      <c r="E653">
        <v>1.555E-2</v>
      </c>
      <c r="F653">
        <v>35701374.299999997</v>
      </c>
      <c r="G653">
        <v>0</v>
      </c>
      <c r="L653" t="s">
        <v>8</v>
      </c>
      <c r="M653" t="s">
        <v>8</v>
      </c>
      <c r="N653" t="s">
        <v>8</v>
      </c>
      <c r="P653">
        <f t="shared" si="994"/>
        <v>0.11999999999999847</v>
      </c>
      <c r="Q653">
        <f t="shared" si="995"/>
        <v>4284164.9159999453</v>
      </c>
      <c r="R653">
        <f t="shared" si="996"/>
        <v>144900258.61269876</v>
      </c>
      <c r="S653">
        <f t="shared" si="997"/>
        <v>1449.0025861269876</v>
      </c>
      <c r="T653">
        <f t="shared" si="998"/>
        <v>1.4490025861269875</v>
      </c>
    </row>
    <row r="654" spans="1:20" x14ac:dyDescent="0.25">
      <c r="A654" s="5">
        <v>43939</v>
      </c>
      <c r="B654">
        <v>1.5010000000000001E-2</v>
      </c>
      <c r="C654">
        <v>1.558E-2</v>
      </c>
      <c r="D654">
        <v>1.5010000000000001E-2</v>
      </c>
      <c r="E654">
        <v>1.5440000000000001E-2</v>
      </c>
      <c r="F654">
        <v>33356911.300000001</v>
      </c>
      <c r="G654">
        <v>0</v>
      </c>
      <c r="L654" t="s">
        <v>8</v>
      </c>
      <c r="M654" t="s">
        <v>7</v>
      </c>
      <c r="N654" t="s">
        <v>8</v>
      </c>
      <c r="P654">
        <f t="shared" si="994"/>
        <v>0.50877192982456254</v>
      </c>
      <c r="Q654">
        <f t="shared" si="995"/>
        <v>16971060.135087758</v>
      </c>
      <c r="R654">
        <f t="shared" si="996"/>
        <v>140616093.69669881</v>
      </c>
      <c r="S654">
        <f t="shared" si="997"/>
        <v>1406.1609369669882</v>
      </c>
      <c r="T654">
        <f t="shared" si="998"/>
        <v>1.4061609369669881</v>
      </c>
    </row>
    <row r="655" spans="1:20" x14ac:dyDescent="0.25">
      <c r="A655" s="5">
        <v>43938</v>
      </c>
      <c r="B655">
        <v>1.491E-2</v>
      </c>
      <c r="C655">
        <v>1.523E-2</v>
      </c>
      <c r="D655">
        <v>1.469E-2</v>
      </c>
      <c r="E655">
        <v>1.502E-2</v>
      </c>
      <c r="F655">
        <v>35452698.5</v>
      </c>
      <c r="G655">
        <v>0</v>
      </c>
      <c r="L655" t="s">
        <v>8</v>
      </c>
      <c r="M655" t="s">
        <v>7</v>
      </c>
      <c r="N655" t="s">
        <v>8</v>
      </c>
      <c r="P655">
        <f t="shared" si="994"/>
        <v>0.22222222222222257</v>
      </c>
      <c r="Q655">
        <f t="shared" si="995"/>
        <v>7878377.4444444571</v>
      </c>
      <c r="R655">
        <f t="shared" si="996"/>
        <v>123645033.56161106</v>
      </c>
      <c r="S655">
        <f t="shared" si="997"/>
        <v>1236.4503356161106</v>
      </c>
      <c r="T655">
        <f t="shared" si="998"/>
        <v>1.2364503356161105</v>
      </c>
    </row>
    <row r="656" spans="1:20" x14ac:dyDescent="0.25">
      <c r="A656" s="5">
        <v>43937</v>
      </c>
      <c r="B656">
        <v>1.4069999999999999E-2</v>
      </c>
      <c r="C656">
        <v>1.52E-2</v>
      </c>
      <c r="D656">
        <v>1.3520000000000001E-2</v>
      </c>
      <c r="E656">
        <v>1.491E-2</v>
      </c>
      <c r="F656">
        <v>30590456</v>
      </c>
      <c r="G656">
        <v>0</v>
      </c>
      <c r="L656" t="s">
        <v>7</v>
      </c>
      <c r="M656" t="s">
        <v>7</v>
      </c>
      <c r="N656" t="s">
        <v>8</v>
      </c>
      <c r="P656">
        <f t="shared" si="994"/>
        <v>0.65476190476190421</v>
      </c>
      <c r="Q656">
        <f t="shared" si="995"/>
        <v>20029465.23809522</v>
      </c>
      <c r="R656">
        <f t="shared" si="996"/>
        <v>115766656.11716659</v>
      </c>
      <c r="S656">
        <f t="shared" si="997"/>
        <v>1157.666561171666</v>
      </c>
      <c r="T656">
        <f t="shared" si="998"/>
        <v>1.1576665611716659</v>
      </c>
    </row>
    <row r="657" spans="1:20" x14ac:dyDescent="0.25">
      <c r="A657" s="5">
        <v>43936</v>
      </c>
      <c r="B657">
        <v>1.507E-2</v>
      </c>
      <c r="C657">
        <v>1.5180000000000001E-2</v>
      </c>
      <c r="D657">
        <v>1.4069999999999999E-2</v>
      </c>
      <c r="E657">
        <v>1.4109999999999999E-2</v>
      </c>
      <c r="F657">
        <v>26652872.800000001</v>
      </c>
      <c r="G657">
        <v>0</v>
      </c>
      <c r="L657" t="s">
        <v>7</v>
      </c>
      <c r="M657" t="s">
        <v>7</v>
      </c>
      <c r="N657" t="s">
        <v>8</v>
      </c>
      <c r="P657">
        <f t="shared" si="994"/>
        <v>-0.92792792792792789</v>
      </c>
      <c r="Q657">
        <f t="shared" si="995"/>
        <v>-24731945.03063063</v>
      </c>
      <c r="R657">
        <f t="shared" si="996"/>
        <v>95737190.87907137</v>
      </c>
      <c r="S657">
        <f t="shared" si="997"/>
        <v>957.37190879071375</v>
      </c>
      <c r="T657">
        <f t="shared" si="998"/>
        <v>0.95737190879071377</v>
      </c>
    </row>
    <row r="658" spans="1:20" x14ac:dyDescent="0.25">
      <c r="A658" s="5">
        <v>43935</v>
      </c>
      <c r="B658">
        <v>1.4930000000000001E-2</v>
      </c>
      <c r="C658">
        <v>1.5339999999999999E-2</v>
      </c>
      <c r="D658">
        <v>1.47E-2</v>
      </c>
      <c r="E658">
        <v>1.4999999999999999E-2</v>
      </c>
      <c r="F658">
        <v>33895856.899999999</v>
      </c>
      <c r="G658">
        <v>0</v>
      </c>
      <c r="L658" t="s">
        <v>8</v>
      </c>
      <c r="M658" t="s">
        <v>7</v>
      </c>
      <c r="N658" t="s">
        <v>8</v>
      </c>
      <c r="P658">
        <f t="shared" si="994"/>
        <v>-6.2500000000000167E-2</v>
      </c>
      <c r="Q658">
        <f t="shared" si="995"/>
        <v>-2118491.0562500055</v>
      </c>
      <c r="R658">
        <f t="shared" si="996"/>
        <v>120469135.909702</v>
      </c>
      <c r="S658">
        <f t="shared" si="997"/>
        <v>1204.69135909702</v>
      </c>
      <c r="T658">
        <f t="shared" si="998"/>
        <v>1.2046913590970201</v>
      </c>
    </row>
    <row r="659" spans="1:20" x14ac:dyDescent="0.25">
      <c r="A659" s="5">
        <v>43934</v>
      </c>
      <c r="B659">
        <v>1.504E-2</v>
      </c>
      <c r="C659">
        <v>1.516E-2</v>
      </c>
      <c r="D659">
        <v>1.43E-2</v>
      </c>
      <c r="E659">
        <v>1.491E-2</v>
      </c>
      <c r="F659">
        <v>26898494.5</v>
      </c>
      <c r="G659">
        <v>0</v>
      </c>
      <c r="L659" t="s">
        <v>7</v>
      </c>
      <c r="M659" t="s">
        <v>7</v>
      </c>
      <c r="N659" t="s">
        <v>8</v>
      </c>
      <c r="P659">
        <f t="shared" si="994"/>
        <v>0.41860465116278994</v>
      </c>
      <c r="Q659">
        <f t="shared" si="995"/>
        <v>11259834.906976724</v>
      </c>
      <c r="R659">
        <f t="shared" si="996"/>
        <v>122587626.96595201</v>
      </c>
      <c r="S659">
        <f t="shared" si="997"/>
        <v>1225.8762696595202</v>
      </c>
      <c r="T659">
        <f t="shared" si="998"/>
        <v>1.2258762696595202</v>
      </c>
    </row>
    <row r="660" spans="1:20" x14ac:dyDescent="0.25">
      <c r="A660" s="5">
        <v>43933</v>
      </c>
      <c r="B660">
        <v>1.4919999999999999E-2</v>
      </c>
      <c r="C660">
        <v>1.559E-2</v>
      </c>
      <c r="D660">
        <v>1.4749999999999999E-2</v>
      </c>
      <c r="E660">
        <v>1.5049999999999999E-2</v>
      </c>
      <c r="F660">
        <v>30070160.5</v>
      </c>
      <c r="G660">
        <v>0</v>
      </c>
      <c r="L660" t="s">
        <v>8</v>
      </c>
      <c r="M660" t="s">
        <v>7</v>
      </c>
      <c r="N660" t="s">
        <v>8</v>
      </c>
      <c r="P660">
        <f t="shared" si="994"/>
        <v>-0.28571428571428631</v>
      </c>
      <c r="Q660">
        <f t="shared" si="995"/>
        <v>-8591474.4285714459</v>
      </c>
      <c r="R660">
        <f t="shared" si="996"/>
        <v>111327792.05897528</v>
      </c>
      <c r="S660">
        <f t="shared" si="997"/>
        <v>1113.2779205897527</v>
      </c>
      <c r="T660">
        <f t="shared" si="998"/>
        <v>1.1132779205897527</v>
      </c>
    </row>
    <row r="661" spans="1:20" x14ac:dyDescent="0.25">
      <c r="A661" s="5">
        <v>43932</v>
      </c>
      <c r="B661">
        <v>1.487E-2</v>
      </c>
      <c r="C661">
        <v>1.5480000000000001E-2</v>
      </c>
      <c r="D661">
        <v>1.4460000000000001E-2</v>
      </c>
      <c r="E661">
        <v>1.4919999999999999E-2</v>
      </c>
      <c r="F661">
        <v>35032408.899999999</v>
      </c>
      <c r="G661">
        <v>0</v>
      </c>
      <c r="L661" t="s">
        <v>8</v>
      </c>
      <c r="M661" t="s">
        <v>7</v>
      </c>
      <c r="N661" t="s">
        <v>8</v>
      </c>
      <c r="P661">
        <f t="shared" si="994"/>
        <v>-9.8039215686277312E-2</v>
      </c>
      <c r="Q661">
        <f t="shared" si="995"/>
        <v>-3434549.8921569609</v>
      </c>
      <c r="R661">
        <f t="shared" si="996"/>
        <v>119919266.48754673</v>
      </c>
      <c r="S661">
        <f t="shared" si="997"/>
        <v>1199.1926648754672</v>
      </c>
      <c r="T661">
        <f t="shared" si="998"/>
        <v>1.1991926648754672</v>
      </c>
    </row>
    <row r="662" spans="1:20" x14ac:dyDescent="0.25">
      <c r="A662" s="5">
        <v>43931</v>
      </c>
      <c r="B662">
        <v>1.6760000000000001E-2</v>
      </c>
      <c r="C662">
        <v>1.6760000000000001E-2</v>
      </c>
      <c r="D662">
        <v>1.4290000000000001E-2</v>
      </c>
      <c r="E662">
        <v>1.487E-2</v>
      </c>
      <c r="F662">
        <v>43210748.600000001</v>
      </c>
      <c r="G662">
        <v>0</v>
      </c>
      <c r="L662" t="s">
        <v>7</v>
      </c>
      <c r="M662" t="s">
        <v>7</v>
      </c>
      <c r="N662" t="s">
        <v>8</v>
      </c>
      <c r="P662">
        <f t="shared" si="994"/>
        <v>-0.53036437246963652</v>
      </c>
      <c r="Q662">
        <f t="shared" si="995"/>
        <v>-22917441.565182228</v>
      </c>
      <c r="R662">
        <f t="shared" si="996"/>
        <v>123353816.37970369</v>
      </c>
      <c r="S662">
        <f t="shared" si="997"/>
        <v>1233.5381637970368</v>
      </c>
      <c r="T662">
        <f t="shared" si="998"/>
        <v>1.2335381637970368</v>
      </c>
    </row>
    <row r="663" spans="1:20" x14ac:dyDescent="0.25">
      <c r="A663" s="5">
        <v>43930</v>
      </c>
      <c r="B663">
        <v>1.6060000000000001E-2</v>
      </c>
      <c r="C663">
        <v>1.7489999999999999E-2</v>
      </c>
      <c r="D663">
        <v>1.566E-2</v>
      </c>
      <c r="E663">
        <v>1.67E-2</v>
      </c>
      <c r="F663">
        <v>54838321.600000001</v>
      </c>
      <c r="G663">
        <v>0</v>
      </c>
      <c r="L663" t="s">
        <v>8</v>
      </c>
      <c r="M663" t="s">
        <v>8</v>
      </c>
      <c r="N663" t="s">
        <v>8</v>
      </c>
      <c r="P663">
        <f t="shared" si="994"/>
        <v>0.13661202185792373</v>
      </c>
      <c r="Q663">
        <f t="shared" si="995"/>
        <v>7491573.9890710516</v>
      </c>
      <c r="R663">
        <f t="shared" si="996"/>
        <v>146271257.94488591</v>
      </c>
      <c r="S663">
        <f t="shared" si="997"/>
        <v>1462.7125794488591</v>
      </c>
      <c r="T663">
        <f t="shared" si="998"/>
        <v>1.4627125794488591</v>
      </c>
    </row>
    <row r="664" spans="1:20" x14ac:dyDescent="0.25">
      <c r="A664" s="5">
        <v>43929</v>
      </c>
      <c r="B664">
        <v>1.5640000000000001E-2</v>
      </c>
      <c r="C664">
        <v>1.617E-2</v>
      </c>
      <c r="D664">
        <v>1.5310000000000001E-2</v>
      </c>
      <c r="E664">
        <v>1.609E-2</v>
      </c>
      <c r="F664">
        <v>37064870.399999999</v>
      </c>
      <c r="G664">
        <v>0</v>
      </c>
      <c r="L664" t="s">
        <v>7</v>
      </c>
      <c r="M664" t="s">
        <v>8</v>
      </c>
      <c r="N664" t="s">
        <v>8</v>
      </c>
      <c r="P664">
        <f t="shared" si="994"/>
        <v>0.81395348837209247</v>
      </c>
      <c r="Q664">
        <f t="shared" si="995"/>
        <v>30169080.558139514</v>
      </c>
      <c r="R664">
        <f t="shared" si="996"/>
        <v>138779683.95581487</v>
      </c>
      <c r="S664">
        <f t="shared" si="997"/>
        <v>1387.7968395581486</v>
      </c>
      <c r="T664">
        <f t="shared" si="998"/>
        <v>1.3877968395581486</v>
      </c>
    </row>
    <row r="665" spans="1:20" x14ac:dyDescent="0.25">
      <c r="A665" s="5">
        <v>43928</v>
      </c>
      <c r="B665">
        <v>1.566E-2</v>
      </c>
      <c r="C665">
        <v>1.643E-2</v>
      </c>
      <c r="D665">
        <v>1.507E-2</v>
      </c>
      <c r="E665">
        <v>1.5640000000000001E-2</v>
      </c>
      <c r="F665">
        <v>36604601.799999997</v>
      </c>
      <c r="G665">
        <v>0</v>
      </c>
      <c r="L665" t="s">
        <v>8</v>
      </c>
      <c r="M665" t="s">
        <v>8</v>
      </c>
      <c r="N665" t="s">
        <v>8</v>
      </c>
      <c r="P665">
        <f t="shared" si="994"/>
        <v>-0.16176470588235145</v>
      </c>
      <c r="Q665">
        <f t="shared" si="995"/>
        <v>-5921332.6441175919</v>
      </c>
      <c r="R665">
        <f t="shared" si="996"/>
        <v>108610603.39767535</v>
      </c>
      <c r="S665">
        <f t="shared" si="997"/>
        <v>1086.1060339767535</v>
      </c>
      <c r="T665">
        <f t="shared" si="998"/>
        <v>1.0861060339767534</v>
      </c>
    </row>
    <row r="666" spans="1:20" x14ac:dyDescent="0.25">
      <c r="A666" s="5">
        <v>43927</v>
      </c>
      <c r="B666">
        <v>1.431E-2</v>
      </c>
      <c r="C666">
        <v>1.5820000000000001E-2</v>
      </c>
      <c r="D666">
        <v>1.431E-2</v>
      </c>
      <c r="E666">
        <v>1.5730000000000001E-2</v>
      </c>
      <c r="F666">
        <v>36436554.100000001</v>
      </c>
      <c r="G666">
        <v>0</v>
      </c>
      <c r="L666" t="s">
        <v>8</v>
      </c>
      <c r="M666" t="s">
        <v>8</v>
      </c>
      <c r="N666" t="s">
        <v>8</v>
      </c>
      <c r="P666">
        <f t="shared" si="994"/>
        <v>0.88079470198675525</v>
      </c>
      <c r="Q666">
        <f t="shared" si="995"/>
        <v>32093123.809933785</v>
      </c>
      <c r="R666">
        <f t="shared" si="996"/>
        <v>114531936.04179294</v>
      </c>
      <c r="S666">
        <f t="shared" si="997"/>
        <v>1145.3193604179294</v>
      </c>
      <c r="T666">
        <f t="shared" si="998"/>
        <v>1.1453193604179295</v>
      </c>
    </row>
    <row r="667" spans="1:20" x14ac:dyDescent="0.25">
      <c r="A667" s="5">
        <v>43926</v>
      </c>
      <c r="B667">
        <v>1.4829999999999999E-2</v>
      </c>
      <c r="C667">
        <v>1.4999999999999999E-2</v>
      </c>
      <c r="D667">
        <v>1.43E-2</v>
      </c>
      <c r="E667">
        <v>1.4370000000000001E-2</v>
      </c>
      <c r="F667">
        <v>25997143.899999999</v>
      </c>
      <c r="G667">
        <v>0</v>
      </c>
      <c r="L667" t="s">
        <v>8</v>
      </c>
      <c r="M667" t="s">
        <v>8</v>
      </c>
      <c r="N667" t="s">
        <v>8</v>
      </c>
      <c r="P667">
        <f t="shared" si="994"/>
        <v>-0.79999999999999805</v>
      </c>
      <c r="Q667">
        <f t="shared" si="995"/>
        <v>-20797715.119999949</v>
      </c>
      <c r="R667">
        <f t="shared" si="996"/>
        <v>82438812.231859162</v>
      </c>
      <c r="S667">
        <f t="shared" si="997"/>
        <v>824.38812231859163</v>
      </c>
      <c r="T667">
        <f t="shared" si="998"/>
        <v>0.8243881223185916</v>
      </c>
    </row>
    <row r="668" spans="1:20" x14ac:dyDescent="0.25">
      <c r="A668" s="5">
        <v>43925</v>
      </c>
      <c r="B668">
        <v>1.448E-2</v>
      </c>
      <c r="C668">
        <v>1.5010000000000001E-2</v>
      </c>
      <c r="D668">
        <v>1.434E-2</v>
      </c>
      <c r="E668">
        <v>1.478E-2</v>
      </c>
      <c r="F668">
        <v>32930655.399999999</v>
      </c>
      <c r="G668">
        <v>0</v>
      </c>
      <c r="L668" t="s">
        <v>8</v>
      </c>
      <c r="M668" t="s">
        <v>8</v>
      </c>
      <c r="N668" t="s">
        <v>8</v>
      </c>
      <c r="P668">
        <f t="shared" si="994"/>
        <v>0.31343283582089287</v>
      </c>
      <c r="Q668">
        <f t="shared" si="995"/>
        <v>10321548.7074626</v>
      </c>
      <c r="R668">
        <f t="shared" si="996"/>
        <v>103236527.35185911</v>
      </c>
      <c r="S668">
        <f t="shared" si="997"/>
        <v>1032.365273518591</v>
      </c>
      <c r="T668">
        <f t="shared" si="998"/>
        <v>1.0323652735185911</v>
      </c>
    </row>
    <row r="669" spans="1:20" x14ac:dyDescent="0.25">
      <c r="A669" s="5">
        <v>43924</v>
      </c>
      <c r="B669">
        <v>1.4460000000000001E-2</v>
      </c>
      <c r="C669">
        <v>1.49E-2</v>
      </c>
      <c r="D669">
        <v>1.422E-2</v>
      </c>
      <c r="E669">
        <v>1.447E-2</v>
      </c>
      <c r="F669">
        <v>40123082.5</v>
      </c>
      <c r="G669">
        <v>0</v>
      </c>
      <c r="L669" t="s">
        <v>8</v>
      </c>
      <c r="M669" t="s">
        <v>8</v>
      </c>
      <c r="N669" t="s">
        <v>8</v>
      </c>
      <c r="P669">
        <f t="shared" si="994"/>
        <v>-0.26470588235294057</v>
      </c>
      <c r="Q669">
        <f t="shared" si="995"/>
        <v>-10620815.955882329</v>
      </c>
      <c r="R669">
        <f t="shared" si="996"/>
        <v>92914978.644396514</v>
      </c>
      <c r="S669">
        <f t="shared" si="997"/>
        <v>929.14978644396513</v>
      </c>
      <c r="T669">
        <f t="shared" si="998"/>
        <v>0.92914978644396518</v>
      </c>
    </row>
    <row r="670" spans="1:20" x14ac:dyDescent="0.25">
      <c r="A670" s="5">
        <v>43923</v>
      </c>
      <c r="B670">
        <v>1.414E-2</v>
      </c>
      <c r="C670">
        <v>1.516E-2</v>
      </c>
      <c r="D670">
        <v>1.393E-2</v>
      </c>
      <c r="E670">
        <v>1.4460000000000001E-2</v>
      </c>
      <c r="F670">
        <v>40369521.5</v>
      </c>
      <c r="G670">
        <v>0</v>
      </c>
      <c r="L670" t="s">
        <v>8</v>
      </c>
      <c r="M670" t="s">
        <v>8</v>
      </c>
      <c r="N670" t="s">
        <v>8</v>
      </c>
      <c r="P670">
        <f t="shared" si="994"/>
        <v>-0.13821138211381973</v>
      </c>
      <c r="Q670">
        <f t="shared" si="995"/>
        <v>-5579527.3617885606</v>
      </c>
      <c r="R670">
        <f t="shared" si="996"/>
        <v>103535794.60027884</v>
      </c>
      <c r="S670">
        <f t="shared" si="997"/>
        <v>1035.3579460027884</v>
      </c>
      <c r="T670">
        <f t="shared" si="998"/>
        <v>1.0353579460027884</v>
      </c>
    </row>
    <row r="671" spans="1:20" x14ac:dyDescent="0.25">
      <c r="A671" s="5">
        <v>43922</v>
      </c>
      <c r="B671">
        <v>1.4030000000000001E-2</v>
      </c>
      <c r="C671">
        <v>1.4330000000000001E-2</v>
      </c>
      <c r="D671">
        <v>1.341E-2</v>
      </c>
      <c r="E671">
        <v>1.4109999999999999E-2</v>
      </c>
      <c r="F671">
        <v>30264308.800000001</v>
      </c>
      <c r="G671">
        <v>0</v>
      </c>
      <c r="L671" t="s">
        <v>8</v>
      </c>
      <c r="M671" t="s">
        <v>7</v>
      </c>
      <c r="N671" t="s">
        <v>8</v>
      </c>
      <c r="P671">
        <f t="shared" si="994"/>
        <v>0.52173913043477982</v>
      </c>
      <c r="Q671">
        <f t="shared" si="995"/>
        <v>15790074.156521656</v>
      </c>
      <c r="R671">
        <f t="shared" si="996"/>
        <v>109115321.9620674</v>
      </c>
      <c r="S671">
        <f t="shared" si="997"/>
        <v>1091.153219620674</v>
      </c>
      <c r="T671">
        <f t="shared" si="998"/>
        <v>1.0911532196206739</v>
      </c>
    </row>
    <row r="672" spans="1:20" x14ac:dyDescent="0.25">
      <c r="A672" s="5">
        <v>43921</v>
      </c>
      <c r="B672">
        <v>1.3780000000000001E-2</v>
      </c>
      <c r="C672">
        <v>1.4200000000000001E-2</v>
      </c>
      <c r="D672">
        <v>1.37E-2</v>
      </c>
      <c r="E672">
        <v>1.404E-2</v>
      </c>
      <c r="F672">
        <v>43466171.299999997</v>
      </c>
      <c r="G672">
        <v>0</v>
      </c>
      <c r="L672" t="s">
        <v>8</v>
      </c>
      <c r="M672" t="s">
        <v>7</v>
      </c>
      <c r="N672" t="s">
        <v>8</v>
      </c>
      <c r="P672">
        <f t="shared" si="994"/>
        <v>0.35999999999999888</v>
      </c>
      <c r="Q672">
        <f t="shared" si="995"/>
        <v>15647821.667999949</v>
      </c>
      <c r="R672">
        <f t="shared" si="996"/>
        <v>93325247.805545747</v>
      </c>
      <c r="S672">
        <f t="shared" si="997"/>
        <v>933.25247805545746</v>
      </c>
      <c r="T672">
        <f t="shared" si="998"/>
        <v>0.93325247805545741</v>
      </c>
    </row>
    <row r="673" spans="1:20" x14ac:dyDescent="0.25">
      <c r="A673" s="5">
        <v>43920</v>
      </c>
      <c r="B673">
        <v>1.2500000000000001E-2</v>
      </c>
      <c r="C673">
        <v>1.43E-2</v>
      </c>
      <c r="D673">
        <v>1.239E-2</v>
      </c>
      <c r="E673">
        <v>1.3809999999999999E-2</v>
      </c>
      <c r="F673">
        <v>46390496.899999999</v>
      </c>
      <c r="G673">
        <v>0</v>
      </c>
      <c r="L673" t="s">
        <v>8</v>
      </c>
      <c r="M673" t="s">
        <v>7</v>
      </c>
      <c r="N673" t="s">
        <v>8</v>
      </c>
      <c r="P673">
        <f t="shared" si="994"/>
        <v>0.48691099476439709</v>
      </c>
      <c r="Q673">
        <f t="shared" si="995"/>
        <v>22588042.993193679</v>
      </c>
      <c r="R673">
        <f t="shared" si="996"/>
        <v>77677426.137545794</v>
      </c>
      <c r="S673">
        <f t="shared" si="997"/>
        <v>776.77426137545797</v>
      </c>
      <c r="T673">
        <f t="shared" si="998"/>
        <v>0.77677426137545802</v>
      </c>
    </row>
    <row r="674" spans="1:20" x14ac:dyDescent="0.25">
      <c r="A674" s="5">
        <v>43919</v>
      </c>
      <c r="B674">
        <v>1.357E-2</v>
      </c>
      <c r="C674">
        <v>1.374E-2</v>
      </c>
      <c r="D674">
        <v>1.2500000000000001E-2</v>
      </c>
      <c r="E674">
        <v>1.2500000000000001E-2</v>
      </c>
      <c r="F674">
        <v>54464918.299999997</v>
      </c>
      <c r="G674">
        <v>0</v>
      </c>
      <c r="L674" t="s">
        <v>7</v>
      </c>
      <c r="M674" t="s">
        <v>7</v>
      </c>
      <c r="N674" t="s">
        <v>8</v>
      </c>
      <c r="P674">
        <f t="shared" si="994"/>
        <v>-1</v>
      </c>
      <c r="Q674">
        <f t="shared" si="995"/>
        <v>-54464918.299999997</v>
      </c>
      <c r="R674">
        <f t="shared" si="996"/>
        <v>55089383.144352108</v>
      </c>
      <c r="S674">
        <f t="shared" si="997"/>
        <v>550.89383144352109</v>
      </c>
      <c r="T674">
        <f t="shared" si="998"/>
        <v>0.55089383144352111</v>
      </c>
    </row>
    <row r="675" spans="1:20" x14ac:dyDescent="0.25">
      <c r="A675" s="5">
        <v>43918</v>
      </c>
      <c r="B675">
        <v>1.4E-2</v>
      </c>
      <c r="C675">
        <v>1.4E-2</v>
      </c>
      <c r="D675">
        <v>1.282E-2</v>
      </c>
      <c r="E675">
        <v>1.354E-2</v>
      </c>
      <c r="F675">
        <v>55656203.200000003</v>
      </c>
      <c r="G675">
        <v>0</v>
      </c>
      <c r="L675" t="s">
        <v>7</v>
      </c>
      <c r="M675" t="s">
        <v>7</v>
      </c>
      <c r="N675" t="s">
        <v>8</v>
      </c>
      <c r="P675">
        <f t="shared" si="994"/>
        <v>0.2203389830508472</v>
      </c>
      <c r="Q675">
        <f t="shared" si="995"/>
        <v>12263231.213559309</v>
      </c>
      <c r="R675">
        <f t="shared" si="996"/>
        <v>109554301.44435211</v>
      </c>
      <c r="S675">
        <f t="shared" si="997"/>
        <v>1095.5430144435211</v>
      </c>
      <c r="T675">
        <f t="shared" si="998"/>
        <v>1.095543014443521</v>
      </c>
    </row>
    <row r="676" spans="1:20" x14ac:dyDescent="0.25">
      <c r="A676" s="5">
        <v>43917</v>
      </c>
      <c r="B676">
        <v>1.4330000000000001E-2</v>
      </c>
      <c r="C676">
        <v>1.5709999999999998E-2</v>
      </c>
      <c r="D676">
        <v>1.379E-2</v>
      </c>
      <c r="E676">
        <v>1.405E-2</v>
      </c>
      <c r="F676">
        <v>68150639.200000003</v>
      </c>
      <c r="G676">
        <v>0</v>
      </c>
      <c r="L676" t="s">
        <v>8</v>
      </c>
      <c r="M676" t="s">
        <v>8</v>
      </c>
      <c r="N676" t="s">
        <v>8</v>
      </c>
      <c r="P676">
        <f t="shared" si="994"/>
        <v>-0.72916666666666663</v>
      </c>
      <c r="Q676">
        <f t="shared" si="995"/>
        <v>-49693174.416666664</v>
      </c>
      <c r="R676">
        <f t="shared" si="996"/>
        <v>97291070.230792791</v>
      </c>
      <c r="S676">
        <f t="shared" si="997"/>
        <v>972.91070230792786</v>
      </c>
      <c r="T676">
        <f t="shared" si="998"/>
        <v>0.97291070230792787</v>
      </c>
    </row>
    <row r="677" spans="1:20" x14ac:dyDescent="0.25">
      <c r="A677" s="5">
        <v>43916</v>
      </c>
      <c r="B677">
        <v>1.436E-2</v>
      </c>
      <c r="C677">
        <v>1.4500000000000001E-2</v>
      </c>
      <c r="D677">
        <v>1.362E-2</v>
      </c>
      <c r="E677">
        <v>1.4290000000000001E-2</v>
      </c>
      <c r="F677">
        <v>44779379.899999999</v>
      </c>
      <c r="G677">
        <v>0</v>
      </c>
      <c r="L677" t="s">
        <v>8</v>
      </c>
      <c r="M677" t="s">
        <v>8</v>
      </c>
      <c r="N677" t="s">
        <v>8</v>
      </c>
      <c r="P677">
        <f t="shared" si="994"/>
        <v>0.52272727272727282</v>
      </c>
      <c r="Q677">
        <f t="shared" si="995"/>
        <v>23407403.129545458</v>
      </c>
      <c r="R677">
        <f t="shared" si="996"/>
        <v>146984244.64745945</v>
      </c>
      <c r="S677">
        <f t="shared" si="997"/>
        <v>1469.8424464745945</v>
      </c>
      <c r="T677">
        <f t="shared" si="998"/>
        <v>1.4698424464745945</v>
      </c>
    </row>
    <row r="678" spans="1:20" x14ac:dyDescent="0.25">
      <c r="A678" s="5">
        <v>43915</v>
      </c>
      <c r="B678">
        <v>1.3679999999999999E-2</v>
      </c>
      <c r="C678">
        <v>1.447E-2</v>
      </c>
      <c r="D678">
        <v>1.3129999999999999E-2</v>
      </c>
      <c r="E678">
        <v>1.43E-2</v>
      </c>
      <c r="F678">
        <v>48952537.799999997</v>
      </c>
      <c r="G678">
        <v>0</v>
      </c>
      <c r="L678" t="s">
        <v>8</v>
      </c>
      <c r="M678" t="s">
        <v>8</v>
      </c>
      <c r="N678" t="s">
        <v>8</v>
      </c>
      <c r="P678">
        <f t="shared" si="994"/>
        <v>0.74626865671641807</v>
      </c>
      <c r="Q678">
        <f t="shared" si="995"/>
        <v>36531744.626865678</v>
      </c>
      <c r="R678">
        <f t="shared" si="996"/>
        <v>123576841.517914</v>
      </c>
      <c r="S678">
        <f t="shared" si="997"/>
        <v>1235.76841517914</v>
      </c>
      <c r="T678">
        <f t="shared" si="998"/>
        <v>1.2357684151791399</v>
      </c>
    </row>
    <row r="679" spans="1:20" x14ac:dyDescent="0.25">
      <c r="A679" s="5">
        <v>43914</v>
      </c>
      <c r="B679">
        <v>1.3480000000000001E-2</v>
      </c>
      <c r="C679">
        <v>1.44E-2</v>
      </c>
      <c r="D679">
        <v>1.298E-2</v>
      </c>
      <c r="E679">
        <v>1.374E-2</v>
      </c>
      <c r="F679">
        <v>64383859.600000001</v>
      </c>
      <c r="G679">
        <v>0</v>
      </c>
      <c r="L679" t="s">
        <v>8</v>
      </c>
      <c r="M679" t="s">
        <v>8</v>
      </c>
      <c r="N679" t="s">
        <v>8</v>
      </c>
      <c r="P679">
        <f t="shared" si="994"/>
        <v>7.0422535211268428E-2</v>
      </c>
      <c r="Q679">
        <f t="shared" si="995"/>
        <v>4534074.6197183626</v>
      </c>
      <c r="R679">
        <f t="shared" si="996"/>
        <v>87045096.891048327</v>
      </c>
      <c r="S679">
        <f t="shared" si="997"/>
        <v>870.45096891048331</v>
      </c>
      <c r="T679">
        <f t="shared" si="998"/>
        <v>0.87045096891048335</v>
      </c>
    </row>
    <row r="680" spans="1:20" x14ac:dyDescent="0.25">
      <c r="A680" s="5">
        <v>43913</v>
      </c>
      <c r="B680">
        <v>1.183E-2</v>
      </c>
      <c r="C680">
        <v>1.354E-2</v>
      </c>
      <c r="D680">
        <v>1.15E-2</v>
      </c>
      <c r="E680">
        <v>1.3480000000000001E-2</v>
      </c>
      <c r="F680">
        <v>69875083.099999994</v>
      </c>
      <c r="G680">
        <v>0</v>
      </c>
      <c r="L680" t="s">
        <v>8</v>
      </c>
      <c r="M680" t="s">
        <v>7</v>
      </c>
      <c r="N680" t="s">
        <v>8</v>
      </c>
      <c r="P680">
        <f t="shared" si="994"/>
        <v>0.94117647058823595</v>
      </c>
      <c r="Q680">
        <f t="shared" si="995"/>
        <v>65764784.094117686</v>
      </c>
      <c r="R680">
        <f t="shared" si="996"/>
        <v>82511022.271329969</v>
      </c>
      <c r="S680">
        <f t="shared" si="997"/>
        <v>825.11022271329966</v>
      </c>
      <c r="T680">
        <f t="shared" si="998"/>
        <v>0.8251102227132997</v>
      </c>
    </row>
    <row r="681" spans="1:20" x14ac:dyDescent="0.25">
      <c r="A681" s="5">
        <v>43912</v>
      </c>
      <c r="B681">
        <v>1.3440000000000001E-2</v>
      </c>
      <c r="C681">
        <v>1.3899999999999999E-2</v>
      </c>
      <c r="D681">
        <v>1.1599999999999999E-2</v>
      </c>
      <c r="E681">
        <v>1.187E-2</v>
      </c>
      <c r="F681">
        <v>73169229.5</v>
      </c>
      <c r="G681">
        <v>0</v>
      </c>
      <c r="L681" t="s">
        <v>7</v>
      </c>
      <c r="M681" t="s">
        <v>7</v>
      </c>
      <c r="N681" t="s">
        <v>8</v>
      </c>
      <c r="P681">
        <f t="shared" si="994"/>
        <v>-0.76521739130434685</v>
      </c>
      <c r="Q681">
        <f t="shared" si="995"/>
        <v>-55990366.921739057</v>
      </c>
      <c r="R681">
        <f t="shared" si="996"/>
        <v>16746238.177212283</v>
      </c>
      <c r="S681">
        <f t="shared" si="997"/>
        <v>167.46238177212282</v>
      </c>
      <c r="T681">
        <f t="shared" si="998"/>
        <v>0.16746238177212283</v>
      </c>
    </row>
    <row r="682" spans="1:20" x14ac:dyDescent="0.25">
      <c r="A682" s="5">
        <v>43911</v>
      </c>
      <c r="B682">
        <v>1.315E-2</v>
      </c>
      <c r="C682">
        <v>1.3939999999999999E-2</v>
      </c>
      <c r="D682">
        <v>1.2160000000000001E-2</v>
      </c>
      <c r="E682">
        <v>1.353E-2</v>
      </c>
      <c r="F682">
        <v>64081286.100000001</v>
      </c>
      <c r="G682">
        <v>0</v>
      </c>
      <c r="L682" t="s">
        <v>7</v>
      </c>
      <c r="M682" t="s">
        <v>7</v>
      </c>
      <c r="N682" t="s">
        <v>8</v>
      </c>
      <c r="P682">
        <f t="shared" si="994"/>
        <v>0.53932584269663009</v>
      </c>
      <c r="Q682">
        <f t="shared" si="995"/>
        <v>34560693.62696635</v>
      </c>
      <c r="R682">
        <f t="shared" si="996"/>
        <v>72736605.09895134</v>
      </c>
      <c r="S682">
        <f t="shared" si="997"/>
        <v>727.36605098951338</v>
      </c>
      <c r="T682">
        <f t="shared" si="998"/>
        <v>0.72736605098951335</v>
      </c>
    </row>
    <row r="683" spans="1:20" x14ac:dyDescent="0.25">
      <c r="A683" s="5">
        <v>43910</v>
      </c>
      <c r="B683">
        <v>1.272E-2</v>
      </c>
      <c r="C683">
        <v>1.5469999999999999E-2</v>
      </c>
      <c r="D683">
        <v>1.15E-2</v>
      </c>
      <c r="E683">
        <v>1.311E-2</v>
      </c>
      <c r="F683">
        <v>91528380.5</v>
      </c>
      <c r="G683">
        <v>0</v>
      </c>
      <c r="L683" t="s">
        <v>8</v>
      </c>
      <c r="M683" t="s">
        <v>8</v>
      </c>
      <c r="N683" t="s">
        <v>8</v>
      </c>
      <c r="P683">
        <f t="shared" si="994"/>
        <v>-0.18891687657430706</v>
      </c>
      <c r="Q683">
        <f t="shared" si="995"/>
        <v>-17291255.761964712</v>
      </c>
      <c r="R683">
        <f t="shared" si="996"/>
        <v>38175911.471984997</v>
      </c>
      <c r="S683">
        <f t="shared" si="997"/>
        <v>381.75911471984995</v>
      </c>
      <c r="T683">
        <f t="shared" si="998"/>
        <v>0.38175911471984997</v>
      </c>
    </row>
    <row r="684" spans="1:20" x14ac:dyDescent="0.25">
      <c r="A684" s="5">
        <v>43909</v>
      </c>
      <c r="B684">
        <v>1.0999999999999999E-2</v>
      </c>
      <c r="C684">
        <v>1.3350000000000001E-2</v>
      </c>
      <c r="D684">
        <v>1.0959999999999999E-2</v>
      </c>
      <c r="E684">
        <v>1.264E-2</v>
      </c>
      <c r="F684">
        <v>97470532.5</v>
      </c>
      <c r="G684">
        <v>0</v>
      </c>
      <c r="L684" t="s">
        <v>8</v>
      </c>
      <c r="M684" t="s">
        <v>8</v>
      </c>
      <c r="N684" t="s">
        <v>8</v>
      </c>
      <c r="P684">
        <f t="shared" si="994"/>
        <v>0.40585774058577395</v>
      </c>
      <c r="Q684">
        <f t="shared" si="995"/>
        <v>39559170.094142251</v>
      </c>
      <c r="R684">
        <f t="shared" si="996"/>
        <v>55467167.233949713</v>
      </c>
      <c r="S684">
        <f t="shared" si="997"/>
        <v>554.67167233949715</v>
      </c>
      <c r="T684">
        <f t="shared" si="998"/>
        <v>0.5546716723394971</v>
      </c>
    </row>
    <row r="685" spans="1:20" x14ac:dyDescent="0.25">
      <c r="A685" s="5">
        <v>43908</v>
      </c>
      <c r="B685">
        <v>1.0880000000000001E-2</v>
      </c>
      <c r="C685">
        <v>1.1089999999999999E-2</v>
      </c>
      <c r="D685">
        <v>9.8700000000000003E-3</v>
      </c>
      <c r="E685">
        <v>1.0919999999999999E-2</v>
      </c>
      <c r="F685">
        <v>77820189.299999997</v>
      </c>
      <c r="G685">
        <v>0</v>
      </c>
      <c r="L685" t="s">
        <v>7</v>
      </c>
      <c r="M685" t="s">
        <v>7</v>
      </c>
      <c r="N685" t="s">
        <v>7</v>
      </c>
      <c r="P685">
        <f t="shared" si="994"/>
        <v>0.72131147540983576</v>
      </c>
      <c r="Q685">
        <f t="shared" si="995"/>
        <v>56132595.560655713</v>
      </c>
      <c r="R685">
        <f t="shared" si="996"/>
        <v>15907997.139807463</v>
      </c>
      <c r="S685">
        <f t="shared" si="997"/>
        <v>159.07997139807463</v>
      </c>
      <c r="T685">
        <f t="shared" si="998"/>
        <v>0.15907997139807464</v>
      </c>
    </row>
    <row r="686" spans="1:20" x14ac:dyDescent="0.25">
      <c r="A686" s="5">
        <v>43907</v>
      </c>
      <c r="B686">
        <v>9.9000000000000008E-3</v>
      </c>
      <c r="C686">
        <v>1.1950000000000001E-2</v>
      </c>
      <c r="D686">
        <v>9.6399999999999993E-3</v>
      </c>
      <c r="E686">
        <v>1.0880000000000001E-2</v>
      </c>
      <c r="F686">
        <v>99596788.5</v>
      </c>
      <c r="G686">
        <v>0</v>
      </c>
      <c r="L686" t="s">
        <v>8</v>
      </c>
      <c r="M686" t="s">
        <v>8</v>
      </c>
      <c r="N686" t="s">
        <v>7</v>
      </c>
      <c r="P686">
        <f t="shared" si="994"/>
        <v>7.3593073593074307E-2</v>
      </c>
      <c r="Q686">
        <f t="shared" si="995"/>
        <v>7329633.7857143572</v>
      </c>
      <c r="R686">
        <f t="shared" si="996"/>
        <v>-40224598.42084825</v>
      </c>
      <c r="S686">
        <f t="shared" si="997"/>
        <v>-402.24598420848253</v>
      </c>
      <c r="T686">
        <f t="shared" si="998"/>
        <v>-0.40224598420848251</v>
      </c>
    </row>
    <row r="687" spans="1:20" x14ac:dyDescent="0.25">
      <c r="A687" s="5">
        <v>43906</v>
      </c>
      <c r="B687">
        <v>1.1469999999999999E-2</v>
      </c>
      <c r="C687">
        <v>1.1860000000000001E-2</v>
      </c>
      <c r="D687">
        <v>8.9200000000000008E-3</v>
      </c>
      <c r="E687">
        <v>9.8700000000000003E-3</v>
      </c>
      <c r="F687">
        <v>43222422</v>
      </c>
      <c r="G687">
        <v>0</v>
      </c>
      <c r="L687" t="s">
        <v>7</v>
      </c>
      <c r="M687" t="s">
        <v>7</v>
      </c>
      <c r="N687" t="s">
        <v>7</v>
      </c>
      <c r="P687">
        <f t="shared" si="994"/>
        <v>-0.35374149659863979</v>
      </c>
      <c r="Q687">
        <f t="shared" si="995"/>
        <v>-15289564.244897975</v>
      </c>
      <c r="R687">
        <f t="shared" si="996"/>
        <v>-47554232.206562608</v>
      </c>
      <c r="S687">
        <f t="shared" si="997"/>
        <v>-475.54232206562608</v>
      </c>
      <c r="T687">
        <f t="shared" si="998"/>
        <v>-0.47554232206562608</v>
      </c>
    </row>
    <row r="688" spans="1:20" x14ac:dyDescent="0.25">
      <c r="A688" s="5">
        <v>43905</v>
      </c>
      <c r="B688">
        <v>1.12E-2</v>
      </c>
      <c r="C688">
        <v>1.2999999999999999E-2</v>
      </c>
      <c r="D688">
        <v>1.085E-2</v>
      </c>
      <c r="E688">
        <v>1.1469999999999999E-2</v>
      </c>
      <c r="F688">
        <v>38636324.100000001</v>
      </c>
      <c r="G688">
        <v>0</v>
      </c>
      <c r="L688" t="s">
        <v>7</v>
      </c>
      <c r="M688" t="s">
        <v>7</v>
      </c>
      <c r="N688" t="s">
        <v>8</v>
      </c>
      <c r="P688">
        <f t="shared" si="994"/>
        <v>-0.42325581395348905</v>
      </c>
      <c r="Q688">
        <f t="shared" si="995"/>
        <v>-16353048.805116305</v>
      </c>
      <c r="R688">
        <f t="shared" si="996"/>
        <v>-32264667.961664632</v>
      </c>
      <c r="S688">
        <f t="shared" si="997"/>
        <v>-322.64667961664634</v>
      </c>
      <c r="T688">
        <f t="shared" si="998"/>
        <v>-0.32264667961664634</v>
      </c>
    </row>
    <row r="689" spans="1:20" x14ac:dyDescent="0.25">
      <c r="A689" s="5">
        <v>43904</v>
      </c>
      <c r="B689">
        <v>1.2460000000000001E-2</v>
      </c>
      <c r="C689">
        <v>1.308E-2</v>
      </c>
      <c r="D689">
        <v>1.0699999999999999E-2</v>
      </c>
      <c r="E689">
        <v>1.116E-2</v>
      </c>
      <c r="F689">
        <v>31329199.800000001</v>
      </c>
      <c r="G689">
        <v>0</v>
      </c>
      <c r="L689" t="s">
        <v>8</v>
      </c>
      <c r="M689" t="s">
        <v>8</v>
      </c>
      <c r="N689" t="s">
        <v>8</v>
      </c>
      <c r="P689">
        <f t="shared" si="994"/>
        <v>-0.61344537815126021</v>
      </c>
      <c r="Q689">
        <f t="shared" si="995"/>
        <v>-19218752.818487387</v>
      </c>
      <c r="R689">
        <f t="shared" si="996"/>
        <v>-15911619.156548325</v>
      </c>
      <c r="S689">
        <f t="shared" si="997"/>
        <v>-159.11619156548326</v>
      </c>
      <c r="T689">
        <f t="shared" si="998"/>
        <v>-0.15911619156548326</v>
      </c>
    </row>
    <row r="690" spans="1:20" x14ac:dyDescent="0.25">
      <c r="A690" s="5">
        <v>43903</v>
      </c>
      <c r="B690">
        <v>1.076E-2</v>
      </c>
      <c r="C690">
        <v>1.4030000000000001E-2</v>
      </c>
      <c r="D690">
        <v>7.3499999999999998E-3</v>
      </c>
      <c r="E690">
        <v>1.2619999999999999E-2</v>
      </c>
      <c r="F690">
        <v>87168729.5</v>
      </c>
      <c r="G690">
        <v>0</v>
      </c>
      <c r="L690" t="s">
        <v>7</v>
      </c>
      <c r="M690" t="s">
        <v>7</v>
      </c>
      <c r="N690" t="s">
        <v>7</v>
      </c>
      <c r="P690">
        <f t="shared" si="994"/>
        <v>0.57784431137724512</v>
      </c>
      <c r="Q690">
        <f t="shared" si="995"/>
        <v>50369954.47155685</v>
      </c>
      <c r="R690">
        <f t="shared" si="996"/>
        <v>3307133.6619390622</v>
      </c>
      <c r="S690">
        <f t="shared" si="997"/>
        <v>33.071336619390621</v>
      </c>
      <c r="T690">
        <f t="shared" si="998"/>
        <v>3.3071336619390622E-2</v>
      </c>
    </row>
    <row r="691" spans="1:20" x14ac:dyDescent="0.25">
      <c r="A691" s="5">
        <v>43902</v>
      </c>
      <c r="B691">
        <v>2.8420000000000001E-2</v>
      </c>
      <c r="C691">
        <v>2.8500000000000001E-2</v>
      </c>
      <c r="D691">
        <v>9.58E-3</v>
      </c>
      <c r="E691">
        <v>1.0710000000000001E-2</v>
      </c>
      <c r="F691">
        <v>158404968.84999999</v>
      </c>
      <c r="G691">
        <v>0</v>
      </c>
      <c r="L691" t="s">
        <v>7</v>
      </c>
      <c r="M691" t="s">
        <v>7</v>
      </c>
      <c r="N691" t="s">
        <v>7</v>
      </c>
      <c r="P691">
        <f t="shared" si="994"/>
        <v>-0.88054968287526436</v>
      </c>
      <c r="Q691">
        <f t="shared" si="995"/>
        <v>-139483445.08673361</v>
      </c>
      <c r="R691">
        <f t="shared" si="996"/>
        <v>-47062820.809617788</v>
      </c>
      <c r="S691">
        <f t="shared" si="997"/>
        <v>-470.6282080961779</v>
      </c>
      <c r="T691">
        <f t="shared" si="998"/>
        <v>-0.47062820809617789</v>
      </c>
    </row>
    <row r="692" spans="1:20" x14ac:dyDescent="0.25">
      <c r="A692" s="5">
        <v>43901</v>
      </c>
      <c r="B692">
        <v>2.8819999999999998E-2</v>
      </c>
      <c r="C692">
        <v>3.039E-2</v>
      </c>
      <c r="D692">
        <v>2.6249999999999999E-2</v>
      </c>
      <c r="E692">
        <v>2.8299999999999999E-2</v>
      </c>
      <c r="F692">
        <v>30469911.399999999</v>
      </c>
      <c r="G692">
        <v>0</v>
      </c>
      <c r="L692" t="s">
        <v>8</v>
      </c>
      <c r="M692" t="s">
        <v>7</v>
      </c>
      <c r="N692" t="s">
        <v>7</v>
      </c>
      <c r="P692">
        <f t="shared" si="994"/>
        <v>-9.6618357487927124E-3</v>
      </c>
      <c r="Q692">
        <f t="shared" si="995"/>
        <v>-294395.27922706661</v>
      </c>
      <c r="R692">
        <f t="shared" si="996"/>
        <v>92420624.277115822</v>
      </c>
      <c r="S692">
        <f t="shared" si="997"/>
        <v>924.20624277115826</v>
      </c>
      <c r="T692">
        <f t="shared" si="998"/>
        <v>0.92420624277115826</v>
      </c>
    </row>
    <row r="693" spans="1:20" x14ac:dyDescent="0.25">
      <c r="A693" s="5">
        <v>43900</v>
      </c>
      <c r="B693">
        <v>2.862E-2</v>
      </c>
      <c r="C693">
        <v>0.03</v>
      </c>
      <c r="D693">
        <v>2.751E-2</v>
      </c>
      <c r="E693">
        <v>2.8830000000000001E-2</v>
      </c>
      <c r="F693">
        <v>29725489.899999999</v>
      </c>
      <c r="G693">
        <v>0</v>
      </c>
      <c r="L693" t="s">
        <v>8</v>
      </c>
      <c r="M693" t="s">
        <v>7</v>
      </c>
      <c r="N693" t="s">
        <v>7</v>
      </c>
      <c r="P693">
        <f t="shared" si="994"/>
        <v>6.0240963855423435E-2</v>
      </c>
      <c r="Q693">
        <f t="shared" si="995"/>
        <v>1790692.1626506543</v>
      </c>
      <c r="R693">
        <f t="shared" si="996"/>
        <v>92715019.556342885</v>
      </c>
      <c r="S693">
        <f t="shared" si="997"/>
        <v>927.15019556342884</v>
      </c>
      <c r="T693">
        <f t="shared" si="998"/>
        <v>0.92715019556342881</v>
      </c>
    </row>
    <row r="694" spans="1:20" x14ac:dyDescent="0.25">
      <c r="A694" s="5">
        <v>43899</v>
      </c>
      <c r="B694">
        <v>3.015E-2</v>
      </c>
      <c r="C694">
        <v>3.1009999999999999E-2</v>
      </c>
      <c r="D694">
        <v>2.666E-2</v>
      </c>
      <c r="E694">
        <v>2.8590000000000001E-2</v>
      </c>
      <c r="F694">
        <v>44862919.390000001</v>
      </c>
      <c r="G694">
        <v>0</v>
      </c>
      <c r="L694" t="s">
        <v>7</v>
      </c>
      <c r="M694" t="s">
        <v>7</v>
      </c>
      <c r="N694" t="s">
        <v>7</v>
      </c>
      <c r="P694">
        <f t="shared" si="994"/>
        <v>-0.11264367816091894</v>
      </c>
      <c r="Q694">
        <f t="shared" si="995"/>
        <v>-5053524.2531264098</v>
      </c>
      <c r="R694">
        <f t="shared" si="996"/>
        <v>90924327.393692225</v>
      </c>
      <c r="S694">
        <f t="shared" si="997"/>
        <v>909.24327393692226</v>
      </c>
      <c r="T694">
        <f t="shared" si="998"/>
        <v>0.90924327393692228</v>
      </c>
    </row>
    <row r="695" spans="1:20" x14ac:dyDescent="0.25">
      <c r="A695" s="5">
        <v>43898</v>
      </c>
      <c r="B695">
        <v>3.5310000000000001E-2</v>
      </c>
      <c r="C695">
        <v>3.5310000000000001E-2</v>
      </c>
      <c r="D695">
        <v>2.9950000000000001E-2</v>
      </c>
      <c r="E695">
        <v>2.9989999999999999E-2</v>
      </c>
      <c r="F695">
        <v>52677301.630000003</v>
      </c>
      <c r="G695">
        <v>0</v>
      </c>
      <c r="L695" t="s">
        <v>7</v>
      </c>
      <c r="M695" t="s">
        <v>7</v>
      </c>
      <c r="N695" t="s">
        <v>7</v>
      </c>
      <c r="P695">
        <f t="shared" si="994"/>
        <v>-0.98507462686567226</v>
      </c>
      <c r="Q695">
        <f t="shared" si="995"/>
        <v>-51891073.24746272</v>
      </c>
      <c r="R695">
        <f t="shared" si="996"/>
        <v>95977851.646818638</v>
      </c>
      <c r="S695">
        <f t="shared" si="997"/>
        <v>959.77851646818635</v>
      </c>
      <c r="T695">
        <f t="shared" si="998"/>
        <v>0.95977851646818635</v>
      </c>
    </row>
    <row r="696" spans="1:20" x14ac:dyDescent="0.25">
      <c r="A696" s="5">
        <v>43897</v>
      </c>
      <c r="B696">
        <v>3.7139999999999999E-2</v>
      </c>
      <c r="C696">
        <v>3.8710000000000001E-2</v>
      </c>
      <c r="D696">
        <v>3.4810000000000001E-2</v>
      </c>
      <c r="E696">
        <v>3.5389999999999998E-2</v>
      </c>
      <c r="F696">
        <v>48979065.700000003</v>
      </c>
      <c r="G696">
        <v>0</v>
      </c>
      <c r="L696" t="s">
        <v>8</v>
      </c>
      <c r="M696" t="s">
        <v>8</v>
      </c>
      <c r="N696" t="s">
        <v>7</v>
      </c>
      <c r="P696">
        <f t="shared" si="994"/>
        <v>-0.70256410256410406</v>
      </c>
      <c r="Q696">
        <f t="shared" si="995"/>
        <v>-34410933.337948792</v>
      </c>
      <c r="R696">
        <f t="shared" si="996"/>
        <v>147868924.89428136</v>
      </c>
      <c r="S696">
        <f t="shared" si="997"/>
        <v>1478.6892489428135</v>
      </c>
      <c r="T696">
        <f t="shared" si="998"/>
        <v>1.4786892489428134</v>
      </c>
    </row>
    <row r="697" spans="1:20" x14ac:dyDescent="0.25">
      <c r="A697" s="5">
        <v>43896</v>
      </c>
      <c r="B697">
        <v>3.6519999999999997E-2</v>
      </c>
      <c r="C697">
        <v>3.7819999999999999E-2</v>
      </c>
      <c r="D697">
        <v>3.5999999999999997E-2</v>
      </c>
      <c r="E697">
        <v>3.7139999999999999E-2</v>
      </c>
      <c r="F697">
        <v>39134472.700000003</v>
      </c>
      <c r="G697">
        <v>0</v>
      </c>
      <c r="L697" t="s">
        <v>8</v>
      </c>
      <c r="M697" t="s">
        <v>8</v>
      </c>
      <c r="N697" t="s">
        <v>7</v>
      </c>
      <c r="P697">
        <f t="shared" si="994"/>
        <v>0.25274725274725357</v>
      </c>
      <c r="Q697">
        <f t="shared" si="995"/>
        <v>9891130.4626373947</v>
      </c>
      <c r="R697">
        <f t="shared" si="996"/>
        <v>182279858.23223016</v>
      </c>
      <c r="S697">
        <f t="shared" si="997"/>
        <v>1822.7985823223016</v>
      </c>
      <c r="T697">
        <f t="shared" si="998"/>
        <v>1.8227985823223016</v>
      </c>
    </row>
    <row r="698" spans="1:20" x14ac:dyDescent="0.25">
      <c r="A698" s="5">
        <v>43895</v>
      </c>
      <c r="B698">
        <v>3.6519999999999997E-2</v>
      </c>
      <c r="C698">
        <v>3.78E-2</v>
      </c>
      <c r="D698">
        <v>3.628E-2</v>
      </c>
      <c r="E698">
        <v>3.6380000000000003E-2</v>
      </c>
      <c r="F698">
        <v>19574336.399999999</v>
      </c>
      <c r="G698">
        <v>0</v>
      </c>
      <c r="L698" t="s">
        <v>8</v>
      </c>
      <c r="M698" t="s">
        <v>8</v>
      </c>
      <c r="N698" t="s">
        <v>7</v>
      </c>
      <c r="P698">
        <f t="shared" si="994"/>
        <v>-0.86842105263157521</v>
      </c>
      <c r="Q698">
        <f t="shared" si="995"/>
        <v>-16998765.821052559</v>
      </c>
      <c r="R698">
        <f t="shared" si="996"/>
        <v>172388727.76959276</v>
      </c>
      <c r="S698">
        <f t="shared" si="997"/>
        <v>1723.8872776959277</v>
      </c>
      <c r="T698">
        <f t="shared" si="998"/>
        <v>1.7238872776959278</v>
      </c>
    </row>
    <row r="699" spans="1:20" x14ac:dyDescent="0.25">
      <c r="A699" s="5">
        <v>43894</v>
      </c>
      <c r="B699">
        <v>3.3939999999999998E-2</v>
      </c>
      <c r="C699">
        <v>3.739E-2</v>
      </c>
      <c r="D699">
        <v>3.381E-2</v>
      </c>
      <c r="E699">
        <v>3.653E-2</v>
      </c>
      <c r="F699">
        <v>33220903.600000001</v>
      </c>
      <c r="G699">
        <v>0</v>
      </c>
      <c r="L699" t="s">
        <v>8</v>
      </c>
      <c r="M699" t="s">
        <v>8</v>
      </c>
      <c r="N699" t="s">
        <v>7</v>
      </c>
      <c r="P699">
        <f t="shared" si="994"/>
        <v>0.5195530726256985</v>
      </c>
      <c r="Q699">
        <f t="shared" si="995"/>
        <v>17260022.540782131</v>
      </c>
      <c r="R699">
        <f t="shared" si="996"/>
        <v>189387493.59064531</v>
      </c>
      <c r="S699">
        <f t="shared" si="997"/>
        <v>1893.8749359064532</v>
      </c>
      <c r="T699">
        <f t="shared" si="998"/>
        <v>1.8938749359064533</v>
      </c>
    </row>
    <row r="700" spans="1:20" x14ac:dyDescent="0.25">
      <c r="A700" s="5">
        <v>43893</v>
      </c>
      <c r="B700">
        <v>3.4819999999999997E-2</v>
      </c>
      <c r="C700">
        <v>3.4909999999999997E-2</v>
      </c>
      <c r="D700">
        <v>3.3369999999999997E-2</v>
      </c>
      <c r="E700">
        <v>3.397E-2</v>
      </c>
      <c r="F700">
        <v>24350175.899999999</v>
      </c>
      <c r="G700">
        <v>0</v>
      </c>
      <c r="L700" t="s">
        <v>8</v>
      </c>
      <c r="M700" t="s">
        <v>7</v>
      </c>
      <c r="N700" t="s">
        <v>7</v>
      </c>
      <c r="P700">
        <f t="shared" si="994"/>
        <v>-0.22077922077921633</v>
      </c>
      <c r="Q700">
        <f t="shared" si="995"/>
        <v>-5376012.8610388525</v>
      </c>
      <c r="R700">
        <f t="shared" si="996"/>
        <v>172127471.04986319</v>
      </c>
      <c r="S700">
        <f t="shared" si="997"/>
        <v>1721.274710498632</v>
      </c>
      <c r="T700">
        <f t="shared" si="998"/>
        <v>1.7212747104986319</v>
      </c>
    </row>
    <row r="701" spans="1:20" x14ac:dyDescent="0.25">
      <c r="A701" s="5">
        <v>43892</v>
      </c>
      <c r="B701">
        <v>3.2340000000000001E-2</v>
      </c>
      <c r="C701">
        <v>3.5349999999999999E-2</v>
      </c>
      <c r="D701">
        <v>3.209E-2</v>
      </c>
      <c r="E701">
        <v>3.483E-2</v>
      </c>
      <c r="F701">
        <v>37538705.100000001</v>
      </c>
      <c r="G701">
        <v>0</v>
      </c>
      <c r="L701" t="s">
        <v>8</v>
      </c>
      <c r="M701" t="s">
        <v>7</v>
      </c>
      <c r="N701" t="s">
        <v>7</v>
      </c>
      <c r="P701">
        <f t="shared" si="994"/>
        <v>0.68098159509202472</v>
      </c>
      <c r="Q701">
        <f t="shared" si="995"/>
        <v>25563167.276687123</v>
      </c>
      <c r="R701">
        <f t="shared" si="996"/>
        <v>177503483.91090205</v>
      </c>
      <c r="S701">
        <f t="shared" si="997"/>
        <v>1775.0348391090206</v>
      </c>
      <c r="T701">
        <f t="shared" si="998"/>
        <v>1.7750348391090205</v>
      </c>
    </row>
    <row r="702" spans="1:20" x14ac:dyDescent="0.25">
      <c r="A702" s="5">
        <v>43891</v>
      </c>
      <c r="B702">
        <v>3.2169999999999997E-2</v>
      </c>
      <c r="C702">
        <v>3.3439999999999998E-2</v>
      </c>
      <c r="D702">
        <v>3.1710000000000002E-2</v>
      </c>
      <c r="E702">
        <v>3.2320000000000002E-2</v>
      </c>
      <c r="F702">
        <v>38583440.700000003</v>
      </c>
      <c r="G702">
        <v>0</v>
      </c>
      <c r="L702" t="s">
        <v>7</v>
      </c>
      <c r="M702" t="s">
        <v>7</v>
      </c>
      <c r="N702" t="s">
        <v>7</v>
      </c>
      <c r="P702">
        <f t="shared" si="994"/>
        <v>-0.29479768786127047</v>
      </c>
      <c r="Q702">
        <f t="shared" si="995"/>
        <v>-11374309.10809244</v>
      </c>
      <c r="R702">
        <f t="shared" si="996"/>
        <v>151940316.63421494</v>
      </c>
      <c r="S702">
        <f t="shared" si="997"/>
        <v>1519.4031663421495</v>
      </c>
      <c r="T702">
        <f t="shared" si="998"/>
        <v>1.5194031663421494</v>
      </c>
    </row>
    <row r="703" spans="1:20" x14ac:dyDescent="0.25">
      <c r="A703" s="5">
        <v>43890</v>
      </c>
      <c r="B703">
        <v>3.2419999999999997E-2</v>
      </c>
      <c r="C703">
        <v>3.4729999999999997E-2</v>
      </c>
      <c r="D703">
        <v>3.1859999999999999E-2</v>
      </c>
      <c r="E703">
        <v>3.2149999999999998E-2</v>
      </c>
      <c r="F703">
        <v>39906722.899999999</v>
      </c>
      <c r="G703">
        <v>0</v>
      </c>
      <c r="L703" t="s">
        <v>8</v>
      </c>
      <c r="M703" t="s">
        <v>7</v>
      </c>
      <c r="N703" t="s">
        <v>7</v>
      </c>
      <c r="P703">
        <f t="shared" si="994"/>
        <v>-0.797909407665506</v>
      </c>
      <c r="Q703">
        <f t="shared" si="995"/>
        <v>-31841949.631010484</v>
      </c>
      <c r="R703">
        <f t="shared" si="996"/>
        <v>163314625.74230736</v>
      </c>
      <c r="S703">
        <f t="shared" si="997"/>
        <v>1633.1462574230736</v>
      </c>
      <c r="T703">
        <f t="shared" si="998"/>
        <v>1.6331462574230735</v>
      </c>
    </row>
    <row r="704" spans="1:20" x14ac:dyDescent="0.25">
      <c r="A704" s="5">
        <v>43889</v>
      </c>
      <c r="B704">
        <v>3.2750000000000001E-2</v>
      </c>
      <c r="C704">
        <v>3.3829999999999999E-2</v>
      </c>
      <c r="D704">
        <v>3.0700000000000002E-2</v>
      </c>
      <c r="E704">
        <v>3.2419999999999997E-2</v>
      </c>
      <c r="F704">
        <v>33576867.399999999</v>
      </c>
      <c r="G704">
        <v>0</v>
      </c>
      <c r="L704" t="s">
        <v>7</v>
      </c>
      <c r="M704" t="s">
        <v>7</v>
      </c>
      <c r="N704" t="s">
        <v>7</v>
      </c>
      <c r="P704">
        <f t="shared" si="994"/>
        <v>9.904153354632414E-2</v>
      </c>
      <c r="Q704">
        <f t="shared" si="995"/>
        <v>3325504.4389775773</v>
      </c>
      <c r="R704">
        <f t="shared" si="996"/>
        <v>195156575.37331784</v>
      </c>
      <c r="S704">
        <f t="shared" si="997"/>
        <v>1951.5657537331783</v>
      </c>
      <c r="T704">
        <f t="shared" si="998"/>
        <v>1.9515657537331783</v>
      </c>
    </row>
    <row r="705" spans="1:20" x14ac:dyDescent="0.25">
      <c r="A705" s="5">
        <v>43888</v>
      </c>
      <c r="B705">
        <v>3.2539999999999999E-2</v>
      </c>
      <c r="C705">
        <v>3.4979999999999997E-2</v>
      </c>
      <c r="D705">
        <v>3.0669999999999999E-2</v>
      </c>
      <c r="E705">
        <v>3.2779999999999997E-2</v>
      </c>
      <c r="F705">
        <v>40552460.399999999</v>
      </c>
      <c r="G705">
        <v>0</v>
      </c>
      <c r="L705" t="s">
        <v>8</v>
      </c>
      <c r="M705" t="s">
        <v>7</v>
      </c>
      <c r="N705" t="s">
        <v>7</v>
      </c>
      <c r="P705">
        <f t="shared" si="994"/>
        <v>-2.0881670533643461E-2</v>
      </c>
      <c r="Q705">
        <f t="shared" si="995"/>
        <v>-846803.11740142328</v>
      </c>
      <c r="R705">
        <f t="shared" si="996"/>
        <v>191831070.93434027</v>
      </c>
      <c r="S705">
        <f t="shared" si="997"/>
        <v>1918.3107093434028</v>
      </c>
      <c r="T705">
        <f t="shared" si="998"/>
        <v>1.9183107093434029</v>
      </c>
    </row>
    <row r="706" spans="1:20" x14ac:dyDescent="0.25">
      <c r="A706" s="5">
        <v>43887</v>
      </c>
      <c r="B706">
        <v>3.755E-2</v>
      </c>
      <c r="C706">
        <v>3.8089999999999999E-2</v>
      </c>
      <c r="D706">
        <v>3.0640000000000001E-2</v>
      </c>
      <c r="E706">
        <v>3.2680000000000001E-2</v>
      </c>
      <c r="F706">
        <v>52582920.700000003</v>
      </c>
      <c r="G706">
        <v>0</v>
      </c>
      <c r="L706" t="s">
        <v>7</v>
      </c>
      <c r="M706" t="s">
        <v>7</v>
      </c>
      <c r="N706" t="s">
        <v>7</v>
      </c>
      <c r="P706">
        <f t="shared" si="994"/>
        <v>-0.45234899328859046</v>
      </c>
      <c r="Q706">
        <f t="shared" si="995"/>
        <v>-23785831.242818784</v>
      </c>
      <c r="R706">
        <f t="shared" si="996"/>
        <v>192677874.05174169</v>
      </c>
      <c r="S706">
        <f t="shared" si="997"/>
        <v>1926.778740517417</v>
      </c>
      <c r="T706">
        <f t="shared" si="998"/>
        <v>1.926778740517417</v>
      </c>
    </row>
    <row r="707" spans="1:20" x14ac:dyDescent="0.25">
      <c r="A707" s="5">
        <v>43886</v>
      </c>
      <c r="B707">
        <v>4.0599999999999997E-2</v>
      </c>
      <c r="C707">
        <v>4.0779999999999997E-2</v>
      </c>
      <c r="D707">
        <v>3.703E-2</v>
      </c>
      <c r="E707">
        <v>3.7609999999999998E-2</v>
      </c>
      <c r="F707">
        <v>42624382.700000003</v>
      </c>
      <c r="G707">
        <v>0</v>
      </c>
      <c r="L707" t="s">
        <v>7</v>
      </c>
      <c r="M707" t="s">
        <v>7</v>
      </c>
      <c r="N707" t="s">
        <v>7</v>
      </c>
      <c r="P707">
        <f t="shared" si="994"/>
        <v>-0.69066666666666787</v>
      </c>
      <c r="Q707">
        <f t="shared" si="995"/>
        <v>-29439240.318133388</v>
      </c>
      <c r="R707">
        <f t="shared" si="996"/>
        <v>216463705.29456046</v>
      </c>
      <c r="S707">
        <f t="shared" si="997"/>
        <v>2164.6370529456044</v>
      </c>
      <c r="T707">
        <f t="shared" si="998"/>
        <v>2.1646370529456043</v>
      </c>
    </row>
    <row r="708" spans="1:20" x14ac:dyDescent="0.25">
      <c r="A708" s="5">
        <v>43885</v>
      </c>
      <c r="B708">
        <v>4.3380000000000002E-2</v>
      </c>
      <c r="C708">
        <v>4.394E-2</v>
      </c>
      <c r="D708">
        <v>3.9750000000000001E-2</v>
      </c>
      <c r="E708">
        <v>4.061E-2</v>
      </c>
      <c r="F708">
        <v>45735723.700000003</v>
      </c>
      <c r="G708">
        <v>0</v>
      </c>
      <c r="L708" t="s">
        <v>8</v>
      </c>
      <c r="M708" t="s">
        <v>7</v>
      </c>
      <c r="N708" t="s">
        <v>8</v>
      </c>
      <c r="P708">
        <f t="shared" si="994"/>
        <v>-0.5894988066825777</v>
      </c>
      <c r="Q708">
        <f t="shared" si="995"/>
        <v>-26961154.543914091</v>
      </c>
      <c r="R708">
        <f t="shared" si="996"/>
        <v>245902945.61269385</v>
      </c>
      <c r="S708">
        <f t="shared" si="997"/>
        <v>2459.0294561269384</v>
      </c>
      <c r="T708">
        <f t="shared" si="998"/>
        <v>2.4590294561269386</v>
      </c>
    </row>
    <row r="709" spans="1:20" x14ac:dyDescent="0.25">
      <c r="A709" s="5">
        <v>43884</v>
      </c>
      <c r="B709">
        <v>4.199E-2</v>
      </c>
      <c r="C709">
        <v>4.36E-2</v>
      </c>
      <c r="D709">
        <v>4.1959999999999997E-2</v>
      </c>
      <c r="E709">
        <v>4.342E-2</v>
      </c>
      <c r="F709">
        <v>49496539.600000001</v>
      </c>
      <c r="G709">
        <v>0</v>
      </c>
      <c r="L709" t="s">
        <v>8</v>
      </c>
      <c r="M709" t="s">
        <v>7</v>
      </c>
      <c r="N709" t="s">
        <v>8</v>
      </c>
      <c r="P709">
        <f t="shared" si="994"/>
        <v>0.78048780487804958</v>
      </c>
      <c r="Q709">
        <f t="shared" si="995"/>
        <v>38631445.541463457</v>
      </c>
      <c r="R709">
        <f t="shared" si="996"/>
        <v>272864100.15660793</v>
      </c>
      <c r="S709">
        <f t="shared" si="997"/>
        <v>2728.6410015660795</v>
      </c>
      <c r="T709">
        <f t="shared" si="998"/>
        <v>2.7286410015660794</v>
      </c>
    </row>
    <row r="710" spans="1:20" x14ac:dyDescent="0.25">
      <c r="A710" s="5">
        <v>43883</v>
      </c>
      <c r="B710">
        <v>4.2320000000000003E-2</v>
      </c>
      <c r="C710">
        <v>4.2450000000000002E-2</v>
      </c>
      <c r="D710">
        <v>4.0779999999999997E-2</v>
      </c>
      <c r="E710">
        <v>4.199E-2</v>
      </c>
      <c r="F710">
        <v>51335063.100000001</v>
      </c>
      <c r="G710">
        <v>0</v>
      </c>
      <c r="L710" t="s">
        <v>8</v>
      </c>
      <c r="M710" t="s">
        <v>7</v>
      </c>
      <c r="N710" t="s">
        <v>8</v>
      </c>
      <c r="P710">
        <f t="shared" ref="P710:P766" si="999">IF(C710=D710,0,((E710-D710)-(C710-E710))/(C710-D710))</f>
        <v>0.44910179640718473</v>
      </c>
      <c r="Q710">
        <f t="shared" ref="Q710:Q766" si="1000">F710*P710</f>
        <v>23054669.056886181</v>
      </c>
      <c r="R710">
        <f t="shared" ref="R710:R766" si="1001">R711+Q710</f>
        <v>234232654.61514449</v>
      </c>
      <c r="S710">
        <f t="shared" ref="S710:S766" si="1002">R710/100000</f>
        <v>2342.3265461514447</v>
      </c>
      <c r="T710">
        <f t="shared" ref="T710:T766" si="1003">S710/1000</f>
        <v>2.3423265461514449</v>
      </c>
    </row>
    <row r="711" spans="1:20" x14ac:dyDescent="0.25">
      <c r="A711" s="5">
        <v>43882</v>
      </c>
      <c r="B711">
        <v>4.1099999999999998E-2</v>
      </c>
      <c r="C711">
        <v>4.3549999999999998E-2</v>
      </c>
      <c r="D711">
        <v>4.0719999999999999E-2</v>
      </c>
      <c r="E711">
        <v>4.2049999999999997E-2</v>
      </c>
      <c r="F711">
        <v>47709691.5</v>
      </c>
      <c r="G711">
        <v>0</v>
      </c>
      <c r="L711" t="s">
        <v>8</v>
      </c>
      <c r="M711" t="s">
        <v>7</v>
      </c>
      <c r="N711" t="s">
        <v>8</v>
      </c>
      <c r="P711">
        <f t="shared" si="999"/>
        <v>-6.0070671378093118E-2</v>
      </c>
      <c r="Q711">
        <f t="shared" si="1000"/>
        <v>-2865953.1996467025</v>
      </c>
      <c r="R711">
        <f t="shared" si="1001"/>
        <v>211177985.5582583</v>
      </c>
      <c r="S711">
        <f t="shared" si="1002"/>
        <v>2111.779855582583</v>
      </c>
      <c r="T711">
        <f t="shared" si="1003"/>
        <v>2.1117798555825829</v>
      </c>
    </row>
    <row r="712" spans="1:20" x14ac:dyDescent="0.25">
      <c r="A712" s="5">
        <v>43881</v>
      </c>
      <c r="B712">
        <v>4.2090000000000002E-2</v>
      </c>
      <c r="C712">
        <v>4.265E-2</v>
      </c>
      <c r="D712">
        <v>0.04</v>
      </c>
      <c r="E712">
        <v>4.1009999999999998E-2</v>
      </c>
      <c r="F712">
        <v>39410051.5</v>
      </c>
      <c r="G712">
        <v>0</v>
      </c>
      <c r="L712" t="s">
        <v>7</v>
      </c>
      <c r="M712" t="s">
        <v>7</v>
      </c>
      <c r="N712" t="s">
        <v>8</v>
      </c>
      <c r="P712">
        <f t="shared" si="999"/>
        <v>-0.23773584905660591</v>
      </c>
      <c r="Q712">
        <f t="shared" si="1000"/>
        <v>-9369182.0547170658</v>
      </c>
      <c r="R712">
        <f t="shared" si="1001"/>
        <v>214043938.75790501</v>
      </c>
      <c r="S712">
        <f t="shared" si="1002"/>
        <v>2140.4393875790502</v>
      </c>
      <c r="T712">
        <f t="shared" si="1003"/>
        <v>2.1404393875790499</v>
      </c>
    </row>
    <row r="713" spans="1:20" x14ac:dyDescent="0.25">
      <c r="A713" s="5">
        <v>43880</v>
      </c>
      <c r="B713">
        <v>4.7719999999999999E-2</v>
      </c>
      <c r="C713">
        <v>4.795E-2</v>
      </c>
      <c r="D713">
        <v>4.104E-2</v>
      </c>
      <c r="E713">
        <v>4.2130000000000001E-2</v>
      </c>
      <c r="F713">
        <v>46749739.899999999</v>
      </c>
      <c r="G713">
        <v>0</v>
      </c>
      <c r="L713" t="s">
        <v>7</v>
      </c>
      <c r="M713" t="s">
        <v>7</v>
      </c>
      <c r="N713" t="s">
        <v>8</v>
      </c>
      <c r="P713">
        <f t="shared" si="999"/>
        <v>-0.68451519536903016</v>
      </c>
      <c r="Q713">
        <f t="shared" si="1000"/>
        <v>-32000907.341099843</v>
      </c>
      <c r="R713">
        <f t="shared" si="1001"/>
        <v>223413120.81262207</v>
      </c>
      <c r="S713">
        <f t="shared" si="1002"/>
        <v>2234.1312081262208</v>
      </c>
      <c r="T713">
        <f t="shared" si="1003"/>
        <v>2.2341312081262208</v>
      </c>
    </row>
    <row r="714" spans="1:20" x14ac:dyDescent="0.25">
      <c r="A714" s="5">
        <v>43879</v>
      </c>
      <c r="B714">
        <v>4.5859999999999998E-2</v>
      </c>
      <c r="C714">
        <v>4.8230000000000002E-2</v>
      </c>
      <c r="D714">
        <v>4.4450000000000003E-2</v>
      </c>
      <c r="E714">
        <v>4.7870000000000003E-2</v>
      </c>
      <c r="F714">
        <v>45970733.700000003</v>
      </c>
      <c r="G714">
        <v>0</v>
      </c>
      <c r="L714" t="s">
        <v>8</v>
      </c>
      <c r="M714" t="s">
        <v>7</v>
      </c>
      <c r="N714" t="s">
        <v>8</v>
      </c>
      <c r="P714">
        <f t="shared" si="999"/>
        <v>0.80952380952380987</v>
      </c>
      <c r="Q714">
        <f t="shared" si="1000"/>
        <v>37214403.471428588</v>
      </c>
      <c r="R714">
        <f t="shared" si="1001"/>
        <v>255414028.15372193</v>
      </c>
      <c r="S714">
        <f t="shared" si="1002"/>
        <v>2554.1402815372194</v>
      </c>
      <c r="T714">
        <f t="shared" si="1003"/>
        <v>2.5541402815372192</v>
      </c>
    </row>
    <row r="715" spans="1:20" x14ac:dyDescent="0.25">
      <c r="A715" s="5">
        <v>43878</v>
      </c>
      <c r="B715">
        <v>4.6309999999999997E-2</v>
      </c>
      <c r="C715">
        <v>4.666E-2</v>
      </c>
      <c r="D715">
        <v>4.1570000000000003E-2</v>
      </c>
      <c r="E715">
        <v>4.58E-2</v>
      </c>
      <c r="F715">
        <v>50693844.399999999</v>
      </c>
      <c r="G715">
        <v>0</v>
      </c>
      <c r="L715" t="s">
        <v>7</v>
      </c>
      <c r="M715" t="s">
        <v>7</v>
      </c>
      <c r="N715" t="s">
        <v>8</v>
      </c>
      <c r="P715">
        <f t="shared" si="999"/>
        <v>0.66208251473477397</v>
      </c>
      <c r="Q715">
        <f t="shared" si="1000"/>
        <v>33563507.981925339</v>
      </c>
      <c r="R715">
        <f t="shared" si="1001"/>
        <v>218199624.68229336</v>
      </c>
      <c r="S715">
        <f t="shared" si="1002"/>
        <v>2181.9962468229337</v>
      </c>
      <c r="T715">
        <f t="shared" si="1003"/>
        <v>2.1819962468229339</v>
      </c>
    </row>
    <row r="716" spans="1:20" x14ac:dyDescent="0.25">
      <c r="A716" s="5">
        <v>43877</v>
      </c>
      <c r="B716">
        <v>4.9829999999999999E-2</v>
      </c>
      <c r="C716">
        <v>5.2400000000000002E-2</v>
      </c>
      <c r="D716">
        <v>4.2680000000000003E-2</v>
      </c>
      <c r="E716">
        <v>4.65E-2</v>
      </c>
      <c r="F716">
        <v>58351107.5</v>
      </c>
      <c r="G716">
        <v>0</v>
      </c>
      <c r="L716" t="s">
        <v>7</v>
      </c>
      <c r="M716" t="s">
        <v>7</v>
      </c>
      <c r="N716" t="s">
        <v>8</v>
      </c>
      <c r="P716">
        <f t="shared" si="999"/>
        <v>-0.21399176954732568</v>
      </c>
      <c r="Q716">
        <f t="shared" si="1000"/>
        <v>-12486656.748971228</v>
      </c>
      <c r="R716">
        <f t="shared" si="1001"/>
        <v>184636116.70036802</v>
      </c>
      <c r="S716">
        <f t="shared" si="1002"/>
        <v>1846.3611670036801</v>
      </c>
      <c r="T716">
        <f t="shared" si="1003"/>
        <v>1.8463611670036801</v>
      </c>
    </row>
    <row r="717" spans="1:20" x14ac:dyDescent="0.25">
      <c r="A717" s="5">
        <v>43876</v>
      </c>
      <c r="B717">
        <v>5.4260000000000003E-2</v>
      </c>
      <c r="C717">
        <v>5.7000000000000002E-2</v>
      </c>
      <c r="D717">
        <v>4.8320000000000002E-2</v>
      </c>
      <c r="E717">
        <v>4.9829999999999999E-2</v>
      </c>
      <c r="F717">
        <v>56619732.100000001</v>
      </c>
      <c r="G717">
        <v>0</v>
      </c>
      <c r="L717" t="s">
        <v>7</v>
      </c>
      <c r="M717" t="s">
        <v>8</v>
      </c>
      <c r="N717" t="s">
        <v>8</v>
      </c>
      <c r="P717">
        <f t="shared" si="999"/>
        <v>-0.65207373271889457</v>
      </c>
      <c r="Q717">
        <f t="shared" si="1000"/>
        <v>-36920240.055990815</v>
      </c>
      <c r="R717">
        <f t="shared" si="1001"/>
        <v>197122773.44933924</v>
      </c>
      <c r="S717">
        <f t="shared" si="1002"/>
        <v>1971.2277344933925</v>
      </c>
      <c r="T717">
        <f t="shared" si="1003"/>
        <v>1.9712277344933926</v>
      </c>
    </row>
    <row r="718" spans="1:20" x14ac:dyDescent="0.25">
      <c r="A718" s="5">
        <v>43875</v>
      </c>
      <c r="B718">
        <v>5.4399999999999997E-2</v>
      </c>
      <c r="C718">
        <v>5.5059999999999998E-2</v>
      </c>
      <c r="D718">
        <v>5.0500000000000003E-2</v>
      </c>
      <c r="E718">
        <v>5.425E-2</v>
      </c>
      <c r="F718">
        <v>47269405.100000001</v>
      </c>
      <c r="G718">
        <v>0</v>
      </c>
      <c r="L718" t="s">
        <v>7</v>
      </c>
      <c r="M718" t="s">
        <v>8</v>
      </c>
      <c r="N718" t="s">
        <v>8</v>
      </c>
      <c r="P718">
        <f t="shared" si="999"/>
        <v>0.6447368421052635</v>
      </c>
      <c r="Q718">
        <f t="shared" si="1000"/>
        <v>30476326.972368438</v>
      </c>
      <c r="R718">
        <f t="shared" si="1001"/>
        <v>234043013.50533006</v>
      </c>
      <c r="S718">
        <f t="shared" si="1002"/>
        <v>2340.4301350533005</v>
      </c>
      <c r="T718">
        <f t="shared" si="1003"/>
        <v>2.3404301350533006</v>
      </c>
    </row>
    <row r="719" spans="1:20" x14ac:dyDescent="0.25">
      <c r="A719" s="5">
        <v>43874</v>
      </c>
      <c r="B719">
        <v>5.3010000000000002E-2</v>
      </c>
      <c r="C719">
        <v>5.5800000000000002E-2</v>
      </c>
      <c r="D719">
        <v>4.9250000000000002E-2</v>
      </c>
      <c r="E719">
        <v>5.4309999999999997E-2</v>
      </c>
      <c r="F719">
        <v>51524013.200000003</v>
      </c>
      <c r="G719">
        <v>0</v>
      </c>
      <c r="L719" t="s">
        <v>8</v>
      </c>
      <c r="M719" t="s">
        <v>8</v>
      </c>
      <c r="N719" t="s">
        <v>8</v>
      </c>
      <c r="P719">
        <f t="shared" si="999"/>
        <v>0.54503816793892967</v>
      </c>
      <c r="Q719">
        <f t="shared" si="1000"/>
        <v>28082553.759389229</v>
      </c>
      <c r="R719">
        <f t="shared" si="1001"/>
        <v>203566686.53296161</v>
      </c>
      <c r="S719">
        <f t="shared" si="1002"/>
        <v>2035.666865329616</v>
      </c>
      <c r="T719">
        <f t="shared" si="1003"/>
        <v>2.0356668653296159</v>
      </c>
    </row>
    <row r="720" spans="1:20" x14ac:dyDescent="0.25">
      <c r="A720" s="5">
        <v>43873</v>
      </c>
      <c r="B720">
        <v>5.1220000000000002E-2</v>
      </c>
      <c r="C720">
        <v>5.518E-2</v>
      </c>
      <c r="D720">
        <v>5.0189999999999999E-2</v>
      </c>
      <c r="E720">
        <v>5.3010000000000002E-2</v>
      </c>
      <c r="F720">
        <v>55931590.799999997</v>
      </c>
      <c r="G720">
        <v>0</v>
      </c>
      <c r="L720" t="s">
        <v>8</v>
      </c>
      <c r="M720" t="s">
        <v>8</v>
      </c>
      <c r="N720" t="s">
        <v>8</v>
      </c>
      <c r="P720">
        <f t="shared" si="999"/>
        <v>0.13026052104208508</v>
      </c>
      <c r="Q720">
        <f t="shared" si="1000"/>
        <v>7285678.1603206918</v>
      </c>
      <c r="R720">
        <f t="shared" si="1001"/>
        <v>175484132.77357239</v>
      </c>
      <c r="S720">
        <f t="shared" si="1002"/>
        <v>1754.8413277357238</v>
      </c>
      <c r="T720">
        <f t="shared" si="1003"/>
        <v>1.7548413277357238</v>
      </c>
    </row>
    <row r="721" spans="1:20" x14ac:dyDescent="0.25">
      <c r="A721" s="5">
        <v>43872</v>
      </c>
      <c r="B721">
        <v>4.8529999999999997E-2</v>
      </c>
      <c r="C721">
        <v>5.1979999999999998E-2</v>
      </c>
      <c r="D721">
        <v>4.6760000000000003E-2</v>
      </c>
      <c r="E721">
        <v>5.1240000000000001E-2</v>
      </c>
      <c r="F721">
        <v>54829189.399999999</v>
      </c>
      <c r="G721">
        <v>0</v>
      </c>
      <c r="L721" t="s">
        <v>8</v>
      </c>
      <c r="M721" t="s">
        <v>8</v>
      </c>
      <c r="N721" t="s">
        <v>8</v>
      </c>
      <c r="P721">
        <f t="shared" si="999"/>
        <v>0.71647509578544133</v>
      </c>
      <c r="Q721">
        <f t="shared" si="1000"/>
        <v>39283748.727203101</v>
      </c>
      <c r="R721">
        <f t="shared" si="1001"/>
        <v>168198454.61325169</v>
      </c>
      <c r="S721">
        <f t="shared" si="1002"/>
        <v>1681.9845461325169</v>
      </c>
      <c r="T721">
        <f t="shared" si="1003"/>
        <v>1.6819845461325169</v>
      </c>
    </row>
    <row r="722" spans="1:20" x14ac:dyDescent="0.25">
      <c r="A722" s="5">
        <v>43871</v>
      </c>
      <c r="B722">
        <v>4.9450000000000001E-2</v>
      </c>
      <c r="C722">
        <v>4.9509999999999998E-2</v>
      </c>
      <c r="D722">
        <v>4.4740000000000002E-2</v>
      </c>
      <c r="E722">
        <v>4.8529999999999997E-2</v>
      </c>
      <c r="F722">
        <v>50727997.299999997</v>
      </c>
      <c r="G722">
        <v>0</v>
      </c>
      <c r="L722" t="s">
        <v>7</v>
      </c>
      <c r="M722" t="s">
        <v>8</v>
      </c>
      <c r="N722" t="s">
        <v>8</v>
      </c>
      <c r="P722">
        <f t="shared" si="999"/>
        <v>0.58909853249475785</v>
      </c>
      <c r="Q722">
        <f t="shared" si="1000"/>
        <v>29883788.765828036</v>
      </c>
      <c r="R722">
        <f t="shared" si="1001"/>
        <v>128914705.88604859</v>
      </c>
      <c r="S722">
        <f t="shared" si="1002"/>
        <v>1289.1470588604859</v>
      </c>
      <c r="T722">
        <f t="shared" si="1003"/>
        <v>1.2891470588604859</v>
      </c>
    </row>
    <row r="723" spans="1:20" x14ac:dyDescent="0.25">
      <c r="A723" s="5">
        <v>43870</v>
      </c>
      <c r="B723">
        <v>4.4830000000000002E-2</v>
      </c>
      <c r="C723">
        <v>0.05</v>
      </c>
      <c r="D723">
        <v>4.4510000000000001E-2</v>
      </c>
      <c r="E723">
        <v>4.9459999999999997E-2</v>
      </c>
      <c r="F723">
        <v>50772634</v>
      </c>
      <c r="G723">
        <v>0</v>
      </c>
      <c r="L723" t="s">
        <v>8</v>
      </c>
      <c r="M723" t="s">
        <v>8</v>
      </c>
      <c r="N723" t="s">
        <v>8</v>
      </c>
      <c r="P723">
        <f t="shared" si="999"/>
        <v>0.80327868852458817</v>
      </c>
      <c r="Q723">
        <f t="shared" si="1000"/>
        <v>40784574.852458917</v>
      </c>
      <c r="R723">
        <f t="shared" si="1001"/>
        <v>99030917.120220542</v>
      </c>
      <c r="S723">
        <f t="shared" si="1002"/>
        <v>990.30917120220545</v>
      </c>
      <c r="T723">
        <f t="shared" si="1003"/>
        <v>0.99030917120220541</v>
      </c>
    </row>
    <row r="724" spans="1:20" x14ac:dyDescent="0.25">
      <c r="A724" s="5">
        <v>43869</v>
      </c>
      <c r="B724">
        <v>4.6629999999999998E-2</v>
      </c>
      <c r="C724">
        <v>4.7100000000000003E-2</v>
      </c>
      <c r="D724">
        <v>4.2999999999999997E-2</v>
      </c>
      <c r="E724">
        <v>4.4830000000000002E-2</v>
      </c>
      <c r="F724">
        <v>36961901.100000001</v>
      </c>
      <c r="G724">
        <v>0</v>
      </c>
      <c r="L724" t="s">
        <v>7</v>
      </c>
      <c r="M724" t="s">
        <v>8</v>
      </c>
      <c r="N724" t="s">
        <v>8</v>
      </c>
      <c r="P724">
        <f t="shared" si="999"/>
        <v>-0.10731707317073055</v>
      </c>
      <c r="Q724">
        <f t="shared" si="1000"/>
        <v>-3966643.0448780064</v>
      </c>
      <c r="R724">
        <f t="shared" si="1001"/>
        <v>58246342.267761618</v>
      </c>
      <c r="S724">
        <f t="shared" si="1002"/>
        <v>582.46342267761622</v>
      </c>
      <c r="T724">
        <f t="shared" si="1003"/>
        <v>0.58246342267761619</v>
      </c>
    </row>
    <row r="725" spans="1:20" x14ac:dyDescent="0.25">
      <c r="A725" s="5">
        <v>43868</v>
      </c>
      <c r="B725">
        <v>4.6969999999999998E-2</v>
      </c>
      <c r="C725">
        <v>4.9439999999999998E-2</v>
      </c>
      <c r="D725">
        <v>4.5580000000000002E-2</v>
      </c>
      <c r="E725">
        <v>4.6690000000000002E-2</v>
      </c>
      <c r="F725">
        <v>52065289.899999999</v>
      </c>
      <c r="G725">
        <v>0</v>
      </c>
      <c r="L725" t="s">
        <v>8</v>
      </c>
      <c r="M725" t="s">
        <v>8</v>
      </c>
      <c r="N725" t="s">
        <v>8</v>
      </c>
      <c r="P725">
        <f t="shared" si="999"/>
        <v>-0.42487046632124292</v>
      </c>
      <c r="Q725">
        <f t="shared" si="1000"/>
        <v>-22121003.998963699</v>
      </c>
      <c r="R725">
        <f t="shared" si="1001"/>
        <v>62212985.312639624</v>
      </c>
      <c r="S725">
        <f t="shared" si="1002"/>
        <v>622.12985312639626</v>
      </c>
      <c r="T725">
        <f t="shared" si="1003"/>
        <v>0.62212985312639624</v>
      </c>
    </row>
    <row r="726" spans="1:20" x14ac:dyDescent="0.25">
      <c r="A726" s="5">
        <v>43867</v>
      </c>
      <c r="B726">
        <v>4.0980000000000003E-2</v>
      </c>
      <c r="C726">
        <v>4.7489999999999997E-2</v>
      </c>
      <c r="D726">
        <v>4.052E-2</v>
      </c>
      <c r="E726">
        <v>4.684E-2</v>
      </c>
      <c r="F726">
        <v>70005396.799999997</v>
      </c>
      <c r="G726">
        <v>0</v>
      </c>
      <c r="L726" t="s">
        <v>8</v>
      </c>
      <c r="M726" t="s">
        <v>8</v>
      </c>
      <c r="N726" t="s">
        <v>8</v>
      </c>
      <c r="P726">
        <f t="shared" si="999"/>
        <v>0.81348637015781977</v>
      </c>
      <c r="Q726">
        <f t="shared" si="1000"/>
        <v>56948436.134289846</v>
      </c>
      <c r="R726">
        <f t="shared" si="1001"/>
        <v>84333989.311603323</v>
      </c>
      <c r="S726">
        <f t="shared" si="1002"/>
        <v>843.33989311603318</v>
      </c>
      <c r="T726">
        <f t="shared" si="1003"/>
        <v>0.84333989311603319</v>
      </c>
    </row>
    <row r="727" spans="1:20" x14ac:dyDescent="0.25">
      <c r="A727" s="5">
        <v>43866</v>
      </c>
      <c r="B727">
        <v>4.1189999999999997E-2</v>
      </c>
      <c r="C727">
        <v>4.1779999999999998E-2</v>
      </c>
      <c r="D727">
        <v>4.0039999999999999E-2</v>
      </c>
      <c r="E727">
        <v>4.095E-2</v>
      </c>
      <c r="F727">
        <v>51881282.799999997</v>
      </c>
      <c r="G727">
        <v>0</v>
      </c>
      <c r="L727" t="s">
        <v>8</v>
      </c>
      <c r="M727" t="s">
        <v>8</v>
      </c>
      <c r="N727" t="s">
        <v>7</v>
      </c>
      <c r="P727">
        <f t="shared" si="999"/>
        <v>4.5977011494255031E-2</v>
      </c>
      <c r="Q727">
        <f t="shared" si="1000"/>
        <v>2385346.3356322958</v>
      </c>
      <c r="R727">
        <f t="shared" si="1001"/>
        <v>27385553.177313477</v>
      </c>
      <c r="S727">
        <f t="shared" si="1002"/>
        <v>273.85553177313477</v>
      </c>
      <c r="T727">
        <f t="shared" si="1003"/>
        <v>0.27385553177313476</v>
      </c>
    </row>
    <row r="728" spans="1:20" x14ac:dyDescent="0.25">
      <c r="A728" s="5">
        <v>43865</v>
      </c>
      <c r="B728">
        <v>4.1099999999999998E-2</v>
      </c>
      <c r="C728">
        <v>4.2720000000000001E-2</v>
      </c>
      <c r="D728">
        <v>3.9419999999999997E-2</v>
      </c>
      <c r="E728">
        <v>4.1169999999999998E-2</v>
      </c>
      <c r="F728">
        <v>45756578.799999997</v>
      </c>
      <c r="G728">
        <v>0</v>
      </c>
      <c r="L728" t="s">
        <v>8</v>
      </c>
      <c r="M728" t="s">
        <v>8</v>
      </c>
      <c r="N728" t="s">
        <v>7</v>
      </c>
      <c r="P728">
        <f t="shared" si="999"/>
        <v>6.0606060606060157E-2</v>
      </c>
      <c r="Q728">
        <f t="shared" si="1000"/>
        <v>2773125.9878787673</v>
      </c>
      <c r="R728">
        <f t="shared" si="1001"/>
        <v>25000206.841681182</v>
      </c>
      <c r="S728">
        <f t="shared" si="1002"/>
        <v>250.00206841681182</v>
      </c>
      <c r="T728">
        <f t="shared" si="1003"/>
        <v>0.25000206841681183</v>
      </c>
    </row>
    <row r="729" spans="1:20" x14ac:dyDescent="0.25">
      <c r="A729" s="5">
        <v>43864</v>
      </c>
      <c r="B729">
        <v>3.9390000000000001E-2</v>
      </c>
      <c r="C729">
        <v>4.1119999999999997E-2</v>
      </c>
      <c r="D729">
        <v>3.9030000000000002E-2</v>
      </c>
      <c r="E729">
        <v>4.1110000000000001E-2</v>
      </c>
      <c r="F729">
        <v>36619792.600000001</v>
      </c>
      <c r="G729">
        <v>0</v>
      </c>
      <c r="L729" t="s">
        <v>8</v>
      </c>
      <c r="M729" t="s">
        <v>7</v>
      </c>
      <c r="N729" t="s">
        <v>7</v>
      </c>
      <c r="P729">
        <f t="shared" si="999"/>
        <v>0.9904306220095731</v>
      </c>
      <c r="Q729">
        <f t="shared" si="1000"/>
        <v>36269363.962679565</v>
      </c>
      <c r="R729">
        <f t="shared" si="1001"/>
        <v>22227080.853802416</v>
      </c>
      <c r="S729">
        <f t="shared" si="1002"/>
        <v>222.27080853802417</v>
      </c>
      <c r="T729">
        <f t="shared" si="1003"/>
        <v>0.22227080853802417</v>
      </c>
    </row>
    <row r="730" spans="1:20" x14ac:dyDescent="0.25">
      <c r="A730" s="5">
        <v>43863</v>
      </c>
      <c r="B730">
        <v>3.8600000000000002E-2</v>
      </c>
      <c r="C730">
        <v>4.0289999999999999E-2</v>
      </c>
      <c r="D730">
        <v>3.7850000000000002E-2</v>
      </c>
      <c r="E730">
        <v>3.9399999999999998E-2</v>
      </c>
      <c r="F730">
        <v>36092415</v>
      </c>
      <c r="G730">
        <v>0</v>
      </c>
      <c r="L730" t="s">
        <v>8</v>
      </c>
      <c r="M730" t="s">
        <v>7</v>
      </c>
      <c r="N730" t="s">
        <v>7</v>
      </c>
      <c r="P730">
        <f t="shared" si="999"/>
        <v>0.27049180327868627</v>
      </c>
      <c r="Q730">
        <f t="shared" si="1000"/>
        <v>9762702.4180327058</v>
      </c>
      <c r="R730">
        <f t="shared" si="1001"/>
        <v>-14042283.108877148</v>
      </c>
      <c r="S730">
        <f t="shared" si="1002"/>
        <v>-140.42283108877149</v>
      </c>
      <c r="T730">
        <f t="shared" si="1003"/>
        <v>-0.14042283108877149</v>
      </c>
    </row>
    <row r="731" spans="1:20" x14ac:dyDescent="0.25">
      <c r="A731" s="5">
        <v>43862</v>
      </c>
      <c r="B731">
        <v>3.8899999999999997E-2</v>
      </c>
      <c r="C731">
        <v>3.9449999999999999E-2</v>
      </c>
      <c r="D731">
        <v>3.7900000000000003E-2</v>
      </c>
      <c r="E731">
        <v>3.8620000000000002E-2</v>
      </c>
      <c r="F731">
        <v>34464424.5</v>
      </c>
      <c r="G731">
        <v>0</v>
      </c>
      <c r="L731" t="s">
        <v>8</v>
      </c>
      <c r="M731" t="s">
        <v>7</v>
      </c>
      <c r="N731" t="s">
        <v>7</v>
      </c>
      <c r="P731">
        <f t="shared" si="999"/>
        <v>-7.0967741935483414E-2</v>
      </c>
      <c r="Q731">
        <f t="shared" si="1000"/>
        <v>-2445862.3838709518</v>
      </c>
      <c r="R731">
        <f t="shared" si="1001"/>
        <v>-23804985.526909854</v>
      </c>
      <c r="S731">
        <f t="shared" si="1002"/>
        <v>-238.04985526909854</v>
      </c>
      <c r="T731">
        <f t="shared" si="1003"/>
        <v>-0.23804985526909855</v>
      </c>
    </row>
    <row r="732" spans="1:20" x14ac:dyDescent="0.25">
      <c r="A732" s="5">
        <v>43861</v>
      </c>
      <c r="B732">
        <v>3.8370000000000001E-2</v>
      </c>
      <c r="C732">
        <v>3.8980000000000001E-2</v>
      </c>
      <c r="D732">
        <v>3.7510000000000002E-2</v>
      </c>
      <c r="E732">
        <v>3.8899999999999997E-2</v>
      </c>
      <c r="F732">
        <v>35769624.899999999</v>
      </c>
      <c r="G732">
        <v>0</v>
      </c>
      <c r="L732" t="s">
        <v>8</v>
      </c>
      <c r="M732" t="s">
        <v>7</v>
      </c>
      <c r="N732" t="s">
        <v>7</v>
      </c>
      <c r="P732">
        <f t="shared" si="999"/>
        <v>0.8911564625850289</v>
      </c>
      <c r="Q732">
        <f t="shared" si="1000"/>
        <v>31876332.393877368</v>
      </c>
      <c r="R732">
        <f t="shared" si="1001"/>
        <v>-21359123.143038902</v>
      </c>
      <c r="S732">
        <f t="shared" si="1002"/>
        <v>-213.59123143038903</v>
      </c>
      <c r="T732">
        <f t="shared" si="1003"/>
        <v>-0.21359123143038902</v>
      </c>
    </row>
    <row r="733" spans="1:20" x14ac:dyDescent="0.25">
      <c r="A733" s="5">
        <v>43860</v>
      </c>
      <c r="B733">
        <v>3.6979999999999999E-2</v>
      </c>
      <c r="C733">
        <v>3.9100000000000003E-2</v>
      </c>
      <c r="D733">
        <v>3.6209999999999999E-2</v>
      </c>
      <c r="E733">
        <v>3.8300000000000001E-2</v>
      </c>
      <c r="F733">
        <v>37129415.200000003</v>
      </c>
      <c r="G733">
        <v>0</v>
      </c>
      <c r="L733" t="s">
        <v>7</v>
      </c>
      <c r="M733" t="s">
        <v>7</v>
      </c>
      <c r="N733" t="s">
        <v>7</v>
      </c>
      <c r="P733">
        <f t="shared" si="999"/>
        <v>0.44636678200691965</v>
      </c>
      <c r="Q733">
        <f t="shared" si="1000"/>
        <v>16573337.580622811</v>
      </c>
      <c r="R733">
        <f t="shared" si="1001"/>
        <v>-53235455.536916271</v>
      </c>
      <c r="S733">
        <f t="shared" si="1002"/>
        <v>-532.35455536916265</v>
      </c>
      <c r="T733">
        <f t="shared" si="1003"/>
        <v>-0.53235455536916265</v>
      </c>
    </row>
    <row r="734" spans="1:20" x14ac:dyDescent="0.25">
      <c r="A734" s="5">
        <v>43859</v>
      </c>
      <c r="B734">
        <v>3.7699999999999997E-2</v>
      </c>
      <c r="C734">
        <v>3.7949999999999998E-2</v>
      </c>
      <c r="D734">
        <v>3.6900000000000002E-2</v>
      </c>
      <c r="E734">
        <v>3.6979999999999999E-2</v>
      </c>
      <c r="F734">
        <v>35117278.100000001</v>
      </c>
      <c r="G734">
        <v>0</v>
      </c>
      <c r="L734" t="s">
        <v>7</v>
      </c>
      <c r="M734" t="s">
        <v>7</v>
      </c>
      <c r="N734" t="s">
        <v>7</v>
      </c>
      <c r="P734">
        <f t="shared" si="999"/>
        <v>-0.84761904761905316</v>
      </c>
      <c r="Q734">
        <f t="shared" si="1000"/>
        <v>-29766073.818095434</v>
      </c>
      <c r="R734">
        <f t="shared" si="1001"/>
        <v>-69808793.117539078</v>
      </c>
      <c r="S734">
        <f t="shared" si="1002"/>
        <v>-698.08793117539074</v>
      </c>
      <c r="T734">
        <f t="shared" si="1003"/>
        <v>-0.6980879311753907</v>
      </c>
    </row>
    <row r="735" spans="1:20" x14ac:dyDescent="0.25">
      <c r="A735" s="5">
        <v>43858</v>
      </c>
      <c r="B735">
        <v>3.8920000000000003E-2</v>
      </c>
      <c r="C735">
        <v>3.9660000000000001E-2</v>
      </c>
      <c r="D735">
        <v>3.7199999999999997E-2</v>
      </c>
      <c r="E735">
        <v>3.7670000000000002E-2</v>
      </c>
      <c r="F735">
        <v>38248559.100000001</v>
      </c>
      <c r="G735">
        <v>0</v>
      </c>
      <c r="L735" t="s">
        <v>7</v>
      </c>
      <c r="M735" t="s">
        <v>7</v>
      </c>
      <c r="N735" t="s">
        <v>7</v>
      </c>
      <c r="P735">
        <f t="shared" si="999"/>
        <v>-0.6178861788617851</v>
      </c>
      <c r="Q735">
        <f t="shared" si="1000"/>
        <v>-23633256.02926816</v>
      </c>
      <c r="R735">
        <f t="shared" si="1001"/>
        <v>-40042719.299443647</v>
      </c>
      <c r="S735">
        <f t="shared" si="1002"/>
        <v>-400.4271929944365</v>
      </c>
      <c r="T735">
        <f t="shared" si="1003"/>
        <v>-0.40042719299443652</v>
      </c>
    </row>
    <row r="736" spans="1:20" x14ac:dyDescent="0.25">
      <c r="A736" s="5">
        <v>43857</v>
      </c>
      <c r="B736">
        <v>3.9010000000000003E-2</v>
      </c>
      <c r="C736">
        <v>3.9550000000000002E-2</v>
      </c>
      <c r="D736">
        <v>3.875E-2</v>
      </c>
      <c r="E736">
        <v>3.8920000000000003E-2</v>
      </c>
      <c r="F736">
        <v>35556384.200000003</v>
      </c>
      <c r="G736">
        <v>0</v>
      </c>
      <c r="L736" t="s">
        <v>8</v>
      </c>
      <c r="M736" t="s">
        <v>7</v>
      </c>
      <c r="N736" t="s">
        <v>7</v>
      </c>
      <c r="P736">
        <f t="shared" si="999"/>
        <v>-0.57499999999999241</v>
      </c>
      <c r="Q736">
        <f t="shared" si="1000"/>
        <v>-20444920.914999731</v>
      </c>
      <c r="R736">
        <f t="shared" si="1001"/>
        <v>-16409463.270175483</v>
      </c>
      <c r="S736">
        <f t="shared" si="1002"/>
        <v>-164.09463270175482</v>
      </c>
      <c r="T736">
        <f t="shared" si="1003"/>
        <v>-0.16409463270175481</v>
      </c>
    </row>
    <row r="737" spans="1:20" x14ac:dyDescent="0.25">
      <c r="A737" s="5">
        <v>43856</v>
      </c>
      <c r="B737">
        <v>3.9849999999999997E-2</v>
      </c>
      <c r="C737">
        <v>4.0529999999999997E-2</v>
      </c>
      <c r="D737">
        <v>3.85E-2</v>
      </c>
      <c r="E737">
        <v>3.8890000000000001E-2</v>
      </c>
      <c r="F737">
        <v>34305760.399999999</v>
      </c>
      <c r="G737">
        <v>0</v>
      </c>
      <c r="L737" t="s">
        <v>8</v>
      </c>
      <c r="M737" t="s">
        <v>7</v>
      </c>
      <c r="N737" t="s">
        <v>7</v>
      </c>
      <c r="P737">
        <f t="shared" si="999"/>
        <v>-0.61576354679802758</v>
      </c>
      <c r="Q737">
        <f t="shared" si="1000"/>
        <v>-21124236.699507322</v>
      </c>
      <c r="R737">
        <f t="shared" si="1001"/>
        <v>4035457.6448242478</v>
      </c>
      <c r="S737">
        <f t="shared" si="1002"/>
        <v>40.354576448242476</v>
      </c>
      <c r="T737">
        <f t="shared" si="1003"/>
        <v>4.0354576448242474E-2</v>
      </c>
    </row>
    <row r="738" spans="1:20" x14ac:dyDescent="0.25">
      <c r="A738" s="5">
        <v>43855</v>
      </c>
      <c r="B738">
        <v>3.8929999999999999E-2</v>
      </c>
      <c r="C738">
        <v>4.0899999999999999E-2</v>
      </c>
      <c r="D738">
        <v>3.8030000000000001E-2</v>
      </c>
      <c r="E738">
        <v>3.9890000000000002E-2</v>
      </c>
      <c r="F738">
        <v>39111811.700000003</v>
      </c>
      <c r="G738">
        <v>0</v>
      </c>
      <c r="L738" t="s">
        <v>8</v>
      </c>
      <c r="M738" t="s">
        <v>7</v>
      </c>
      <c r="N738" t="s">
        <v>7</v>
      </c>
      <c r="P738">
        <f t="shared" si="999"/>
        <v>0.29616724738676109</v>
      </c>
      <c r="Q738">
        <f t="shared" si="1000"/>
        <v>11583637.611498319</v>
      </c>
      <c r="R738">
        <f t="shared" si="1001"/>
        <v>25159694.34433157</v>
      </c>
      <c r="S738">
        <f t="shared" si="1002"/>
        <v>251.59694344331569</v>
      </c>
      <c r="T738">
        <f t="shared" si="1003"/>
        <v>0.25159694344331568</v>
      </c>
    </row>
    <row r="739" spans="1:20" x14ac:dyDescent="0.25">
      <c r="A739" s="5">
        <v>43854</v>
      </c>
      <c r="B739">
        <v>3.7769999999999998E-2</v>
      </c>
      <c r="C739">
        <v>3.9289999999999999E-2</v>
      </c>
      <c r="D739">
        <v>3.6799999999999999E-2</v>
      </c>
      <c r="E739">
        <v>3.8929999999999999E-2</v>
      </c>
      <c r="F739">
        <v>35827414.899999999</v>
      </c>
      <c r="G739">
        <v>0</v>
      </c>
      <c r="L739" t="s">
        <v>7</v>
      </c>
      <c r="M739" t="s">
        <v>7</v>
      </c>
      <c r="N739" t="s">
        <v>7</v>
      </c>
      <c r="P739">
        <f t="shared" si="999"/>
        <v>0.71084337349397642</v>
      </c>
      <c r="Q739">
        <f t="shared" si="1000"/>
        <v>25467680.471084356</v>
      </c>
      <c r="R739">
        <f t="shared" si="1001"/>
        <v>13576056.732833253</v>
      </c>
      <c r="S739">
        <f t="shared" si="1002"/>
        <v>135.76056732833254</v>
      </c>
      <c r="T739">
        <f t="shared" si="1003"/>
        <v>0.13576056732833255</v>
      </c>
    </row>
    <row r="740" spans="1:20" x14ac:dyDescent="0.25">
      <c r="A740" s="5">
        <v>43853</v>
      </c>
      <c r="B740">
        <v>3.9530000000000003E-2</v>
      </c>
      <c r="C740">
        <v>3.9759999999999997E-2</v>
      </c>
      <c r="D740">
        <v>3.7089999999999998E-2</v>
      </c>
      <c r="E740">
        <v>3.7749999999999999E-2</v>
      </c>
      <c r="F740">
        <v>32755381.600000001</v>
      </c>
      <c r="G740">
        <v>0</v>
      </c>
      <c r="L740" t="s">
        <v>7</v>
      </c>
      <c r="M740" t="s">
        <v>7</v>
      </c>
      <c r="N740" t="s">
        <v>7</v>
      </c>
      <c r="P740">
        <f t="shared" si="999"/>
        <v>-0.50561797752808901</v>
      </c>
      <c r="Q740">
        <f t="shared" si="1000"/>
        <v>-16561709.797752781</v>
      </c>
      <c r="R740">
        <f t="shared" si="1001"/>
        <v>-11891623.738251103</v>
      </c>
      <c r="S740">
        <f t="shared" si="1002"/>
        <v>-118.91623738251103</v>
      </c>
      <c r="T740">
        <f t="shared" si="1003"/>
        <v>-0.11891623738251103</v>
      </c>
    </row>
    <row r="741" spans="1:20" x14ac:dyDescent="0.25">
      <c r="A741" s="5">
        <v>43852</v>
      </c>
      <c r="B741">
        <v>3.798E-2</v>
      </c>
      <c r="C741">
        <v>3.9890000000000002E-2</v>
      </c>
      <c r="D741">
        <v>3.7719999999999997E-2</v>
      </c>
      <c r="E741">
        <v>3.952E-2</v>
      </c>
      <c r="F741">
        <v>35758005.100000001</v>
      </c>
      <c r="G741">
        <v>0</v>
      </c>
      <c r="L741" t="s">
        <v>8</v>
      </c>
      <c r="M741" t="s">
        <v>7</v>
      </c>
      <c r="N741" t="s">
        <v>7</v>
      </c>
      <c r="P741">
        <f t="shared" si="999"/>
        <v>0.65898617511520607</v>
      </c>
      <c r="Q741">
        <f t="shared" si="1000"/>
        <v>23564031.010599032</v>
      </c>
      <c r="R741">
        <f t="shared" si="1001"/>
        <v>4670086.0595016778</v>
      </c>
      <c r="S741">
        <f t="shared" si="1002"/>
        <v>46.700860595016778</v>
      </c>
      <c r="T741">
        <f t="shared" si="1003"/>
        <v>4.6700860595016776E-2</v>
      </c>
    </row>
    <row r="742" spans="1:20" x14ac:dyDescent="0.25">
      <c r="A742" s="5">
        <v>43851</v>
      </c>
      <c r="B742">
        <v>3.7400000000000003E-2</v>
      </c>
      <c r="C742">
        <v>3.9E-2</v>
      </c>
      <c r="D742">
        <v>3.7130000000000003E-2</v>
      </c>
      <c r="E742">
        <v>3.8019999999999998E-2</v>
      </c>
      <c r="F742">
        <v>35310804.200000003</v>
      </c>
      <c r="G742">
        <v>0</v>
      </c>
      <c r="L742" t="s">
        <v>8</v>
      </c>
      <c r="M742" t="s">
        <v>7</v>
      </c>
      <c r="N742" t="s">
        <v>7</v>
      </c>
      <c r="P742">
        <f t="shared" si="999"/>
        <v>-4.8128342245992994E-2</v>
      </c>
      <c r="Q742">
        <f t="shared" si="1000"/>
        <v>-1699450.4695188471</v>
      </c>
      <c r="R742">
        <f t="shared" si="1001"/>
        <v>-18893944.951097354</v>
      </c>
      <c r="S742">
        <f t="shared" si="1002"/>
        <v>-188.93944951097353</v>
      </c>
      <c r="T742">
        <f t="shared" si="1003"/>
        <v>-0.18893944951097352</v>
      </c>
    </row>
    <row r="743" spans="1:20" x14ac:dyDescent="0.25">
      <c r="A743" s="5">
        <v>43850</v>
      </c>
      <c r="B743">
        <v>3.771E-2</v>
      </c>
      <c r="C743">
        <v>3.8030000000000001E-2</v>
      </c>
      <c r="D743">
        <v>3.6400000000000002E-2</v>
      </c>
      <c r="E743">
        <v>3.7339999999999998E-2</v>
      </c>
      <c r="F743">
        <v>36097815</v>
      </c>
      <c r="G743">
        <v>0</v>
      </c>
      <c r="L743" t="s">
        <v>7</v>
      </c>
      <c r="M743" t="s">
        <v>7</v>
      </c>
      <c r="N743" t="s">
        <v>7</v>
      </c>
      <c r="P743">
        <f t="shared" si="999"/>
        <v>0.15337423312883028</v>
      </c>
      <c r="Q743">
        <f t="shared" si="1000"/>
        <v>5536474.6932513863</v>
      </c>
      <c r="R743">
        <f t="shared" si="1001"/>
        <v>-17194494.481578507</v>
      </c>
      <c r="S743">
        <f t="shared" si="1002"/>
        <v>-171.94494481578508</v>
      </c>
      <c r="T743">
        <f t="shared" si="1003"/>
        <v>-0.17194494481578507</v>
      </c>
    </row>
    <row r="744" spans="1:20" x14ac:dyDescent="0.25">
      <c r="A744" s="5">
        <v>43849</v>
      </c>
      <c r="B744">
        <v>4.1149999999999999E-2</v>
      </c>
      <c r="C744">
        <v>4.1149999999999999E-2</v>
      </c>
      <c r="D744">
        <v>3.6200000000000003E-2</v>
      </c>
      <c r="E744">
        <v>3.771E-2</v>
      </c>
      <c r="F744">
        <v>37177795.899999999</v>
      </c>
      <c r="G744">
        <v>0</v>
      </c>
      <c r="L744" t="s">
        <v>7</v>
      </c>
      <c r="M744" t="s">
        <v>7</v>
      </c>
      <c r="N744" t="s">
        <v>7</v>
      </c>
      <c r="P744">
        <f t="shared" si="999"/>
        <v>-0.38989898989899047</v>
      </c>
      <c r="Q744">
        <f t="shared" si="1000"/>
        <v>-14495585.068080829</v>
      </c>
      <c r="R744">
        <f t="shared" si="1001"/>
        <v>-22730969.174829893</v>
      </c>
      <c r="S744">
        <f t="shared" si="1002"/>
        <v>-227.30969174829892</v>
      </c>
      <c r="T744">
        <f t="shared" si="1003"/>
        <v>-0.2273096917482989</v>
      </c>
    </row>
    <row r="745" spans="1:20" x14ac:dyDescent="0.25">
      <c r="A745" s="5">
        <v>43848</v>
      </c>
      <c r="B745">
        <v>4.2200000000000001E-2</v>
      </c>
      <c r="C745">
        <v>4.2320000000000003E-2</v>
      </c>
      <c r="D745">
        <v>4.0620000000000003E-2</v>
      </c>
      <c r="E745">
        <v>4.1090000000000002E-2</v>
      </c>
      <c r="F745">
        <v>36008780</v>
      </c>
      <c r="G745">
        <v>0</v>
      </c>
      <c r="L745" t="s">
        <v>8</v>
      </c>
      <c r="M745" t="s">
        <v>8</v>
      </c>
      <c r="N745" t="s">
        <v>7</v>
      </c>
      <c r="P745">
        <f t="shared" si="999"/>
        <v>-0.44705882352941395</v>
      </c>
      <c r="Q745">
        <f t="shared" si="1000"/>
        <v>-16098042.823529491</v>
      </c>
      <c r="R745">
        <f t="shared" si="1001"/>
        <v>-8235384.1067490634</v>
      </c>
      <c r="S745">
        <f t="shared" si="1002"/>
        <v>-82.353841067490634</v>
      </c>
      <c r="T745">
        <f t="shared" si="1003"/>
        <v>-8.2353841067490635E-2</v>
      </c>
    </row>
    <row r="746" spans="1:20" x14ac:dyDescent="0.25">
      <c r="A746" s="5">
        <v>43847</v>
      </c>
      <c r="B746">
        <v>3.9750000000000001E-2</v>
      </c>
      <c r="C746">
        <v>4.2889999999999998E-2</v>
      </c>
      <c r="D746">
        <v>3.9109999999999999E-2</v>
      </c>
      <c r="E746">
        <v>4.2200000000000001E-2</v>
      </c>
      <c r="F746">
        <v>47293870.5</v>
      </c>
      <c r="G746">
        <v>0</v>
      </c>
      <c r="L746" t="s">
        <v>8</v>
      </c>
      <c r="M746" t="s">
        <v>8</v>
      </c>
      <c r="N746" t="s">
        <v>7</v>
      </c>
      <c r="P746">
        <f t="shared" si="999"/>
        <v>0.63492063492063677</v>
      </c>
      <c r="Q746">
        <f t="shared" si="1000"/>
        <v>30027854.285714373</v>
      </c>
      <c r="R746">
        <f t="shared" si="1001"/>
        <v>7862658.7167804278</v>
      </c>
      <c r="S746">
        <f t="shared" si="1002"/>
        <v>78.626587167804274</v>
      </c>
      <c r="T746">
        <f t="shared" si="1003"/>
        <v>7.8626587167804268E-2</v>
      </c>
    </row>
    <row r="747" spans="1:20" x14ac:dyDescent="0.25">
      <c r="A747" s="5">
        <v>43846</v>
      </c>
      <c r="B747">
        <v>4.0050000000000002E-2</v>
      </c>
      <c r="C747">
        <v>4.0399999999999998E-2</v>
      </c>
      <c r="D747">
        <v>3.882E-2</v>
      </c>
      <c r="E747">
        <v>3.9620000000000002E-2</v>
      </c>
      <c r="F747">
        <v>33754861.600000001</v>
      </c>
      <c r="G747">
        <v>0</v>
      </c>
      <c r="L747" t="s">
        <v>7</v>
      </c>
      <c r="M747" t="s">
        <v>8</v>
      </c>
      <c r="N747" t="s">
        <v>7</v>
      </c>
      <c r="P747">
        <f t="shared" si="999"/>
        <v>1.2658227848105157E-2</v>
      </c>
      <c r="Q747">
        <f t="shared" si="1000"/>
        <v>427276.7291140554</v>
      </c>
      <c r="R747">
        <f t="shared" si="1001"/>
        <v>-22165195.568933945</v>
      </c>
      <c r="S747">
        <f t="shared" si="1002"/>
        <v>-221.65195568933945</v>
      </c>
      <c r="T747">
        <f t="shared" si="1003"/>
        <v>-0.22165195568933946</v>
      </c>
    </row>
    <row r="748" spans="1:20" x14ac:dyDescent="0.25">
      <c r="A748" s="5">
        <v>43845</v>
      </c>
      <c r="B748">
        <v>3.8989999999999997E-2</v>
      </c>
      <c r="C748">
        <v>4.095E-2</v>
      </c>
      <c r="D748">
        <v>3.8800000000000001E-2</v>
      </c>
      <c r="E748">
        <v>4.0009999999999997E-2</v>
      </c>
      <c r="F748">
        <v>31846389.899999999</v>
      </c>
      <c r="G748">
        <v>0</v>
      </c>
      <c r="L748" t="s">
        <v>7</v>
      </c>
      <c r="M748" t="s">
        <v>8</v>
      </c>
      <c r="N748" t="s">
        <v>7</v>
      </c>
      <c r="P748">
        <f t="shared" si="999"/>
        <v>0.12558139534883375</v>
      </c>
      <c r="Q748">
        <f t="shared" si="1000"/>
        <v>3999314.0804650062</v>
      </c>
      <c r="R748">
        <f t="shared" si="1001"/>
        <v>-22592472.298048001</v>
      </c>
      <c r="S748">
        <f t="shared" si="1002"/>
        <v>-225.92472298048</v>
      </c>
      <c r="T748">
        <f t="shared" si="1003"/>
        <v>-0.22592472298048</v>
      </c>
    </row>
    <row r="749" spans="1:20" x14ac:dyDescent="0.25">
      <c r="A749" s="5">
        <v>43844</v>
      </c>
      <c r="B749">
        <v>4.07E-2</v>
      </c>
      <c r="C749">
        <v>4.07E-2</v>
      </c>
      <c r="D749">
        <v>3.8289999999999998E-2</v>
      </c>
      <c r="E749">
        <v>3.8989999999999997E-2</v>
      </c>
      <c r="F749">
        <v>47659813.100000001</v>
      </c>
      <c r="G749">
        <v>0</v>
      </c>
      <c r="L749" t="s">
        <v>7</v>
      </c>
      <c r="M749" t="s">
        <v>8</v>
      </c>
      <c r="N749" t="s">
        <v>7</v>
      </c>
      <c r="P749">
        <f t="shared" si="999"/>
        <v>-0.41908713692946181</v>
      </c>
      <c r="Q749">
        <f t="shared" si="1000"/>
        <v>-19973614.618672259</v>
      </c>
      <c r="R749">
        <f t="shared" si="1001"/>
        <v>-26591786.378513008</v>
      </c>
      <c r="S749">
        <f t="shared" si="1002"/>
        <v>-265.91786378513007</v>
      </c>
      <c r="T749">
        <f t="shared" si="1003"/>
        <v>-0.26591786378513005</v>
      </c>
    </row>
    <row r="750" spans="1:20" x14ac:dyDescent="0.25">
      <c r="A750" s="5">
        <v>43843</v>
      </c>
      <c r="B750">
        <v>3.9800000000000002E-2</v>
      </c>
      <c r="C750">
        <v>4.1980000000000003E-2</v>
      </c>
      <c r="D750">
        <v>3.8519999999999999E-2</v>
      </c>
      <c r="E750">
        <v>4.0629999999999999E-2</v>
      </c>
      <c r="F750">
        <v>31765690.199999999</v>
      </c>
      <c r="G750">
        <v>0</v>
      </c>
      <c r="L750" t="s">
        <v>8</v>
      </c>
      <c r="M750" t="s">
        <v>8</v>
      </c>
      <c r="N750" t="s">
        <v>7</v>
      </c>
      <c r="P750">
        <f t="shared" si="999"/>
        <v>0.21965317919075023</v>
      </c>
      <c r="Q750">
        <f t="shared" si="1000"/>
        <v>6977434.8416184578</v>
      </c>
      <c r="R750">
        <f t="shared" si="1001"/>
        <v>-6618171.7598407473</v>
      </c>
      <c r="S750">
        <f t="shared" si="1002"/>
        <v>-66.181717598407474</v>
      </c>
      <c r="T750">
        <f t="shared" si="1003"/>
        <v>-6.6181717598407477E-2</v>
      </c>
    </row>
    <row r="751" spans="1:20" x14ac:dyDescent="0.25">
      <c r="A751" s="5">
        <v>43842</v>
      </c>
      <c r="B751">
        <v>3.7740000000000003E-2</v>
      </c>
      <c r="C751">
        <v>3.9870000000000003E-2</v>
      </c>
      <c r="D751">
        <v>3.7440000000000001E-2</v>
      </c>
      <c r="E751">
        <v>3.9870000000000003E-2</v>
      </c>
      <c r="F751">
        <v>63155272.299999997</v>
      </c>
      <c r="G751">
        <v>0</v>
      </c>
      <c r="L751" t="s">
        <v>8</v>
      </c>
      <c r="M751" t="s">
        <v>7</v>
      </c>
      <c r="N751" t="s">
        <v>7</v>
      </c>
      <c r="P751">
        <f t="shared" si="999"/>
        <v>1</v>
      </c>
      <c r="Q751">
        <f t="shared" si="1000"/>
        <v>63155272.299999997</v>
      </c>
      <c r="R751">
        <f t="shared" si="1001"/>
        <v>-13595606.601459205</v>
      </c>
      <c r="S751">
        <f t="shared" si="1002"/>
        <v>-135.95606601459204</v>
      </c>
      <c r="T751">
        <f t="shared" si="1003"/>
        <v>-0.13595606601459204</v>
      </c>
    </row>
    <row r="752" spans="1:20" x14ac:dyDescent="0.25">
      <c r="A752" s="5">
        <v>43841</v>
      </c>
      <c r="B752">
        <v>3.61E-2</v>
      </c>
      <c r="C752">
        <v>3.9609999999999999E-2</v>
      </c>
      <c r="D752">
        <v>3.6049999999999999E-2</v>
      </c>
      <c r="E752">
        <v>3.7789999999999997E-2</v>
      </c>
      <c r="F752">
        <v>55569199.600000001</v>
      </c>
      <c r="G752">
        <v>0</v>
      </c>
      <c r="L752" t="s">
        <v>8</v>
      </c>
      <c r="M752" t="s">
        <v>7</v>
      </c>
      <c r="N752" t="s">
        <v>7</v>
      </c>
      <c r="P752">
        <f t="shared" si="999"/>
        <v>-2.247191011236058E-2</v>
      </c>
      <c r="Q752">
        <f t="shared" si="1000"/>
        <v>-1248746.0584270235</v>
      </c>
      <c r="R752">
        <f t="shared" si="1001"/>
        <v>-76750878.901459202</v>
      </c>
      <c r="S752">
        <f t="shared" si="1002"/>
        <v>-767.50878901459203</v>
      </c>
      <c r="T752">
        <f t="shared" si="1003"/>
        <v>-0.76750878901459207</v>
      </c>
    </row>
    <row r="753" spans="1:20" x14ac:dyDescent="0.25">
      <c r="A753" s="5">
        <v>43840</v>
      </c>
      <c r="B753">
        <v>3.7490000000000002E-2</v>
      </c>
      <c r="C753">
        <v>3.7499999999999999E-2</v>
      </c>
      <c r="D753">
        <v>3.5880000000000002E-2</v>
      </c>
      <c r="E753">
        <v>3.619E-2</v>
      </c>
      <c r="F753">
        <v>14366760.4</v>
      </c>
      <c r="G753">
        <v>0</v>
      </c>
      <c r="L753" t="s">
        <v>7</v>
      </c>
      <c r="M753" t="s">
        <v>7</v>
      </c>
      <c r="N753" t="s">
        <v>7</v>
      </c>
      <c r="P753">
        <f t="shared" si="999"/>
        <v>-0.6172839506172858</v>
      </c>
      <c r="Q753">
        <f t="shared" si="1000"/>
        <v>-8868370.6172839776</v>
      </c>
      <c r="R753">
        <f t="shared" si="1001"/>
        <v>-75502132.843032181</v>
      </c>
      <c r="S753">
        <f t="shared" si="1002"/>
        <v>-755.02132843032177</v>
      </c>
      <c r="T753">
        <f t="shared" si="1003"/>
        <v>-0.75502132843032177</v>
      </c>
    </row>
    <row r="754" spans="1:20" x14ac:dyDescent="0.25">
      <c r="A754" s="5">
        <v>43839</v>
      </c>
      <c r="B754">
        <v>3.6859999999999997E-2</v>
      </c>
      <c r="C754">
        <v>3.8739999999999997E-2</v>
      </c>
      <c r="D754">
        <v>3.6479999999999999E-2</v>
      </c>
      <c r="E754">
        <v>3.7400000000000003E-2</v>
      </c>
      <c r="F754">
        <v>33356944.300000001</v>
      </c>
      <c r="G754">
        <v>0</v>
      </c>
      <c r="L754" t="s">
        <v>7</v>
      </c>
      <c r="M754" t="s">
        <v>7</v>
      </c>
      <c r="N754" t="s">
        <v>7</v>
      </c>
      <c r="P754">
        <f t="shared" si="999"/>
        <v>-0.18584070796459742</v>
      </c>
      <c r="Q754">
        <f t="shared" si="1000"/>
        <v>-6199078.1442476427</v>
      </c>
      <c r="R754">
        <f t="shared" si="1001"/>
        <v>-66633762.225748204</v>
      </c>
      <c r="S754">
        <f t="shared" si="1002"/>
        <v>-666.33762225748205</v>
      </c>
      <c r="T754">
        <f t="shared" si="1003"/>
        <v>-0.66633762225748205</v>
      </c>
    </row>
    <row r="755" spans="1:20" x14ac:dyDescent="0.25">
      <c r="A755" s="5">
        <v>43838</v>
      </c>
      <c r="B755">
        <v>3.7359999999999997E-2</v>
      </c>
      <c r="C755">
        <v>3.7949999999999998E-2</v>
      </c>
      <c r="D755">
        <v>3.594E-2</v>
      </c>
      <c r="E755">
        <v>3.6859999999999997E-2</v>
      </c>
      <c r="F755">
        <v>35717356.5</v>
      </c>
      <c r="G755">
        <v>0</v>
      </c>
      <c r="L755" t="s">
        <v>7</v>
      </c>
      <c r="M755" t="s">
        <v>7</v>
      </c>
      <c r="N755" t="s">
        <v>7</v>
      </c>
      <c r="P755">
        <f t="shared" si="999"/>
        <v>-8.4577114427862518E-2</v>
      </c>
      <c r="Q755">
        <f t="shared" si="1000"/>
        <v>-3020870.947761259</v>
      </c>
      <c r="R755">
        <f t="shared" si="1001"/>
        <v>-60434684.08150056</v>
      </c>
      <c r="S755">
        <f t="shared" si="1002"/>
        <v>-604.34684081500563</v>
      </c>
      <c r="T755">
        <f t="shared" si="1003"/>
        <v>-0.60434684081500567</v>
      </c>
    </row>
    <row r="756" spans="1:20" x14ac:dyDescent="0.25">
      <c r="A756" s="5">
        <v>43837</v>
      </c>
      <c r="B756">
        <v>3.9510000000000003E-2</v>
      </c>
      <c r="C756">
        <v>3.9570000000000001E-2</v>
      </c>
      <c r="D756">
        <v>3.7130000000000003E-2</v>
      </c>
      <c r="E756">
        <v>3.7199999999999997E-2</v>
      </c>
      <c r="F756">
        <v>37420845.899999999</v>
      </c>
      <c r="G756">
        <v>0</v>
      </c>
      <c r="L756" t="s">
        <v>7</v>
      </c>
      <c r="M756" t="s">
        <v>8</v>
      </c>
      <c r="N756" t="s">
        <v>7</v>
      </c>
      <c r="P756">
        <f t="shared" si="999"/>
        <v>-0.94262295081967729</v>
      </c>
      <c r="Q756">
        <f t="shared" si="1000"/>
        <v>-35273748.184426419</v>
      </c>
      <c r="R756">
        <f t="shared" si="1001"/>
        <v>-57413813.1337393</v>
      </c>
      <c r="S756">
        <f t="shared" si="1002"/>
        <v>-574.13813133739302</v>
      </c>
      <c r="T756">
        <f t="shared" si="1003"/>
        <v>-0.574138131337393</v>
      </c>
    </row>
    <row r="757" spans="1:20" x14ac:dyDescent="0.25">
      <c r="A757" s="5">
        <v>43836</v>
      </c>
      <c r="B757">
        <v>3.8440000000000002E-2</v>
      </c>
      <c r="C757">
        <v>4.0250000000000001E-2</v>
      </c>
      <c r="D757">
        <v>3.8309999999999997E-2</v>
      </c>
      <c r="E757">
        <v>3.9489999999999997E-2</v>
      </c>
      <c r="F757">
        <v>34933787.700000003</v>
      </c>
      <c r="G757">
        <v>0</v>
      </c>
      <c r="L757" t="s">
        <v>7</v>
      </c>
      <c r="M757" t="s">
        <v>8</v>
      </c>
      <c r="N757" t="s">
        <v>7</v>
      </c>
      <c r="P757">
        <f t="shared" si="999"/>
        <v>0.21649484536082261</v>
      </c>
      <c r="Q757">
        <f t="shared" si="1000"/>
        <v>7562984.9659793079</v>
      </c>
      <c r="R757">
        <f t="shared" si="1001"/>
        <v>-22140064.949312881</v>
      </c>
      <c r="S757">
        <f t="shared" si="1002"/>
        <v>-221.40064949312881</v>
      </c>
      <c r="T757">
        <f t="shared" si="1003"/>
        <v>-0.22140064949312882</v>
      </c>
    </row>
    <row r="758" spans="1:20" x14ac:dyDescent="0.25">
      <c r="A758" s="5">
        <v>43835</v>
      </c>
      <c r="B758">
        <v>4.027E-2</v>
      </c>
      <c r="C758">
        <v>4.095E-2</v>
      </c>
      <c r="D758">
        <v>3.8100000000000002E-2</v>
      </c>
      <c r="E758">
        <v>3.8469999999999997E-2</v>
      </c>
      <c r="F758">
        <v>23547132.800000001</v>
      </c>
      <c r="G758">
        <v>0</v>
      </c>
      <c r="L758" t="s">
        <v>7</v>
      </c>
      <c r="M758" t="s">
        <v>8</v>
      </c>
      <c r="N758" t="s">
        <v>7</v>
      </c>
      <c r="P758">
        <f t="shared" si="999"/>
        <v>-0.74035087719298553</v>
      </c>
      <c r="Q758">
        <f t="shared" si="1000"/>
        <v>-17433140.423859723</v>
      </c>
      <c r="R758">
        <f t="shared" si="1001"/>
        <v>-29703049.915292189</v>
      </c>
      <c r="S758">
        <f t="shared" si="1002"/>
        <v>-297.03049915292189</v>
      </c>
      <c r="T758">
        <f t="shared" si="1003"/>
        <v>-0.2970304991529219</v>
      </c>
    </row>
    <row r="759" spans="1:20" x14ac:dyDescent="0.25">
      <c r="A759" s="5">
        <v>43834</v>
      </c>
      <c r="B759">
        <v>3.9190000000000003E-2</v>
      </c>
      <c r="C759">
        <v>4.2479999999999997E-2</v>
      </c>
      <c r="D759">
        <v>3.9E-2</v>
      </c>
      <c r="E759">
        <v>4.027E-2</v>
      </c>
      <c r="F759">
        <v>33250936</v>
      </c>
      <c r="G759">
        <v>0</v>
      </c>
      <c r="L759" t="s">
        <v>8</v>
      </c>
      <c r="M759" t="s">
        <v>8</v>
      </c>
      <c r="N759" t="s">
        <v>7</v>
      </c>
      <c r="P759">
        <f t="shared" si="999"/>
        <v>-0.2701149425287348</v>
      </c>
      <c r="Q759">
        <f t="shared" si="1000"/>
        <v>-8981574.66666664</v>
      </c>
      <c r="R759">
        <f t="shared" si="1001"/>
        <v>-12269909.491432464</v>
      </c>
      <c r="S759">
        <f t="shared" si="1002"/>
        <v>-122.69909491432463</v>
      </c>
      <c r="T759">
        <f t="shared" si="1003"/>
        <v>-0.12269909491432464</v>
      </c>
    </row>
    <row r="760" spans="1:20" x14ac:dyDescent="0.25">
      <c r="A760" s="5">
        <v>43833</v>
      </c>
      <c r="B760">
        <v>3.6450000000000003E-2</v>
      </c>
      <c r="C760">
        <v>3.9600000000000003E-2</v>
      </c>
      <c r="D760">
        <v>3.5560000000000001E-2</v>
      </c>
      <c r="E760">
        <v>3.9059999999999997E-2</v>
      </c>
      <c r="F760">
        <v>27496334.199999999</v>
      </c>
      <c r="G760">
        <v>0</v>
      </c>
      <c r="L760" t="s">
        <v>7</v>
      </c>
      <c r="M760" t="s">
        <v>7</v>
      </c>
      <c r="N760" t="s">
        <v>7</v>
      </c>
      <c r="P760">
        <f t="shared" si="999"/>
        <v>0.73267326732672999</v>
      </c>
      <c r="Q760">
        <f t="shared" si="1000"/>
        <v>20145829.017821707</v>
      </c>
      <c r="R760">
        <f t="shared" si="1001"/>
        <v>-3288334.8247658238</v>
      </c>
      <c r="S760">
        <f t="shared" si="1002"/>
        <v>-32.88334824765824</v>
      </c>
      <c r="T760">
        <f t="shared" si="1003"/>
        <v>-3.2883348247658241E-2</v>
      </c>
    </row>
    <row r="761" spans="1:20" x14ac:dyDescent="0.25">
      <c r="A761" s="5">
        <v>43832</v>
      </c>
      <c r="B761">
        <v>3.8519999999999999E-2</v>
      </c>
      <c r="C761">
        <v>3.918E-2</v>
      </c>
      <c r="D761">
        <v>3.5999999999999997E-2</v>
      </c>
      <c r="E761">
        <v>3.6420000000000001E-2</v>
      </c>
      <c r="F761">
        <v>30680298.800000001</v>
      </c>
      <c r="G761">
        <v>0</v>
      </c>
      <c r="L761" t="s">
        <v>7</v>
      </c>
      <c r="M761" t="s">
        <v>7</v>
      </c>
      <c r="N761" t="s">
        <v>7</v>
      </c>
      <c r="P761">
        <f t="shared" si="999"/>
        <v>-0.73584905660377142</v>
      </c>
      <c r="Q761">
        <f t="shared" si="1000"/>
        <v>-22576068.928301822</v>
      </c>
      <c r="R761">
        <f t="shared" si="1001"/>
        <v>-23434163.842587531</v>
      </c>
      <c r="S761">
        <f t="shared" si="1002"/>
        <v>-234.34163842587532</v>
      </c>
      <c r="T761">
        <f t="shared" si="1003"/>
        <v>-0.23434163842587533</v>
      </c>
    </row>
    <row r="762" spans="1:20" x14ac:dyDescent="0.25">
      <c r="A762" s="5">
        <v>43831</v>
      </c>
      <c r="B762">
        <v>3.7229999999999999E-2</v>
      </c>
      <c r="C762">
        <v>3.9669999999999997E-2</v>
      </c>
      <c r="D762">
        <v>3.7080000000000002E-2</v>
      </c>
      <c r="E762">
        <v>3.832E-2</v>
      </c>
      <c r="F762">
        <v>20204234.800000001</v>
      </c>
      <c r="G762">
        <v>0</v>
      </c>
      <c r="P762">
        <f t="shared" si="999"/>
        <v>-4.2471042471042164E-2</v>
      </c>
      <c r="Q762">
        <f t="shared" si="1000"/>
        <v>-858094.9142857081</v>
      </c>
      <c r="R762">
        <f t="shared" si="1001"/>
        <v>-858094.9142857081</v>
      </c>
      <c r="S762">
        <f t="shared" si="1002"/>
        <v>-8.5809491428570812</v>
      </c>
      <c r="T762">
        <f t="shared" si="1003"/>
        <v>-8.5809491428570812E-3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OH646" sqref="OH646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$A$645</v>
      </c>
      <c r="D111" s="1" t="str">
        <f>ADDRESS(C121-1,D121,1,1)</f>
        <v>$OH$645</v>
      </c>
      <c r="E111"/>
    </row>
    <row r="112" spans="1:5" x14ac:dyDescent="0.25">
      <c r="A112" s="7">
        <v>12164.144957890772</v>
      </c>
      <c r="C112" s="1" t="str">
        <f>ADDRESS(C121,1,1,1)</f>
        <v>$A$646</v>
      </c>
      <c r="D112" s="1" t="str">
        <f>ADDRESS(C121,D121-1,1,1)</f>
        <v>$OG$646</v>
      </c>
      <c r="E112"/>
    </row>
    <row r="113" spans="1:5" x14ac:dyDescent="0.25">
      <c r="A113" s="7">
        <v>11925.63231165762</v>
      </c>
      <c r="C113" s="1" t="str">
        <f>ADDRESS(C121+1,1,1,1)</f>
        <v>$A$647</v>
      </c>
      <c r="D113" s="1" t="str">
        <f>ADDRESS(C121-1,D121+1,1,1)</f>
        <v>$OI$645</v>
      </c>
    </row>
    <row r="114" spans="1:5" x14ac:dyDescent="0.25">
      <c r="A114" s="7">
        <v>11691.796383978059</v>
      </c>
      <c r="C114" s="1" t="str">
        <f>ADDRESS(C121,D121,1,1)</f>
        <v>$OH$646</v>
      </c>
      <c r="D114" s="1" t="str">
        <f>ADDRESS(C121+1,D121+1,1,1)</f>
        <v>$OI$647</v>
      </c>
    </row>
    <row r="115" spans="1:5" x14ac:dyDescent="0.25">
      <c r="A115" s="7">
        <v>11462.545474488292</v>
      </c>
      <c r="C115" s="1" t="str">
        <f>ADDRESS(C121+1,D121,1,1)</f>
        <v>$OH$647</v>
      </c>
    </row>
    <row r="116" spans="1:5" x14ac:dyDescent="0.25">
      <c r="A116" s="7">
        <v>11237.789680870874</v>
      </c>
      <c r="C116" s="1">
        <f>C117-1</f>
        <v>645</v>
      </c>
    </row>
    <row r="117" spans="1:5" x14ac:dyDescent="0.25">
      <c r="A117" s="7">
        <v>11017.440863598895</v>
      </c>
      <c r="C117" s="1">
        <f>C121</f>
        <v>646</v>
      </c>
      <c r="D117" s="1">
        <f>D121</f>
        <v>398</v>
      </c>
    </row>
    <row r="118" spans="1:5" x14ac:dyDescent="0.25">
      <c r="A118" s="7">
        <v>10801.412611371465</v>
      </c>
      <c r="C118" s="1">
        <f>C117+1</f>
        <v>647</v>
      </c>
      <c r="D118" s="1">
        <f>D117+1</f>
        <v>399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646</v>
      </c>
      <c r="D121" s="19">
        <v>398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R646</v>
      </c>
      <c r="D123" s="1" t="str">
        <f>"C"&amp;D121</f>
        <v>C398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0.31087791178825175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5" x14ac:dyDescent="0.25">
      <c r="A529" s="7">
        <v>3.1536243640574906</v>
      </c>
      <c r="B529"/>
      <c r="C529"/>
      <c r="D529"/>
      <c r="E529"/>
    </row>
    <row r="530" spans="1:5" x14ac:dyDescent="0.25">
      <c r="A530" s="7">
        <v>3.0917885922132262</v>
      </c>
      <c r="B530"/>
      <c r="C530"/>
      <c r="D530"/>
      <c r="E530"/>
    </row>
    <row r="531" spans="1:5" x14ac:dyDescent="0.25">
      <c r="A531" s="7">
        <v>3.0311652864835552</v>
      </c>
      <c r="B531"/>
      <c r="C531"/>
      <c r="D531"/>
      <c r="E531"/>
    </row>
    <row r="532" spans="1:5" x14ac:dyDescent="0.25">
      <c r="A532" s="7">
        <v>2.9717306730230932</v>
      </c>
      <c r="B532"/>
      <c r="C532"/>
      <c r="D532"/>
      <c r="E532"/>
    </row>
    <row r="533" spans="1:5" x14ac:dyDescent="0.25">
      <c r="A533" s="7">
        <v>2.9134614441402875</v>
      </c>
      <c r="B533"/>
      <c r="C533"/>
      <c r="D533"/>
      <c r="E533"/>
    </row>
    <row r="534" spans="1:5" x14ac:dyDescent="0.25">
      <c r="A534" s="7">
        <v>2.8563347491571447</v>
      </c>
      <c r="B534"/>
      <c r="C534"/>
      <c r="D534"/>
      <c r="E534"/>
    </row>
    <row r="535" spans="1:5" x14ac:dyDescent="0.25">
      <c r="A535" s="7">
        <v>2.8003281854481812</v>
      </c>
      <c r="B535"/>
      <c r="C535"/>
      <c r="D535"/>
      <c r="E535"/>
    </row>
    <row r="536" spans="1:5" x14ac:dyDescent="0.25">
      <c r="A536" s="7">
        <v>2.7454197896550796</v>
      </c>
      <c r="B536"/>
      <c r="C536"/>
      <c r="D536"/>
      <c r="E536"/>
    </row>
    <row r="537" spans="1:5" x14ac:dyDescent="0.25">
      <c r="A537" s="7">
        <v>2.6915880290736074</v>
      </c>
      <c r="B537"/>
      <c r="C537"/>
      <c r="D537"/>
      <c r="E537"/>
    </row>
    <row r="538" spans="1:5" x14ac:dyDescent="0.25">
      <c r="A538" s="7">
        <v>2.6388117932094191</v>
      </c>
      <c r="B538"/>
      <c r="C538"/>
      <c r="D538"/>
      <c r="E538"/>
    </row>
    <row r="539" spans="1:5" x14ac:dyDescent="0.25">
      <c r="A539" s="7">
        <v>2.5870703854994304</v>
      </c>
      <c r="B539"/>
      <c r="C539"/>
      <c r="D539"/>
      <c r="E539"/>
    </row>
    <row r="540" spans="1:5" x14ac:dyDescent="0.25">
      <c r="A540" s="7">
        <v>2.53634351519552</v>
      </c>
      <c r="B540"/>
      <c r="C540"/>
      <c r="D540"/>
      <c r="E540"/>
    </row>
    <row r="541" spans="1:5" x14ac:dyDescent="0.25">
      <c r="A541" s="7">
        <v>2.4866112894073726</v>
      </c>
      <c r="B541"/>
      <c r="C541"/>
      <c r="D541"/>
      <c r="E541"/>
    </row>
    <row r="542" spans="1:5" x14ac:dyDescent="0.25">
      <c r="A542" s="7">
        <v>2.4378542053013459</v>
      </c>
      <c r="B542"/>
      <c r="C542"/>
      <c r="D542"/>
      <c r="E542"/>
    </row>
    <row r="543" spans="1:5" x14ac:dyDescent="0.25">
      <c r="A543" s="7">
        <v>2.3900531424522997</v>
      </c>
      <c r="B543"/>
      <c r="C543"/>
      <c r="D543"/>
      <c r="E543"/>
    </row>
    <row r="544" spans="1:5" x14ac:dyDescent="0.25">
      <c r="A544" s="7">
        <v>2.343189355345392</v>
      </c>
      <c r="B544"/>
      <c r="C544"/>
      <c r="D544"/>
      <c r="E544"/>
    </row>
    <row r="545" spans="1:5" x14ac:dyDescent="0.25">
      <c r="A545" s="7">
        <v>2.2972444660248938</v>
      </c>
      <c r="B545"/>
      <c r="C545"/>
      <c r="D545"/>
      <c r="E545"/>
    </row>
    <row r="546" spans="1:5" x14ac:dyDescent="0.25">
      <c r="A546" s="7">
        <v>2.252200456887151</v>
      </c>
      <c r="B546"/>
      <c r="C546"/>
      <c r="D546"/>
      <c r="E546"/>
    </row>
    <row r="547" spans="1:5" x14ac:dyDescent="0.25">
      <c r="A547" s="7">
        <v>2.208039663614854</v>
      </c>
      <c r="B547"/>
      <c r="C547"/>
      <c r="D547"/>
      <c r="E547"/>
    </row>
    <row r="548" spans="1:5" x14ac:dyDescent="0.25">
      <c r="A548" s="7">
        <v>2.1647447682498568</v>
      </c>
      <c r="B548"/>
      <c r="C548"/>
      <c r="D548"/>
      <c r="E548"/>
    </row>
    <row r="549" spans="1:5" x14ac:dyDescent="0.25">
      <c r="A549" s="7">
        <v>2.1222987924018204</v>
      </c>
      <c r="B549"/>
      <c r="C549"/>
      <c r="D549"/>
      <c r="E549"/>
    </row>
    <row r="550" spans="1:5" x14ac:dyDescent="0.25">
      <c r="A550" s="7">
        <v>2.0806850905900198</v>
      </c>
      <c r="B550"/>
      <c r="C550"/>
      <c r="D550"/>
      <c r="E550"/>
    </row>
    <row r="551" spans="1:5" x14ac:dyDescent="0.25">
      <c r="A551" s="7">
        <v>2.0398873437157055</v>
      </c>
      <c r="B551"/>
      <c r="C551"/>
      <c r="D551"/>
      <c r="E551"/>
    </row>
    <row r="552" spans="1:5" x14ac:dyDescent="0.25">
      <c r="A552" s="7">
        <v>1.9998895526624565</v>
      </c>
      <c r="B552"/>
      <c r="C552"/>
      <c r="D552"/>
      <c r="E552"/>
    </row>
    <row r="553" spans="1:5" x14ac:dyDescent="0.25">
      <c r="A553" s="7">
        <v>1.9606760320220162</v>
      </c>
      <c r="B553"/>
      <c r="C553"/>
      <c r="D553"/>
      <c r="E553"/>
    </row>
    <row r="554" spans="1:5" x14ac:dyDescent="0.25">
      <c r="A554" s="7">
        <v>1.9222314039431532</v>
      </c>
      <c r="B554"/>
      <c r="C554"/>
      <c r="D554"/>
      <c r="E554"/>
    </row>
    <row r="555" spans="1:5" x14ac:dyDescent="0.25">
      <c r="A555" s="7">
        <v>1.8845405921011305</v>
      </c>
      <c r="B555"/>
      <c r="C555"/>
      <c r="D555"/>
      <c r="E555"/>
    </row>
    <row r="556" spans="1:5" x14ac:dyDescent="0.25">
      <c r="A556" s="7">
        <v>1.8475888157854219</v>
      </c>
      <c r="B556"/>
      <c r="C556"/>
      <c r="D556"/>
      <c r="E556"/>
    </row>
    <row r="557" spans="1:5" x14ac:dyDescent="0.25">
      <c r="A557" s="7">
        <v>1.8113615841033548</v>
      </c>
      <c r="B557"/>
      <c r="C557"/>
      <c r="D557"/>
      <c r="E557"/>
    </row>
    <row r="558" spans="1:5" x14ac:dyDescent="0.25">
      <c r="A558" s="7">
        <v>1.7758446902974065</v>
      </c>
      <c r="B558"/>
      <c r="C558"/>
      <c r="D558"/>
      <c r="E558"/>
    </row>
    <row r="559" spans="1:5" x14ac:dyDescent="0.25">
      <c r="A559" s="7">
        <v>1.7410242061739281</v>
      </c>
      <c r="B559"/>
      <c r="C559"/>
      <c r="D559"/>
      <c r="E559"/>
    </row>
    <row r="560" spans="1:5" x14ac:dyDescent="0.25">
      <c r="A560" s="7">
        <v>1.7068864766411058</v>
      </c>
      <c r="B560"/>
      <c r="C560"/>
      <c r="D560"/>
      <c r="E560"/>
    </row>
    <row r="561" spans="1:5" x14ac:dyDescent="0.25">
      <c r="A561" s="7">
        <v>1.6734181143540252</v>
      </c>
      <c r="B561"/>
      <c r="C561"/>
      <c r="D561"/>
      <c r="E561"/>
    </row>
    <row r="562" spans="1:5" x14ac:dyDescent="0.25">
      <c r="A562" s="7">
        <v>1.6406059944647307</v>
      </c>
      <c r="B562"/>
      <c r="C562"/>
      <c r="D562"/>
      <c r="E562"/>
    </row>
    <row r="563" spans="1:5" x14ac:dyDescent="0.25">
      <c r="A563" s="7">
        <v>1.6084372494752261</v>
      </c>
      <c r="B563"/>
      <c r="C563"/>
      <c r="D563"/>
      <c r="E563"/>
    </row>
    <row r="564" spans="1:5" x14ac:dyDescent="0.25">
      <c r="A564" s="7">
        <v>1.5768992641913981</v>
      </c>
      <c r="B564"/>
      <c r="C564"/>
      <c r="D564"/>
      <c r="E564"/>
    </row>
    <row r="565" spans="1:5" x14ac:dyDescent="0.25">
      <c r="A565" s="7">
        <v>1.5459796707758806</v>
      </c>
      <c r="B565"/>
      <c r="C565"/>
      <c r="D565"/>
      <c r="E565"/>
    </row>
    <row r="566" spans="1:5" x14ac:dyDescent="0.25">
      <c r="A566" s="7">
        <v>1.5156663438979221</v>
      </c>
      <c r="B566"/>
      <c r="C566"/>
      <c r="D566"/>
      <c r="E566"/>
    </row>
    <row r="567" spans="1:5" x14ac:dyDescent="0.25">
      <c r="A567" s="7">
        <v>1.4859473959783549</v>
      </c>
      <c r="B567"/>
      <c r="C567"/>
      <c r="D567"/>
      <c r="E567"/>
    </row>
    <row r="568" spans="1:5" x14ac:dyDescent="0.25">
      <c r="A568" s="7">
        <v>1.4568111725277988</v>
      </c>
      <c r="B568"/>
      <c r="C568"/>
      <c r="D568"/>
      <c r="E568"/>
    </row>
    <row r="569" spans="1:5" x14ac:dyDescent="0.25">
      <c r="A569" s="7">
        <v>1.4282462475762734</v>
      </c>
      <c r="B569"/>
      <c r="C569"/>
      <c r="D569"/>
      <c r="E569"/>
    </row>
    <row r="570" spans="1:5" x14ac:dyDescent="0.25">
      <c r="A570" s="7">
        <v>1.4002414191924248</v>
      </c>
      <c r="B570"/>
      <c r="C570"/>
      <c r="D570"/>
      <c r="E570"/>
    </row>
    <row r="571" spans="1:5" x14ac:dyDescent="0.25">
      <c r="A571" s="7">
        <v>1.3727857050906125</v>
      </c>
      <c r="B571"/>
      <c r="C571"/>
      <c r="D571"/>
      <c r="E571"/>
    </row>
    <row r="572" spans="1:5" x14ac:dyDescent="0.25">
      <c r="A572" s="7">
        <v>1.3458683383241299</v>
      </c>
      <c r="B572"/>
      <c r="C572"/>
      <c r="D572"/>
      <c r="E572"/>
    </row>
    <row r="573" spans="1:5" x14ac:dyDescent="0.25">
      <c r="A573" s="7">
        <v>1.3194787630628724</v>
      </c>
      <c r="B573"/>
      <c r="C573"/>
      <c r="D573"/>
      <c r="E573"/>
    </row>
    <row r="574" spans="1:5" x14ac:dyDescent="0.25">
      <c r="A574" s="7">
        <v>1.2936066304537963</v>
      </c>
      <c r="B574"/>
      <c r="C574"/>
      <c r="D574"/>
      <c r="E574"/>
    </row>
    <row r="575" spans="1:5" x14ac:dyDescent="0.25">
      <c r="A575" s="7">
        <v>1.2682417945625455</v>
      </c>
      <c r="B575"/>
      <c r="C575"/>
      <c r="D575"/>
      <c r="E575"/>
    </row>
    <row r="576" spans="1:5" x14ac:dyDescent="0.25">
      <c r="A576" s="7">
        <v>1.2433743083946525</v>
      </c>
      <c r="B576"/>
      <c r="C576"/>
      <c r="D576"/>
      <c r="E576"/>
    </row>
    <row r="577" spans="1:364" x14ac:dyDescent="0.25">
      <c r="A577" s="7">
        <v>1.2189944199947573</v>
      </c>
      <c r="B577"/>
      <c r="C577"/>
      <c r="D577"/>
      <c r="E577"/>
    </row>
    <row r="578" spans="1:364" x14ac:dyDescent="0.25">
      <c r="A578" s="7">
        <v>1.1950925686223111</v>
      </c>
      <c r="B578"/>
      <c r="C578"/>
      <c r="D578"/>
      <c r="E578"/>
      <c r="LM578" s="27" t="s">
        <v>8</v>
      </c>
    </row>
    <row r="579" spans="1:364" x14ac:dyDescent="0.25">
      <c r="A579" s="7">
        <v>1.1716593810022657</v>
      </c>
      <c r="B579"/>
      <c r="C579"/>
      <c r="D579"/>
      <c r="E579"/>
      <c r="LM579" s="27" t="s">
        <v>8</v>
      </c>
      <c r="LN579" s="27" t="s">
        <v>7</v>
      </c>
    </row>
    <row r="580" spans="1:364" x14ac:dyDescent="0.25">
      <c r="A580" s="7">
        <v>1.14868566764928</v>
      </c>
      <c r="B580"/>
      <c r="C580"/>
      <c r="D580"/>
      <c r="E580"/>
      <c r="LM580" s="27" t="s">
        <v>8</v>
      </c>
      <c r="LN580" s="27" t="s">
        <v>7</v>
      </c>
    </row>
    <row r="581" spans="1:364" x14ac:dyDescent="0.25">
      <c r="A581" s="7">
        <v>1.1261624192640001</v>
      </c>
      <c r="B581"/>
      <c r="C581"/>
      <c r="D581"/>
      <c r="E581"/>
      <c r="LM581" s="27" t="s">
        <v>8</v>
      </c>
      <c r="LN581" s="27" t="s">
        <v>7</v>
      </c>
    </row>
    <row r="582" spans="1:364" x14ac:dyDescent="0.25">
      <c r="A582" s="7">
        <v>1.1040808032</v>
      </c>
      <c r="B582"/>
      <c r="C582"/>
      <c r="D582"/>
      <c r="E582"/>
      <c r="LM582" s="27" t="s">
        <v>8</v>
      </c>
      <c r="LN582" s="27" t="s">
        <v>7</v>
      </c>
    </row>
    <row r="583" spans="1:364" x14ac:dyDescent="0.25">
      <c r="A583" s="7">
        <v>1.08243216</v>
      </c>
      <c r="B583"/>
      <c r="C583"/>
      <c r="D583"/>
      <c r="E583"/>
      <c r="LM583" s="27" t="s">
        <v>8</v>
      </c>
      <c r="LN583" s="27" t="s">
        <v>7</v>
      </c>
    </row>
    <row r="584" spans="1:364" x14ac:dyDescent="0.25">
      <c r="A584" s="7">
        <v>1.0612079999999999</v>
      </c>
      <c r="B584"/>
      <c r="C584"/>
      <c r="D584"/>
      <c r="E584"/>
      <c r="LM584" s="27" t="s">
        <v>8</v>
      </c>
      <c r="LN584" s="27" t="s">
        <v>7</v>
      </c>
    </row>
    <row r="585" spans="1:364" x14ac:dyDescent="0.25">
      <c r="A585" s="7">
        <v>1.0404</v>
      </c>
      <c r="B585"/>
      <c r="C585"/>
      <c r="D585"/>
      <c r="E585"/>
      <c r="LM585" s="27" t="s">
        <v>8</v>
      </c>
      <c r="LN585" s="27" t="s">
        <v>7</v>
      </c>
    </row>
    <row r="586" spans="1:364" x14ac:dyDescent="0.25">
      <c r="A586" s="7">
        <v>1.02</v>
      </c>
      <c r="B586"/>
      <c r="C586"/>
      <c r="D586"/>
      <c r="E586"/>
      <c r="LM586" s="27" t="s">
        <v>8</v>
      </c>
      <c r="LN586" s="27" t="s">
        <v>7</v>
      </c>
      <c r="LS586" s="27" t="s">
        <v>8</v>
      </c>
      <c r="MS586" s="27" t="s">
        <v>8</v>
      </c>
    </row>
    <row r="587" spans="1:364" x14ac:dyDescent="0.25">
      <c r="A587" s="7">
        <v>1</v>
      </c>
      <c r="B587"/>
      <c r="C587"/>
      <c r="D587"/>
      <c r="E587" s="29" t="s">
        <v>8</v>
      </c>
      <c r="LM587" s="27" t="s">
        <v>8</v>
      </c>
      <c r="LN587" s="27" t="s">
        <v>7</v>
      </c>
      <c r="LQ587" s="27" t="s">
        <v>8</v>
      </c>
      <c r="LS587" s="27" t="s">
        <v>8</v>
      </c>
      <c r="LT587" s="27" t="s">
        <v>7</v>
      </c>
      <c r="MS587" s="27" t="s">
        <v>8</v>
      </c>
      <c r="MT587" s="27" t="s">
        <v>7</v>
      </c>
    </row>
    <row r="588" spans="1:364" x14ac:dyDescent="0.25">
      <c r="A588" s="7">
        <v>0.98039215686274506</v>
      </c>
      <c r="B588"/>
      <c r="C588"/>
      <c r="D588"/>
      <c r="E588"/>
      <c r="F588" s="27" t="s">
        <v>7</v>
      </c>
      <c r="LM588" s="27" t="s">
        <v>8</v>
      </c>
      <c r="LN588" s="27" t="s">
        <v>7</v>
      </c>
      <c r="LO588" s="27" t="s">
        <v>8</v>
      </c>
      <c r="LQ588" s="27" t="s">
        <v>8</v>
      </c>
      <c r="LR588" s="27" t="s">
        <v>7</v>
      </c>
      <c r="LS588" s="27" t="s">
        <v>8</v>
      </c>
      <c r="LT588" s="27" t="s">
        <v>7</v>
      </c>
      <c r="MS588" s="27" t="s">
        <v>8</v>
      </c>
      <c r="MT588" s="27" t="s">
        <v>7</v>
      </c>
      <c r="MY588" s="27" t="s">
        <v>8</v>
      </c>
    </row>
    <row r="589" spans="1:364" x14ac:dyDescent="0.25">
      <c r="A589" s="7">
        <v>0.96116878123798544</v>
      </c>
      <c r="B589"/>
      <c r="C589"/>
      <c r="D589"/>
      <c r="E589"/>
      <c r="F589" s="27" t="s">
        <v>7</v>
      </c>
      <c r="LM589" s="27" t="s">
        <v>8</v>
      </c>
      <c r="LN589" s="27" t="s">
        <v>7</v>
      </c>
      <c r="LO589" s="27" t="s">
        <v>8</v>
      </c>
      <c r="LP589" s="27" t="s">
        <v>7</v>
      </c>
      <c r="LQ589" s="27" t="s">
        <v>8</v>
      </c>
      <c r="LR589" s="27" t="s">
        <v>7</v>
      </c>
      <c r="LS589" s="27" t="s">
        <v>8</v>
      </c>
      <c r="LT589" s="27" t="s">
        <v>7</v>
      </c>
      <c r="MO589" s="27" t="s">
        <v>8</v>
      </c>
      <c r="MS589" s="27" t="s">
        <v>8</v>
      </c>
      <c r="MT589" s="27" t="s">
        <v>7</v>
      </c>
      <c r="MY589" s="27" t="s">
        <v>8</v>
      </c>
      <c r="MZ589" s="27" t="s">
        <v>7</v>
      </c>
    </row>
    <row r="590" spans="1:364" x14ac:dyDescent="0.25">
      <c r="A590" s="7">
        <v>0.94232233454704462</v>
      </c>
      <c r="B590"/>
      <c r="C590"/>
      <c r="D590"/>
      <c r="E590"/>
      <c r="F590" s="27" t="s">
        <v>7</v>
      </c>
      <c r="LM590" s="27" t="s">
        <v>8</v>
      </c>
      <c r="LN590" s="27" t="s">
        <v>7</v>
      </c>
      <c r="LO590" s="27" t="s">
        <v>8</v>
      </c>
      <c r="LP590" s="27" t="s">
        <v>7</v>
      </c>
      <c r="LQ590" s="27" t="s">
        <v>8</v>
      </c>
      <c r="LR590" s="27" t="s">
        <v>7</v>
      </c>
      <c r="LS590" s="27" t="s">
        <v>8</v>
      </c>
      <c r="LT590" s="27" t="s">
        <v>7</v>
      </c>
      <c r="MM590" s="27" t="s">
        <v>8</v>
      </c>
      <c r="MO590" s="27" t="s">
        <v>8</v>
      </c>
      <c r="MP590" s="27" t="s">
        <v>7</v>
      </c>
      <c r="MS590" s="27" t="s">
        <v>8</v>
      </c>
      <c r="MT590" s="27" t="s">
        <v>7</v>
      </c>
      <c r="MY590" s="27" t="s">
        <v>8</v>
      </c>
      <c r="MZ590" s="27" t="s">
        <v>7</v>
      </c>
    </row>
    <row r="591" spans="1:364" x14ac:dyDescent="0.25">
      <c r="A591" s="7">
        <v>0.92384542602651432</v>
      </c>
      <c r="B591"/>
      <c r="C591"/>
      <c r="D591"/>
      <c r="E591"/>
      <c r="F591" s="27" t="s">
        <v>7</v>
      </c>
      <c r="LM591" s="27" t="s">
        <v>8</v>
      </c>
      <c r="LN591" s="27" t="s">
        <v>7</v>
      </c>
      <c r="LO591" s="27" t="s">
        <v>8</v>
      </c>
      <c r="LP591" s="27" t="s">
        <v>7</v>
      </c>
      <c r="LQ591" s="27" t="s">
        <v>8</v>
      </c>
      <c r="LR591" s="27" t="s">
        <v>7</v>
      </c>
      <c r="LS591" s="27" t="s">
        <v>8</v>
      </c>
      <c r="LT591" s="27" t="s">
        <v>7</v>
      </c>
      <c r="MM591" s="27" t="s">
        <v>8</v>
      </c>
      <c r="MN591" s="27" t="s">
        <v>7</v>
      </c>
      <c r="MO591" s="27" t="s">
        <v>8</v>
      </c>
      <c r="MP591" s="27" t="s">
        <v>7</v>
      </c>
      <c r="MQ591" s="27" t="s">
        <v>8</v>
      </c>
      <c r="MS591" s="27" t="s">
        <v>8</v>
      </c>
      <c r="MT591" s="27" t="s">
        <v>7</v>
      </c>
      <c r="MU591" s="27" t="s">
        <v>8</v>
      </c>
      <c r="MY591" s="27" t="s">
        <v>8</v>
      </c>
      <c r="MZ591" s="27" t="s">
        <v>7</v>
      </c>
    </row>
    <row r="592" spans="1:364" x14ac:dyDescent="0.25">
      <c r="A592" s="7">
        <v>0.90573080982991594</v>
      </c>
      <c r="B592"/>
      <c r="C592"/>
      <c r="D592"/>
      <c r="E592"/>
      <c r="F592" s="27" t="s">
        <v>7</v>
      </c>
      <c r="LM592" s="27" t="s">
        <v>8</v>
      </c>
      <c r="LN592" s="27" t="s">
        <v>7</v>
      </c>
      <c r="LO592" s="27" t="s">
        <v>8</v>
      </c>
      <c r="LP592" s="27" t="s">
        <v>7</v>
      </c>
      <c r="LQ592" s="27" t="s">
        <v>8</v>
      </c>
      <c r="LR592" s="27" t="s">
        <v>7</v>
      </c>
      <c r="LS592" s="27" t="s">
        <v>8</v>
      </c>
      <c r="LT592" s="27" t="s">
        <v>7</v>
      </c>
      <c r="MM592" s="27" t="s">
        <v>8</v>
      </c>
      <c r="MN592" s="27" t="s">
        <v>7</v>
      </c>
      <c r="MO592" s="27" t="s">
        <v>8</v>
      </c>
      <c r="MP592" s="27" t="s">
        <v>7</v>
      </c>
      <c r="MQ592" s="27" t="s">
        <v>8</v>
      </c>
      <c r="MR592" s="27" t="s">
        <v>7</v>
      </c>
      <c r="MS592" s="27" t="s">
        <v>8</v>
      </c>
      <c r="MT592" s="27" t="s">
        <v>7</v>
      </c>
      <c r="MU592" s="27" t="s">
        <v>8</v>
      </c>
      <c r="MV592" s="27" t="s">
        <v>7</v>
      </c>
      <c r="MY592" s="27" t="s">
        <v>8</v>
      </c>
      <c r="MZ592" s="27" t="s">
        <v>7</v>
      </c>
    </row>
    <row r="593" spans="1:370" x14ac:dyDescent="0.25">
      <c r="A593" s="7">
        <v>0.8879713821861922</v>
      </c>
      <c r="B593"/>
      <c r="C593"/>
      <c r="D593"/>
      <c r="E593"/>
      <c r="F593" s="27" t="s">
        <v>7</v>
      </c>
      <c r="LM593" s="27" t="s">
        <v>8</v>
      </c>
      <c r="LN593" s="27" t="s">
        <v>7</v>
      </c>
      <c r="LO593" s="27" t="s">
        <v>8</v>
      </c>
      <c r="LP593" s="27" t="s">
        <v>7</v>
      </c>
      <c r="LQ593" s="27" t="s">
        <v>8</v>
      </c>
      <c r="LR593" s="27" t="s">
        <v>7</v>
      </c>
      <c r="LS593" s="27" t="s">
        <v>8</v>
      </c>
      <c r="LT593" s="27" t="s">
        <v>7</v>
      </c>
      <c r="MM593" s="27" t="s">
        <v>8</v>
      </c>
      <c r="MN593" s="27" t="s">
        <v>7</v>
      </c>
      <c r="MO593" s="27" t="s">
        <v>8</v>
      </c>
      <c r="MP593" s="27" t="s">
        <v>7</v>
      </c>
      <c r="MQ593" s="27" t="s">
        <v>8</v>
      </c>
      <c r="MR593" s="27" t="s">
        <v>7</v>
      </c>
      <c r="MS593" s="27" t="s">
        <v>8</v>
      </c>
      <c r="MT593" s="27" t="s">
        <v>7</v>
      </c>
      <c r="MU593" s="27" t="s">
        <v>8</v>
      </c>
      <c r="MV593" s="27" t="s">
        <v>7</v>
      </c>
      <c r="MY593" s="27" t="s">
        <v>8</v>
      </c>
      <c r="MZ593" s="27" t="s">
        <v>7</v>
      </c>
    </row>
    <row r="594" spans="1:370" x14ac:dyDescent="0.25">
      <c r="A594" s="7">
        <v>0.87056017861391399</v>
      </c>
      <c r="B594"/>
      <c r="C594"/>
      <c r="D594"/>
      <c r="E594"/>
      <c r="F594" s="27" t="s">
        <v>7</v>
      </c>
      <c r="HO594" s="27" t="s">
        <v>8</v>
      </c>
      <c r="LM594" s="27" t="s">
        <v>8</v>
      </c>
      <c r="LN594" s="27" t="s">
        <v>7</v>
      </c>
      <c r="LO594" s="27" t="s">
        <v>8</v>
      </c>
      <c r="LP594" s="27" t="s">
        <v>7</v>
      </c>
      <c r="LQ594" s="27" t="s">
        <v>8</v>
      </c>
      <c r="LR594" s="27" t="s">
        <v>7</v>
      </c>
      <c r="LT594" s="27" t="s">
        <v>7</v>
      </c>
      <c r="LW594" s="27" t="s">
        <v>8</v>
      </c>
      <c r="MC594" s="27" t="s">
        <v>8</v>
      </c>
      <c r="MM594" s="27" t="s">
        <v>8</v>
      </c>
      <c r="MN594" s="27" t="s">
        <v>7</v>
      </c>
      <c r="MO594" s="27" t="s">
        <v>8</v>
      </c>
      <c r="MP594" s="27" t="s">
        <v>7</v>
      </c>
      <c r="MQ594" s="27" t="s">
        <v>8</v>
      </c>
      <c r="MR594" s="27" t="s">
        <v>7</v>
      </c>
      <c r="MS594" s="27" t="s">
        <v>8</v>
      </c>
      <c r="MT594" s="27" t="s">
        <v>7</v>
      </c>
      <c r="MU594" s="27" t="s">
        <v>8</v>
      </c>
      <c r="MV594" s="27" t="s">
        <v>7</v>
      </c>
      <c r="MY594" s="27" t="s">
        <v>8</v>
      </c>
      <c r="MZ594" s="27" t="s">
        <v>7</v>
      </c>
    </row>
    <row r="595" spans="1:370" x14ac:dyDescent="0.25">
      <c r="A595" s="7">
        <v>0.85349037119011173</v>
      </c>
      <c r="B595"/>
      <c r="C595"/>
      <c r="D595"/>
      <c r="E595"/>
      <c r="F595" s="27" t="s">
        <v>7</v>
      </c>
      <c r="HM595" s="27" t="s">
        <v>8</v>
      </c>
      <c r="HO595" s="27" t="s">
        <v>8</v>
      </c>
      <c r="HP595" s="27" t="s">
        <v>7</v>
      </c>
      <c r="LM595" s="27" t="s">
        <v>8</v>
      </c>
      <c r="LN595" s="27" t="s">
        <v>7</v>
      </c>
      <c r="LO595" s="27" t="s">
        <v>8</v>
      </c>
      <c r="LP595" s="27" t="s">
        <v>7</v>
      </c>
      <c r="LQ595" s="27" t="s">
        <v>8</v>
      </c>
      <c r="LT595" s="27" t="s">
        <v>7</v>
      </c>
      <c r="LU595" s="27" t="s">
        <v>8</v>
      </c>
      <c r="LW595" s="27" t="s">
        <v>8</v>
      </c>
      <c r="LX595" s="27" t="s">
        <v>7</v>
      </c>
      <c r="MC595" s="27" t="s">
        <v>8</v>
      </c>
      <c r="MD595" s="27" t="s">
        <v>7</v>
      </c>
      <c r="MM595" s="27" t="s">
        <v>8</v>
      </c>
      <c r="MN595" s="27" t="s">
        <v>7</v>
      </c>
      <c r="MO595" s="27" t="s">
        <v>8</v>
      </c>
      <c r="MP595" s="27" t="s">
        <v>7</v>
      </c>
      <c r="MQ595" s="27" t="s">
        <v>8</v>
      </c>
      <c r="MR595" s="27" t="s">
        <v>7</v>
      </c>
      <c r="MS595" s="27" t="s">
        <v>8</v>
      </c>
      <c r="MT595" s="27" t="s">
        <v>7</v>
      </c>
      <c r="MV595" s="27" t="s">
        <v>7</v>
      </c>
      <c r="MY595" s="27" t="s">
        <v>8</v>
      </c>
      <c r="MZ595" s="27" t="s">
        <v>7</v>
      </c>
    </row>
    <row r="596" spans="1:370" x14ac:dyDescent="0.25">
      <c r="A596" s="7">
        <v>0.83675526587265858</v>
      </c>
      <c r="B596"/>
      <c r="C596"/>
      <c r="D596"/>
      <c r="E596"/>
      <c r="F596" s="27" t="s">
        <v>7</v>
      </c>
      <c r="HM596" s="27" t="s">
        <v>8</v>
      </c>
      <c r="HN596" s="27" t="s">
        <v>7</v>
      </c>
      <c r="HO596" s="27" t="s">
        <v>8</v>
      </c>
      <c r="HP596" s="27" t="s">
        <v>7</v>
      </c>
      <c r="LM596" s="27" t="s">
        <v>8</v>
      </c>
      <c r="LN596" s="27" t="s">
        <v>7</v>
      </c>
      <c r="LO596" s="27" t="s">
        <v>8</v>
      </c>
      <c r="LP596" s="27" t="s">
        <v>7</v>
      </c>
      <c r="LQ596" s="27" t="s">
        <v>8</v>
      </c>
      <c r="LT596" s="27" t="s">
        <v>7</v>
      </c>
      <c r="LU596" s="27" t="s">
        <v>8</v>
      </c>
      <c r="LV596" s="27" t="s">
        <v>7</v>
      </c>
      <c r="LW596" s="27" t="s">
        <v>8</v>
      </c>
      <c r="LX596" s="27" t="s">
        <v>7</v>
      </c>
      <c r="LY596" s="27" t="s">
        <v>8</v>
      </c>
      <c r="MC596" s="27" t="s">
        <v>8</v>
      </c>
      <c r="MD596" s="27" t="s">
        <v>7</v>
      </c>
      <c r="MG596" s="27" t="s">
        <v>8</v>
      </c>
      <c r="MK596" s="27" t="s">
        <v>8</v>
      </c>
      <c r="MM596" s="27" t="s">
        <v>8</v>
      </c>
      <c r="MN596" s="27" t="s">
        <v>7</v>
      </c>
      <c r="MO596" s="27" t="s">
        <v>8</v>
      </c>
      <c r="MP596" s="27" t="s">
        <v>7</v>
      </c>
      <c r="MQ596" s="27" t="s">
        <v>8</v>
      </c>
      <c r="MR596" s="27" t="s">
        <v>7</v>
      </c>
      <c r="MS596" s="27" t="s">
        <v>8</v>
      </c>
      <c r="MV596" s="27" t="s">
        <v>7</v>
      </c>
      <c r="MY596" s="27" t="s">
        <v>8</v>
      </c>
      <c r="MZ596" s="27" t="s">
        <v>7</v>
      </c>
    </row>
    <row r="597" spans="1:370" x14ac:dyDescent="0.25">
      <c r="A597" s="7">
        <v>0.82034829987515545</v>
      </c>
      <c r="B597"/>
      <c r="C597"/>
      <c r="D597"/>
      <c r="E597"/>
      <c r="F597" s="27" t="s">
        <v>7</v>
      </c>
      <c r="HM597" s="27" t="s">
        <v>8</v>
      </c>
      <c r="HN597" s="27" t="s">
        <v>7</v>
      </c>
      <c r="HO597" s="27" t="s">
        <v>8</v>
      </c>
      <c r="HP597" s="27" t="s">
        <v>7</v>
      </c>
      <c r="LM597" s="27" t="s">
        <v>8</v>
      </c>
      <c r="LN597" s="27" t="s">
        <v>7</v>
      </c>
      <c r="LO597" s="27" t="s">
        <v>8</v>
      </c>
      <c r="LP597" s="27" t="s">
        <v>7</v>
      </c>
      <c r="LQ597" s="27" t="s">
        <v>8</v>
      </c>
      <c r="LT597" s="27" t="s">
        <v>7</v>
      </c>
      <c r="LU597" s="27" t="s">
        <v>8</v>
      </c>
      <c r="LV597" s="27" t="s">
        <v>7</v>
      </c>
      <c r="LW597" s="27" t="s">
        <v>8</v>
      </c>
      <c r="LX597" s="27" t="s">
        <v>7</v>
      </c>
      <c r="LY597" s="27" t="s">
        <v>8</v>
      </c>
      <c r="LZ597" s="27" t="s">
        <v>7</v>
      </c>
      <c r="MC597" s="27" t="s">
        <v>8</v>
      </c>
      <c r="MD597" s="27" t="s">
        <v>7</v>
      </c>
      <c r="MG597" s="27" t="s">
        <v>8</v>
      </c>
      <c r="MH597" s="27" t="s">
        <v>7</v>
      </c>
      <c r="MK597" s="27" t="s">
        <v>8</v>
      </c>
      <c r="ML597" s="27" t="s">
        <v>7</v>
      </c>
      <c r="MM597" s="27" t="s">
        <v>8</v>
      </c>
      <c r="MN597" s="27" t="s">
        <v>7</v>
      </c>
      <c r="MO597" s="27" t="s">
        <v>8</v>
      </c>
      <c r="MP597" s="27" t="s">
        <v>7</v>
      </c>
      <c r="MQ597" s="27" t="s">
        <v>8</v>
      </c>
      <c r="MR597" s="27" t="s">
        <v>7</v>
      </c>
      <c r="MV597" s="27" t="s">
        <v>7</v>
      </c>
      <c r="MY597" s="27" t="s">
        <v>8</v>
      </c>
      <c r="MZ597" s="27" t="s">
        <v>7</v>
      </c>
      <c r="NE597" s="27" t="s">
        <v>8</v>
      </c>
    </row>
    <row r="598" spans="1:370" x14ac:dyDescent="0.25">
      <c r="A598" s="7">
        <v>0.80426303909328967</v>
      </c>
      <c r="B598"/>
      <c r="C598"/>
      <c r="D598"/>
      <c r="E598"/>
      <c r="F598" s="27" t="s">
        <v>7</v>
      </c>
      <c r="HM598" s="27" t="s">
        <v>8</v>
      </c>
      <c r="HN598" s="27" t="s">
        <v>7</v>
      </c>
      <c r="HO598" s="27" t="s">
        <v>8</v>
      </c>
      <c r="HP598" s="27" t="s">
        <v>7</v>
      </c>
      <c r="LM598" s="27" t="s">
        <v>8</v>
      </c>
      <c r="LN598" s="27" t="s">
        <v>7</v>
      </c>
      <c r="LO598" s="27" t="s">
        <v>8</v>
      </c>
      <c r="LP598" s="27" t="s">
        <v>7</v>
      </c>
      <c r="LQ598" s="27" t="s">
        <v>8</v>
      </c>
      <c r="LT598" s="27" t="s">
        <v>7</v>
      </c>
      <c r="LU598" s="27" t="s">
        <v>8</v>
      </c>
      <c r="LV598" s="27" t="s">
        <v>7</v>
      </c>
      <c r="LW598" s="27" t="s">
        <v>8</v>
      </c>
      <c r="LX598" s="27" t="s">
        <v>7</v>
      </c>
      <c r="LY598" s="27" t="s">
        <v>8</v>
      </c>
      <c r="LZ598" s="27" t="s">
        <v>7</v>
      </c>
      <c r="MC598" s="27" t="s">
        <v>8</v>
      </c>
      <c r="MD598" s="27" t="s">
        <v>7</v>
      </c>
      <c r="MG598" s="27" t="s">
        <v>8</v>
      </c>
      <c r="MH598" s="27" t="s">
        <v>7</v>
      </c>
      <c r="MK598" s="27" t="s">
        <v>8</v>
      </c>
      <c r="ML598" s="27" t="s">
        <v>7</v>
      </c>
      <c r="MM598" s="27" t="s">
        <v>8</v>
      </c>
      <c r="MN598" s="27" t="s">
        <v>7</v>
      </c>
      <c r="MO598" s="27" t="s">
        <v>8</v>
      </c>
      <c r="MP598" s="27" t="s">
        <v>7</v>
      </c>
      <c r="MV598" s="27" t="s">
        <v>7</v>
      </c>
      <c r="MW598" s="27" t="s">
        <v>8</v>
      </c>
      <c r="MY598" s="27" t="s">
        <v>8</v>
      </c>
      <c r="MZ598" s="27" t="s">
        <v>7</v>
      </c>
      <c r="NA598" s="27" t="s">
        <v>8</v>
      </c>
      <c r="NE598" s="27" t="s">
        <v>8</v>
      </c>
      <c r="NF598" s="27" t="s">
        <v>7</v>
      </c>
    </row>
    <row r="599" spans="1:370" x14ac:dyDescent="0.25">
      <c r="A599" s="7">
        <v>0.78849317558165644</v>
      </c>
      <c r="B599"/>
      <c r="C599"/>
      <c r="D599"/>
      <c r="E599"/>
      <c r="F599" s="27" t="s">
        <v>7</v>
      </c>
      <c r="HM599" s="27" t="s">
        <v>8</v>
      </c>
      <c r="HN599" s="27" t="s">
        <v>7</v>
      </c>
      <c r="HO599" s="27" t="s">
        <v>8</v>
      </c>
      <c r="HP599" s="27" t="s">
        <v>7</v>
      </c>
      <c r="LM599" s="27" t="s">
        <v>8</v>
      </c>
      <c r="LN599" s="27" t="s">
        <v>7</v>
      </c>
      <c r="LO599" s="27" t="s">
        <v>8</v>
      </c>
      <c r="LP599" s="27" t="s">
        <v>7</v>
      </c>
      <c r="LT599" s="27" t="s">
        <v>7</v>
      </c>
      <c r="LU599" s="27" t="s">
        <v>8</v>
      </c>
      <c r="LV599" s="27" t="s">
        <v>7</v>
      </c>
      <c r="LW599" s="27" t="s">
        <v>8</v>
      </c>
      <c r="LX599" s="27" t="s">
        <v>7</v>
      </c>
      <c r="LY599" s="27" t="s">
        <v>8</v>
      </c>
      <c r="LZ599" s="27" t="s">
        <v>7</v>
      </c>
      <c r="MC599" s="27" t="s">
        <v>8</v>
      </c>
      <c r="MD599" s="27" t="s">
        <v>7</v>
      </c>
      <c r="MG599" s="27" t="s">
        <v>8</v>
      </c>
      <c r="MH599" s="27" t="s">
        <v>7</v>
      </c>
      <c r="MI599" s="27" t="s">
        <v>8</v>
      </c>
      <c r="MK599" s="27" t="s">
        <v>8</v>
      </c>
      <c r="ML599" s="27" t="s">
        <v>7</v>
      </c>
      <c r="MM599" s="27" t="s">
        <v>8</v>
      </c>
      <c r="MN599" s="27" t="s">
        <v>7</v>
      </c>
      <c r="MO599" s="27" t="s">
        <v>8</v>
      </c>
      <c r="MV599" s="27" t="s">
        <v>7</v>
      </c>
      <c r="MW599" s="27" t="s">
        <v>8</v>
      </c>
      <c r="MX599" s="27" t="s">
        <v>7</v>
      </c>
      <c r="MY599" s="27" t="s">
        <v>8</v>
      </c>
      <c r="MZ599" s="27" t="s">
        <v>7</v>
      </c>
      <c r="NA599" s="27" t="s">
        <v>8</v>
      </c>
      <c r="NB599" s="27" t="s">
        <v>7</v>
      </c>
      <c r="NC599" s="27" t="s">
        <v>8</v>
      </c>
      <c r="NE599" s="27" t="s">
        <v>8</v>
      </c>
      <c r="NF599" s="27" t="s">
        <v>7</v>
      </c>
    </row>
    <row r="600" spans="1:370" x14ac:dyDescent="0.25">
      <c r="A600" s="7">
        <v>0.77303252508005538</v>
      </c>
      <c r="B600"/>
      <c r="C600"/>
      <c r="D600"/>
      <c r="E600"/>
      <c r="F600" s="27" t="s">
        <v>7</v>
      </c>
      <c r="HK600" s="27" t="s">
        <v>8</v>
      </c>
      <c r="HM600" s="27" t="s">
        <v>8</v>
      </c>
      <c r="HN600" s="27" t="s">
        <v>7</v>
      </c>
      <c r="HO600" s="27" t="s">
        <v>8</v>
      </c>
      <c r="HP600" s="27" t="s">
        <v>7</v>
      </c>
      <c r="LI600" s="27" t="s">
        <v>8</v>
      </c>
      <c r="LM600" s="27" t="s">
        <v>8</v>
      </c>
      <c r="LN600" s="27" t="s">
        <v>7</v>
      </c>
      <c r="LO600" s="27" t="s">
        <v>8</v>
      </c>
      <c r="LT600" s="27" t="s">
        <v>7</v>
      </c>
      <c r="LU600" s="27" t="s">
        <v>8</v>
      </c>
      <c r="LV600" s="27" t="s">
        <v>7</v>
      </c>
      <c r="LW600" s="27" t="s">
        <v>8</v>
      </c>
      <c r="LX600" s="27" t="s">
        <v>7</v>
      </c>
      <c r="LY600" s="27" t="s">
        <v>8</v>
      </c>
      <c r="LZ600" s="27" t="s">
        <v>7</v>
      </c>
      <c r="MA600" s="27" t="s">
        <v>8</v>
      </c>
      <c r="MC600" s="27" t="s">
        <v>8</v>
      </c>
      <c r="MD600" s="27" t="s">
        <v>7</v>
      </c>
      <c r="MG600" s="27" t="s">
        <v>8</v>
      </c>
      <c r="MH600" s="27" t="s">
        <v>7</v>
      </c>
      <c r="MI600" s="27" t="s">
        <v>8</v>
      </c>
      <c r="MJ600" s="27" t="s">
        <v>7</v>
      </c>
      <c r="MK600" s="27" t="s">
        <v>8</v>
      </c>
      <c r="ML600" s="27" t="s">
        <v>7</v>
      </c>
      <c r="MM600" s="27" t="s">
        <v>8</v>
      </c>
      <c r="MN600" s="27" t="s">
        <v>7</v>
      </c>
      <c r="MO600" s="27" t="s">
        <v>8</v>
      </c>
      <c r="MV600" s="27" t="s">
        <v>7</v>
      </c>
      <c r="MW600" s="27" t="s">
        <v>8</v>
      </c>
      <c r="MX600" s="27" t="s">
        <v>7</v>
      </c>
      <c r="MY600" s="27" t="s">
        <v>8</v>
      </c>
      <c r="MZ600" s="27" t="s">
        <v>7</v>
      </c>
      <c r="NA600" s="27" t="s">
        <v>8</v>
      </c>
      <c r="NB600" s="27" t="s">
        <v>7</v>
      </c>
      <c r="NC600" s="27" t="s">
        <v>8</v>
      </c>
      <c r="ND600" s="27" t="s">
        <v>7</v>
      </c>
      <c r="NE600" s="27" t="s">
        <v>8</v>
      </c>
      <c r="NF600" s="27" t="s">
        <v>7</v>
      </c>
    </row>
    <row r="601" spans="1:370" x14ac:dyDescent="0.25">
      <c r="A601" s="7">
        <v>0.75787502458828959</v>
      </c>
      <c r="B601"/>
      <c r="C601"/>
      <c r="D601"/>
      <c r="E601"/>
      <c r="F601" s="27" t="s">
        <v>7</v>
      </c>
      <c r="HK601" s="27" t="s">
        <v>8</v>
      </c>
      <c r="HL601" s="27" t="s">
        <v>7</v>
      </c>
      <c r="HM601" s="27" t="s">
        <v>8</v>
      </c>
      <c r="HN601" s="27" t="s">
        <v>7</v>
      </c>
      <c r="HP601" s="27" t="s">
        <v>7</v>
      </c>
      <c r="HU601" s="27" t="s">
        <v>8</v>
      </c>
      <c r="LI601" s="27" t="s">
        <v>8</v>
      </c>
      <c r="LJ601" s="27" t="s">
        <v>7</v>
      </c>
      <c r="LK601" s="27" t="s">
        <v>8</v>
      </c>
      <c r="LM601" s="27" t="s">
        <v>8</v>
      </c>
      <c r="LN601" s="27" t="s">
        <v>7</v>
      </c>
      <c r="LT601" s="27" t="s">
        <v>7</v>
      </c>
      <c r="LU601" s="27" t="s">
        <v>8</v>
      </c>
      <c r="LV601" s="27" t="s">
        <v>7</v>
      </c>
      <c r="LW601" s="27" t="s">
        <v>8</v>
      </c>
      <c r="LX601" s="27" t="s">
        <v>7</v>
      </c>
      <c r="LY601" s="27" t="s">
        <v>8</v>
      </c>
      <c r="LZ601" s="27" t="s">
        <v>7</v>
      </c>
      <c r="MA601" s="27" t="s">
        <v>8</v>
      </c>
      <c r="MB601" s="27" t="s">
        <v>7</v>
      </c>
      <c r="MC601" s="27" t="s">
        <v>8</v>
      </c>
      <c r="MD601" s="27" t="s">
        <v>7</v>
      </c>
      <c r="ME601" s="27" t="s">
        <v>8</v>
      </c>
      <c r="MG601" s="27" t="s">
        <v>8</v>
      </c>
      <c r="MH601" s="27" t="s">
        <v>7</v>
      </c>
      <c r="MI601" s="27" t="s">
        <v>8</v>
      </c>
      <c r="MJ601" s="27" t="s">
        <v>7</v>
      </c>
      <c r="MK601" s="27" t="s">
        <v>8</v>
      </c>
      <c r="ML601" s="27" t="s">
        <v>7</v>
      </c>
      <c r="MM601" s="27" t="s">
        <v>8</v>
      </c>
      <c r="MN601" s="27" t="s">
        <v>7</v>
      </c>
      <c r="MO601" s="27" t="s">
        <v>8</v>
      </c>
      <c r="MV601" s="27" t="s">
        <v>7</v>
      </c>
      <c r="MW601" s="27" t="s">
        <v>8</v>
      </c>
      <c r="MX601" s="27" t="s">
        <v>7</v>
      </c>
      <c r="MY601" s="27" t="s">
        <v>8</v>
      </c>
      <c r="MZ601" s="27" t="s">
        <v>7</v>
      </c>
      <c r="NA601" s="27" t="s">
        <v>8</v>
      </c>
      <c r="NB601" s="27" t="s">
        <v>7</v>
      </c>
      <c r="NC601" s="27" t="s">
        <v>8</v>
      </c>
      <c r="ND601" s="27" t="s">
        <v>7</v>
      </c>
      <c r="NE601" s="27" t="s">
        <v>8</v>
      </c>
      <c r="NF601" s="27" t="s">
        <v>7</v>
      </c>
    </row>
    <row r="602" spans="1:370" x14ac:dyDescent="0.25">
      <c r="A602" s="7">
        <v>0.74301472998851925</v>
      </c>
      <c r="B602"/>
      <c r="C602"/>
      <c r="D602"/>
      <c r="E602"/>
      <c r="F602" s="27" t="s">
        <v>7</v>
      </c>
      <c r="HG602" s="27" t="s">
        <v>8</v>
      </c>
      <c r="HK602" s="27" t="s">
        <v>8</v>
      </c>
      <c r="HL602" s="27" t="s">
        <v>7</v>
      </c>
      <c r="HM602" s="27" t="s">
        <v>8</v>
      </c>
      <c r="HP602" s="27" t="s">
        <v>7</v>
      </c>
      <c r="HQ602" s="27" t="s">
        <v>8</v>
      </c>
      <c r="HS602" s="27" t="s">
        <v>8</v>
      </c>
      <c r="HU602" s="27" t="s">
        <v>8</v>
      </c>
      <c r="HV602" s="27" t="s">
        <v>7</v>
      </c>
      <c r="LI602" s="27" t="s">
        <v>8</v>
      </c>
      <c r="LJ602" s="27" t="s">
        <v>7</v>
      </c>
      <c r="LK602" s="27" t="s">
        <v>8</v>
      </c>
      <c r="LL602" s="27" t="s">
        <v>7</v>
      </c>
      <c r="LM602" s="27" t="s">
        <v>8</v>
      </c>
      <c r="LT602" s="27" t="s">
        <v>7</v>
      </c>
      <c r="LU602" s="27" t="s">
        <v>8</v>
      </c>
      <c r="LV602" s="27" t="s">
        <v>7</v>
      </c>
      <c r="LW602" s="27" t="s">
        <v>8</v>
      </c>
      <c r="LX602" s="27" t="s">
        <v>7</v>
      </c>
      <c r="LY602" s="27" t="s">
        <v>8</v>
      </c>
      <c r="LZ602" s="27" t="s">
        <v>7</v>
      </c>
      <c r="MA602" s="27" t="s">
        <v>8</v>
      </c>
      <c r="MB602" s="27" t="s">
        <v>7</v>
      </c>
      <c r="MC602" s="27" t="s">
        <v>8</v>
      </c>
      <c r="MD602" s="27" t="s">
        <v>7</v>
      </c>
      <c r="ME602" s="27" t="s">
        <v>8</v>
      </c>
      <c r="MF602" s="27" t="s">
        <v>7</v>
      </c>
      <c r="MG602" s="27" t="s">
        <v>8</v>
      </c>
      <c r="MH602" s="27" t="s">
        <v>7</v>
      </c>
      <c r="MI602" s="27" t="s">
        <v>8</v>
      </c>
      <c r="MJ602" s="27" t="s">
        <v>7</v>
      </c>
      <c r="MK602" s="27" t="s">
        <v>8</v>
      </c>
      <c r="ML602" s="27" t="s">
        <v>7</v>
      </c>
      <c r="MM602" s="27" t="s">
        <v>8</v>
      </c>
      <c r="MN602" s="27" t="s">
        <v>7</v>
      </c>
      <c r="MV602" s="27" t="s">
        <v>7</v>
      </c>
      <c r="MW602" s="27" t="s">
        <v>8</v>
      </c>
      <c r="MX602" s="27" t="s">
        <v>7</v>
      </c>
      <c r="MY602" s="27" t="s">
        <v>8</v>
      </c>
      <c r="MZ602" s="27" t="s">
        <v>7</v>
      </c>
      <c r="NA602" s="27" t="s">
        <v>8</v>
      </c>
      <c r="NB602" s="27" t="s">
        <v>7</v>
      </c>
      <c r="NC602" s="27" t="s">
        <v>8</v>
      </c>
      <c r="ND602" s="27" t="s">
        <v>7</v>
      </c>
      <c r="NE602" s="27" t="s">
        <v>8</v>
      </c>
      <c r="NF602" s="27" t="s">
        <v>7</v>
      </c>
    </row>
    <row r="603" spans="1:370" x14ac:dyDescent="0.25">
      <c r="A603" s="7">
        <v>0.72844581371423456</v>
      </c>
      <c r="B603"/>
      <c r="C603"/>
      <c r="D603"/>
      <c r="E603"/>
      <c r="F603" s="27" t="s">
        <v>7</v>
      </c>
      <c r="HG603" s="27" t="s">
        <v>8</v>
      </c>
      <c r="HH603" s="27" t="s">
        <v>7</v>
      </c>
      <c r="HK603" s="27" t="s">
        <v>8</v>
      </c>
      <c r="HL603" s="27" t="s">
        <v>7</v>
      </c>
      <c r="HM603" s="27" t="s">
        <v>8</v>
      </c>
      <c r="HP603" s="27" t="s">
        <v>7</v>
      </c>
      <c r="HQ603" s="27" t="s">
        <v>8</v>
      </c>
      <c r="HR603" s="27" t="s">
        <v>7</v>
      </c>
      <c r="HS603" s="27" t="s">
        <v>8</v>
      </c>
      <c r="HT603" s="27" t="s">
        <v>7</v>
      </c>
      <c r="HU603" s="27" t="s">
        <v>8</v>
      </c>
      <c r="HV603" s="27" t="s">
        <v>7</v>
      </c>
      <c r="LI603" s="27" t="s">
        <v>8</v>
      </c>
      <c r="LJ603" s="27" t="s">
        <v>7</v>
      </c>
      <c r="LK603" s="27" t="s">
        <v>8</v>
      </c>
      <c r="LL603" s="27" t="s">
        <v>7</v>
      </c>
      <c r="LM603" s="27" t="s">
        <v>8</v>
      </c>
      <c r="LT603" s="27" t="s">
        <v>7</v>
      </c>
      <c r="LU603" s="27" t="s">
        <v>8</v>
      </c>
      <c r="LV603" s="27" t="s">
        <v>7</v>
      </c>
      <c r="LW603" s="27" t="s">
        <v>8</v>
      </c>
      <c r="LX603" s="27" t="s">
        <v>7</v>
      </c>
      <c r="LY603" s="27" t="s">
        <v>8</v>
      </c>
      <c r="LZ603" s="27" t="s">
        <v>7</v>
      </c>
      <c r="MB603" s="27" t="s">
        <v>7</v>
      </c>
      <c r="MC603" s="27" t="s">
        <v>8</v>
      </c>
      <c r="MD603" s="27" t="s">
        <v>7</v>
      </c>
      <c r="ME603" s="27" t="s">
        <v>8</v>
      </c>
      <c r="MF603" s="27" t="s">
        <v>7</v>
      </c>
      <c r="MG603" s="27" t="s">
        <v>8</v>
      </c>
      <c r="MH603" s="27" t="s">
        <v>7</v>
      </c>
      <c r="MI603" s="27" t="s">
        <v>8</v>
      </c>
      <c r="MJ603" s="27" t="s">
        <v>7</v>
      </c>
      <c r="ML603" s="27" t="s">
        <v>7</v>
      </c>
      <c r="MM603" s="27" t="s">
        <v>8</v>
      </c>
      <c r="MV603" s="27" t="s">
        <v>7</v>
      </c>
      <c r="MX603" s="27" t="s">
        <v>7</v>
      </c>
      <c r="MY603" s="27" t="s">
        <v>8</v>
      </c>
      <c r="MZ603" s="27" t="s">
        <v>7</v>
      </c>
      <c r="NA603" s="27" t="s">
        <v>8</v>
      </c>
      <c r="NB603" s="27" t="s">
        <v>7</v>
      </c>
      <c r="NC603" s="27" t="s">
        <v>8</v>
      </c>
      <c r="ND603" s="27" t="s">
        <v>7</v>
      </c>
      <c r="NF603" s="27" t="s">
        <v>7</v>
      </c>
    </row>
    <row r="604" spans="1:370" x14ac:dyDescent="0.25">
      <c r="A604" s="7">
        <v>0.71416256246493581</v>
      </c>
      <c r="B604"/>
      <c r="C604"/>
      <c r="D604"/>
      <c r="E604"/>
      <c r="F604" s="27" t="s">
        <v>7</v>
      </c>
      <c r="HG604" s="27" t="s">
        <v>8</v>
      </c>
      <c r="HH604" s="27" t="s">
        <v>7</v>
      </c>
      <c r="HK604" s="27" t="s">
        <v>8</v>
      </c>
      <c r="HL604" s="27" t="s">
        <v>7</v>
      </c>
      <c r="HM604" s="27" t="s">
        <v>8</v>
      </c>
      <c r="HP604" s="27" t="s">
        <v>7</v>
      </c>
      <c r="HQ604" s="27" t="s">
        <v>8</v>
      </c>
      <c r="HR604" s="27" t="s">
        <v>7</v>
      </c>
      <c r="HS604" s="27" t="s">
        <v>8</v>
      </c>
      <c r="HT604" s="27" t="s">
        <v>7</v>
      </c>
      <c r="HU604" s="27" t="s">
        <v>8</v>
      </c>
      <c r="HV604" s="27" t="s">
        <v>7</v>
      </c>
      <c r="LI604" s="27" t="s">
        <v>8</v>
      </c>
      <c r="LJ604" s="27" t="s">
        <v>7</v>
      </c>
      <c r="LK604" s="27" t="s">
        <v>8</v>
      </c>
      <c r="LL604" s="27" t="s">
        <v>7</v>
      </c>
      <c r="LM604" s="27" t="s">
        <v>8</v>
      </c>
      <c r="LT604" s="27" t="s">
        <v>7</v>
      </c>
      <c r="LU604" s="27" t="s">
        <v>8</v>
      </c>
      <c r="LV604" s="27" t="s">
        <v>7</v>
      </c>
      <c r="LW604" s="27" t="s">
        <v>8</v>
      </c>
      <c r="LX604" s="27" t="s">
        <v>7</v>
      </c>
      <c r="LY604" s="27" t="s">
        <v>8</v>
      </c>
      <c r="MB604" s="27" t="s">
        <v>7</v>
      </c>
      <c r="MC604" s="27" t="s">
        <v>8</v>
      </c>
      <c r="MD604" s="27" t="s">
        <v>7</v>
      </c>
      <c r="ME604" s="27" t="s">
        <v>8</v>
      </c>
      <c r="MF604" s="27" t="s">
        <v>7</v>
      </c>
      <c r="MH604" s="27" t="s">
        <v>7</v>
      </c>
      <c r="MI604" s="27" t="s">
        <v>8</v>
      </c>
      <c r="ML604" s="27" t="s">
        <v>7</v>
      </c>
      <c r="MX604" s="27" t="s">
        <v>7</v>
      </c>
      <c r="MY604" s="27" t="s">
        <v>8</v>
      </c>
      <c r="MZ604" s="27" t="s">
        <v>7</v>
      </c>
      <c r="NB604" s="27" t="s">
        <v>7</v>
      </c>
      <c r="NC604" s="27" t="s">
        <v>8</v>
      </c>
      <c r="NF604" s="27" t="s">
        <v>7</v>
      </c>
    </row>
    <row r="605" spans="1:370" x14ac:dyDescent="0.25">
      <c r="A605" s="7">
        <v>0.7001593749656233</v>
      </c>
      <c r="B605"/>
      <c r="C605"/>
      <c r="D605"/>
      <c r="E605"/>
      <c r="F605" s="27" t="s">
        <v>7</v>
      </c>
      <c r="HG605" s="27" t="s">
        <v>8</v>
      </c>
      <c r="HH605" s="27" t="s">
        <v>7</v>
      </c>
      <c r="HK605" s="27" t="s">
        <v>8</v>
      </c>
      <c r="HL605" s="27" t="s">
        <v>7</v>
      </c>
      <c r="HM605" s="27" t="s">
        <v>8</v>
      </c>
      <c r="HP605" s="27" t="s">
        <v>7</v>
      </c>
      <c r="HQ605" s="27" t="s">
        <v>8</v>
      </c>
      <c r="HR605" s="27" t="s">
        <v>7</v>
      </c>
      <c r="HS605" s="27" t="s">
        <v>8</v>
      </c>
      <c r="HT605" s="27" t="s">
        <v>7</v>
      </c>
      <c r="HU605" s="27" t="s">
        <v>8</v>
      </c>
      <c r="HV605" s="27" t="s">
        <v>7</v>
      </c>
      <c r="LI605" s="27" t="s">
        <v>8</v>
      </c>
      <c r="LJ605" s="27" t="s">
        <v>7</v>
      </c>
      <c r="LK605" s="27" t="s">
        <v>8</v>
      </c>
      <c r="LL605" s="27" t="s">
        <v>7</v>
      </c>
      <c r="LM605" s="27" t="s">
        <v>8</v>
      </c>
      <c r="LT605" s="27" t="s">
        <v>7</v>
      </c>
      <c r="LU605" s="27" t="s">
        <v>8</v>
      </c>
      <c r="LV605" s="27" t="s">
        <v>7</v>
      </c>
      <c r="LX605" s="27" t="s">
        <v>7</v>
      </c>
      <c r="LY605" s="27" t="s">
        <v>8</v>
      </c>
      <c r="MB605" s="27" t="s">
        <v>7</v>
      </c>
      <c r="MC605" s="27" t="s">
        <v>8</v>
      </c>
      <c r="MD605" s="27" t="s">
        <v>7</v>
      </c>
      <c r="MH605" s="27" t="s">
        <v>7</v>
      </c>
      <c r="MX605" s="27" t="s">
        <v>7</v>
      </c>
      <c r="MY605" s="27" t="s">
        <v>8</v>
      </c>
      <c r="NB605" s="27" t="s">
        <v>7</v>
      </c>
      <c r="NF605" s="27" t="s">
        <v>7</v>
      </c>
    </row>
    <row r="606" spans="1:370" x14ac:dyDescent="0.25">
      <c r="A606" s="7">
        <v>0.68643075977021883</v>
      </c>
      <c r="B606"/>
      <c r="C606"/>
      <c r="D606"/>
      <c r="E606"/>
      <c r="F606" s="27" t="s">
        <v>7</v>
      </c>
      <c r="HG606" s="27" t="s">
        <v>8</v>
      </c>
      <c r="HH606" s="27" t="s">
        <v>7</v>
      </c>
      <c r="HK606" s="27" t="s">
        <v>8</v>
      </c>
      <c r="HL606" s="27" t="s">
        <v>7</v>
      </c>
      <c r="HM606" s="27" t="s">
        <v>8</v>
      </c>
      <c r="HP606" s="27" t="s">
        <v>7</v>
      </c>
      <c r="HR606" s="27" t="s">
        <v>7</v>
      </c>
      <c r="HS606" s="27" t="s">
        <v>8</v>
      </c>
      <c r="HT606" s="27" t="s">
        <v>7</v>
      </c>
      <c r="HU606" s="27" t="s">
        <v>8</v>
      </c>
      <c r="HV606" s="27" t="s">
        <v>7</v>
      </c>
      <c r="HY606" s="27" t="s">
        <v>8</v>
      </c>
      <c r="IK606" s="27" t="s">
        <v>8</v>
      </c>
      <c r="IM606" s="27" t="s">
        <v>8</v>
      </c>
      <c r="LI606" s="27" t="s">
        <v>8</v>
      </c>
      <c r="LJ606" s="27" t="s">
        <v>7</v>
      </c>
      <c r="LL606" s="27" t="s">
        <v>7</v>
      </c>
      <c r="LM606" s="27" t="s">
        <v>8</v>
      </c>
      <c r="LT606" s="27" t="s">
        <v>7</v>
      </c>
      <c r="LU606" s="27" t="s">
        <v>8</v>
      </c>
      <c r="LX606" s="27" t="s">
        <v>7</v>
      </c>
      <c r="LY606" s="27" t="s">
        <v>8</v>
      </c>
      <c r="MB606" s="27" t="s">
        <v>7</v>
      </c>
      <c r="MC606" s="27" t="s">
        <v>8</v>
      </c>
      <c r="MX606" s="27" t="s">
        <v>7</v>
      </c>
      <c r="MY606" s="27" t="s">
        <v>8</v>
      </c>
      <c r="NF606" s="27" t="s">
        <v>7</v>
      </c>
    </row>
    <row r="607" spans="1:370" x14ac:dyDescent="0.25">
      <c r="A607" s="7">
        <v>0.67297133310805768</v>
      </c>
      <c r="B607"/>
      <c r="C607"/>
      <c r="D607"/>
      <c r="E607"/>
      <c r="F607" s="27" t="s">
        <v>7</v>
      </c>
      <c r="HG607" s="27" t="s">
        <v>8</v>
      </c>
      <c r="HH607" s="27" t="s">
        <v>7</v>
      </c>
      <c r="HI607" s="27" t="s">
        <v>8</v>
      </c>
      <c r="HK607" s="27" t="s">
        <v>8</v>
      </c>
      <c r="HL607" s="27" t="s">
        <v>7</v>
      </c>
      <c r="HM607" s="27" t="s">
        <v>8</v>
      </c>
      <c r="HR607" s="27" t="s">
        <v>7</v>
      </c>
      <c r="HS607" s="27" t="s">
        <v>8</v>
      </c>
      <c r="HT607" s="27" t="s">
        <v>7</v>
      </c>
      <c r="HU607" s="27" t="s">
        <v>8</v>
      </c>
      <c r="HV607" s="27" t="s">
        <v>7</v>
      </c>
      <c r="HY607" s="27" t="s">
        <v>8</v>
      </c>
      <c r="HZ607" s="27" t="s">
        <v>7</v>
      </c>
      <c r="IK607" s="27" t="s">
        <v>8</v>
      </c>
      <c r="IL607" s="27" t="s">
        <v>7</v>
      </c>
      <c r="IM607" s="27" t="s">
        <v>8</v>
      </c>
      <c r="IN607" s="27" t="s">
        <v>7</v>
      </c>
      <c r="LI607" s="27" t="s">
        <v>8</v>
      </c>
      <c r="LL607" s="27" t="s">
        <v>7</v>
      </c>
      <c r="LM607" s="27" t="s">
        <v>8</v>
      </c>
      <c r="LT607" s="27" t="s">
        <v>7</v>
      </c>
      <c r="LU607" s="27" t="s">
        <v>8</v>
      </c>
      <c r="LX607" s="27" t="s">
        <v>7</v>
      </c>
      <c r="MB607" s="27" t="s">
        <v>7</v>
      </c>
      <c r="MX607" s="27" t="s">
        <v>7</v>
      </c>
      <c r="NF607" s="27" t="s">
        <v>7</v>
      </c>
    </row>
    <row r="608" spans="1:370" x14ac:dyDescent="0.25">
      <c r="A608" s="7">
        <v>0.65977581677260566</v>
      </c>
      <c r="B608"/>
      <c r="C608"/>
      <c r="D608"/>
      <c r="E608"/>
      <c r="F608" s="27" t="s">
        <v>7</v>
      </c>
      <c r="HG608" s="27" t="s">
        <v>8</v>
      </c>
      <c r="HH608" s="27" t="s">
        <v>7</v>
      </c>
      <c r="HI608" s="27" t="s">
        <v>8</v>
      </c>
      <c r="HJ608" s="27" t="s">
        <v>7</v>
      </c>
      <c r="HK608" s="27" t="s">
        <v>8</v>
      </c>
      <c r="HL608" s="27" t="s">
        <v>7</v>
      </c>
      <c r="HM608" s="27" t="s">
        <v>8</v>
      </c>
      <c r="HR608" s="27" t="s">
        <v>7</v>
      </c>
      <c r="HS608" s="27" t="s">
        <v>8</v>
      </c>
      <c r="HT608" s="27" t="s">
        <v>7</v>
      </c>
      <c r="HU608" s="27" t="s">
        <v>8</v>
      </c>
      <c r="HV608" s="27" t="s">
        <v>7</v>
      </c>
      <c r="HW608" s="27" t="s">
        <v>8</v>
      </c>
      <c r="HY608" s="27" t="s">
        <v>8</v>
      </c>
      <c r="HZ608" s="27" t="s">
        <v>7</v>
      </c>
      <c r="IK608" s="27" t="s">
        <v>8</v>
      </c>
      <c r="IL608" s="27" t="s">
        <v>7</v>
      </c>
      <c r="IM608" s="27" t="s">
        <v>8</v>
      </c>
      <c r="IN608" s="27" t="s">
        <v>7</v>
      </c>
      <c r="LI608" s="27" t="s">
        <v>8</v>
      </c>
      <c r="LL608" s="27" t="s">
        <v>7</v>
      </c>
      <c r="LT608" s="27" t="s">
        <v>7</v>
      </c>
      <c r="LU608" s="27" t="s">
        <v>8</v>
      </c>
      <c r="NF608" s="27" t="s">
        <v>7</v>
      </c>
    </row>
    <row r="609" spans="1:394" x14ac:dyDescent="0.25">
      <c r="A609" s="7">
        <v>0.64683903605157422</v>
      </c>
      <c r="B609"/>
      <c r="C609"/>
      <c r="D609"/>
      <c r="E609"/>
      <c r="F609" s="27" t="s">
        <v>7</v>
      </c>
      <c r="HG609" s="27" t="s">
        <v>8</v>
      </c>
      <c r="HH609" s="27" t="s">
        <v>7</v>
      </c>
      <c r="HI609" s="27" t="s">
        <v>8</v>
      </c>
      <c r="HJ609" s="27" t="s">
        <v>7</v>
      </c>
      <c r="HK609" s="27" t="s">
        <v>8</v>
      </c>
      <c r="HL609" s="27" t="s">
        <v>7</v>
      </c>
      <c r="HM609" s="27" t="s">
        <v>8</v>
      </c>
      <c r="HR609" s="27" t="s">
        <v>7</v>
      </c>
      <c r="HS609" s="27" t="s">
        <v>8</v>
      </c>
      <c r="HT609" s="27" t="s">
        <v>7</v>
      </c>
      <c r="HU609" s="27" t="s">
        <v>8</v>
      </c>
      <c r="HV609" s="27" t="s">
        <v>7</v>
      </c>
      <c r="HW609" s="27" t="s">
        <v>8</v>
      </c>
      <c r="HX609" s="27" t="s">
        <v>7</v>
      </c>
      <c r="HY609" s="27" t="s">
        <v>8</v>
      </c>
      <c r="HZ609" s="27" t="s">
        <v>7</v>
      </c>
      <c r="IG609" s="27" t="s">
        <v>8</v>
      </c>
      <c r="IK609" s="27" t="s">
        <v>8</v>
      </c>
      <c r="IL609" s="27" t="s">
        <v>7</v>
      </c>
      <c r="IM609" s="27" t="s">
        <v>8</v>
      </c>
      <c r="IN609" s="27" t="s">
        <v>7</v>
      </c>
      <c r="LI609" s="27" t="s">
        <v>8</v>
      </c>
      <c r="LT609" s="27" t="s">
        <v>7</v>
      </c>
      <c r="LU609" s="27" t="s">
        <v>8</v>
      </c>
      <c r="NF609" s="27" t="s">
        <v>7</v>
      </c>
      <c r="NW609" s="27" t="s">
        <v>8</v>
      </c>
    </row>
    <row r="610" spans="1:394" x14ac:dyDescent="0.25">
      <c r="A610" s="7">
        <v>0.63415591769762181</v>
      </c>
      <c r="B610"/>
      <c r="C610"/>
      <c r="D610"/>
      <c r="E610"/>
      <c r="F610" s="27" t="s">
        <v>7</v>
      </c>
      <c r="HG610" s="27" t="s">
        <v>8</v>
      </c>
      <c r="HH610" s="27" t="s">
        <v>7</v>
      </c>
      <c r="HI610" s="27" t="s">
        <v>8</v>
      </c>
      <c r="HJ610" s="27" t="s">
        <v>7</v>
      </c>
      <c r="HK610" s="27" t="s">
        <v>8</v>
      </c>
      <c r="HL610" s="27" t="s">
        <v>7</v>
      </c>
      <c r="HM610" s="27" t="s">
        <v>8</v>
      </c>
      <c r="HR610" s="27" t="s">
        <v>7</v>
      </c>
      <c r="HS610" s="27" t="s">
        <v>8</v>
      </c>
      <c r="HT610" s="27" t="s">
        <v>7</v>
      </c>
      <c r="HU610" s="27" t="s">
        <v>8</v>
      </c>
      <c r="HV610" s="27" t="s">
        <v>7</v>
      </c>
      <c r="HW610" s="27" t="s">
        <v>8</v>
      </c>
      <c r="HX610" s="27" t="s">
        <v>7</v>
      </c>
      <c r="HY610" s="27" t="s">
        <v>8</v>
      </c>
      <c r="HZ610" s="27" t="s">
        <v>7</v>
      </c>
      <c r="IG610" s="27" t="s">
        <v>8</v>
      </c>
      <c r="IH610" s="27" t="s">
        <v>7</v>
      </c>
      <c r="II610" s="27" t="s">
        <v>8</v>
      </c>
      <c r="IK610" s="27" t="s">
        <v>8</v>
      </c>
      <c r="IL610" s="27" t="s">
        <v>7</v>
      </c>
      <c r="IM610" s="27" t="s">
        <v>8</v>
      </c>
      <c r="IN610" s="27" t="s">
        <v>7</v>
      </c>
      <c r="LI610" s="27" t="s">
        <v>8</v>
      </c>
      <c r="LT610" s="27" t="s">
        <v>7</v>
      </c>
      <c r="LU610" s="27" t="s">
        <v>8</v>
      </c>
      <c r="NF610" s="27" t="s">
        <v>7</v>
      </c>
      <c r="NW610" s="27" t="s">
        <v>8</v>
      </c>
      <c r="NX610" s="27" t="s">
        <v>7</v>
      </c>
    </row>
    <row r="611" spans="1:394" x14ac:dyDescent="0.25">
      <c r="A611" s="7">
        <v>0.62172148793884496</v>
      </c>
      <c r="B611"/>
      <c r="C611"/>
      <c r="D611"/>
      <c r="E611"/>
      <c r="F611" s="27" t="s">
        <v>7</v>
      </c>
      <c r="HG611" s="27" t="s">
        <v>8</v>
      </c>
      <c r="HH611" s="27" t="s">
        <v>7</v>
      </c>
      <c r="HI611" s="27" t="s">
        <v>8</v>
      </c>
      <c r="HJ611" s="27" t="s">
        <v>7</v>
      </c>
      <c r="HK611" s="27" t="s">
        <v>8</v>
      </c>
      <c r="HL611" s="27" t="s">
        <v>7</v>
      </c>
      <c r="HM611" s="27" t="s">
        <v>8</v>
      </c>
      <c r="HR611" s="27" t="s">
        <v>7</v>
      </c>
      <c r="HT611" s="27" t="s">
        <v>7</v>
      </c>
      <c r="HU611" s="27" t="s">
        <v>8</v>
      </c>
      <c r="HV611" s="27" t="s">
        <v>7</v>
      </c>
      <c r="HW611" s="27" t="s">
        <v>8</v>
      </c>
      <c r="HX611" s="27" t="s">
        <v>7</v>
      </c>
      <c r="HY611" s="27" t="s">
        <v>8</v>
      </c>
      <c r="HZ611" s="27" t="s">
        <v>7</v>
      </c>
      <c r="IG611" s="27" t="s">
        <v>8</v>
      </c>
      <c r="IH611" s="27" t="s">
        <v>7</v>
      </c>
      <c r="II611" s="27" t="s">
        <v>8</v>
      </c>
      <c r="IJ611" s="27" t="s">
        <v>7</v>
      </c>
      <c r="IK611" s="27" t="s">
        <v>8</v>
      </c>
      <c r="IL611" s="27" t="s">
        <v>7</v>
      </c>
      <c r="IN611" s="27" t="s">
        <v>7</v>
      </c>
      <c r="LI611" s="27" t="s">
        <v>8</v>
      </c>
      <c r="LT611" s="27" t="s">
        <v>7</v>
      </c>
      <c r="LU611" s="27" t="s">
        <v>8</v>
      </c>
      <c r="NF611" s="27" t="s">
        <v>7</v>
      </c>
      <c r="NG611" s="27" t="s">
        <v>8</v>
      </c>
      <c r="NW611" s="27" t="s">
        <v>8</v>
      </c>
      <c r="NX611" s="27" t="s">
        <v>7</v>
      </c>
    </row>
    <row r="612" spans="1:394" x14ac:dyDescent="0.25">
      <c r="A612" s="7">
        <v>0.60953087052827937</v>
      </c>
      <c r="B612"/>
      <c r="C612"/>
      <c r="D612"/>
      <c r="E612"/>
      <c r="F612" s="27" t="s">
        <v>7</v>
      </c>
      <c r="HG612" s="27" t="s">
        <v>8</v>
      </c>
      <c r="HH612" s="27" t="s">
        <v>7</v>
      </c>
      <c r="HI612" s="27" t="s">
        <v>8</v>
      </c>
      <c r="HJ612" s="27" t="s">
        <v>7</v>
      </c>
      <c r="HK612" s="27" t="s">
        <v>8</v>
      </c>
      <c r="HL612" s="27" t="s">
        <v>7</v>
      </c>
      <c r="HM612" s="27" t="s">
        <v>8</v>
      </c>
      <c r="HT612" s="27" t="s">
        <v>7</v>
      </c>
      <c r="HU612" s="27" t="s">
        <v>8</v>
      </c>
      <c r="HV612" s="27" t="s">
        <v>7</v>
      </c>
      <c r="HW612" s="27" t="s">
        <v>8</v>
      </c>
      <c r="HX612" s="27" t="s">
        <v>7</v>
      </c>
      <c r="HY612" s="27" t="s">
        <v>8</v>
      </c>
      <c r="HZ612" s="27" t="s">
        <v>7</v>
      </c>
      <c r="IG612" s="27" t="s">
        <v>8</v>
      </c>
      <c r="IH612" s="27" t="s">
        <v>7</v>
      </c>
      <c r="II612" s="27" t="s">
        <v>8</v>
      </c>
      <c r="IJ612" s="27" t="s">
        <v>7</v>
      </c>
      <c r="IK612" s="27" t="s">
        <v>8</v>
      </c>
      <c r="IN612" s="27" t="s">
        <v>7</v>
      </c>
      <c r="IO612" s="27" t="s">
        <v>8</v>
      </c>
      <c r="LI612" s="27" t="s">
        <v>8</v>
      </c>
      <c r="LT612" s="27" t="s">
        <v>7</v>
      </c>
      <c r="LU612" s="27" t="s">
        <v>8</v>
      </c>
      <c r="NF612" s="27" t="s">
        <v>7</v>
      </c>
      <c r="NG612" s="27" t="s">
        <v>8</v>
      </c>
      <c r="NH612" s="27" t="s">
        <v>7</v>
      </c>
      <c r="NQ612" s="27" t="s">
        <v>8</v>
      </c>
      <c r="NW612" s="27" t="s">
        <v>8</v>
      </c>
      <c r="NX612" s="27" t="s">
        <v>7</v>
      </c>
    </row>
    <row r="613" spans="1:394" x14ac:dyDescent="0.25">
      <c r="A613" s="7">
        <v>0.59757928483164646</v>
      </c>
      <c r="B613"/>
      <c r="C613"/>
      <c r="D613"/>
      <c r="E613"/>
      <c r="F613" s="27" t="s">
        <v>7</v>
      </c>
      <c r="HG613" s="27" t="s">
        <v>8</v>
      </c>
      <c r="HH613" s="27" t="s">
        <v>7</v>
      </c>
      <c r="HI613" s="27" t="s">
        <v>8</v>
      </c>
      <c r="HJ613" s="27" t="s">
        <v>7</v>
      </c>
      <c r="HK613" s="27" t="s">
        <v>8</v>
      </c>
      <c r="HL613" s="27" t="s">
        <v>7</v>
      </c>
      <c r="HM613" s="27" t="s">
        <v>8</v>
      </c>
      <c r="HT613" s="27" t="s">
        <v>7</v>
      </c>
      <c r="HU613" s="27" t="s">
        <v>8</v>
      </c>
      <c r="HV613" s="27" t="s">
        <v>7</v>
      </c>
      <c r="HW613" s="27" t="s">
        <v>8</v>
      </c>
      <c r="HX613" s="27" t="s">
        <v>7</v>
      </c>
      <c r="HZ613" s="27" t="s">
        <v>7</v>
      </c>
      <c r="IG613" s="27" t="s">
        <v>8</v>
      </c>
      <c r="IH613" s="27" t="s">
        <v>7</v>
      </c>
      <c r="II613" s="27" t="s">
        <v>8</v>
      </c>
      <c r="IJ613" s="27" t="s">
        <v>7</v>
      </c>
      <c r="IK613" s="27" t="s">
        <v>8</v>
      </c>
      <c r="IN613" s="27" t="s">
        <v>7</v>
      </c>
      <c r="IO613" s="27" t="s">
        <v>8</v>
      </c>
      <c r="IP613" s="27" t="s">
        <v>7</v>
      </c>
      <c r="LI613" s="27" t="s">
        <v>8</v>
      </c>
      <c r="LT613" s="27" t="s">
        <v>7</v>
      </c>
      <c r="LU613" s="27" t="s">
        <v>8</v>
      </c>
      <c r="NF613" s="27" t="s">
        <v>7</v>
      </c>
      <c r="NG613" s="27" t="s">
        <v>8</v>
      </c>
      <c r="NH613" s="27" t="s">
        <v>7</v>
      </c>
      <c r="NQ613" s="27" t="s">
        <v>8</v>
      </c>
      <c r="NR613" s="27" t="s">
        <v>7</v>
      </c>
      <c r="NW613" s="27" t="s">
        <v>8</v>
      </c>
      <c r="NX613" s="27" t="s">
        <v>7</v>
      </c>
    </row>
    <row r="614" spans="1:394" x14ac:dyDescent="0.25">
      <c r="A614" s="7">
        <v>0.58586204395259456</v>
      </c>
      <c r="B614"/>
      <c r="C614"/>
      <c r="D614"/>
      <c r="E614"/>
      <c r="F614" s="27" t="s">
        <v>7</v>
      </c>
      <c r="HG614" s="27" t="s">
        <v>8</v>
      </c>
      <c r="HH614" s="27" t="s">
        <v>7</v>
      </c>
      <c r="HI614" s="27" t="s">
        <v>8</v>
      </c>
      <c r="HJ614" s="27" t="s">
        <v>7</v>
      </c>
      <c r="HK614" s="27" t="s">
        <v>8</v>
      </c>
      <c r="HL614" s="27" t="s">
        <v>7</v>
      </c>
      <c r="HM614" s="27" t="s">
        <v>8</v>
      </c>
      <c r="HT614" s="27" t="s">
        <v>7</v>
      </c>
      <c r="HU614" s="27" t="s">
        <v>8</v>
      </c>
      <c r="HV614" s="27" t="s">
        <v>7</v>
      </c>
      <c r="HW614" s="27" t="s">
        <v>8</v>
      </c>
      <c r="HZ614" s="27" t="s">
        <v>7</v>
      </c>
      <c r="IG614" s="27" t="s">
        <v>8</v>
      </c>
      <c r="IH614" s="27" t="s">
        <v>7</v>
      </c>
      <c r="II614" s="27" t="s">
        <v>8</v>
      </c>
      <c r="IJ614" s="27" t="s">
        <v>7</v>
      </c>
      <c r="IK614" s="27" t="s">
        <v>8</v>
      </c>
      <c r="IN614" s="27" t="s">
        <v>7</v>
      </c>
      <c r="IO614" s="27" t="s">
        <v>8</v>
      </c>
      <c r="IP614" s="27" t="s">
        <v>7</v>
      </c>
      <c r="LE614" s="27" t="s">
        <v>8</v>
      </c>
      <c r="LG614" s="27" t="s">
        <v>8</v>
      </c>
      <c r="LI614" s="27" t="s">
        <v>8</v>
      </c>
      <c r="LT614" s="27" t="s">
        <v>7</v>
      </c>
      <c r="NF614" s="27" t="s">
        <v>7</v>
      </c>
      <c r="NG614" s="27" t="s">
        <v>8</v>
      </c>
      <c r="NH614" s="27" t="s">
        <v>7</v>
      </c>
      <c r="NO614" s="27" t="s">
        <v>8</v>
      </c>
      <c r="NQ614" s="27" t="s">
        <v>8</v>
      </c>
      <c r="NR614" s="27" t="s">
        <v>7</v>
      </c>
      <c r="NS614" s="27" t="s">
        <v>8</v>
      </c>
      <c r="NW614" s="27" t="s">
        <v>8</v>
      </c>
      <c r="NX614" s="27" t="s">
        <v>7</v>
      </c>
    </row>
    <row r="615" spans="1:394" x14ac:dyDescent="0.25">
      <c r="A615" s="7">
        <v>0.57437455289470052</v>
      </c>
      <c r="B615"/>
      <c r="C615"/>
      <c r="D615"/>
      <c r="E615"/>
      <c r="F615" s="27" t="s">
        <v>7</v>
      </c>
      <c r="HG615" s="27" t="s">
        <v>8</v>
      </c>
      <c r="HH615" s="27" t="s">
        <v>7</v>
      </c>
      <c r="HI615" s="27" t="s">
        <v>8</v>
      </c>
      <c r="HJ615" s="27" t="s">
        <v>7</v>
      </c>
      <c r="HL615" s="27" t="s">
        <v>7</v>
      </c>
      <c r="HM615" s="27" t="s">
        <v>8</v>
      </c>
      <c r="HT615" s="27" t="s">
        <v>7</v>
      </c>
      <c r="HU615" s="27" t="s">
        <v>8</v>
      </c>
      <c r="HV615" s="27" t="s">
        <v>7</v>
      </c>
      <c r="HZ615" s="27" t="s">
        <v>7</v>
      </c>
      <c r="IA615" s="27" t="s">
        <v>8</v>
      </c>
      <c r="IG615" s="27" t="s">
        <v>8</v>
      </c>
      <c r="IH615" s="27" t="s">
        <v>7</v>
      </c>
      <c r="II615" s="27" t="s">
        <v>8</v>
      </c>
      <c r="IJ615" s="27" t="s">
        <v>7</v>
      </c>
      <c r="IK615" s="27" t="s">
        <v>8</v>
      </c>
      <c r="IN615" s="27" t="s">
        <v>7</v>
      </c>
      <c r="IO615" s="27" t="s">
        <v>8</v>
      </c>
      <c r="IP615" s="27" t="s">
        <v>7</v>
      </c>
      <c r="IQ615" s="27" t="s">
        <v>8</v>
      </c>
      <c r="IU615" s="27" t="s">
        <v>8</v>
      </c>
      <c r="LE615" s="27" t="s">
        <v>8</v>
      </c>
      <c r="LF615" s="27" t="s">
        <v>7</v>
      </c>
      <c r="LG615" s="27" t="s">
        <v>8</v>
      </c>
      <c r="LH615" s="27" t="s">
        <v>7</v>
      </c>
      <c r="LI615" s="27" t="s">
        <v>8</v>
      </c>
      <c r="NF615" s="27" t="s">
        <v>7</v>
      </c>
      <c r="NG615" s="27" t="s">
        <v>8</v>
      </c>
      <c r="NH615" s="27" t="s">
        <v>7</v>
      </c>
      <c r="NO615" s="27" t="s">
        <v>8</v>
      </c>
      <c r="NP615" s="27" t="s">
        <v>7</v>
      </c>
      <c r="NQ615" s="27" t="s">
        <v>8</v>
      </c>
      <c r="NR615" s="27" t="s">
        <v>7</v>
      </c>
      <c r="NS615" s="27" t="s">
        <v>8</v>
      </c>
      <c r="NT615" s="27" t="s">
        <v>7</v>
      </c>
      <c r="NW615" s="27" t="s">
        <v>8</v>
      </c>
      <c r="NX615" s="27" t="s">
        <v>7</v>
      </c>
    </row>
    <row r="616" spans="1:394" x14ac:dyDescent="0.25">
      <c r="A616" s="7">
        <v>0.56311230675951029</v>
      </c>
      <c r="B616"/>
      <c r="C616"/>
      <c r="D616"/>
      <c r="E616"/>
      <c r="F616" s="27" t="s">
        <v>7</v>
      </c>
      <c r="HG616" s="27" t="s">
        <v>8</v>
      </c>
      <c r="HH616" s="27" t="s">
        <v>7</v>
      </c>
      <c r="HL616" s="27" t="s">
        <v>7</v>
      </c>
      <c r="HT616" s="27" t="s">
        <v>7</v>
      </c>
      <c r="HZ616" s="27" t="s">
        <v>7</v>
      </c>
      <c r="IA616" s="27" t="s">
        <v>8</v>
      </c>
      <c r="IB616" s="27" t="s">
        <v>7</v>
      </c>
      <c r="IC616" s="27" t="s">
        <v>8</v>
      </c>
      <c r="IG616" s="27" t="s">
        <v>8</v>
      </c>
      <c r="IH616" s="27" t="s">
        <v>7</v>
      </c>
      <c r="II616" s="27" t="s">
        <v>8</v>
      </c>
      <c r="IJ616" s="27" t="s">
        <v>7</v>
      </c>
      <c r="IK616" s="27" t="s">
        <v>8</v>
      </c>
      <c r="IN616" s="27" t="s">
        <v>7</v>
      </c>
      <c r="IO616" s="27" t="s">
        <v>8</v>
      </c>
      <c r="IP616" s="27" t="s">
        <v>7</v>
      </c>
      <c r="IQ616" s="27" t="s">
        <v>8</v>
      </c>
      <c r="IR616" s="27" t="s">
        <v>7</v>
      </c>
      <c r="IS616" s="27" t="s">
        <v>8</v>
      </c>
      <c r="IU616" s="27" t="s">
        <v>8</v>
      </c>
      <c r="IV616" s="27" t="s">
        <v>7</v>
      </c>
      <c r="LE616" s="27" t="s">
        <v>8</v>
      </c>
      <c r="LF616" s="27" t="s">
        <v>7</v>
      </c>
      <c r="LG616" s="27" t="s">
        <v>8</v>
      </c>
      <c r="LH616" s="27" t="s">
        <v>7</v>
      </c>
      <c r="LI616" s="27" t="s">
        <v>8</v>
      </c>
      <c r="NF616" s="27" t="s">
        <v>7</v>
      </c>
      <c r="NG616" s="27" t="s">
        <v>8</v>
      </c>
      <c r="NH616" s="27" t="s">
        <v>7</v>
      </c>
      <c r="NO616" s="27" t="s">
        <v>8</v>
      </c>
      <c r="NP616" s="27" t="s">
        <v>7</v>
      </c>
      <c r="NQ616" s="27" t="s">
        <v>8</v>
      </c>
      <c r="NR616" s="27" t="s">
        <v>7</v>
      </c>
      <c r="NS616" s="27" t="s">
        <v>8</v>
      </c>
      <c r="NT616" s="27" t="s">
        <v>7</v>
      </c>
      <c r="NU616" s="27" t="s">
        <v>8</v>
      </c>
      <c r="NW616" s="27" t="s">
        <v>8</v>
      </c>
      <c r="NX616" s="27" t="s">
        <v>7</v>
      </c>
    </row>
    <row r="617" spans="1:394" x14ac:dyDescent="0.25">
      <c r="A617" s="7">
        <v>0.55207088897991208</v>
      </c>
      <c r="B617"/>
      <c r="C617"/>
      <c r="D617"/>
      <c r="E617"/>
      <c r="F617" s="27" t="s">
        <v>7</v>
      </c>
      <c r="HG617" s="27" t="s">
        <v>8</v>
      </c>
      <c r="HZ617" s="27" t="s">
        <v>7</v>
      </c>
      <c r="IA617" s="27" t="s">
        <v>8</v>
      </c>
      <c r="IB617" s="27" t="s">
        <v>7</v>
      </c>
      <c r="IC617" s="27" t="s">
        <v>8</v>
      </c>
      <c r="ID617" s="27" t="s">
        <v>7</v>
      </c>
      <c r="IG617" s="27" t="s">
        <v>8</v>
      </c>
      <c r="IH617" s="27" t="s">
        <v>7</v>
      </c>
      <c r="II617" s="27" t="s">
        <v>8</v>
      </c>
      <c r="IJ617" s="27" t="s">
        <v>7</v>
      </c>
      <c r="IN617" s="27" t="s">
        <v>7</v>
      </c>
      <c r="IO617" s="27" t="s">
        <v>8</v>
      </c>
      <c r="IP617" s="27" t="s">
        <v>7</v>
      </c>
      <c r="IQ617" s="27" t="s">
        <v>8</v>
      </c>
      <c r="IR617" s="27" t="s">
        <v>7</v>
      </c>
      <c r="IS617" s="27" t="s">
        <v>8</v>
      </c>
      <c r="IT617" s="27" t="s">
        <v>7</v>
      </c>
      <c r="IU617" s="27" t="s">
        <v>8</v>
      </c>
      <c r="IV617" s="27" t="s">
        <v>7</v>
      </c>
      <c r="KY617" s="27" t="s">
        <v>8</v>
      </c>
      <c r="LE617" s="27" t="s">
        <v>8</v>
      </c>
      <c r="LF617" s="27" t="s">
        <v>7</v>
      </c>
      <c r="LG617" s="27" t="s">
        <v>8</v>
      </c>
      <c r="LH617" s="27" t="s">
        <v>7</v>
      </c>
      <c r="LI617" s="27" t="s">
        <v>8</v>
      </c>
      <c r="NF617" s="27" t="s">
        <v>7</v>
      </c>
      <c r="NG617" s="27" t="s">
        <v>8</v>
      </c>
      <c r="NH617" s="27" t="s">
        <v>7</v>
      </c>
      <c r="NI617" s="27" t="s">
        <v>8</v>
      </c>
      <c r="NO617" s="27" t="s">
        <v>8</v>
      </c>
      <c r="NP617" s="27" t="s">
        <v>7</v>
      </c>
      <c r="NQ617" s="27" t="s">
        <v>8</v>
      </c>
      <c r="NR617" s="27" t="s">
        <v>7</v>
      </c>
      <c r="NT617" s="27" t="s">
        <v>7</v>
      </c>
      <c r="NU617" s="27" t="s">
        <v>8</v>
      </c>
      <c r="NV617" s="27" t="s">
        <v>7</v>
      </c>
      <c r="NW617" s="27" t="s">
        <v>8</v>
      </c>
      <c r="NX617" s="27" t="s">
        <v>7</v>
      </c>
    </row>
    <row r="618" spans="1:394" x14ac:dyDescent="0.25">
      <c r="A618" s="7">
        <v>0.54124596958814908</v>
      </c>
      <c r="B618"/>
      <c r="C618"/>
      <c r="D618"/>
      <c r="E618"/>
      <c r="F618" s="27" t="s">
        <v>7</v>
      </c>
      <c r="HG618" s="27" t="s">
        <v>8</v>
      </c>
      <c r="HZ618" s="27" t="s">
        <v>7</v>
      </c>
      <c r="IA618" s="27" t="s">
        <v>8</v>
      </c>
      <c r="IB618" s="27" t="s">
        <v>7</v>
      </c>
      <c r="IC618" s="27" t="s">
        <v>8</v>
      </c>
      <c r="ID618" s="27" t="s">
        <v>7</v>
      </c>
      <c r="IG618" s="27" t="s">
        <v>8</v>
      </c>
      <c r="IH618" s="27" t="s">
        <v>7</v>
      </c>
      <c r="II618" s="27" t="s">
        <v>8</v>
      </c>
      <c r="IN618" s="27" t="s">
        <v>7</v>
      </c>
      <c r="IP618" s="27" t="s">
        <v>7</v>
      </c>
      <c r="IR618" s="27" t="s">
        <v>7</v>
      </c>
      <c r="IS618" s="27" t="s">
        <v>8</v>
      </c>
      <c r="IT618" s="27" t="s">
        <v>7</v>
      </c>
      <c r="IU618" s="27" t="s">
        <v>8</v>
      </c>
      <c r="IV618" s="27" t="s">
        <v>7</v>
      </c>
      <c r="IW618" s="27" t="s">
        <v>8</v>
      </c>
      <c r="KY618" s="27" t="s">
        <v>8</v>
      </c>
      <c r="KZ618" s="27" t="s">
        <v>7</v>
      </c>
      <c r="LC618" s="27" t="s">
        <v>8</v>
      </c>
      <c r="LE618" s="27" t="s">
        <v>8</v>
      </c>
      <c r="LF618" s="27" t="s">
        <v>7</v>
      </c>
      <c r="LG618" s="27" t="s">
        <v>8</v>
      </c>
      <c r="LH618" s="27" t="s">
        <v>7</v>
      </c>
      <c r="LI618" s="27" t="s">
        <v>8</v>
      </c>
      <c r="NF618" s="27" t="s">
        <v>7</v>
      </c>
      <c r="NG618" s="27" t="s">
        <v>8</v>
      </c>
      <c r="NH618" s="27" t="s">
        <v>7</v>
      </c>
      <c r="NI618" s="27" t="s">
        <v>8</v>
      </c>
      <c r="NJ618" s="27" t="s">
        <v>7</v>
      </c>
      <c r="NO618" s="27" t="s">
        <v>8</v>
      </c>
      <c r="NP618" s="27" t="s">
        <v>7</v>
      </c>
      <c r="NT618" s="27" t="s">
        <v>7</v>
      </c>
      <c r="NU618" s="27" t="s">
        <v>8</v>
      </c>
      <c r="NV618" s="27" t="s">
        <v>7</v>
      </c>
      <c r="NW618" s="27" t="s">
        <v>8</v>
      </c>
      <c r="NX618" s="27" t="s">
        <v>7</v>
      </c>
      <c r="NY618" s="27" t="s">
        <v>8</v>
      </c>
      <c r="OC618" s="27" t="s">
        <v>8</v>
      </c>
    </row>
    <row r="619" spans="1:394" x14ac:dyDescent="0.25">
      <c r="A619" s="7">
        <v>0.53063330351779314</v>
      </c>
      <c r="B619"/>
      <c r="C619"/>
      <c r="D619"/>
      <c r="E619"/>
      <c r="F619" s="27" t="s">
        <v>7</v>
      </c>
      <c r="HG619" s="27" t="s">
        <v>8</v>
      </c>
      <c r="HZ619" s="27" t="s">
        <v>7</v>
      </c>
      <c r="IA619" s="27" t="s">
        <v>8</v>
      </c>
      <c r="IB619" s="27" t="s">
        <v>7</v>
      </c>
      <c r="IC619" s="27" t="s">
        <v>8</v>
      </c>
      <c r="ID619" s="27" t="s">
        <v>7</v>
      </c>
      <c r="IG619" s="27" t="s">
        <v>8</v>
      </c>
      <c r="IH619" s="27" t="s">
        <v>7</v>
      </c>
      <c r="IR619" s="27" t="s">
        <v>7</v>
      </c>
      <c r="IS619" s="27" t="s">
        <v>8</v>
      </c>
      <c r="IT619" s="27" t="s">
        <v>7</v>
      </c>
      <c r="IU619" s="27" t="s">
        <v>8</v>
      </c>
      <c r="IV619" s="27" t="s">
        <v>7</v>
      </c>
      <c r="IW619" s="27" t="s">
        <v>8</v>
      </c>
      <c r="IX619" s="27" t="s">
        <v>7</v>
      </c>
      <c r="KY619" s="27" t="s">
        <v>8</v>
      </c>
      <c r="KZ619" s="27" t="s">
        <v>7</v>
      </c>
      <c r="LA619" s="27" t="s">
        <v>8</v>
      </c>
      <c r="LC619" s="27" t="s">
        <v>8</v>
      </c>
      <c r="LD619" s="27" t="s">
        <v>7</v>
      </c>
      <c r="LE619" s="27" t="s">
        <v>8</v>
      </c>
      <c r="LF619" s="27" t="s">
        <v>7</v>
      </c>
      <c r="LG619" s="27" t="s">
        <v>8</v>
      </c>
      <c r="LH619" s="27" t="s">
        <v>7</v>
      </c>
      <c r="LI619" s="27" t="s">
        <v>8</v>
      </c>
      <c r="NF619" s="27" t="s">
        <v>7</v>
      </c>
      <c r="NG619" s="27" t="s">
        <v>8</v>
      </c>
      <c r="NH619" s="27" t="s">
        <v>7</v>
      </c>
      <c r="NI619" s="27" t="s">
        <v>8</v>
      </c>
      <c r="NJ619" s="27" t="s">
        <v>7</v>
      </c>
      <c r="NK619" s="27" t="s">
        <v>8</v>
      </c>
      <c r="NO619" s="27" t="s">
        <v>8</v>
      </c>
      <c r="NT619" s="27" t="s">
        <v>7</v>
      </c>
      <c r="NU619" s="27" t="s">
        <v>8</v>
      </c>
      <c r="NV619" s="27" t="s">
        <v>7</v>
      </c>
      <c r="NX619" s="27" t="s">
        <v>7</v>
      </c>
      <c r="NY619" s="27" t="s">
        <v>8</v>
      </c>
      <c r="NZ619" s="27" t="s">
        <v>7</v>
      </c>
      <c r="OC619" s="27" t="s">
        <v>8</v>
      </c>
      <c r="OD619" s="27" t="s">
        <v>7</v>
      </c>
    </row>
    <row r="620" spans="1:394" x14ac:dyDescent="0.25">
      <c r="A620" s="7">
        <v>0.52022872893901284</v>
      </c>
      <c r="B620"/>
      <c r="C620"/>
      <c r="D620"/>
      <c r="E620"/>
      <c r="F620" s="27" t="s">
        <v>7</v>
      </c>
      <c r="HG620" s="27" t="s">
        <v>8</v>
      </c>
      <c r="HZ620" s="27" t="s">
        <v>7</v>
      </c>
      <c r="IA620" s="27" t="s">
        <v>8</v>
      </c>
      <c r="IB620" s="27" t="s">
        <v>7</v>
      </c>
      <c r="IC620" s="27" t="s">
        <v>8</v>
      </c>
      <c r="ID620" s="27" t="s">
        <v>7</v>
      </c>
      <c r="IG620" s="27" t="s">
        <v>8</v>
      </c>
      <c r="IR620" s="27" t="s">
        <v>7</v>
      </c>
      <c r="IS620" s="27" t="s">
        <v>8</v>
      </c>
      <c r="IT620" s="27" t="s">
        <v>7</v>
      </c>
      <c r="IU620" s="27" t="s">
        <v>8</v>
      </c>
      <c r="IV620" s="27" t="s">
        <v>7</v>
      </c>
      <c r="IW620" s="27" t="s">
        <v>8</v>
      </c>
      <c r="IX620" s="27" t="s">
        <v>7</v>
      </c>
      <c r="KY620" s="27" t="s">
        <v>8</v>
      </c>
      <c r="KZ620" s="27" t="s">
        <v>7</v>
      </c>
      <c r="LA620" s="27" t="s">
        <v>8</v>
      </c>
      <c r="LB620" s="27" t="s">
        <v>7</v>
      </c>
      <c r="LC620" s="27" t="s">
        <v>8</v>
      </c>
      <c r="LD620" s="27" t="s">
        <v>7</v>
      </c>
      <c r="LE620" s="27" t="s">
        <v>8</v>
      </c>
      <c r="LF620" s="27" t="s">
        <v>7</v>
      </c>
      <c r="LG620" s="27" t="s">
        <v>8</v>
      </c>
      <c r="LH620" s="27" t="s">
        <v>7</v>
      </c>
      <c r="LI620" s="27" t="s">
        <v>8</v>
      </c>
      <c r="NF620" s="27" t="s">
        <v>7</v>
      </c>
      <c r="NH620" s="27" t="s">
        <v>7</v>
      </c>
      <c r="NI620" s="27" t="s">
        <v>8</v>
      </c>
      <c r="NJ620" s="27" t="s">
        <v>7</v>
      </c>
      <c r="NK620" s="27" t="s">
        <v>8</v>
      </c>
      <c r="NL620" s="27" t="s">
        <v>7</v>
      </c>
      <c r="NO620" s="27" t="s">
        <v>8</v>
      </c>
      <c r="NT620" s="27" t="s">
        <v>7</v>
      </c>
      <c r="NU620" s="27" t="s">
        <v>8</v>
      </c>
      <c r="NX620" s="27" t="s">
        <v>7</v>
      </c>
      <c r="NY620" s="27" t="s">
        <v>8</v>
      </c>
      <c r="NZ620" s="27" t="s">
        <v>7</v>
      </c>
      <c r="OC620" s="27" t="s">
        <v>8</v>
      </c>
      <c r="OD620" s="27" t="s">
        <v>7</v>
      </c>
    </row>
    <row r="621" spans="1:394" x14ac:dyDescent="0.25">
      <c r="A621" s="7">
        <v>0.51002816562648323</v>
      </c>
      <c r="B621"/>
      <c r="C621"/>
      <c r="D621"/>
      <c r="E621"/>
      <c r="F621" s="27" t="s">
        <v>7</v>
      </c>
      <c r="HG621" s="27" t="s">
        <v>8</v>
      </c>
      <c r="HZ621" s="27" t="s">
        <v>7</v>
      </c>
      <c r="IA621" s="27" t="s">
        <v>8</v>
      </c>
      <c r="IB621" s="27" t="s">
        <v>7</v>
      </c>
      <c r="IC621" s="27" t="s">
        <v>8</v>
      </c>
      <c r="ID621" s="27" t="s">
        <v>7</v>
      </c>
      <c r="IG621" s="27" t="s">
        <v>8</v>
      </c>
      <c r="IR621" s="27" t="s">
        <v>7</v>
      </c>
      <c r="IS621" s="27" t="s">
        <v>8</v>
      </c>
      <c r="IT621" s="27" t="s">
        <v>7</v>
      </c>
      <c r="IU621" s="27" t="s">
        <v>8</v>
      </c>
      <c r="IV621" s="27" t="s">
        <v>7</v>
      </c>
      <c r="IW621" s="27" t="s">
        <v>8</v>
      </c>
      <c r="IX621" s="27" t="s">
        <v>7</v>
      </c>
      <c r="KY621" s="27" t="s">
        <v>8</v>
      </c>
      <c r="KZ621" s="27" t="s">
        <v>7</v>
      </c>
      <c r="LA621" s="27" t="s">
        <v>8</v>
      </c>
      <c r="LB621" s="27" t="s">
        <v>7</v>
      </c>
      <c r="LC621" s="27" t="s">
        <v>8</v>
      </c>
      <c r="LD621" s="27" t="s">
        <v>7</v>
      </c>
      <c r="LE621" s="27" t="s">
        <v>8</v>
      </c>
      <c r="LF621" s="27" t="s">
        <v>7</v>
      </c>
      <c r="LH621" s="27" t="s">
        <v>7</v>
      </c>
      <c r="NH621" s="27" t="s">
        <v>7</v>
      </c>
      <c r="NI621" s="27" t="s">
        <v>8</v>
      </c>
      <c r="NJ621" s="27" t="s">
        <v>7</v>
      </c>
      <c r="NK621" s="27" t="s">
        <v>8</v>
      </c>
      <c r="NL621" s="27" t="s">
        <v>7</v>
      </c>
      <c r="NO621" s="27" t="s">
        <v>8</v>
      </c>
      <c r="NT621" s="27" t="s">
        <v>7</v>
      </c>
      <c r="NU621" s="27" t="s">
        <v>8</v>
      </c>
      <c r="NX621" s="27" t="s">
        <v>7</v>
      </c>
      <c r="NY621" s="27" t="s">
        <v>8</v>
      </c>
      <c r="NZ621" s="27" t="s">
        <v>7</v>
      </c>
      <c r="OC621" s="27" t="s">
        <v>8</v>
      </c>
      <c r="OD621" s="27" t="s">
        <v>7</v>
      </c>
    </row>
    <row r="622" spans="1:394" x14ac:dyDescent="0.25">
      <c r="A622" s="7">
        <v>0.50002761335929735</v>
      </c>
      <c r="B622"/>
      <c r="C622"/>
      <c r="D622"/>
      <c r="E622"/>
      <c r="F622" s="27" t="s">
        <v>7</v>
      </c>
      <c r="HG622" s="27" t="s">
        <v>8</v>
      </c>
      <c r="HZ622" s="27" t="s">
        <v>7</v>
      </c>
      <c r="IA622" s="27" t="s">
        <v>8</v>
      </c>
      <c r="IB622" s="27" t="s">
        <v>7</v>
      </c>
      <c r="IC622" s="27" t="s">
        <v>8</v>
      </c>
      <c r="ID622" s="27" t="s">
        <v>7</v>
      </c>
      <c r="IG622" s="27" t="s">
        <v>8</v>
      </c>
      <c r="IR622" s="27" t="s">
        <v>7</v>
      </c>
      <c r="IS622" s="27" t="s">
        <v>8</v>
      </c>
      <c r="IT622" s="27" t="s">
        <v>7</v>
      </c>
      <c r="IU622" s="27" t="s">
        <v>8</v>
      </c>
      <c r="IV622" s="27" t="s">
        <v>7</v>
      </c>
      <c r="IW622" s="27" t="s">
        <v>8</v>
      </c>
      <c r="IX622" s="27" t="s">
        <v>7</v>
      </c>
      <c r="KY622" s="27" t="s">
        <v>8</v>
      </c>
      <c r="KZ622" s="27" t="s">
        <v>7</v>
      </c>
      <c r="LA622" s="27" t="s">
        <v>8</v>
      </c>
      <c r="LB622" s="27" t="s">
        <v>7</v>
      </c>
      <c r="LC622" s="27" t="s">
        <v>8</v>
      </c>
      <c r="LD622" s="27" t="s">
        <v>7</v>
      </c>
      <c r="LE622" s="27" t="s">
        <v>8</v>
      </c>
      <c r="NH622" s="27" t="s">
        <v>7</v>
      </c>
      <c r="NJ622" s="27" t="s">
        <v>7</v>
      </c>
      <c r="NK622" s="27" t="s">
        <v>8</v>
      </c>
      <c r="NL622" s="27" t="s">
        <v>7</v>
      </c>
      <c r="NO622" s="27" t="s">
        <v>8</v>
      </c>
      <c r="NT622" s="27" t="s">
        <v>7</v>
      </c>
      <c r="NU622" s="27" t="s">
        <v>8</v>
      </c>
      <c r="NX622" s="27" t="s">
        <v>7</v>
      </c>
      <c r="NY622" s="27" t="s">
        <v>8</v>
      </c>
      <c r="NZ622" s="27" t="s">
        <v>7</v>
      </c>
      <c r="OA622" s="27" t="s">
        <v>8</v>
      </c>
      <c r="OC622" s="27" t="s">
        <v>8</v>
      </c>
      <c r="OD622" s="27" t="s">
        <v>7</v>
      </c>
    </row>
    <row r="623" spans="1:394" x14ac:dyDescent="0.25">
      <c r="A623" s="7">
        <v>0.49022315035225228</v>
      </c>
      <c r="B623"/>
      <c r="C623"/>
      <c r="D623"/>
      <c r="E623"/>
      <c r="F623" s="27" t="s">
        <v>7</v>
      </c>
      <c r="HE623" s="27" t="s">
        <v>8</v>
      </c>
      <c r="HG623" s="27" t="s">
        <v>8</v>
      </c>
      <c r="HZ623" s="27" t="s">
        <v>7</v>
      </c>
      <c r="IA623" s="27" t="s">
        <v>8</v>
      </c>
      <c r="IB623" s="27" t="s">
        <v>7</v>
      </c>
      <c r="IC623" s="27" t="s">
        <v>8</v>
      </c>
      <c r="ID623" s="27" t="s">
        <v>7</v>
      </c>
      <c r="IG623" s="27" t="s">
        <v>8</v>
      </c>
      <c r="IR623" s="27" t="s">
        <v>7</v>
      </c>
      <c r="IS623" s="27" t="s">
        <v>8</v>
      </c>
      <c r="IT623" s="27" t="s">
        <v>7</v>
      </c>
      <c r="IU623" s="27" t="s">
        <v>8</v>
      </c>
      <c r="IV623" s="27" t="s">
        <v>7</v>
      </c>
      <c r="IW623" s="27" t="s">
        <v>8</v>
      </c>
      <c r="IX623" s="27" t="s">
        <v>7</v>
      </c>
      <c r="KY623" s="27" t="s">
        <v>8</v>
      </c>
      <c r="KZ623" s="27" t="s">
        <v>7</v>
      </c>
      <c r="LA623" s="27" t="s">
        <v>8</v>
      </c>
      <c r="LB623" s="27" t="s">
        <v>7</v>
      </c>
      <c r="LC623" s="27" t="s">
        <v>8</v>
      </c>
      <c r="LD623" s="27" t="s">
        <v>7</v>
      </c>
      <c r="LE623" s="27" t="s">
        <v>8</v>
      </c>
      <c r="NJ623" s="27" t="s">
        <v>7</v>
      </c>
      <c r="NK623" s="27" t="s">
        <v>8</v>
      </c>
      <c r="NL623" s="27" t="s">
        <v>7</v>
      </c>
      <c r="NM623" s="27" t="s">
        <v>8</v>
      </c>
      <c r="NO623" s="27" t="s">
        <v>8</v>
      </c>
      <c r="NT623" s="27" t="s">
        <v>7</v>
      </c>
      <c r="NX623" s="27" t="s">
        <v>7</v>
      </c>
      <c r="NY623" s="27" t="s">
        <v>8</v>
      </c>
      <c r="NZ623" s="27" t="s">
        <v>7</v>
      </c>
      <c r="OA623" s="27" t="s">
        <v>8</v>
      </c>
      <c r="OB623" s="27" t="s">
        <v>7</v>
      </c>
      <c r="OC623" s="27" t="s">
        <v>8</v>
      </c>
      <c r="OD623" s="27" t="s">
        <v>7</v>
      </c>
    </row>
    <row r="624" spans="1:394" x14ac:dyDescent="0.25">
      <c r="A624" s="7">
        <v>0.48061093171789437</v>
      </c>
      <c r="B624"/>
      <c r="C624"/>
      <c r="D624"/>
      <c r="E624"/>
      <c r="F624" s="27" t="s">
        <v>7</v>
      </c>
      <c r="HE624" s="27" t="s">
        <v>8</v>
      </c>
      <c r="HF624" s="27" t="s">
        <v>7</v>
      </c>
      <c r="HG624" s="27" t="s">
        <v>8</v>
      </c>
      <c r="HZ624" s="27" t="s">
        <v>7</v>
      </c>
      <c r="IA624" s="27" t="s">
        <v>8</v>
      </c>
      <c r="IB624" s="27" t="s">
        <v>7</v>
      </c>
      <c r="IC624" s="27" t="s">
        <v>8</v>
      </c>
      <c r="ID624" s="27" t="s">
        <v>7</v>
      </c>
      <c r="IG624" s="27" t="s">
        <v>8</v>
      </c>
      <c r="IR624" s="27" t="s">
        <v>7</v>
      </c>
      <c r="IS624" s="27" t="s">
        <v>8</v>
      </c>
      <c r="IT624" s="27" t="s">
        <v>7</v>
      </c>
      <c r="IU624" s="27" t="s">
        <v>8</v>
      </c>
      <c r="IV624" s="27" t="s">
        <v>7</v>
      </c>
      <c r="IW624" s="27" t="s">
        <v>8</v>
      </c>
      <c r="IX624" s="27" t="s">
        <v>7</v>
      </c>
      <c r="KY624" s="27" t="s">
        <v>8</v>
      </c>
      <c r="KZ624" s="27" t="s">
        <v>7</v>
      </c>
      <c r="LA624" s="27" t="s">
        <v>8</v>
      </c>
      <c r="LB624" s="27" t="s">
        <v>7</v>
      </c>
      <c r="LD624" s="27" t="s">
        <v>7</v>
      </c>
      <c r="LE624" s="27" t="s">
        <v>8</v>
      </c>
      <c r="NJ624" s="27" t="s">
        <v>7</v>
      </c>
      <c r="NK624" s="27" t="s">
        <v>8</v>
      </c>
      <c r="NL624" s="27" t="s">
        <v>7</v>
      </c>
      <c r="NM624" s="27" t="s">
        <v>8</v>
      </c>
      <c r="NN624" s="27" t="s">
        <v>7</v>
      </c>
      <c r="NO624" s="27" t="s">
        <v>8</v>
      </c>
      <c r="NX624" s="27" t="s">
        <v>7</v>
      </c>
      <c r="NY624" s="27" t="s">
        <v>8</v>
      </c>
      <c r="NZ624" s="27" t="s">
        <v>7</v>
      </c>
      <c r="OA624" s="27" t="s">
        <v>8</v>
      </c>
      <c r="OB624" s="27" t="s">
        <v>7</v>
      </c>
      <c r="OC624" s="27" t="s">
        <v>8</v>
      </c>
      <c r="OD624" s="27" t="s">
        <v>7</v>
      </c>
    </row>
    <row r="625" spans="1:397" x14ac:dyDescent="0.25">
      <c r="A625" s="7">
        <v>0.47118718795871994</v>
      </c>
      <c r="B625"/>
      <c r="C625"/>
      <c r="D625"/>
      <c r="E625"/>
      <c r="F625" s="27" t="s">
        <v>7</v>
      </c>
      <c r="HE625" s="27" t="s">
        <v>8</v>
      </c>
      <c r="HF625" s="27" t="s">
        <v>7</v>
      </c>
      <c r="HG625" s="27" t="s">
        <v>8</v>
      </c>
      <c r="HZ625" s="27" t="s">
        <v>7</v>
      </c>
      <c r="IB625" s="27" t="s">
        <v>7</v>
      </c>
      <c r="IC625" s="27" t="s">
        <v>8</v>
      </c>
      <c r="ID625" s="27" t="s">
        <v>7</v>
      </c>
      <c r="IG625" s="27" t="s">
        <v>8</v>
      </c>
      <c r="IR625" s="27" t="s">
        <v>7</v>
      </c>
      <c r="IS625" s="27" t="s">
        <v>8</v>
      </c>
      <c r="IT625" s="27" t="s">
        <v>7</v>
      </c>
      <c r="IU625" s="27" t="s">
        <v>8</v>
      </c>
      <c r="IV625" s="27" t="s">
        <v>7</v>
      </c>
      <c r="IW625" s="27" t="s">
        <v>8</v>
      </c>
      <c r="IX625" s="27" t="s">
        <v>7</v>
      </c>
      <c r="KY625" s="27" t="s">
        <v>8</v>
      </c>
      <c r="KZ625" s="27" t="s">
        <v>7</v>
      </c>
      <c r="LD625" s="27" t="s">
        <v>7</v>
      </c>
      <c r="LE625" s="27" t="s">
        <v>8</v>
      </c>
      <c r="NJ625" s="27" t="s">
        <v>7</v>
      </c>
      <c r="NL625" s="27" t="s">
        <v>7</v>
      </c>
      <c r="NM625" s="27" t="s">
        <v>8</v>
      </c>
      <c r="NN625" s="27" t="s">
        <v>7</v>
      </c>
      <c r="NO625" s="27" t="s">
        <v>8</v>
      </c>
      <c r="NX625" s="27" t="s">
        <v>7</v>
      </c>
      <c r="NY625" s="27" t="s">
        <v>8</v>
      </c>
      <c r="NZ625" s="27" t="s">
        <v>7</v>
      </c>
      <c r="OB625" s="27" t="s">
        <v>7</v>
      </c>
      <c r="OC625" s="27" t="s">
        <v>8</v>
      </c>
      <c r="OD625" s="27" t="s">
        <v>7</v>
      </c>
    </row>
    <row r="626" spans="1:397" x14ac:dyDescent="0.25">
      <c r="A626" s="7">
        <v>0.46194822348894116</v>
      </c>
      <c r="B626"/>
      <c r="C626"/>
      <c r="D626"/>
      <c r="E626"/>
      <c r="F626" s="27" t="s">
        <v>7</v>
      </c>
      <c r="HE626" s="27" t="s">
        <v>8</v>
      </c>
      <c r="HF626" s="27" t="s">
        <v>7</v>
      </c>
      <c r="HG626" s="27" t="s">
        <v>8</v>
      </c>
      <c r="IB626" s="27" t="s">
        <v>7</v>
      </c>
      <c r="IC626" s="27" t="s">
        <v>8</v>
      </c>
      <c r="ID626" s="27" t="s">
        <v>7</v>
      </c>
      <c r="IG626" s="27" t="s">
        <v>8</v>
      </c>
      <c r="IR626" s="27" t="s">
        <v>7</v>
      </c>
      <c r="IS626" s="27" t="s">
        <v>8</v>
      </c>
      <c r="IT626" s="27" t="s">
        <v>7</v>
      </c>
      <c r="IU626" s="27" t="s">
        <v>8</v>
      </c>
      <c r="IV626" s="27" t="s">
        <v>7</v>
      </c>
      <c r="IW626" s="27" t="s">
        <v>8</v>
      </c>
      <c r="IX626" s="27" t="s">
        <v>7</v>
      </c>
      <c r="KY626" s="27" t="s">
        <v>8</v>
      </c>
      <c r="LD626" s="27" t="s">
        <v>7</v>
      </c>
      <c r="LE626" s="27" t="s">
        <v>8</v>
      </c>
      <c r="NL626" s="27" t="s">
        <v>7</v>
      </c>
      <c r="NN626" s="27" t="s">
        <v>7</v>
      </c>
      <c r="NO626" s="27" t="s">
        <v>8</v>
      </c>
      <c r="NX626" s="27" t="s">
        <v>7</v>
      </c>
      <c r="NY626" s="27" t="s">
        <v>8</v>
      </c>
      <c r="OB626" s="27" t="s">
        <v>7</v>
      </c>
      <c r="OC626" s="27" t="s">
        <v>8</v>
      </c>
      <c r="OD626" s="27" t="s">
        <v>7</v>
      </c>
    </row>
    <row r="627" spans="1:397" x14ac:dyDescent="0.25">
      <c r="A627" s="7">
        <v>0.45289041518523643</v>
      </c>
      <c r="B627"/>
      <c r="C627"/>
      <c r="D627"/>
      <c r="E627"/>
      <c r="F627" s="27" t="s">
        <v>7</v>
      </c>
      <c r="HE627" s="27" t="s">
        <v>8</v>
      </c>
      <c r="HF627" s="27" t="s">
        <v>7</v>
      </c>
      <c r="HG627" s="27" t="s">
        <v>8</v>
      </c>
      <c r="IB627" s="27" t="s">
        <v>7</v>
      </c>
      <c r="IC627" s="27" t="s">
        <v>8</v>
      </c>
      <c r="ID627" s="27" t="s">
        <v>7</v>
      </c>
      <c r="IG627" s="27" t="s">
        <v>8</v>
      </c>
      <c r="IR627" s="27" t="s">
        <v>7</v>
      </c>
      <c r="IT627" s="27" t="s">
        <v>7</v>
      </c>
      <c r="IU627" s="27" t="s">
        <v>8</v>
      </c>
      <c r="IV627" s="27" t="s">
        <v>7</v>
      </c>
      <c r="IW627" s="27" t="s">
        <v>8</v>
      </c>
      <c r="IX627" s="27" t="s">
        <v>7</v>
      </c>
      <c r="KY627" s="27" t="s">
        <v>8</v>
      </c>
      <c r="LD627" s="27" t="s">
        <v>7</v>
      </c>
      <c r="LE627" s="27" t="s">
        <v>8</v>
      </c>
      <c r="NN627" s="27" t="s">
        <v>7</v>
      </c>
      <c r="NO627" s="27" t="s">
        <v>8</v>
      </c>
      <c r="NX627" s="27" t="s">
        <v>7</v>
      </c>
      <c r="NY627" s="27" t="s">
        <v>8</v>
      </c>
      <c r="OB627" s="27" t="s">
        <v>7</v>
      </c>
      <c r="OC627" s="27" t="s">
        <v>8</v>
      </c>
      <c r="OD627" s="27" t="s">
        <v>7</v>
      </c>
    </row>
    <row r="628" spans="1:397" x14ac:dyDescent="0.25">
      <c r="A628" s="7">
        <v>0.44401021096591808</v>
      </c>
      <c r="B628"/>
      <c r="C628"/>
      <c r="D628"/>
      <c r="E628"/>
      <c r="F628" s="27" t="s">
        <v>7</v>
      </c>
      <c r="HE628" s="27" t="s">
        <v>8</v>
      </c>
      <c r="HF628" s="27" t="s">
        <v>7</v>
      </c>
      <c r="HG628" s="27" t="s">
        <v>8</v>
      </c>
      <c r="IB628" s="27" t="s">
        <v>7</v>
      </c>
      <c r="IC628" s="27" t="s">
        <v>8</v>
      </c>
      <c r="ID628" s="27" t="s">
        <v>7</v>
      </c>
      <c r="IG628" s="27" t="s">
        <v>8</v>
      </c>
      <c r="IT628" s="27" t="s">
        <v>7</v>
      </c>
      <c r="IU628" s="27" t="s">
        <v>8</v>
      </c>
      <c r="IV628" s="27" t="s">
        <v>7</v>
      </c>
      <c r="IW628" s="27" t="s">
        <v>8</v>
      </c>
      <c r="IX628" s="27" t="s">
        <v>7</v>
      </c>
      <c r="KY628" s="27" t="s">
        <v>8</v>
      </c>
      <c r="LD628" s="27" t="s">
        <v>7</v>
      </c>
      <c r="NN628" s="27" t="s">
        <v>7</v>
      </c>
      <c r="NO628" s="27" t="s">
        <v>8</v>
      </c>
      <c r="NX628" s="27" t="s">
        <v>7</v>
      </c>
      <c r="NY628" s="27" t="s">
        <v>8</v>
      </c>
      <c r="OB628" s="27" t="s">
        <v>7</v>
      </c>
      <c r="OD628" s="27" t="s">
        <v>7</v>
      </c>
    </row>
    <row r="629" spans="1:397" x14ac:dyDescent="0.25">
      <c r="A629" s="7">
        <v>0.4353041283979589</v>
      </c>
      <c r="B629"/>
      <c r="C629"/>
      <c r="D629"/>
      <c r="E629"/>
      <c r="F629" s="27" t="s">
        <v>7</v>
      </c>
      <c r="HE629" s="27" t="s">
        <v>8</v>
      </c>
      <c r="HF629" s="27" t="s">
        <v>7</v>
      </c>
      <c r="HG629" s="27" t="s">
        <v>8</v>
      </c>
      <c r="IB629" s="27" t="s">
        <v>7</v>
      </c>
      <c r="IC629" s="27" t="s">
        <v>8</v>
      </c>
      <c r="ID629" s="27" t="s">
        <v>7</v>
      </c>
      <c r="IG629" s="27" t="s">
        <v>8</v>
      </c>
      <c r="IT629" s="27" t="s">
        <v>7</v>
      </c>
      <c r="IU629" s="27" t="s">
        <v>8</v>
      </c>
      <c r="IV629" s="27" t="s">
        <v>7</v>
      </c>
      <c r="IW629" s="27" t="s">
        <v>8</v>
      </c>
      <c r="IX629" s="27" t="s">
        <v>7</v>
      </c>
      <c r="JK629" s="27" t="s">
        <v>8</v>
      </c>
      <c r="KW629" s="27" t="s">
        <v>8</v>
      </c>
      <c r="KY629" s="27" t="s">
        <v>8</v>
      </c>
      <c r="NN629" s="27" t="s">
        <v>7</v>
      </c>
      <c r="NX629" s="27" t="s">
        <v>7</v>
      </c>
      <c r="NY629" s="27" t="s">
        <v>8</v>
      </c>
      <c r="OD629" s="27" t="s">
        <v>7</v>
      </c>
    </row>
    <row r="630" spans="1:397" x14ac:dyDescent="0.25">
      <c r="A630" s="7">
        <v>0.4267687533313323</v>
      </c>
      <c r="B630"/>
      <c r="C630"/>
      <c r="D630"/>
      <c r="E630"/>
      <c r="F630" s="27" t="s">
        <v>7</v>
      </c>
      <c r="HE630" s="27" t="s">
        <v>8</v>
      </c>
      <c r="HF630" s="27" t="s">
        <v>7</v>
      </c>
      <c r="HG630" s="27" t="s">
        <v>8</v>
      </c>
      <c r="IB630" s="27" t="s">
        <v>7</v>
      </c>
      <c r="IC630" s="27" t="s">
        <v>8</v>
      </c>
      <c r="ID630" s="27" t="s">
        <v>7</v>
      </c>
      <c r="IG630" s="27" t="s">
        <v>8</v>
      </c>
      <c r="IT630" s="27" t="s">
        <v>7</v>
      </c>
      <c r="IU630" s="27" t="s">
        <v>8</v>
      </c>
      <c r="IV630" s="27" t="s">
        <v>7</v>
      </c>
      <c r="IW630" s="27" t="s">
        <v>8</v>
      </c>
      <c r="IX630" s="27" t="s">
        <v>7</v>
      </c>
      <c r="JK630" s="27" t="s">
        <v>8</v>
      </c>
      <c r="JL630" s="27" t="s">
        <v>7</v>
      </c>
      <c r="JM630" s="27" t="s">
        <v>8</v>
      </c>
      <c r="KS630" s="27" t="s">
        <v>8</v>
      </c>
      <c r="KW630" s="27" t="s">
        <v>8</v>
      </c>
      <c r="KX630" s="27" t="s">
        <v>7</v>
      </c>
      <c r="KY630" s="27" t="s">
        <v>8</v>
      </c>
      <c r="NX630" s="27" t="s">
        <v>7</v>
      </c>
      <c r="NY630" s="27" t="s">
        <v>8</v>
      </c>
      <c r="OD630" s="27" t="s">
        <v>7</v>
      </c>
    </row>
    <row r="631" spans="1:397" x14ac:dyDescent="0.25">
      <c r="A631" s="7">
        <v>0.41840073856012971</v>
      </c>
      <c r="B631"/>
      <c r="C631"/>
      <c r="D631"/>
      <c r="E631"/>
      <c r="F631" s="27" t="s">
        <v>7</v>
      </c>
      <c r="HE631" s="27" t="s">
        <v>8</v>
      </c>
      <c r="HF631" s="27" t="s">
        <v>7</v>
      </c>
      <c r="IB631" s="27" t="s">
        <v>7</v>
      </c>
      <c r="ID631" s="27" t="s">
        <v>7</v>
      </c>
      <c r="IG631" s="27" t="s">
        <v>8</v>
      </c>
      <c r="IT631" s="27" t="s">
        <v>7</v>
      </c>
      <c r="IV631" s="27" t="s">
        <v>7</v>
      </c>
      <c r="IW631" s="27" t="s">
        <v>8</v>
      </c>
      <c r="IX631" s="27" t="s">
        <v>7</v>
      </c>
      <c r="JK631" s="27" t="s">
        <v>8</v>
      </c>
      <c r="JL631" s="27" t="s">
        <v>7</v>
      </c>
      <c r="JM631" s="27" t="s">
        <v>8</v>
      </c>
      <c r="JN631" s="27" t="s">
        <v>7</v>
      </c>
      <c r="KS631" s="27" t="s">
        <v>8</v>
      </c>
      <c r="KT631" s="27" t="s">
        <v>7</v>
      </c>
      <c r="KU631" s="27" t="s">
        <v>8</v>
      </c>
      <c r="KW631" s="27" t="s">
        <v>8</v>
      </c>
      <c r="KX631" s="27" t="s">
        <v>7</v>
      </c>
      <c r="KY631" s="27" t="s">
        <v>8</v>
      </c>
      <c r="NX631" s="27" t="s">
        <v>7</v>
      </c>
      <c r="OD631" s="27" t="s">
        <v>7</v>
      </c>
    </row>
    <row r="632" spans="1:397" x14ac:dyDescent="0.25">
      <c r="A632" s="7">
        <v>0.41019680250993112</v>
      </c>
      <c r="B632"/>
      <c r="C632"/>
      <c r="D632"/>
      <c r="E632"/>
      <c r="F632" s="27" t="s">
        <v>7</v>
      </c>
      <c r="HE632" s="27" t="s">
        <v>8</v>
      </c>
      <c r="ID632" s="27" t="s">
        <v>7</v>
      </c>
      <c r="IE632" s="27" t="s">
        <v>8</v>
      </c>
      <c r="IG632" s="27" t="s">
        <v>8</v>
      </c>
      <c r="IV632" s="27" t="s">
        <v>7</v>
      </c>
      <c r="IX632" s="27" t="s">
        <v>7</v>
      </c>
      <c r="JK632" s="27" t="s">
        <v>8</v>
      </c>
      <c r="JL632" s="27" t="s">
        <v>7</v>
      </c>
      <c r="JM632" s="27" t="s">
        <v>8</v>
      </c>
      <c r="JN632" s="27" t="s">
        <v>7</v>
      </c>
      <c r="KS632" s="27" t="s">
        <v>8</v>
      </c>
      <c r="KT632" s="27" t="s">
        <v>7</v>
      </c>
      <c r="KU632" s="27" t="s">
        <v>8</v>
      </c>
      <c r="KV632" s="27" t="s">
        <v>7</v>
      </c>
      <c r="KW632" s="27" t="s">
        <v>8</v>
      </c>
      <c r="KX632" s="27" t="s">
        <v>7</v>
      </c>
      <c r="KY632" s="27" t="s">
        <v>8</v>
      </c>
      <c r="OD632" s="27" t="s">
        <v>7</v>
      </c>
    </row>
    <row r="633" spans="1:397" x14ac:dyDescent="0.25">
      <c r="A633" s="7">
        <v>0.40215372795091286</v>
      </c>
      <c r="B633"/>
      <c r="C633"/>
      <c r="D633"/>
      <c r="E633"/>
      <c r="F633" s="27" t="s">
        <v>7</v>
      </c>
      <c r="HE633" s="27" t="s">
        <v>8</v>
      </c>
      <c r="ID633" s="27" t="s">
        <v>7</v>
      </c>
      <c r="IE633" s="27" t="s">
        <v>8</v>
      </c>
      <c r="IF633" s="27" t="s">
        <v>7</v>
      </c>
      <c r="IG633" s="27" t="s">
        <v>8</v>
      </c>
      <c r="IX633" s="27" t="s">
        <v>7</v>
      </c>
      <c r="JK633" s="27" t="s">
        <v>8</v>
      </c>
      <c r="JL633" s="27" t="s">
        <v>7</v>
      </c>
      <c r="JM633" s="27" t="s">
        <v>8</v>
      </c>
      <c r="JN633" s="27" t="s">
        <v>7</v>
      </c>
      <c r="KO633" s="27" t="s">
        <v>8</v>
      </c>
      <c r="KS633" s="27" t="s">
        <v>8</v>
      </c>
      <c r="KT633" s="27" t="s">
        <v>7</v>
      </c>
      <c r="KU633" s="27" t="s">
        <v>8</v>
      </c>
      <c r="KV633" s="27" t="s">
        <v>7</v>
      </c>
      <c r="KW633" s="27" t="s">
        <v>8</v>
      </c>
      <c r="KX633" s="27" t="s">
        <v>7</v>
      </c>
      <c r="KY633" s="27" t="s">
        <v>8</v>
      </c>
      <c r="OD633" s="27" t="s">
        <v>7</v>
      </c>
    </row>
    <row r="634" spans="1:397" x14ac:dyDescent="0.25">
      <c r="A634" s="7">
        <v>0.39426836073618904</v>
      </c>
      <c r="B634"/>
      <c r="C634"/>
      <c r="D634"/>
      <c r="E634"/>
      <c r="F634" s="27" t="s">
        <v>7</v>
      </c>
      <c r="HC634" s="27" t="s">
        <v>8</v>
      </c>
      <c r="HE634" s="27" t="s">
        <v>8</v>
      </c>
      <c r="ID634" s="27" t="s">
        <v>7</v>
      </c>
      <c r="IE634" s="27" t="s">
        <v>8</v>
      </c>
      <c r="IF634" s="27" t="s">
        <v>7</v>
      </c>
      <c r="IG634" s="27" t="s">
        <v>8</v>
      </c>
      <c r="IX634" s="27" t="s">
        <v>7</v>
      </c>
      <c r="IY634" s="27" t="s">
        <v>8</v>
      </c>
      <c r="JK634" s="27" t="s">
        <v>8</v>
      </c>
      <c r="JL634" s="27" t="s">
        <v>7</v>
      </c>
      <c r="JM634" s="27" t="s">
        <v>8</v>
      </c>
      <c r="JN634" s="27" t="s">
        <v>7</v>
      </c>
      <c r="KO634" s="27" t="s">
        <v>8</v>
      </c>
      <c r="KP634" s="27" t="s">
        <v>7</v>
      </c>
      <c r="KS634" s="27" t="s">
        <v>8</v>
      </c>
      <c r="KT634" s="27" t="s">
        <v>7</v>
      </c>
      <c r="KU634" s="27" t="s">
        <v>8</v>
      </c>
      <c r="KV634" s="27" t="s">
        <v>7</v>
      </c>
      <c r="KW634" s="27" t="s">
        <v>8</v>
      </c>
      <c r="KX634" s="27" t="s">
        <v>7</v>
      </c>
      <c r="KY634" s="27" t="s">
        <v>8</v>
      </c>
      <c r="OD634" s="27" t="s">
        <v>7</v>
      </c>
    </row>
    <row r="635" spans="1:397" x14ac:dyDescent="0.25">
      <c r="A635" s="7">
        <v>0.38653760856489122</v>
      </c>
      <c r="B635"/>
      <c r="C635"/>
      <c r="D635"/>
      <c r="E635"/>
      <c r="F635" s="27" t="s">
        <v>7</v>
      </c>
      <c r="HC635" s="27" t="s">
        <v>8</v>
      </c>
      <c r="HD635" s="27" t="s">
        <v>7</v>
      </c>
      <c r="HE635" s="27" t="s">
        <v>8</v>
      </c>
      <c r="ID635" s="27" t="s">
        <v>7</v>
      </c>
      <c r="IE635" s="27" t="s">
        <v>8</v>
      </c>
      <c r="IF635" s="27" t="s">
        <v>7</v>
      </c>
      <c r="IG635" s="27" t="s">
        <v>8</v>
      </c>
      <c r="IX635" s="27" t="s">
        <v>7</v>
      </c>
      <c r="IY635" s="27" t="s">
        <v>8</v>
      </c>
      <c r="IZ635" s="27" t="s">
        <v>7</v>
      </c>
      <c r="JK635" s="27" t="s">
        <v>8</v>
      </c>
      <c r="JL635" s="27" t="s">
        <v>7</v>
      </c>
      <c r="JM635" s="27" t="s">
        <v>8</v>
      </c>
      <c r="JN635" s="27" t="s">
        <v>7</v>
      </c>
      <c r="KO635" s="27" t="s">
        <v>8</v>
      </c>
      <c r="KP635" s="27" t="s">
        <v>7</v>
      </c>
      <c r="KQ635" s="27" t="s">
        <v>8</v>
      </c>
      <c r="KS635" s="27" t="s">
        <v>8</v>
      </c>
      <c r="KT635" s="27" t="s">
        <v>7</v>
      </c>
      <c r="KV635" s="27" t="s">
        <v>7</v>
      </c>
      <c r="KW635" s="27" t="s">
        <v>8</v>
      </c>
      <c r="KX635" s="27" t="s">
        <v>7</v>
      </c>
      <c r="KY635" s="27" t="s">
        <v>8</v>
      </c>
      <c r="OD635" s="27" t="s">
        <v>7</v>
      </c>
    </row>
    <row r="636" spans="1:397" x14ac:dyDescent="0.25">
      <c r="A636" s="7">
        <v>0.37895843976950117</v>
      </c>
      <c r="B636"/>
      <c r="C636"/>
      <c r="D636"/>
      <c r="E636"/>
      <c r="F636" s="27" t="s">
        <v>7</v>
      </c>
      <c r="HC636" s="27" t="s">
        <v>8</v>
      </c>
      <c r="HD636" s="27" t="s">
        <v>7</v>
      </c>
      <c r="HE636" s="27" t="s">
        <v>8</v>
      </c>
      <c r="ID636" s="27" t="s">
        <v>7</v>
      </c>
      <c r="IE636" s="27" t="s">
        <v>8</v>
      </c>
      <c r="IF636" s="27" t="s">
        <v>7</v>
      </c>
      <c r="IG636" s="27" t="s">
        <v>8</v>
      </c>
      <c r="IX636" s="27" t="s">
        <v>7</v>
      </c>
      <c r="IY636" s="27" t="s">
        <v>8</v>
      </c>
      <c r="IZ636" s="27" t="s">
        <v>7</v>
      </c>
      <c r="JK636" s="27" t="s">
        <v>8</v>
      </c>
      <c r="JL636" s="27" t="s">
        <v>7</v>
      </c>
      <c r="JM636" s="27" t="s">
        <v>8</v>
      </c>
      <c r="JN636" s="27" t="s">
        <v>7</v>
      </c>
      <c r="KO636" s="27" t="s">
        <v>8</v>
      </c>
      <c r="KP636" s="27" t="s">
        <v>7</v>
      </c>
      <c r="KQ636" s="27" t="s">
        <v>8</v>
      </c>
      <c r="KR636" s="27" t="s">
        <v>7</v>
      </c>
      <c r="KS636" s="27" t="s">
        <v>8</v>
      </c>
      <c r="KV636" s="27" t="s">
        <v>7</v>
      </c>
      <c r="KW636" s="27" t="s">
        <v>8</v>
      </c>
      <c r="KX636" s="27" t="s">
        <v>7</v>
      </c>
      <c r="KY636" s="27" t="s">
        <v>8</v>
      </c>
      <c r="OD636" s="27" t="s">
        <v>7</v>
      </c>
    </row>
    <row r="637" spans="1:397" x14ac:dyDescent="0.25">
      <c r="A637" s="7">
        <v>0.37152788212696197</v>
      </c>
      <c r="B637"/>
      <c r="C637"/>
      <c r="D637"/>
      <c r="E637"/>
      <c r="F637" s="27" t="s">
        <v>7</v>
      </c>
      <c r="HC637" s="27" t="s">
        <v>8</v>
      </c>
      <c r="HD637" s="27" t="s">
        <v>7</v>
      </c>
      <c r="HE637" s="27" t="s">
        <v>8</v>
      </c>
      <c r="ID637" s="27" t="s">
        <v>7</v>
      </c>
      <c r="IE637" s="27" t="s">
        <v>8</v>
      </c>
      <c r="IF637" s="27" t="s">
        <v>7</v>
      </c>
      <c r="IG637" s="27" t="s">
        <v>8</v>
      </c>
      <c r="IX637" s="27" t="s">
        <v>7</v>
      </c>
      <c r="IY637" s="27" t="s">
        <v>8</v>
      </c>
      <c r="IZ637" s="27" t="s">
        <v>7</v>
      </c>
      <c r="JK637" s="27" t="s">
        <v>8</v>
      </c>
      <c r="JL637" s="27" t="s">
        <v>7</v>
      </c>
      <c r="JM637" s="27" t="s">
        <v>8</v>
      </c>
      <c r="JN637" s="27" t="s">
        <v>7</v>
      </c>
      <c r="KO637" s="27" t="s">
        <v>8</v>
      </c>
      <c r="KP637" s="27" t="s">
        <v>7</v>
      </c>
      <c r="KQ637" s="27" t="s">
        <v>8</v>
      </c>
      <c r="KR637" s="27" t="s">
        <v>7</v>
      </c>
      <c r="KS637" s="27" t="s">
        <v>8</v>
      </c>
      <c r="KV637" s="27" t="s">
        <v>7</v>
      </c>
      <c r="KW637" s="27" t="s">
        <v>8</v>
      </c>
      <c r="KX637" s="27" t="s">
        <v>7</v>
      </c>
      <c r="OD637" s="27" t="s">
        <v>7</v>
      </c>
    </row>
    <row r="638" spans="1:397" x14ac:dyDescent="0.25">
      <c r="A638" s="7">
        <v>0.36424302169310002</v>
      </c>
      <c r="B638"/>
      <c r="C638"/>
      <c r="D638"/>
      <c r="E638"/>
      <c r="F638" s="27" t="s">
        <v>7</v>
      </c>
      <c r="HC638" s="27" t="s">
        <v>8</v>
      </c>
      <c r="HD638" s="27" t="s">
        <v>7</v>
      </c>
      <c r="HE638" s="27" t="s">
        <v>8</v>
      </c>
      <c r="ID638" s="27" t="s">
        <v>7</v>
      </c>
      <c r="IE638" s="27" t="s">
        <v>8</v>
      </c>
      <c r="IF638" s="27" t="s">
        <v>7</v>
      </c>
      <c r="IG638" s="27" t="s">
        <v>8</v>
      </c>
      <c r="IX638" s="27" t="s">
        <v>7</v>
      </c>
      <c r="IY638" s="27" t="s">
        <v>8</v>
      </c>
      <c r="IZ638" s="27" t="s">
        <v>7</v>
      </c>
      <c r="JK638" s="27" t="s">
        <v>8</v>
      </c>
      <c r="JL638" s="27" t="s">
        <v>7</v>
      </c>
      <c r="JM638" s="27" t="s">
        <v>8</v>
      </c>
      <c r="JN638" s="27" t="s">
        <v>7</v>
      </c>
      <c r="KO638" s="27" t="s">
        <v>8</v>
      </c>
      <c r="KP638" s="27" t="s">
        <v>7</v>
      </c>
      <c r="KQ638" s="27" t="s">
        <v>8</v>
      </c>
      <c r="KR638" s="27" t="s">
        <v>7</v>
      </c>
      <c r="KS638" s="27" t="s">
        <v>8</v>
      </c>
      <c r="KV638" s="27" t="s">
        <v>7</v>
      </c>
      <c r="OD638" s="27" t="s">
        <v>7</v>
      </c>
      <c r="OE638" s="27" t="s">
        <v>8</v>
      </c>
    </row>
    <row r="639" spans="1:397" x14ac:dyDescent="0.25">
      <c r="A639" s="7">
        <v>0.35710100165990194</v>
      </c>
      <c r="B639"/>
      <c r="C639"/>
      <c r="D639"/>
      <c r="E639"/>
      <c r="F639" s="27" t="s">
        <v>7</v>
      </c>
      <c r="HC639" s="27" t="s">
        <v>8</v>
      </c>
      <c r="HD639" s="27" t="s">
        <v>7</v>
      </c>
      <c r="HE639" s="27" t="s">
        <v>8</v>
      </c>
      <c r="ID639" s="27" t="s">
        <v>7</v>
      </c>
      <c r="IE639" s="27" t="s">
        <v>8</v>
      </c>
      <c r="IF639" s="27" t="s">
        <v>7</v>
      </c>
      <c r="IG639" s="27" t="s">
        <v>8</v>
      </c>
      <c r="IX639" s="27" t="s">
        <v>7</v>
      </c>
      <c r="IY639" s="27" t="s">
        <v>8</v>
      </c>
      <c r="IZ639" s="27" t="s">
        <v>7</v>
      </c>
      <c r="JK639" s="27" t="s">
        <v>8</v>
      </c>
      <c r="JL639" s="27" t="s">
        <v>7</v>
      </c>
      <c r="JM639" s="27" t="s">
        <v>8</v>
      </c>
      <c r="JN639" s="27" t="s">
        <v>7</v>
      </c>
      <c r="KO639" s="27" t="s">
        <v>8</v>
      </c>
      <c r="KP639" s="27" t="s">
        <v>7</v>
      </c>
      <c r="KQ639" s="27" t="s">
        <v>8</v>
      </c>
      <c r="KR639" s="27" t="s">
        <v>7</v>
      </c>
      <c r="KS639" s="27" t="s">
        <v>8</v>
      </c>
      <c r="OD639" s="27" t="s">
        <v>7</v>
      </c>
      <c r="OE639" s="27" t="s">
        <v>8</v>
      </c>
      <c r="OF639" s="27" t="s">
        <v>7</v>
      </c>
    </row>
    <row r="640" spans="1:397" x14ac:dyDescent="0.25">
      <c r="A640" s="7">
        <v>0.35009902123519804</v>
      </c>
      <c r="B640"/>
      <c r="C640"/>
      <c r="D640"/>
      <c r="E640"/>
      <c r="F640" s="27" t="s">
        <v>7</v>
      </c>
      <c r="HC640" s="27" t="s">
        <v>8</v>
      </c>
      <c r="HD640" s="27" t="s">
        <v>7</v>
      </c>
      <c r="ID640" s="27" t="s">
        <v>7</v>
      </c>
      <c r="IE640" s="27" t="s">
        <v>8</v>
      </c>
      <c r="IF640" s="27" t="s">
        <v>7</v>
      </c>
      <c r="IG640" s="27" t="s">
        <v>8</v>
      </c>
      <c r="IX640" s="27" t="s">
        <v>7</v>
      </c>
      <c r="IY640" s="27" t="s">
        <v>8</v>
      </c>
      <c r="IZ640" s="27" t="s">
        <v>7</v>
      </c>
      <c r="JK640" s="27" t="s">
        <v>8</v>
      </c>
      <c r="JL640" s="27" t="s">
        <v>7</v>
      </c>
      <c r="JM640" s="27" t="s">
        <v>8</v>
      </c>
      <c r="JN640" s="27" t="s">
        <v>7</v>
      </c>
      <c r="KO640" s="27" t="s">
        <v>8</v>
      </c>
      <c r="KP640" s="27" t="s">
        <v>7</v>
      </c>
      <c r="KQ640" s="27" t="s">
        <v>8</v>
      </c>
      <c r="KR640" s="27" t="s">
        <v>7</v>
      </c>
      <c r="KS640" s="27" t="s">
        <v>8</v>
      </c>
      <c r="OD640" s="27" t="s">
        <v>7</v>
      </c>
      <c r="OE640" s="27" t="s">
        <v>8</v>
      </c>
      <c r="OF640" s="27" t="s">
        <v>7</v>
      </c>
      <c r="OG640" s="27" t="s">
        <v>8</v>
      </c>
    </row>
    <row r="641" spans="1:398" x14ac:dyDescent="0.25">
      <c r="A641" s="7">
        <v>0.34323433454431179</v>
      </c>
      <c r="B641"/>
      <c r="C641"/>
      <c r="D641"/>
      <c r="E641"/>
      <c r="F641" s="27" t="s">
        <v>7</v>
      </c>
      <c r="HC641" s="27" t="s">
        <v>8</v>
      </c>
      <c r="ID641" s="27" t="s">
        <v>7</v>
      </c>
      <c r="IF641" s="27" t="s">
        <v>7</v>
      </c>
      <c r="IG641" s="27" t="s">
        <v>8</v>
      </c>
      <c r="IX641" s="27" t="s">
        <v>7</v>
      </c>
      <c r="IY641" s="27" t="s">
        <v>8</v>
      </c>
      <c r="IZ641" s="27" t="s">
        <v>7</v>
      </c>
      <c r="JG641" s="27" t="s">
        <v>8</v>
      </c>
      <c r="JK641" s="27" t="s">
        <v>8</v>
      </c>
      <c r="JL641" s="27" t="s">
        <v>7</v>
      </c>
      <c r="JM641" s="27" t="s">
        <v>8</v>
      </c>
      <c r="JN641" s="27" t="s">
        <v>7</v>
      </c>
      <c r="KO641" s="27" t="s">
        <v>8</v>
      </c>
      <c r="KP641" s="27" t="s">
        <v>7</v>
      </c>
      <c r="KQ641" s="27" t="s">
        <v>8</v>
      </c>
      <c r="KR641" s="27" t="s">
        <v>7</v>
      </c>
      <c r="KS641" s="27" t="s">
        <v>8</v>
      </c>
      <c r="OD641" s="27" t="s">
        <v>7</v>
      </c>
      <c r="OE641" s="27" t="s">
        <v>8</v>
      </c>
      <c r="OF641" s="27" t="s">
        <v>7</v>
      </c>
      <c r="OG641" s="27" t="s">
        <v>8</v>
      </c>
      <c r="OH641" s="27" t="s">
        <v>7</v>
      </c>
    </row>
    <row r="642" spans="1:398" x14ac:dyDescent="0.25">
      <c r="A642" s="7">
        <v>0.33650424955324681</v>
      </c>
      <c r="B642"/>
      <c r="C642"/>
      <c r="D642"/>
      <c r="E642"/>
      <c r="F642" s="27" t="s">
        <v>7</v>
      </c>
      <c r="HC642" s="27" t="s">
        <v>8</v>
      </c>
      <c r="IF642" s="27" t="s">
        <v>7</v>
      </c>
      <c r="IX642" s="27" t="s">
        <v>7</v>
      </c>
      <c r="IY642" s="27" t="s">
        <v>8</v>
      </c>
      <c r="IZ642" s="27" t="s">
        <v>7</v>
      </c>
      <c r="JE642" s="27" t="s">
        <v>8</v>
      </c>
      <c r="JG642" s="27" t="s">
        <v>8</v>
      </c>
      <c r="JH642" s="27" t="s">
        <v>7</v>
      </c>
      <c r="JI642" s="27" t="s">
        <v>8</v>
      </c>
      <c r="JK642" s="27" t="s">
        <v>8</v>
      </c>
      <c r="JL642" s="27" t="s">
        <v>7</v>
      </c>
      <c r="JN642" s="27" t="s">
        <v>7</v>
      </c>
      <c r="JO642" s="27" t="s">
        <v>8</v>
      </c>
      <c r="KO642" s="27" t="s">
        <v>8</v>
      </c>
      <c r="KP642" s="27" t="s">
        <v>7</v>
      </c>
      <c r="KQ642" s="27" t="s">
        <v>8</v>
      </c>
      <c r="KR642" s="27" t="s">
        <v>7</v>
      </c>
      <c r="OD642" s="27" t="s">
        <v>7</v>
      </c>
      <c r="OE642" s="27" t="s">
        <v>8</v>
      </c>
      <c r="OF642" s="27" t="s">
        <v>7</v>
      </c>
      <c r="OG642" s="27" t="s">
        <v>8</v>
      </c>
      <c r="OH642" s="27" t="s">
        <v>7</v>
      </c>
    </row>
    <row r="643" spans="1:398" x14ac:dyDescent="0.25">
      <c r="A643" s="7">
        <v>0.3299061270129871</v>
      </c>
      <c r="B643"/>
      <c r="C643"/>
      <c r="D643"/>
      <c r="E643"/>
      <c r="F643" s="27" t="s">
        <v>7</v>
      </c>
      <c r="HC643" s="27" t="s">
        <v>8</v>
      </c>
      <c r="IX643" s="27" t="s">
        <v>7</v>
      </c>
      <c r="IY643" s="27" t="s">
        <v>8</v>
      </c>
      <c r="IZ643" s="27" t="s">
        <v>7</v>
      </c>
      <c r="JE643" s="27" t="s">
        <v>8</v>
      </c>
      <c r="JF643" s="27" t="s">
        <v>7</v>
      </c>
      <c r="JG643" s="27" t="s">
        <v>8</v>
      </c>
      <c r="JH643" s="27" t="s">
        <v>7</v>
      </c>
      <c r="JI643" s="27" t="s">
        <v>8</v>
      </c>
      <c r="JJ643" s="27" t="s">
        <v>7</v>
      </c>
      <c r="JK643" s="27" t="s">
        <v>8</v>
      </c>
      <c r="JN643" s="27" t="s">
        <v>7</v>
      </c>
      <c r="JO643" s="27" t="s">
        <v>8</v>
      </c>
      <c r="JP643" s="27" t="s">
        <v>7</v>
      </c>
      <c r="KO643" s="27" t="s">
        <v>8</v>
      </c>
      <c r="KP643" s="27" t="s">
        <v>7</v>
      </c>
      <c r="KQ643" s="27" t="s">
        <v>8</v>
      </c>
      <c r="OD643" s="27" t="s">
        <v>7</v>
      </c>
      <c r="OE643" s="27" t="s">
        <v>8</v>
      </c>
      <c r="OF643" s="27" t="s">
        <v>7</v>
      </c>
      <c r="OG643" s="27" t="s">
        <v>8</v>
      </c>
      <c r="OH643" s="27" t="s">
        <v>7</v>
      </c>
    </row>
    <row r="644" spans="1:398" x14ac:dyDescent="0.25">
      <c r="A644" s="7">
        <v>0.32343737942449713</v>
      </c>
      <c r="B644"/>
      <c r="C644"/>
      <c r="D644"/>
      <c r="E644"/>
      <c r="F644" s="27" t="s">
        <v>7</v>
      </c>
      <c r="GU644" s="27" t="s">
        <v>8</v>
      </c>
      <c r="HC644" s="27" t="s">
        <v>8</v>
      </c>
      <c r="IX644" s="27" t="s">
        <v>7</v>
      </c>
      <c r="IY644" s="27" t="s">
        <v>8</v>
      </c>
      <c r="IZ644" s="27" t="s">
        <v>7</v>
      </c>
      <c r="JE644" s="27" t="s">
        <v>8</v>
      </c>
      <c r="JF644" s="27" t="s">
        <v>7</v>
      </c>
      <c r="JG644" s="27" t="s">
        <v>8</v>
      </c>
      <c r="JH644" s="27" t="s">
        <v>7</v>
      </c>
      <c r="JI644" s="27" t="s">
        <v>8</v>
      </c>
      <c r="JJ644" s="27" t="s">
        <v>7</v>
      </c>
      <c r="JK644" s="27" t="s">
        <v>8</v>
      </c>
      <c r="JN644" s="27" t="s">
        <v>7</v>
      </c>
      <c r="JO644" s="27" t="s">
        <v>8</v>
      </c>
      <c r="JP644" s="27" t="s">
        <v>7</v>
      </c>
      <c r="KO644" s="27" t="s">
        <v>8</v>
      </c>
      <c r="KP644" s="27" t="s">
        <v>7</v>
      </c>
      <c r="KQ644" s="27" t="s">
        <v>8</v>
      </c>
      <c r="OD644" s="27" t="s">
        <v>7</v>
      </c>
      <c r="OE644" s="27" t="s">
        <v>8</v>
      </c>
      <c r="OF644" s="27" t="s">
        <v>7</v>
      </c>
      <c r="OG644" s="27" t="s">
        <v>8</v>
      </c>
      <c r="OH644" s="27" t="s">
        <v>7</v>
      </c>
    </row>
    <row r="645" spans="1:398" x14ac:dyDescent="0.25">
      <c r="A645" s="7">
        <v>0.31709547002401678</v>
      </c>
      <c r="B645"/>
      <c r="C645"/>
      <c r="D645"/>
      <c r="E645"/>
      <c r="F645" s="27" t="s">
        <v>7</v>
      </c>
      <c r="GU645" s="27" t="s">
        <v>8</v>
      </c>
      <c r="GV645" s="27" t="s">
        <v>7</v>
      </c>
      <c r="GW645" s="27" t="s">
        <v>8</v>
      </c>
      <c r="HC645" s="27" t="s">
        <v>8</v>
      </c>
      <c r="IX645" s="27" t="s">
        <v>7</v>
      </c>
      <c r="IY645" s="27" t="s">
        <v>8</v>
      </c>
      <c r="IZ645" s="27" t="s">
        <v>7</v>
      </c>
      <c r="JE645" s="27" t="s">
        <v>8</v>
      </c>
      <c r="JF645" s="27" t="s">
        <v>7</v>
      </c>
      <c r="JG645" s="27" t="s">
        <v>8</v>
      </c>
      <c r="JH645" s="27" t="s">
        <v>7</v>
      </c>
      <c r="JI645" s="27" t="s">
        <v>8</v>
      </c>
      <c r="JJ645" s="27" t="s">
        <v>7</v>
      </c>
      <c r="JK645" s="27" t="s">
        <v>8</v>
      </c>
      <c r="JN645" s="27" t="s">
        <v>7</v>
      </c>
      <c r="JO645" s="27" t="s">
        <v>8</v>
      </c>
      <c r="JP645" s="27" t="s">
        <v>7</v>
      </c>
      <c r="KO645" s="27" t="s">
        <v>8</v>
      </c>
      <c r="KP645" s="27" t="s">
        <v>7</v>
      </c>
      <c r="KQ645" s="27" t="s">
        <v>8</v>
      </c>
      <c r="OD645" s="27" t="s">
        <v>7</v>
      </c>
      <c r="OF645" s="27" t="s">
        <v>7</v>
      </c>
      <c r="OG645" s="27" t="s">
        <v>8</v>
      </c>
      <c r="OH645" s="27" t="s">
        <v>7</v>
      </c>
    </row>
    <row r="646" spans="1:398" x14ac:dyDescent="0.25">
      <c r="A646" s="7">
        <v>0.31087791178825175</v>
      </c>
      <c r="B646"/>
      <c r="C646"/>
      <c r="D646"/>
      <c r="E646"/>
      <c r="F646" s="27" t="s">
        <v>7</v>
      </c>
      <c r="GU646" s="27" t="s">
        <v>8</v>
      </c>
      <c r="GV646" s="27" t="s">
        <v>7</v>
      </c>
      <c r="GW646" s="27" t="s">
        <v>8</v>
      </c>
      <c r="GX646" s="27" t="s">
        <v>7</v>
      </c>
      <c r="HC646" s="27" t="s">
        <v>8</v>
      </c>
      <c r="IX646" s="27" t="s">
        <v>7</v>
      </c>
      <c r="IY646" s="27" t="s">
        <v>8</v>
      </c>
      <c r="IZ646" s="27" t="s">
        <v>7</v>
      </c>
      <c r="JE646" s="27" t="s">
        <v>8</v>
      </c>
      <c r="JF646" s="27" t="s">
        <v>7</v>
      </c>
      <c r="JG646" s="27" t="s">
        <v>8</v>
      </c>
      <c r="JH646" s="27" t="s">
        <v>7</v>
      </c>
      <c r="JI646" s="27" t="s">
        <v>8</v>
      </c>
      <c r="JJ646" s="27" t="s">
        <v>7</v>
      </c>
      <c r="JN646" s="27" t="s">
        <v>7</v>
      </c>
      <c r="JO646" s="27" t="s">
        <v>8</v>
      </c>
      <c r="JP646" s="27" t="s">
        <v>7</v>
      </c>
      <c r="KG646" s="27" t="s">
        <v>8</v>
      </c>
      <c r="KO646" s="27" t="s">
        <v>8</v>
      </c>
      <c r="KP646" s="27" t="s">
        <v>7</v>
      </c>
      <c r="OF646" s="27" t="s">
        <v>7</v>
      </c>
      <c r="OG646" s="27" t="s">
        <v>8</v>
      </c>
      <c r="OH646" s="27" t="s">
        <v>7</v>
      </c>
    </row>
    <row r="647" spans="1:398" x14ac:dyDescent="0.25">
      <c r="A647" s="7">
        <v>0.30478226645907036</v>
      </c>
      <c r="B647"/>
      <c r="C647"/>
      <c r="D647"/>
      <c r="E647"/>
      <c r="F647" s="27" t="s">
        <v>7</v>
      </c>
      <c r="GU647" s="27" t="s">
        <v>8</v>
      </c>
      <c r="GV647" s="27" t="s">
        <v>7</v>
      </c>
      <c r="GW647" s="27" t="s">
        <v>8</v>
      </c>
      <c r="GX647" s="27" t="s">
        <v>7</v>
      </c>
      <c r="HC647" s="27" t="s">
        <v>8</v>
      </c>
      <c r="IX647" s="27" t="s">
        <v>7</v>
      </c>
      <c r="IY647" s="27" t="s">
        <v>8</v>
      </c>
      <c r="IZ647" s="27" t="s">
        <v>7</v>
      </c>
      <c r="JE647" s="27" t="s">
        <v>8</v>
      </c>
      <c r="JF647" s="27" t="s">
        <v>7</v>
      </c>
      <c r="JG647" s="27" t="s">
        <v>8</v>
      </c>
      <c r="JH647" s="27" t="s">
        <v>7</v>
      </c>
      <c r="JI647" s="27" t="s">
        <v>8</v>
      </c>
      <c r="JN647" s="27" t="s">
        <v>7</v>
      </c>
      <c r="JO647" s="27" t="s">
        <v>8</v>
      </c>
      <c r="JP647" s="27" t="s">
        <v>7</v>
      </c>
      <c r="JS647" s="27" t="s">
        <v>8</v>
      </c>
      <c r="KG647" s="27" t="s">
        <v>8</v>
      </c>
      <c r="KH647" s="27" t="s">
        <v>7</v>
      </c>
      <c r="KO647" s="27" t="s">
        <v>8</v>
      </c>
      <c r="OF647" s="27" t="s">
        <v>7</v>
      </c>
      <c r="OG647" s="27" t="s">
        <v>8</v>
      </c>
    </row>
    <row r="648" spans="1:398" x14ac:dyDescent="0.25">
      <c r="A648" s="7">
        <v>0.29880614358732388</v>
      </c>
      <c r="B648"/>
      <c r="C648"/>
      <c r="D648"/>
      <c r="E648"/>
      <c r="F648" s="27" t="s">
        <v>7</v>
      </c>
      <c r="GU648" s="27" t="s">
        <v>8</v>
      </c>
      <c r="GV648" s="27" t="s">
        <v>7</v>
      </c>
      <c r="GW648" s="27" t="s">
        <v>8</v>
      </c>
      <c r="GX648" s="27" t="s">
        <v>7</v>
      </c>
      <c r="HC648" s="27" t="s">
        <v>8</v>
      </c>
      <c r="IX648" s="27" t="s">
        <v>7</v>
      </c>
      <c r="IY648" s="27" t="s">
        <v>8</v>
      </c>
      <c r="IZ648" s="27" t="s">
        <v>7</v>
      </c>
      <c r="JC648" s="27" t="s">
        <v>8</v>
      </c>
      <c r="JE648" s="27" t="s">
        <v>8</v>
      </c>
      <c r="JF648" s="27" t="s">
        <v>7</v>
      </c>
      <c r="JG648" s="27" t="s">
        <v>8</v>
      </c>
      <c r="JH648" s="27" t="s">
        <v>7</v>
      </c>
      <c r="JI648" s="27" t="s">
        <v>8</v>
      </c>
      <c r="JN648" s="27" t="s">
        <v>7</v>
      </c>
      <c r="JO648" s="27" t="s">
        <v>8</v>
      </c>
      <c r="JP648" s="27" t="s">
        <v>7</v>
      </c>
      <c r="JQ648" s="27" t="s">
        <v>8</v>
      </c>
      <c r="JS648" s="27" t="s">
        <v>8</v>
      </c>
      <c r="JT648" s="27" t="s">
        <v>7</v>
      </c>
      <c r="KG648" s="27" t="s">
        <v>8</v>
      </c>
      <c r="KH648" s="27" t="s">
        <v>7</v>
      </c>
      <c r="KO648" s="27" t="s">
        <v>8</v>
      </c>
      <c r="OF648" s="27" t="s">
        <v>7</v>
      </c>
      <c r="OG648" s="27" t="s">
        <v>8</v>
      </c>
    </row>
    <row r="649" spans="1:398" x14ac:dyDescent="0.25">
      <c r="A649" s="7">
        <v>0.2929471995954156</v>
      </c>
      <c r="B649"/>
      <c r="C649"/>
      <c r="D649"/>
      <c r="E649"/>
      <c r="F649" s="27" t="s">
        <v>7</v>
      </c>
      <c r="GU649" s="27" t="s">
        <v>8</v>
      </c>
      <c r="GV649" s="27" t="s">
        <v>7</v>
      </c>
      <c r="GW649" s="27" t="s">
        <v>8</v>
      </c>
      <c r="GX649" s="27" t="s">
        <v>7</v>
      </c>
      <c r="HC649" s="27" t="s">
        <v>8</v>
      </c>
      <c r="IX649" s="27" t="s">
        <v>7</v>
      </c>
      <c r="IY649" s="27" t="s">
        <v>8</v>
      </c>
      <c r="IZ649" s="27" t="s">
        <v>7</v>
      </c>
      <c r="JA649" s="27" t="s">
        <v>8</v>
      </c>
      <c r="JC649" s="27" t="s">
        <v>8</v>
      </c>
      <c r="JD649" s="27" t="s">
        <v>7</v>
      </c>
      <c r="JE649" s="27" t="s">
        <v>8</v>
      </c>
      <c r="JF649" s="27" t="s">
        <v>7</v>
      </c>
      <c r="JG649" s="27" t="s">
        <v>8</v>
      </c>
      <c r="JH649" s="27" t="s">
        <v>7</v>
      </c>
      <c r="JI649" s="27" t="s">
        <v>8</v>
      </c>
      <c r="JN649" s="27" t="s">
        <v>7</v>
      </c>
      <c r="JO649" s="27" t="s">
        <v>8</v>
      </c>
      <c r="JP649" s="27" t="s">
        <v>7</v>
      </c>
      <c r="JQ649" s="27" t="s">
        <v>8</v>
      </c>
      <c r="JR649" s="27" t="s">
        <v>7</v>
      </c>
      <c r="JS649" s="27" t="s">
        <v>8</v>
      </c>
      <c r="JT649" s="27" t="s">
        <v>7</v>
      </c>
      <c r="KE649" s="27" t="s">
        <v>8</v>
      </c>
      <c r="KG649" s="27" t="s">
        <v>8</v>
      </c>
      <c r="KH649" s="27" t="s">
        <v>7</v>
      </c>
      <c r="KM649" s="27" t="s">
        <v>8</v>
      </c>
      <c r="KO649" s="27" t="s">
        <v>8</v>
      </c>
      <c r="OF649" s="27" t="s">
        <v>7</v>
      </c>
      <c r="OG649" s="27" t="s">
        <v>8</v>
      </c>
    </row>
    <row r="650" spans="1:398" x14ac:dyDescent="0.25">
      <c r="A650" s="7">
        <v>0.28720313685825055</v>
      </c>
      <c r="B650"/>
      <c r="C650"/>
      <c r="D650"/>
      <c r="E650"/>
      <c r="F650" s="27" t="s">
        <v>7</v>
      </c>
      <c r="GQ650" s="27" t="s">
        <v>8</v>
      </c>
      <c r="GU650" s="27" t="s">
        <v>8</v>
      </c>
      <c r="GV650" s="27" t="s">
        <v>7</v>
      </c>
      <c r="GW650" s="27" t="s">
        <v>8</v>
      </c>
      <c r="GX650" s="27" t="s">
        <v>7</v>
      </c>
      <c r="HA650" s="27" t="s">
        <v>8</v>
      </c>
      <c r="HC650" s="27" t="s">
        <v>8</v>
      </c>
      <c r="IX650" s="27" t="s">
        <v>7</v>
      </c>
      <c r="IY650" s="27" t="s">
        <v>8</v>
      </c>
      <c r="IZ650" s="27" t="s">
        <v>7</v>
      </c>
      <c r="JA650" s="27" t="s">
        <v>8</v>
      </c>
      <c r="JB650" s="27" t="s">
        <v>7</v>
      </c>
      <c r="JC650" s="27" t="s">
        <v>8</v>
      </c>
      <c r="JD650" s="27" t="s">
        <v>7</v>
      </c>
      <c r="JE650" s="27" t="s">
        <v>8</v>
      </c>
      <c r="JF650" s="27" t="s">
        <v>7</v>
      </c>
      <c r="JG650" s="27" t="s">
        <v>8</v>
      </c>
      <c r="JH650" s="27" t="s">
        <v>7</v>
      </c>
      <c r="JI650" s="27" t="s">
        <v>8</v>
      </c>
      <c r="JN650" s="27" t="s">
        <v>7</v>
      </c>
      <c r="JO650" s="27" t="s">
        <v>8</v>
      </c>
      <c r="JP650" s="27" t="s">
        <v>7</v>
      </c>
      <c r="JQ650" s="27" t="s">
        <v>8</v>
      </c>
      <c r="JR650" s="27" t="s">
        <v>7</v>
      </c>
      <c r="JS650" s="27" t="s">
        <v>8</v>
      </c>
      <c r="JT650" s="27" t="s">
        <v>7</v>
      </c>
      <c r="KC650" s="27" t="s">
        <v>8</v>
      </c>
      <c r="KE650" s="27" t="s">
        <v>8</v>
      </c>
      <c r="KF650" s="27" t="s">
        <v>7</v>
      </c>
      <c r="KG650" s="27" t="s">
        <v>8</v>
      </c>
      <c r="KH650" s="27" t="s">
        <v>7</v>
      </c>
      <c r="KM650" s="27" t="s">
        <v>8</v>
      </c>
      <c r="KN650" s="27" t="s">
        <v>7</v>
      </c>
      <c r="KO650" s="27" t="s">
        <v>8</v>
      </c>
      <c r="OF650" s="27" t="s">
        <v>7</v>
      </c>
    </row>
    <row r="651" spans="1:398" x14ac:dyDescent="0.25">
      <c r="A651" s="7">
        <v>0.28157170280220645</v>
      </c>
      <c r="B651"/>
      <c r="C651"/>
      <c r="D651"/>
      <c r="E651"/>
      <c r="F651" s="27" t="s">
        <v>7</v>
      </c>
      <c r="GQ651" s="27" t="s">
        <v>8</v>
      </c>
      <c r="GR651" s="27" t="s">
        <v>7</v>
      </c>
      <c r="GU651" s="27" t="s">
        <v>8</v>
      </c>
      <c r="GV651" s="27" t="s">
        <v>7</v>
      </c>
      <c r="GW651" s="27" t="s">
        <v>8</v>
      </c>
      <c r="GX651" s="27" t="s">
        <v>7</v>
      </c>
      <c r="HA651" s="27" t="s">
        <v>8</v>
      </c>
      <c r="HB651" s="27" t="s">
        <v>7</v>
      </c>
      <c r="HC651" s="27" t="s">
        <v>8</v>
      </c>
      <c r="IX651" s="27" t="s">
        <v>7</v>
      </c>
      <c r="IY651" s="27" t="s">
        <v>8</v>
      </c>
      <c r="IZ651" s="27" t="s">
        <v>7</v>
      </c>
      <c r="JA651" s="27" t="s">
        <v>8</v>
      </c>
      <c r="JB651" s="27" t="s">
        <v>7</v>
      </c>
      <c r="JC651" s="27" t="s">
        <v>8</v>
      </c>
      <c r="JD651" s="27" t="s">
        <v>7</v>
      </c>
      <c r="JE651" s="27" t="s">
        <v>8</v>
      </c>
      <c r="JF651" s="27" t="s">
        <v>7</v>
      </c>
      <c r="JG651" s="27" t="s">
        <v>8</v>
      </c>
      <c r="JH651" s="27" t="s">
        <v>7</v>
      </c>
      <c r="JI651" s="27" t="s">
        <v>8</v>
      </c>
      <c r="JN651" s="27" t="s">
        <v>7</v>
      </c>
      <c r="JO651" s="27" t="s">
        <v>8</v>
      </c>
      <c r="JP651" s="27" t="s">
        <v>7</v>
      </c>
      <c r="JQ651" s="27" t="s">
        <v>8</v>
      </c>
      <c r="JR651" s="27" t="s">
        <v>7</v>
      </c>
      <c r="JT651" s="27" t="s">
        <v>7</v>
      </c>
      <c r="KC651" s="27" t="s">
        <v>8</v>
      </c>
      <c r="KD651" s="27" t="s">
        <v>7</v>
      </c>
      <c r="KE651" s="27" t="s">
        <v>8</v>
      </c>
      <c r="KF651" s="27" t="s">
        <v>7</v>
      </c>
      <c r="KG651" s="27" t="s">
        <v>8</v>
      </c>
      <c r="KH651" s="27" t="s">
        <v>7</v>
      </c>
      <c r="KM651" s="27" t="s">
        <v>8</v>
      </c>
      <c r="KN651" s="27" t="s">
        <v>7</v>
      </c>
      <c r="KO651" s="27" t="s">
        <v>8</v>
      </c>
    </row>
    <row r="652" spans="1:398" x14ac:dyDescent="0.25">
      <c r="A652" s="7">
        <v>0.27605068902177105</v>
      </c>
      <c r="B652"/>
      <c r="C652"/>
      <c r="D652"/>
      <c r="E652"/>
      <c r="F652" s="27" t="s">
        <v>7</v>
      </c>
      <c r="GO652" s="27" t="s">
        <v>8</v>
      </c>
      <c r="GQ652" s="27" t="s">
        <v>8</v>
      </c>
      <c r="GR652" s="27" t="s">
        <v>7</v>
      </c>
      <c r="GU652" s="27" t="s">
        <v>8</v>
      </c>
      <c r="GV652" s="27" t="s">
        <v>7</v>
      </c>
      <c r="GW652" s="27" t="s">
        <v>8</v>
      </c>
      <c r="GX652" s="27" t="s">
        <v>7</v>
      </c>
      <c r="HA652" s="27" t="s">
        <v>8</v>
      </c>
      <c r="HB652" s="27" t="s">
        <v>7</v>
      </c>
      <c r="HC652" s="27" t="s">
        <v>8</v>
      </c>
      <c r="IX652" s="27" t="s">
        <v>7</v>
      </c>
      <c r="IY652" s="27" t="s">
        <v>8</v>
      </c>
      <c r="IZ652" s="27" t="s">
        <v>7</v>
      </c>
      <c r="JA652" s="27" t="s">
        <v>8</v>
      </c>
      <c r="JB652" s="27" t="s">
        <v>7</v>
      </c>
      <c r="JC652" s="27" t="s">
        <v>8</v>
      </c>
      <c r="JD652" s="27" t="s">
        <v>7</v>
      </c>
      <c r="JE652" s="27" t="s">
        <v>8</v>
      </c>
      <c r="JF652" s="27" t="s">
        <v>7</v>
      </c>
      <c r="JG652" s="27" t="s">
        <v>8</v>
      </c>
      <c r="JH652" s="27" t="s">
        <v>7</v>
      </c>
      <c r="JI652" s="27" t="s">
        <v>8</v>
      </c>
      <c r="JN652" s="27" t="s">
        <v>7</v>
      </c>
      <c r="JO652" s="27" t="s">
        <v>8</v>
      </c>
      <c r="JP652" s="27" t="s">
        <v>7</v>
      </c>
      <c r="JQ652" s="27" t="s">
        <v>8</v>
      </c>
      <c r="JT652" s="27" t="s">
        <v>7</v>
      </c>
      <c r="JU652" s="27" t="s">
        <v>8</v>
      </c>
      <c r="KC652" s="27" t="s">
        <v>8</v>
      </c>
      <c r="KD652" s="27" t="s">
        <v>7</v>
      </c>
      <c r="KE652" s="27" t="s">
        <v>8</v>
      </c>
      <c r="KF652" s="27" t="s">
        <v>7</v>
      </c>
      <c r="KG652" s="27" t="s">
        <v>8</v>
      </c>
      <c r="KH652" s="27" t="s">
        <v>7</v>
      </c>
      <c r="KM652" s="27" t="s">
        <v>8</v>
      </c>
      <c r="KN652" s="27" t="s">
        <v>7</v>
      </c>
      <c r="KO652" s="27" t="s">
        <v>8</v>
      </c>
    </row>
    <row r="653" spans="1:398" x14ac:dyDescent="0.25">
      <c r="A653" s="7">
        <v>0.27063793041350104</v>
      </c>
      <c r="B653"/>
      <c r="C653"/>
      <c r="D653"/>
      <c r="E653"/>
      <c r="F653" s="27" t="s">
        <v>7</v>
      </c>
      <c r="GO653" s="27" t="s">
        <v>8</v>
      </c>
      <c r="GP653" s="27" t="s">
        <v>7</v>
      </c>
      <c r="GQ653" s="27" t="s">
        <v>8</v>
      </c>
      <c r="GR653" s="27" t="s">
        <v>7</v>
      </c>
      <c r="GU653" s="27" t="s">
        <v>8</v>
      </c>
      <c r="GV653" s="27" t="s">
        <v>7</v>
      </c>
      <c r="GW653" s="27" t="s">
        <v>8</v>
      </c>
      <c r="GX653" s="27" t="s">
        <v>7</v>
      </c>
      <c r="GY653" s="27" t="s">
        <v>8</v>
      </c>
      <c r="HA653" s="27" t="s">
        <v>8</v>
      </c>
      <c r="HB653" s="27" t="s">
        <v>7</v>
      </c>
      <c r="HC653" s="27" t="s">
        <v>8</v>
      </c>
      <c r="IX653" s="27" t="s">
        <v>7</v>
      </c>
      <c r="IY653" s="27" t="s">
        <v>8</v>
      </c>
      <c r="IZ653" s="27" t="s">
        <v>7</v>
      </c>
      <c r="JA653" s="27" t="s">
        <v>8</v>
      </c>
      <c r="JB653" s="27" t="s">
        <v>7</v>
      </c>
      <c r="JC653" s="27" t="s">
        <v>8</v>
      </c>
      <c r="JD653" s="27" t="s">
        <v>7</v>
      </c>
      <c r="JE653" s="27" t="s">
        <v>8</v>
      </c>
      <c r="JF653" s="27" t="s">
        <v>7</v>
      </c>
      <c r="JG653" s="27" t="s">
        <v>8</v>
      </c>
      <c r="JH653" s="27" t="s">
        <v>7</v>
      </c>
      <c r="JI653" s="27" t="s">
        <v>8</v>
      </c>
      <c r="JN653" s="27" t="s">
        <v>7</v>
      </c>
      <c r="JO653" s="27" t="s">
        <v>8</v>
      </c>
      <c r="JP653" s="27" t="s">
        <v>7</v>
      </c>
      <c r="JQ653" s="27" t="s">
        <v>8</v>
      </c>
      <c r="JT653" s="27" t="s">
        <v>7</v>
      </c>
      <c r="JU653" s="27" t="s">
        <v>8</v>
      </c>
      <c r="JV653" s="27" t="s">
        <v>7</v>
      </c>
      <c r="KC653" s="27" t="s">
        <v>8</v>
      </c>
      <c r="KD653" s="27" t="s">
        <v>7</v>
      </c>
      <c r="KE653" s="27" t="s">
        <v>8</v>
      </c>
      <c r="KF653" s="27" t="s">
        <v>7</v>
      </c>
      <c r="KG653" s="27" t="s">
        <v>8</v>
      </c>
      <c r="KH653" s="27" t="s">
        <v>7</v>
      </c>
      <c r="KM653" s="27" t="s">
        <v>8</v>
      </c>
      <c r="KN653" s="27" t="s">
        <v>7</v>
      </c>
      <c r="KO653" s="27" t="s">
        <v>8</v>
      </c>
    </row>
    <row r="654" spans="1:398" x14ac:dyDescent="0.25">
      <c r="A654" s="7">
        <v>0.26533130432696184</v>
      </c>
      <c r="B654"/>
      <c r="C654"/>
      <c r="D654"/>
      <c r="E654"/>
      <c r="F654" s="27" t="s">
        <v>7</v>
      </c>
      <c r="GO654" s="27" t="s">
        <v>8</v>
      </c>
      <c r="GP654" s="27" t="s">
        <v>7</v>
      </c>
      <c r="GQ654" s="27" t="s">
        <v>8</v>
      </c>
      <c r="GR654" s="27" t="s">
        <v>7</v>
      </c>
      <c r="GU654" s="27" t="s">
        <v>8</v>
      </c>
      <c r="GV654" s="27" t="s">
        <v>7</v>
      </c>
      <c r="GX654" s="27" t="s">
        <v>7</v>
      </c>
      <c r="GY654" s="27" t="s">
        <v>8</v>
      </c>
      <c r="GZ654" s="27" t="s">
        <v>7</v>
      </c>
      <c r="HA654" s="27" t="s">
        <v>8</v>
      </c>
      <c r="HB654" s="27" t="s">
        <v>7</v>
      </c>
      <c r="HC654" s="27" t="s">
        <v>8</v>
      </c>
      <c r="IX654" s="27" t="s">
        <v>7</v>
      </c>
      <c r="IY654" s="27" t="s">
        <v>8</v>
      </c>
      <c r="IZ654" s="27" t="s">
        <v>7</v>
      </c>
      <c r="JA654" s="27" t="s">
        <v>8</v>
      </c>
      <c r="JB654" s="27" t="s">
        <v>7</v>
      </c>
      <c r="JC654" s="27" t="s">
        <v>8</v>
      </c>
      <c r="JD654" s="27" t="s">
        <v>7</v>
      </c>
      <c r="JE654" s="27" t="s">
        <v>8</v>
      </c>
      <c r="JF654" s="27" t="s">
        <v>7</v>
      </c>
      <c r="JG654" s="27" t="s">
        <v>8</v>
      </c>
      <c r="JH654" s="27" t="s">
        <v>7</v>
      </c>
      <c r="JN654" s="27" t="s">
        <v>7</v>
      </c>
      <c r="JO654" s="27" t="s">
        <v>8</v>
      </c>
      <c r="JP654" s="27" t="s">
        <v>7</v>
      </c>
      <c r="JQ654" s="27" t="s">
        <v>8</v>
      </c>
      <c r="JT654" s="27" t="s">
        <v>7</v>
      </c>
      <c r="JU654" s="27" t="s">
        <v>8</v>
      </c>
      <c r="JV654" s="27" t="s">
        <v>7</v>
      </c>
      <c r="KC654" s="27" t="s">
        <v>8</v>
      </c>
      <c r="KD654" s="27" t="s">
        <v>7</v>
      </c>
      <c r="KE654" s="27" t="s">
        <v>8</v>
      </c>
      <c r="KF654" s="27" t="s">
        <v>7</v>
      </c>
      <c r="KG654" s="27" t="s">
        <v>8</v>
      </c>
      <c r="KH654" s="27" t="s">
        <v>7</v>
      </c>
      <c r="KM654" s="27" t="s">
        <v>8</v>
      </c>
      <c r="KN654" s="27" t="s">
        <v>7</v>
      </c>
      <c r="KO654" s="27" t="s">
        <v>8</v>
      </c>
    </row>
    <row r="655" spans="1:398" x14ac:dyDescent="0.25">
      <c r="A655" s="7">
        <v>0.26012872973231554</v>
      </c>
      <c r="B655"/>
      <c r="C655"/>
      <c r="D655"/>
      <c r="E655"/>
      <c r="F655" s="27" t="s">
        <v>7</v>
      </c>
      <c r="GO655" s="27" t="s">
        <v>8</v>
      </c>
      <c r="GP655" s="27" t="s">
        <v>7</v>
      </c>
      <c r="GQ655" s="27" t="s">
        <v>8</v>
      </c>
      <c r="GR655" s="27" t="s">
        <v>7</v>
      </c>
      <c r="GU655" s="27" t="s">
        <v>8</v>
      </c>
      <c r="GX655" s="27" t="s">
        <v>7</v>
      </c>
      <c r="GY655" s="27" t="s">
        <v>8</v>
      </c>
      <c r="GZ655" s="27" t="s">
        <v>7</v>
      </c>
      <c r="HA655" s="27" t="s">
        <v>8</v>
      </c>
      <c r="HB655" s="27" t="s">
        <v>7</v>
      </c>
      <c r="HC655" s="27" t="s">
        <v>8</v>
      </c>
      <c r="IX655" s="27" t="s">
        <v>7</v>
      </c>
      <c r="IY655" s="27" t="s">
        <v>8</v>
      </c>
      <c r="IZ655" s="27" t="s">
        <v>7</v>
      </c>
      <c r="JA655" s="27" t="s">
        <v>8</v>
      </c>
      <c r="JB655" s="27" t="s">
        <v>7</v>
      </c>
      <c r="JC655" s="27" t="s">
        <v>8</v>
      </c>
      <c r="JD655" s="27" t="s">
        <v>7</v>
      </c>
      <c r="JE655" s="27" t="s">
        <v>8</v>
      </c>
      <c r="JF655" s="27" t="s">
        <v>7</v>
      </c>
      <c r="JG655" s="27" t="s">
        <v>8</v>
      </c>
      <c r="JN655" s="27" t="s">
        <v>7</v>
      </c>
      <c r="JP655" s="27" t="s">
        <v>7</v>
      </c>
      <c r="JQ655" s="27" t="s">
        <v>8</v>
      </c>
      <c r="JT655" s="27" t="s">
        <v>7</v>
      </c>
      <c r="JU655" s="27" t="s">
        <v>8</v>
      </c>
      <c r="JV655" s="27" t="s">
        <v>7</v>
      </c>
      <c r="KC655" s="27" t="s">
        <v>8</v>
      </c>
      <c r="KD655" s="27" t="s">
        <v>7</v>
      </c>
      <c r="KE655" s="27" t="s">
        <v>8</v>
      </c>
      <c r="KF655" s="27" t="s">
        <v>7</v>
      </c>
      <c r="KG655" s="27" t="s">
        <v>8</v>
      </c>
      <c r="KH655" s="27" t="s">
        <v>7</v>
      </c>
      <c r="KM655" s="27" t="s">
        <v>8</v>
      </c>
      <c r="KN655" s="27" t="s">
        <v>7</v>
      </c>
    </row>
    <row r="656" spans="1:398" x14ac:dyDescent="0.25">
      <c r="A656" s="7">
        <v>0.25502816640423093</v>
      </c>
      <c r="B656"/>
      <c r="C656"/>
      <c r="D656"/>
      <c r="E656"/>
      <c r="F656" s="27" t="s">
        <v>7</v>
      </c>
      <c r="GO656" s="27" t="s">
        <v>8</v>
      </c>
      <c r="GP656" s="27" t="s">
        <v>7</v>
      </c>
      <c r="GQ656" s="27" t="s">
        <v>8</v>
      </c>
      <c r="GR656" s="27" t="s">
        <v>7</v>
      </c>
      <c r="GS656" s="27" t="s">
        <v>8</v>
      </c>
      <c r="GU656" s="27" t="s">
        <v>8</v>
      </c>
      <c r="GX656" s="27" t="s">
        <v>7</v>
      </c>
      <c r="GY656" s="27" t="s">
        <v>8</v>
      </c>
      <c r="GZ656" s="27" t="s">
        <v>7</v>
      </c>
      <c r="HA656" s="27" t="s">
        <v>8</v>
      </c>
      <c r="HB656" s="27" t="s">
        <v>7</v>
      </c>
      <c r="HC656" s="27" t="s">
        <v>8</v>
      </c>
      <c r="IX656" s="27" t="s">
        <v>7</v>
      </c>
      <c r="IY656" s="27" t="s">
        <v>8</v>
      </c>
      <c r="IZ656" s="27" t="s">
        <v>7</v>
      </c>
      <c r="JA656" s="27" t="s">
        <v>8</v>
      </c>
      <c r="JB656" s="27" t="s">
        <v>7</v>
      </c>
      <c r="JC656" s="27" t="s">
        <v>8</v>
      </c>
      <c r="JD656" s="27" t="s">
        <v>7</v>
      </c>
      <c r="JE656" s="27" t="s">
        <v>8</v>
      </c>
      <c r="JF656" s="27" t="s">
        <v>7</v>
      </c>
      <c r="JG656" s="27" t="s">
        <v>8</v>
      </c>
      <c r="JP656" s="27" t="s">
        <v>7</v>
      </c>
      <c r="JQ656" s="27" t="s">
        <v>8</v>
      </c>
      <c r="JT656" s="27" t="s">
        <v>7</v>
      </c>
      <c r="JV656" s="27" t="s">
        <v>7</v>
      </c>
      <c r="KC656" s="27" t="s">
        <v>8</v>
      </c>
      <c r="KD656" s="27" t="s">
        <v>7</v>
      </c>
      <c r="KE656" s="27" t="s">
        <v>8</v>
      </c>
      <c r="KF656" s="27" t="s">
        <v>7</v>
      </c>
      <c r="KH656" s="27" t="s">
        <v>7</v>
      </c>
      <c r="KK656" s="27" t="s">
        <v>8</v>
      </c>
      <c r="KM656" s="27" t="s">
        <v>8</v>
      </c>
    </row>
    <row r="657" spans="1:299" x14ac:dyDescent="0.25">
      <c r="A657" s="7">
        <v>0.25002761412179503</v>
      </c>
      <c r="B657"/>
      <c r="C657"/>
      <c r="D657"/>
      <c r="E657"/>
      <c r="F657" s="27" t="s">
        <v>7</v>
      </c>
      <c r="GO657" s="27" t="s">
        <v>8</v>
      </c>
      <c r="GP657" s="27" t="s">
        <v>7</v>
      </c>
      <c r="GQ657" s="27" t="s">
        <v>8</v>
      </c>
      <c r="GR657" s="27" t="s">
        <v>7</v>
      </c>
      <c r="GS657" s="27" t="s">
        <v>8</v>
      </c>
      <c r="GT657" s="27" t="s">
        <v>7</v>
      </c>
      <c r="GU657" s="27" t="s">
        <v>8</v>
      </c>
      <c r="GX657" s="27" t="s">
        <v>7</v>
      </c>
      <c r="GY657" s="27" t="s">
        <v>8</v>
      </c>
      <c r="GZ657" s="27" t="s">
        <v>7</v>
      </c>
      <c r="HA657" s="27" t="s">
        <v>8</v>
      </c>
      <c r="HB657" s="27" t="s">
        <v>7</v>
      </c>
      <c r="HC657" s="27" t="s">
        <v>8</v>
      </c>
      <c r="IX657" s="27" t="s">
        <v>7</v>
      </c>
      <c r="IZ657" s="27" t="s">
        <v>7</v>
      </c>
      <c r="JB657" s="27" t="s">
        <v>7</v>
      </c>
      <c r="JC657" s="27" t="s">
        <v>8</v>
      </c>
      <c r="JD657" s="27" t="s">
        <v>7</v>
      </c>
      <c r="JE657" s="27" t="s">
        <v>8</v>
      </c>
      <c r="JF657" s="27" t="s">
        <v>7</v>
      </c>
      <c r="JG657" s="27" t="s">
        <v>8</v>
      </c>
      <c r="JP657" s="27" t="s">
        <v>7</v>
      </c>
      <c r="JV657" s="27" t="s">
        <v>7</v>
      </c>
      <c r="KA657" s="27" t="s">
        <v>8</v>
      </c>
      <c r="KC657" s="27" t="s">
        <v>8</v>
      </c>
      <c r="KD657" s="27" t="s">
        <v>7</v>
      </c>
      <c r="KH657" s="27" t="s">
        <v>7</v>
      </c>
      <c r="KK657" s="27" t="s">
        <v>8</v>
      </c>
      <c r="KL657" s="27" t="s">
        <v>7</v>
      </c>
      <c r="KM657" s="27" t="s">
        <v>8</v>
      </c>
    </row>
    <row r="658" spans="1:299" x14ac:dyDescent="0.25">
      <c r="A658" s="7">
        <v>0.24512511188411276</v>
      </c>
      <c r="B658"/>
      <c r="C658"/>
      <c r="D658"/>
      <c r="E658"/>
      <c r="F658" s="27" t="s">
        <v>7</v>
      </c>
      <c r="GO658" s="27" t="s">
        <v>8</v>
      </c>
      <c r="GP658" s="27" t="s">
        <v>7</v>
      </c>
      <c r="GQ658" s="27" t="s">
        <v>8</v>
      </c>
      <c r="GR658" s="27" t="s">
        <v>7</v>
      </c>
      <c r="GS658" s="27" t="s">
        <v>8</v>
      </c>
      <c r="GT658" s="27" t="s">
        <v>7</v>
      </c>
      <c r="GU658" s="27" t="s">
        <v>8</v>
      </c>
      <c r="GX658" s="27" t="s">
        <v>7</v>
      </c>
      <c r="GY658" s="27" t="s">
        <v>8</v>
      </c>
      <c r="GZ658" s="27" t="s">
        <v>7</v>
      </c>
      <c r="HA658" s="27" t="s">
        <v>8</v>
      </c>
      <c r="HB658" s="27" t="s">
        <v>7</v>
      </c>
      <c r="HC658" s="27" t="s">
        <v>8</v>
      </c>
      <c r="JB658" s="27" t="s">
        <v>7</v>
      </c>
      <c r="JC658" s="27" t="s">
        <v>8</v>
      </c>
      <c r="JD658" s="27" t="s">
        <v>7</v>
      </c>
      <c r="JF658" s="27" t="s">
        <v>7</v>
      </c>
      <c r="JV658" s="27" t="s">
        <v>7</v>
      </c>
      <c r="KA658" s="27" t="s">
        <v>8</v>
      </c>
      <c r="KB658" s="27" t="s">
        <v>7</v>
      </c>
      <c r="KC658" s="27" t="s">
        <v>8</v>
      </c>
      <c r="KH658" s="27" t="s">
        <v>7</v>
      </c>
      <c r="KI658" s="27" t="s">
        <v>8</v>
      </c>
      <c r="KK658" s="27" t="s">
        <v>8</v>
      </c>
      <c r="KL658" s="27" t="s">
        <v>7</v>
      </c>
      <c r="KM658" s="27" t="s">
        <v>8</v>
      </c>
    </row>
    <row r="659" spans="1:299" x14ac:dyDescent="0.25">
      <c r="A659" s="7">
        <v>0.24031873714128701</v>
      </c>
      <c r="B659"/>
      <c r="C659"/>
      <c r="D659"/>
      <c r="E659"/>
      <c r="F659" s="27" t="s">
        <v>7</v>
      </c>
      <c r="GO659" s="27" t="s">
        <v>8</v>
      </c>
      <c r="GP659" s="27" t="s">
        <v>7</v>
      </c>
      <c r="GQ659" s="27" t="s">
        <v>8</v>
      </c>
      <c r="GR659" s="27" t="s">
        <v>7</v>
      </c>
      <c r="GS659" s="27" t="s">
        <v>8</v>
      </c>
      <c r="GT659" s="27" t="s">
        <v>7</v>
      </c>
      <c r="GU659" s="27" t="s">
        <v>8</v>
      </c>
      <c r="GX659" s="27" t="s">
        <v>7</v>
      </c>
      <c r="GY659" s="27" t="s">
        <v>8</v>
      </c>
      <c r="GZ659" s="27" t="s">
        <v>7</v>
      </c>
      <c r="HA659" s="27" t="s">
        <v>8</v>
      </c>
      <c r="HB659" s="27" t="s">
        <v>7</v>
      </c>
      <c r="HC659" s="27" t="s">
        <v>8</v>
      </c>
      <c r="JB659" s="27" t="s">
        <v>7</v>
      </c>
      <c r="JC659" s="27" t="s">
        <v>8</v>
      </c>
      <c r="JV659" s="27" t="s">
        <v>7</v>
      </c>
      <c r="KA659" s="27" t="s">
        <v>8</v>
      </c>
      <c r="KB659" s="27" t="s">
        <v>7</v>
      </c>
      <c r="KC659" s="27" t="s">
        <v>8</v>
      </c>
      <c r="KH659" s="27" t="s">
        <v>7</v>
      </c>
      <c r="KI659" s="27" t="s">
        <v>8</v>
      </c>
      <c r="KJ659" s="27" t="s">
        <v>7</v>
      </c>
      <c r="KK659" s="27" t="s">
        <v>8</v>
      </c>
      <c r="KL659" s="27" t="s">
        <v>7</v>
      </c>
      <c r="KM659" s="27" t="s">
        <v>8</v>
      </c>
    </row>
    <row r="660" spans="1:299" x14ac:dyDescent="0.25">
      <c r="A660" s="7">
        <v>0.23560660504047748</v>
      </c>
      <c r="B660"/>
      <c r="C660"/>
      <c r="D660"/>
      <c r="E660"/>
      <c r="F660" s="27" t="s">
        <v>7</v>
      </c>
      <c r="GO660" s="27" t="s">
        <v>8</v>
      </c>
      <c r="GP660" s="27" t="s">
        <v>7</v>
      </c>
      <c r="GQ660" s="27" t="s">
        <v>8</v>
      </c>
      <c r="GR660" s="27" t="s">
        <v>7</v>
      </c>
      <c r="GS660" s="27" t="s">
        <v>8</v>
      </c>
      <c r="GT660" s="27" t="s">
        <v>7</v>
      </c>
      <c r="GU660" s="27" t="s">
        <v>8</v>
      </c>
      <c r="GX660" s="27" t="s">
        <v>7</v>
      </c>
      <c r="GY660" s="27" t="s">
        <v>8</v>
      </c>
      <c r="GZ660" s="27" t="s">
        <v>7</v>
      </c>
      <c r="HA660" s="27" t="s">
        <v>8</v>
      </c>
      <c r="HB660" s="27" t="s">
        <v>7</v>
      </c>
      <c r="HC660" s="27" t="s">
        <v>8</v>
      </c>
      <c r="JB660" s="27" t="s">
        <v>7</v>
      </c>
      <c r="JC660" s="27" t="s">
        <v>8</v>
      </c>
      <c r="JV660" s="27" t="s">
        <v>7</v>
      </c>
      <c r="JY660" s="27" t="s">
        <v>8</v>
      </c>
      <c r="KA660" s="27" t="s">
        <v>8</v>
      </c>
      <c r="KB660" s="27" t="s">
        <v>7</v>
      </c>
      <c r="KC660" s="27" t="s">
        <v>8</v>
      </c>
      <c r="KH660" s="27" t="s">
        <v>7</v>
      </c>
      <c r="KI660" s="27" t="s">
        <v>8</v>
      </c>
      <c r="KJ660" s="27" t="s">
        <v>7</v>
      </c>
      <c r="KK660" s="27" t="s">
        <v>8</v>
      </c>
      <c r="KL660" s="27" t="s">
        <v>7</v>
      </c>
      <c r="KM660" s="27" t="s">
        <v>8</v>
      </c>
    </row>
    <row r="661" spans="1:299" x14ac:dyDescent="0.25">
      <c r="A661" s="7">
        <v>0.23098686768674265</v>
      </c>
      <c r="B661"/>
      <c r="C661"/>
      <c r="D661"/>
      <c r="E661"/>
      <c r="F661" s="27" t="s">
        <v>7</v>
      </c>
      <c r="GO661" s="27" t="s">
        <v>8</v>
      </c>
      <c r="GP661" s="27" t="s">
        <v>7</v>
      </c>
      <c r="GQ661" s="27" t="s">
        <v>8</v>
      </c>
      <c r="GR661" s="27" t="s">
        <v>7</v>
      </c>
      <c r="GS661" s="27" t="s">
        <v>8</v>
      </c>
      <c r="GT661" s="27" t="s">
        <v>7</v>
      </c>
      <c r="GU661" s="27" t="s">
        <v>8</v>
      </c>
      <c r="GX661" s="27" t="s">
        <v>7</v>
      </c>
      <c r="GY661" s="27" t="s">
        <v>8</v>
      </c>
      <c r="GZ661" s="27" t="s">
        <v>7</v>
      </c>
      <c r="HA661" s="27" t="s">
        <v>8</v>
      </c>
      <c r="HB661" s="27" t="s">
        <v>7</v>
      </c>
      <c r="HC661" s="27" t="s">
        <v>8</v>
      </c>
      <c r="JB661" s="27" t="s">
        <v>7</v>
      </c>
      <c r="JC661" s="27" t="s">
        <v>8</v>
      </c>
      <c r="JV661" s="27" t="s">
        <v>7</v>
      </c>
      <c r="JY661" s="27" t="s">
        <v>8</v>
      </c>
      <c r="JZ661" s="27" t="s">
        <v>7</v>
      </c>
      <c r="KA661" s="27" t="s">
        <v>8</v>
      </c>
      <c r="KB661" s="27" t="s">
        <v>7</v>
      </c>
      <c r="KH661" s="27" t="s">
        <v>7</v>
      </c>
      <c r="KI661" s="27" t="s">
        <v>8</v>
      </c>
      <c r="KJ661" s="27" t="s">
        <v>7</v>
      </c>
      <c r="KK661" s="27" t="s">
        <v>8</v>
      </c>
      <c r="KL661" s="27" t="s">
        <v>7</v>
      </c>
      <c r="KM661" s="27" t="s">
        <v>8</v>
      </c>
    </row>
    <row r="662" spans="1:299" x14ac:dyDescent="0.25">
      <c r="A662" s="7">
        <v>0.22645771341837515</v>
      </c>
      <c r="B662"/>
      <c r="C662"/>
      <c r="D662"/>
      <c r="E662"/>
      <c r="F662" s="27" t="s">
        <v>7</v>
      </c>
      <c r="GO662" s="27" t="s">
        <v>8</v>
      </c>
      <c r="GP662" s="27" t="s">
        <v>7</v>
      </c>
      <c r="GQ662" s="27" t="s">
        <v>8</v>
      </c>
      <c r="GR662" s="27" t="s">
        <v>7</v>
      </c>
      <c r="GS662" s="27" t="s">
        <v>8</v>
      </c>
      <c r="GT662" s="27" t="s">
        <v>7</v>
      </c>
      <c r="GU662" s="27" t="s">
        <v>8</v>
      </c>
      <c r="GX662" s="27" t="s">
        <v>7</v>
      </c>
      <c r="GY662" s="27" t="s">
        <v>8</v>
      </c>
      <c r="GZ662" s="27" t="s">
        <v>7</v>
      </c>
      <c r="HA662" s="27" t="s">
        <v>8</v>
      </c>
      <c r="HB662" s="27" t="s">
        <v>7</v>
      </c>
      <c r="HC662" s="27" t="s">
        <v>8</v>
      </c>
      <c r="JB662" s="27" t="s">
        <v>7</v>
      </c>
      <c r="JC662" s="27" t="s">
        <v>8</v>
      </c>
      <c r="JV662" s="27" t="s">
        <v>7</v>
      </c>
      <c r="JY662" s="27" t="s">
        <v>8</v>
      </c>
      <c r="JZ662" s="27" t="s">
        <v>7</v>
      </c>
      <c r="KA662" s="27" t="s">
        <v>8</v>
      </c>
      <c r="KH662" s="27" t="s">
        <v>7</v>
      </c>
      <c r="KI662" s="27" t="s">
        <v>8</v>
      </c>
      <c r="KJ662" s="27" t="s">
        <v>7</v>
      </c>
      <c r="KK662" s="27" t="s">
        <v>8</v>
      </c>
      <c r="KL662" s="27" t="s">
        <v>7</v>
      </c>
      <c r="KM662" s="27" t="s">
        <v>8</v>
      </c>
    </row>
    <row r="663" spans="1:299" x14ac:dyDescent="0.25">
      <c r="A663" s="7">
        <v>0.22201736609644623</v>
      </c>
      <c r="B663"/>
      <c r="C663"/>
      <c r="D663"/>
      <c r="E663"/>
      <c r="F663" s="27" t="s">
        <v>7</v>
      </c>
      <c r="GO663" s="27" t="s">
        <v>8</v>
      </c>
      <c r="GP663" s="27" t="s">
        <v>7</v>
      </c>
      <c r="GR663" s="27" t="s">
        <v>7</v>
      </c>
      <c r="GS663" s="27" t="s">
        <v>8</v>
      </c>
      <c r="GT663" s="27" t="s">
        <v>7</v>
      </c>
      <c r="GU663" s="27" t="s">
        <v>8</v>
      </c>
      <c r="GX663" s="27" t="s">
        <v>7</v>
      </c>
      <c r="GY663" s="27" t="s">
        <v>8</v>
      </c>
      <c r="GZ663" s="27" t="s">
        <v>7</v>
      </c>
      <c r="HA663" s="27" t="s">
        <v>8</v>
      </c>
      <c r="HB663" s="27" t="s">
        <v>7</v>
      </c>
      <c r="JB663" s="27" t="s">
        <v>7</v>
      </c>
      <c r="JC663" s="27" t="s">
        <v>8</v>
      </c>
      <c r="JV663" s="27" t="s">
        <v>7</v>
      </c>
      <c r="JY663" s="27" t="s">
        <v>8</v>
      </c>
      <c r="JZ663" s="27" t="s">
        <v>7</v>
      </c>
      <c r="KA663" s="27" t="s">
        <v>8</v>
      </c>
      <c r="KH663" s="27" t="s">
        <v>7</v>
      </c>
      <c r="KJ663" s="27" t="s">
        <v>7</v>
      </c>
      <c r="KK663" s="27" t="s">
        <v>8</v>
      </c>
      <c r="KL663" s="27" t="s">
        <v>7</v>
      </c>
      <c r="KM663" s="27" t="s">
        <v>8</v>
      </c>
    </row>
    <row r="664" spans="1:299" x14ac:dyDescent="0.25">
      <c r="A664" s="7">
        <v>0.21766408440828061</v>
      </c>
      <c r="B664"/>
      <c r="C664"/>
      <c r="D664"/>
      <c r="E664"/>
      <c r="F664" s="27" t="s">
        <v>7</v>
      </c>
      <c r="GO664" s="27" t="s">
        <v>8</v>
      </c>
      <c r="GR664" s="27" t="s">
        <v>7</v>
      </c>
      <c r="GS664" s="27" t="s">
        <v>8</v>
      </c>
      <c r="GT664" s="27" t="s">
        <v>7</v>
      </c>
      <c r="GU664" s="27" t="s">
        <v>8</v>
      </c>
      <c r="GX664" s="27" t="s">
        <v>7</v>
      </c>
      <c r="GY664" s="27" t="s">
        <v>8</v>
      </c>
      <c r="GZ664" s="27" t="s">
        <v>7</v>
      </c>
      <c r="HA664" s="27" t="s">
        <v>8</v>
      </c>
      <c r="JB664" s="27" t="s">
        <v>7</v>
      </c>
      <c r="JC664" s="27" t="s">
        <v>8</v>
      </c>
      <c r="JV664" s="27" t="s">
        <v>7</v>
      </c>
      <c r="JY664" s="27" t="s">
        <v>8</v>
      </c>
      <c r="JZ664" s="27" t="s">
        <v>7</v>
      </c>
      <c r="KA664" s="27" t="s">
        <v>8</v>
      </c>
      <c r="KJ664" s="27" t="s">
        <v>7</v>
      </c>
      <c r="KK664" s="27" t="s">
        <v>8</v>
      </c>
      <c r="KL664" s="27" t="s">
        <v>7</v>
      </c>
      <c r="KM664" s="27" t="s">
        <v>8</v>
      </c>
    </row>
    <row r="665" spans="1:299" x14ac:dyDescent="0.25">
      <c r="A665" s="7">
        <v>0.21339616118458882</v>
      </c>
      <c r="B665"/>
      <c r="C665"/>
      <c r="D665"/>
      <c r="E665"/>
      <c r="F665" s="27" t="s">
        <v>7</v>
      </c>
      <c r="GO665" s="27" t="s">
        <v>8</v>
      </c>
      <c r="GR665" s="27" t="s">
        <v>7</v>
      </c>
      <c r="GS665" s="27" t="s">
        <v>8</v>
      </c>
      <c r="GT665" s="27" t="s">
        <v>7</v>
      </c>
      <c r="GX665" s="27" t="s">
        <v>7</v>
      </c>
      <c r="GY665" s="27" t="s">
        <v>8</v>
      </c>
      <c r="GZ665" s="27" t="s">
        <v>7</v>
      </c>
      <c r="HA665" s="27" t="s">
        <v>8</v>
      </c>
      <c r="JB665" s="27" t="s">
        <v>7</v>
      </c>
      <c r="JC665" s="27" t="s">
        <v>8</v>
      </c>
      <c r="JV665" s="27" t="s">
        <v>7</v>
      </c>
      <c r="JW665" s="27" t="s">
        <v>8</v>
      </c>
      <c r="JY665" s="27" t="s">
        <v>8</v>
      </c>
      <c r="JZ665" s="27" t="s">
        <v>7</v>
      </c>
      <c r="KA665" s="27" t="s">
        <v>8</v>
      </c>
      <c r="KJ665" s="27" t="s">
        <v>7</v>
      </c>
      <c r="KK665" s="27" t="s">
        <v>8</v>
      </c>
      <c r="KL665" s="27" t="s">
        <v>7</v>
      </c>
      <c r="KM665" s="27" t="s">
        <v>8</v>
      </c>
    </row>
    <row r="666" spans="1:299" x14ac:dyDescent="0.25">
      <c r="A666" s="7">
        <v>0.20921192272998904</v>
      </c>
      <c r="B666"/>
      <c r="C666"/>
      <c r="D666"/>
      <c r="E666"/>
      <c r="F666" s="27" t="s">
        <v>7</v>
      </c>
      <c r="GO666" s="27" t="s">
        <v>8</v>
      </c>
      <c r="GR666" s="27" t="s">
        <v>7</v>
      </c>
      <c r="GS666" s="27" t="s">
        <v>8</v>
      </c>
      <c r="GX666" s="27" t="s">
        <v>7</v>
      </c>
      <c r="GY666" s="27" t="s">
        <v>8</v>
      </c>
      <c r="GZ666" s="27" t="s">
        <v>7</v>
      </c>
      <c r="HA666" s="27" t="s">
        <v>8</v>
      </c>
      <c r="JB666" s="27" t="s">
        <v>7</v>
      </c>
      <c r="JC666" s="27" t="s">
        <v>8</v>
      </c>
      <c r="JV666" s="27" t="s">
        <v>7</v>
      </c>
      <c r="JW666" s="27" t="s">
        <v>8</v>
      </c>
      <c r="JX666" s="27" t="s">
        <v>7</v>
      </c>
      <c r="JY666" s="27" t="s">
        <v>8</v>
      </c>
      <c r="JZ666" s="27" t="s">
        <v>7</v>
      </c>
      <c r="KA666" s="27" t="s">
        <v>8</v>
      </c>
      <c r="KJ666" s="27" t="s">
        <v>7</v>
      </c>
      <c r="KK666" s="27" t="s">
        <v>8</v>
      </c>
      <c r="KL666" s="18" t="s">
        <v>7</v>
      </c>
    </row>
    <row r="667" spans="1:299" x14ac:dyDescent="0.25">
      <c r="A667" s="7">
        <v>0.20510972816665593</v>
      </c>
      <c r="B667"/>
      <c r="C667"/>
      <c r="D667"/>
      <c r="E667"/>
      <c r="F667" s="27" t="s">
        <v>7</v>
      </c>
      <c r="GO667" s="27" t="s">
        <v>8</v>
      </c>
      <c r="GR667" s="27" t="s">
        <v>7</v>
      </c>
      <c r="GS667" s="27" t="s">
        <v>8</v>
      </c>
      <c r="GX667" s="27" t="s">
        <v>7</v>
      </c>
      <c r="GY667" s="27" t="s">
        <v>8</v>
      </c>
      <c r="GZ667" s="27" t="s">
        <v>7</v>
      </c>
      <c r="HA667" s="27" t="s">
        <v>8</v>
      </c>
      <c r="JB667" s="27" t="s">
        <v>7</v>
      </c>
      <c r="JC667" s="27" t="s">
        <v>8</v>
      </c>
      <c r="JV667" s="27" t="s">
        <v>7</v>
      </c>
      <c r="JW667" s="27" t="s">
        <v>8</v>
      </c>
      <c r="JX667" s="27" t="s">
        <v>7</v>
      </c>
      <c r="JY667" s="27" t="s">
        <v>8</v>
      </c>
      <c r="JZ667" s="27" t="s">
        <v>7</v>
      </c>
      <c r="KJ667" s="27" t="s">
        <v>7</v>
      </c>
      <c r="KK667" s="27" t="s">
        <v>8</v>
      </c>
    </row>
    <row r="668" spans="1:299" x14ac:dyDescent="0.25">
      <c r="A668" s="7">
        <v>0.20108796879083912</v>
      </c>
      <c r="B668"/>
      <c r="C668"/>
      <c r="D668"/>
      <c r="E668"/>
      <c r="F668" s="27" t="s">
        <v>7</v>
      </c>
      <c r="GO668" s="27" t="s">
        <v>8</v>
      </c>
      <c r="GR668" s="27" t="s">
        <v>7</v>
      </c>
      <c r="GS668" s="27" t="s">
        <v>8</v>
      </c>
      <c r="GX668" s="27" t="s">
        <v>7</v>
      </c>
      <c r="GY668" s="27" t="s">
        <v>8</v>
      </c>
      <c r="GZ668" s="27" t="s">
        <v>7</v>
      </c>
      <c r="JB668" s="27" t="s">
        <v>7</v>
      </c>
      <c r="JC668" s="27" t="s">
        <v>8</v>
      </c>
      <c r="JV668" s="27" t="s">
        <v>7</v>
      </c>
      <c r="JW668" s="27" t="s">
        <v>8</v>
      </c>
      <c r="JX668" s="27" t="s">
        <v>7</v>
      </c>
      <c r="JY668" s="27" t="s">
        <v>8</v>
      </c>
      <c r="KJ668" s="27" t="s">
        <v>7</v>
      </c>
      <c r="KK668" s="27" t="s">
        <v>8</v>
      </c>
    </row>
    <row r="669" spans="1:299" x14ac:dyDescent="0.25">
      <c r="A669" s="7">
        <v>0.19714506744199917</v>
      </c>
      <c r="B669"/>
      <c r="C669"/>
      <c r="D669"/>
      <c r="E669"/>
      <c r="F669" s="27" t="s">
        <v>7</v>
      </c>
      <c r="GO669" s="27" t="s">
        <v>8</v>
      </c>
      <c r="GR669" s="27" t="s">
        <v>7</v>
      </c>
      <c r="GS669" s="27" t="s">
        <v>8</v>
      </c>
      <c r="GX669" s="27" t="s">
        <v>7</v>
      </c>
      <c r="GY669" s="27" t="s">
        <v>8</v>
      </c>
      <c r="JB669" s="27" t="s">
        <v>7</v>
      </c>
      <c r="JC669" s="27" t="s">
        <v>8</v>
      </c>
      <c r="JV669" s="27" t="s">
        <v>7</v>
      </c>
      <c r="JW669" s="27" t="s">
        <v>8</v>
      </c>
      <c r="JX669" s="27" t="s">
        <v>7</v>
      </c>
      <c r="JY669" s="27" t="s">
        <v>8</v>
      </c>
      <c r="KJ669" s="27" t="s">
        <v>7</v>
      </c>
    </row>
    <row r="670" spans="1:299" x14ac:dyDescent="0.25">
      <c r="A670" s="7">
        <v>0.19327947788431293</v>
      </c>
      <c r="B670"/>
      <c r="C670"/>
      <c r="D670"/>
      <c r="E670"/>
      <c r="F670" s="27" t="s">
        <v>7</v>
      </c>
      <c r="GO670" s="27" t="s">
        <v>8</v>
      </c>
      <c r="GR670" s="27" t="s">
        <v>7</v>
      </c>
      <c r="GS670" s="27" t="s">
        <v>8</v>
      </c>
      <c r="GX670" s="27" t="s">
        <v>7</v>
      </c>
      <c r="GY670" s="27" t="s">
        <v>8</v>
      </c>
      <c r="JB670" s="27" t="s">
        <v>7</v>
      </c>
      <c r="JC670" s="27" t="s">
        <v>8</v>
      </c>
      <c r="JV670" s="27" t="s">
        <v>7</v>
      </c>
      <c r="JW670" s="27" t="s">
        <v>8</v>
      </c>
      <c r="JX670" s="27" t="s">
        <v>7</v>
      </c>
      <c r="JY670" s="27" t="s">
        <v>8</v>
      </c>
    </row>
    <row r="671" spans="1:299" x14ac:dyDescent="0.25">
      <c r="A671" s="7">
        <v>0.18948968420030682</v>
      </c>
      <c r="B671"/>
      <c r="C671"/>
      <c r="D671"/>
      <c r="E671"/>
      <c r="F671" s="27" t="s">
        <v>7</v>
      </c>
      <c r="DC671" s="27" t="s">
        <v>8</v>
      </c>
      <c r="GO671" s="27" t="s">
        <v>8</v>
      </c>
      <c r="GR671" s="27" t="s">
        <v>7</v>
      </c>
      <c r="GX671" s="27" t="s">
        <v>7</v>
      </c>
      <c r="GY671" s="27" t="s">
        <v>8</v>
      </c>
      <c r="JB671" s="27" t="s">
        <v>7</v>
      </c>
      <c r="JC671" s="27" t="s">
        <v>8</v>
      </c>
      <c r="JV671" s="27" t="s">
        <v>7</v>
      </c>
      <c r="JW671" s="27" t="s">
        <v>8</v>
      </c>
      <c r="JX671" s="27" t="s">
        <v>7</v>
      </c>
      <c r="JY671" s="27" t="s">
        <v>8</v>
      </c>
    </row>
    <row r="672" spans="1:299" x14ac:dyDescent="0.25">
      <c r="A672" s="7">
        <v>0.18577420019637925</v>
      </c>
      <c r="B672"/>
      <c r="C672"/>
      <c r="D672"/>
      <c r="E672"/>
      <c r="F672" s="27" t="s">
        <v>7</v>
      </c>
      <c r="DC672" s="27" t="s">
        <v>8</v>
      </c>
      <c r="DD672" s="27" t="s">
        <v>7</v>
      </c>
      <c r="GM672" s="27" t="s">
        <v>8</v>
      </c>
      <c r="GO672" s="27" t="s">
        <v>8</v>
      </c>
      <c r="GX672" s="27" t="s">
        <v>7</v>
      </c>
      <c r="GY672" s="27" t="s">
        <v>8</v>
      </c>
      <c r="JB672" s="27" t="s">
        <v>7</v>
      </c>
      <c r="JC672" s="27" t="s">
        <v>8</v>
      </c>
      <c r="JV672" s="27" t="s">
        <v>7</v>
      </c>
      <c r="JW672" s="27" t="s">
        <v>8</v>
      </c>
      <c r="JX672" s="27" t="s">
        <v>7</v>
      </c>
      <c r="JY672" s="27" t="s">
        <v>8</v>
      </c>
    </row>
    <row r="673" spans="1:285" x14ac:dyDescent="0.25">
      <c r="A673" s="7">
        <v>0.18213156881997963</v>
      </c>
      <c r="B673"/>
      <c r="C673"/>
      <c r="D673"/>
      <c r="E673"/>
      <c r="F673" s="27" t="s">
        <v>7</v>
      </c>
      <c r="DC673" s="27" t="s">
        <v>8</v>
      </c>
      <c r="DD673" s="27" t="s">
        <v>7</v>
      </c>
      <c r="GM673" s="27" t="s">
        <v>8</v>
      </c>
      <c r="GN673" s="27" t="s">
        <v>7</v>
      </c>
      <c r="GO673" s="27" t="s">
        <v>8</v>
      </c>
      <c r="GX673" s="27" t="s">
        <v>7</v>
      </c>
      <c r="GY673" s="27" t="s">
        <v>8</v>
      </c>
      <c r="JB673" s="27" t="s">
        <v>7</v>
      </c>
      <c r="JC673" s="27" t="s">
        <v>8</v>
      </c>
      <c r="JV673" s="27" t="s">
        <v>7</v>
      </c>
      <c r="JW673" s="27" t="s">
        <v>8</v>
      </c>
      <c r="JX673" s="27" t="s">
        <v>7</v>
      </c>
      <c r="JY673" s="27" t="s">
        <v>8</v>
      </c>
    </row>
    <row r="674" spans="1:285" x14ac:dyDescent="0.25">
      <c r="A674" s="7">
        <v>0.17856036158821534</v>
      </c>
      <c r="B674"/>
      <c r="C674"/>
      <c r="D674"/>
      <c r="E674"/>
      <c r="F674" s="27" t="s">
        <v>7</v>
      </c>
      <c r="DC674" s="27" t="s">
        <v>8</v>
      </c>
      <c r="DD674" s="27" t="s">
        <v>7</v>
      </c>
      <c r="GM674" s="27" t="s">
        <v>8</v>
      </c>
      <c r="GN674" s="27" t="s">
        <v>7</v>
      </c>
      <c r="GO674" s="27" t="s">
        <v>8</v>
      </c>
      <c r="GX674" s="27" t="s">
        <v>7</v>
      </c>
      <c r="GY674" s="27" t="s">
        <v>8</v>
      </c>
      <c r="JB674" s="27" t="s">
        <v>7</v>
      </c>
      <c r="JC674" s="27" t="s">
        <v>8</v>
      </c>
      <c r="JV674" s="27" t="s">
        <v>7</v>
      </c>
      <c r="JW674" s="27" t="s">
        <v>8</v>
      </c>
      <c r="JX674" s="27" t="s">
        <v>7</v>
      </c>
      <c r="JY674" s="27" t="s">
        <v>8</v>
      </c>
    </row>
    <row r="675" spans="1:285" x14ac:dyDescent="0.25">
      <c r="A675" s="7">
        <v>0.17505917802766208</v>
      </c>
      <c r="B675"/>
      <c r="C675"/>
      <c r="D675"/>
      <c r="E675"/>
      <c r="F675" s="27" t="s">
        <v>7</v>
      </c>
      <c r="DC675" s="27" t="s">
        <v>8</v>
      </c>
      <c r="DD675" s="27" t="s">
        <v>7</v>
      </c>
      <c r="GM675" s="27" t="s">
        <v>8</v>
      </c>
      <c r="GN675" s="27" t="s">
        <v>7</v>
      </c>
      <c r="GO675" s="27" t="s">
        <v>8</v>
      </c>
      <c r="GX675" s="27" t="s">
        <v>7</v>
      </c>
      <c r="JB675" s="27" t="s">
        <v>7</v>
      </c>
      <c r="JC675" s="27" t="s">
        <v>8</v>
      </c>
      <c r="JV675" s="27" t="s">
        <v>7</v>
      </c>
      <c r="JW675" s="27" t="s">
        <v>8</v>
      </c>
      <c r="JX675" s="27" t="s">
        <v>7</v>
      </c>
    </row>
    <row r="676" spans="1:285" x14ac:dyDescent="0.25">
      <c r="A676" s="7">
        <v>0.17162664512515888</v>
      </c>
      <c r="B676"/>
      <c r="C676"/>
      <c r="D676"/>
      <c r="E676"/>
      <c r="F676" s="27" t="s">
        <v>7</v>
      </c>
      <c r="DC676" s="27" t="s">
        <v>8</v>
      </c>
      <c r="DD676" s="27" t="s">
        <v>7</v>
      </c>
      <c r="GM676" s="27" t="s">
        <v>8</v>
      </c>
      <c r="GN676" s="27" t="s">
        <v>7</v>
      </c>
      <c r="GO676" s="27" t="s">
        <v>8</v>
      </c>
      <c r="JB676" s="27" t="s">
        <v>7</v>
      </c>
      <c r="JV676" s="27" t="s">
        <v>7</v>
      </c>
      <c r="JW676" s="27" t="s">
        <v>8</v>
      </c>
    </row>
    <row r="677" spans="1:285" x14ac:dyDescent="0.25">
      <c r="A677" s="7">
        <v>0.16826141678937145</v>
      </c>
      <c r="B677"/>
      <c r="C677"/>
      <c r="D677"/>
      <c r="E677"/>
      <c r="F677" s="27" t="s">
        <v>7</v>
      </c>
      <c r="DC677" s="27" t="s">
        <v>8</v>
      </c>
      <c r="DD677" s="27" t="s">
        <v>7</v>
      </c>
      <c r="GM677" s="27" t="s">
        <v>8</v>
      </c>
      <c r="GN677" s="27" t="s">
        <v>7</v>
      </c>
      <c r="GO677" s="27" t="s">
        <v>8</v>
      </c>
      <c r="JV677" s="27" t="s">
        <v>7</v>
      </c>
      <c r="JW677" s="27" t="s">
        <v>8</v>
      </c>
    </row>
    <row r="678" spans="1:285" x14ac:dyDescent="0.25">
      <c r="A678" s="7">
        <v>0.16496217332291319</v>
      </c>
      <c r="B678"/>
      <c r="C678"/>
      <c r="D678"/>
      <c r="E678"/>
      <c r="F678" s="27" t="s">
        <v>7</v>
      </c>
      <c r="DC678" s="27" t="s">
        <v>8</v>
      </c>
      <c r="DD678" s="27" t="s">
        <v>7</v>
      </c>
      <c r="GM678" s="27" t="s">
        <v>8</v>
      </c>
      <c r="GN678" s="27" t="s">
        <v>7</v>
      </c>
      <c r="GO678" s="27" t="s">
        <v>8</v>
      </c>
      <c r="JV678" s="27" t="s">
        <v>7</v>
      </c>
      <c r="JW678" s="27" t="s">
        <v>8</v>
      </c>
    </row>
    <row r="679" spans="1:285" x14ac:dyDescent="0.25">
      <c r="A679" s="7">
        <v>0.16172762090481685</v>
      </c>
      <c r="B679"/>
      <c r="C679"/>
      <c r="D679"/>
      <c r="E679"/>
      <c r="F679" s="27" t="s">
        <v>7</v>
      </c>
      <c r="DC679" s="27" t="s">
        <v>8</v>
      </c>
      <c r="DD679" s="27" t="s">
        <v>7</v>
      </c>
      <c r="GM679" s="27" t="s">
        <v>8</v>
      </c>
      <c r="GN679" s="27" t="s">
        <v>7</v>
      </c>
      <c r="GO679" s="27" t="s">
        <v>8</v>
      </c>
      <c r="JV679" s="27" t="s">
        <v>7</v>
      </c>
    </row>
    <row r="680" spans="1:285" x14ac:dyDescent="0.25">
      <c r="A680" s="7">
        <v>0.15855649108315376</v>
      </c>
      <c r="B680"/>
      <c r="C680"/>
      <c r="D680"/>
      <c r="E680"/>
      <c r="F680" s="27" t="s">
        <v>7</v>
      </c>
      <c r="DC680" s="27" t="s">
        <v>8</v>
      </c>
      <c r="DD680" s="27" t="s">
        <v>7</v>
      </c>
      <c r="GK680" s="27" t="s">
        <v>8</v>
      </c>
      <c r="GM680" s="27" t="s">
        <v>8</v>
      </c>
      <c r="GN680" s="27" t="s">
        <v>7</v>
      </c>
      <c r="GO680" s="27" t="s">
        <v>8</v>
      </c>
    </row>
    <row r="681" spans="1:285" x14ac:dyDescent="0.25">
      <c r="A681" s="7">
        <v>0.15544754027760171</v>
      </c>
      <c r="B681"/>
      <c r="C681"/>
      <c r="D681"/>
      <c r="E681"/>
      <c r="F681" s="27" t="s">
        <v>7</v>
      </c>
      <c r="DC681" s="27" t="s">
        <v>8</v>
      </c>
      <c r="DD681" s="27" t="s">
        <v>7</v>
      </c>
      <c r="GK681" s="27" t="s">
        <v>8</v>
      </c>
      <c r="GL681" s="27" t="s">
        <v>7</v>
      </c>
      <c r="GM681" s="27" t="s">
        <v>8</v>
      </c>
      <c r="GN681" s="27" t="s">
        <v>7</v>
      </c>
      <c r="GO681" s="27" t="s">
        <v>8</v>
      </c>
    </row>
    <row r="682" spans="1:285" x14ac:dyDescent="0.25">
      <c r="A682" s="7">
        <v>0.15239954929176638</v>
      </c>
      <c r="B682"/>
      <c r="C682"/>
      <c r="D682"/>
      <c r="E682"/>
      <c r="F682" s="27" t="s">
        <v>7</v>
      </c>
      <c r="DC682" s="27" t="s">
        <v>8</v>
      </c>
      <c r="DD682" s="27" t="s">
        <v>7</v>
      </c>
      <c r="GK682" s="27" t="s">
        <v>8</v>
      </c>
      <c r="GL682" s="27" t="s">
        <v>7</v>
      </c>
      <c r="GM682" s="27" t="s">
        <v>8</v>
      </c>
      <c r="GN682" s="27" t="s">
        <v>7</v>
      </c>
    </row>
    <row r="683" spans="1:285" x14ac:dyDescent="0.25">
      <c r="A683" s="7">
        <v>0.14941132283506509</v>
      </c>
      <c r="B683"/>
      <c r="C683"/>
      <c r="D683"/>
      <c r="E683"/>
      <c r="F683" s="27" t="s">
        <v>7</v>
      </c>
      <c r="DC683" s="27" t="s">
        <v>8</v>
      </c>
      <c r="DD683" s="27" t="s">
        <v>7</v>
      </c>
      <c r="GK683" s="27" t="s">
        <v>8</v>
      </c>
      <c r="GL683" s="27" t="s">
        <v>7</v>
      </c>
      <c r="GM683" s="27" t="s">
        <v>8</v>
      </c>
    </row>
    <row r="684" spans="1:285" x14ac:dyDescent="0.25">
      <c r="A684" s="7">
        <v>0.14648168905398537</v>
      </c>
      <c r="B684"/>
      <c r="C684"/>
      <c r="D684"/>
      <c r="E684"/>
      <c r="F684" s="27" t="s">
        <v>7</v>
      </c>
      <c r="DC684" s="27" t="s">
        <v>8</v>
      </c>
      <c r="DD684" s="27" t="s">
        <v>7</v>
      </c>
      <c r="GK684" s="27" t="s">
        <v>8</v>
      </c>
      <c r="GL684" s="27" t="s">
        <v>7</v>
      </c>
      <c r="GM684" s="27" t="s">
        <v>8</v>
      </c>
    </row>
    <row r="685" spans="1:285" x14ac:dyDescent="0.25">
      <c r="A685" s="7">
        <v>0.14360949907253467</v>
      </c>
      <c r="B685"/>
      <c r="C685"/>
      <c r="D685"/>
      <c r="E685"/>
      <c r="F685" s="27" t="s">
        <v>7</v>
      </c>
      <c r="DC685" s="27" t="s">
        <v>8</v>
      </c>
      <c r="DD685" s="27" t="s">
        <v>7</v>
      </c>
      <c r="GK685" s="27" t="s">
        <v>8</v>
      </c>
      <c r="GL685" s="27" t="s">
        <v>7</v>
      </c>
      <c r="GM685" s="27" t="s">
        <v>8</v>
      </c>
    </row>
    <row r="686" spans="1:285" x14ac:dyDescent="0.25">
      <c r="A686" s="7">
        <v>0.14079362654170066</v>
      </c>
      <c r="B686"/>
      <c r="C686"/>
      <c r="D686"/>
      <c r="E686"/>
      <c r="F686" s="27" t="s">
        <v>7</v>
      </c>
      <c r="DC686" s="27" t="s">
        <v>8</v>
      </c>
      <c r="DD686" s="27" t="s">
        <v>7</v>
      </c>
      <c r="GK686" s="27" t="s">
        <v>8</v>
      </c>
      <c r="GL686" s="27" t="s">
        <v>7</v>
      </c>
      <c r="GM686" s="27" t="s">
        <v>8</v>
      </c>
    </row>
    <row r="687" spans="1:285" x14ac:dyDescent="0.25">
      <c r="A687" s="7">
        <v>0.13803296719774574</v>
      </c>
      <c r="B687"/>
      <c r="C687"/>
      <c r="D687"/>
      <c r="E687"/>
      <c r="F687" s="27" t="s">
        <v>7</v>
      </c>
      <c r="DC687" s="27" t="s">
        <v>8</v>
      </c>
      <c r="DD687" s="27" t="s">
        <v>7</v>
      </c>
      <c r="GK687" s="27" t="s">
        <v>8</v>
      </c>
      <c r="GL687" s="27" t="s">
        <v>7</v>
      </c>
      <c r="GM687" s="27" t="s">
        <v>8</v>
      </c>
    </row>
    <row r="688" spans="1:285" x14ac:dyDescent="0.25">
      <c r="A688" s="7">
        <v>0.1353264384291625</v>
      </c>
      <c r="B688"/>
      <c r="C688"/>
      <c r="D688"/>
      <c r="E688"/>
      <c r="F688" s="27" t="s">
        <v>7</v>
      </c>
      <c r="DC688" s="27" t="s">
        <v>8</v>
      </c>
      <c r="DD688" s="27" t="s">
        <v>7</v>
      </c>
      <c r="GK688" s="27" t="s">
        <v>8</v>
      </c>
      <c r="GL688" s="27" t="s">
        <v>7</v>
      </c>
      <c r="GM688" s="27" t="s">
        <v>8</v>
      </c>
    </row>
    <row r="689" spans="1:195" x14ac:dyDescent="0.25">
      <c r="A689" s="7">
        <v>0.13267297885212009</v>
      </c>
      <c r="B689"/>
      <c r="C689"/>
      <c r="D689"/>
      <c r="E689"/>
      <c r="F689" s="27" t="s">
        <v>7</v>
      </c>
      <c r="DC689" s="27" t="s">
        <v>8</v>
      </c>
      <c r="DD689" s="27" t="s">
        <v>7</v>
      </c>
      <c r="DE689" s="27" t="s">
        <v>8</v>
      </c>
      <c r="GK689" s="27" t="s">
        <v>8</v>
      </c>
      <c r="GL689" s="27" t="s">
        <v>7</v>
      </c>
      <c r="GM689" s="27" t="s">
        <v>8</v>
      </c>
    </row>
    <row r="690" spans="1:195" x14ac:dyDescent="0.25">
      <c r="A690" s="7">
        <v>0.13007154789423539</v>
      </c>
      <c r="B690"/>
      <c r="C690"/>
      <c r="D690"/>
      <c r="E690"/>
      <c r="F690" s="27" t="s">
        <v>7</v>
      </c>
      <c r="DC690" s="27" t="s">
        <v>8</v>
      </c>
      <c r="DD690" s="27" t="s">
        <v>7</v>
      </c>
      <c r="DE690" s="27" t="s">
        <v>8</v>
      </c>
      <c r="DF690" s="27" t="s">
        <v>7</v>
      </c>
      <c r="GK690" s="27" t="s">
        <v>8</v>
      </c>
      <c r="GL690" s="27" t="s">
        <v>7</v>
      </c>
    </row>
    <row r="691" spans="1:195" x14ac:dyDescent="0.25">
      <c r="A691" s="7">
        <v>0.12752112538650529</v>
      </c>
      <c r="B691"/>
      <c r="C691"/>
      <c r="D691"/>
      <c r="E691"/>
      <c r="F691" s="27" t="s">
        <v>7</v>
      </c>
      <c r="DC691" s="27" t="s">
        <v>8</v>
      </c>
      <c r="DD691" s="27" t="s">
        <v>7</v>
      </c>
      <c r="DE691" s="27" t="s">
        <v>8</v>
      </c>
      <c r="DF691" s="27" t="s">
        <v>7</v>
      </c>
      <c r="DI691" s="27" t="s">
        <v>8</v>
      </c>
      <c r="GK691" s="27" t="s">
        <v>8</v>
      </c>
    </row>
    <row r="692" spans="1:195" x14ac:dyDescent="0.25">
      <c r="A692" s="7">
        <v>0.12502071116324048</v>
      </c>
      <c r="B692"/>
      <c r="C692"/>
      <c r="D692"/>
      <c r="E692"/>
      <c r="F692" s="27" t="s">
        <v>7</v>
      </c>
      <c r="DC692" s="27" t="s">
        <v>8</v>
      </c>
      <c r="DD692" s="27" t="s">
        <v>7</v>
      </c>
      <c r="DE692" s="27" t="s">
        <v>8</v>
      </c>
      <c r="DF692" s="27" t="s">
        <v>7</v>
      </c>
      <c r="DI692" s="27" t="s">
        <v>8</v>
      </c>
      <c r="DJ692" s="27" t="s">
        <v>7</v>
      </c>
      <c r="GK692" s="27" t="s">
        <v>8</v>
      </c>
    </row>
    <row r="693" spans="1:195" x14ac:dyDescent="0.25">
      <c r="A693" s="7">
        <v>0.1225693246698436</v>
      </c>
      <c r="B693"/>
      <c r="C693"/>
      <c r="D693"/>
      <c r="E693"/>
      <c r="F693" s="27" t="s">
        <v>7</v>
      </c>
      <c r="DC693" s="27" t="s">
        <v>8</v>
      </c>
      <c r="DD693" s="27" t="s">
        <v>7</v>
      </c>
      <c r="DE693" s="27" t="s">
        <v>8</v>
      </c>
      <c r="DF693" s="27" t="s">
        <v>7</v>
      </c>
      <c r="DG693" s="27" t="s">
        <v>8</v>
      </c>
      <c r="DI693" s="27" t="s">
        <v>8</v>
      </c>
      <c r="DJ693" s="27" t="s">
        <v>7</v>
      </c>
      <c r="GK693" s="27" t="s">
        <v>8</v>
      </c>
    </row>
    <row r="694" spans="1:195" x14ac:dyDescent="0.25">
      <c r="A694" s="7">
        <v>0.12016600457827803</v>
      </c>
      <c r="B694"/>
      <c r="C694"/>
      <c r="D694"/>
      <c r="E694"/>
      <c r="F694" s="27" t="s">
        <v>7</v>
      </c>
      <c r="DC694" s="27" t="s">
        <v>8</v>
      </c>
      <c r="DD694" s="27" t="s">
        <v>7</v>
      </c>
      <c r="DE694" s="27" t="s">
        <v>8</v>
      </c>
      <c r="DF694" s="27" t="s">
        <v>7</v>
      </c>
      <c r="DG694" s="27" t="s">
        <v>8</v>
      </c>
      <c r="DH694" s="27" t="s">
        <v>7</v>
      </c>
      <c r="DI694" s="27" t="s">
        <v>8</v>
      </c>
      <c r="DJ694" s="27" t="s">
        <v>7</v>
      </c>
      <c r="GK694" s="27" t="s">
        <v>8</v>
      </c>
    </row>
    <row r="695" spans="1:195" x14ac:dyDescent="0.25">
      <c r="A695" s="7">
        <v>0.1178098084100765</v>
      </c>
      <c r="B695"/>
      <c r="C695"/>
      <c r="D695"/>
      <c r="E695"/>
      <c r="F695" s="27" t="s">
        <v>7</v>
      </c>
      <c r="DC695" s="27" t="s">
        <v>8</v>
      </c>
      <c r="DD695" s="27" t="s">
        <v>7</v>
      </c>
      <c r="DE695" s="27" t="s">
        <v>8</v>
      </c>
      <c r="DF695" s="27" t="s">
        <v>7</v>
      </c>
      <c r="DG695" s="27" t="s">
        <v>8</v>
      </c>
      <c r="DH695" s="27" t="s">
        <v>7</v>
      </c>
      <c r="DI695" s="27" t="s">
        <v>8</v>
      </c>
      <c r="DJ695" s="27" t="s">
        <v>7</v>
      </c>
      <c r="GG695" s="27" t="s">
        <v>8</v>
      </c>
      <c r="GK695" s="27" t="s">
        <v>8</v>
      </c>
    </row>
    <row r="696" spans="1:195" x14ac:dyDescent="0.25">
      <c r="A696" s="7">
        <v>0.11549981216674166</v>
      </c>
      <c r="B696"/>
      <c r="C696"/>
      <c r="D696"/>
      <c r="E696"/>
      <c r="F696" s="27" t="s">
        <v>7</v>
      </c>
      <c r="DC696" s="27" t="s">
        <v>8</v>
      </c>
      <c r="DD696" s="27" t="s">
        <v>7</v>
      </c>
      <c r="DE696" s="27" t="s">
        <v>8</v>
      </c>
      <c r="DF696" s="27" t="s">
        <v>7</v>
      </c>
      <c r="DG696" s="27" t="s">
        <v>8</v>
      </c>
      <c r="DH696" s="27" t="s">
        <v>7</v>
      </c>
      <c r="DI696" s="27" t="s">
        <v>8</v>
      </c>
      <c r="DJ696" s="27" t="s">
        <v>7</v>
      </c>
      <c r="GG696" s="27" t="s">
        <v>8</v>
      </c>
      <c r="GH696" s="27" t="s">
        <v>7</v>
      </c>
      <c r="GK696" s="27" t="s">
        <v>8</v>
      </c>
    </row>
    <row r="697" spans="1:195" x14ac:dyDescent="0.25">
      <c r="A697" s="7">
        <v>0.11323510996739378</v>
      </c>
      <c r="B697"/>
      <c r="C697"/>
      <c r="D697"/>
      <c r="E697"/>
      <c r="F697" s="27" t="s">
        <v>7</v>
      </c>
      <c r="DC697" s="27" t="s">
        <v>8</v>
      </c>
      <c r="DD697" s="27" t="s">
        <v>7</v>
      </c>
      <c r="DE697" s="27" t="s">
        <v>8</v>
      </c>
      <c r="DF697" s="27" t="s">
        <v>7</v>
      </c>
      <c r="DG697" s="27" t="s">
        <v>8</v>
      </c>
      <c r="DH697" s="27" t="s">
        <v>7</v>
      </c>
      <c r="DI697" s="27" t="s">
        <v>8</v>
      </c>
      <c r="DJ697" s="27" t="s">
        <v>7</v>
      </c>
      <c r="GG697" s="27" t="s">
        <v>8</v>
      </c>
      <c r="GH697" s="27" t="s">
        <v>7</v>
      </c>
      <c r="GI697" s="27" t="s">
        <v>8</v>
      </c>
      <c r="GK697" s="27" t="s">
        <v>8</v>
      </c>
    </row>
    <row r="698" spans="1:195" x14ac:dyDescent="0.25">
      <c r="A698" s="7">
        <v>0.11101481369352331</v>
      </c>
      <c r="B698"/>
      <c r="C698"/>
      <c r="D698"/>
      <c r="E698"/>
      <c r="F698" s="27" t="s">
        <v>7</v>
      </c>
      <c r="DC698" s="27" t="s">
        <v>8</v>
      </c>
      <c r="DD698" s="27" t="s">
        <v>7</v>
      </c>
      <c r="DE698" s="27" t="s">
        <v>8</v>
      </c>
      <c r="DF698" s="27" t="s">
        <v>7</v>
      </c>
      <c r="DG698" s="27" t="s">
        <v>8</v>
      </c>
      <c r="DH698" s="27" t="s">
        <v>7</v>
      </c>
      <c r="DI698" s="27" t="s">
        <v>8</v>
      </c>
      <c r="DJ698" s="27" t="s">
        <v>7</v>
      </c>
      <c r="GG698" s="27" t="s">
        <v>8</v>
      </c>
      <c r="GH698" s="27" t="s">
        <v>7</v>
      </c>
      <c r="GI698" s="27" t="s">
        <v>8</v>
      </c>
      <c r="GJ698" s="27" t="s">
        <v>7</v>
      </c>
      <c r="GK698" s="27" t="s">
        <v>8</v>
      </c>
    </row>
    <row r="699" spans="1:195" x14ac:dyDescent="0.25">
      <c r="A699" s="7">
        <v>0.10883805264070913</v>
      </c>
      <c r="B699"/>
      <c r="C699"/>
      <c r="D699"/>
      <c r="E699"/>
      <c r="F699" s="27" t="s">
        <v>7</v>
      </c>
      <c r="DA699" s="27" t="s">
        <v>8</v>
      </c>
      <c r="DC699" s="27" t="s">
        <v>8</v>
      </c>
      <c r="DD699" s="27" t="s">
        <v>7</v>
      </c>
      <c r="DE699" s="27" t="s">
        <v>8</v>
      </c>
      <c r="DF699" s="27" t="s">
        <v>7</v>
      </c>
      <c r="DG699" s="27" t="s">
        <v>8</v>
      </c>
      <c r="DH699" s="27" t="s">
        <v>7</v>
      </c>
      <c r="DI699" s="27" t="s">
        <v>8</v>
      </c>
      <c r="DJ699" s="27" t="s">
        <v>7</v>
      </c>
      <c r="GG699" s="27" t="s">
        <v>8</v>
      </c>
      <c r="GH699" s="27" t="s">
        <v>7</v>
      </c>
      <c r="GI699" s="27" t="s">
        <v>8</v>
      </c>
      <c r="GJ699" s="27" t="s">
        <v>7</v>
      </c>
      <c r="GK699" s="27" t="s">
        <v>8</v>
      </c>
    </row>
    <row r="700" spans="1:195" x14ac:dyDescent="0.25">
      <c r="A700" s="7">
        <v>0.10670397317716582</v>
      </c>
      <c r="B700"/>
      <c r="C700"/>
      <c r="D700"/>
      <c r="E700"/>
      <c r="F700" s="27" t="s">
        <v>7</v>
      </c>
      <c r="DA700" s="27" t="s">
        <v>8</v>
      </c>
      <c r="DB700" s="27" t="s">
        <v>7</v>
      </c>
      <c r="DC700" s="27" t="s">
        <v>8</v>
      </c>
      <c r="DD700" s="27" t="s">
        <v>7</v>
      </c>
      <c r="DE700" s="27" t="s">
        <v>8</v>
      </c>
      <c r="DF700" s="27" t="s">
        <v>7</v>
      </c>
      <c r="DH700" s="27" t="s">
        <v>7</v>
      </c>
      <c r="DI700" s="27" t="s">
        <v>8</v>
      </c>
      <c r="DJ700" s="27" t="s">
        <v>7</v>
      </c>
      <c r="GG700" s="27" t="s">
        <v>8</v>
      </c>
      <c r="GH700" s="27" t="s">
        <v>7</v>
      </c>
      <c r="GI700" s="27" t="s">
        <v>8</v>
      </c>
      <c r="GJ700" s="27" t="s">
        <v>7</v>
      </c>
    </row>
    <row r="701" spans="1:195" x14ac:dyDescent="0.25">
      <c r="A701" s="7">
        <v>0.1046117384089861</v>
      </c>
      <c r="B701"/>
      <c r="C701"/>
      <c r="D701"/>
      <c r="E701"/>
      <c r="F701" s="27" t="s">
        <v>7</v>
      </c>
      <c r="DA701" s="27" t="s">
        <v>8</v>
      </c>
      <c r="DB701" s="27" t="s">
        <v>7</v>
      </c>
      <c r="DC701" s="27" t="s">
        <v>8</v>
      </c>
      <c r="DD701" s="27" t="s">
        <v>7</v>
      </c>
      <c r="DE701" s="27" t="s">
        <v>8</v>
      </c>
      <c r="DH701" s="27" t="s">
        <v>7</v>
      </c>
      <c r="DI701" s="27" t="s">
        <v>8</v>
      </c>
      <c r="DJ701" s="27" t="s">
        <v>7</v>
      </c>
      <c r="GA701" s="27" t="s">
        <v>8</v>
      </c>
      <c r="GG701" s="27" t="s">
        <v>8</v>
      </c>
      <c r="GH701" s="27" t="s">
        <v>7</v>
      </c>
      <c r="GI701" s="27" t="s">
        <v>8</v>
      </c>
    </row>
    <row r="702" spans="1:195" x14ac:dyDescent="0.25">
      <c r="A702" s="7">
        <v>0.10256052785194716</v>
      </c>
      <c r="B702"/>
      <c r="C702"/>
      <c r="D702"/>
      <c r="E702"/>
      <c r="F702" s="27" t="s">
        <v>7</v>
      </c>
      <c r="DA702" s="27" t="s">
        <v>8</v>
      </c>
      <c r="DB702" s="27" t="s">
        <v>7</v>
      </c>
      <c r="DC702" s="27" t="s">
        <v>8</v>
      </c>
      <c r="DD702" s="27" t="s">
        <v>7</v>
      </c>
      <c r="DE702" s="27" t="s">
        <v>8</v>
      </c>
      <c r="DH702" s="27" t="s">
        <v>7</v>
      </c>
      <c r="DJ702" s="27" t="s">
        <v>7</v>
      </c>
      <c r="GA702" s="27" t="s">
        <v>8</v>
      </c>
      <c r="GB702" s="27" t="s">
        <v>7</v>
      </c>
      <c r="GE702" s="27" t="s">
        <v>8</v>
      </c>
      <c r="GG702" s="27" t="s">
        <v>8</v>
      </c>
      <c r="GH702" s="27" t="s">
        <v>7</v>
      </c>
      <c r="GI702" s="27" t="s">
        <v>8</v>
      </c>
    </row>
    <row r="703" spans="1:195" x14ac:dyDescent="0.25">
      <c r="A703" s="7">
        <v>0.10054953710975212</v>
      </c>
      <c r="B703"/>
      <c r="C703"/>
      <c r="D703"/>
      <c r="E703"/>
      <c r="F703" s="27" t="s">
        <v>7</v>
      </c>
      <c r="CY703" s="27" t="s">
        <v>8</v>
      </c>
      <c r="DA703" s="27" t="s">
        <v>8</v>
      </c>
      <c r="DB703" s="27" t="s">
        <v>7</v>
      </c>
      <c r="DC703" s="27" t="s">
        <v>8</v>
      </c>
      <c r="DD703" s="27" t="s">
        <v>7</v>
      </c>
      <c r="DE703" s="27" t="s">
        <v>8</v>
      </c>
      <c r="DJ703" s="27" t="s">
        <v>7</v>
      </c>
      <c r="GA703" s="27" t="s">
        <v>8</v>
      </c>
      <c r="GB703" s="27" t="s">
        <v>7</v>
      </c>
      <c r="GE703" s="27" t="s">
        <v>8</v>
      </c>
      <c r="GF703" s="27" t="s">
        <v>7</v>
      </c>
      <c r="GG703" s="27" t="s">
        <v>8</v>
      </c>
      <c r="GH703" s="27" t="s">
        <v>7</v>
      </c>
      <c r="GI703" s="27" t="s">
        <v>8</v>
      </c>
    </row>
    <row r="704" spans="1:195" x14ac:dyDescent="0.25">
      <c r="A704" s="7">
        <v>9.8577977558580512E-2</v>
      </c>
      <c r="B704"/>
      <c r="C704"/>
      <c r="D704"/>
      <c r="E704"/>
      <c r="F704" s="27" t="s">
        <v>7</v>
      </c>
      <c r="CY704" s="27" t="s">
        <v>8</v>
      </c>
      <c r="CZ704" s="27" t="s">
        <v>7</v>
      </c>
      <c r="DA704" s="27" t="s">
        <v>8</v>
      </c>
      <c r="DB704" s="27" t="s">
        <v>7</v>
      </c>
      <c r="DC704" s="27" t="s">
        <v>8</v>
      </c>
      <c r="DD704" s="27" t="s">
        <v>7</v>
      </c>
      <c r="DE704" s="27" t="s">
        <v>8</v>
      </c>
      <c r="DJ704" s="27" t="s">
        <v>7</v>
      </c>
      <c r="GA704" s="27" t="s">
        <v>8</v>
      </c>
      <c r="GB704" s="27" t="s">
        <v>7</v>
      </c>
      <c r="GE704" s="27" t="s">
        <v>8</v>
      </c>
      <c r="GF704" s="27" t="s">
        <v>7</v>
      </c>
      <c r="GG704" s="27" t="s">
        <v>8</v>
      </c>
      <c r="GH704" s="27" t="s">
        <v>7</v>
      </c>
      <c r="GI704" s="27" t="s">
        <v>8</v>
      </c>
    </row>
    <row r="705" spans="1:190" x14ac:dyDescent="0.25">
      <c r="A705" s="7">
        <v>9.6645076037824032E-2</v>
      </c>
      <c r="B705"/>
      <c r="C705"/>
      <c r="D705"/>
      <c r="E705"/>
      <c r="F705" s="27" t="s">
        <v>7</v>
      </c>
      <c r="CY705" s="27" t="s">
        <v>8</v>
      </c>
      <c r="CZ705" s="27" t="s">
        <v>7</v>
      </c>
      <c r="DA705" s="27" t="s">
        <v>8</v>
      </c>
      <c r="DB705" s="27" t="s">
        <v>7</v>
      </c>
      <c r="DC705" s="27" t="s">
        <v>8</v>
      </c>
      <c r="DD705" s="27" t="s">
        <v>7</v>
      </c>
      <c r="DJ705" s="27" t="s">
        <v>7</v>
      </c>
      <c r="GA705" s="27" t="s">
        <v>8</v>
      </c>
      <c r="GB705" s="27" t="s">
        <v>7</v>
      </c>
      <c r="GE705" s="27" t="s">
        <v>8</v>
      </c>
      <c r="GF705" s="27" t="s">
        <v>7</v>
      </c>
      <c r="GG705" s="27" t="s">
        <v>8</v>
      </c>
      <c r="GH705" s="27" t="s">
        <v>7</v>
      </c>
    </row>
    <row r="706" spans="1:190" x14ac:dyDescent="0.25">
      <c r="A706" s="7">
        <v>9.4750074546886304E-2</v>
      </c>
      <c r="B706"/>
      <c r="C706"/>
      <c r="D706"/>
      <c r="E706"/>
      <c r="F706" s="27" t="s">
        <v>7</v>
      </c>
      <c r="CY706" s="27" t="s">
        <v>8</v>
      </c>
      <c r="CZ706" s="27" t="s">
        <v>7</v>
      </c>
      <c r="DA706" s="27" t="s">
        <v>8</v>
      </c>
      <c r="DB706" s="27" t="s">
        <v>7</v>
      </c>
      <c r="DC706" s="27" t="s">
        <v>8</v>
      </c>
      <c r="DJ706" s="27" t="s">
        <v>7</v>
      </c>
      <c r="DO706" s="27" t="s">
        <v>8</v>
      </c>
      <c r="GA706" s="27" t="s">
        <v>8</v>
      </c>
      <c r="GB706" s="27" t="s">
        <v>7</v>
      </c>
      <c r="GE706" s="27" t="s">
        <v>8</v>
      </c>
      <c r="GF706" s="27" t="s">
        <v>7</v>
      </c>
      <c r="GG706" s="27" t="s">
        <v>8</v>
      </c>
    </row>
    <row r="707" spans="1:190" x14ac:dyDescent="0.25">
      <c r="A707" s="7">
        <v>9.2892229947927743E-2</v>
      </c>
      <c r="B707"/>
      <c r="C707"/>
      <c r="D707"/>
      <c r="E707"/>
      <c r="F707" s="27" t="s">
        <v>7</v>
      </c>
      <c r="CY707" s="27" t="s">
        <v>8</v>
      </c>
      <c r="CZ707" s="27" t="s">
        <v>7</v>
      </c>
      <c r="DA707" s="27" t="s">
        <v>8</v>
      </c>
      <c r="DB707" s="27" t="s">
        <v>7</v>
      </c>
      <c r="DC707" s="27" t="s">
        <v>8</v>
      </c>
      <c r="DJ707" s="27" t="s">
        <v>7</v>
      </c>
      <c r="DO707" s="27" t="s">
        <v>8</v>
      </c>
      <c r="DP707" s="27" t="s">
        <v>7</v>
      </c>
      <c r="GA707" s="27" t="s">
        <v>8</v>
      </c>
      <c r="GB707" s="27" t="s">
        <v>7</v>
      </c>
      <c r="GC707" s="27" t="s">
        <v>8</v>
      </c>
      <c r="GE707" s="27" t="s">
        <v>8</v>
      </c>
      <c r="GF707" s="27" t="s">
        <v>7</v>
      </c>
      <c r="GG707" s="27" t="s">
        <v>8</v>
      </c>
    </row>
    <row r="708" spans="1:190" x14ac:dyDescent="0.25">
      <c r="A708" s="7">
        <v>9.1070813674438963E-2</v>
      </c>
      <c r="B708"/>
      <c r="C708"/>
      <c r="D708"/>
      <c r="E708"/>
      <c r="F708" s="27" t="s">
        <v>7</v>
      </c>
      <c r="CY708" s="27" t="s">
        <v>8</v>
      </c>
      <c r="CZ708" s="27" t="s">
        <v>7</v>
      </c>
      <c r="DA708" s="27" t="s">
        <v>8</v>
      </c>
      <c r="DB708" s="27" t="s">
        <v>7</v>
      </c>
      <c r="DC708" s="27" t="s">
        <v>8</v>
      </c>
      <c r="DJ708" s="27" t="s">
        <v>7</v>
      </c>
      <c r="DO708" s="27" t="s">
        <v>8</v>
      </c>
      <c r="DP708" s="27" t="s">
        <v>7</v>
      </c>
      <c r="FY708" s="27" t="s">
        <v>8</v>
      </c>
      <c r="GA708" s="27" t="s">
        <v>8</v>
      </c>
      <c r="GB708" s="27" t="s">
        <v>7</v>
      </c>
      <c r="GC708" s="27" t="s">
        <v>8</v>
      </c>
      <c r="GD708" s="27" t="s">
        <v>7</v>
      </c>
      <c r="GE708" s="27" t="s">
        <v>8</v>
      </c>
      <c r="GF708" s="27" t="s">
        <v>7</v>
      </c>
      <c r="GG708" s="27" t="s">
        <v>8</v>
      </c>
    </row>
    <row r="709" spans="1:190" x14ac:dyDescent="0.25">
      <c r="A709" s="7">
        <v>8.9285111445528392E-2</v>
      </c>
      <c r="B709"/>
      <c r="C709"/>
      <c r="D709"/>
      <c r="E709"/>
      <c r="F709" s="27" t="s">
        <v>7</v>
      </c>
      <c r="CY709" s="27" t="s">
        <v>8</v>
      </c>
      <c r="CZ709" s="27" t="s">
        <v>7</v>
      </c>
      <c r="DA709" s="27" t="s">
        <v>8</v>
      </c>
      <c r="DB709" s="27" t="s">
        <v>7</v>
      </c>
      <c r="DJ709" s="27" t="s">
        <v>7</v>
      </c>
      <c r="DO709" s="27" t="s">
        <v>8</v>
      </c>
      <c r="DP709" s="27" t="s">
        <v>7</v>
      </c>
      <c r="DQ709" s="27" t="s">
        <v>8</v>
      </c>
      <c r="FY709" s="27" t="s">
        <v>8</v>
      </c>
      <c r="FZ709" s="27" t="s">
        <v>7</v>
      </c>
      <c r="GA709" s="27" t="s">
        <v>8</v>
      </c>
      <c r="GB709" s="27" t="s">
        <v>7</v>
      </c>
      <c r="GC709" s="27" t="s">
        <v>8</v>
      </c>
      <c r="GD709" s="27" t="s">
        <v>7</v>
      </c>
      <c r="GE709" s="27" t="s">
        <v>8</v>
      </c>
      <c r="GF709" s="27" t="s">
        <v>7</v>
      </c>
      <c r="GG709" s="27" t="s">
        <v>8</v>
      </c>
    </row>
    <row r="710" spans="1:190" x14ac:dyDescent="0.25">
      <c r="A710" s="7">
        <v>8.7534422985812155E-2</v>
      </c>
      <c r="B710"/>
      <c r="C710"/>
      <c r="D710"/>
      <c r="E710"/>
      <c r="F710" s="27" t="s">
        <v>7</v>
      </c>
      <c r="CY710" s="27" t="s">
        <v>8</v>
      </c>
      <c r="CZ710" s="27" t="s">
        <v>7</v>
      </c>
      <c r="DJ710" s="27" t="s">
        <v>7</v>
      </c>
      <c r="DO710" s="27" t="s">
        <v>8</v>
      </c>
      <c r="DP710" s="27" t="s">
        <v>7</v>
      </c>
      <c r="DQ710" s="27" t="s">
        <v>8</v>
      </c>
      <c r="DR710" s="27" t="s">
        <v>7</v>
      </c>
      <c r="FY710" s="27" t="s">
        <v>8</v>
      </c>
      <c r="FZ710" s="27" t="s">
        <v>7</v>
      </c>
      <c r="GA710" s="27" t="s">
        <v>8</v>
      </c>
      <c r="GB710" s="27" t="s">
        <v>7</v>
      </c>
      <c r="GC710" s="27" t="s">
        <v>8</v>
      </c>
      <c r="GD710" s="27" t="s">
        <v>7</v>
      </c>
      <c r="GE710" s="27" t="s">
        <v>8</v>
      </c>
      <c r="GF710" s="27" t="s">
        <v>7</v>
      </c>
    </row>
    <row r="711" spans="1:190" x14ac:dyDescent="0.25">
      <c r="A711" s="7">
        <v>8.5818061750796232E-2</v>
      </c>
      <c r="B711"/>
      <c r="C711"/>
      <c r="D711"/>
      <c r="E711"/>
      <c r="F711" s="27" t="s">
        <v>7</v>
      </c>
      <c r="CY711" s="27" t="s">
        <v>8</v>
      </c>
      <c r="DJ711" s="27" t="s">
        <v>7</v>
      </c>
      <c r="DO711" s="27" t="s">
        <v>8</v>
      </c>
      <c r="DP711" s="27" t="s">
        <v>7</v>
      </c>
      <c r="DQ711" s="27" t="s">
        <v>8</v>
      </c>
      <c r="DR711" s="27" t="s">
        <v>7</v>
      </c>
      <c r="FY711" s="27" t="s">
        <v>8</v>
      </c>
      <c r="FZ711" s="27" t="s">
        <v>7</v>
      </c>
      <c r="GA711" s="27" t="s">
        <v>8</v>
      </c>
      <c r="GB711" s="27" t="s">
        <v>7</v>
      </c>
      <c r="GC711" s="27" t="s">
        <v>8</v>
      </c>
      <c r="GD711" s="27" t="s">
        <v>7</v>
      </c>
      <c r="GE711" s="27" t="s">
        <v>8</v>
      </c>
    </row>
    <row r="712" spans="1:190" x14ac:dyDescent="0.25">
      <c r="A712" s="7">
        <v>8.4135354657643366E-2</v>
      </c>
      <c r="B712"/>
      <c r="C712"/>
      <c r="D712"/>
      <c r="E712"/>
      <c r="F712" s="27" t="s">
        <v>7</v>
      </c>
      <c r="CY712" s="27" t="s">
        <v>8</v>
      </c>
      <c r="DJ712" s="27" t="s">
        <v>7</v>
      </c>
      <c r="DK712" s="27" t="s">
        <v>8</v>
      </c>
      <c r="DM712" s="27" t="s">
        <v>8</v>
      </c>
      <c r="DO712" s="27" t="s">
        <v>8</v>
      </c>
      <c r="DP712" s="27" t="s">
        <v>7</v>
      </c>
      <c r="DQ712" s="27" t="s">
        <v>8</v>
      </c>
      <c r="DR712" s="27" t="s">
        <v>7</v>
      </c>
      <c r="FU712" s="27" t="s">
        <v>8</v>
      </c>
      <c r="FY712" s="27" t="s">
        <v>8</v>
      </c>
      <c r="FZ712" s="27" t="s">
        <v>7</v>
      </c>
      <c r="GA712" s="27" t="s">
        <v>8</v>
      </c>
      <c r="GB712" s="27" t="s">
        <v>7</v>
      </c>
      <c r="GC712" s="27" t="s">
        <v>8</v>
      </c>
      <c r="GD712" s="27" t="s">
        <v>7</v>
      </c>
      <c r="GE712" s="27" t="s">
        <v>8</v>
      </c>
    </row>
    <row r="713" spans="1:190" x14ac:dyDescent="0.25">
      <c r="A713" s="7">
        <v>8.248564182121898E-2</v>
      </c>
      <c r="B713"/>
      <c r="C713"/>
      <c r="D713"/>
      <c r="E713"/>
      <c r="F713" s="27" t="s">
        <v>7</v>
      </c>
      <c r="CY713" s="27" t="s">
        <v>8</v>
      </c>
      <c r="DJ713" s="27" t="s">
        <v>7</v>
      </c>
      <c r="DK713" s="27" t="s">
        <v>8</v>
      </c>
      <c r="DL713" s="27" t="s">
        <v>7</v>
      </c>
      <c r="DM713" s="27" t="s">
        <v>8</v>
      </c>
      <c r="DN713" s="27" t="s">
        <v>7</v>
      </c>
      <c r="DO713" s="27" t="s">
        <v>8</v>
      </c>
      <c r="DP713" s="27" t="s">
        <v>7</v>
      </c>
      <c r="DQ713" s="27" t="s">
        <v>8</v>
      </c>
      <c r="DR713" s="27" t="s">
        <v>7</v>
      </c>
      <c r="FU713" s="27" t="s">
        <v>8</v>
      </c>
      <c r="FV713" s="27" t="s">
        <v>7</v>
      </c>
      <c r="FY713" s="27" t="s">
        <v>8</v>
      </c>
      <c r="FZ713" s="27" t="s">
        <v>7</v>
      </c>
      <c r="GA713" s="27" t="s">
        <v>8</v>
      </c>
      <c r="GB713" s="27" t="s">
        <v>7</v>
      </c>
      <c r="GC713" s="27" t="s">
        <v>8</v>
      </c>
      <c r="GD713" s="27" t="s">
        <v>7</v>
      </c>
      <c r="GE713" s="27" t="s">
        <v>8</v>
      </c>
    </row>
    <row r="714" spans="1:190" x14ac:dyDescent="0.25">
      <c r="A714" s="7">
        <v>8.0868276295312735E-2</v>
      </c>
      <c r="B714"/>
      <c r="C714"/>
      <c r="D714"/>
      <c r="E714"/>
      <c r="F714" s="27" t="s">
        <v>7</v>
      </c>
      <c r="CU714" s="27" t="s">
        <v>8</v>
      </c>
      <c r="CY714" s="27" t="s">
        <v>8</v>
      </c>
      <c r="DJ714" s="27" t="s">
        <v>7</v>
      </c>
      <c r="DK714" s="27" t="s">
        <v>8</v>
      </c>
      <c r="DL714" s="27" t="s">
        <v>7</v>
      </c>
      <c r="DM714" s="27" t="s">
        <v>8</v>
      </c>
      <c r="DN714" s="27" t="s">
        <v>7</v>
      </c>
      <c r="DO714" s="27" t="s">
        <v>8</v>
      </c>
      <c r="DP714" s="27" t="s">
        <v>7</v>
      </c>
      <c r="DQ714" s="27" t="s">
        <v>8</v>
      </c>
      <c r="DR714" s="27" t="s">
        <v>7</v>
      </c>
      <c r="FU714" s="27" t="s">
        <v>8</v>
      </c>
      <c r="FV714" s="27" t="s">
        <v>7</v>
      </c>
      <c r="FY714" s="27" t="s">
        <v>8</v>
      </c>
      <c r="FZ714" s="27" t="s">
        <v>7</v>
      </c>
      <c r="GA714" s="27" t="s">
        <v>8</v>
      </c>
      <c r="GB714" s="27" t="s">
        <v>7</v>
      </c>
      <c r="GC714" s="27" t="s">
        <v>8</v>
      </c>
      <c r="GD714" s="27" t="s">
        <v>7</v>
      </c>
    </row>
    <row r="715" spans="1:190" x14ac:dyDescent="0.25">
      <c r="A715" s="7">
        <v>7.9282623818934056E-2</v>
      </c>
      <c r="B715"/>
      <c r="C715"/>
      <c r="D715"/>
      <c r="E715"/>
      <c r="F715" s="27" t="s">
        <v>7</v>
      </c>
      <c r="CU715" s="27" t="s">
        <v>8</v>
      </c>
      <c r="CV715" s="27" t="s">
        <v>7</v>
      </c>
      <c r="CY715" s="27" t="s">
        <v>8</v>
      </c>
      <c r="DJ715" s="27" t="s">
        <v>7</v>
      </c>
      <c r="DK715" s="27" t="s">
        <v>8</v>
      </c>
      <c r="DL715" s="27" t="s">
        <v>7</v>
      </c>
      <c r="DM715" s="27" t="s">
        <v>8</v>
      </c>
      <c r="DN715" s="27" t="s">
        <v>7</v>
      </c>
      <c r="DO715" s="27" t="s">
        <v>8</v>
      </c>
      <c r="DP715" s="27" t="s">
        <v>7</v>
      </c>
      <c r="DR715" s="27" t="s">
        <v>7</v>
      </c>
      <c r="FU715" s="27" t="s">
        <v>8</v>
      </c>
      <c r="FV715" s="27" t="s">
        <v>7</v>
      </c>
      <c r="FW715" s="27" t="s">
        <v>8</v>
      </c>
      <c r="FY715" s="27" t="s">
        <v>8</v>
      </c>
      <c r="FZ715" s="27" t="s">
        <v>7</v>
      </c>
      <c r="GA715" s="27" t="s">
        <v>8</v>
      </c>
      <c r="GB715" s="27" t="s">
        <v>7</v>
      </c>
      <c r="GC715" s="27" t="s">
        <v>8</v>
      </c>
    </row>
    <row r="716" spans="1:190" x14ac:dyDescent="0.25">
      <c r="A716" s="7">
        <v>7.7728062567582412E-2</v>
      </c>
      <c r="B716"/>
      <c r="C716"/>
      <c r="D716"/>
      <c r="E716"/>
      <c r="F716" s="27" t="s">
        <v>7</v>
      </c>
      <c r="CU716" s="27" t="s">
        <v>8</v>
      </c>
      <c r="CV716" s="27" t="s">
        <v>7</v>
      </c>
      <c r="CY716" s="27" t="s">
        <v>8</v>
      </c>
      <c r="DJ716" s="27" t="s">
        <v>7</v>
      </c>
      <c r="DK716" s="27" t="s">
        <v>8</v>
      </c>
      <c r="DL716" s="27" t="s">
        <v>7</v>
      </c>
      <c r="DM716" s="27" t="s">
        <v>8</v>
      </c>
      <c r="DN716" s="27" t="s">
        <v>7</v>
      </c>
      <c r="DO716" s="27" t="s">
        <v>8</v>
      </c>
      <c r="DR716" s="27" t="s">
        <v>7</v>
      </c>
      <c r="FU716" s="27" t="s">
        <v>8</v>
      </c>
      <c r="FV716" s="27" t="s">
        <v>7</v>
      </c>
      <c r="FW716" s="27" t="s">
        <v>8</v>
      </c>
      <c r="FX716" s="27" t="s">
        <v>7</v>
      </c>
      <c r="FY716" s="27" t="s">
        <v>8</v>
      </c>
      <c r="FZ716" s="27" t="s">
        <v>7</v>
      </c>
      <c r="GA716" s="27" t="s">
        <v>8</v>
      </c>
      <c r="GB716" s="27" t="s">
        <v>7</v>
      </c>
      <c r="GC716" s="27" t="s">
        <v>8</v>
      </c>
    </row>
    <row r="717" spans="1:190" x14ac:dyDescent="0.25">
      <c r="A717" s="7">
        <v>7.6203982909394521E-2</v>
      </c>
      <c r="B717"/>
      <c r="C717"/>
      <c r="D717"/>
      <c r="E717"/>
      <c r="F717" s="27" t="s">
        <v>7</v>
      </c>
      <c r="CU717" s="27" t="s">
        <v>8</v>
      </c>
      <c r="CV717" s="27" t="s">
        <v>7</v>
      </c>
      <c r="CW717" s="27" t="s">
        <v>8</v>
      </c>
      <c r="CY717" s="27" t="s">
        <v>8</v>
      </c>
      <c r="DJ717" s="27" t="s">
        <v>7</v>
      </c>
      <c r="DK717" s="27" t="s">
        <v>8</v>
      </c>
      <c r="DL717" s="27" t="s">
        <v>7</v>
      </c>
      <c r="DM717" s="27" t="s">
        <v>8</v>
      </c>
      <c r="DN717" s="27" t="s">
        <v>7</v>
      </c>
      <c r="DO717" s="27" t="s">
        <v>8</v>
      </c>
      <c r="DR717" s="27" t="s">
        <v>7</v>
      </c>
      <c r="FU717" s="27" t="s">
        <v>8</v>
      </c>
      <c r="FV717" s="27" t="s">
        <v>7</v>
      </c>
      <c r="FW717" s="27" t="s">
        <v>8</v>
      </c>
      <c r="FX717" s="27" t="s">
        <v>7</v>
      </c>
      <c r="FY717" s="27" t="s">
        <v>8</v>
      </c>
      <c r="FZ717" s="27" t="s">
        <v>7</v>
      </c>
      <c r="GB717" s="27" t="s">
        <v>7</v>
      </c>
      <c r="GC717" s="27" t="s">
        <v>8</v>
      </c>
    </row>
    <row r="718" spans="1:190" x14ac:dyDescent="0.25">
      <c r="A718" s="7">
        <v>7.4709787166073058E-2</v>
      </c>
      <c r="B718"/>
      <c r="C718"/>
      <c r="D718"/>
      <c r="E718"/>
      <c r="F718" s="27" t="s">
        <v>7</v>
      </c>
      <c r="CS718" s="27" t="s">
        <v>8</v>
      </c>
      <c r="CU718" s="27" t="s">
        <v>8</v>
      </c>
      <c r="CV718" s="27" t="s">
        <v>7</v>
      </c>
      <c r="CW718" s="27" t="s">
        <v>8</v>
      </c>
      <c r="CX718" s="27" t="s">
        <v>7</v>
      </c>
      <c r="CY718" s="27" t="s">
        <v>8</v>
      </c>
      <c r="DJ718" s="27" t="s">
        <v>7</v>
      </c>
      <c r="DK718" s="27" t="s">
        <v>8</v>
      </c>
      <c r="DL718" s="27" t="s">
        <v>7</v>
      </c>
      <c r="DM718" s="27" t="s">
        <v>8</v>
      </c>
      <c r="DN718" s="27" t="s">
        <v>7</v>
      </c>
      <c r="DO718" s="27" t="s">
        <v>8</v>
      </c>
      <c r="DR718" s="27" t="s">
        <v>7</v>
      </c>
      <c r="DY718" s="27" t="s">
        <v>8</v>
      </c>
      <c r="FU718" s="27" t="s">
        <v>8</v>
      </c>
      <c r="FV718" s="27" t="s">
        <v>7</v>
      </c>
      <c r="FW718" s="27" t="s">
        <v>8</v>
      </c>
      <c r="FX718" s="27" t="s">
        <v>7</v>
      </c>
      <c r="FY718" s="27" t="s">
        <v>8</v>
      </c>
      <c r="GB718" s="27" t="s">
        <v>7</v>
      </c>
    </row>
    <row r="719" spans="1:190" x14ac:dyDescent="0.25">
      <c r="A719" s="7">
        <v>7.3244889378503E-2</v>
      </c>
      <c r="B719"/>
      <c r="C719"/>
      <c r="D719"/>
      <c r="E719"/>
      <c r="F719" s="27" t="s">
        <v>7</v>
      </c>
      <c r="CS719" s="27" t="s">
        <v>8</v>
      </c>
      <c r="CT719" s="27" t="s">
        <v>7</v>
      </c>
      <c r="CU719" s="27" t="s">
        <v>8</v>
      </c>
      <c r="CV719" s="27" t="s">
        <v>7</v>
      </c>
      <c r="CW719" s="27" t="s">
        <v>8</v>
      </c>
      <c r="CX719" s="27" t="s">
        <v>7</v>
      </c>
      <c r="CY719" s="27" t="s">
        <v>8</v>
      </c>
      <c r="DJ719" s="27" t="s">
        <v>7</v>
      </c>
      <c r="DK719" s="27" t="s">
        <v>8</v>
      </c>
      <c r="DL719" s="27" t="s">
        <v>7</v>
      </c>
      <c r="DM719" s="27" t="s">
        <v>8</v>
      </c>
      <c r="DN719" s="27" t="s">
        <v>7</v>
      </c>
      <c r="DR719" s="27" t="s">
        <v>7</v>
      </c>
      <c r="DY719" s="27" t="s">
        <v>8</v>
      </c>
      <c r="DZ719" s="27" t="s">
        <v>7</v>
      </c>
      <c r="FU719" s="27" t="s">
        <v>8</v>
      </c>
      <c r="FV719" s="27" t="s">
        <v>7</v>
      </c>
      <c r="FW719" s="27" t="s">
        <v>8</v>
      </c>
      <c r="FX719" s="27" t="s">
        <v>7</v>
      </c>
      <c r="FY719" s="27" t="s">
        <v>8</v>
      </c>
    </row>
    <row r="720" spans="1:190" x14ac:dyDescent="0.25">
      <c r="A720" s="7">
        <v>7.1808715076963722E-2</v>
      </c>
      <c r="B720"/>
      <c r="C720"/>
      <c r="D720"/>
      <c r="E720"/>
      <c r="F720" s="27" t="s">
        <v>7</v>
      </c>
      <c r="CS720" s="27" t="s">
        <v>8</v>
      </c>
      <c r="CT720" s="27" t="s">
        <v>7</v>
      </c>
      <c r="CU720" s="27" t="s">
        <v>8</v>
      </c>
      <c r="CV720" s="27" t="s">
        <v>7</v>
      </c>
      <c r="CW720" s="27" t="s">
        <v>8</v>
      </c>
      <c r="CX720" s="27" t="s">
        <v>7</v>
      </c>
      <c r="DJ720" s="27" t="s">
        <v>7</v>
      </c>
      <c r="DK720" s="27" t="s">
        <v>8</v>
      </c>
      <c r="DL720" s="27" t="s">
        <v>7</v>
      </c>
      <c r="DM720" s="27" t="s">
        <v>8</v>
      </c>
      <c r="DR720" s="27" t="s">
        <v>7</v>
      </c>
      <c r="DY720" s="27" t="s">
        <v>8</v>
      </c>
      <c r="DZ720" s="27" t="s">
        <v>7</v>
      </c>
      <c r="FU720" s="27" t="s">
        <v>8</v>
      </c>
      <c r="FV720" s="27" t="s">
        <v>7</v>
      </c>
      <c r="FW720" s="27" t="s">
        <v>8</v>
      </c>
      <c r="FX720" s="27" t="s">
        <v>7</v>
      </c>
      <c r="FY720" s="27" t="s">
        <v>8</v>
      </c>
    </row>
    <row r="721" spans="1:181" x14ac:dyDescent="0.25">
      <c r="A721" s="7">
        <v>7.0400701055846782E-2</v>
      </c>
      <c r="B721"/>
      <c r="C721"/>
      <c r="D721"/>
      <c r="E721"/>
      <c r="F721" s="27" t="s">
        <v>7</v>
      </c>
      <c r="CS721" s="27" t="s">
        <v>8</v>
      </c>
      <c r="CT721" s="27" t="s">
        <v>7</v>
      </c>
      <c r="CU721" s="27" t="s">
        <v>8</v>
      </c>
      <c r="CV721" s="27" t="s">
        <v>7</v>
      </c>
      <c r="CW721" s="27" t="s">
        <v>8</v>
      </c>
      <c r="DJ721" s="27" t="s">
        <v>7</v>
      </c>
      <c r="DK721" s="27" t="s">
        <v>8</v>
      </c>
      <c r="DL721" s="27" t="s">
        <v>7</v>
      </c>
      <c r="DM721" s="27" t="s">
        <v>8</v>
      </c>
      <c r="DR721" s="27" t="s">
        <v>7</v>
      </c>
      <c r="DS721" s="27" t="s">
        <v>8</v>
      </c>
      <c r="DU721" s="27" t="s">
        <v>8</v>
      </c>
      <c r="DY721" s="27" t="s">
        <v>8</v>
      </c>
      <c r="DZ721" s="27" t="s">
        <v>7</v>
      </c>
      <c r="FU721" s="27" t="s">
        <v>8</v>
      </c>
      <c r="FV721" s="27" t="s">
        <v>7</v>
      </c>
      <c r="FW721" s="27" t="s">
        <v>8</v>
      </c>
      <c r="FX721" s="27" t="s">
        <v>7</v>
      </c>
      <c r="FY721" s="27" t="s">
        <v>8</v>
      </c>
    </row>
    <row r="722" spans="1:181" x14ac:dyDescent="0.25">
      <c r="A722" s="7">
        <v>6.9020295152790956E-2</v>
      </c>
      <c r="B722"/>
      <c r="C722"/>
      <c r="D722"/>
      <c r="E722"/>
      <c r="F722" s="27" t="s">
        <v>7</v>
      </c>
      <c r="CS722" s="27" t="s">
        <v>8</v>
      </c>
      <c r="CT722" s="27" t="s">
        <v>7</v>
      </c>
      <c r="CU722" s="27" t="s">
        <v>8</v>
      </c>
      <c r="CV722" s="27" t="s">
        <v>7</v>
      </c>
      <c r="CW722" s="27" t="s">
        <v>8</v>
      </c>
      <c r="DJ722" s="27" t="s">
        <v>7</v>
      </c>
      <c r="DK722" s="27" t="s">
        <v>8</v>
      </c>
      <c r="DL722" s="27" t="s">
        <v>7</v>
      </c>
      <c r="DR722" s="27" t="s">
        <v>7</v>
      </c>
      <c r="DS722" s="27" t="s">
        <v>8</v>
      </c>
      <c r="DT722" s="27" t="s">
        <v>7</v>
      </c>
      <c r="DU722" s="27" t="s">
        <v>8</v>
      </c>
      <c r="DV722" s="27" t="s">
        <v>7</v>
      </c>
      <c r="DY722" s="27" t="s">
        <v>8</v>
      </c>
      <c r="DZ722" s="27" t="s">
        <v>7</v>
      </c>
      <c r="FU722" s="27" t="s">
        <v>8</v>
      </c>
      <c r="FV722" s="27" t="s">
        <v>7</v>
      </c>
      <c r="FW722" s="27" t="s">
        <v>8</v>
      </c>
      <c r="FX722" s="27" t="s">
        <v>7</v>
      </c>
      <c r="FY722" s="27" t="s">
        <v>8</v>
      </c>
    </row>
    <row r="723" spans="1:181" x14ac:dyDescent="0.25">
      <c r="A723" s="7">
        <v>6.7666956032147993E-2</v>
      </c>
      <c r="B723"/>
      <c r="C723"/>
      <c r="D723"/>
      <c r="E723"/>
      <c r="F723" s="27" t="s">
        <v>7</v>
      </c>
      <c r="CS723" s="27" t="s">
        <v>8</v>
      </c>
      <c r="CT723" s="27" t="s">
        <v>7</v>
      </c>
      <c r="CV723" s="27" t="s">
        <v>7</v>
      </c>
      <c r="CW723" s="27" t="s">
        <v>8</v>
      </c>
      <c r="DJ723" s="27" t="s">
        <v>7</v>
      </c>
      <c r="DK723" s="27" t="s">
        <v>8</v>
      </c>
      <c r="DR723" s="27" t="s">
        <v>7</v>
      </c>
      <c r="DS723" s="27" t="s">
        <v>8</v>
      </c>
      <c r="DT723" s="27" t="s">
        <v>7</v>
      </c>
      <c r="DU723" s="27" t="s">
        <v>8</v>
      </c>
      <c r="DV723" s="27" t="s">
        <v>7</v>
      </c>
      <c r="DY723" s="27" t="s">
        <v>8</v>
      </c>
      <c r="DZ723" s="27" t="s">
        <v>7</v>
      </c>
      <c r="EU723" s="27" t="s">
        <v>8</v>
      </c>
      <c r="FU723" s="27" t="s">
        <v>8</v>
      </c>
      <c r="FV723" s="27" t="s">
        <v>7</v>
      </c>
      <c r="FW723" s="27" t="s">
        <v>8</v>
      </c>
      <c r="FX723" s="27" t="s">
        <v>7</v>
      </c>
      <c r="FY723" s="27" t="s">
        <v>8</v>
      </c>
    </row>
    <row r="724" spans="1:181" x14ac:dyDescent="0.25">
      <c r="A724" s="7">
        <v>6.6340152972694105E-2</v>
      </c>
      <c r="B724"/>
      <c r="C724"/>
      <c r="D724"/>
      <c r="E724"/>
      <c r="F724" s="27" t="s">
        <v>7</v>
      </c>
      <c r="CS724" s="27" t="s">
        <v>8</v>
      </c>
      <c r="CV724" s="27" t="s">
        <v>7</v>
      </c>
      <c r="CW724" s="27" t="s">
        <v>8</v>
      </c>
      <c r="DJ724" s="27" t="s">
        <v>7</v>
      </c>
      <c r="DK724" s="27" t="s">
        <v>8</v>
      </c>
      <c r="DR724" s="27" t="s">
        <v>7</v>
      </c>
      <c r="DS724" s="27" t="s">
        <v>8</v>
      </c>
      <c r="DT724" s="27" t="s">
        <v>7</v>
      </c>
      <c r="DU724" s="27" t="s">
        <v>8</v>
      </c>
      <c r="DV724" s="27" t="s">
        <v>7</v>
      </c>
      <c r="DY724" s="27" t="s">
        <v>8</v>
      </c>
      <c r="DZ724" s="27" t="s">
        <v>7</v>
      </c>
      <c r="EU724" s="27" t="s">
        <v>8</v>
      </c>
      <c r="EV724" s="27" t="s">
        <v>7</v>
      </c>
      <c r="FS724" s="27" t="s">
        <v>8</v>
      </c>
      <c r="FU724" s="27" t="s">
        <v>8</v>
      </c>
      <c r="FV724" s="27" t="s">
        <v>7</v>
      </c>
      <c r="FW724" s="27" t="s">
        <v>8</v>
      </c>
      <c r="FX724" s="27" t="s">
        <v>7</v>
      </c>
      <c r="FY724" s="27" t="s">
        <v>8</v>
      </c>
    </row>
    <row r="725" spans="1:181" x14ac:dyDescent="0.25">
      <c r="A725" s="7">
        <v>6.5039365659504023E-2</v>
      </c>
      <c r="B725"/>
      <c r="C725"/>
      <c r="D725"/>
      <c r="E725"/>
      <c r="F725" s="27" t="s">
        <v>7</v>
      </c>
      <c r="CS725" s="27" t="s">
        <v>8</v>
      </c>
      <c r="CV725" s="27" t="s">
        <v>7</v>
      </c>
      <c r="DJ725" s="27" t="s">
        <v>7</v>
      </c>
      <c r="DK725" s="27" t="s">
        <v>8</v>
      </c>
      <c r="DR725" s="27" t="s">
        <v>7</v>
      </c>
      <c r="DT725" s="27" t="s">
        <v>7</v>
      </c>
      <c r="DV725" s="27" t="s">
        <v>7</v>
      </c>
      <c r="DY725" s="27" t="s">
        <v>8</v>
      </c>
      <c r="DZ725" s="27" t="s">
        <v>7</v>
      </c>
      <c r="EU725" s="27" t="s">
        <v>8</v>
      </c>
      <c r="EV725" s="27" t="s">
        <v>7</v>
      </c>
      <c r="FS725" s="27" t="s">
        <v>8</v>
      </c>
      <c r="FT725" s="27" t="s">
        <v>7</v>
      </c>
      <c r="FU725" s="27" t="s">
        <v>8</v>
      </c>
      <c r="FV725" s="27" t="s">
        <v>7</v>
      </c>
      <c r="FW725" s="27" t="s">
        <v>8</v>
      </c>
      <c r="FX725" s="27" t="s">
        <v>7</v>
      </c>
      <c r="FY725" s="27" t="s">
        <v>8</v>
      </c>
    </row>
    <row r="726" spans="1:181" x14ac:dyDescent="0.25">
      <c r="A726" s="7">
        <v>6.3764083979905906E-2</v>
      </c>
      <c r="B726"/>
      <c r="C726"/>
      <c r="D726"/>
      <c r="E726"/>
      <c r="F726" s="27" t="s">
        <v>7</v>
      </c>
      <c r="CS726" s="27" t="s">
        <v>8</v>
      </c>
      <c r="DJ726" s="27" t="s">
        <v>7</v>
      </c>
      <c r="DV726" s="27" t="s">
        <v>7</v>
      </c>
      <c r="DY726" s="27" t="s">
        <v>8</v>
      </c>
      <c r="DZ726" s="27" t="s">
        <v>7</v>
      </c>
      <c r="EU726" s="27" t="s">
        <v>8</v>
      </c>
      <c r="EV726" s="27" t="s">
        <v>7</v>
      </c>
      <c r="FK726" s="27" t="s">
        <v>8</v>
      </c>
      <c r="FS726" s="27" t="s">
        <v>8</v>
      </c>
      <c r="FT726" s="27" t="s">
        <v>7</v>
      </c>
      <c r="FU726" s="27" t="s">
        <v>8</v>
      </c>
      <c r="FV726" s="27" t="s">
        <v>7</v>
      </c>
      <c r="FW726" s="27" t="s">
        <v>8</v>
      </c>
      <c r="FX726" s="27" t="s">
        <v>7</v>
      </c>
      <c r="FY726" s="27" t="s">
        <v>8</v>
      </c>
    </row>
    <row r="727" spans="1:181" x14ac:dyDescent="0.25">
      <c r="A727" s="7">
        <v>6.251380782343717E-2</v>
      </c>
      <c r="B727"/>
      <c r="C727"/>
      <c r="D727"/>
      <c r="E727"/>
      <c r="F727" s="27" t="s">
        <v>7</v>
      </c>
      <c r="CS727" s="27" t="s">
        <v>8</v>
      </c>
      <c r="DV727" s="27" t="s">
        <v>7</v>
      </c>
      <c r="DW727" s="27" t="s">
        <v>8</v>
      </c>
      <c r="DY727" s="27" t="s">
        <v>8</v>
      </c>
      <c r="DZ727" s="27" t="s">
        <v>7</v>
      </c>
      <c r="EU727" s="27" t="s">
        <v>8</v>
      </c>
      <c r="EV727" s="27" t="s">
        <v>7</v>
      </c>
      <c r="FK727" s="27" t="s">
        <v>8</v>
      </c>
      <c r="FL727" s="27" t="s">
        <v>7</v>
      </c>
      <c r="FS727" s="27" t="s">
        <v>8</v>
      </c>
      <c r="FT727" s="27" t="s">
        <v>7</v>
      </c>
      <c r="FU727" s="27" t="s">
        <v>8</v>
      </c>
      <c r="FV727" s="27" t="s">
        <v>7</v>
      </c>
      <c r="FW727" s="27" t="s">
        <v>8</v>
      </c>
      <c r="FX727" s="27" t="s">
        <v>7</v>
      </c>
      <c r="FY727" s="27" t="s">
        <v>8</v>
      </c>
    </row>
    <row r="728" spans="1:181" x14ac:dyDescent="0.25">
      <c r="A728" s="7">
        <v>6.1288046885722716E-2</v>
      </c>
      <c r="B728"/>
      <c r="C728"/>
      <c r="D728"/>
      <c r="E728"/>
      <c r="F728" s="27" t="s">
        <v>7</v>
      </c>
      <c r="CS728" s="27" t="s">
        <v>8</v>
      </c>
      <c r="DV728" s="27" t="s">
        <v>7</v>
      </c>
      <c r="DW728" s="27" t="s">
        <v>8</v>
      </c>
      <c r="DX728" s="27" t="s">
        <v>7</v>
      </c>
      <c r="DY728" s="27" t="s">
        <v>8</v>
      </c>
      <c r="DZ728" s="27" t="s">
        <v>7</v>
      </c>
      <c r="EU728" s="27" t="s">
        <v>8</v>
      </c>
      <c r="EV728" s="27" t="s">
        <v>7</v>
      </c>
      <c r="FK728" s="27" t="s">
        <v>8</v>
      </c>
      <c r="FL728" s="27" t="s">
        <v>7</v>
      </c>
      <c r="FS728" s="27" t="s">
        <v>8</v>
      </c>
      <c r="FT728" s="27" t="s">
        <v>7</v>
      </c>
      <c r="FU728" s="27" t="s">
        <v>8</v>
      </c>
      <c r="FV728" s="27" t="s">
        <v>7</v>
      </c>
      <c r="FX728" s="27" t="s">
        <v>7</v>
      </c>
      <c r="FY728" s="27" t="s">
        <v>8</v>
      </c>
    </row>
    <row r="729" spans="1:181" x14ac:dyDescent="0.25">
      <c r="A729" s="7">
        <v>6.0086320476198739E-2</v>
      </c>
      <c r="B729"/>
      <c r="C729"/>
      <c r="D729"/>
      <c r="E729"/>
      <c r="F729" s="27" t="s">
        <v>7</v>
      </c>
      <c r="CS729" s="27" t="s">
        <v>8</v>
      </c>
      <c r="DV729" s="27" t="s">
        <v>7</v>
      </c>
      <c r="DW729" s="27" t="s">
        <v>8</v>
      </c>
      <c r="DX729" s="27" t="s">
        <v>7</v>
      </c>
      <c r="DY729" s="27" t="s">
        <v>8</v>
      </c>
      <c r="DZ729" s="27" t="s">
        <v>7</v>
      </c>
      <c r="EU729" s="27" t="s">
        <v>8</v>
      </c>
      <c r="EV729" s="27" t="s">
        <v>7</v>
      </c>
      <c r="FK729" s="27" t="s">
        <v>8</v>
      </c>
      <c r="FL729" s="27" t="s">
        <v>7</v>
      </c>
      <c r="FS729" s="27" t="s">
        <v>8</v>
      </c>
      <c r="FT729" s="27" t="s">
        <v>7</v>
      </c>
      <c r="FU729" s="27" t="s">
        <v>8</v>
      </c>
      <c r="FX729" s="27" t="s">
        <v>7</v>
      </c>
      <c r="FY729" s="27" t="s">
        <v>8</v>
      </c>
    </row>
    <row r="730" spans="1:181" x14ac:dyDescent="0.25">
      <c r="A730" s="7">
        <v>5.8908157329606609E-2</v>
      </c>
      <c r="B730"/>
      <c r="C730"/>
      <c r="D730"/>
      <c r="E730"/>
      <c r="F730" s="27" t="s">
        <v>7</v>
      </c>
      <c r="CM730" s="27" t="s">
        <v>8</v>
      </c>
      <c r="CS730" s="27" t="s">
        <v>8</v>
      </c>
      <c r="DV730" s="27" t="s">
        <v>7</v>
      </c>
      <c r="DW730" s="27" t="s">
        <v>8</v>
      </c>
      <c r="DX730" s="27" t="s">
        <v>7</v>
      </c>
      <c r="DY730" s="27" t="s">
        <v>8</v>
      </c>
      <c r="DZ730" s="27" t="s">
        <v>7</v>
      </c>
      <c r="EU730" s="27" t="s">
        <v>8</v>
      </c>
      <c r="EV730" s="27" t="s">
        <v>7</v>
      </c>
      <c r="FK730" s="27" t="s">
        <v>8</v>
      </c>
      <c r="FL730" s="27" t="s">
        <v>7</v>
      </c>
      <c r="FS730" s="27" t="s">
        <v>8</v>
      </c>
      <c r="FT730" s="27" t="s">
        <v>7</v>
      </c>
      <c r="FU730" s="27" t="s">
        <v>8</v>
      </c>
      <c r="FX730" s="27" t="s">
        <v>7</v>
      </c>
      <c r="FY730" s="27" t="s">
        <v>8</v>
      </c>
    </row>
    <row r="731" spans="1:181" x14ac:dyDescent="0.25">
      <c r="A731" s="7">
        <v>5.7753095421182947E-2</v>
      </c>
      <c r="B731"/>
      <c r="C731"/>
      <c r="D731"/>
      <c r="E731"/>
      <c r="F731" s="27" t="s">
        <v>7</v>
      </c>
      <c r="CM731" s="27" t="s">
        <v>8</v>
      </c>
      <c r="CN731" s="27" t="s">
        <v>7</v>
      </c>
      <c r="CO731" s="27" t="s">
        <v>8</v>
      </c>
      <c r="CS731" s="27" t="s">
        <v>8</v>
      </c>
      <c r="DV731" s="27" t="s">
        <v>7</v>
      </c>
      <c r="DW731" s="27" t="s">
        <v>8</v>
      </c>
      <c r="DX731" s="27" t="s">
        <v>7</v>
      </c>
      <c r="DY731" s="27" t="s">
        <v>8</v>
      </c>
      <c r="DZ731" s="27" t="s">
        <v>7</v>
      </c>
      <c r="EC731" s="27" t="s">
        <v>8</v>
      </c>
      <c r="EU731" s="27" t="s">
        <v>8</v>
      </c>
      <c r="EV731" s="27" t="s">
        <v>7</v>
      </c>
      <c r="FA731" s="27" t="s">
        <v>8</v>
      </c>
      <c r="FK731" s="27" t="s">
        <v>8</v>
      </c>
      <c r="FL731" s="27" t="s">
        <v>7</v>
      </c>
      <c r="FO731" s="27" t="s">
        <v>8</v>
      </c>
      <c r="FS731" s="27" t="s">
        <v>8</v>
      </c>
      <c r="FT731" s="27" t="s">
        <v>7</v>
      </c>
      <c r="FU731" s="27" t="s">
        <v>8</v>
      </c>
      <c r="FX731" s="27" t="s">
        <v>7</v>
      </c>
      <c r="FY731" s="27" t="s">
        <v>8</v>
      </c>
    </row>
    <row r="732" spans="1:181" x14ac:dyDescent="0.25">
      <c r="A732" s="7">
        <v>5.6620681785473484E-2</v>
      </c>
      <c r="B732"/>
      <c r="C732"/>
      <c r="D732"/>
      <c r="E732"/>
      <c r="F732" s="27" t="s">
        <v>7</v>
      </c>
      <c r="CM732" s="27" t="s">
        <v>8</v>
      </c>
      <c r="CN732" s="27" t="s">
        <v>7</v>
      </c>
      <c r="CO732" s="27" t="s">
        <v>8</v>
      </c>
      <c r="CP732" s="27" t="s">
        <v>7</v>
      </c>
      <c r="CS732" s="27" t="s">
        <v>8</v>
      </c>
      <c r="DV732" s="27" t="s">
        <v>7</v>
      </c>
      <c r="DW732" s="27" t="s">
        <v>8</v>
      </c>
      <c r="DX732" s="27" t="s">
        <v>7</v>
      </c>
      <c r="DY732" s="27" t="s">
        <v>8</v>
      </c>
      <c r="DZ732" s="27" t="s">
        <v>7</v>
      </c>
      <c r="EC732" s="27" t="s">
        <v>8</v>
      </c>
      <c r="ED732" s="27" t="s">
        <v>7</v>
      </c>
      <c r="EG732" s="27" t="s">
        <v>8</v>
      </c>
      <c r="ES732" s="27" t="s">
        <v>8</v>
      </c>
      <c r="EU732" s="27" t="s">
        <v>8</v>
      </c>
      <c r="EV732" s="27" t="s">
        <v>7</v>
      </c>
      <c r="FA732" s="27" t="s">
        <v>8</v>
      </c>
      <c r="FB732" s="27" t="s">
        <v>7</v>
      </c>
      <c r="FK732" s="27" t="s">
        <v>8</v>
      </c>
      <c r="FL732" s="27" t="s">
        <v>7</v>
      </c>
      <c r="FO732" s="27" t="s">
        <v>8</v>
      </c>
      <c r="FP732" s="27" t="s">
        <v>7</v>
      </c>
      <c r="FS732" s="27" t="s">
        <v>8</v>
      </c>
      <c r="FT732" s="27" t="s">
        <v>7</v>
      </c>
      <c r="FX732" s="27" t="s">
        <v>7</v>
      </c>
      <c r="FY732" s="27" t="s">
        <v>8</v>
      </c>
    </row>
    <row r="733" spans="1:181" x14ac:dyDescent="0.25">
      <c r="A733" s="7">
        <v>5.5510472338699497E-2</v>
      </c>
      <c r="B733"/>
      <c r="C733"/>
      <c r="D733"/>
      <c r="E733"/>
      <c r="F733" s="27" t="s">
        <v>7</v>
      </c>
      <c r="U733" s="27" t="s">
        <v>8</v>
      </c>
      <c r="CM733" s="27" t="s">
        <v>8</v>
      </c>
      <c r="CN733" s="27" t="s">
        <v>7</v>
      </c>
      <c r="CO733" s="27" t="s">
        <v>8</v>
      </c>
      <c r="CP733" s="27" t="s">
        <v>7</v>
      </c>
      <c r="CQ733" s="27" t="s">
        <v>8</v>
      </c>
      <c r="CS733" s="27" t="s">
        <v>8</v>
      </c>
      <c r="DV733" s="27" t="s">
        <v>7</v>
      </c>
      <c r="DW733" s="27" t="s">
        <v>8</v>
      </c>
      <c r="DX733" s="27" t="s">
        <v>7</v>
      </c>
      <c r="DY733" s="27" t="s">
        <v>8</v>
      </c>
      <c r="DZ733" s="27" t="s">
        <v>7</v>
      </c>
      <c r="EA733" s="27" t="s">
        <v>8</v>
      </c>
      <c r="EC733" s="27" t="s">
        <v>8</v>
      </c>
      <c r="ED733" s="27" t="s">
        <v>7</v>
      </c>
      <c r="EG733" s="27" t="s">
        <v>8</v>
      </c>
      <c r="EH733" s="27" t="s">
        <v>7</v>
      </c>
      <c r="ES733" s="27" t="s">
        <v>8</v>
      </c>
      <c r="ET733" s="27" t="s">
        <v>7</v>
      </c>
      <c r="EU733" s="27" t="s">
        <v>8</v>
      </c>
      <c r="EV733" s="27" t="s">
        <v>7</v>
      </c>
      <c r="FA733" s="27" t="s">
        <v>8</v>
      </c>
      <c r="FB733" s="27" t="s">
        <v>7</v>
      </c>
      <c r="FK733" s="27" t="s">
        <v>8</v>
      </c>
      <c r="FL733" s="27" t="s">
        <v>7</v>
      </c>
      <c r="FO733" s="27" t="s">
        <v>8</v>
      </c>
      <c r="FP733" s="27" t="s">
        <v>7</v>
      </c>
      <c r="FQ733" s="27" t="s">
        <v>8</v>
      </c>
      <c r="FS733" s="27" t="s">
        <v>8</v>
      </c>
      <c r="FX733" s="27" t="s">
        <v>7</v>
      </c>
      <c r="FY733" s="27" t="s">
        <v>8</v>
      </c>
    </row>
    <row r="734" spans="1:181" x14ac:dyDescent="0.25">
      <c r="A734" s="7">
        <v>5.4422031704607354E-2</v>
      </c>
      <c r="B734"/>
      <c r="C734"/>
      <c r="D734"/>
      <c r="E734"/>
      <c r="F734" s="27" t="s">
        <v>7</v>
      </c>
      <c r="U734" s="27" t="s">
        <v>8</v>
      </c>
      <c r="V734" s="27" t="s">
        <v>7</v>
      </c>
      <c r="CK734" s="27" t="s">
        <v>8</v>
      </c>
      <c r="CM734" s="27" t="s">
        <v>8</v>
      </c>
      <c r="CN734" s="27" t="s">
        <v>7</v>
      </c>
      <c r="CO734" s="27" t="s">
        <v>8</v>
      </c>
      <c r="CP734" s="27" t="s">
        <v>7</v>
      </c>
      <c r="CQ734" s="27" t="s">
        <v>8</v>
      </c>
      <c r="CR734" s="27" t="s">
        <v>7</v>
      </c>
      <c r="CS734" s="27" t="s">
        <v>8</v>
      </c>
      <c r="DV734" s="27" t="s">
        <v>7</v>
      </c>
      <c r="DW734" s="27" t="s">
        <v>8</v>
      </c>
      <c r="DX734" s="27" t="s">
        <v>7</v>
      </c>
      <c r="DZ734" s="27" t="s">
        <v>7</v>
      </c>
      <c r="EA734" s="27" t="s">
        <v>8</v>
      </c>
      <c r="EB734" s="27" t="s">
        <v>7</v>
      </c>
      <c r="EC734" s="27" t="s">
        <v>8</v>
      </c>
      <c r="ED734" s="27" t="s">
        <v>7</v>
      </c>
      <c r="EG734" s="27" t="s">
        <v>8</v>
      </c>
      <c r="EH734" s="27" t="s">
        <v>7</v>
      </c>
      <c r="ES734" s="27" t="s">
        <v>8</v>
      </c>
      <c r="ET734" s="27" t="s">
        <v>7</v>
      </c>
      <c r="EU734" s="27" t="s">
        <v>8</v>
      </c>
      <c r="EV734" s="27" t="s">
        <v>7</v>
      </c>
      <c r="FA734" s="27" t="s">
        <v>8</v>
      </c>
      <c r="FB734" s="27" t="s">
        <v>7</v>
      </c>
      <c r="FG734" s="27" t="s">
        <v>8</v>
      </c>
      <c r="FI734" s="27" t="s">
        <v>8</v>
      </c>
      <c r="FK734" s="27" t="s">
        <v>8</v>
      </c>
      <c r="FL734" s="27" t="s">
        <v>7</v>
      </c>
      <c r="FO734" s="27" t="s">
        <v>8</v>
      </c>
      <c r="FP734" s="27" t="s">
        <v>7</v>
      </c>
      <c r="FQ734" s="27" t="s">
        <v>8</v>
      </c>
      <c r="FR734" s="27" t="s">
        <v>7</v>
      </c>
      <c r="FS734" s="27" t="s">
        <v>8</v>
      </c>
      <c r="FX734" s="27" t="s">
        <v>7</v>
      </c>
      <c r="FY734" s="27" t="s">
        <v>8</v>
      </c>
    </row>
    <row r="735" spans="1:181" x14ac:dyDescent="0.25">
      <c r="A735" s="7">
        <v>5.3354933043732705E-2</v>
      </c>
      <c r="B735"/>
      <c r="C735"/>
      <c r="D735"/>
      <c r="E735"/>
      <c r="F735" s="27" t="s">
        <v>7</v>
      </c>
      <c r="U735" s="27" t="s">
        <v>8</v>
      </c>
      <c r="V735" s="27" t="s">
        <v>7</v>
      </c>
      <c r="CK735" s="27" t="s">
        <v>8</v>
      </c>
      <c r="CL735" s="27" t="s">
        <v>7</v>
      </c>
      <c r="CM735" s="27" t="s">
        <v>8</v>
      </c>
      <c r="CN735" s="27" t="s">
        <v>7</v>
      </c>
      <c r="CO735" s="27" t="s">
        <v>8</v>
      </c>
      <c r="CP735" s="27" t="s">
        <v>7</v>
      </c>
      <c r="CQ735" s="27" t="s">
        <v>8</v>
      </c>
      <c r="CR735" s="27" t="s">
        <v>7</v>
      </c>
      <c r="CS735" s="27" t="s">
        <v>8</v>
      </c>
      <c r="DV735" s="27" t="s">
        <v>7</v>
      </c>
      <c r="DW735" s="27" t="s">
        <v>8</v>
      </c>
      <c r="DZ735" s="27" t="s">
        <v>7</v>
      </c>
      <c r="EA735" s="27" t="s">
        <v>8</v>
      </c>
      <c r="EB735" s="27" t="s">
        <v>7</v>
      </c>
      <c r="EC735" s="27" t="s">
        <v>8</v>
      </c>
      <c r="ED735" s="27" t="s">
        <v>7</v>
      </c>
      <c r="EG735" s="27" t="s">
        <v>8</v>
      </c>
      <c r="EH735" s="27" t="s">
        <v>7</v>
      </c>
      <c r="ES735" s="27" t="s">
        <v>8</v>
      </c>
      <c r="ET735" s="27" t="s">
        <v>7</v>
      </c>
      <c r="EU735" s="27" t="s">
        <v>8</v>
      </c>
      <c r="EV735" s="27" t="s">
        <v>7</v>
      </c>
      <c r="EY735" s="27" t="s">
        <v>8</v>
      </c>
      <c r="FA735" s="27" t="s">
        <v>8</v>
      </c>
      <c r="FB735" s="27" t="s">
        <v>7</v>
      </c>
      <c r="FC735" s="27" t="s">
        <v>8</v>
      </c>
      <c r="FG735" s="27" t="s">
        <v>8</v>
      </c>
      <c r="FH735" s="27" t="s">
        <v>7</v>
      </c>
      <c r="FI735" s="27" t="s">
        <v>8</v>
      </c>
      <c r="FJ735" s="27" t="s">
        <v>7</v>
      </c>
      <c r="FK735" s="27" t="s">
        <v>8</v>
      </c>
      <c r="FL735" s="27" t="s">
        <v>7</v>
      </c>
      <c r="FO735" s="27" t="s">
        <v>8</v>
      </c>
      <c r="FP735" s="27" t="s">
        <v>7</v>
      </c>
      <c r="FQ735" s="27" t="s">
        <v>8</v>
      </c>
      <c r="FR735" s="27" t="s">
        <v>7</v>
      </c>
      <c r="FS735" s="27" t="s">
        <v>8</v>
      </c>
      <c r="FX735" s="27" t="s">
        <v>7</v>
      </c>
      <c r="FY735" s="27" t="s">
        <v>8</v>
      </c>
    </row>
    <row r="736" spans="1:181" x14ac:dyDescent="0.25">
      <c r="A736" s="7">
        <v>5.2308757886012455E-2</v>
      </c>
      <c r="B736"/>
      <c r="C736"/>
      <c r="D736"/>
      <c r="E736"/>
      <c r="F736" s="27" t="s">
        <v>7</v>
      </c>
      <c r="U736" s="27" t="s">
        <v>8</v>
      </c>
      <c r="V736" s="27" t="s">
        <v>7</v>
      </c>
      <c r="CK736" s="27" t="s">
        <v>8</v>
      </c>
      <c r="CL736" s="27" t="s">
        <v>7</v>
      </c>
      <c r="CM736" s="27" t="s">
        <v>8</v>
      </c>
      <c r="CN736" s="27" t="s">
        <v>7</v>
      </c>
      <c r="CO736" s="27" t="s">
        <v>8</v>
      </c>
      <c r="CP736" s="27" t="s">
        <v>7</v>
      </c>
      <c r="CQ736" s="27" t="s">
        <v>8</v>
      </c>
      <c r="CR736" s="27" t="s">
        <v>7</v>
      </c>
      <c r="CS736" s="27" t="s">
        <v>8</v>
      </c>
      <c r="DV736" s="27" t="s">
        <v>7</v>
      </c>
      <c r="DW736" s="27" t="s">
        <v>8</v>
      </c>
      <c r="DZ736" s="27" t="s">
        <v>7</v>
      </c>
      <c r="EA736" s="27" t="s">
        <v>8</v>
      </c>
      <c r="EB736" s="27" t="s">
        <v>7</v>
      </c>
      <c r="EC736" s="27" t="s">
        <v>8</v>
      </c>
      <c r="ED736" s="27" t="s">
        <v>7</v>
      </c>
      <c r="EE736" s="27" t="s">
        <v>8</v>
      </c>
      <c r="EG736" s="27" t="s">
        <v>8</v>
      </c>
      <c r="EH736" s="27" t="s">
        <v>7</v>
      </c>
      <c r="ES736" s="27" t="s">
        <v>8</v>
      </c>
      <c r="ET736" s="27" t="s">
        <v>7</v>
      </c>
      <c r="EU736" s="27" t="s">
        <v>8</v>
      </c>
      <c r="EV736" s="27" t="s">
        <v>7</v>
      </c>
      <c r="EY736" s="27" t="s">
        <v>8</v>
      </c>
      <c r="EZ736" s="27" t="s">
        <v>7</v>
      </c>
      <c r="FA736" s="27" t="s">
        <v>8</v>
      </c>
      <c r="FB736" s="27" t="s">
        <v>7</v>
      </c>
      <c r="FC736" s="27" t="s">
        <v>8</v>
      </c>
      <c r="FD736" s="27" t="s">
        <v>7</v>
      </c>
      <c r="FE736" s="27" t="s">
        <v>8</v>
      </c>
      <c r="FG736" s="27" t="s">
        <v>8</v>
      </c>
      <c r="FH736" s="27" t="s">
        <v>7</v>
      </c>
      <c r="FI736" s="27" t="s">
        <v>8</v>
      </c>
      <c r="FJ736" s="27" t="s">
        <v>7</v>
      </c>
      <c r="FK736" s="27" t="s">
        <v>8</v>
      </c>
      <c r="FL736" s="27" t="s">
        <v>7</v>
      </c>
      <c r="FM736" s="27" t="s">
        <v>8</v>
      </c>
      <c r="FO736" s="27" t="s">
        <v>8</v>
      </c>
      <c r="FP736" s="27" t="s">
        <v>7</v>
      </c>
      <c r="FQ736" s="27" t="s">
        <v>8</v>
      </c>
      <c r="FR736" s="27" t="s">
        <v>7</v>
      </c>
      <c r="FS736" s="27" t="s">
        <v>8</v>
      </c>
      <c r="FX736" s="27" t="s">
        <v>7</v>
      </c>
    </row>
    <row r="737" spans="1:175" x14ac:dyDescent="0.25">
      <c r="A737" s="7">
        <v>5.1283095966678877E-2</v>
      </c>
      <c r="B737"/>
      <c r="C737"/>
      <c r="D737"/>
      <c r="E737"/>
      <c r="F737" s="27" t="s">
        <v>7</v>
      </c>
      <c r="U737" s="27" t="s">
        <v>8</v>
      </c>
      <c r="V737" s="27" t="s">
        <v>7</v>
      </c>
      <c r="CK737" s="27" t="s">
        <v>8</v>
      </c>
      <c r="CL737" s="27" t="s">
        <v>7</v>
      </c>
      <c r="CM737" s="27" t="s">
        <v>8</v>
      </c>
      <c r="CN737" s="27" t="s">
        <v>7</v>
      </c>
      <c r="CO737" s="27" t="s">
        <v>8</v>
      </c>
      <c r="CP737" s="27" t="s">
        <v>7</v>
      </c>
      <c r="CQ737" s="27" t="s">
        <v>8</v>
      </c>
      <c r="CR737" s="27" t="s">
        <v>7</v>
      </c>
      <c r="CS737" s="27" t="s">
        <v>8</v>
      </c>
      <c r="DV737" s="27" t="s">
        <v>7</v>
      </c>
      <c r="DW737" s="27" t="s">
        <v>8</v>
      </c>
      <c r="DZ737" s="27" t="s">
        <v>7</v>
      </c>
      <c r="EA737" s="27" t="s">
        <v>8</v>
      </c>
      <c r="EB737" s="27" t="s">
        <v>7</v>
      </c>
      <c r="EC737" s="27" t="s">
        <v>8</v>
      </c>
      <c r="ED737" s="27" t="s">
        <v>7</v>
      </c>
      <c r="EE737" s="27" t="s">
        <v>8</v>
      </c>
      <c r="EF737" s="27" t="s">
        <v>7</v>
      </c>
      <c r="EG737" s="27" t="s">
        <v>8</v>
      </c>
      <c r="EH737" s="27" t="s">
        <v>7</v>
      </c>
      <c r="ES737" s="27" t="s">
        <v>8</v>
      </c>
      <c r="ET737" s="27" t="s">
        <v>7</v>
      </c>
      <c r="EV737" s="27" t="s">
        <v>7</v>
      </c>
      <c r="EW737" s="27" t="s">
        <v>8</v>
      </c>
      <c r="EY737" s="27" t="s">
        <v>8</v>
      </c>
      <c r="EZ737" s="27" t="s">
        <v>7</v>
      </c>
      <c r="FA737" s="27" t="s">
        <v>8</v>
      </c>
      <c r="FB737" s="27" t="s">
        <v>7</v>
      </c>
      <c r="FC737" s="27" t="s">
        <v>8</v>
      </c>
      <c r="FD737" s="27" t="s">
        <v>7</v>
      </c>
      <c r="FE737" s="27" t="s">
        <v>8</v>
      </c>
      <c r="FF737" s="27" t="s">
        <v>7</v>
      </c>
      <c r="FG737" s="27" t="s">
        <v>8</v>
      </c>
      <c r="FH737" s="27" t="s">
        <v>7</v>
      </c>
      <c r="FI737" s="27" t="s">
        <v>8</v>
      </c>
      <c r="FJ737" s="27" t="s">
        <v>7</v>
      </c>
      <c r="FL737" s="27" t="s">
        <v>7</v>
      </c>
      <c r="FM737" s="27" t="s">
        <v>8</v>
      </c>
      <c r="FN737" s="27" t="s">
        <v>7</v>
      </c>
      <c r="FO737" s="27" t="s">
        <v>8</v>
      </c>
      <c r="FP737" s="27" t="s">
        <v>7</v>
      </c>
      <c r="FQ737" s="27" t="s">
        <v>8</v>
      </c>
      <c r="FR737" s="27" t="s">
        <v>7</v>
      </c>
      <c r="FS737" s="27" t="s">
        <v>8</v>
      </c>
    </row>
    <row r="738" spans="1:175" x14ac:dyDescent="0.25">
      <c r="A738" s="7">
        <v>5.0277545065371444E-2</v>
      </c>
      <c r="B738"/>
      <c r="C738"/>
      <c r="D738"/>
      <c r="E738"/>
      <c r="F738" s="27" t="s">
        <v>7</v>
      </c>
      <c r="U738" s="27" t="s">
        <v>8</v>
      </c>
      <c r="V738" s="27" t="s">
        <v>7</v>
      </c>
      <c r="CK738" s="27" t="s">
        <v>8</v>
      </c>
      <c r="CL738" s="27" t="s">
        <v>7</v>
      </c>
      <c r="CM738" s="27" t="s">
        <v>8</v>
      </c>
      <c r="CN738" s="27" t="s">
        <v>7</v>
      </c>
      <c r="CO738" s="27" t="s">
        <v>8</v>
      </c>
      <c r="CP738" s="27" t="s">
        <v>7</v>
      </c>
      <c r="CQ738" s="27" t="s">
        <v>8</v>
      </c>
      <c r="CR738" s="27" t="s">
        <v>7</v>
      </c>
      <c r="CS738" s="27" t="s">
        <v>8</v>
      </c>
      <c r="DV738" s="27" t="s">
        <v>7</v>
      </c>
      <c r="DW738" s="27" t="s">
        <v>8</v>
      </c>
      <c r="DZ738" s="27" t="s">
        <v>7</v>
      </c>
      <c r="EA738" s="27" t="s">
        <v>8</v>
      </c>
      <c r="EB738" s="27" t="s">
        <v>7</v>
      </c>
      <c r="ED738" s="27" t="s">
        <v>7</v>
      </c>
      <c r="EE738" s="27" t="s">
        <v>8</v>
      </c>
      <c r="EF738" s="27" t="s">
        <v>7</v>
      </c>
      <c r="EG738" s="27" t="s">
        <v>8</v>
      </c>
      <c r="EH738" s="27" t="s">
        <v>7</v>
      </c>
      <c r="ES738" s="27" t="s">
        <v>8</v>
      </c>
      <c r="EV738" s="27" t="s">
        <v>7</v>
      </c>
      <c r="EW738" s="27" t="s">
        <v>8</v>
      </c>
      <c r="EX738" s="27" t="s">
        <v>7</v>
      </c>
      <c r="EY738" s="27" t="s">
        <v>8</v>
      </c>
      <c r="EZ738" s="27" t="s">
        <v>7</v>
      </c>
      <c r="FA738" s="27" t="s">
        <v>8</v>
      </c>
      <c r="FB738" s="27" t="s">
        <v>7</v>
      </c>
      <c r="FC738" s="27" t="s">
        <v>8</v>
      </c>
      <c r="FD738" s="27" t="s">
        <v>7</v>
      </c>
      <c r="FE738" s="27" t="s">
        <v>8</v>
      </c>
      <c r="FF738" s="27" t="s">
        <v>7</v>
      </c>
      <c r="FG738" s="27" t="s">
        <v>8</v>
      </c>
      <c r="FH738" s="27" t="s">
        <v>7</v>
      </c>
      <c r="FL738" s="27" t="s">
        <v>7</v>
      </c>
      <c r="FM738" s="27" t="s">
        <v>8</v>
      </c>
      <c r="FN738" s="27" t="s">
        <v>7</v>
      </c>
      <c r="FO738" s="27" t="s">
        <v>8</v>
      </c>
      <c r="FP738" s="27" t="s">
        <v>7</v>
      </c>
      <c r="FR738" s="27" t="s">
        <v>7</v>
      </c>
    </row>
    <row r="739" spans="1:175" x14ac:dyDescent="0.25">
      <c r="A739" s="7">
        <v>4.9291710848403378E-2</v>
      </c>
      <c r="B739"/>
      <c r="C739"/>
      <c r="D739"/>
      <c r="E739"/>
      <c r="F739" s="27" t="s">
        <v>7</v>
      </c>
      <c r="Q739" s="27" t="s">
        <v>8</v>
      </c>
      <c r="S739" s="27" t="s">
        <v>8</v>
      </c>
      <c r="U739" s="27" t="s">
        <v>8</v>
      </c>
      <c r="V739" s="27" t="s">
        <v>7</v>
      </c>
      <c r="CI739" s="27" t="s">
        <v>8</v>
      </c>
      <c r="CK739" s="27" t="s">
        <v>8</v>
      </c>
      <c r="CL739" s="27" t="s">
        <v>7</v>
      </c>
      <c r="CN739" s="27" t="s">
        <v>7</v>
      </c>
      <c r="CO739" s="27" t="s">
        <v>8</v>
      </c>
      <c r="CP739" s="27" t="s">
        <v>7</v>
      </c>
      <c r="CR739" s="27" t="s">
        <v>7</v>
      </c>
      <c r="DV739" s="27" t="s">
        <v>7</v>
      </c>
      <c r="DW739" s="27" t="s">
        <v>8</v>
      </c>
      <c r="DZ739" s="27" t="s">
        <v>7</v>
      </c>
      <c r="EA739" s="27" t="s">
        <v>8</v>
      </c>
      <c r="ED739" s="27" t="s">
        <v>7</v>
      </c>
      <c r="EE739" s="27" t="s">
        <v>8</v>
      </c>
      <c r="EF739" s="27" t="s">
        <v>7</v>
      </c>
      <c r="EG739" s="27" t="s">
        <v>8</v>
      </c>
      <c r="EH739" s="27" t="s">
        <v>7</v>
      </c>
      <c r="ES739" s="27" t="s">
        <v>8</v>
      </c>
      <c r="EV739" s="27" t="s">
        <v>7</v>
      </c>
      <c r="EW739" s="27" t="s">
        <v>8</v>
      </c>
      <c r="EX739" s="27" t="s">
        <v>7</v>
      </c>
      <c r="EY739" s="27" t="s">
        <v>8</v>
      </c>
      <c r="EZ739" s="27" t="s">
        <v>7</v>
      </c>
      <c r="FA739" s="27" t="s">
        <v>8</v>
      </c>
      <c r="FB739" s="27" t="s">
        <v>7</v>
      </c>
      <c r="FD739" s="27" t="s">
        <v>7</v>
      </c>
      <c r="FE739" s="27" t="s">
        <v>8</v>
      </c>
      <c r="FF739" s="27" t="s">
        <v>7</v>
      </c>
      <c r="FG739" s="27" t="s">
        <v>8</v>
      </c>
      <c r="FL739" s="27" t="s">
        <v>7</v>
      </c>
      <c r="FM739" s="27" t="s">
        <v>8</v>
      </c>
      <c r="FN739" s="27" t="s">
        <v>7</v>
      </c>
      <c r="FO739" s="27" t="s">
        <v>8</v>
      </c>
    </row>
    <row r="740" spans="1:175" x14ac:dyDescent="0.25">
      <c r="A740" s="7">
        <v>4.8325206714120959E-2</v>
      </c>
      <c r="B740"/>
      <c r="C740"/>
      <c r="D740"/>
      <c r="E740"/>
      <c r="F740" s="27" t="s">
        <v>7</v>
      </c>
      <c r="Q740" s="27" t="s">
        <v>8</v>
      </c>
      <c r="R740" s="27" t="s">
        <v>7</v>
      </c>
      <c r="S740" s="27" t="s">
        <v>8</v>
      </c>
      <c r="T740" s="27" t="s">
        <v>7</v>
      </c>
      <c r="U740" s="27" t="s">
        <v>8</v>
      </c>
      <c r="V740" s="27" t="s">
        <v>7</v>
      </c>
      <c r="CI740" s="27" t="s">
        <v>8</v>
      </c>
      <c r="CJ740" s="27" t="s">
        <v>7</v>
      </c>
      <c r="CK740" s="27" t="s">
        <v>8</v>
      </c>
      <c r="CN740" s="27" t="s">
        <v>7</v>
      </c>
      <c r="CO740" s="27" t="s">
        <v>8</v>
      </c>
      <c r="DV740" s="27" t="s">
        <v>7</v>
      </c>
      <c r="DW740" s="27" t="s">
        <v>8</v>
      </c>
      <c r="DZ740" s="27" t="s">
        <v>7</v>
      </c>
      <c r="EA740" s="27" t="s">
        <v>8</v>
      </c>
      <c r="ED740" s="27" t="s">
        <v>7</v>
      </c>
      <c r="EE740" s="27" t="s">
        <v>8</v>
      </c>
      <c r="EF740" s="27" t="s">
        <v>7</v>
      </c>
      <c r="EG740" s="27" t="s">
        <v>8</v>
      </c>
      <c r="EH740" s="27" t="s">
        <v>7</v>
      </c>
      <c r="EM740" s="27" t="s">
        <v>8</v>
      </c>
      <c r="EO740" s="27" t="s">
        <v>8</v>
      </c>
      <c r="EQ740" s="27" t="s">
        <v>8</v>
      </c>
      <c r="ES740" s="27" t="s">
        <v>8</v>
      </c>
      <c r="EV740" s="27" t="s">
        <v>7</v>
      </c>
      <c r="EW740" s="27" t="s">
        <v>8</v>
      </c>
      <c r="EX740" s="27" t="s">
        <v>7</v>
      </c>
      <c r="EZ740" s="27" t="s">
        <v>7</v>
      </c>
      <c r="FD740" s="27" t="s">
        <v>7</v>
      </c>
      <c r="FE740" s="27" t="s">
        <v>8</v>
      </c>
      <c r="FF740" s="27" t="s">
        <v>7</v>
      </c>
      <c r="FG740" s="27" t="s">
        <v>8</v>
      </c>
      <c r="FL740" s="27" t="s">
        <v>7</v>
      </c>
      <c r="FM740" s="27" t="s">
        <v>8</v>
      </c>
      <c r="FN740" s="27" t="s">
        <v>7</v>
      </c>
    </row>
    <row r="741" spans="1:175" x14ac:dyDescent="0.25">
      <c r="A741" s="7">
        <v>4.7377653641295057E-2</v>
      </c>
      <c r="B741"/>
      <c r="C741"/>
      <c r="D741"/>
      <c r="E741"/>
      <c r="F741" s="27" t="s">
        <v>7</v>
      </c>
      <c r="Q741" s="27" t="s">
        <v>8</v>
      </c>
      <c r="R741" s="27" t="s">
        <v>7</v>
      </c>
      <c r="S741" s="27" t="s">
        <v>8</v>
      </c>
      <c r="T741" s="27" t="s">
        <v>7</v>
      </c>
      <c r="U741" s="27" t="s">
        <v>8</v>
      </c>
      <c r="V741" s="27" t="s">
        <v>7</v>
      </c>
      <c r="W741" s="27" t="s">
        <v>8</v>
      </c>
      <c r="CI741" s="27" t="s">
        <v>8</v>
      </c>
      <c r="CJ741" s="27" t="s">
        <v>7</v>
      </c>
      <c r="CK741" s="27" t="s">
        <v>8</v>
      </c>
      <c r="CN741" s="27" t="s">
        <v>7</v>
      </c>
      <c r="CO741" s="27" t="s">
        <v>8</v>
      </c>
      <c r="DV741" s="27" t="s">
        <v>7</v>
      </c>
      <c r="DW741" s="27" t="s">
        <v>8</v>
      </c>
      <c r="DZ741" s="27" t="s">
        <v>7</v>
      </c>
      <c r="EA741" s="27" t="s">
        <v>8</v>
      </c>
      <c r="ED741" s="27" t="s">
        <v>7</v>
      </c>
      <c r="EE741" s="27" t="s">
        <v>8</v>
      </c>
      <c r="EF741" s="27" t="s">
        <v>7</v>
      </c>
      <c r="EG741" s="27" t="s">
        <v>8</v>
      </c>
      <c r="EH741" s="27" t="s">
        <v>7</v>
      </c>
      <c r="EI741" s="27" t="s">
        <v>8</v>
      </c>
      <c r="EM741" s="27" t="s">
        <v>8</v>
      </c>
      <c r="EN741" s="27" t="s">
        <v>7</v>
      </c>
      <c r="EO741" s="27" t="s">
        <v>8</v>
      </c>
      <c r="EP741" s="27" t="s">
        <v>7</v>
      </c>
      <c r="EQ741" s="27" t="s">
        <v>8</v>
      </c>
      <c r="ER741" s="27" t="s">
        <v>7</v>
      </c>
      <c r="ES741" s="27" t="s">
        <v>8</v>
      </c>
      <c r="EV741" s="27" t="s">
        <v>7</v>
      </c>
      <c r="EW741" s="27" t="s">
        <v>8</v>
      </c>
      <c r="FD741" s="27" t="s">
        <v>7</v>
      </c>
      <c r="FE741" s="27" t="s">
        <v>8</v>
      </c>
      <c r="FF741" s="27" t="s">
        <v>7</v>
      </c>
      <c r="FL741" s="27" t="s">
        <v>7</v>
      </c>
    </row>
    <row r="742" spans="1:175" x14ac:dyDescent="0.25">
      <c r="A742" s="7">
        <v>4.644868004048535E-2</v>
      </c>
      <c r="B742"/>
      <c r="C742"/>
      <c r="D742"/>
      <c r="E742"/>
      <c r="F742" s="27" t="s">
        <v>7</v>
      </c>
      <c r="Q742" s="27" t="s">
        <v>8</v>
      </c>
      <c r="R742" s="27" t="s">
        <v>7</v>
      </c>
      <c r="S742" s="27" t="s">
        <v>8</v>
      </c>
      <c r="T742" s="27" t="s">
        <v>7</v>
      </c>
      <c r="U742" s="27" t="s">
        <v>8</v>
      </c>
      <c r="V742" s="27" t="s">
        <v>7</v>
      </c>
      <c r="W742" s="27" t="s">
        <v>8</v>
      </c>
      <c r="X742" s="27" t="s">
        <v>7</v>
      </c>
      <c r="CI742" s="27" t="s">
        <v>8</v>
      </c>
      <c r="CJ742" s="27" t="s">
        <v>7</v>
      </c>
      <c r="CK742" s="27" t="s">
        <v>8</v>
      </c>
      <c r="CN742" s="27" t="s">
        <v>7</v>
      </c>
      <c r="DV742" s="27" t="s">
        <v>7</v>
      </c>
      <c r="DZ742" s="27" t="s">
        <v>7</v>
      </c>
      <c r="EA742" s="27" t="s">
        <v>8</v>
      </c>
      <c r="ED742" s="27" t="s">
        <v>7</v>
      </c>
      <c r="EE742" s="27" t="s">
        <v>8</v>
      </c>
      <c r="EF742" s="27" t="s">
        <v>7</v>
      </c>
      <c r="EG742" s="27" t="s">
        <v>8</v>
      </c>
      <c r="EH742" s="27" t="s">
        <v>7</v>
      </c>
      <c r="EI742" s="27" t="s">
        <v>8</v>
      </c>
      <c r="EJ742" s="27" t="s">
        <v>7</v>
      </c>
      <c r="EK742" s="27" t="s">
        <v>8</v>
      </c>
      <c r="EM742" s="27" t="s">
        <v>8</v>
      </c>
      <c r="EN742" s="27" t="s">
        <v>7</v>
      </c>
      <c r="EO742" s="27" t="s">
        <v>8</v>
      </c>
      <c r="EP742" s="27" t="s">
        <v>7</v>
      </c>
      <c r="EQ742" s="27" t="s">
        <v>8</v>
      </c>
      <c r="ER742" s="27" t="s">
        <v>7</v>
      </c>
      <c r="ES742" s="27" t="s">
        <v>8</v>
      </c>
      <c r="EV742" s="27" t="s">
        <v>7</v>
      </c>
      <c r="FD742" s="27" t="s">
        <v>7</v>
      </c>
      <c r="FE742" s="27" t="s">
        <v>8</v>
      </c>
    </row>
    <row r="743" spans="1:175" x14ac:dyDescent="0.25">
      <c r="A743" s="7">
        <v>4.5537921608318974E-2</v>
      </c>
      <c r="B743"/>
      <c r="C743"/>
      <c r="D743"/>
      <c r="E743"/>
      <c r="F743" s="27" t="s">
        <v>7</v>
      </c>
      <c r="Q743" s="27" t="s">
        <v>8</v>
      </c>
      <c r="R743" s="27" t="s">
        <v>7</v>
      </c>
      <c r="S743" s="27" t="s">
        <v>8</v>
      </c>
      <c r="T743" s="27" t="s">
        <v>7</v>
      </c>
      <c r="V743" s="27" t="s">
        <v>7</v>
      </c>
      <c r="W743" s="27" t="s">
        <v>8</v>
      </c>
      <c r="X743" s="27" t="s">
        <v>7</v>
      </c>
      <c r="CI743" s="27" t="s">
        <v>8</v>
      </c>
      <c r="CJ743" s="27" t="s">
        <v>7</v>
      </c>
      <c r="CK743" s="27" t="s">
        <v>8</v>
      </c>
      <c r="DZ743" s="27" t="s">
        <v>7</v>
      </c>
      <c r="EA743" s="27" t="s">
        <v>8</v>
      </c>
      <c r="ED743" s="27" t="s">
        <v>7</v>
      </c>
      <c r="EE743" s="27" t="s">
        <v>8</v>
      </c>
      <c r="EF743" s="27" t="s">
        <v>7</v>
      </c>
      <c r="EH743" s="27" t="s">
        <v>7</v>
      </c>
      <c r="EI743" s="27" t="s">
        <v>8</v>
      </c>
      <c r="EJ743" s="27" t="s">
        <v>7</v>
      </c>
      <c r="EK743" s="27" t="s">
        <v>8</v>
      </c>
      <c r="EL743" s="27" t="s">
        <v>7</v>
      </c>
      <c r="EM743" s="27" t="s">
        <v>8</v>
      </c>
      <c r="EN743" s="27" t="s">
        <v>7</v>
      </c>
      <c r="EO743" s="27" t="s">
        <v>8</v>
      </c>
      <c r="EP743" s="27" t="s">
        <v>7</v>
      </c>
      <c r="EQ743" s="27" t="s">
        <v>8</v>
      </c>
      <c r="ER743" s="27" t="s">
        <v>7</v>
      </c>
      <c r="ES743" s="27" t="s">
        <v>8</v>
      </c>
      <c r="FD743" s="27" t="s">
        <v>7</v>
      </c>
      <c r="FE743" s="27" t="s">
        <v>8</v>
      </c>
    </row>
    <row r="744" spans="1:175" x14ac:dyDescent="0.25">
      <c r="A744" s="7">
        <v>4.4645021184626446E-2</v>
      </c>
      <c r="B744"/>
      <c r="C744"/>
      <c r="D744"/>
      <c r="E744"/>
      <c r="F744" s="27" t="s">
        <v>7</v>
      </c>
      <c r="Q744" s="27" t="s">
        <v>8</v>
      </c>
      <c r="R744" s="27" t="s">
        <v>7</v>
      </c>
      <c r="S744" s="27" t="s">
        <v>8</v>
      </c>
      <c r="V744" s="27" t="s">
        <v>7</v>
      </c>
      <c r="W744" s="27" t="s">
        <v>8</v>
      </c>
      <c r="X744" s="27" t="s">
        <v>7</v>
      </c>
      <c r="CI744" s="27" t="s">
        <v>8</v>
      </c>
      <c r="CJ744" s="27" t="s">
        <v>7</v>
      </c>
      <c r="CK744" s="27" t="s">
        <v>8</v>
      </c>
      <c r="DZ744" s="27" t="s">
        <v>7</v>
      </c>
      <c r="EA744" s="27" t="s">
        <v>8</v>
      </c>
      <c r="ED744" s="27" t="s">
        <v>7</v>
      </c>
      <c r="EE744" s="27" t="s">
        <v>8</v>
      </c>
      <c r="EH744" s="27" t="s">
        <v>7</v>
      </c>
      <c r="EI744" s="27" t="s">
        <v>8</v>
      </c>
      <c r="EJ744" s="27" t="s">
        <v>7</v>
      </c>
      <c r="EK744" s="27" t="s">
        <v>8</v>
      </c>
      <c r="EL744" s="27" t="s">
        <v>7</v>
      </c>
      <c r="EM744" s="27" t="s">
        <v>8</v>
      </c>
      <c r="EN744" s="27" t="s">
        <v>7</v>
      </c>
      <c r="EO744" s="27" t="s">
        <v>8</v>
      </c>
      <c r="EP744" s="27" t="s">
        <v>7</v>
      </c>
      <c r="EQ744" s="27" t="s">
        <v>8</v>
      </c>
      <c r="ER744" s="27" t="s">
        <v>7</v>
      </c>
      <c r="ES744" s="27" t="s">
        <v>8</v>
      </c>
      <c r="FD744" s="27" t="s">
        <v>7</v>
      </c>
    </row>
    <row r="745" spans="1:175" x14ac:dyDescent="0.25">
      <c r="A745" s="7">
        <v>4.3769628612378868E-2</v>
      </c>
      <c r="B745"/>
      <c r="C745"/>
      <c r="D745"/>
      <c r="E745"/>
      <c r="F745" s="27" t="s">
        <v>7</v>
      </c>
      <c r="Q745" s="27" t="s">
        <v>8</v>
      </c>
      <c r="R745" s="27" t="s">
        <v>7</v>
      </c>
      <c r="V745" s="27" t="s">
        <v>7</v>
      </c>
      <c r="W745" s="27" t="s">
        <v>8</v>
      </c>
      <c r="X745" s="27" t="s">
        <v>7</v>
      </c>
      <c r="Y745" s="27" t="s">
        <v>8</v>
      </c>
      <c r="CI745" s="27" t="s">
        <v>8</v>
      </c>
      <c r="CJ745" s="27" t="s">
        <v>7</v>
      </c>
      <c r="CK745" s="27" t="s">
        <v>8</v>
      </c>
      <c r="DZ745" s="27" t="s">
        <v>7</v>
      </c>
      <c r="ED745" s="27" t="s">
        <v>7</v>
      </c>
      <c r="EH745" s="27" t="s">
        <v>7</v>
      </c>
      <c r="EJ745" s="27" t="s">
        <v>7</v>
      </c>
      <c r="EL745" s="27" t="s">
        <v>7</v>
      </c>
      <c r="EM745" s="27" t="s">
        <v>8</v>
      </c>
      <c r="EN745" s="27" t="s">
        <v>7</v>
      </c>
      <c r="EO745" s="27" t="s">
        <v>8</v>
      </c>
      <c r="EP745" s="27" t="s">
        <v>7</v>
      </c>
      <c r="EQ745" s="27" t="s">
        <v>8</v>
      </c>
      <c r="ER745" s="27" t="s">
        <v>7</v>
      </c>
      <c r="ES745" s="27" t="s">
        <v>8</v>
      </c>
    </row>
    <row r="746" spans="1:175" x14ac:dyDescent="0.25">
      <c r="A746" s="7">
        <v>4.2911400600371442E-2</v>
      </c>
      <c r="B746"/>
      <c r="C746"/>
      <c r="D746"/>
      <c r="E746"/>
      <c r="F746" s="27" t="s">
        <v>7</v>
      </c>
      <c r="Q746" s="27" t="s">
        <v>8</v>
      </c>
      <c r="V746" s="27" t="s">
        <v>7</v>
      </c>
      <c r="W746" s="27" t="s">
        <v>8</v>
      </c>
      <c r="X746" s="27" t="s">
        <v>7</v>
      </c>
      <c r="Y746" s="27" t="s">
        <v>8</v>
      </c>
      <c r="Z746" s="27" t="s">
        <v>7</v>
      </c>
      <c r="CI746" s="27" t="s">
        <v>8</v>
      </c>
      <c r="CJ746" s="27" t="s">
        <v>7</v>
      </c>
      <c r="EL746" s="27" t="s">
        <v>7</v>
      </c>
      <c r="EM746" s="27" t="s">
        <v>8</v>
      </c>
      <c r="EN746" s="27" t="s">
        <v>7</v>
      </c>
      <c r="EO746" s="27" t="s">
        <v>8</v>
      </c>
      <c r="EP746" s="27" t="s">
        <v>7</v>
      </c>
      <c r="EQ746" s="27" t="s">
        <v>8</v>
      </c>
      <c r="ER746" s="27" t="s">
        <v>7</v>
      </c>
      <c r="ES746" s="27" t="s">
        <v>8</v>
      </c>
    </row>
    <row r="747" spans="1:175" x14ac:dyDescent="0.25">
      <c r="A747" s="7">
        <v>4.2070000588599457E-2</v>
      </c>
      <c r="B747"/>
      <c r="C747"/>
      <c r="D747"/>
      <c r="E747"/>
      <c r="F747" s="27" t="s">
        <v>7</v>
      </c>
      <c r="G747" s="27" t="s">
        <v>8</v>
      </c>
      <c r="K747" s="27" t="s">
        <v>8</v>
      </c>
      <c r="Q747" s="27" t="s">
        <v>8</v>
      </c>
      <c r="V747" s="27" t="s">
        <v>7</v>
      </c>
      <c r="X747" s="27" t="s">
        <v>7</v>
      </c>
      <c r="Y747" s="27" t="s">
        <v>8</v>
      </c>
      <c r="Z747" s="27" t="s">
        <v>7</v>
      </c>
      <c r="CI747" s="27" t="s">
        <v>8</v>
      </c>
      <c r="EL747" s="27" t="s">
        <v>7</v>
      </c>
      <c r="EM747" s="27" t="s">
        <v>8</v>
      </c>
      <c r="EN747" s="27" t="s">
        <v>7</v>
      </c>
      <c r="EO747" s="27" t="s">
        <v>8</v>
      </c>
      <c r="EP747" s="27" t="s">
        <v>7</v>
      </c>
      <c r="EQ747" s="27" t="s">
        <v>8</v>
      </c>
      <c r="ER747" s="27" t="s">
        <v>7</v>
      </c>
      <c r="ES747" s="27" t="s">
        <v>8</v>
      </c>
    </row>
    <row r="748" spans="1:175" x14ac:dyDescent="0.25">
      <c r="A748" s="7">
        <v>4.1245098616273977E-2</v>
      </c>
      <c r="B748"/>
      <c r="C748"/>
      <c r="D748"/>
      <c r="E748"/>
      <c r="F748" s="27" t="s">
        <v>7</v>
      </c>
      <c r="G748" s="27" t="s">
        <v>8</v>
      </c>
      <c r="H748" s="27" t="s">
        <v>7</v>
      </c>
      <c r="I748" s="27" t="s">
        <v>8</v>
      </c>
      <c r="K748" s="27" t="s">
        <v>8</v>
      </c>
      <c r="L748" s="27" t="s">
        <v>7</v>
      </c>
      <c r="Q748" s="27" t="s">
        <v>8</v>
      </c>
      <c r="X748" s="27" t="s">
        <v>7</v>
      </c>
      <c r="Y748" s="27" t="s">
        <v>8</v>
      </c>
      <c r="Z748" s="27" t="s">
        <v>7</v>
      </c>
      <c r="CI748" s="27" t="s">
        <v>8</v>
      </c>
      <c r="EL748" s="27" t="s">
        <v>7</v>
      </c>
      <c r="EM748" s="27" t="s">
        <v>8</v>
      </c>
      <c r="EN748" s="27" t="s">
        <v>7</v>
      </c>
      <c r="EO748" s="27" t="s">
        <v>8</v>
      </c>
      <c r="EP748" s="27" t="s">
        <v>7</v>
      </c>
      <c r="ER748" s="27" t="s">
        <v>7</v>
      </c>
    </row>
    <row r="749" spans="1:175" x14ac:dyDescent="0.25">
      <c r="A749" s="7">
        <v>4.043637119242547E-2</v>
      </c>
      <c r="B749"/>
      <c r="C749"/>
      <c r="D749"/>
      <c r="E749"/>
      <c r="F749" s="27" t="s">
        <v>7</v>
      </c>
      <c r="G749" s="27" t="s">
        <v>8</v>
      </c>
      <c r="H749" s="27" t="s">
        <v>7</v>
      </c>
      <c r="I749" s="27" t="s">
        <v>8</v>
      </c>
      <c r="J749" s="27" t="s">
        <v>7</v>
      </c>
      <c r="K749" s="27" t="s">
        <v>8</v>
      </c>
      <c r="L749" s="27" t="s">
        <v>7</v>
      </c>
      <c r="O749" s="27" t="s">
        <v>8</v>
      </c>
      <c r="Q749" s="27" t="s">
        <v>8</v>
      </c>
      <c r="X749" s="27" t="s">
        <v>7</v>
      </c>
      <c r="Z749" s="27" t="s">
        <v>7</v>
      </c>
      <c r="CI749" s="27" t="s">
        <v>8</v>
      </c>
      <c r="EL749" s="27" t="s">
        <v>7</v>
      </c>
      <c r="EM749" s="27" t="s">
        <v>8</v>
      </c>
      <c r="EN749" s="27" t="s">
        <v>7</v>
      </c>
      <c r="EO749" s="27" t="s">
        <v>8</v>
      </c>
    </row>
    <row r="750" spans="1:175" x14ac:dyDescent="0.25">
      <c r="A750" s="7">
        <v>3.9643501169044582E-2</v>
      </c>
      <c r="B750"/>
      <c r="C750"/>
      <c r="D750"/>
      <c r="E750"/>
      <c r="F750" s="27" t="s">
        <v>7</v>
      </c>
      <c r="G750" s="27" t="s">
        <v>8</v>
      </c>
      <c r="H750" s="27" t="s">
        <v>7</v>
      </c>
      <c r="I750" s="27" t="s">
        <v>8</v>
      </c>
      <c r="J750" s="27" t="s">
        <v>7</v>
      </c>
      <c r="K750" s="27" t="s">
        <v>8</v>
      </c>
      <c r="L750" s="27" t="s">
        <v>7</v>
      </c>
      <c r="M750" s="27" t="s">
        <v>8</v>
      </c>
      <c r="O750" s="27" t="s">
        <v>8</v>
      </c>
      <c r="P750" s="27" t="s">
        <v>7</v>
      </c>
      <c r="Q750" s="27" t="s">
        <v>8</v>
      </c>
      <c r="Z750" s="27" t="s">
        <v>7</v>
      </c>
      <c r="CI750" s="27" t="s">
        <v>8</v>
      </c>
      <c r="EL750" s="27" t="s">
        <v>7</v>
      </c>
      <c r="EM750" s="27" t="s">
        <v>8</v>
      </c>
      <c r="EN750" s="27" t="s">
        <v>7</v>
      </c>
    </row>
    <row r="751" spans="1:175" x14ac:dyDescent="0.25">
      <c r="A751" s="7">
        <v>3.8866177616710372E-2</v>
      </c>
      <c r="B751"/>
      <c r="C751"/>
      <c r="D751"/>
      <c r="E751"/>
      <c r="F751" s="27" t="s">
        <v>7</v>
      </c>
      <c r="G751" s="27" t="s">
        <v>8</v>
      </c>
      <c r="H751" s="27" t="s">
        <v>7</v>
      </c>
      <c r="I751" s="27" t="s">
        <v>8</v>
      </c>
      <c r="J751" s="27" t="s">
        <v>7</v>
      </c>
      <c r="L751" s="27" t="s">
        <v>7</v>
      </c>
      <c r="M751" s="27" t="s">
        <v>8</v>
      </c>
      <c r="N751" s="27" t="s">
        <v>7</v>
      </c>
      <c r="O751" s="27" t="s">
        <v>8</v>
      </c>
      <c r="P751" s="27" t="s">
        <v>7</v>
      </c>
      <c r="Q751" s="27" t="s">
        <v>8</v>
      </c>
      <c r="Z751" s="27" t="s">
        <v>7</v>
      </c>
      <c r="CI751" s="27" t="s">
        <v>8</v>
      </c>
      <c r="EL751" s="27" t="s">
        <v>7</v>
      </c>
      <c r="EM751" s="27" t="s">
        <v>8</v>
      </c>
    </row>
    <row r="752" spans="1:175" x14ac:dyDescent="0.25">
      <c r="A752" s="7">
        <v>3.8104095702657229E-2</v>
      </c>
      <c r="B752"/>
      <c r="C752"/>
      <c r="D752"/>
      <c r="E752"/>
      <c r="F752" s="27" t="s">
        <v>7</v>
      </c>
      <c r="G752" s="27" t="s">
        <v>8</v>
      </c>
      <c r="H752" s="27" t="s">
        <v>7</v>
      </c>
      <c r="I752" s="27" t="s">
        <v>8</v>
      </c>
      <c r="L752" s="27" t="s">
        <v>7</v>
      </c>
      <c r="M752" s="27" t="s">
        <v>8</v>
      </c>
      <c r="N752" s="27" t="s">
        <v>7</v>
      </c>
      <c r="O752" s="27" t="s">
        <v>8</v>
      </c>
      <c r="P752" s="27" t="s">
        <v>7</v>
      </c>
      <c r="Q752" s="27" t="s">
        <v>8</v>
      </c>
      <c r="Z752" s="27" t="s">
        <v>7</v>
      </c>
      <c r="AE752" s="27" t="s">
        <v>8</v>
      </c>
      <c r="CI752" s="27" t="s">
        <v>8</v>
      </c>
      <c r="EL752" s="27" t="s">
        <v>7</v>
      </c>
      <c r="EM752" s="27" t="s">
        <v>8</v>
      </c>
    </row>
    <row r="753" spans="1:142" x14ac:dyDescent="0.25">
      <c r="A753" s="7">
        <v>3.7356956571232579E-2</v>
      </c>
      <c r="B753"/>
      <c r="C753"/>
      <c r="D753"/>
      <c r="E753"/>
      <c r="F753" s="27" t="s">
        <v>7</v>
      </c>
      <c r="G753" s="27" t="s">
        <v>8</v>
      </c>
      <c r="H753" s="27" t="s">
        <v>7</v>
      </c>
      <c r="I753" s="27" t="s">
        <v>8</v>
      </c>
      <c r="L753" s="27" t="s">
        <v>7</v>
      </c>
      <c r="M753" s="27" t="s">
        <v>8</v>
      </c>
      <c r="N753" s="27" t="s">
        <v>7</v>
      </c>
      <c r="P753" s="27" t="s">
        <v>7</v>
      </c>
      <c r="Q753" s="27" t="s">
        <v>8</v>
      </c>
      <c r="Z753" s="27" t="s">
        <v>7</v>
      </c>
      <c r="AE753" s="27" t="s">
        <v>8</v>
      </c>
      <c r="AF753" s="27" t="s">
        <v>7</v>
      </c>
      <c r="CI753" s="27" t="s">
        <v>8</v>
      </c>
      <c r="EL753" s="27" t="s">
        <v>7</v>
      </c>
    </row>
    <row r="754" spans="1:142" x14ac:dyDescent="0.25">
      <c r="A754" s="7">
        <v>3.6624467226698605E-2</v>
      </c>
      <c r="B754"/>
      <c r="C754"/>
      <c r="D754"/>
      <c r="E754"/>
      <c r="F754" s="27" t="s">
        <v>7</v>
      </c>
      <c r="G754" s="27" t="s">
        <v>8</v>
      </c>
      <c r="H754" s="27" t="s">
        <v>7</v>
      </c>
      <c r="I754" s="27" t="s">
        <v>8</v>
      </c>
      <c r="L754" s="27" t="s">
        <v>7</v>
      </c>
      <c r="P754" s="27" t="s">
        <v>7</v>
      </c>
      <c r="Z754" s="27" t="s">
        <v>7</v>
      </c>
      <c r="AE754" s="27" t="s">
        <v>8</v>
      </c>
      <c r="AF754" s="27" t="s">
        <v>7</v>
      </c>
      <c r="CG754" s="27" t="s">
        <v>8</v>
      </c>
      <c r="CI754" s="27" t="s">
        <v>8</v>
      </c>
    </row>
    <row r="755" spans="1:142" x14ac:dyDescent="0.25">
      <c r="A755" s="7">
        <v>3.5906340418331961E-2</v>
      </c>
      <c r="B755"/>
      <c r="C755"/>
      <c r="D755"/>
      <c r="E755"/>
      <c r="F755" s="27" t="s">
        <v>7</v>
      </c>
      <c r="H755" s="27" t="s">
        <v>7</v>
      </c>
      <c r="Z755" s="27" t="s">
        <v>7</v>
      </c>
      <c r="AE755" s="27" t="s">
        <v>8</v>
      </c>
      <c r="AF755" s="27" t="s">
        <v>7</v>
      </c>
      <c r="CG755" s="27" t="s">
        <v>8</v>
      </c>
      <c r="CH755" s="27" t="s">
        <v>7</v>
      </c>
      <c r="CI755" s="27" t="s">
        <v>8</v>
      </c>
    </row>
    <row r="756" spans="1:142" x14ac:dyDescent="0.25">
      <c r="A756" s="7">
        <v>3.5202294527776436E-2</v>
      </c>
      <c r="B756"/>
      <c r="C756"/>
      <c r="D756"/>
      <c r="E756"/>
      <c r="Z756" s="27" t="s">
        <v>7</v>
      </c>
      <c r="AE756" s="27" t="s">
        <v>8</v>
      </c>
      <c r="AF756" s="27" t="s">
        <v>7</v>
      </c>
      <c r="CG756" s="27" t="s">
        <v>8</v>
      </c>
      <c r="CH756" s="27" t="s">
        <v>7</v>
      </c>
      <c r="CI756" s="27" t="s">
        <v>8</v>
      </c>
    </row>
    <row r="757" spans="1:142" x14ac:dyDescent="0.25">
      <c r="A757" s="7">
        <v>3.451205345860435E-2</v>
      </c>
      <c r="B757"/>
      <c r="C757"/>
      <c r="D757"/>
      <c r="E757"/>
      <c r="Z757" s="27" t="s">
        <v>7</v>
      </c>
      <c r="AA757" s="27" t="s">
        <v>8</v>
      </c>
      <c r="AC757" s="27" t="s">
        <v>8</v>
      </c>
      <c r="AE757" s="27" t="s">
        <v>8</v>
      </c>
      <c r="AF757" s="27" t="s">
        <v>7</v>
      </c>
      <c r="CG757" s="27" t="s">
        <v>8</v>
      </c>
      <c r="CH757" s="27" t="s">
        <v>7</v>
      </c>
      <c r="CI757" s="27" t="s">
        <v>8</v>
      </c>
    </row>
    <row r="758" spans="1:142" x14ac:dyDescent="0.25">
      <c r="A758" s="7">
        <v>3.3835346528043479E-2</v>
      </c>
      <c r="B758"/>
      <c r="C758"/>
      <c r="D758"/>
      <c r="E758"/>
      <c r="Z758" s="27" t="s">
        <v>7</v>
      </c>
      <c r="AA758" s="27" t="s">
        <v>8</v>
      </c>
      <c r="AB758" s="27" t="s">
        <v>7</v>
      </c>
      <c r="AC758" s="27" t="s">
        <v>8</v>
      </c>
      <c r="AD758" s="27" t="s">
        <v>7</v>
      </c>
      <c r="AE758" s="27" t="s">
        <v>8</v>
      </c>
      <c r="AF758" s="27" t="s">
        <v>7</v>
      </c>
      <c r="CG758" s="27" t="s">
        <v>8</v>
      </c>
      <c r="CH758" s="27" t="s">
        <v>7</v>
      </c>
      <c r="CI758" s="27" t="s">
        <v>8</v>
      </c>
    </row>
    <row r="759" spans="1:142" x14ac:dyDescent="0.25">
      <c r="A759" s="7">
        <v>3.3171908360826938E-2</v>
      </c>
      <c r="B759"/>
      <c r="C759"/>
      <c r="D759"/>
      <c r="E759"/>
      <c r="Z759" s="27" t="s">
        <v>7</v>
      </c>
      <c r="AA759" s="27" t="s">
        <v>8</v>
      </c>
      <c r="AB759" s="27" t="s">
        <v>7</v>
      </c>
      <c r="AC759" s="27" t="s">
        <v>8</v>
      </c>
      <c r="AD759" s="27" t="s">
        <v>7</v>
      </c>
      <c r="AE759" s="27" t="s">
        <v>8</v>
      </c>
      <c r="AF759" s="27" t="s">
        <v>7</v>
      </c>
      <c r="CG759" s="27" t="s">
        <v>8</v>
      </c>
      <c r="CH759" s="27" t="s">
        <v>7</v>
      </c>
      <c r="CI759" s="27" t="s">
        <v>8</v>
      </c>
    </row>
    <row r="760" spans="1:142" x14ac:dyDescent="0.25">
      <c r="A760" s="7">
        <v>3.2521478785124451E-2</v>
      </c>
      <c r="B760"/>
      <c r="C760"/>
      <c r="D760"/>
      <c r="E760"/>
      <c r="Z760" s="27" t="s">
        <v>7</v>
      </c>
      <c r="AA760" s="27" t="s">
        <v>8</v>
      </c>
      <c r="AB760" s="27" t="s">
        <v>7</v>
      </c>
      <c r="AC760" s="27" t="s">
        <v>8</v>
      </c>
      <c r="AD760" s="27" t="s">
        <v>7</v>
      </c>
      <c r="AE760" s="27" t="s">
        <v>8</v>
      </c>
      <c r="AF760" s="27" t="s">
        <v>7</v>
      </c>
      <c r="CA760" s="27" t="s">
        <v>8</v>
      </c>
      <c r="CG760" s="27" t="s">
        <v>8</v>
      </c>
      <c r="CH760" s="27" t="s">
        <v>7</v>
      </c>
    </row>
    <row r="761" spans="1:142" x14ac:dyDescent="0.25">
      <c r="A761" s="7">
        <v>3.1883802730514173E-2</v>
      </c>
      <c r="B761"/>
      <c r="C761"/>
      <c r="D761"/>
      <c r="E761"/>
      <c r="Z761" s="27" t="s">
        <v>7</v>
      </c>
      <c r="AA761" s="27" t="s">
        <v>8</v>
      </c>
      <c r="AB761" s="27" t="s">
        <v>7</v>
      </c>
      <c r="AC761" s="27" t="s">
        <v>8</v>
      </c>
      <c r="AD761" s="27" t="s">
        <v>7</v>
      </c>
      <c r="AF761" s="27" t="s">
        <v>7</v>
      </c>
      <c r="CA761" s="27" t="s">
        <v>8</v>
      </c>
      <c r="CB761" s="27" t="s">
        <v>7</v>
      </c>
      <c r="CC761" s="27" t="s">
        <v>8</v>
      </c>
      <c r="CG761" s="27" t="s">
        <v>8</v>
      </c>
    </row>
    <row r="762" spans="1:142" x14ac:dyDescent="0.25">
      <c r="A762" s="7">
        <v>3.1258630127955073E-2</v>
      </c>
      <c r="B762"/>
      <c r="C762"/>
      <c r="D762"/>
      <c r="E762"/>
      <c r="Z762" s="27" t="s">
        <v>7</v>
      </c>
      <c r="AA762" s="27" t="s">
        <v>8</v>
      </c>
      <c r="AB762" s="27" t="s">
        <v>7</v>
      </c>
      <c r="AF762" s="27" t="s">
        <v>7</v>
      </c>
      <c r="CA762" s="27" t="s">
        <v>8</v>
      </c>
      <c r="CB762" s="27" t="s">
        <v>7</v>
      </c>
      <c r="CC762" s="27" t="s">
        <v>8</v>
      </c>
      <c r="CD762" s="27" t="s">
        <v>7</v>
      </c>
      <c r="CE762" s="27" t="s">
        <v>8</v>
      </c>
      <c r="CG762" s="27" t="s">
        <v>8</v>
      </c>
    </row>
    <row r="763" spans="1:142" x14ac:dyDescent="0.25">
      <c r="A763" s="7">
        <v>3.064571581172066E-2</v>
      </c>
      <c r="B763"/>
      <c r="C763"/>
      <c r="D763"/>
      <c r="E763"/>
      <c r="Z763" s="27" t="s">
        <v>7</v>
      </c>
      <c r="AF763" s="27" t="s">
        <v>7</v>
      </c>
      <c r="BW763" s="27" t="s">
        <v>8</v>
      </c>
      <c r="BY763" s="27" t="s">
        <v>8</v>
      </c>
      <c r="CA763" s="27" t="s">
        <v>8</v>
      </c>
      <c r="CB763" s="27" t="s">
        <v>7</v>
      </c>
      <c r="CC763" s="27" t="s">
        <v>8</v>
      </c>
      <c r="CD763" s="27" t="s">
        <v>7</v>
      </c>
      <c r="CE763" s="27" t="s">
        <v>8</v>
      </c>
      <c r="CF763" s="27" t="s">
        <v>7</v>
      </c>
      <c r="CG763" s="27" t="s">
        <v>8</v>
      </c>
    </row>
    <row r="764" spans="1:142" x14ac:dyDescent="0.25">
      <c r="A764" s="7">
        <v>3.0044819423255549E-2</v>
      </c>
      <c r="B764"/>
      <c r="C764"/>
      <c r="D764"/>
      <c r="E764"/>
      <c r="AF764" s="27" t="s">
        <v>7</v>
      </c>
      <c r="AG764" s="27" t="s">
        <v>8</v>
      </c>
      <c r="BW764" s="27" t="s">
        <v>8</v>
      </c>
      <c r="BX764" s="27" t="s">
        <v>7</v>
      </c>
      <c r="BY764" s="27" t="s">
        <v>8</v>
      </c>
      <c r="BZ764" s="27" t="s">
        <v>7</v>
      </c>
      <c r="CA764" s="27" t="s">
        <v>8</v>
      </c>
      <c r="CB764" s="27" t="s">
        <v>7</v>
      </c>
      <c r="CC764" s="27" t="s">
        <v>8</v>
      </c>
      <c r="CD764" s="27" t="s">
        <v>7</v>
      </c>
      <c r="CE764" s="27" t="s">
        <v>8</v>
      </c>
      <c r="CF764" s="27" t="s">
        <v>7</v>
      </c>
      <c r="CG764" s="27" t="s">
        <v>8</v>
      </c>
    </row>
    <row r="765" spans="1:142" x14ac:dyDescent="0.25">
      <c r="A765" s="7">
        <v>2.9455705316917203E-2</v>
      </c>
      <c r="B765"/>
      <c r="C765"/>
      <c r="D765"/>
      <c r="E765"/>
      <c r="AF765" s="27" t="s">
        <v>7</v>
      </c>
      <c r="AG765" s="27" t="s">
        <v>8</v>
      </c>
      <c r="AH765" s="27" t="s">
        <v>7</v>
      </c>
      <c r="BU765" s="27" t="s">
        <v>8</v>
      </c>
      <c r="BW765" s="27" t="s">
        <v>8</v>
      </c>
      <c r="BX765" s="27" t="s">
        <v>7</v>
      </c>
      <c r="BY765" s="27" t="s">
        <v>8</v>
      </c>
      <c r="BZ765" s="27" t="s">
        <v>7</v>
      </c>
      <c r="CA765" s="27" t="s">
        <v>8</v>
      </c>
      <c r="CB765" s="27" t="s">
        <v>7</v>
      </c>
      <c r="CD765" s="27" t="s">
        <v>7</v>
      </c>
      <c r="CE765" s="27" t="s">
        <v>8</v>
      </c>
      <c r="CF765" s="27" t="s">
        <v>7</v>
      </c>
      <c r="CG765" s="27" t="s">
        <v>8</v>
      </c>
    </row>
    <row r="766" spans="1:142" x14ac:dyDescent="0.25">
      <c r="A766" s="7">
        <v>2.8878142467565884E-2</v>
      </c>
      <c r="B766"/>
      <c r="C766"/>
      <c r="D766"/>
      <c r="E766"/>
      <c r="AF766" s="27" t="s">
        <v>7</v>
      </c>
      <c r="AG766" s="27" t="s">
        <v>8</v>
      </c>
      <c r="AH766" s="27" t="s">
        <v>7</v>
      </c>
      <c r="BU766" s="27" t="s">
        <v>8</v>
      </c>
      <c r="BV766" s="27" t="s">
        <v>7</v>
      </c>
      <c r="BW766" s="27" t="s">
        <v>8</v>
      </c>
      <c r="BX766" s="27" t="s">
        <v>7</v>
      </c>
      <c r="BY766" s="27" t="s">
        <v>8</v>
      </c>
      <c r="BZ766" s="27" t="s">
        <v>7</v>
      </c>
      <c r="CA766" s="27" t="s">
        <v>8</v>
      </c>
      <c r="CD766" s="27" t="s">
        <v>7</v>
      </c>
      <c r="CE766" s="27" t="s">
        <v>8</v>
      </c>
      <c r="CF766" s="27" t="s">
        <v>7</v>
      </c>
      <c r="CG766" s="27" t="s">
        <v>8</v>
      </c>
    </row>
    <row r="767" spans="1:142" x14ac:dyDescent="0.25">
      <c r="A767" s="7">
        <v>2.8311904379966554E-2</v>
      </c>
      <c r="B767"/>
      <c r="C767"/>
      <c r="D767"/>
      <c r="E767"/>
      <c r="AF767" s="27" t="s">
        <v>7</v>
      </c>
      <c r="AG767" s="27" t="s">
        <v>8</v>
      </c>
      <c r="AH767" s="27" t="s">
        <v>7</v>
      </c>
      <c r="BU767" s="27" t="s">
        <v>8</v>
      </c>
      <c r="BV767" s="27" t="s">
        <v>7</v>
      </c>
      <c r="BW767" s="27" t="s">
        <v>8</v>
      </c>
      <c r="BX767" s="27" t="s">
        <v>7</v>
      </c>
      <c r="BY767" s="27" t="s">
        <v>8</v>
      </c>
      <c r="BZ767" s="27" t="s">
        <v>7</v>
      </c>
      <c r="CA767" s="27" t="s">
        <v>8</v>
      </c>
      <c r="CD767" s="27" t="s">
        <v>7</v>
      </c>
      <c r="CE767" s="27" t="s">
        <v>8</v>
      </c>
      <c r="CF767" s="27" t="s">
        <v>7</v>
      </c>
      <c r="CG767" s="27" t="s">
        <v>8</v>
      </c>
    </row>
    <row r="768" spans="1:142" x14ac:dyDescent="0.25">
      <c r="A768" s="7">
        <v>2.7756768999967207E-2</v>
      </c>
      <c r="B768"/>
      <c r="C768"/>
      <c r="D768"/>
      <c r="E768"/>
      <c r="AF768" s="27" t="s">
        <v>7</v>
      </c>
      <c r="AG768" s="27" t="s">
        <v>8</v>
      </c>
      <c r="AH768" s="27" t="s">
        <v>7</v>
      </c>
      <c r="BU768" s="27" t="s">
        <v>8</v>
      </c>
      <c r="BV768" s="27" t="s">
        <v>7</v>
      </c>
      <c r="BW768" s="27" t="s">
        <v>8</v>
      </c>
      <c r="BX768" s="27" t="s">
        <v>7</v>
      </c>
      <c r="BY768" s="27" t="s">
        <v>8</v>
      </c>
      <c r="BZ768" s="27" t="s">
        <v>7</v>
      </c>
      <c r="CA768" s="27" t="s">
        <v>8</v>
      </c>
      <c r="CD768" s="27" t="s">
        <v>7</v>
      </c>
      <c r="CE768" s="27" t="s">
        <v>8</v>
      </c>
      <c r="CF768" s="27" t="s">
        <v>7</v>
      </c>
    </row>
    <row r="769" spans="1:83" x14ac:dyDescent="0.25">
      <c r="A769" s="7">
        <v>2.7212518627418834E-2</v>
      </c>
      <c r="B769"/>
      <c r="C769"/>
      <c r="D769"/>
      <c r="E769"/>
      <c r="AF769" s="27" t="s">
        <v>7</v>
      </c>
      <c r="AG769" s="27" t="s">
        <v>8</v>
      </c>
      <c r="AH769" s="27" t="s">
        <v>7</v>
      </c>
      <c r="BU769" s="27" t="s">
        <v>8</v>
      </c>
      <c r="BV769" s="27" t="s">
        <v>7</v>
      </c>
      <c r="BW769" s="27" t="s">
        <v>8</v>
      </c>
      <c r="BX769" s="27" t="s">
        <v>7</v>
      </c>
      <c r="BY769" s="27" t="s">
        <v>8</v>
      </c>
      <c r="BZ769" s="27" t="s">
        <v>7</v>
      </c>
      <c r="CA769" s="27" t="s">
        <v>8</v>
      </c>
      <c r="CD769" s="27" t="s">
        <v>7</v>
      </c>
      <c r="CE769" s="27" t="s">
        <v>8</v>
      </c>
    </row>
    <row r="770" spans="1:83" x14ac:dyDescent="0.25">
      <c r="A770" s="7">
        <v>2.6678939830802779E-2</v>
      </c>
      <c r="B770"/>
      <c r="C770"/>
      <c r="D770"/>
      <c r="E770"/>
      <c r="AF770" s="27" t="s">
        <v>7</v>
      </c>
      <c r="AH770" s="27" t="s">
        <v>7</v>
      </c>
      <c r="BU770" s="27" t="s">
        <v>8</v>
      </c>
      <c r="BV770" s="27" t="s">
        <v>7</v>
      </c>
      <c r="BW770" s="27" t="s">
        <v>8</v>
      </c>
      <c r="BX770" s="27" t="s">
        <v>7</v>
      </c>
      <c r="BY770" s="27" t="s">
        <v>8</v>
      </c>
      <c r="BZ770" s="27" t="s">
        <v>7</v>
      </c>
      <c r="CA770" s="27" t="s">
        <v>8</v>
      </c>
      <c r="CD770" s="27" t="s">
        <v>7</v>
      </c>
      <c r="CE770" s="27" t="s">
        <v>8</v>
      </c>
    </row>
    <row r="771" spans="1:83" x14ac:dyDescent="0.25">
      <c r="A771" s="7">
        <v>2.615582336353214E-2</v>
      </c>
      <c r="B771"/>
      <c r="C771"/>
      <c r="D771"/>
      <c r="E771"/>
      <c r="AH771" s="27" t="s">
        <v>7</v>
      </c>
      <c r="BU771" s="27" t="s">
        <v>8</v>
      </c>
      <c r="BV771" s="27" t="s">
        <v>7</v>
      </c>
      <c r="BX771" s="27" t="s">
        <v>7</v>
      </c>
      <c r="BZ771" s="27" t="s">
        <v>7</v>
      </c>
      <c r="CD771" s="27" t="s">
        <v>7</v>
      </c>
      <c r="CE771" s="27" t="s">
        <v>8</v>
      </c>
    </row>
    <row r="772" spans="1:83" x14ac:dyDescent="0.25">
      <c r="A772" s="7">
        <v>2.5642964081894253E-2</v>
      </c>
      <c r="B772"/>
      <c r="C772"/>
      <c r="D772"/>
      <c r="E772"/>
      <c r="AH772" s="27" t="s">
        <v>7</v>
      </c>
      <c r="BQ772" s="27" t="s">
        <v>8</v>
      </c>
      <c r="BU772" s="27" t="s">
        <v>8</v>
      </c>
      <c r="CD772" s="27" t="s">
        <v>7</v>
      </c>
      <c r="CE772" s="27" t="s">
        <v>8</v>
      </c>
    </row>
    <row r="773" spans="1:83" x14ac:dyDescent="0.25">
      <c r="A773" s="7">
        <v>2.5140160864602207E-2</v>
      </c>
      <c r="B773"/>
      <c r="C773"/>
      <c r="D773"/>
      <c r="E773"/>
      <c r="AH773" s="27" t="s">
        <v>7</v>
      </c>
      <c r="BQ773" s="27" t="s">
        <v>8</v>
      </c>
      <c r="BR773" s="27" t="s">
        <v>7</v>
      </c>
      <c r="BU773" s="27" t="s">
        <v>8</v>
      </c>
      <c r="CD773" s="27" t="s">
        <v>7</v>
      </c>
    </row>
    <row r="774" spans="1:83" x14ac:dyDescent="0.25">
      <c r="A774" s="7">
        <v>2.4647216533923735E-2</v>
      </c>
      <c r="B774"/>
      <c r="C774"/>
      <c r="D774"/>
      <c r="E774"/>
      <c r="AH774" s="27" t="s">
        <v>7</v>
      </c>
      <c r="BQ774" s="27" t="s">
        <v>8</v>
      </c>
      <c r="BR774" s="27" t="s">
        <v>7</v>
      </c>
      <c r="BU774" s="27" t="s">
        <v>8</v>
      </c>
    </row>
    <row r="775" spans="1:83" x14ac:dyDescent="0.25">
      <c r="A775" s="7">
        <v>2.4163937778356601E-2</v>
      </c>
      <c r="B775"/>
      <c r="C775"/>
      <c r="D775"/>
      <c r="E775"/>
      <c r="AH775" s="27" t="s">
        <v>7</v>
      </c>
      <c r="BQ775" s="27" t="s">
        <v>8</v>
      </c>
      <c r="BR775" s="27" t="s">
        <v>7</v>
      </c>
      <c r="BS775" s="27" t="s">
        <v>8</v>
      </c>
      <c r="BU775" s="27" t="s">
        <v>8</v>
      </c>
    </row>
    <row r="776" spans="1:83" x14ac:dyDescent="0.25">
      <c r="A776" s="7">
        <v>2.3690135076820197E-2</v>
      </c>
      <c r="B776"/>
      <c r="C776"/>
      <c r="D776"/>
      <c r="E776"/>
      <c r="AH776" s="27" t="s">
        <v>7</v>
      </c>
      <c r="BQ776" s="27" t="s">
        <v>8</v>
      </c>
      <c r="BR776" s="27" t="s">
        <v>7</v>
      </c>
      <c r="BS776" s="27" t="s">
        <v>8</v>
      </c>
      <c r="BT776" s="27" t="s">
        <v>7</v>
      </c>
      <c r="BU776" s="27" t="s">
        <v>8</v>
      </c>
    </row>
    <row r="777" spans="1:83" x14ac:dyDescent="0.25">
      <c r="A777" s="7">
        <v>2.3225622624333527E-2</v>
      </c>
      <c r="B777"/>
      <c r="C777"/>
      <c r="D777"/>
      <c r="E777"/>
      <c r="AH777" s="27" t="s">
        <v>7</v>
      </c>
      <c r="BQ777" s="27" t="s">
        <v>8</v>
      </c>
      <c r="BR777" s="27" t="s">
        <v>7</v>
      </c>
      <c r="BS777" s="27" t="s">
        <v>8</v>
      </c>
      <c r="BT777" s="27" t="s">
        <v>7</v>
      </c>
      <c r="BU777" s="27" t="s">
        <v>8</v>
      </c>
    </row>
    <row r="778" spans="1:83" x14ac:dyDescent="0.25">
      <c r="A778" s="7">
        <v>2.2770218259150519E-2</v>
      </c>
      <c r="B778"/>
      <c r="C778"/>
      <c r="D778"/>
      <c r="E778"/>
      <c r="AH778" s="27" t="s">
        <v>7</v>
      </c>
      <c r="BQ778" s="27" t="s">
        <v>8</v>
      </c>
      <c r="BR778" s="27" t="s">
        <v>7</v>
      </c>
      <c r="BS778" s="27" t="s">
        <v>8</v>
      </c>
      <c r="BT778" s="27" t="s">
        <v>7</v>
      </c>
      <c r="BU778" s="27" t="s">
        <v>8</v>
      </c>
    </row>
    <row r="779" spans="1:83" x14ac:dyDescent="0.25">
      <c r="A779" s="7">
        <v>2.2323743391324039E-2</v>
      </c>
      <c r="B779"/>
      <c r="C779"/>
      <c r="D779"/>
      <c r="E779"/>
      <c r="AH779" s="27" t="s">
        <v>7</v>
      </c>
      <c r="BE779" s="27" t="s">
        <v>8</v>
      </c>
      <c r="BM779" s="27" t="s">
        <v>8</v>
      </c>
      <c r="BQ779" s="27" t="s">
        <v>8</v>
      </c>
      <c r="BR779" s="27" t="s">
        <v>7</v>
      </c>
      <c r="BS779" s="27" t="s">
        <v>8</v>
      </c>
      <c r="BT779" s="27" t="s">
        <v>7</v>
      </c>
      <c r="BU779" s="27" t="s">
        <v>8</v>
      </c>
    </row>
    <row r="780" spans="1:83" x14ac:dyDescent="0.25">
      <c r="A780" s="7">
        <v>2.188602293267063E-2</v>
      </c>
      <c r="B780"/>
      <c r="C780"/>
      <c r="D780"/>
      <c r="E780"/>
      <c r="AH780" s="27" t="s">
        <v>7</v>
      </c>
      <c r="BE780" s="27" t="s">
        <v>8</v>
      </c>
      <c r="BF780" s="27" t="s">
        <v>7</v>
      </c>
      <c r="BM780" s="27" t="s">
        <v>8</v>
      </c>
      <c r="BN780" s="27" t="s">
        <v>7</v>
      </c>
      <c r="BQ780" s="27" t="s">
        <v>8</v>
      </c>
      <c r="BR780" s="27" t="s">
        <v>7</v>
      </c>
      <c r="BS780" s="27" t="s">
        <v>8</v>
      </c>
      <c r="BT780" s="27" t="s">
        <v>7</v>
      </c>
      <c r="BU780" s="27" t="s">
        <v>8</v>
      </c>
    </row>
    <row r="781" spans="1:83" x14ac:dyDescent="0.25">
      <c r="A781" s="7">
        <v>2.1456885228108461E-2</v>
      </c>
      <c r="B781"/>
      <c r="C781"/>
      <c r="D781"/>
      <c r="E781"/>
      <c r="AH781" s="27" t="s">
        <v>7</v>
      </c>
      <c r="BC781" s="27" t="s">
        <v>8</v>
      </c>
      <c r="BE781" s="27" t="s">
        <v>8</v>
      </c>
      <c r="BF781" s="27" t="s">
        <v>7</v>
      </c>
      <c r="BM781" s="27" t="s">
        <v>8</v>
      </c>
      <c r="BN781" s="27" t="s">
        <v>7</v>
      </c>
      <c r="BQ781" s="27" t="s">
        <v>8</v>
      </c>
      <c r="BR781" s="27" t="s">
        <v>7</v>
      </c>
      <c r="BS781" s="27" t="s">
        <v>8</v>
      </c>
      <c r="BT781" s="27" t="s">
        <v>7</v>
      </c>
      <c r="BU781" s="27" t="s">
        <v>8</v>
      </c>
    </row>
    <row r="782" spans="1:83" x14ac:dyDescent="0.25">
      <c r="A782" s="7">
        <v>2.1036161988341632E-2</v>
      </c>
      <c r="B782"/>
      <c r="C782"/>
      <c r="D782"/>
      <c r="E782"/>
      <c r="AH782" s="27" t="s">
        <v>7</v>
      </c>
      <c r="BC782" s="27" t="s">
        <v>8</v>
      </c>
      <c r="BD782" s="27" t="s">
        <v>7</v>
      </c>
      <c r="BE782" s="27" t="s">
        <v>8</v>
      </c>
      <c r="BF782" s="27" t="s">
        <v>7</v>
      </c>
      <c r="BM782" s="27" t="s">
        <v>8</v>
      </c>
      <c r="BN782" s="27" t="s">
        <v>7</v>
      </c>
      <c r="BQ782" s="27" t="s">
        <v>8</v>
      </c>
      <c r="BR782" s="27" t="s">
        <v>7</v>
      </c>
      <c r="BT782" s="27" t="s">
        <v>7</v>
      </c>
    </row>
    <row r="783" spans="1:83" x14ac:dyDescent="0.25">
      <c r="A783" s="7">
        <v>2.0623688223864345E-2</v>
      </c>
      <c r="B783"/>
      <c r="C783"/>
      <c r="D783"/>
      <c r="E783"/>
      <c r="AH783" s="27" t="s">
        <v>7</v>
      </c>
      <c r="BA783" s="27" t="s">
        <v>8</v>
      </c>
      <c r="BC783" s="27" t="s">
        <v>8</v>
      </c>
      <c r="BD783" s="27" t="s">
        <v>7</v>
      </c>
      <c r="BE783" s="27" t="s">
        <v>8</v>
      </c>
      <c r="BF783" s="27" t="s">
        <v>7</v>
      </c>
      <c r="BM783" s="27" t="s">
        <v>8</v>
      </c>
      <c r="BN783" s="27" t="s">
        <v>7</v>
      </c>
      <c r="BO783" s="27" t="s">
        <v>8</v>
      </c>
      <c r="BQ783" s="27" t="s">
        <v>8</v>
      </c>
    </row>
    <row r="784" spans="1:83" x14ac:dyDescent="0.25">
      <c r="A784" s="7">
        <v>2.021930218025916E-2</v>
      </c>
      <c r="B784"/>
      <c r="C784"/>
      <c r="D784"/>
      <c r="E784"/>
      <c r="AH784" s="27" t="s">
        <v>7</v>
      </c>
      <c r="BA784" s="27" t="s">
        <v>8</v>
      </c>
      <c r="BB784" s="27" t="s">
        <v>7</v>
      </c>
      <c r="BC784" s="27" t="s">
        <v>8</v>
      </c>
      <c r="BD784" s="27" t="s">
        <v>7</v>
      </c>
      <c r="BE784" s="27" t="s">
        <v>8</v>
      </c>
      <c r="BF784" s="27" t="s">
        <v>7</v>
      </c>
      <c r="BM784" s="27" t="s">
        <v>8</v>
      </c>
      <c r="BN784" s="27" t="s">
        <v>7</v>
      </c>
      <c r="BO784" s="27" t="s">
        <v>8</v>
      </c>
      <c r="BP784" s="27" t="s">
        <v>7</v>
      </c>
      <c r="BQ784" s="27" t="s">
        <v>8</v>
      </c>
    </row>
    <row r="785" spans="1:69" x14ac:dyDescent="0.25">
      <c r="A785" s="7">
        <v>1.9822845274763884E-2</v>
      </c>
      <c r="B785"/>
      <c r="C785"/>
      <c r="D785"/>
      <c r="E785"/>
      <c r="AH785" s="27" t="s">
        <v>7</v>
      </c>
      <c r="BA785" s="27" t="s">
        <v>8</v>
      </c>
      <c r="BB785" s="27" t="s">
        <v>7</v>
      </c>
      <c r="BC785" s="27" t="s">
        <v>8</v>
      </c>
      <c r="BD785" s="27" t="s">
        <v>7</v>
      </c>
      <c r="BF785" s="27" t="s">
        <v>7</v>
      </c>
      <c r="BG785" s="27" t="s">
        <v>8</v>
      </c>
      <c r="BM785" s="27" t="s">
        <v>8</v>
      </c>
      <c r="BN785" s="27" t="s">
        <v>7</v>
      </c>
      <c r="BO785" s="27" t="s">
        <v>8</v>
      </c>
      <c r="BP785" s="27" t="s">
        <v>7</v>
      </c>
      <c r="BQ785" s="27" t="s">
        <v>8</v>
      </c>
    </row>
    <row r="786" spans="1:69" x14ac:dyDescent="0.25">
      <c r="A786" s="7">
        <v>1.9434162034082238E-2</v>
      </c>
      <c r="B786"/>
      <c r="C786"/>
      <c r="D786"/>
      <c r="E786"/>
      <c r="AH786" s="27" t="s">
        <v>7</v>
      </c>
      <c r="BA786" s="27" t="s">
        <v>8</v>
      </c>
      <c r="BB786" s="27" t="s">
        <v>7</v>
      </c>
      <c r="BC786" s="27" t="s">
        <v>8</v>
      </c>
      <c r="BF786" s="27" t="s">
        <v>7</v>
      </c>
      <c r="BG786" s="27" t="s">
        <v>8</v>
      </c>
      <c r="BH786" s="27" t="s">
        <v>7</v>
      </c>
      <c r="BI786" s="27" t="s">
        <v>8</v>
      </c>
      <c r="BM786" s="27" t="s">
        <v>8</v>
      </c>
      <c r="BN786" s="27" t="s">
        <v>7</v>
      </c>
      <c r="BO786" s="27" t="s">
        <v>8</v>
      </c>
      <c r="BP786" s="27" t="s">
        <v>7</v>
      </c>
      <c r="BQ786" s="27" t="s">
        <v>8</v>
      </c>
    </row>
    <row r="787" spans="1:69" x14ac:dyDescent="0.25">
      <c r="A787" s="7">
        <v>1.9053100033413959E-2</v>
      </c>
      <c r="B787"/>
      <c r="C787"/>
      <c r="D787"/>
      <c r="E787"/>
      <c r="AH787" s="27" t="s">
        <v>7</v>
      </c>
      <c r="BA787" s="27" t="s">
        <v>8</v>
      </c>
      <c r="BB787" s="27" t="s">
        <v>7</v>
      </c>
      <c r="BC787" s="27" t="s">
        <v>8</v>
      </c>
      <c r="BF787" s="27" t="s">
        <v>7</v>
      </c>
      <c r="BG787" s="27" t="s">
        <v>8</v>
      </c>
      <c r="BH787" s="27" t="s">
        <v>7</v>
      </c>
      <c r="BI787" s="27" t="s">
        <v>8</v>
      </c>
      <c r="BJ787" s="27" t="s">
        <v>7</v>
      </c>
      <c r="BM787" s="27" t="s">
        <v>8</v>
      </c>
      <c r="BN787" s="27" t="s">
        <v>7</v>
      </c>
      <c r="BO787" s="27" t="s">
        <v>8</v>
      </c>
      <c r="BP787" s="27" t="s">
        <v>7</v>
      </c>
    </row>
    <row r="788" spans="1:69" x14ac:dyDescent="0.25">
      <c r="A788" s="7">
        <v>1.867950983668035E-2</v>
      </c>
      <c r="B788"/>
      <c r="C788"/>
      <c r="D788"/>
      <c r="E788"/>
      <c r="AH788" s="27" t="s">
        <v>7</v>
      </c>
      <c r="BA788" s="27" t="s">
        <v>8</v>
      </c>
      <c r="BB788" s="27" t="s">
        <v>7</v>
      </c>
      <c r="BC788" s="27" t="s">
        <v>8</v>
      </c>
      <c r="BF788" s="27" t="s">
        <v>7</v>
      </c>
      <c r="BG788" s="27" t="s">
        <v>8</v>
      </c>
      <c r="BH788" s="27" t="s">
        <v>7</v>
      </c>
      <c r="BI788" s="27" t="s">
        <v>8</v>
      </c>
      <c r="BJ788" s="27" t="s">
        <v>7</v>
      </c>
      <c r="BM788" s="27" t="s">
        <v>8</v>
      </c>
      <c r="BN788" s="27" t="s">
        <v>7</v>
      </c>
      <c r="BO788" s="27" t="s">
        <v>8</v>
      </c>
    </row>
    <row r="789" spans="1:69" x14ac:dyDescent="0.25">
      <c r="A789" s="7">
        <v>1.8313244937921913E-2</v>
      </c>
      <c r="B789"/>
      <c r="C789"/>
      <c r="D789"/>
      <c r="E789"/>
      <c r="AH789" s="27" t="s">
        <v>7</v>
      </c>
      <c r="BA789" s="27" t="s">
        <v>8</v>
      </c>
      <c r="BB789" s="27" t="s">
        <v>7</v>
      </c>
      <c r="BC789" s="27" t="s">
        <v>8</v>
      </c>
      <c r="BF789" s="27" t="s">
        <v>7</v>
      </c>
      <c r="BH789" s="27" t="s">
        <v>7</v>
      </c>
      <c r="BI789" s="27" t="s">
        <v>8</v>
      </c>
      <c r="BJ789" s="27" t="s">
        <v>7</v>
      </c>
      <c r="BM789" s="27" t="s">
        <v>8</v>
      </c>
      <c r="BN789" s="27" t="s">
        <v>7</v>
      </c>
    </row>
    <row r="790" spans="1:69" x14ac:dyDescent="0.25">
      <c r="A790" s="7">
        <v>1.7954161703845013E-2</v>
      </c>
      <c r="B790"/>
      <c r="C790"/>
      <c r="D790"/>
      <c r="E790"/>
      <c r="AH790" s="27" t="s">
        <v>7</v>
      </c>
      <c r="BA790" s="27" t="s">
        <v>8</v>
      </c>
      <c r="BB790" s="27" t="s">
        <v>7</v>
      </c>
      <c r="BH790" s="27" t="s">
        <v>7</v>
      </c>
      <c r="BI790" s="27" t="s">
        <v>8</v>
      </c>
      <c r="BJ790" s="27" t="s">
        <v>7</v>
      </c>
      <c r="BK790" s="27" t="s">
        <v>8</v>
      </c>
      <c r="BM790" s="27" t="s">
        <v>8</v>
      </c>
    </row>
    <row r="791" spans="1:69" x14ac:dyDescent="0.25">
      <c r="A791" s="7">
        <v>1.7602119317495109E-2</v>
      </c>
      <c r="B791"/>
      <c r="C791"/>
      <c r="D791"/>
      <c r="E791"/>
      <c r="AH791" s="27" t="s">
        <v>7</v>
      </c>
      <c r="BA791" s="27" t="s">
        <v>8</v>
      </c>
      <c r="BH791" s="27" t="s">
        <v>7</v>
      </c>
      <c r="BJ791" s="27" t="s">
        <v>7</v>
      </c>
      <c r="BK791" s="27" t="s">
        <v>8</v>
      </c>
      <c r="BL791" s="27" t="s">
        <v>7</v>
      </c>
      <c r="BM791" s="27" t="s">
        <v>8</v>
      </c>
    </row>
    <row r="792" spans="1:69" x14ac:dyDescent="0.25">
      <c r="A792" s="7">
        <v>1.7256979723034419E-2</v>
      </c>
      <c r="B792"/>
      <c r="C792"/>
      <c r="D792"/>
      <c r="E792"/>
      <c r="AH792" s="27" t="s">
        <v>7</v>
      </c>
      <c r="AS792" s="27" t="s">
        <v>8</v>
      </c>
      <c r="BA792" s="27" t="s">
        <v>8</v>
      </c>
      <c r="BJ792" s="27" t="s">
        <v>7</v>
      </c>
      <c r="BK792" s="27" t="s">
        <v>8</v>
      </c>
      <c r="BL792" s="27" t="s">
        <v>7</v>
      </c>
      <c r="BM792" s="27" t="s">
        <v>8</v>
      </c>
    </row>
    <row r="793" spans="1:69" x14ac:dyDescent="0.25">
      <c r="A793" s="7">
        <v>1.6918607571602372E-2</v>
      </c>
      <c r="B793"/>
      <c r="C793"/>
      <c r="D793"/>
      <c r="E793"/>
      <c r="AH793" s="27" t="s">
        <v>7</v>
      </c>
      <c r="AS793" s="27" t="s">
        <v>8</v>
      </c>
      <c r="AT793" s="27" t="s">
        <v>7</v>
      </c>
      <c r="BA793" s="27" t="s">
        <v>8</v>
      </c>
      <c r="BJ793" s="27" t="s">
        <v>7</v>
      </c>
      <c r="BK793" s="27" t="s">
        <v>8</v>
      </c>
      <c r="BL793" s="27" t="s">
        <v>7</v>
      </c>
    </row>
    <row r="794" spans="1:69" x14ac:dyDescent="0.25">
      <c r="A794" s="7">
        <v>1.6586870168237622E-2</v>
      </c>
      <c r="B794"/>
      <c r="C794"/>
      <c r="D794"/>
      <c r="E794"/>
      <c r="AH794" s="27" t="s">
        <v>7</v>
      </c>
      <c r="AS794" s="27" t="s">
        <v>8</v>
      </c>
      <c r="AT794" s="27" t="s">
        <v>7</v>
      </c>
      <c r="BA794" s="27" t="s">
        <v>8</v>
      </c>
      <c r="BJ794" s="27" t="s">
        <v>7</v>
      </c>
      <c r="BK794" s="27" t="s">
        <v>8</v>
      </c>
    </row>
    <row r="795" spans="1:69" x14ac:dyDescent="0.25">
      <c r="A795" s="7">
        <v>1.6261637419840807E-2</v>
      </c>
      <c r="B795"/>
      <c r="C795"/>
      <c r="D795"/>
      <c r="E795"/>
      <c r="AH795" s="27" t="s">
        <v>7</v>
      </c>
      <c r="AQ795" s="27" t="s">
        <v>8</v>
      </c>
      <c r="AS795" s="27" t="s">
        <v>8</v>
      </c>
      <c r="AT795" s="27" t="s">
        <v>7</v>
      </c>
      <c r="BA795" s="27" t="s">
        <v>8</v>
      </c>
      <c r="BJ795" s="27" t="s">
        <v>7</v>
      </c>
      <c r="BK795" s="27" t="s">
        <v>8</v>
      </c>
    </row>
    <row r="796" spans="1:69" x14ac:dyDescent="0.25">
      <c r="A796" s="7">
        <v>1.5942781784157655E-2</v>
      </c>
      <c r="B796"/>
      <c r="C796"/>
      <c r="D796"/>
      <c r="E796"/>
      <c r="AH796" s="27" t="s">
        <v>7</v>
      </c>
      <c r="AQ796" s="27" t="s">
        <v>8</v>
      </c>
      <c r="AR796" s="27" t="s">
        <v>7</v>
      </c>
      <c r="AS796" s="27" t="s">
        <v>8</v>
      </c>
      <c r="AT796" s="27" t="s">
        <v>7</v>
      </c>
      <c r="AY796" s="27" t="s">
        <v>8</v>
      </c>
      <c r="BA796" s="27" t="s">
        <v>8</v>
      </c>
      <c r="BJ796" s="27" t="s">
        <v>7</v>
      </c>
      <c r="BK796" s="27" t="s">
        <v>8</v>
      </c>
    </row>
    <row r="797" spans="1:69" x14ac:dyDescent="0.25">
      <c r="A797" s="7">
        <v>1.5630178219762408E-2</v>
      </c>
      <c r="B797"/>
      <c r="C797"/>
      <c r="D797"/>
      <c r="E797"/>
      <c r="AH797" s="27" t="s">
        <v>7</v>
      </c>
      <c r="AO797" s="27" t="s">
        <v>8</v>
      </c>
      <c r="AQ797" s="27" t="s">
        <v>8</v>
      </c>
      <c r="AR797" s="27" t="s">
        <v>7</v>
      </c>
      <c r="AS797" s="27" t="s">
        <v>8</v>
      </c>
      <c r="AT797" s="27" t="s">
        <v>7</v>
      </c>
      <c r="AY797" s="27" t="s">
        <v>8</v>
      </c>
      <c r="AZ797" s="27" t="s">
        <v>7</v>
      </c>
      <c r="BA797" s="27" t="s">
        <v>8</v>
      </c>
      <c r="BJ797" s="27" t="s">
        <v>7</v>
      </c>
    </row>
    <row r="798" spans="1:69" x14ac:dyDescent="0.25">
      <c r="A798" s="7">
        <v>1.5323704137021967E-2</v>
      </c>
      <c r="B798"/>
      <c r="C798"/>
      <c r="D798"/>
      <c r="E798"/>
      <c r="AH798" s="27" t="s">
        <v>7</v>
      </c>
      <c r="AM798" s="27" t="s">
        <v>8</v>
      </c>
      <c r="AO798" s="27" t="s">
        <v>8</v>
      </c>
      <c r="AP798" s="27" t="s">
        <v>7</v>
      </c>
      <c r="AQ798" s="27" t="s">
        <v>8</v>
      </c>
      <c r="AR798" s="27" t="s">
        <v>7</v>
      </c>
      <c r="AT798" s="27" t="s">
        <v>7</v>
      </c>
      <c r="AU798" s="27" t="s">
        <v>8</v>
      </c>
      <c r="AW798" s="27" t="s">
        <v>8</v>
      </c>
      <c r="AY798" s="27" t="s">
        <v>8</v>
      </c>
      <c r="AZ798" s="27" t="s">
        <v>7</v>
      </c>
      <c r="BA798" s="27" t="s">
        <v>8</v>
      </c>
    </row>
    <row r="799" spans="1:69" x14ac:dyDescent="0.25">
      <c r="A799" s="7">
        <v>1.5023239350021535E-2</v>
      </c>
      <c r="B799"/>
      <c r="C799"/>
      <c r="D799"/>
      <c r="E799"/>
      <c r="AH799" s="27" t="s">
        <v>7</v>
      </c>
      <c r="AM799" s="27" t="s">
        <v>8</v>
      </c>
      <c r="AN799" s="27" t="s">
        <v>7</v>
      </c>
      <c r="AO799" s="27" t="s">
        <v>8</v>
      </c>
      <c r="AP799" s="27" t="s">
        <v>7</v>
      </c>
      <c r="AQ799" s="27" t="s">
        <v>8</v>
      </c>
      <c r="AT799" s="27" t="s">
        <v>7</v>
      </c>
      <c r="AU799" s="27" t="s">
        <v>8</v>
      </c>
      <c r="AV799" s="27" t="s">
        <v>7</v>
      </c>
      <c r="AW799" s="27" t="s">
        <v>8</v>
      </c>
      <c r="AX799" s="27" t="s">
        <v>7</v>
      </c>
      <c r="AY799" s="27" t="s">
        <v>8</v>
      </c>
      <c r="AZ799" s="27" t="s">
        <v>7</v>
      </c>
      <c r="BA799" s="27" t="s">
        <v>8</v>
      </c>
    </row>
    <row r="800" spans="1:69" x14ac:dyDescent="0.25">
      <c r="A800" s="7">
        <v>1.4728666029432878E-2</v>
      </c>
      <c r="B800"/>
      <c r="C800"/>
      <c r="D800"/>
      <c r="E800"/>
      <c r="AH800" s="27" t="s">
        <v>7</v>
      </c>
      <c r="AM800" s="27" t="s">
        <v>8</v>
      </c>
      <c r="AN800" s="27" t="s">
        <v>7</v>
      </c>
      <c r="AO800" s="27" t="s">
        <v>8</v>
      </c>
      <c r="AP800" s="27" t="s">
        <v>7</v>
      </c>
      <c r="AQ800" s="27" t="s">
        <v>8</v>
      </c>
      <c r="AT800" s="27" t="s">
        <v>7</v>
      </c>
      <c r="AU800" s="27" t="s">
        <v>8</v>
      </c>
      <c r="AV800" s="27" t="s">
        <v>7</v>
      </c>
      <c r="AW800" s="27" t="s">
        <v>8</v>
      </c>
      <c r="AX800" s="27" t="s">
        <v>7</v>
      </c>
      <c r="AY800" s="27" t="s">
        <v>8</v>
      </c>
      <c r="AZ800" s="27" t="s">
        <v>7</v>
      </c>
      <c r="BA800" s="27" t="s">
        <v>8</v>
      </c>
    </row>
    <row r="801" spans="1:53" x14ac:dyDescent="0.25">
      <c r="A801" s="7">
        <v>1.4439868656306743E-2</v>
      </c>
      <c r="B801"/>
      <c r="C801"/>
      <c r="D801"/>
      <c r="E801"/>
      <c r="AH801" s="27" t="s">
        <v>7</v>
      </c>
      <c r="AM801" s="27" t="s">
        <v>8</v>
      </c>
      <c r="AN801" s="27" t="s">
        <v>7</v>
      </c>
      <c r="AO801" s="27" t="s">
        <v>8</v>
      </c>
      <c r="AP801" s="27" t="s">
        <v>7</v>
      </c>
      <c r="AQ801" s="27" t="s">
        <v>8</v>
      </c>
      <c r="AT801" s="27" t="s">
        <v>7</v>
      </c>
      <c r="AV801" s="27" t="s">
        <v>7</v>
      </c>
      <c r="AX801" s="27" t="s">
        <v>7</v>
      </c>
      <c r="AY801" s="27" t="s">
        <v>8</v>
      </c>
      <c r="AZ801" s="27" t="s">
        <v>7</v>
      </c>
      <c r="BA801" s="27" t="s">
        <v>8</v>
      </c>
    </row>
    <row r="802" spans="1:53" x14ac:dyDescent="0.25">
      <c r="A802" s="7">
        <v>1.4156733976771318E-2</v>
      </c>
      <c r="B802"/>
      <c r="C802"/>
      <c r="D802"/>
      <c r="E802"/>
      <c r="AH802" s="27" t="s">
        <v>7</v>
      </c>
      <c r="AM802" s="27" t="s">
        <v>8</v>
      </c>
      <c r="AN802" s="27" t="s">
        <v>7</v>
      </c>
      <c r="AO802" s="27" t="s">
        <v>8</v>
      </c>
      <c r="AP802" s="27" t="s">
        <v>7</v>
      </c>
      <c r="AQ802" s="27" t="s">
        <v>8</v>
      </c>
      <c r="AX802" s="27" t="s">
        <v>7</v>
      </c>
      <c r="AY802" s="27" t="s">
        <v>8</v>
      </c>
      <c r="AZ802" s="27" t="s">
        <v>7</v>
      </c>
    </row>
    <row r="803" spans="1:53" x14ac:dyDescent="0.25">
      <c r="A803" s="7">
        <v>1.3879150957618939E-2</v>
      </c>
      <c r="B803"/>
      <c r="C803"/>
      <c r="D803"/>
      <c r="E803"/>
      <c r="AH803" s="27" t="s">
        <v>7</v>
      </c>
      <c r="AM803" s="27" t="s">
        <v>8</v>
      </c>
      <c r="AN803" s="27" t="s">
        <v>7</v>
      </c>
      <c r="AO803" s="27" t="s">
        <v>8</v>
      </c>
      <c r="AP803" s="27" t="s">
        <v>7</v>
      </c>
      <c r="AQ803" s="27" t="s">
        <v>8</v>
      </c>
      <c r="AX803" s="27" t="s">
        <v>7</v>
      </c>
      <c r="AY803" s="27" t="s">
        <v>8</v>
      </c>
    </row>
    <row r="804" spans="1:53" x14ac:dyDescent="0.25">
      <c r="A804" s="7">
        <v>1.3607010742763666E-2</v>
      </c>
      <c r="B804"/>
      <c r="C804"/>
      <c r="D804"/>
      <c r="E804"/>
      <c r="AH804" s="27" t="s">
        <v>7</v>
      </c>
      <c r="AM804" s="27" t="s">
        <v>8</v>
      </c>
      <c r="AN804" s="27" t="s">
        <v>7</v>
      </c>
      <c r="AO804" s="27" t="s">
        <v>8</v>
      </c>
      <c r="AP804" s="27" t="s">
        <v>7</v>
      </c>
      <c r="AQ804" s="27" t="s">
        <v>8</v>
      </c>
      <c r="AX804" s="27" t="s">
        <v>7</v>
      </c>
    </row>
    <row r="805" spans="1:53" x14ac:dyDescent="0.25">
      <c r="A805" s="7">
        <v>1.3340206610552614E-2</v>
      </c>
      <c r="B805"/>
      <c r="C805"/>
      <c r="D805"/>
      <c r="E805"/>
      <c r="AH805" s="27" t="s">
        <v>7</v>
      </c>
      <c r="AM805" s="27" t="s">
        <v>8</v>
      </c>
      <c r="AN805" s="27" t="s">
        <v>7</v>
      </c>
      <c r="AO805" s="27" t="s">
        <v>8</v>
      </c>
      <c r="AP805" s="27" t="s">
        <v>7</v>
      </c>
      <c r="AQ805" s="27" t="s">
        <v>8</v>
      </c>
    </row>
    <row r="806" spans="1:53" x14ac:dyDescent="0.25">
      <c r="A806" s="7">
        <v>1.3078633931914328E-2</v>
      </c>
      <c r="B806"/>
      <c r="C806"/>
      <c r="D806"/>
      <c r="E806"/>
      <c r="AH806" s="27" t="s">
        <v>7</v>
      </c>
      <c r="AI806" s="27" t="s">
        <v>8</v>
      </c>
      <c r="AM806" s="27" t="s">
        <v>8</v>
      </c>
      <c r="AN806" s="27" t="s">
        <v>7</v>
      </c>
      <c r="AO806" s="27" t="s">
        <v>8</v>
      </c>
      <c r="AP806" s="27" t="s">
        <v>7</v>
      </c>
      <c r="AQ806" s="27" t="s">
        <v>8</v>
      </c>
    </row>
    <row r="807" spans="1:53" x14ac:dyDescent="0.25">
      <c r="A807" s="7">
        <v>1.2822190129327771E-2</v>
      </c>
      <c r="B807"/>
      <c r="C807"/>
      <c r="D807"/>
      <c r="E807"/>
      <c r="AH807" s="27" t="s">
        <v>7</v>
      </c>
      <c r="AI807" s="27" t="s">
        <v>8</v>
      </c>
      <c r="AJ807" s="27" t="s">
        <v>7</v>
      </c>
      <c r="AM807" s="27" t="s">
        <v>8</v>
      </c>
      <c r="AN807" s="27" t="s">
        <v>7</v>
      </c>
      <c r="AO807" s="27" t="s">
        <v>8</v>
      </c>
      <c r="AP807" s="27" t="s">
        <v>7</v>
      </c>
      <c r="AQ807" s="27" t="s">
        <v>8</v>
      </c>
    </row>
    <row r="808" spans="1:53" x14ac:dyDescent="0.25">
      <c r="A808" s="7">
        <v>1.2570774636595854E-2</v>
      </c>
      <c r="B808"/>
      <c r="C808"/>
      <c r="D808"/>
      <c r="E808"/>
      <c r="AH808" s="27" t="s">
        <v>7</v>
      </c>
      <c r="AI808" s="27" t="s">
        <v>8</v>
      </c>
      <c r="AJ808" s="27" t="s">
        <v>7</v>
      </c>
      <c r="AM808" s="27" t="s">
        <v>8</v>
      </c>
      <c r="AN808" s="27" t="s">
        <v>7</v>
      </c>
      <c r="AO808" s="27" t="s">
        <v>8</v>
      </c>
      <c r="AP808" s="27" t="s">
        <v>7</v>
      </c>
    </row>
    <row r="809" spans="1:53" x14ac:dyDescent="0.25">
      <c r="A809" s="7">
        <v>1.23242888594077E-2</v>
      </c>
      <c r="B809"/>
      <c r="C809"/>
      <c r="D809"/>
      <c r="E809"/>
      <c r="AH809" s="27" t="s">
        <v>7</v>
      </c>
      <c r="AI809" s="27" t="s">
        <v>8</v>
      </c>
      <c r="AJ809" s="27" t="s">
        <v>7</v>
      </c>
      <c r="AM809" s="27" t="s">
        <v>8</v>
      </c>
      <c r="AN809" s="27" t="s">
        <v>7</v>
      </c>
      <c r="AO809" s="27" t="s">
        <v>8</v>
      </c>
    </row>
    <row r="810" spans="1:53" x14ac:dyDescent="0.25">
      <c r="A810" s="7">
        <v>1.2082636136674216E-2</v>
      </c>
      <c r="B810"/>
      <c r="C810"/>
      <c r="D810"/>
      <c r="E810"/>
      <c r="AH810" s="27" t="s">
        <v>7</v>
      </c>
      <c r="AI810" s="27" t="s">
        <v>8</v>
      </c>
      <c r="AJ810" s="27" t="s">
        <v>7</v>
      </c>
      <c r="AM810" s="27" t="s">
        <v>8</v>
      </c>
      <c r="AN810" s="27" t="s">
        <v>7</v>
      </c>
      <c r="AO810" s="27" t="s">
        <v>8</v>
      </c>
    </row>
    <row r="811" spans="1:53" x14ac:dyDescent="0.25">
      <c r="A811" s="7">
        <v>1.184572170262178E-2</v>
      </c>
      <c r="B811"/>
      <c r="C811"/>
      <c r="D811"/>
      <c r="E811"/>
      <c r="AH811" s="27" t="s">
        <v>7</v>
      </c>
      <c r="AI811" s="27" t="s">
        <v>8</v>
      </c>
      <c r="AJ811" s="27" t="s">
        <v>7</v>
      </c>
      <c r="AK811" s="27" t="s">
        <v>8</v>
      </c>
      <c r="AM811" s="27" t="s">
        <v>8</v>
      </c>
      <c r="AN811" s="27" t="s">
        <v>7</v>
      </c>
      <c r="AO811" s="27" t="s">
        <v>8</v>
      </c>
    </row>
    <row r="812" spans="1:53" x14ac:dyDescent="0.25">
      <c r="A812" s="7">
        <v>1.1613452649629196E-2</v>
      </c>
      <c r="B812"/>
      <c r="C812"/>
      <c r="D812"/>
      <c r="E812"/>
      <c r="AH812" s="27" t="s">
        <v>7</v>
      </c>
      <c r="AI812" s="27" t="s">
        <v>8</v>
      </c>
      <c r="AJ812" s="27" t="s">
        <v>7</v>
      </c>
      <c r="AK812" s="27" t="s">
        <v>8</v>
      </c>
      <c r="AL812" s="27" t="s">
        <v>7</v>
      </c>
      <c r="AM812" s="27" t="s">
        <v>8</v>
      </c>
      <c r="AN812" s="27" t="s">
        <v>7</v>
      </c>
    </row>
    <row r="813" spans="1:53" x14ac:dyDescent="0.25">
      <c r="A813" s="7">
        <v>1.138573789179333E-2</v>
      </c>
      <c r="B813"/>
      <c r="C813"/>
      <c r="D813"/>
      <c r="E813"/>
      <c r="AH813" s="27" t="s">
        <v>7</v>
      </c>
      <c r="AI813" s="27" t="s">
        <v>8</v>
      </c>
      <c r="AJ813" s="27" t="s">
        <v>7</v>
      </c>
      <c r="AK813" s="27" t="s">
        <v>8</v>
      </c>
      <c r="AL813" s="27" t="s">
        <v>7</v>
      </c>
      <c r="AM813" s="27" t="s">
        <v>8</v>
      </c>
    </row>
    <row r="814" spans="1:53" x14ac:dyDescent="0.25">
      <c r="A814" s="7">
        <v>1.1162488129209149E-2</v>
      </c>
      <c r="B814"/>
      <c r="C814"/>
      <c r="D814"/>
      <c r="E814"/>
      <c r="AH814" s="27" t="s">
        <v>7</v>
      </c>
      <c r="AI814" s="27" t="s">
        <v>8</v>
      </c>
      <c r="AJ814" s="27" t="s">
        <v>7</v>
      </c>
      <c r="AK814" s="27" t="s">
        <v>8</v>
      </c>
      <c r="AL814" s="27" t="s">
        <v>7</v>
      </c>
      <c r="AM814" s="27" t="s">
        <v>8</v>
      </c>
    </row>
    <row r="815" spans="1:53" x14ac:dyDescent="0.25">
      <c r="A815" s="7">
        <v>1.0943615812950145E-2</v>
      </c>
      <c r="B815"/>
      <c r="C815"/>
      <c r="D815"/>
      <c r="E815"/>
      <c r="AH815" s="27" t="s">
        <v>7</v>
      </c>
      <c r="AI815" s="27" t="s">
        <v>8</v>
      </c>
      <c r="AJ815" s="27" t="s">
        <v>7</v>
      </c>
      <c r="AK815" s="27" t="s">
        <v>8</v>
      </c>
      <c r="AL815" s="27" t="s">
        <v>7</v>
      </c>
      <c r="AM815" s="27" t="s">
        <v>8</v>
      </c>
    </row>
    <row r="816" spans="1:53" x14ac:dyDescent="0.25">
      <c r="A816" s="7">
        <v>1.0729035110735436E-2</v>
      </c>
      <c r="B816"/>
      <c r="C816"/>
      <c r="D816"/>
      <c r="E816"/>
      <c r="AH816" s="27" t="s">
        <v>7</v>
      </c>
      <c r="AI816" s="27" t="s">
        <v>8</v>
      </c>
      <c r="AJ816" s="27" t="s">
        <v>7</v>
      </c>
      <c r="AK816" s="27" t="s">
        <v>8</v>
      </c>
      <c r="AL816" s="27" t="s">
        <v>7</v>
      </c>
      <c r="AM816" s="27" t="s">
        <v>8</v>
      </c>
    </row>
    <row r="817" spans="1:39" x14ac:dyDescent="0.25">
      <c r="A817" s="7">
        <v>1.0518661873270036E-2</v>
      </c>
      <c r="B817"/>
      <c r="C817"/>
      <c r="D817"/>
      <c r="E817"/>
      <c r="AH817" s="27" t="s">
        <v>7</v>
      </c>
      <c r="AI817" s="27" t="s">
        <v>8</v>
      </c>
      <c r="AJ817" s="27" t="s">
        <v>7</v>
      </c>
      <c r="AK817" s="27" t="s">
        <v>8</v>
      </c>
      <c r="AL817" s="27" t="s">
        <v>7</v>
      </c>
      <c r="AM817" s="27" t="s">
        <v>8</v>
      </c>
    </row>
    <row r="818" spans="1:39" x14ac:dyDescent="0.25">
      <c r="A818" s="7">
        <v>1.0312413601245135E-2</v>
      </c>
      <c r="B818"/>
      <c r="C818"/>
      <c r="D818"/>
      <c r="E818"/>
      <c r="AH818" s="27" t="s">
        <v>7</v>
      </c>
      <c r="AI818" s="27" t="s">
        <v>8</v>
      </c>
      <c r="AJ818" s="27" t="s">
        <v>7</v>
      </c>
      <c r="AK818" s="27" t="s">
        <v>8</v>
      </c>
      <c r="AL818" s="27" t="s">
        <v>7</v>
      </c>
      <c r="AM818" s="27" t="s">
        <v>8</v>
      </c>
    </row>
    <row r="819" spans="1:39" x14ac:dyDescent="0.25">
      <c r="A819" s="7">
        <v>1.0110209412985426E-2</v>
      </c>
      <c r="B819"/>
      <c r="C819"/>
      <c r="D819"/>
      <c r="E819"/>
      <c r="AH819" s="27" t="s">
        <v>7</v>
      </c>
      <c r="AI819" s="27" t="s">
        <v>8</v>
      </c>
      <c r="AJ819" s="27" t="s">
        <v>7</v>
      </c>
      <c r="AK819" s="27" t="s">
        <v>8</v>
      </c>
      <c r="AL819" s="27" t="s">
        <v>7</v>
      </c>
      <c r="AM819" s="27" t="s">
        <v>8</v>
      </c>
    </row>
    <row r="820" spans="1:39" x14ac:dyDescent="0.25">
      <c r="A820" s="7">
        <v>9.9119700127308103E-3</v>
      </c>
      <c r="B820"/>
      <c r="C820"/>
      <c r="D820"/>
      <c r="E820"/>
      <c r="AH820" s="27" t="s">
        <v>7</v>
      </c>
      <c r="AI820" s="27" t="s">
        <v>8</v>
      </c>
      <c r="AJ820" s="27" t="s">
        <v>7</v>
      </c>
      <c r="AK820" s="27" t="s">
        <v>8</v>
      </c>
      <c r="AL820" s="27" t="s">
        <v>7</v>
      </c>
    </row>
    <row r="821" spans="1:39" x14ac:dyDescent="0.25">
      <c r="A821" s="7">
        <v>9.717617659540009E-3</v>
      </c>
      <c r="B821"/>
      <c r="C821"/>
      <c r="D821"/>
      <c r="E821"/>
      <c r="AH821" s="27" t="s">
        <v>7</v>
      </c>
      <c r="AI821" s="27" t="s">
        <v>8</v>
      </c>
      <c r="AJ821" s="27" t="s">
        <v>7</v>
      </c>
      <c r="AK821" s="27" t="s">
        <v>8</v>
      </c>
    </row>
    <row r="822" spans="1:39" x14ac:dyDescent="0.25">
      <c r="A822" s="7">
        <v>9.5270761368039299E-3</v>
      </c>
      <c r="B822"/>
      <c r="C822"/>
      <c r="D822"/>
      <c r="E822"/>
      <c r="AH822" s="27" t="s">
        <v>7</v>
      </c>
      <c r="AI822" s="27" t="s">
        <v>8</v>
      </c>
      <c r="AJ822" s="27" t="s">
        <v>7</v>
      </c>
      <c r="AK822" s="27" t="s">
        <v>8</v>
      </c>
    </row>
    <row r="823" spans="1:39" x14ac:dyDescent="0.25">
      <c r="A823" s="7">
        <v>9.3402707223567936E-3</v>
      </c>
      <c r="B823"/>
      <c r="C823"/>
      <c r="D823"/>
      <c r="E823"/>
      <c r="AH823" s="27" t="s">
        <v>7</v>
      </c>
      <c r="AI823" s="27" t="s">
        <v>8</v>
      </c>
      <c r="AJ823" s="27" t="s">
        <v>7</v>
      </c>
      <c r="AK823" s="27" t="s">
        <v>8</v>
      </c>
    </row>
    <row r="824" spans="1:39" x14ac:dyDescent="0.25">
      <c r="A824" s="7">
        <v>9.1571281591733261E-3</v>
      </c>
      <c r="B824"/>
      <c r="C824"/>
      <c r="D824"/>
      <c r="E824"/>
      <c r="AH824" s="27" t="s">
        <v>7</v>
      </c>
      <c r="AI824" s="27" t="s">
        <v>8</v>
      </c>
      <c r="AJ824" s="27" t="s">
        <v>7</v>
      </c>
      <c r="AK824" s="27" t="s">
        <v>8</v>
      </c>
    </row>
    <row r="825" spans="1:39" x14ac:dyDescent="0.25">
      <c r="A825" s="7">
        <v>8.9775766266405148E-3</v>
      </c>
      <c r="B825"/>
      <c r="C825"/>
      <c r="D825"/>
      <c r="E825"/>
      <c r="AH825" s="27" t="s">
        <v>7</v>
      </c>
      <c r="AI825" s="27" t="s">
        <v>8</v>
      </c>
      <c r="AJ825" s="27" t="s">
        <v>7</v>
      </c>
    </row>
    <row r="826" spans="1:39" x14ac:dyDescent="0.25">
      <c r="A826" s="7">
        <v>8.8015457123926614E-3</v>
      </c>
      <c r="B826"/>
      <c r="C826"/>
      <c r="D826"/>
      <c r="E826"/>
      <c r="AH826" s="27" t="s">
        <v>7</v>
      </c>
      <c r="AI826" s="27" t="s">
        <v>8</v>
      </c>
    </row>
    <row r="827" spans="1:39" x14ac:dyDescent="0.25">
      <c r="A827" s="7">
        <v>8.6289663846986879E-3</v>
      </c>
      <c r="B827"/>
      <c r="C827"/>
      <c r="D827"/>
      <c r="E827"/>
      <c r="AH827" s="27" t="s">
        <v>7</v>
      </c>
      <c r="AI827" s="27" t="s">
        <v>8</v>
      </c>
    </row>
    <row r="828" spans="1:39" x14ac:dyDescent="0.25">
      <c r="A828" s="7">
        <v>8.4597709653908715E-3</v>
      </c>
      <c r="B828"/>
      <c r="C828"/>
      <c r="D828"/>
      <c r="E828"/>
      <c r="AH828" s="27" t="s">
        <v>7</v>
      </c>
      <c r="AI828" s="27" t="s">
        <v>8</v>
      </c>
    </row>
    <row r="829" spans="1:39" x14ac:dyDescent="0.25">
      <c r="A829" s="7">
        <v>8.2938931033243839E-3</v>
      </c>
      <c r="B829"/>
      <c r="C829"/>
      <c r="D829"/>
      <c r="E829"/>
      <c r="AH829" s="27" t="s">
        <v>7</v>
      </c>
      <c r="AI829" s="27" t="s">
        <v>8</v>
      </c>
    </row>
    <row r="830" spans="1:39" x14ac:dyDescent="0.25">
      <c r="A830" s="7">
        <v>8.1312677483572383E-3</v>
      </c>
      <c r="B830"/>
      <c r="C830"/>
      <c r="D830"/>
      <c r="E830"/>
      <c r="AH830" s="27" t="s">
        <v>7</v>
      </c>
      <c r="AI830" s="27" t="s">
        <v>8</v>
      </c>
    </row>
    <row r="831" spans="1:39" x14ac:dyDescent="0.25">
      <c r="A831" s="7">
        <v>7.9718311258404305E-3</v>
      </c>
      <c r="B831"/>
      <c r="C831"/>
      <c r="D831"/>
      <c r="E831"/>
      <c r="AH831" s="27" t="s">
        <v>7</v>
      </c>
      <c r="AI831" s="27" t="s">
        <v>8</v>
      </c>
    </row>
    <row r="832" spans="1:39" x14ac:dyDescent="0.25">
      <c r="A832" s="7">
        <v>7.8155207116082648E-3</v>
      </c>
      <c r="B832"/>
      <c r="C832"/>
      <c r="D832"/>
      <c r="E832"/>
      <c r="AH832" s="27" t="s">
        <v>7</v>
      </c>
      <c r="AI832" s="27" t="s">
        <v>8</v>
      </c>
    </row>
    <row r="833" spans="1:35" x14ac:dyDescent="0.25">
      <c r="A833" s="7">
        <v>7.6622752074590825E-3</v>
      </c>
      <c r="B833"/>
      <c r="C833"/>
      <c r="D833"/>
      <c r="E833"/>
      <c r="AH833" s="27" t="s">
        <v>7</v>
      </c>
      <c r="AI833" s="27" t="s">
        <v>8</v>
      </c>
    </row>
    <row r="834" spans="1:35" x14ac:dyDescent="0.25">
      <c r="A834" s="7">
        <v>7.5120345171167469E-3</v>
      </c>
      <c r="B834"/>
      <c r="C834"/>
      <c r="D834"/>
      <c r="E834"/>
      <c r="AH834" s="27" t="s">
        <v>7</v>
      </c>
      <c r="AI834" s="27" t="s">
        <v>8</v>
      </c>
    </row>
    <row r="835" spans="1:35" x14ac:dyDescent="0.25">
      <c r="A835" s="7">
        <v>7.3647397226634772E-3</v>
      </c>
      <c r="B835"/>
      <c r="C835"/>
      <c r="D835"/>
      <c r="E835"/>
      <c r="AH835" s="27" t="s">
        <v>7</v>
      </c>
    </row>
    <row r="836" spans="1:35" x14ac:dyDescent="0.25">
      <c r="A836" s="7">
        <v>7.2203330614347815E-3</v>
      </c>
      <c r="B836"/>
      <c r="C836"/>
      <c r="D836"/>
      <c r="E836"/>
    </row>
    <row r="837" spans="1:35" x14ac:dyDescent="0.25">
      <c r="A837" s="7">
        <v>7.0787579033674327E-3</v>
      </c>
      <c r="B837"/>
      <c r="C837"/>
      <c r="D837"/>
      <c r="E837"/>
    </row>
    <row r="838" spans="1:35" x14ac:dyDescent="0.25">
      <c r="A838" s="7">
        <v>6.9399587287916013E-3</v>
      </c>
      <c r="B838"/>
      <c r="C838"/>
      <c r="D838"/>
      <c r="E838"/>
    </row>
    <row r="839" spans="1:35" x14ac:dyDescent="0.25">
      <c r="A839" s="7">
        <v>6.8038811066584333E-3</v>
      </c>
      <c r="B839"/>
      <c r="C839"/>
      <c r="D839"/>
      <c r="E839"/>
    </row>
    <row r="840" spans="1:35" x14ac:dyDescent="0.25">
      <c r="A840" s="7">
        <v>6.6704716731945425E-3</v>
      </c>
      <c r="B840"/>
      <c r="C840"/>
      <c r="D840"/>
      <c r="E840"/>
    </row>
    <row r="841" spans="1:35" x14ac:dyDescent="0.25">
      <c r="A841" s="7">
        <v>6.5396781109750427E-3</v>
      </c>
      <c r="B841"/>
      <c r="C841"/>
      <c r="D841"/>
      <c r="E841"/>
    </row>
    <row r="842" spans="1:35" x14ac:dyDescent="0.25">
      <c r="A842" s="7">
        <v>6.4114491284069045E-3</v>
      </c>
      <c r="B842"/>
      <c r="C842"/>
      <c r="D842"/>
      <c r="E842"/>
    </row>
    <row r="843" spans="1:35" x14ac:dyDescent="0.25">
      <c r="A843" s="7">
        <v>6.2857344396146115E-3</v>
      </c>
      <c r="B843"/>
      <c r="C843"/>
      <c r="D843"/>
      <c r="E843"/>
    </row>
    <row r="844" spans="1:35" x14ac:dyDescent="0.25">
      <c r="A844" s="7">
        <v>6.1624847447202076E-3</v>
      </c>
      <c r="B844"/>
      <c r="C844"/>
      <c r="D844"/>
      <c r="E844"/>
    </row>
    <row r="845" spans="1:35" x14ac:dyDescent="0.25">
      <c r="A845" s="7">
        <v>6.0416517105100079E-3</v>
      </c>
      <c r="B845"/>
      <c r="C845"/>
      <c r="D845"/>
      <c r="E845"/>
    </row>
    <row r="846" spans="1:35" x14ac:dyDescent="0.25">
      <c r="A846" s="7">
        <v>5.9231879514803996E-3</v>
      </c>
      <c r="B846"/>
      <c r="C846"/>
      <c r="D846"/>
      <c r="E846"/>
    </row>
    <row r="847" spans="1:35" x14ac:dyDescent="0.25">
      <c r="A847" s="7">
        <v>5.8070470112552936E-3</v>
      </c>
      <c r="B847"/>
      <c r="C847"/>
      <c r="D847"/>
      <c r="E847"/>
    </row>
    <row r="848" spans="1:3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1163" operator="equal">
      <formula>$U$1</formula>
    </cfRule>
    <cfRule type="cellIs" dxfId="89" priority="1164" operator="equal">
      <formula>$S$1</formula>
    </cfRule>
  </conditionalFormatting>
  <conditionalFormatting sqref="D27">
    <cfRule type="cellIs" dxfId="88" priority="1161" operator="equal">
      <formula>$S$1</formula>
    </cfRule>
    <cfRule type="cellIs" dxfId="87" priority="1162" operator="equal">
      <formula>$U$1</formula>
    </cfRule>
  </conditionalFormatting>
  <conditionalFormatting sqref="C164">
    <cfRule type="cellIs" dxfId="86" priority="1159" operator="equal">
      <formula>$U$1</formula>
    </cfRule>
    <cfRule type="cellIs" dxfId="85" priority="1160" operator="equal">
      <formula>$S$1</formula>
    </cfRule>
  </conditionalFormatting>
  <conditionalFormatting sqref="D164">
    <cfRule type="cellIs" dxfId="84" priority="1157" operator="equal">
      <formula>$S$1</formula>
    </cfRule>
    <cfRule type="cellIs" dxfId="83" priority="1158" operator="equal">
      <formula>$U$1</formula>
    </cfRule>
  </conditionalFormatting>
  <conditionalFormatting sqref="C55">
    <cfRule type="cellIs" dxfId="82" priority="1155" operator="equal">
      <formula>$U$1</formula>
    </cfRule>
    <cfRule type="cellIs" dxfId="81" priority="1156" operator="equal">
      <formula>$S$1</formula>
    </cfRule>
  </conditionalFormatting>
  <conditionalFormatting sqref="D55">
    <cfRule type="cellIs" dxfId="80" priority="1153" operator="equal">
      <formula>$S$1</formula>
    </cfRule>
    <cfRule type="cellIs" dxfId="79" priority="1154" operator="equal">
      <formula>$U$1</formula>
    </cfRule>
  </conditionalFormatting>
  <conditionalFormatting sqref="C89">
    <cfRule type="cellIs" dxfId="78" priority="1151" operator="equal">
      <formula>$U$1</formula>
    </cfRule>
    <cfRule type="cellIs" dxfId="77" priority="1152" operator="equal">
      <formula>$S$1</formula>
    </cfRule>
  </conditionalFormatting>
  <conditionalFormatting sqref="D89">
    <cfRule type="cellIs" dxfId="76" priority="1149" operator="equal">
      <formula>$S$1</formula>
    </cfRule>
    <cfRule type="cellIs" dxfId="75" priority="1150" operator="equal">
      <formula>$U$1</formula>
    </cfRule>
  </conditionalFormatting>
  <conditionalFormatting sqref="C136">
    <cfRule type="cellIs" dxfId="74" priority="1147" operator="equal">
      <formula>$U$1</formula>
    </cfRule>
    <cfRule type="cellIs" dxfId="73" priority="1148" operator="equal">
      <formula>$S$1</formula>
    </cfRule>
  </conditionalFormatting>
  <conditionalFormatting sqref="D136">
    <cfRule type="cellIs" dxfId="72" priority="1145" operator="equal">
      <formula>$S$1</formula>
    </cfRule>
    <cfRule type="cellIs" dxfId="71" priority="1146" operator="equal">
      <formula>$U$1</formula>
    </cfRule>
  </conditionalFormatting>
  <conditionalFormatting sqref="C1">
    <cfRule type="cellIs" dxfId="70" priority="1144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372" zoomScale="90" zoomScaleNormal="90" workbookViewId="0">
      <pane xSplit="4" topLeftCell="G1" activePane="topRight" state="frozen"/>
      <selection activeCell="A109" sqref="A109"/>
      <selection pane="topRight" activeCell="HE262" sqref="HE262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$A$261</v>
      </c>
      <c r="D111" s="1" t="str">
        <f>ADDRESS(C121-1,D121,1,1)</f>
        <v>$HE$261</v>
      </c>
      <c r="E111"/>
    </row>
    <row r="112" spans="1:5" x14ac:dyDescent="0.25">
      <c r="A112" s="30">
        <v>515.50191262726139</v>
      </c>
      <c r="C112" s="1" t="str">
        <f>ADDRESS(C121,1,1,1)</f>
        <v>$A$262</v>
      </c>
      <c r="D112" s="1" t="str">
        <f>ADDRESS(C121,D121-1,1,1)</f>
        <v>$HD$262</v>
      </c>
      <c r="E112"/>
    </row>
    <row r="113" spans="1:5" x14ac:dyDescent="0.25">
      <c r="A113" s="30">
        <v>490.95420250215363</v>
      </c>
      <c r="C113" s="1" t="str">
        <f>ADDRESS(C121+1,1,1,1)</f>
        <v>$A$263</v>
      </c>
      <c r="D113" s="1" t="str">
        <f>ADDRESS(C121-1,D121+1,1,1)</f>
        <v>$HF$261</v>
      </c>
    </row>
    <row r="114" spans="1:5" x14ac:dyDescent="0.25">
      <c r="A114" s="30">
        <v>467.57543095443202</v>
      </c>
      <c r="C114" s="1" t="str">
        <f>ADDRESS(C121,D121,1,1)</f>
        <v>$HE$262</v>
      </c>
      <c r="D114" s="1" t="str">
        <f>ADDRESS(C121+1,D121+1,1,1)</f>
        <v>$HF$263</v>
      </c>
    </row>
    <row r="115" spans="1:5" x14ac:dyDescent="0.25">
      <c r="A115" s="30">
        <v>445.30993424231622</v>
      </c>
      <c r="C115" s="1" t="str">
        <f>ADDRESS(C121+1,D121,1,1)</f>
        <v>$HE$263</v>
      </c>
    </row>
    <row r="116" spans="1:5" x14ac:dyDescent="0.25">
      <c r="A116" s="30">
        <v>424.10469927839637</v>
      </c>
      <c r="C116" s="1">
        <f>C117-1</f>
        <v>261</v>
      </c>
    </row>
    <row r="117" spans="1:5" x14ac:dyDescent="0.25">
      <c r="A117" s="30">
        <v>403.9092374079965</v>
      </c>
      <c r="C117" s="1">
        <f>C121</f>
        <v>262</v>
      </c>
      <c r="D117" s="1">
        <f>D121</f>
        <v>213</v>
      </c>
    </row>
    <row r="118" spans="1:5" x14ac:dyDescent="0.25">
      <c r="A118" s="30">
        <v>384.6754641980919</v>
      </c>
      <c r="C118" s="1">
        <f>C117+1</f>
        <v>263</v>
      </c>
      <c r="D118" s="1">
        <f>D117+1</f>
        <v>214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262</v>
      </c>
      <c r="D121" s="19">
        <v>213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R262</v>
      </c>
      <c r="D123" s="1" t="str">
        <f>"C"&amp;D121</f>
        <v>C213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0.34184987108661891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5" x14ac:dyDescent="0.25">
      <c r="A209" s="30">
        <v>4.5380394939082018</v>
      </c>
      <c r="E209"/>
    </row>
    <row r="210" spans="1:5" x14ac:dyDescent="0.25">
      <c r="A210" s="30">
        <v>4.3219423751506678</v>
      </c>
      <c r="C210"/>
      <c r="E210"/>
    </row>
    <row r="211" spans="1:5" x14ac:dyDescent="0.25">
      <c r="A211" s="30">
        <v>4.1161355953815884</v>
      </c>
      <c r="E211"/>
    </row>
    <row r="212" spans="1:5" x14ac:dyDescent="0.25">
      <c r="A212" s="30">
        <v>3.9201291384586554</v>
      </c>
      <c r="E212"/>
    </row>
    <row r="213" spans="1:5" x14ac:dyDescent="0.25">
      <c r="A213" s="30">
        <v>3.7334563223415764</v>
      </c>
      <c r="E213"/>
    </row>
    <row r="214" spans="1:5" x14ac:dyDescent="0.25">
      <c r="A214" s="30">
        <v>3.5556726879443583</v>
      </c>
      <c r="E214"/>
    </row>
    <row r="215" spans="1:5" x14ac:dyDescent="0.25">
      <c r="A215" s="30">
        <v>3.3863549408993889</v>
      </c>
      <c r="E215"/>
    </row>
    <row r="216" spans="1:5" x14ac:dyDescent="0.25">
      <c r="A216" s="30">
        <v>3.2250999437137038</v>
      </c>
      <c r="E216"/>
    </row>
    <row r="217" spans="1:5" x14ac:dyDescent="0.25">
      <c r="A217" s="30">
        <v>3.0715237559178128</v>
      </c>
      <c r="E217"/>
    </row>
    <row r="218" spans="1:5" x14ac:dyDescent="0.25">
      <c r="A218" s="30">
        <v>2.9252607199217264</v>
      </c>
      <c r="E218"/>
    </row>
    <row r="219" spans="1:5" x14ac:dyDescent="0.25">
      <c r="A219" s="30">
        <v>2.7859625904016441</v>
      </c>
      <c r="E219"/>
    </row>
    <row r="220" spans="1:5" x14ac:dyDescent="0.25">
      <c r="A220" s="30">
        <v>2.6532977051444226</v>
      </c>
      <c r="E220"/>
    </row>
    <row r="221" spans="1:5" x14ac:dyDescent="0.25">
      <c r="A221" s="30">
        <v>2.5269501953756404</v>
      </c>
      <c r="E221"/>
    </row>
    <row r="222" spans="1:5" x14ac:dyDescent="0.25">
      <c r="A222" s="30">
        <v>2.4066192336910861</v>
      </c>
      <c r="E222"/>
    </row>
    <row r="223" spans="1:5" x14ac:dyDescent="0.25">
      <c r="A223" s="30">
        <v>2.2920183178010345</v>
      </c>
      <c r="E223"/>
    </row>
    <row r="224" spans="1:5" x14ac:dyDescent="0.25">
      <c r="A224" s="30">
        <v>2.1828745883819374</v>
      </c>
      <c r="E224"/>
    </row>
    <row r="225" spans="1:195" x14ac:dyDescent="0.25">
      <c r="A225" s="30">
        <v>2.0789281794113688</v>
      </c>
      <c r="E225"/>
    </row>
    <row r="226" spans="1:195" x14ac:dyDescent="0.25">
      <c r="A226" s="30">
        <v>1.9799315994393987</v>
      </c>
      <c r="E226"/>
    </row>
    <row r="227" spans="1:195" x14ac:dyDescent="0.25">
      <c r="A227" s="30">
        <v>1.8856491423232367</v>
      </c>
      <c r="E227"/>
    </row>
    <row r="228" spans="1:195" x14ac:dyDescent="0.25">
      <c r="A228" s="30">
        <v>1.7958563260221301</v>
      </c>
      <c r="C228" s="7"/>
      <c r="D228"/>
      <c r="E228"/>
    </row>
    <row r="229" spans="1:195" x14ac:dyDescent="0.25">
      <c r="A229" s="30">
        <v>1.7103393581163142</v>
      </c>
      <c r="E229"/>
    </row>
    <row r="230" spans="1:195" x14ac:dyDescent="0.25">
      <c r="A230" s="30">
        <v>1.628894626777442</v>
      </c>
      <c r="E230"/>
    </row>
    <row r="231" spans="1:195" x14ac:dyDescent="0.25">
      <c r="A231" s="30">
        <v>1.5513282159785162</v>
      </c>
      <c r="C231"/>
      <c r="D231"/>
      <c r="E231"/>
    </row>
    <row r="232" spans="1:195" x14ac:dyDescent="0.25">
      <c r="A232" s="30">
        <v>1.477455443789063</v>
      </c>
      <c r="E232"/>
    </row>
    <row r="233" spans="1:195" x14ac:dyDescent="0.25">
      <c r="A233" s="30">
        <v>1.4071004226562505</v>
      </c>
      <c r="E233"/>
    </row>
    <row r="234" spans="1:195" x14ac:dyDescent="0.25">
      <c r="A234" s="30">
        <v>1.3400956406250004</v>
      </c>
      <c r="E234"/>
    </row>
    <row r="235" spans="1:195" x14ac:dyDescent="0.25">
      <c r="A235" s="30">
        <v>1.2762815625000004</v>
      </c>
      <c r="C235"/>
      <c r="E235"/>
    </row>
    <row r="236" spans="1:195" x14ac:dyDescent="0.25">
      <c r="A236" s="30">
        <v>1.2155062500000002</v>
      </c>
      <c r="E236"/>
    </row>
    <row r="237" spans="1:19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  <c r="FQ237" s="27" t="s">
        <v>8</v>
      </c>
    </row>
    <row r="238" spans="1:195" x14ac:dyDescent="0.25">
      <c r="A238" s="30">
        <v>1.1025</v>
      </c>
      <c r="E238"/>
      <c r="FQ238" s="27" t="s">
        <v>8</v>
      </c>
      <c r="FR238" s="27" t="s">
        <v>7</v>
      </c>
    </row>
    <row r="239" spans="1:195" x14ac:dyDescent="0.25">
      <c r="A239" s="30">
        <v>1.05</v>
      </c>
      <c r="E239"/>
      <c r="FQ239" s="27" t="s">
        <v>8</v>
      </c>
      <c r="FR239" s="27" t="s">
        <v>7</v>
      </c>
    </row>
    <row r="240" spans="1:195" x14ac:dyDescent="0.25">
      <c r="A240" s="30">
        <v>1</v>
      </c>
      <c r="E240" s="29" t="s">
        <v>8</v>
      </c>
      <c r="FQ240" s="27" t="s">
        <v>8</v>
      </c>
      <c r="FR240" s="27" t="s">
        <v>7</v>
      </c>
      <c r="FU240" s="27" t="s">
        <v>8</v>
      </c>
      <c r="GM240" s="27" t="s">
        <v>8</v>
      </c>
    </row>
    <row r="241" spans="1:212" x14ac:dyDescent="0.25">
      <c r="A241" s="30">
        <v>0.952380952380952</v>
      </c>
      <c r="B241"/>
      <c r="C241"/>
      <c r="D241"/>
      <c r="E241"/>
      <c r="F241" s="27" t="s">
        <v>7</v>
      </c>
      <c r="FQ241" s="27" t="s">
        <v>8</v>
      </c>
      <c r="FR241" s="27" t="s">
        <v>7</v>
      </c>
      <c r="FS241" s="27" t="s">
        <v>8</v>
      </c>
      <c r="FU241" s="27" t="s">
        <v>8</v>
      </c>
      <c r="FV241" s="27" t="s">
        <v>7</v>
      </c>
      <c r="GK241" s="27" t="s">
        <v>8</v>
      </c>
      <c r="GM241" s="27" t="s">
        <v>8</v>
      </c>
      <c r="GN241" s="27" t="s">
        <v>7</v>
      </c>
      <c r="GO241" s="27" t="s">
        <v>8</v>
      </c>
    </row>
    <row r="242" spans="1:212" x14ac:dyDescent="0.25">
      <c r="A242" s="30">
        <v>0.90702947845804915</v>
      </c>
      <c r="B242"/>
      <c r="C242"/>
      <c r="D242"/>
      <c r="E242"/>
      <c r="F242" s="27" t="s">
        <v>7</v>
      </c>
      <c r="FQ242" s="27" t="s">
        <v>8</v>
      </c>
      <c r="FR242" s="27" t="s">
        <v>7</v>
      </c>
      <c r="FS242" s="27" t="s">
        <v>8</v>
      </c>
      <c r="FT242" s="27" t="s">
        <v>7</v>
      </c>
      <c r="FU242" s="27" t="s">
        <v>8</v>
      </c>
      <c r="FV242" s="27" t="s">
        <v>7</v>
      </c>
      <c r="GI242" s="27" t="s">
        <v>8</v>
      </c>
      <c r="GK242" s="27" t="s">
        <v>8</v>
      </c>
      <c r="GL242" s="27" t="s">
        <v>7</v>
      </c>
      <c r="GM242" s="27" t="s">
        <v>8</v>
      </c>
      <c r="GN242" s="27" t="s">
        <v>7</v>
      </c>
      <c r="GO242" s="27" t="s">
        <v>8</v>
      </c>
      <c r="GP242" s="27" t="s">
        <v>7</v>
      </c>
    </row>
    <row r="243" spans="1:212" x14ac:dyDescent="0.25">
      <c r="A243" s="30">
        <v>0.86383759853147501</v>
      </c>
      <c r="B243"/>
      <c r="C243"/>
      <c r="D243"/>
      <c r="E243"/>
      <c r="F243" s="27" t="s">
        <v>7</v>
      </c>
      <c r="DK243" s="27" t="s">
        <v>8</v>
      </c>
      <c r="FQ243" s="27" t="s">
        <v>8</v>
      </c>
      <c r="FR243" s="27" t="s">
        <v>7</v>
      </c>
      <c r="FS243" s="27" t="s">
        <v>8</v>
      </c>
      <c r="FT243" s="27" t="s">
        <v>7</v>
      </c>
      <c r="FU243" s="27" t="s">
        <v>8</v>
      </c>
      <c r="FV243" s="27" t="s">
        <v>7</v>
      </c>
      <c r="FW243" s="27" t="s">
        <v>8</v>
      </c>
      <c r="FY243" s="27" t="s">
        <v>8</v>
      </c>
      <c r="GC243" s="27" t="s">
        <v>8</v>
      </c>
      <c r="GI243" s="27" t="s">
        <v>8</v>
      </c>
      <c r="GJ243" s="27" t="s">
        <v>7</v>
      </c>
      <c r="GK243" s="27" t="s">
        <v>8</v>
      </c>
      <c r="GL243" s="27" t="s">
        <v>7</v>
      </c>
      <c r="GM243" s="27" t="s">
        <v>8</v>
      </c>
      <c r="GN243" s="27" t="s">
        <v>7</v>
      </c>
      <c r="GO243" s="27" t="s">
        <v>8</v>
      </c>
      <c r="GP243" s="27" t="s">
        <v>7</v>
      </c>
    </row>
    <row r="244" spans="1:212" x14ac:dyDescent="0.25">
      <c r="A244" s="30">
        <v>0.82270247479188063</v>
      </c>
      <c r="B244"/>
      <c r="C244"/>
      <c r="D244"/>
      <c r="E244"/>
      <c r="F244" s="27" t="s">
        <v>7</v>
      </c>
      <c r="DK244" s="27" t="s">
        <v>8</v>
      </c>
      <c r="DL244" s="27" t="s">
        <v>7</v>
      </c>
      <c r="FQ244" s="27" t="s">
        <v>8</v>
      </c>
      <c r="FR244" s="27" t="s">
        <v>7</v>
      </c>
      <c r="FS244" s="27" t="s">
        <v>8</v>
      </c>
      <c r="FT244" s="27" t="s">
        <v>7</v>
      </c>
      <c r="FV244" s="27" t="s">
        <v>7</v>
      </c>
      <c r="FW244" s="27" t="s">
        <v>8</v>
      </c>
      <c r="FX244" s="27" t="s">
        <v>7</v>
      </c>
      <c r="FY244" s="27" t="s">
        <v>8</v>
      </c>
      <c r="FZ244" s="27" t="s">
        <v>7</v>
      </c>
      <c r="GA244" s="27" t="s">
        <v>8</v>
      </c>
      <c r="GC244" s="27" t="s">
        <v>8</v>
      </c>
      <c r="GD244" s="27" t="s">
        <v>7</v>
      </c>
      <c r="GE244" s="27" t="s">
        <v>8</v>
      </c>
      <c r="GG244" s="27" t="s">
        <v>8</v>
      </c>
      <c r="GI244" s="27" t="s">
        <v>8</v>
      </c>
      <c r="GJ244" s="27" t="s">
        <v>7</v>
      </c>
      <c r="GK244" s="27" t="s">
        <v>8</v>
      </c>
      <c r="GL244" s="27" t="s">
        <v>7</v>
      </c>
      <c r="GN244" s="27" t="s">
        <v>7</v>
      </c>
      <c r="GO244" s="27" t="s">
        <v>8</v>
      </c>
      <c r="GP244" s="27" t="s">
        <v>7</v>
      </c>
      <c r="GQ244" s="27" t="s">
        <v>8</v>
      </c>
    </row>
    <row r="245" spans="1:212" x14ac:dyDescent="0.25">
      <c r="A245" s="30">
        <v>0.78352616646845741</v>
      </c>
      <c r="B245"/>
      <c r="C245"/>
      <c r="D245"/>
      <c r="E245"/>
      <c r="F245" s="27" t="s">
        <v>7</v>
      </c>
      <c r="DK245" s="27" t="s">
        <v>8</v>
      </c>
      <c r="DL245" s="27" t="s">
        <v>7</v>
      </c>
      <c r="FQ245" s="27" t="s">
        <v>8</v>
      </c>
      <c r="FR245" s="27" t="s">
        <v>7</v>
      </c>
      <c r="FV245" s="27" t="s">
        <v>7</v>
      </c>
      <c r="FW245" s="27" t="s">
        <v>8</v>
      </c>
      <c r="FX245" s="27" t="s">
        <v>7</v>
      </c>
      <c r="FY245" s="27" t="s">
        <v>8</v>
      </c>
      <c r="FZ245" s="27" t="s">
        <v>7</v>
      </c>
      <c r="GA245" s="27" t="s">
        <v>8</v>
      </c>
      <c r="GB245" s="27" t="s">
        <v>7</v>
      </c>
      <c r="GC245" s="27" t="s">
        <v>8</v>
      </c>
      <c r="GD245" s="27" t="s">
        <v>7</v>
      </c>
      <c r="GE245" s="27" t="s">
        <v>8</v>
      </c>
      <c r="GF245" s="27" t="s">
        <v>7</v>
      </c>
      <c r="GG245" s="27" t="s">
        <v>8</v>
      </c>
      <c r="GH245" s="27" t="s">
        <v>7</v>
      </c>
      <c r="GI245" s="27" t="s">
        <v>8</v>
      </c>
      <c r="GJ245" s="27" t="s">
        <v>7</v>
      </c>
      <c r="GK245" s="27" t="s">
        <v>8</v>
      </c>
      <c r="GN245" s="27" t="s">
        <v>7</v>
      </c>
      <c r="GO245" s="27" t="s">
        <v>8</v>
      </c>
      <c r="GP245" s="27" t="s">
        <v>7</v>
      </c>
      <c r="GQ245" s="27" t="s">
        <v>8</v>
      </c>
      <c r="GR245" s="27" t="s">
        <v>7</v>
      </c>
    </row>
    <row r="246" spans="1:212" x14ac:dyDescent="0.25">
      <c r="A246" s="30">
        <v>0.74621539663662584</v>
      </c>
      <c r="B246"/>
      <c r="C246"/>
      <c r="D246"/>
      <c r="E246"/>
      <c r="F246" s="27" t="s">
        <v>7</v>
      </c>
      <c r="DE246" s="27" t="s">
        <v>8</v>
      </c>
      <c r="DI246" s="27" t="s">
        <v>8</v>
      </c>
      <c r="DK246" s="27" t="s">
        <v>8</v>
      </c>
      <c r="DL246" s="27" t="s">
        <v>7</v>
      </c>
      <c r="DM246" s="27" t="s">
        <v>8</v>
      </c>
      <c r="DO246" s="27" t="s">
        <v>8</v>
      </c>
      <c r="FQ246" s="27" t="s">
        <v>8</v>
      </c>
      <c r="FV246" s="27" t="s">
        <v>7</v>
      </c>
      <c r="FW246" s="27" t="s">
        <v>8</v>
      </c>
      <c r="FX246" s="27" t="s">
        <v>7</v>
      </c>
      <c r="FY246" s="27" t="s">
        <v>8</v>
      </c>
      <c r="FZ246" s="27" t="s">
        <v>7</v>
      </c>
      <c r="GA246" s="27" t="s">
        <v>8</v>
      </c>
      <c r="GB246" s="27" t="s">
        <v>7</v>
      </c>
      <c r="GC246" s="27" t="s">
        <v>8</v>
      </c>
      <c r="GD246" s="27" t="s">
        <v>7</v>
      </c>
      <c r="GE246" s="27" t="s">
        <v>8</v>
      </c>
      <c r="GF246" s="27" t="s">
        <v>7</v>
      </c>
      <c r="GG246" s="27" t="s">
        <v>8</v>
      </c>
      <c r="GH246" s="27" t="s">
        <v>7</v>
      </c>
      <c r="GI246" s="27" t="s">
        <v>8</v>
      </c>
      <c r="GJ246" s="27" t="s">
        <v>7</v>
      </c>
      <c r="GN246" s="27" t="s">
        <v>7</v>
      </c>
      <c r="GO246" s="27" t="s">
        <v>8</v>
      </c>
      <c r="GP246" s="27" t="s">
        <v>7</v>
      </c>
      <c r="GQ246" s="27" t="s">
        <v>8</v>
      </c>
      <c r="GR246" s="27" t="s">
        <v>7</v>
      </c>
    </row>
    <row r="247" spans="1:212" x14ac:dyDescent="0.25">
      <c r="A247" s="30">
        <v>0.71068133013011958</v>
      </c>
      <c r="B247"/>
      <c r="C247"/>
      <c r="D247"/>
      <c r="E247"/>
      <c r="F247" s="27" t="s">
        <v>7</v>
      </c>
      <c r="DE247" s="27" t="s">
        <v>8</v>
      </c>
      <c r="DF247" s="27" t="s">
        <v>7</v>
      </c>
      <c r="DI247" s="27" t="s">
        <v>8</v>
      </c>
      <c r="DJ247" s="27" t="s">
        <v>7</v>
      </c>
      <c r="DK247" s="27" t="s">
        <v>8</v>
      </c>
      <c r="DL247" s="27" t="s">
        <v>7</v>
      </c>
      <c r="DM247" s="27" t="s">
        <v>8</v>
      </c>
      <c r="DN247" s="27" t="s">
        <v>7</v>
      </c>
      <c r="DO247" s="27" t="s">
        <v>8</v>
      </c>
      <c r="DP247" s="27" t="s">
        <v>7</v>
      </c>
      <c r="FQ247" s="27" t="s">
        <v>8</v>
      </c>
      <c r="FV247" s="27" t="s">
        <v>7</v>
      </c>
      <c r="FW247" s="27" t="s">
        <v>8</v>
      </c>
      <c r="FX247" s="27" t="s">
        <v>7</v>
      </c>
      <c r="FZ247" s="27" t="s">
        <v>7</v>
      </c>
      <c r="GA247" s="27" t="s">
        <v>8</v>
      </c>
      <c r="GB247" s="27" t="s">
        <v>7</v>
      </c>
      <c r="GC247" s="27" t="s">
        <v>8</v>
      </c>
      <c r="GD247" s="27" t="s">
        <v>7</v>
      </c>
      <c r="GF247" s="27" t="s">
        <v>7</v>
      </c>
      <c r="GH247" s="27" t="s">
        <v>7</v>
      </c>
      <c r="GN247" s="27" t="s">
        <v>7</v>
      </c>
      <c r="GO247" s="27" t="s">
        <v>8</v>
      </c>
      <c r="GP247" s="27" t="s">
        <v>7</v>
      </c>
      <c r="GR247" s="27" t="s">
        <v>7</v>
      </c>
    </row>
    <row r="248" spans="1:212" x14ac:dyDescent="0.25">
      <c r="A248" s="30">
        <v>0.676839362028685</v>
      </c>
      <c r="B248"/>
      <c r="C248"/>
      <c r="D248"/>
      <c r="E248"/>
      <c r="F248" s="27" t="s">
        <v>7</v>
      </c>
      <c r="DE248" s="27" t="s">
        <v>8</v>
      </c>
      <c r="DF248" s="27" t="s">
        <v>7</v>
      </c>
      <c r="DG248" s="27" t="s">
        <v>8</v>
      </c>
      <c r="DI248" s="27" t="s">
        <v>8</v>
      </c>
      <c r="DJ248" s="27" t="s">
        <v>7</v>
      </c>
      <c r="DK248" s="27" t="s">
        <v>8</v>
      </c>
      <c r="DL248" s="27" t="s">
        <v>7</v>
      </c>
      <c r="DM248" s="27" t="s">
        <v>8</v>
      </c>
      <c r="DN248" s="27" t="s">
        <v>7</v>
      </c>
      <c r="DO248" s="27" t="s">
        <v>8</v>
      </c>
      <c r="DP248" s="27" t="s">
        <v>7</v>
      </c>
      <c r="DQ248" s="27" t="s">
        <v>8</v>
      </c>
      <c r="EA248" s="27" t="s">
        <v>8</v>
      </c>
      <c r="FQ248" s="27" t="s">
        <v>8</v>
      </c>
      <c r="FV248" s="27" t="s">
        <v>7</v>
      </c>
      <c r="FW248" s="27" t="s">
        <v>8</v>
      </c>
      <c r="FZ248" s="27" t="s">
        <v>7</v>
      </c>
      <c r="GB248" s="27" t="s">
        <v>7</v>
      </c>
      <c r="GN248" s="27" t="s">
        <v>7</v>
      </c>
      <c r="GR248" s="27" t="s">
        <v>7</v>
      </c>
    </row>
    <row r="249" spans="1:212" x14ac:dyDescent="0.25">
      <c r="A249" s="30">
        <v>0.64460891621779492</v>
      </c>
      <c r="B249"/>
      <c r="C249"/>
      <c r="D249"/>
      <c r="E249"/>
      <c r="F249" s="27" t="s">
        <v>7</v>
      </c>
      <c r="DE249" s="27" t="s">
        <v>8</v>
      </c>
      <c r="DF249" s="27" t="s">
        <v>7</v>
      </c>
      <c r="DG249" s="27" t="s">
        <v>8</v>
      </c>
      <c r="DH249" s="27" t="s">
        <v>7</v>
      </c>
      <c r="DI249" s="27" t="s">
        <v>8</v>
      </c>
      <c r="DJ249" s="27" t="s">
        <v>7</v>
      </c>
      <c r="DK249" s="27" t="s">
        <v>8</v>
      </c>
      <c r="DL249" s="27" t="s">
        <v>7</v>
      </c>
      <c r="DM249" s="27" t="s">
        <v>8</v>
      </c>
      <c r="DN249" s="27" t="s">
        <v>7</v>
      </c>
      <c r="DO249" s="27" t="s">
        <v>8</v>
      </c>
      <c r="DP249" s="27" t="s">
        <v>7</v>
      </c>
      <c r="DQ249" s="27" t="s">
        <v>8</v>
      </c>
      <c r="DR249" s="27" t="s">
        <v>7</v>
      </c>
      <c r="DY249" s="27" t="s">
        <v>8</v>
      </c>
      <c r="EA249" s="27" t="s">
        <v>8</v>
      </c>
      <c r="EB249" s="27" t="s">
        <v>7</v>
      </c>
      <c r="FQ249" s="27" t="s">
        <v>8</v>
      </c>
      <c r="FV249" s="27" t="s">
        <v>7</v>
      </c>
      <c r="FW249" s="27" t="s">
        <v>8</v>
      </c>
      <c r="GR249" s="27" t="s">
        <v>7</v>
      </c>
      <c r="GY249" s="27" t="s">
        <v>8</v>
      </c>
    </row>
    <row r="250" spans="1:212" x14ac:dyDescent="0.25">
      <c r="A250" s="30">
        <v>0.61391325354075688</v>
      </c>
      <c r="B250"/>
      <c r="C250"/>
      <c r="D250"/>
      <c r="E250"/>
      <c r="F250" s="27" t="s">
        <v>7</v>
      </c>
      <c r="DE250" s="27" t="s">
        <v>8</v>
      </c>
      <c r="DF250" s="27" t="s">
        <v>7</v>
      </c>
      <c r="DG250" s="27" t="s">
        <v>8</v>
      </c>
      <c r="DH250" s="27" t="s">
        <v>7</v>
      </c>
      <c r="DI250" s="27" t="s">
        <v>8</v>
      </c>
      <c r="DJ250" s="27" t="s">
        <v>7</v>
      </c>
      <c r="DK250" s="27" t="s">
        <v>8</v>
      </c>
      <c r="DL250" s="27" t="s">
        <v>7</v>
      </c>
      <c r="DN250" s="27" t="s">
        <v>7</v>
      </c>
      <c r="DO250" s="27" t="s">
        <v>8</v>
      </c>
      <c r="DP250" s="27" t="s">
        <v>7</v>
      </c>
      <c r="DQ250" s="27" t="s">
        <v>8</v>
      </c>
      <c r="DR250" s="27" t="s">
        <v>7</v>
      </c>
      <c r="DY250" s="27" t="s">
        <v>8</v>
      </c>
      <c r="DZ250" s="27" t="s">
        <v>7</v>
      </c>
      <c r="EA250" s="27" t="s">
        <v>8</v>
      </c>
      <c r="EB250" s="27" t="s">
        <v>7</v>
      </c>
      <c r="FQ250" s="27" t="s">
        <v>8</v>
      </c>
      <c r="FV250" s="27" t="s">
        <v>7</v>
      </c>
      <c r="FW250" s="27" t="s">
        <v>8</v>
      </c>
      <c r="GR250" s="27" t="s">
        <v>7</v>
      </c>
      <c r="GS250" s="27" t="s">
        <v>8</v>
      </c>
      <c r="GW250" s="27" t="s">
        <v>8</v>
      </c>
      <c r="GY250" s="27" t="s">
        <v>8</v>
      </c>
      <c r="GZ250" s="27" t="s">
        <v>7</v>
      </c>
    </row>
    <row r="251" spans="1:212" x14ac:dyDescent="0.25">
      <c r="A251" s="30">
        <v>0.58467928908643485</v>
      </c>
      <c r="B251"/>
      <c r="C251"/>
      <c r="D251"/>
      <c r="E251"/>
      <c r="F251" s="27" t="s">
        <v>7</v>
      </c>
      <c r="DE251" s="27" t="s">
        <v>8</v>
      </c>
      <c r="DF251" s="27" t="s">
        <v>7</v>
      </c>
      <c r="DH251" s="27" t="s">
        <v>7</v>
      </c>
      <c r="DI251" s="27" t="s">
        <v>8</v>
      </c>
      <c r="DJ251" s="27" t="s">
        <v>7</v>
      </c>
      <c r="DN251" s="27" t="s">
        <v>7</v>
      </c>
      <c r="DO251" s="27" t="s">
        <v>8</v>
      </c>
      <c r="DP251" s="27" t="s">
        <v>7</v>
      </c>
      <c r="DR251" s="27" t="s">
        <v>7</v>
      </c>
      <c r="DY251" s="27" t="s">
        <v>8</v>
      </c>
      <c r="DZ251" s="27" t="s">
        <v>7</v>
      </c>
      <c r="EA251" s="27" t="s">
        <v>8</v>
      </c>
      <c r="EB251" s="27" t="s">
        <v>7</v>
      </c>
      <c r="FM251" s="27" t="s">
        <v>8</v>
      </c>
      <c r="FO251" s="27" t="s">
        <v>8</v>
      </c>
      <c r="FQ251" s="27" t="s">
        <v>8</v>
      </c>
      <c r="FV251" s="27" t="s">
        <v>7</v>
      </c>
      <c r="GR251" s="27" t="s">
        <v>7</v>
      </c>
      <c r="GS251" s="27" t="s">
        <v>8</v>
      </c>
      <c r="GT251" s="27" t="s">
        <v>7</v>
      </c>
      <c r="GW251" s="27" t="s">
        <v>8</v>
      </c>
      <c r="GX251" s="27" t="s">
        <v>7</v>
      </c>
      <c r="GY251" s="27" t="s">
        <v>8</v>
      </c>
      <c r="GZ251" s="27" t="s">
        <v>7</v>
      </c>
    </row>
    <row r="252" spans="1:212" x14ac:dyDescent="0.25">
      <c r="A252" s="30">
        <v>0.55683741817755672</v>
      </c>
      <c r="B252"/>
      <c r="C252"/>
      <c r="D252"/>
      <c r="E252"/>
      <c r="F252" s="27" t="s">
        <v>7</v>
      </c>
      <c r="DE252" s="27" t="s">
        <v>8</v>
      </c>
      <c r="DH252" s="27" t="s">
        <v>7</v>
      </c>
      <c r="DI252" s="27" t="s">
        <v>8</v>
      </c>
      <c r="DN252" s="27" t="s">
        <v>7</v>
      </c>
      <c r="DR252" s="27" t="s">
        <v>7</v>
      </c>
      <c r="DS252" s="27" t="s">
        <v>8</v>
      </c>
      <c r="DU252" s="27" t="s">
        <v>8</v>
      </c>
      <c r="DY252" s="27" t="s">
        <v>8</v>
      </c>
      <c r="DZ252" s="27" t="s">
        <v>7</v>
      </c>
      <c r="EA252" s="27" t="s">
        <v>8</v>
      </c>
      <c r="EB252" s="27" t="s">
        <v>7</v>
      </c>
      <c r="EC252" s="27" t="s">
        <v>8</v>
      </c>
      <c r="EE252" s="27" t="s">
        <v>8</v>
      </c>
      <c r="FM252" s="27" t="s">
        <v>8</v>
      </c>
      <c r="FN252" s="27" t="s">
        <v>7</v>
      </c>
      <c r="FO252" s="27" t="s">
        <v>8</v>
      </c>
      <c r="FP252" s="27" t="s">
        <v>7</v>
      </c>
      <c r="FQ252" s="27" t="s">
        <v>8</v>
      </c>
      <c r="GR252" s="27" t="s">
        <v>7</v>
      </c>
      <c r="GS252" s="27" t="s">
        <v>8</v>
      </c>
      <c r="GT252" s="27" t="s">
        <v>7</v>
      </c>
      <c r="GW252" s="27" t="s">
        <v>8</v>
      </c>
      <c r="GX252" s="27" t="s">
        <v>7</v>
      </c>
      <c r="GY252" s="27" t="s">
        <v>8</v>
      </c>
      <c r="GZ252" s="27" t="s">
        <v>7</v>
      </c>
    </row>
    <row r="253" spans="1:212" x14ac:dyDescent="0.25">
      <c r="A253" s="30">
        <v>0.53032135064529184</v>
      </c>
      <c r="B253"/>
      <c r="C253"/>
      <c r="D253"/>
      <c r="E253"/>
      <c r="F253" s="27" t="s">
        <v>7</v>
      </c>
      <c r="DE253" s="27" t="s">
        <v>8</v>
      </c>
      <c r="DH253" s="27" t="s">
        <v>7</v>
      </c>
      <c r="DR253" s="27" t="s">
        <v>7</v>
      </c>
      <c r="DS253" s="27" t="s">
        <v>8</v>
      </c>
      <c r="DT253" s="27" t="s">
        <v>7</v>
      </c>
      <c r="DU253" s="27" t="s">
        <v>8</v>
      </c>
      <c r="DV253" s="27" t="s">
        <v>7</v>
      </c>
      <c r="DY253" s="27" t="s">
        <v>8</v>
      </c>
      <c r="DZ253" s="27" t="s">
        <v>7</v>
      </c>
      <c r="EB253" s="27" t="s">
        <v>7</v>
      </c>
      <c r="EC253" s="27" t="s">
        <v>8</v>
      </c>
      <c r="ED253" s="27" t="s">
        <v>7</v>
      </c>
      <c r="EE253" s="27" t="s">
        <v>8</v>
      </c>
      <c r="EF253" s="27" t="s">
        <v>7</v>
      </c>
      <c r="EG253" s="27" t="s">
        <v>8</v>
      </c>
      <c r="FK253" s="27" t="s">
        <v>8</v>
      </c>
      <c r="FM253" s="27" t="s">
        <v>8</v>
      </c>
      <c r="FN253" s="27" t="s">
        <v>7</v>
      </c>
      <c r="FO253" s="27" t="s">
        <v>8</v>
      </c>
      <c r="FP253" s="27" t="s">
        <v>7</v>
      </c>
      <c r="FQ253" s="27" t="s">
        <v>8</v>
      </c>
      <c r="GR253" s="27" t="s">
        <v>7</v>
      </c>
      <c r="GT253" s="27" t="s">
        <v>7</v>
      </c>
      <c r="GU253" s="27" t="s">
        <v>8</v>
      </c>
      <c r="GW253" s="27" t="s">
        <v>8</v>
      </c>
      <c r="GX253" s="27" t="s">
        <v>7</v>
      </c>
      <c r="GY253" s="27" t="s">
        <v>8</v>
      </c>
      <c r="GZ253" s="27" t="s">
        <v>7</v>
      </c>
      <c r="HA253" s="27" t="s">
        <v>8</v>
      </c>
      <c r="HC253" s="27" t="s">
        <v>8</v>
      </c>
    </row>
    <row r="254" spans="1:212" x14ac:dyDescent="0.25">
      <c r="A254" s="30">
        <v>0.50506795299551588</v>
      </c>
      <c r="B254"/>
      <c r="C254"/>
      <c r="D254"/>
      <c r="E254"/>
      <c r="F254" s="27" t="s">
        <v>7</v>
      </c>
      <c r="DE254" s="27" t="s">
        <v>8</v>
      </c>
      <c r="DR254" s="27" t="s">
        <v>7</v>
      </c>
      <c r="DS254" s="27" t="s">
        <v>8</v>
      </c>
      <c r="DT254" s="27" t="s">
        <v>7</v>
      </c>
      <c r="DU254" s="27" t="s">
        <v>8</v>
      </c>
      <c r="DV254" s="27" t="s">
        <v>7</v>
      </c>
      <c r="DY254" s="27" t="s">
        <v>8</v>
      </c>
      <c r="EB254" s="27" t="s">
        <v>7</v>
      </c>
      <c r="EC254" s="27" t="s">
        <v>8</v>
      </c>
      <c r="ED254" s="27" t="s">
        <v>7</v>
      </c>
      <c r="EE254" s="27" t="s">
        <v>8</v>
      </c>
      <c r="EF254" s="27" t="s">
        <v>7</v>
      </c>
      <c r="EG254" s="27" t="s">
        <v>8</v>
      </c>
      <c r="EH254" s="27" t="s">
        <v>7</v>
      </c>
      <c r="FK254" s="27" t="s">
        <v>8</v>
      </c>
      <c r="FL254" s="27" t="s">
        <v>7</v>
      </c>
      <c r="FM254" s="27" t="s">
        <v>8</v>
      </c>
      <c r="FN254" s="27" t="s">
        <v>7</v>
      </c>
      <c r="FP254" s="27" t="s">
        <v>7</v>
      </c>
      <c r="GT254" s="27" t="s">
        <v>7</v>
      </c>
      <c r="GU254" s="27" t="s">
        <v>8</v>
      </c>
      <c r="GV254" s="27" t="s">
        <v>7</v>
      </c>
      <c r="GW254" s="27" t="s">
        <v>8</v>
      </c>
      <c r="GX254" s="27" t="s">
        <v>7</v>
      </c>
      <c r="GZ254" s="27" t="s">
        <v>7</v>
      </c>
      <c r="HA254" s="27" t="s">
        <v>8</v>
      </c>
      <c r="HB254" s="27" t="s">
        <v>7</v>
      </c>
      <c r="HC254" s="27" t="s">
        <v>8</v>
      </c>
      <c r="HD254" s="27" t="s">
        <v>7</v>
      </c>
    </row>
    <row r="255" spans="1:212" x14ac:dyDescent="0.25">
      <c r="A255" s="30">
        <v>0.48101709809096732</v>
      </c>
      <c r="E255"/>
      <c r="F255" s="27" t="s">
        <v>7</v>
      </c>
      <c r="DC255" s="27" t="s">
        <v>8</v>
      </c>
      <c r="DE255" s="27" t="s">
        <v>8</v>
      </c>
      <c r="DR255" s="27" t="s">
        <v>7</v>
      </c>
      <c r="DT255" s="27" t="s">
        <v>7</v>
      </c>
      <c r="DU255" s="27" t="s">
        <v>8</v>
      </c>
      <c r="DV255" s="27" t="s">
        <v>7</v>
      </c>
      <c r="DY255" s="27" t="s">
        <v>8</v>
      </c>
      <c r="EB255" s="27" t="s">
        <v>7</v>
      </c>
      <c r="EC255" s="27" t="s">
        <v>8</v>
      </c>
      <c r="ED255" s="27" t="s">
        <v>7</v>
      </c>
      <c r="EE255" s="27" t="s">
        <v>8</v>
      </c>
      <c r="EF255" s="27" t="s">
        <v>7</v>
      </c>
      <c r="EG255" s="27" t="s">
        <v>8</v>
      </c>
      <c r="EH255" s="27" t="s">
        <v>7</v>
      </c>
      <c r="FK255" s="27" t="s">
        <v>8</v>
      </c>
      <c r="FL255" s="27" t="s">
        <v>7</v>
      </c>
      <c r="FM255" s="27" t="s">
        <v>8</v>
      </c>
      <c r="GT255" s="27" t="s">
        <v>7</v>
      </c>
      <c r="GU255" s="27" t="s">
        <v>8</v>
      </c>
      <c r="GV255" s="27" t="s">
        <v>7</v>
      </c>
      <c r="GW255" s="27" t="s">
        <v>8</v>
      </c>
      <c r="GZ255" s="27" t="s">
        <v>7</v>
      </c>
      <c r="HA255" s="27" t="s">
        <v>8</v>
      </c>
      <c r="HB255" s="27" t="s">
        <v>7</v>
      </c>
      <c r="HC255" s="27" t="s">
        <v>8</v>
      </c>
      <c r="HD255" s="27" t="s">
        <v>7</v>
      </c>
    </row>
    <row r="256" spans="1:212" x14ac:dyDescent="0.25">
      <c r="A256" s="30">
        <v>0.45811152199139726</v>
      </c>
      <c r="E256"/>
      <c r="F256" s="27" t="s">
        <v>7</v>
      </c>
      <c r="DC256" s="27" t="s">
        <v>8</v>
      </c>
      <c r="DD256" s="27" t="s">
        <v>7</v>
      </c>
      <c r="DE256" s="27" t="s">
        <v>8</v>
      </c>
      <c r="DT256" s="27" t="s">
        <v>7</v>
      </c>
      <c r="DU256" s="27" t="s">
        <v>8</v>
      </c>
      <c r="DV256" s="27" t="s">
        <v>7</v>
      </c>
      <c r="DY256" s="27" t="s">
        <v>8</v>
      </c>
      <c r="EB256" s="27" t="s">
        <v>7</v>
      </c>
      <c r="ED256" s="27" t="s">
        <v>7</v>
      </c>
      <c r="EE256" s="27" t="s">
        <v>8</v>
      </c>
      <c r="EF256" s="27" t="s">
        <v>7</v>
      </c>
      <c r="EG256" s="27" t="s">
        <v>8</v>
      </c>
      <c r="EH256" s="27" t="s">
        <v>7</v>
      </c>
      <c r="FK256" s="27" t="s">
        <v>8</v>
      </c>
      <c r="FL256" s="27" t="s">
        <v>7</v>
      </c>
      <c r="GT256" s="27" t="s">
        <v>7</v>
      </c>
      <c r="GV256" s="27" t="s">
        <v>7</v>
      </c>
      <c r="GW256" s="27" t="s">
        <v>8</v>
      </c>
      <c r="GZ256" s="27" t="s">
        <v>7</v>
      </c>
      <c r="HA256" s="27" t="s">
        <v>8</v>
      </c>
      <c r="HB256" s="27" t="s">
        <v>7</v>
      </c>
      <c r="HD256" s="27" t="s">
        <v>7</v>
      </c>
    </row>
    <row r="257" spans="1:213" x14ac:dyDescent="0.25">
      <c r="A257" s="30">
        <v>0.43629668761085438</v>
      </c>
      <c r="B257"/>
      <c r="C257"/>
      <c r="D257"/>
      <c r="E257"/>
      <c r="F257" s="27" t="s">
        <v>7</v>
      </c>
      <c r="DC257" s="27" t="s">
        <v>8</v>
      </c>
      <c r="DD257" s="27" t="s">
        <v>7</v>
      </c>
      <c r="DE257" s="27" t="s">
        <v>8</v>
      </c>
      <c r="DT257" s="27" t="s">
        <v>7</v>
      </c>
      <c r="DU257" s="27" t="s">
        <v>8</v>
      </c>
      <c r="DV257" s="27" t="s">
        <v>7</v>
      </c>
      <c r="DY257" s="27" t="s">
        <v>8</v>
      </c>
      <c r="ED257" s="27" t="s">
        <v>7</v>
      </c>
      <c r="EE257" s="27" t="s">
        <v>8</v>
      </c>
      <c r="EF257" s="27" t="s">
        <v>7</v>
      </c>
      <c r="EG257" s="27" t="s">
        <v>8</v>
      </c>
      <c r="EH257" s="27" t="s">
        <v>7</v>
      </c>
      <c r="EQ257" s="27" t="s">
        <v>8</v>
      </c>
      <c r="FI257" s="27" t="s">
        <v>8</v>
      </c>
      <c r="FK257" s="27" t="s">
        <v>8</v>
      </c>
      <c r="GV257" s="27" t="s">
        <v>7</v>
      </c>
      <c r="GZ257" s="27" t="s">
        <v>7</v>
      </c>
      <c r="HD257" s="27" t="s">
        <v>7</v>
      </c>
    </row>
    <row r="258" spans="1:213" x14ac:dyDescent="0.25">
      <c r="A258" s="30">
        <v>0.41552065486748019</v>
      </c>
      <c r="B258"/>
      <c r="C258"/>
      <c r="D258"/>
      <c r="E258"/>
      <c r="F258" s="27" t="s">
        <v>7</v>
      </c>
      <c r="DC258" s="27" t="s">
        <v>8</v>
      </c>
      <c r="DD258" s="27" t="s">
        <v>7</v>
      </c>
      <c r="DE258" s="27" t="s">
        <v>8</v>
      </c>
      <c r="DT258" s="27" t="s">
        <v>7</v>
      </c>
      <c r="DV258" s="27" t="s">
        <v>7</v>
      </c>
      <c r="DY258" s="27" t="s">
        <v>8</v>
      </c>
      <c r="ED258" s="27" t="s">
        <v>7</v>
      </c>
      <c r="EF258" s="27" t="s">
        <v>7</v>
      </c>
      <c r="EH258" s="27" t="s">
        <v>7</v>
      </c>
      <c r="EQ258" s="27" t="s">
        <v>8</v>
      </c>
      <c r="ER258" s="27" t="s">
        <v>7</v>
      </c>
      <c r="ES258" s="27" t="s">
        <v>8</v>
      </c>
      <c r="FI258" s="27" t="s">
        <v>8</v>
      </c>
      <c r="FJ258" s="27" t="s">
        <v>7</v>
      </c>
      <c r="FK258" s="27" t="s">
        <v>8</v>
      </c>
      <c r="HD258" s="27" t="s">
        <v>7</v>
      </c>
    </row>
    <row r="259" spans="1:213" x14ac:dyDescent="0.25">
      <c r="A259" s="30">
        <v>0.39573395701664765</v>
      </c>
      <c r="B259"/>
      <c r="C259"/>
      <c r="D259"/>
      <c r="E259"/>
      <c r="F259" s="27" t="s">
        <v>7</v>
      </c>
      <c r="DC259" s="27" t="s">
        <v>8</v>
      </c>
      <c r="DD259" s="27" t="s">
        <v>7</v>
      </c>
      <c r="DV259" s="27" t="s">
        <v>7</v>
      </c>
      <c r="DW259" s="27" t="s">
        <v>8</v>
      </c>
      <c r="DY259" s="27" t="s">
        <v>8</v>
      </c>
      <c r="EH259" s="27" t="s">
        <v>7</v>
      </c>
      <c r="EI259" s="27" t="s">
        <v>8</v>
      </c>
      <c r="EQ259" s="27" t="s">
        <v>8</v>
      </c>
      <c r="ER259" s="27" t="s">
        <v>7</v>
      </c>
      <c r="ES259" s="27" t="s">
        <v>8</v>
      </c>
      <c r="ET259" s="27" t="s">
        <v>7</v>
      </c>
      <c r="FG259" s="27" t="s">
        <v>8</v>
      </c>
      <c r="FI259" s="27" t="s">
        <v>8</v>
      </c>
      <c r="FJ259" s="27" t="s">
        <v>7</v>
      </c>
      <c r="FK259" s="27" t="s">
        <v>8</v>
      </c>
      <c r="HD259" s="27" t="s">
        <v>7</v>
      </c>
    </row>
    <row r="260" spans="1:213" x14ac:dyDescent="0.25">
      <c r="A260" s="30">
        <v>0.37688948287299762</v>
      </c>
      <c r="B260"/>
      <c r="C260"/>
      <c r="D260"/>
      <c r="E260"/>
      <c r="F260" s="27" t="s">
        <v>7</v>
      </c>
      <c r="DC260" s="27" t="s">
        <v>8</v>
      </c>
      <c r="DV260" s="27" t="s">
        <v>7</v>
      </c>
      <c r="DW260" s="27" t="s">
        <v>8</v>
      </c>
      <c r="DX260" s="27" t="s">
        <v>7</v>
      </c>
      <c r="DY260" s="27" t="s">
        <v>8</v>
      </c>
      <c r="EH260" s="27" t="s">
        <v>7</v>
      </c>
      <c r="EI260" s="27" t="s">
        <v>8</v>
      </c>
      <c r="EJ260" s="27" t="s">
        <v>7</v>
      </c>
      <c r="EQ260" s="27" t="s">
        <v>8</v>
      </c>
      <c r="ER260" s="27" t="s">
        <v>7</v>
      </c>
      <c r="ES260" s="27" t="s">
        <v>8</v>
      </c>
      <c r="ET260" s="27" t="s">
        <v>7</v>
      </c>
      <c r="FG260" s="27" t="s">
        <v>8</v>
      </c>
      <c r="FH260" s="27" t="s">
        <v>7</v>
      </c>
      <c r="FI260" s="27" t="s">
        <v>8</v>
      </c>
      <c r="FJ260" s="27" t="s">
        <v>7</v>
      </c>
      <c r="HD260" s="27" t="s">
        <v>7</v>
      </c>
    </row>
    <row r="261" spans="1:213" x14ac:dyDescent="0.25">
      <c r="A261" s="30">
        <v>0.35894236464094997</v>
      </c>
      <c r="B261"/>
      <c r="C261"/>
      <c r="D261"/>
      <c r="E261"/>
      <c r="F261" s="27" t="s">
        <v>7</v>
      </c>
      <c r="DC261" s="27" t="s">
        <v>8</v>
      </c>
      <c r="DV261" s="27" t="s">
        <v>7</v>
      </c>
      <c r="DW261" s="27" t="s">
        <v>8</v>
      </c>
      <c r="DX261" s="27" t="s">
        <v>7</v>
      </c>
      <c r="DY261" s="27" t="s">
        <v>8</v>
      </c>
      <c r="EH261" s="27" t="s">
        <v>7</v>
      </c>
      <c r="EI261" s="27" t="s">
        <v>8</v>
      </c>
      <c r="EJ261" s="27" t="s">
        <v>7</v>
      </c>
      <c r="EQ261" s="27" t="s">
        <v>8</v>
      </c>
      <c r="ER261" s="27" t="s">
        <v>7</v>
      </c>
      <c r="ES261" s="27" t="s">
        <v>8</v>
      </c>
      <c r="ET261" s="27" t="s">
        <v>7</v>
      </c>
      <c r="FG261" s="27" t="s">
        <v>8</v>
      </c>
      <c r="FH261" s="27" t="s">
        <v>7</v>
      </c>
      <c r="FI261" s="27" t="s">
        <v>8</v>
      </c>
      <c r="HD261" s="27" t="s">
        <v>7</v>
      </c>
    </row>
    <row r="262" spans="1:213" x14ac:dyDescent="0.25">
      <c r="A262" s="30">
        <v>0.34184987108661891</v>
      </c>
      <c r="B262"/>
      <c r="C262"/>
      <c r="D262"/>
      <c r="E262"/>
      <c r="F262" s="27" t="s">
        <v>7</v>
      </c>
      <c r="DC262" s="27" t="s">
        <v>8</v>
      </c>
      <c r="DV262" s="27" t="s">
        <v>7</v>
      </c>
      <c r="DX262" s="27" t="s">
        <v>7</v>
      </c>
      <c r="EH262" s="27" t="s">
        <v>7</v>
      </c>
      <c r="EI262" s="27" t="s">
        <v>8</v>
      </c>
      <c r="EJ262" s="27" t="s">
        <v>7</v>
      </c>
      <c r="EM262" s="27" t="s">
        <v>8</v>
      </c>
      <c r="EO262" s="27" t="s">
        <v>8</v>
      </c>
      <c r="EQ262" s="27" t="s">
        <v>8</v>
      </c>
      <c r="ER262" s="27" t="s">
        <v>7</v>
      </c>
      <c r="ET262" s="27" t="s">
        <v>7</v>
      </c>
      <c r="FG262" s="27" t="s">
        <v>8</v>
      </c>
      <c r="FH262" s="27" t="s">
        <v>7</v>
      </c>
      <c r="FI262" s="27" t="s">
        <v>8</v>
      </c>
      <c r="HD262" s="27" t="s">
        <v>7</v>
      </c>
      <c r="HE262" s="27" t="s">
        <v>8</v>
      </c>
    </row>
    <row r="263" spans="1:213" x14ac:dyDescent="0.25">
      <c r="A263" s="30">
        <v>0.32557130579677979</v>
      </c>
      <c r="B263"/>
      <c r="C263"/>
      <c r="D263"/>
      <c r="E263"/>
      <c r="F263" s="27" t="s">
        <v>7</v>
      </c>
      <c r="CU263" s="27" t="s">
        <v>8</v>
      </c>
      <c r="DC263" s="27" t="s">
        <v>8</v>
      </c>
      <c r="EH263" s="27" t="s">
        <v>7</v>
      </c>
      <c r="EI263" s="27" t="s">
        <v>8</v>
      </c>
      <c r="EJ263" s="27" t="s">
        <v>7</v>
      </c>
      <c r="EM263" s="27" t="s">
        <v>8</v>
      </c>
      <c r="EN263" s="27" t="s">
        <v>7</v>
      </c>
      <c r="EO263" s="27" t="s">
        <v>8</v>
      </c>
      <c r="EP263" s="27" t="s">
        <v>7</v>
      </c>
      <c r="EQ263" s="27" t="s">
        <v>8</v>
      </c>
      <c r="ET263" s="27" t="s">
        <v>7</v>
      </c>
      <c r="EU263" s="27" t="s">
        <v>8</v>
      </c>
      <c r="FG263" s="27" t="s">
        <v>8</v>
      </c>
      <c r="FH263" s="27" t="s">
        <v>7</v>
      </c>
      <c r="FI263" s="27" t="s">
        <v>8</v>
      </c>
      <c r="HD263" s="27" t="s">
        <v>7</v>
      </c>
      <c r="HE263" s="27" t="s">
        <v>8</v>
      </c>
    </row>
    <row r="264" spans="1:213" x14ac:dyDescent="0.25">
      <c r="A264" s="30">
        <v>0.3100679102826473</v>
      </c>
      <c r="B264"/>
      <c r="C264"/>
      <c r="D264"/>
      <c r="E264"/>
      <c r="F264" s="27" t="s">
        <v>7</v>
      </c>
      <c r="CU264" s="27" t="s">
        <v>8</v>
      </c>
      <c r="CV264" s="27" t="s">
        <v>7</v>
      </c>
      <c r="CW264" s="27" t="s">
        <v>8</v>
      </c>
      <c r="DC264" s="27" t="s">
        <v>8</v>
      </c>
      <c r="EH264" s="27" t="s">
        <v>7</v>
      </c>
      <c r="EI264" s="27" t="s">
        <v>8</v>
      </c>
      <c r="EJ264" s="27" t="s">
        <v>7</v>
      </c>
      <c r="EM264" s="27" t="s">
        <v>8</v>
      </c>
      <c r="EN264" s="27" t="s">
        <v>7</v>
      </c>
      <c r="EO264" s="27" t="s">
        <v>8</v>
      </c>
      <c r="EP264" s="27" t="s">
        <v>7</v>
      </c>
      <c r="EQ264" s="27" t="s">
        <v>8</v>
      </c>
      <c r="ET264" s="27" t="s">
        <v>7</v>
      </c>
      <c r="EU264" s="27" t="s">
        <v>8</v>
      </c>
      <c r="EV264" s="27" t="s">
        <v>7</v>
      </c>
      <c r="EW264" s="27" t="s">
        <v>8</v>
      </c>
      <c r="FC264" s="27" t="s">
        <v>8</v>
      </c>
      <c r="FG264" s="27" t="s">
        <v>8</v>
      </c>
      <c r="FH264" s="27" t="s">
        <v>7</v>
      </c>
      <c r="HD264" s="27" t="s">
        <v>7</v>
      </c>
      <c r="HE264" s="27" t="s">
        <v>8</v>
      </c>
    </row>
    <row r="265" spans="1:213" x14ac:dyDescent="0.25">
      <c r="A265" s="30">
        <v>0.2953027716977592</v>
      </c>
      <c r="B265"/>
      <c r="C265"/>
      <c r="D265"/>
      <c r="E265"/>
      <c r="F265" s="27" t="s">
        <v>7</v>
      </c>
      <c r="CU265" s="27" t="s">
        <v>8</v>
      </c>
      <c r="CV265" s="27" t="s">
        <v>7</v>
      </c>
      <c r="CW265" s="27" t="s">
        <v>8</v>
      </c>
      <c r="CX265" s="27" t="s">
        <v>7</v>
      </c>
      <c r="DC265" s="27" t="s">
        <v>8</v>
      </c>
      <c r="EH265" s="27" t="s">
        <v>7</v>
      </c>
      <c r="EI265" s="27" t="s">
        <v>8</v>
      </c>
      <c r="EJ265" s="27" t="s">
        <v>7</v>
      </c>
      <c r="EK265" s="27" t="s">
        <v>8</v>
      </c>
      <c r="EM265" s="27" t="s">
        <v>8</v>
      </c>
      <c r="EN265" s="27" t="s">
        <v>7</v>
      </c>
      <c r="EO265" s="27" t="s">
        <v>8</v>
      </c>
      <c r="EP265" s="27" t="s">
        <v>7</v>
      </c>
      <c r="EQ265" s="27" t="s">
        <v>8</v>
      </c>
      <c r="ET265" s="27" t="s">
        <v>7</v>
      </c>
      <c r="EU265" s="27" t="s">
        <v>8</v>
      </c>
      <c r="EV265" s="27" t="s">
        <v>7</v>
      </c>
      <c r="EW265" s="27" t="s">
        <v>8</v>
      </c>
      <c r="EX265" s="27" t="s">
        <v>7</v>
      </c>
      <c r="FA265" s="27" t="s">
        <v>8</v>
      </c>
      <c r="FC265" s="27" t="s">
        <v>8</v>
      </c>
      <c r="FD265" s="27" t="s">
        <v>7</v>
      </c>
      <c r="FG265" s="27" t="s">
        <v>8</v>
      </c>
      <c r="HD265" s="27" t="s">
        <v>7</v>
      </c>
    </row>
    <row r="266" spans="1:213" x14ac:dyDescent="0.25">
      <c r="A266" s="30">
        <v>0.28124073495024676</v>
      </c>
      <c r="B266"/>
      <c r="C266"/>
      <c r="D266"/>
      <c r="E266"/>
      <c r="F266" s="27" t="s">
        <v>7</v>
      </c>
      <c r="CQ266" s="27" t="s">
        <v>8</v>
      </c>
      <c r="CU266" s="27" t="s">
        <v>8</v>
      </c>
      <c r="CV266" s="27" t="s">
        <v>7</v>
      </c>
      <c r="CW266" s="27" t="s">
        <v>8</v>
      </c>
      <c r="CX266" s="27" t="s">
        <v>7</v>
      </c>
      <c r="DA266" s="27" t="s">
        <v>8</v>
      </c>
      <c r="DC266" s="27" t="s">
        <v>8</v>
      </c>
      <c r="EH266" s="27" t="s">
        <v>7</v>
      </c>
      <c r="EI266" s="27" t="s">
        <v>8</v>
      </c>
      <c r="EJ266" s="27" t="s">
        <v>7</v>
      </c>
      <c r="EK266" s="27" t="s">
        <v>8</v>
      </c>
      <c r="EL266" s="27" t="s">
        <v>7</v>
      </c>
      <c r="EM266" s="27" t="s">
        <v>8</v>
      </c>
      <c r="EN266" s="27" t="s">
        <v>7</v>
      </c>
      <c r="EO266" s="27" t="s">
        <v>8</v>
      </c>
      <c r="EP266" s="27" t="s">
        <v>7</v>
      </c>
      <c r="EQ266" s="27" t="s">
        <v>8</v>
      </c>
      <c r="ET266" s="27" t="s">
        <v>7</v>
      </c>
      <c r="EU266" s="27" t="s">
        <v>8</v>
      </c>
      <c r="EV266" s="27" t="s">
        <v>7</v>
      </c>
      <c r="EW266" s="27" t="s">
        <v>8</v>
      </c>
      <c r="EX266" s="27" t="s">
        <v>7</v>
      </c>
      <c r="FA266" s="27" t="s">
        <v>8</v>
      </c>
      <c r="FB266" s="27" t="s">
        <v>7</v>
      </c>
      <c r="FC266" s="27" t="s">
        <v>8</v>
      </c>
      <c r="FD266" s="27" t="s">
        <v>7</v>
      </c>
      <c r="FG266" s="27" t="s">
        <v>8</v>
      </c>
    </row>
    <row r="267" spans="1:213" x14ac:dyDescent="0.25">
      <c r="A267" s="30">
        <v>0.26784831900023492</v>
      </c>
      <c r="B267"/>
      <c r="C267"/>
      <c r="D267"/>
      <c r="E267"/>
      <c r="F267" s="27" t="s">
        <v>7</v>
      </c>
      <c r="CO267" s="27" t="s">
        <v>8</v>
      </c>
      <c r="CQ267" s="27" t="s">
        <v>8</v>
      </c>
      <c r="CR267" s="27" t="s">
        <v>7</v>
      </c>
      <c r="CU267" s="27" t="s">
        <v>8</v>
      </c>
      <c r="CV267" s="27" t="s">
        <v>7</v>
      </c>
      <c r="CX267" s="27" t="s">
        <v>7</v>
      </c>
      <c r="CY267" s="27" t="s">
        <v>8</v>
      </c>
      <c r="DA267" s="27" t="s">
        <v>8</v>
      </c>
      <c r="DB267" s="27" t="s">
        <v>7</v>
      </c>
      <c r="DC267" s="27" t="s">
        <v>8</v>
      </c>
      <c r="EH267" s="27" t="s">
        <v>7</v>
      </c>
      <c r="EI267" s="27" t="s">
        <v>8</v>
      </c>
      <c r="EJ267" s="27" t="s">
        <v>7</v>
      </c>
      <c r="EK267" s="27" t="s">
        <v>8</v>
      </c>
      <c r="EL267" s="27" t="s">
        <v>7</v>
      </c>
      <c r="EM267" s="27" t="s">
        <v>8</v>
      </c>
      <c r="EN267" s="27" t="s">
        <v>7</v>
      </c>
      <c r="EO267" s="27" t="s">
        <v>8</v>
      </c>
      <c r="EP267" s="27" t="s">
        <v>7</v>
      </c>
      <c r="ET267" s="27" t="s">
        <v>7</v>
      </c>
      <c r="EV267" s="27" t="s">
        <v>7</v>
      </c>
      <c r="EW267" s="27" t="s">
        <v>8</v>
      </c>
      <c r="EX267" s="27" t="s">
        <v>7</v>
      </c>
      <c r="FA267" s="27" t="s">
        <v>8</v>
      </c>
      <c r="FB267" s="27" t="s">
        <v>7</v>
      </c>
      <c r="FC267" s="27" t="s">
        <v>8</v>
      </c>
      <c r="FD267" s="27" t="s">
        <v>7</v>
      </c>
      <c r="FG267" s="27" t="s">
        <v>8</v>
      </c>
    </row>
    <row r="268" spans="1:213" x14ac:dyDescent="0.25">
      <c r="A268" s="30">
        <v>0.25509363714308075</v>
      </c>
      <c r="B268"/>
      <c r="C268"/>
      <c r="D268"/>
      <c r="E268"/>
      <c r="F268" s="27" t="s">
        <v>7</v>
      </c>
      <c r="CO268" s="27" t="s">
        <v>8</v>
      </c>
      <c r="CP268" s="27" t="s">
        <v>7</v>
      </c>
      <c r="CQ268" s="27" t="s">
        <v>8</v>
      </c>
      <c r="CR268" s="27" t="s">
        <v>7</v>
      </c>
      <c r="CS268" s="27" t="s">
        <v>8</v>
      </c>
      <c r="CU268" s="27" t="s">
        <v>8</v>
      </c>
      <c r="CX268" s="27" t="s">
        <v>7</v>
      </c>
      <c r="CY268" s="27" t="s">
        <v>8</v>
      </c>
      <c r="CZ268" s="27" t="s">
        <v>7</v>
      </c>
      <c r="DA268" s="27" t="s">
        <v>8</v>
      </c>
      <c r="DB268" s="27" t="s">
        <v>7</v>
      </c>
      <c r="DC268" s="27" t="s">
        <v>8</v>
      </c>
      <c r="EH268" s="27" t="s">
        <v>7</v>
      </c>
      <c r="EJ268" s="27" t="s">
        <v>7</v>
      </c>
      <c r="EK268" s="27" t="s">
        <v>8</v>
      </c>
      <c r="EL268" s="27" t="s">
        <v>7</v>
      </c>
      <c r="EM268" s="27" t="s">
        <v>8</v>
      </c>
      <c r="EN268" s="27" t="s">
        <v>7</v>
      </c>
      <c r="EV268" s="27" t="s">
        <v>7</v>
      </c>
      <c r="EX268" s="27" t="s">
        <v>7</v>
      </c>
      <c r="FA268" s="27" t="s">
        <v>8</v>
      </c>
      <c r="FB268" s="27" t="s">
        <v>7</v>
      </c>
      <c r="FD268" s="27" t="s">
        <v>7</v>
      </c>
      <c r="FE268" s="27" t="s">
        <v>8</v>
      </c>
      <c r="FG268" s="27" t="s">
        <v>8</v>
      </c>
    </row>
    <row r="269" spans="1:213" x14ac:dyDescent="0.25">
      <c r="A269" s="30">
        <v>0.24294632108864825</v>
      </c>
      <c r="B269"/>
      <c r="C269"/>
      <c r="D269"/>
      <c r="E269"/>
      <c r="F269" s="27" t="s">
        <v>7</v>
      </c>
      <c r="CO269" s="27" t="s">
        <v>8</v>
      </c>
      <c r="CP269" s="27" t="s">
        <v>7</v>
      </c>
      <c r="CQ269" s="27" t="s">
        <v>8</v>
      </c>
      <c r="CR269" s="27" t="s">
        <v>7</v>
      </c>
      <c r="CS269" s="27" t="s">
        <v>8</v>
      </c>
      <c r="CT269" s="27" t="s">
        <v>7</v>
      </c>
      <c r="CU269" s="27" t="s">
        <v>8</v>
      </c>
      <c r="CX269" s="27" t="s">
        <v>7</v>
      </c>
      <c r="CY269" s="27" t="s">
        <v>8</v>
      </c>
      <c r="CZ269" s="27" t="s">
        <v>7</v>
      </c>
      <c r="DA269" s="27" t="s">
        <v>8</v>
      </c>
      <c r="DB269" s="27" t="s">
        <v>7</v>
      </c>
      <c r="DC269" s="27" t="s">
        <v>8</v>
      </c>
      <c r="EJ269" s="27" t="s">
        <v>7</v>
      </c>
      <c r="EK269" s="27" t="s">
        <v>8</v>
      </c>
      <c r="EL269" s="27" t="s">
        <v>7</v>
      </c>
      <c r="EX269" s="27" t="s">
        <v>7</v>
      </c>
      <c r="FA269" s="27" t="s">
        <v>8</v>
      </c>
      <c r="FD269" s="27" t="s">
        <v>7</v>
      </c>
      <c r="FE269" s="27" t="s">
        <v>8</v>
      </c>
      <c r="FF269" s="27" t="s">
        <v>7</v>
      </c>
      <c r="FG269" s="27" t="s">
        <v>8</v>
      </c>
    </row>
    <row r="270" spans="1:213" x14ac:dyDescent="0.25">
      <c r="A270" s="30">
        <v>0.23137744865585538</v>
      </c>
      <c r="B270"/>
      <c r="C270"/>
      <c r="D270"/>
      <c r="E270"/>
      <c r="F270" s="27" t="s">
        <v>7</v>
      </c>
      <c r="CO270" s="27" t="s">
        <v>8</v>
      </c>
      <c r="CP270" s="27" t="s">
        <v>7</v>
      </c>
      <c r="CQ270" s="27" t="s">
        <v>8</v>
      </c>
      <c r="CR270" s="27" t="s">
        <v>7</v>
      </c>
      <c r="CS270" s="27" t="s">
        <v>8</v>
      </c>
      <c r="CT270" s="27" t="s">
        <v>7</v>
      </c>
      <c r="CU270" s="27" t="s">
        <v>8</v>
      </c>
      <c r="CX270" s="27" t="s">
        <v>7</v>
      </c>
      <c r="CY270" s="27" t="s">
        <v>8</v>
      </c>
      <c r="CZ270" s="27" t="s">
        <v>7</v>
      </c>
      <c r="DA270" s="27" t="s">
        <v>8</v>
      </c>
      <c r="DB270" s="27" t="s">
        <v>7</v>
      </c>
      <c r="EJ270" s="27" t="s">
        <v>7</v>
      </c>
      <c r="EK270" s="27" t="s">
        <v>8</v>
      </c>
      <c r="EX270" s="27" t="s">
        <v>7</v>
      </c>
      <c r="FA270" s="27" t="s">
        <v>8</v>
      </c>
      <c r="FD270" s="27" t="s">
        <v>7</v>
      </c>
      <c r="FE270" s="27" t="s">
        <v>8</v>
      </c>
      <c r="FF270" s="27" t="s">
        <v>7</v>
      </c>
      <c r="FG270" s="27" t="s">
        <v>8</v>
      </c>
    </row>
    <row r="271" spans="1:213" x14ac:dyDescent="0.25">
      <c r="A271" s="30">
        <v>0.22035947491033836</v>
      </c>
      <c r="B271"/>
      <c r="C271"/>
      <c r="D271"/>
      <c r="E271"/>
      <c r="F271" s="27" t="s">
        <v>7</v>
      </c>
      <c r="CO271" s="27" t="s">
        <v>8</v>
      </c>
      <c r="CP271" s="27" t="s">
        <v>7</v>
      </c>
      <c r="CQ271" s="27" t="s">
        <v>8</v>
      </c>
      <c r="CR271" s="27" t="s">
        <v>7</v>
      </c>
      <c r="CS271" s="27" t="s">
        <v>8</v>
      </c>
      <c r="CT271" s="27" t="s">
        <v>7</v>
      </c>
      <c r="CU271" s="27" t="s">
        <v>8</v>
      </c>
      <c r="CX271" s="27" t="s">
        <v>7</v>
      </c>
      <c r="CY271" s="27" t="s">
        <v>8</v>
      </c>
      <c r="CZ271" s="27" t="s">
        <v>7</v>
      </c>
      <c r="DA271" s="27" t="s">
        <v>8</v>
      </c>
      <c r="EJ271" s="27" t="s">
        <v>7</v>
      </c>
      <c r="EK271" s="27" t="s">
        <v>8</v>
      </c>
      <c r="EX271" s="27" t="s">
        <v>7</v>
      </c>
      <c r="FA271" s="27" t="s">
        <v>8</v>
      </c>
      <c r="FD271" s="27" t="s">
        <v>7</v>
      </c>
      <c r="FE271" s="27" t="s">
        <v>8</v>
      </c>
      <c r="FF271" s="27" t="s">
        <v>7</v>
      </c>
      <c r="FG271" s="27" t="s">
        <v>8</v>
      </c>
    </row>
    <row r="272" spans="1:213" x14ac:dyDescent="0.25">
      <c r="A272" s="30">
        <v>0.20986616658127455</v>
      </c>
      <c r="B272"/>
      <c r="C272"/>
      <c r="D272"/>
      <c r="E272"/>
      <c r="F272" s="27" t="s">
        <v>7</v>
      </c>
      <c r="CO272" s="27" t="s">
        <v>8</v>
      </c>
      <c r="CP272" s="27" t="s">
        <v>7</v>
      </c>
      <c r="CR272" s="27" t="s">
        <v>7</v>
      </c>
      <c r="CS272" s="27" t="s">
        <v>8</v>
      </c>
      <c r="CT272" s="27" t="s">
        <v>7</v>
      </c>
      <c r="CX272" s="27" t="s">
        <v>7</v>
      </c>
      <c r="CY272" s="27" t="s">
        <v>8</v>
      </c>
      <c r="CZ272" s="27" t="s">
        <v>7</v>
      </c>
      <c r="EJ272" s="27" t="s">
        <v>7</v>
      </c>
      <c r="EK272" s="27" t="s">
        <v>8</v>
      </c>
      <c r="EX272" s="27" t="s">
        <v>7</v>
      </c>
      <c r="EY272" s="27" t="s">
        <v>8</v>
      </c>
      <c r="FA272" s="27" t="s">
        <v>8</v>
      </c>
      <c r="FD272" s="27" t="s">
        <v>7</v>
      </c>
      <c r="FE272" s="27" t="s">
        <v>8</v>
      </c>
      <c r="FF272" s="18" t="s">
        <v>7</v>
      </c>
    </row>
    <row r="273" spans="1:160" x14ac:dyDescent="0.25">
      <c r="A273" s="30">
        <v>0.19987253960121379</v>
      </c>
      <c r="B273"/>
      <c r="C273"/>
      <c r="D273"/>
      <c r="E273"/>
      <c r="F273" s="27" t="s">
        <v>7</v>
      </c>
      <c r="CO273" s="27" t="s">
        <v>8</v>
      </c>
      <c r="CR273" s="27" t="s">
        <v>7</v>
      </c>
      <c r="CS273" s="27" t="s">
        <v>8</v>
      </c>
      <c r="CX273" s="27" t="s">
        <v>7</v>
      </c>
      <c r="CY273" s="27" t="s">
        <v>8</v>
      </c>
      <c r="EJ273" s="27" t="s">
        <v>7</v>
      </c>
      <c r="EK273" s="27" t="s">
        <v>8</v>
      </c>
      <c r="EX273" s="27" t="s">
        <v>7</v>
      </c>
      <c r="EY273" s="27" t="s">
        <v>8</v>
      </c>
      <c r="EZ273" s="27" t="s">
        <v>7</v>
      </c>
      <c r="FA273" s="27" t="s">
        <v>8</v>
      </c>
      <c r="FD273" s="27" t="s">
        <v>7</v>
      </c>
    </row>
    <row r="274" spans="1:160" x14ac:dyDescent="0.25">
      <c r="A274" s="30">
        <v>0.19035479962020352</v>
      </c>
      <c r="B274"/>
      <c r="C274"/>
      <c r="D274"/>
      <c r="E274"/>
      <c r="F274" s="27" t="s">
        <v>7</v>
      </c>
      <c r="CO274" s="27" t="s">
        <v>8</v>
      </c>
      <c r="CR274" s="27" t="s">
        <v>7</v>
      </c>
      <c r="CX274" s="27" t="s">
        <v>7</v>
      </c>
      <c r="CY274" s="27" t="s">
        <v>8</v>
      </c>
      <c r="EJ274" s="27" t="s">
        <v>7</v>
      </c>
      <c r="EK274" s="27" t="s">
        <v>8</v>
      </c>
      <c r="EX274" s="27" t="s">
        <v>7</v>
      </c>
      <c r="EY274" s="27" t="s">
        <v>8</v>
      </c>
      <c r="EZ274" s="27" t="s">
        <v>7</v>
      </c>
      <c r="FA274" s="27" t="s">
        <v>8</v>
      </c>
    </row>
    <row r="275" spans="1:160" x14ac:dyDescent="0.25">
      <c r="A275" s="30">
        <v>0.18129028535257471</v>
      </c>
      <c r="B275"/>
      <c r="C275"/>
      <c r="D275"/>
      <c r="E275"/>
      <c r="F275" s="27" t="s">
        <v>7</v>
      </c>
      <c r="AS275" s="27" t="s">
        <v>8</v>
      </c>
      <c r="CM275" s="27" t="s">
        <v>8</v>
      </c>
      <c r="CO275" s="27" t="s">
        <v>8</v>
      </c>
      <c r="CX275" s="27" t="s">
        <v>7</v>
      </c>
      <c r="EJ275" s="27" t="s">
        <v>7</v>
      </c>
      <c r="EK275" s="27" t="s">
        <v>8</v>
      </c>
      <c r="EX275" s="27" t="s">
        <v>7</v>
      </c>
      <c r="EY275" s="27" t="s">
        <v>8</v>
      </c>
      <c r="EZ275" s="27" t="s">
        <v>7</v>
      </c>
    </row>
    <row r="276" spans="1:160" x14ac:dyDescent="0.25">
      <c r="A276" s="30">
        <v>0.17265741462149967</v>
      </c>
      <c r="B276"/>
      <c r="C276"/>
      <c r="D276"/>
      <c r="E276"/>
      <c r="F276" s="27" t="s">
        <v>7</v>
      </c>
      <c r="AS276" s="27" t="s">
        <v>8</v>
      </c>
      <c r="AT276" s="27" t="s">
        <v>7</v>
      </c>
      <c r="CM276" s="27" t="s">
        <v>8</v>
      </c>
      <c r="CN276" s="27" t="s">
        <v>7</v>
      </c>
      <c r="CO276" s="27" t="s">
        <v>8</v>
      </c>
      <c r="EJ276" s="27" t="s">
        <v>7</v>
      </c>
      <c r="EX276" s="27" t="s">
        <v>7</v>
      </c>
      <c r="EY276" s="27" t="s">
        <v>8</v>
      </c>
    </row>
    <row r="277" spans="1:160" x14ac:dyDescent="0.25">
      <c r="A277" s="30">
        <v>0.16443563297285677</v>
      </c>
      <c r="B277"/>
      <c r="C277"/>
      <c r="D277"/>
      <c r="E277"/>
      <c r="F277" s="27" t="s">
        <v>7</v>
      </c>
      <c r="AS277" s="27" t="s">
        <v>8</v>
      </c>
      <c r="AT277" s="27" t="s">
        <v>7</v>
      </c>
      <c r="CM277" s="27" t="s">
        <v>8</v>
      </c>
      <c r="CN277" s="27" t="s">
        <v>7</v>
      </c>
      <c r="CO277" s="27" t="s">
        <v>8</v>
      </c>
      <c r="EX277" s="27" t="s">
        <v>7</v>
      </c>
    </row>
    <row r="278" spans="1:160" x14ac:dyDescent="0.25">
      <c r="A278" s="30">
        <v>0.15660536473605399</v>
      </c>
      <c r="B278"/>
      <c r="C278"/>
      <c r="D278"/>
      <c r="E278"/>
      <c r="F278" s="27" t="s">
        <v>7</v>
      </c>
      <c r="AS278" s="27" t="s">
        <v>8</v>
      </c>
      <c r="AT278" s="27" t="s">
        <v>7</v>
      </c>
      <c r="CK278" s="27" t="s">
        <v>8</v>
      </c>
      <c r="CM278" s="27" t="s">
        <v>8</v>
      </c>
      <c r="CN278" s="27" t="s">
        <v>7</v>
      </c>
    </row>
    <row r="279" spans="1:160" x14ac:dyDescent="0.25">
      <c r="A279" s="30">
        <v>0.14914796641528946</v>
      </c>
      <c r="B279"/>
      <c r="C279"/>
      <c r="D279"/>
      <c r="E279"/>
      <c r="F279" s="27" t="s">
        <v>7</v>
      </c>
      <c r="AS279" s="27" t="s">
        <v>8</v>
      </c>
      <c r="AT279" s="27" t="s">
        <v>7</v>
      </c>
      <c r="CK279" s="27" t="s">
        <v>8</v>
      </c>
      <c r="CL279" s="27" t="s">
        <v>7</v>
      </c>
      <c r="CM279" s="27" t="s">
        <v>8</v>
      </c>
    </row>
    <row r="280" spans="1:160" x14ac:dyDescent="0.25">
      <c r="A280" s="30">
        <v>0.14204568230027562</v>
      </c>
      <c r="B280"/>
      <c r="C280"/>
      <c r="D280"/>
      <c r="E280"/>
      <c r="F280" s="27" t="s">
        <v>7</v>
      </c>
      <c r="AS280" s="27" t="s">
        <v>8</v>
      </c>
      <c r="AT280" s="27" t="s">
        <v>7</v>
      </c>
      <c r="CK280" s="27" t="s">
        <v>8</v>
      </c>
      <c r="CL280" s="27" t="s">
        <v>7</v>
      </c>
      <c r="CM280" s="27" t="s">
        <v>8</v>
      </c>
    </row>
    <row r="281" spans="1:160" x14ac:dyDescent="0.25">
      <c r="A281" s="30">
        <v>0.13528160219073862</v>
      </c>
      <c r="B281"/>
      <c r="C281"/>
      <c r="D281"/>
      <c r="E281"/>
      <c r="F281" s="27" t="s">
        <v>7</v>
      </c>
      <c r="AS281" s="27" t="s">
        <v>8</v>
      </c>
      <c r="AT281" s="27" t="s">
        <v>7</v>
      </c>
      <c r="CK281" s="27" t="s">
        <v>8</v>
      </c>
      <c r="CL281" s="27" t="s">
        <v>7</v>
      </c>
    </row>
    <row r="282" spans="1:160" x14ac:dyDescent="0.25">
      <c r="A282" s="30">
        <v>0.12883962113403674</v>
      </c>
      <c r="B282"/>
      <c r="C282"/>
      <c r="D282"/>
      <c r="E282"/>
      <c r="F282" s="27" t="s">
        <v>7</v>
      </c>
      <c r="AS282" s="27" t="s">
        <v>8</v>
      </c>
      <c r="AT282" s="27" t="s">
        <v>7</v>
      </c>
      <c r="AU282" s="27" t="s">
        <v>8</v>
      </c>
      <c r="AY282" s="27" t="s">
        <v>8</v>
      </c>
      <c r="CK282" s="27" t="s">
        <v>8</v>
      </c>
    </row>
    <row r="283" spans="1:160" x14ac:dyDescent="0.25">
      <c r="A283" s="30">
        <v>0.12270440108003494</v>
      </c>
      <c r="B283"/>
      <c r="C283"/>
      <c r="D283"/>
      <c r="E283"/>
      <c r="F283" s="27" t="s">
        <v>7</v>
      </c>
      <c r="AS283" s="27" t="s">
        <v>8</v>
      </c>
      <c r="AT283" s="27" t="s">
        <v>7</v>
      </c>
      <c r="AU283" s="27" t="s">
        <v>8</v>
      </c>
      <c r="AV283" s="27" t="s">
        <v>7</v>
      </c>
      <c r="AW283" s="27" t="s">
        <v>8</v>
      </c>
      <c r="AY283" s="27" t="s">
        <v>8</v>
      </c>
      <c r="AZ283" s="27" t="s">
        <v>7</v>
      </c>
      <c r="CK283" s="27" t="s">
        <v>8</v>
      </c>
    </row>
    <row r="284" spans="1:160" x14ac:dyDescent="0.25">
      <c r="A284" s="30">
        <v>0.11686133436193799</v>
      </c>
      <c r="B284"/>
      <c r="C284"/>
      <c r="D284"/>
      <c r="E284"/>
      <c r="F284" s="27" t="s">
        <v>7</v>
      </c>
      <c r="AS284" s="27" t="s">
        <v>8</v>
      </c>
      <c r="AT284" s="27" t="s">
        <v>7</v>
      </c>
      <c r="AU284" s="27" t="s">
        <v>8</v>
      </c>
      <c r="AV284" s="27" t="s">
        <v>7</v>
      </c>
      <c r="AW284" s="27" t="s">
        <v>8</v>
      </c>
      <c r="AX284" s="27" t="s">
        <v>7</v>
      </c>
      <c r="AY284" s="27" t="s">
        <v>8</v>
      </c>
      <c r="AZ284" s="27" t="s">
        <v>7</v>
      </c>
      <c r="CI284" s="27" t="s">
        <v>8</v>
      </c>
      <c r="CK284" s="27" t="s">
        <v>8</v>
      </c>
    </row>
    <row r="285" spans="1:160" x14ac:dyDescent="0.25">
      <c r="A285" s="30">
        <v>0.11129650891613138</v>
      </c>
      <c r="B285"/>
      <c r="C285"/>
      <c r="D285"/>
      <c r="E285"/>
      <c r="F285" s="27" t="s">
        <v>7</v>
      </c>
      <c r="AS285" s="27" t="s">
        <v>8</v>
      </c>
      <c r="AT285" s="27" t="s">
        <v>7</v>
      </c>
      <c r="AU285" s="27" t="s">
        <v>8</v>
      </c>
      <c r="AV285" s="27" t="s">
        <v>7</v>
      </c>
      <c r="AW285" s="27" t="s">
        <v>8</v>
      </c>
      <c r="AX285" s="27" t="s">
        <v>7</v>
      </c>
      <c r="AY285" s="27" t="s">
        <v>8</v>
      </c>
      <c r="AZ285" s="27" t="s">
        <v>7</v>
      </c>
      <c r="CI285" s="27" t="s">
        <v>8</v>
      </c>
      <c r="CJ285" s="27" t="s">
        <v>7</v>
      </c>
      <c r="CK285" s="27" t="s">
        <v>8</v>
      </c>
    </row>
    <row r="286" spans="1:160" x14ac:dyDescent="0.25">
      <c r="A286" s="30">
        <v>0.10599667515822032</v>
      </c>
      <c r="B286"/>
      <c r="C286"/>
      <c r="D286"/>
      <c r="E286"/>
      <c r="F286" s="27" t="s">
        <v>7</v>
      </c>
      <c r="AQ286" s="27" t="s">
        <v>8</v>
      </c>
      <c r="AS286" s="27" t="s">
        <v>8</v>
      </c>
      <c r="AT286" s="27" t="s">
        <v>7</v>
      </c>
      <c r="AU286" s="27" t="s">
        <v>8</v>
      </c>
      <c r="AV286" s="27" t="s">
        <v>7</v>
      </c>
      <c r="AX286" s="27" t="s">
        <v>7</v>
      </c>
      <c r="AY286" s="27" t="s">
        <v>8</v>
      </c>
      <c r="AZ286" s="27" t="s">
        <v>7</v>
      </c>
      <c r="CI286" s="27" t="s">
        <v>8</v>
      </c>
      <c r="CJ286" s="27" t="s">
        <v>7</v>
      </c>
      <c r="CK286" s="27" t="s">
        <v>8</v>
      </c>
    </row>
    <row r="287" spans="1:160" x14ac:dyDescent="0.25">
      <c r="A287" s="30">
        <v>0.10094921443640027</v>
      </c>
      <c r="B287"/>
      <c r="C287"/>
      <c r="D287"/>
      <c r="E287"/>
      <c r="F287" s="27" t="s">
        <v>7</v>
      </c>
      <c r="AO287" s="27" t="s">
        <v>8</v>
      </c>
      <c r="AQ287" s="27" t="s">
        <v>8</v>
      </c>
      <c r="AR287" s="27" t="s">
        <v>7</v>
      </c>
      <c r="AS287" s="27" t="s">
        <v>8</v>
      </c>
      <c r="AT287" s="27" t="s">
        <v>7</v>
      </c>
      <c r="AX287" s="27" t="s">
        <v>7</v>
      </c>
      <c r="AZ287" s="27" t="s">
        <v>7</v>
      </c>
      <c r="CG287" s="27" t="s">
        <v>8</v>
      </c>
      <c r="CI287" s="27" t="s">
        <v>8</v>
      </c>
      <c r="CJ287" s="27" t="s">
        <v>7</v>
      </c>
      <c r="CK287" s="27" t="s">
        <v>8</v>
      </c>
    </row>
    <row r="288" spans="1:160" x14ac:dyDescent="0.25">
      <c r="A288" s="30">
        <v>9.6142108987047836E-2</v>
      </c>
      <c r="B288"/>
      <c r="C288"/>
      <c r="D288"/>
      <c r="E288"/>
      <c r="F288" s="27" t="s">
        <v>7</v>
      </c>
      <c r="AO288" s="27" t="s">
        <v>8</v>
      </c>
      <c r="AP288" s="27" t="s">
        <v>7</v>
      </c>
      <c r="AQ288" s="27" t="s">
        <v>8</v>
      </c>
      <c r="AR288" s="27" t="s">
        <v>7</v>
      </c>
      <c r="AS288" s="27" t="s">
        <v>8</v>
      </c>
      <c r="AZ288" s="27" t="s">
        <v>7</v>
      </c>
      <c r="CG288" s="27" t="s">
        <v>8</v>
      </c>
      <c r="CH288" s="27" t="s">
        <v>7</v>
      </c>
      <c r="CI288" s="27" t="s">
        <v>8</v>
      </c>
      <c r="CJ288" s="27" t="s">
        <v>7</v>
      </c>
    </row>
    <row r="289" spans="1:87" x14ac:dyDescent="0.25">
      <c r="A289" s="30">
        <v>9.1563913320997906E-2</v>
      </c>
      <c r="B289"/>
      <c r="C289"/>
      <c r="D289"/>
      <c r="E289"/>
      <c r="F289" s="27" t="s">
        <v>7</v>
      </c>
      <c r="AO289" s="27" t="s">
        <v>8</v>
      </c>
      <c r="AP289" s="27" t="s">
        <v>7</v>
      </c>
      <c r="AQ289" s="27" t="s">
        <v>8</v>
      </c>
      <c r="AR289" s="27" t="s">
        <v>7</v>
      </c>
      <c r="AZ289" s="27" t="s">
        <v>7</v>
      </c>
      <c r="BC289" s="27" t="s">
        <v>8</v>
      </c>
      <c r="CG289" s="27" t="s">
        <v>8</v>
      </c>
      <c r="CH289" s="27" t="s">
        <v>7</v>
      </c>
      <c r="CI289" s="27" t="s">
        <v>8</v>
      </c>
    </row>
    <row r="290" spans="1:87" x14ac:dyDescent="0.25">
      <c r="A290" s="30">
        <v>8.7203726972378923E-2</v>
      </c>
      <c r="B290"/>
      <c r="C290"/>
      <c r="D290"/>
      <c r="E290"/>
      <c r="F290" s="27" t="s">
        <v>7</v>
      </c>
      <c r="AO290" s="27" t="s">
        <v>8</v>
      </c>
      <c r="AP290" s="27" t="s">
        <v>7</v>
      </c>
      <c r="AZ290" s="27" t="s">
        <v>7</v>
      </c>
      <c r="BC290" s="27" t="s">
        <v>8</v>
      </c>
      <c r="BD290" s="27" t="s">
        <v>7</v>
      </c>
      <c r="CG290" s="27" t="s">
        <v>8</v>
      </c>
      <c r="CH290" s="27" t="s">
        <v>7</v>
      </c>
      <c r="CI290" s="27" t="s">
        <v>8</v>
      </c>
    </row>
    <row r="291" spans="1:87" x14ac:dyDescent="0.25">
      <c r="A291" s="30">
        <v>8.3051168545122747E-2</v>
      </c>
      <c r="B291"/>
      <c r="C291"/>
      <c r="D291"/>
      <c r="E291"/>
      <c r="F291" s="27" t="s">
        <v>7</v>
      </c>
      <c r="AO291" s="27" t="s">
        <v>8</v>
      </c>
      <c r="AZ291" s="27" t="s">
        <v>7</v>
      </c>
      <c r="BA291" s="27" t="s">
        <v>8</v>
      </c>
      <c r="BC291" s="27" t="s">
        <v>8</v>
      </c>
      <c r="BD291" s="27" t="s">
        <v>7</v>
      </c>
      <c r="CC291" s="27" t="s">
        <v>8</v>
      </c>
      <c r="CG291" s="27" t="s">
        <v>8</v>
      </c>
      <c r="CH291" s="27" t="s">
        <v>7</v>
      </c>
      <c r="CI291" s="27" t="s">
        <v>8</v>
      </c>
    </row>
    <row r="292" spans="1:87" x14ac:dyDescent="0.25">
      <c r="A292" s="30">
        <v>7.9096350995354961E-2</v>
      </c>
      <c r="B292"/>
      <c r="C292"/>
      <c r="D292"/>
      <c r="E292"/>
      <c r="F292" s="27" t="s">
        <v>7</v>
      </c>
      <c r="AM292" s="27" t="s">
        <v>8</v>
      </c>
      <c r="AO292" s="27" t="s">
        <v>8</v>
      </c>
      <c r="AZ292" s="27" t="s">
        <v>7</v>
      </c>
      <c r="BA292" s="27" t="s">
        <v>8</v>
      </c>
      <c r="BB292" s="27" t="s">
        <v>7</v>
      </c>
      <c r="BC292" s="27" t="s">
        <v>8</v>
      </c>
      <c r="BD292" s="27" t="s">
        <v>7</v>
      </c>
      <c r="CC292" s="27" t="s">
        <v>8</v>
      </c>
      <c r="CD292" s="27" t="s">
        <v>7</v>
      </c>
      <c r="CE292" s="27" t="s">
        <v>8</v>
      </c>
      <c r="CG292" s="27" t="s">
        <v>8</v>
      </c>
      <c r="CH292" s="27" t="s">
        <v>7</v>
      </c>
      <c r="CI292" s="27" t="s">
        <v>8</v>
      </c>
    </row>
    <row r="293" spans="1:87" x14ac:dyDescent="0.25">
      <c r="A293" s="30">
        <v>7.5329858090814217E-2</v>
      </c>
      <c r="B293"/>
      <c r="C293"/>
      <c r="D293"/>
      <c r="E293"/>
      <c r="F293" s="27" t="s">
        <v>7</v>
      </c>
      <c r="AM293" s="27" t="s">
        <v>8</v>
      </c>
      <c r="AN293" s="27" t="s">
        <v>7</v>
      </c>
      <c r="AO293" s="27" t="s">
        <v>8</v>
      </c>
      <c r="AZ293" s="27" t="s">
        <v>7</v>
      </c>
      <c r="BA293" s="27" t="s">
        <v>8</v>
      </c>
      <c r="BB293" s="27" t="s">
        <v>7</v>
      </c>
      <c r="BC293" s="27" t="s">
        <v>8</v>
      </c>
      <c r="BD293" s="27" t="s">
        <v>7</v>
      </c>
      <c r="BE293" s="27" t="s">
        <v>8</v>
      </c>
      <c r="CC293" s="27" t="s">
        <v>8</v>
      </c>
      <c r="CD293" s="27" t="s">
        <v>7</v>
      </c>
      <c r="CE293" s="27" t="s">
        <v>8</v>
      </c>
      <c r="CF293" s="27" t="s">
        <v>7</v>
      </c>
      <c r="CG293" s="27" t="s">
        <v>8</v>
      </c>
      <c r="CH293" s="27" t="s">
        <v>7</v>
      </c>
    </row>
    <row r="294" spans="1:87" x14ac:dyDescent="0.25">
      <c r="A294" s="30">
        <v>7.1742721991251604E-2</v>
      </c>
      <c r="B294"/>
      <c r="C294"/>
      <c r="D294"/>
      <c r="E294"/>
      <c r="F294" s="27" t="s">
        <v>7</v>
      </c>
      <c r="AM294" s="27" t="s">
        <v>8</v>
      </c>
      <c r="AN294" s="27" t="s">
        <v>7</v>
      </c>
      <c r="AO294" s="27" t="s">
        <v>8</v>
      </c>
      <c r="AZ294" s="27" t="s">
        <v>7</v>
      </c>
      <c r="BA294" s="27" t="s">
        <v>8</v>
      </c>
      <c r="BB294" s="27" t="s">
        <v>7</v>
      </c>
      <c r="BD294" s="27" t="s">
        <v>7</v>
      </c>
      <c r="BE294" s="27" t="s">
        <v>8</v>
      </c>
      <c r="BF294" s="27" t="s">
        <v>7</v>
      </c>
      <c r="CC294" s="27" t="s">
        <v>8</v>
      </c>
      <c r="CD294" s="27" t="s">
        <v>7</v>
      </c>
      <c r="CE294" s="27" t="s">
        <v>8</v>
      </c>
      <c r="CF294" s="27" t="s">
        <v>7</v>
      </c>
      <c r="CG294" s="27" t="s">
        <v>8</v>
      </c>
    </row>
    <row r="295" spans="1:87" x14ac:dyDescent="0.25">
      <c r="A295" s="30">
        <v>6.8326401896430078E-2</v>
      </c>
      <c r="B295"/>
      <c r="C295"/>
      <c r="D295"/>
      <c r="E295"/>
      <c r="F295" s="27" t="s">
        <v>7</v>
      </c>
      <c r="AM295" s="27" t="s">
        <v>8</v>
      </c>
      <c r="AN295" s="27" t="s">
        <v>7</v>
      </c>
      <c r="AO295" s="27" t="s">
        <v>8</v>
      </c>
      <c r="AZ295" s="27" t="s">
        <v>7</v>
      </c>
      <c r="BA295" s="27" t="s">
        <v>8</v>
      </c>
      <c r="BD295" s="27" t="s">
        <v>7</v>
      </c>
      <c r="BE295" s="27" t="s">
        <v>8</v>
      </c>
      <c r="BF295" s="27" t="s">
        <v>7</v>
      </c>
      <c r="BS295" s="27" t="s">
        <v>8</v>
      </c>
      <c r="CC295" s="27" t="s">
        <v>8</v>
      </c>
      <c r="CD295" s="27" t="s">
        <v>7</v>
      </c>
      <c r="CE295" s="27" t="s">
        <v>8</v>
      </c>
      <c r="CF295" s="27" t="s">
        <v>7</v>
      </c>
      <c r="CG295" s="27" t="s">
        <v>8</v>
      </c>
    </row>
    <row r="296" spans="1:87" x14ac:dyDescent="0.25">
      <c r="A296" s="30">
        <v>6.5072763710885759E-2</v>
      </c>
      <c r="B296"/>
      <c r="C296"/>
      <c r="D296"/>
      <c r="E296"/>
      <c r="F296" s="27" t="s">
        <v>7</v>
      </c>
      <c r="AM296" s="27" t="s">
        <v>8</v>
      </c>
      <c r="AN296" s="27" t="s">
        <v>7</v>
      </c>
      <c r="AZ296" s="27" t="s">
        <v>7</v>
      </c>
      <c r="BD296" s="27" t="s">
        <v>7</v>
      </c>
      <c r="BE296" s="27" t="s">
        <v>8</v>
      </c>
      <c r="BF296" s="27" t="s">
        <v>7</v>
      </c>
      <c r="BS296" s="27" t="s">
        <v>8</v>
      </c>
      <c r="BT296" s="27" t="s">
        <v>7</v>
      </c>
      <c r="CA296" s="27" t="s">
        <v>8</v>
      </c>
      <c r="CC296" s="27" t="s">
        <v>8</v>
      </c>
      <c r="CD296" s="27" t="s">
        <v>7</v>
      </c>
      <c r="CE296" s="27" t="s">
        <v>8</v>
      </c>
      <c r="CF296" s="27" t="s">
        <v>7</v>
      </c>
      <c r="CG296" s="27" t="s">
        <v>8</v>
      </c>
    </row>
    <row r="297" spans="1:87" x14ac:dyDescent="0.25">
      <c r="A297" s="30">
        <v>6.197406067703403E-2</v>
      </c>
      <c r="B297"/>
      <c r="C297"/>
      <c r="D297"/>
      <c r="E297"/>
      <c r="F297" s="27" t="s">
        <v>7</v>
      </c>
      <c r="AM297" s="27" t="s">
        <v>8</v>
      </c>
      <c r="BD297" s="27" t="s">
        <v>7</v>
      </c>
      <c r="BE297" s="27" t="s">
        <v>8</v>
      </c>
      <c r="BF297" s="27" t="s">
        <v>7</v>
      </c>
      <c r="BQ297" s="27" t="s">
        <v>8</v>
      </c>
      <c r="BS297" s="27" t="s">
        <v>8</v>
      </c>
      <c r="BT297" s="27" t="s">
        <v>7</v>
      </c>
      <c r="BW297" s="27" t="s">
        <v>8</v>
      </c>
      <c r="CA297" s="27" t="s">
        <v>8</v>
      </c>
      <c r="CB297" s="27" t="s">
        <v>7</v>
      </c>
      <c r="CC297" s="27" t="s">
        <v>8</v>
      </c>
      <c r="CD297" s="27" t="s">
        <v>7</v>
      </c>
      <c r="CF297" s="27" t="s">
        <v>7</v>
      </c>
      <c r="CG297" s="27" t="s">
        <v>8</v>
      </c>
    </row>
    <row r="298" spans="1:87" x14ac:dyDescent="0.25">
      <c r="A298" s="30">
        <v>5.9022914930508576E-2</v>
      </c>
      <c r="B298"/>
      <c r="C298"/>
      <c r="D298"/>
      <c r="E298"/>
      <c r="F298" s="27" t="s">
        <v>7</v>
      </c>
      <c r="AI298" s="27" t="s">
        <v>8</v>
      </c>
      <c r="AM298" s="27" t="s">
        <v>8</v>
      </c>
      <c r="BD298" s="27" t="s">
        <v>7</v>
      </c>
      <c r="BE298" s="27" t="s">
        <v>8</v>
      </c>
      <c r="BF298" s="27" t="s">
        <v>7</v>
      </c>
      <c r="BQ298" s="27" t="s">
        <v>8</v>
      </c>
      <c r="BR298" s="27" t="s">
        <v>7</v>
      </c>
      <c r="BS298" s="27" t="s">
        <v>8</v>
      </c>
      <c r="BT298" s="27" t="s">
        <v>7</v>
      </c>
      <c r="BW298" s="27" t="s">
        <v>8</v>
      </c>
      <c r="BX298" s="27" t="s">
        <v>7</v>
      </c>
      <c r="BY298" s="27" t="s">
        <v>8</v>
      </c>
      <c r="CA298" s="27" t="s">
        <v>8</v>
      </c>
      <c r="CB298" s="27" t="s">
        <v>7</v>
      </c>
      <c r="CC298" s="27" t="s">
        <v>8</v>
      </c>
      <c r="CF298" s="27" t="s">
        <v>7</v>
      </c>
      <c r="CG298" s="27" t="s">
        <v>8</v>
      </c>
    </row>
    <row r="299" spans="1:87" x14ac:dyDescent="0.25">
      <c r="A299" s="30">
        <v>5.6212299933817669E-2</v>
      </c>
      <c r="B299"/>
      <c r="C299"/>
      <c r="D299"/>
      <c r="E299"/>
      <c r="F299" s="27" t="s">
        <v>7</v>
      </c>
      <c r="K299" s="27" t="s">
        <v>8</v>
      </c>
      <c r="AI299" s="27" t="s">
        <v>8</v>
      </c>
      <c r="AJ299" s="27" t="s">
        <v>7</v>
      </c>
      <c r="AK299" s="27" t="s">
        <v>8</v>
      </c>
      <c r="AM299" s="27" t="s">
        <v>8</v>
      </c>
      <c r="BD299" s="27" t="s">
        <v>7</v>
      </c>
      <c r="BE299" s="27" t="s">
        <v>8</v>
      </c>
      <c r="BF299" s="27" t="s">
        <v>7</v>
      </c>
      <c r="BG299" s="27" t="s">
        <v>8</v>
      </c>
      <c r="BI299" s="27" t="s">
        <v>8</v>
      </c>
      <c r="BQ299" s="27" t="s">
        <v>8</v>
      </c>
      <c r="BR299" s="27" t="s">
        <v>7</v>
      </c>
      <c r="BS299" s="27" t="s">
        <v>8</v>
      </c>
      <c r="BT299" s="27" t="s">
        <v>7</v>
      </c>
      <c r="BU299" s="27" t="s">
        <v>8</v>
      </c>
      <c r="BW299" s="27" t="s">
        <v>8</v>
      </c>
      <c r="BX299" s="27" t="s">
        <v>7</v>
      </c>
      <c r="BY299" s="27" t="s">
        <v>8</v>
      </c>
      <c r="BZ299" s="27" t="s">
        <v>7</v>
      </c>
      <c r="CA299" s="27" t="s">
        <v>8</v>
      </c>
      <c r="CB299" s="27" t="s">
        <v>7</v>
      </c>
      <c r="CF299" s="27" t="s">
        <v>7</v>
      </c>
      <c r="CG299" s="27" t="s">
        <v>8</v>
      </c>
    </row>
    <row r="300" spans="1:87" x14ac:dyDescent="0.25">
      <c r="A300" s="30">
        <v>5.3535523746492994E-2</v>
      </c>
      <c r="B300"/>
      <c r="C300"/>
      <c r="D300"/>
      <c r="E300"/>
      <c r="F300" s="27" t="s">
        <v>7</v>
      </c>
      <c r="K300" s="27" t="s">
        <v>8</v>
      </c>
      <c r="L300" s="27" t="s">
        <v>7</v>
      </c>
      <c r="AI300" s="27" t="s">
        <v>8</v>
      </c>
      <c r="AJ300" s="27" t="s">
        <v>7</v>
      </c>
      <c r="AK300" s="27" t="s">
        <v>8</v>
      </c>
      <c r="AL300" s="27" t="s">
        <v>7</v>
      </c>
      <c r="AM300" s="27" t="s">
        <v>8</v>
      </c>
      <c r="BD300" s="27" t="s">
        <v>7</v>
      </c>
      <c r="BE300" s="27" t="s">
        <v>8</v>
      </c>
      <c r="BF300" s="27" t="s">
        <v>7</v>
      </c>
      <c r="BG300" s="27" t="s">
        <v>8</v>
      </c>
      <c r="BH300" s="27" t="s">
        <v>7</v>
      </c>
      <c r="BI300" s="27" t="s">
        <v>8</v>
      </c>
      <c r="BJ300" s="27" t="s">
        <v>7</v>
      </c>
      <c r="BQ300" s="27" t="s">
        <v>8</v>
      </c>
      <c r="BR300" s="27" t="s">
        <v>7</v>
      </c>
      <c r="BT300" s="27" t="s">
        <v>7</v>
      </c>
      <c r="BU300" s="27" t="s">
        <v>8</v>
      </c>
      <c r="BV300" s="27" t="s">
        <v>7</v>
      </c>
      <c r="BW300" s="27" t="s">
        <v>8</v>
      </c>
      <c r="BX300" s="27" t="s">
        <v>7</v>
      </c>
      <c r="BY300" s="27" t="s">
        <v>8</v>
      </c>
      <c r="BZ300" s="27" t="s">
        <v>7</v>
      </c>
      <c r="CA300" s="27" t="s">
        <v>8</v>
      </c>
      <c r="CF300" s="27" t="s">
        <v>7</v>
      </c>
    </row>
    <row r="301" spans="1:87" x14ac:dyDescent="0.25">
      <c r="A301" s="30">
        <v>5.0986213091898068E-2</v>
      </c>
      <c r="B301"/>
      <c r="C301"/>
      <c r="D301"/>
      <c r="E301"/>
      <c r="F301" s="27" t="s">
        <v>7</v>
      </c>
      <c r="K301" s="27" t="s">
        <v>8</v>
      </c>
      <c r="L301" s="27" t="s">
        <v>7</v>
      </c>
      <c r="AI301" s="27" t="s">
        <v>8</v>
      </c>
      <c r="AJ301" s="27" t="s">
        <v>7</v>
      </c>
      <c r="AK301" s="27" t="s">
        <v>8</v>
      </c>
      <c r="AL301" s="27" t="s">
        <v>7</v>
      </c>
      <c r="AM301" s="27" t="s">
        <v>8</v>
      </c>
      <c r="BD301" s="27" t="s">
        <v>7</v>
      </c>
      <c r="BE301" s="27" t="s">
        <v>8</v>
      </c>
      <c r="BF301" s="27" t="s">
        <v>7</v>
      </c>
      <c r="BG301" s="27" t="s">
        <v>8</v>
      </c>
      <c r="BH301" s="27" t="s">
        <v>7</v>
      </c>
      <c r="BI301" s="27" t="s">
        <v>8</v>
      </c>
      <c r="BJ301" s="27" t="s">
        <v>7</v>
      </c>
      <c r="BO301" s="27" t="s">
        <v>8</v>
      </c>
      <c r="BQ301" s="27" t="s">
        <v>8</v>
      </c>
      <c r="BT301" s="27" t="s">
        <v>7</v>
      </c>
      <c r="BU301" s="27" t="s">
        <v>8</v>
      </c>
      <c r="BV301" s="27" t="s">
        <v>7</v>
      </c>
      <c r="BW301" s="27" t="s">
        <v>8</v>
      </c>
      <c r="BX301" s="27" t="s">
        <v>7</v>
      </c>
      <c r="BY301" s="27" t="s">
        <v>8</v>
      </c>
      <c r="BZ301" s="27" t="s">
        <v>7</v>
      </c>
    </row>
    <row r="302" spans="1:87" x14ac:dyDescent="0.25">
      <c r="A302" s="30">
        <v>4.8558298182760043E-2</v>
      </c>
      <c r="B302"/>
      <c r="C302"/>
      <c r="D302"/>
      <c r="E302"/>
      <c r="F302" s="27" t="s">
        <v>7</v>
      </c>
      <c r="K302" s="27" t="s">
        <v>8</v>
      </c>
      <c r="L302" s="27" t="s">
        <v>7</v>
      </c>
      <c r="AI302" s="27" t="s">
        <v>8</v>
      </c>
      <c r="AJ302" s="27" t="s">
        <v>7</v>
      </c>
      <c r="AL302" s="27" t="s">
        <v>7</v>
      </c>
      <c r="BD302" s="27" t="s">
        <v>7</v>
      </c>
      <c r="BF302" s="27" t="s">
        <v>7</v>
      </c>
      <c r="BG302" s="27" t="s">
        <v>8</v>
      </c>
      <c r="BH302" s="27" t="s">
        <v>7</v>
      </c>
      <c r="BI302" s="27" t="s">
        <v>8</v>
      </c>
      <c r="BJ302" s="27" t="s">
        <v>7</v>
      </c>
      <c r="BK302" s="27" t="s">
        <v>8</v>
      </c>
      <c r="BM302" s="27" t="s">
        <v>8</v>
      </c>
      <c r="BO302" s="27" t="s">
        <v>8</v>
      </c>
      <c r="BP302" s="27" t="s">
        <v>7</v>
      </c>
      <c r="BQ302" s="27" t="s">
        <v>8</v>
      </c>
      <c r="BT302" s="27" t="s">
        <v>7</v>
      </c>
      <c r="BU302" s="27" t="s">
        <v>8</v>
      </c>
      <c r="BV302" s="27" t="s">
        <v>7</v>
      </c>
      <c r="BW302" s="27" t="s">
        <v>8</v>
      </c>
      <c r="BX302" s="27" t="s">
        <v>7</v>
      </c>
    </row>
    <row r="303" spans="1:87" x14ac:dyDescent="0.25">
      <c r="A303" s="30">
        <v>4.6245998269295263E-2</v>
      </c>
      <c r="B303"/>
      <c r="C303"/>
      <c r="D303"/>
      <c r="E303"/>
      <c r="F303" s="27" t="s">
        <v>7</v>
      </c>
      <c r="K303" s="27" t="s">
        <v>8</v>
      </c>
      <c r="L303" s="27" t="s">
        <v>7</v>
      </c>
      <c r="AI303" s="27" t="s">
        <v>8</v>
      </c>
      <c r="BF303" s="27" t="s">
        <v>7</v>
      </c>
      <c r="BG303" s="27" t="s">
        <v>8</v>
      </c>
      <c r="BH303" s="27" t="s">
        <v>7</v>
      </c>
      <c r="BI303" s="27" t="s">
        <v>8</v>
      </c>
      <c r="BJ303" s="27" t="s">
        <v>7</v>
      </c>
      <c r="BK303" s="27" t="s">
        <v>8</v>
      </c>
      <c r="BL303" s="27" t="s">
        <v>7</v>
      </c>
      <c r="BM303" s="27" t="s">
        <v>8</v>
      </c>
      <c r="BN303" s="27" t="s">
        <v>7</v>
      </c>
      <c r="BO303" s="27" t="s">
        <v>8</v>
      </c>
      <c r="BP303" s="27" t="s">
        <v>7</v>
      </c>
      <c r="BQ303" s="27" t="s">
        <v>8</v>
      </c>
      <c r="BT303" s="27" t="s">
        <v>7</v>
      </c>
      <c r="BV303" s="27" t="s">
        <v>7</v>
      </c>
    </row>
    <row r="304" spans="1:87" x14ac:dyDescent="0.25">
      <c r="A304" s="30">
        <v>4.4043807875519279E-2</v>
      </c>
      <c r="B304"/>
      <c r="C304"/>
      <c r="D304"/>
      <c r="E304"/>
      <c r="F304" s="27" t="s">
        <v>7</v>
      </c>
      <c r="K304" s="27" t="s">
        <v>8</v>
      </c>
      <c r="L304" s="27" t="s">
        <v>7</v>
      </c>
      <c r="AI304" s="27" t="s">
        <v>8</v>
      </c>
      <c r="BF304" s="27" t="s">
        <v>7</v>
      </c>
      <c r="BH304" s="27" t="s">
        <v>7</v>
      </c>
      <c r="BJ304" s="27" t="s">
        <v>7</v>
      </c>
      <c r="BK304" s="27" t="s">
        <v>8</v>
      </c>
      <c r="BL304" s="27" t="s">
        <v>7</v>
      </c>
      <c r="BM304" s="27" t="s">
        <v>8</v>
      </c>
      <c r="BN304" s="27" t="s">
        <v>7</v>
      </c>
      <c r="BO304" s="27" t="s">
        <v>8</v>
      </c>
      <c r="BP304" s="27" t="s">
        <v>7</v>
      </c>
    </row>
    <row r="305" spans="1:66" x14ac:dyDescent="0.25">
      <c r="A305" s="30">
        <v>4.1946483690970725E-2</v>
      </c>
      <c r="B305"/>
      <c r="C305"/>
      <c r="D305"/>
      <c r="E305"/>
      <c r="F305" s="27" t="s">
        <v>7</v>
      </c>
      <c r="G305" s="27" t="s">
        <v>8</v>
      </c>
      <c r="I305" s="27" t="s">
        <v>8</v>
      </c>
      <c r="K305" s="27" t="s">
        <v>8</v>
      </c>
      <c r="L305" s="27" t="s">
        <v>7</v>
      </c>
      <c r="AI305" s="27" t="s">
        <v>8</v>
      </c>
      <c r="BJ305" s="27" t="s">
        <v>7</v>
      </c>
      <c r="BK305" s="27" t="s">
        <v>8</v>
      </c>
      <c r="BL305" s="27" t="s">
        <v>7</v>
      </c>
      <c r="BM305" s="27" t="s">
        <v>8</v>
      </c>
      <c r="BN305" s="27" t="s">
        <v>7</v>
      </c>
    </row>
    <row r="306" spans="1:66" x14ac:dyDescent="0.25">
      <c r="A306" s="30">
        <v>3.9949032086638768E-2</v>
      </c>
      <c r="B306"/>
      <c r="C306"/>
      <c r="D306"/>
      <c r="E306"/>
      <c r="F306" s="27" t="s">
        <v>7</v>
      </c>
      <c r="G306" s="27" t="s">
        <v>8</v>
      </c>
      <c r="H306" s="27" t="s">
        <v>7</v>
      </c>
      <c r="I306" s="27" t="s">
        <v>8</v>
      </c>
      <c r="J306" s="27" t="s">
        <v>7</v>
      </c>
      <c r="K306" s="27" t="s">
        <v>8</v>
      </c>
      <c r="L306" s="27" t="s">
        <v>7</v>
      </c>
      <c r="AI306" s="27" t="s">
        <v>8</v>
      </c>
      <c r="BJ306" s="27" t="s">
        <v>7</v>
      </c>
      <c r="BK306" s="27" t="s">
        <v>8</v>
      </c>
      <c r="BL306" s="27" t="s">
        <v>7</v>
      </c>
    </row>
    <row r="307" spans="1:66" x14ac:dyDescent="0.25">
      <c r="A307" s="30">
        <v>3.8046697225370241E-2</v>
      </c>
      <c r="B307"/>
      <c r="C307"/>
      <c r="D307"/>
      <c r="E307"/>
      <c r="F307" s="27" t="s">
        <v>7</v>
      </c>
      <c r="G307" s="27" t="s">
        <v>8</v>
      </c>
      <c r="H307" s="27" t="s">
        <v>7</v>
      </c>
      <c r="I307" s="27" t="s">
        <v>8</v>
      </c>
      <c r="J307" s="27" t="s">
        <v>7</v>
      </c>
      <c r="K307" s="27" t="s">
        <v>8</v>
      </c>
      <c r="L307" s="27" t="s">
        <v>7</v>
      </c>
      <c r="M307" s="27" t="s">
        <v>8</v>
      </c>
      <c r="AI307" s="27" t="s">
        <v>8</v>
      </c>
      <c r="BJ307" s="27" t="s">
        <v>7</v>
      </c>
    </row>
    <row r="308" spans="1:66" x14ac:dyDescent="0.25">
      <c r="A308" s="30">
        <v>3.6234949738447833E-2</v>
      </c>
      <c r="B308"/>
      <c r="C308"/>
      <c r="D308"/>
      <c r="E308"/>
      <c r="F308" s="27" t="s">
        <v>7</v>
      </c>
      <c r="H308" s="27" t="s">
        <v>7</v>
      </c>
      <c r="J308" s="27" t="s">
        <v>7</v>
      </c>
      <c r="L308" s="27" t="s">
        <v>7</v>
      </c>
      <c r="M308" s="27" t="s">
        <v>8</v>
      </c>
      <c r="N308" s="27" t="s">
        <v>7</v>
      </c>
      <c r="AI308" s="27" t="s">
        <v>8</v>
      </c>
    </row>
    <row r="309" spans="1:66" x14ac:dyDescent="0.25">
      <c r="A309" s="30">
        <v>3.4509475941378875E-2</v>
      </c>
      <c r="B309"/>
      <c r="C309"/>
      <c r="D309"/>
      <c r="E309"/>
      <c r="L309" s="27" t="s">
        <v>7</v>
      </c>
      <c r="M309" s="27" t="s">
        <v>8</v>
      </c>
      <c r="N309" s="27" t="s">
        <v>7</v>
      </c>
      <c r="AI309" s="27" t="s">
        <v>8</v>
      </c>
    </row>
    <row r="310" spans="1:66" x14ac:dyDescent="0.25">
      <c r="A310" s="30">
        <v>3.286616756321796E-2</v>
      </c>
      <c r="B310"/>
      <c r="C310"/>
      <c r="D310"/>
      <c r="E310"/>
      <c r="L310" s="27" t="s">
        <v>7</v>
      </c>
      <c r="M310" s="27" t="s">
        <v>8</v>
      </c>
      <c r="N310" s="27" t="s">
        <v>7</v>
      </c>
      <c r="AG310" s="27" t="s">
        <v>8</v>
      </c>
      <c r="AI310" s="27" t="s">
        <v>8</v>
      </c>
    </row>
    <row r="311" spans="1:66" x14ac:dyDescent="0.25">
      <c r="A311" s="30">
        <v>3.1301111964969472E-2</v>
      </c>
      <c r="B311"/>
      <c r="C311"/>
      <c r="D311"/>
      <c r="E311"/>
      <c r="L311" s="27" t="s">
        <v>7</v>
      </c>
      <c r="N311" s="27" t="s">
        <v>7</v>
      </c>
      <c r="AG311" s="27" t="s">
        <v>8</v>
      </c>
      <c r="AH311" s="27" t="s">
        <v>7</v>
      </c>
      <c r="AI311" s="27" t="s">
        <v>8</v>
      </c>
    </row>
    <row r="312" spans="1:66" x14ac:dyDescent="0.25">
      <c r="A312" s="30">
        <v>2.9810582823780438E-2</v>
      </c>
      <c r="B312"/>
      <c r="C312"/>
      <c r="D312"/>
      <c r="E312"/>
      <c r="N312" s="27" t="s">
        <v>7</v>
      </c>
      <c r="AE312" s="27" t="s">
        <v>8</v>
      </c>
      <c r="AG312" s="27" t="s">
        <v>8</v>
      </c>
      <c r="AH312" s="27" t="s">
        <v>7</v>
      </c>
      <c r="AI312" s="27" t="s">
        <v>8</v>
      </c>
    </row>
    <row r="313" spans="1:66" x14ac:dyDescent="0.25">
      <c r="A313" s="30">
        <v>2.8391031260743264E-2</v>
      </c>
      <c r="B313"/>
      <c r="C313"/>
      <c r="D313"/>
      <c r="E313"/>
      <c r="N313" s="27" t="s">
        <v>7</v>
      </c>
      <c r="AE313" s="27" t="s">
        <v>8</v>
      </c>
      <c r="AF313" s="27" t="s">
        <v>7</v>
      </c>
      <c r="AG313" s="27" t="s">
        <v>8</v>
      </c>
      <c r="AH313" s="27" t="s">
        <v>7</v>
      </c>
      <c r="AI313" s="27" t="s">
        <v>8</v>
      </c>
    </row>
    <row r="314" spans="1:66" x14ac:dyDescent="0.25">
      <c r="A314" s="30">
        <v>2.7039077391184052E-2</v>
      </c>
      <c r="B314"/>
      <c r="C314"/>
      <c r="D314"/>
      <c r="E314"/>
      <c r="N314" s="27" t="s">
        <v>7</v>
      </c>
      <c r="AE314" s="27" t="s">
        <v>8</v>
      </c>
      <c r="AF314" s="27" t="s">
        <v>7</v>
      </c>
      <c r="AG314" s="27" t="s">
        <v>8</v>
      </c>
      <c r="AH314" s="27" t="s">
        <v>7</v>
      </c>
      <c r="AI314" s="27" t="s">
        <v>8</v>
      </c>
    </row>
    <row r="315" spans="1:66" x14ac:dyDescent="0.25">
      <c r="A315" s="30">
        <v>2.5751502277318133E-2</v>
      </c>
      <c r="B315"/>
      <c r="C315"/>
      <c r="D315"/>
      <c r="E315"/>
      <c r="N315" s="27" t="s">
        <v>7</v>
      </c>
      <c r="AC315" s="27" t="s">
        <v>8</v>
      </c>
      <c r="AE315" s="27" t="s">
        <v>8</v>
      </c>
      <c r="AF315" s="27" t="s">
        <v>7</v>
      </c>
      <c r="AH315" s="27" t="s">
        <v>7</v>
      </c>
    </row>
    <row r="316" spans="1:66" x14ac:dyDescent="0.25">
      <c r="A316" s="30">
        <v>2.4525240264112496E-2</v>
      </c>
      <c r="B316"/>
      <c r="C316"/>
      <c r="D316"/>
      <c r="E316"/>
      <c r="N316" s="27" t="s">
        <v>7</v>
      </c>
      <c r="AC316" s="27" t="s">
        <v>8</v>
      </c>
      <c r="AD316" s="27" t="s">
        <v>7</v>
      </c>
      <c r="AE316" s="27" t="s">
        <v>8</v>
      </c>
    </row>
    <row r="317" spans="1:66" x14ac:dyDescent="0.25">
      <c r="A317" s="30">
        <v>2.3357371680107129E-2</v>
      </c>
      <c r="B317"/>
      <c r="C317"/>
      <c r="D317"/>
      <c r="E317"/>
      <c r="N317" s="27" t="s">
        <v>7</v>
      </c>
      <c r="AC317" s="27" t="s">
        <v>8</v>
      </c>
      <c r="AD317" s="27" t="s">
        <v>7</v>
      </c>
      <c r="AE317" s="27" t="s">
        <v>8</v>
      </c>
    </row>
    <row r="318" spans="1:66" x14ac:dyDescent="0.25">
      <c r="A318" s="30">
        <v>2.2245115885816305E-2</v>
      </c>
      <c r="B318"/>
      <c r="C318"/>
      <c r="D318"/>
      <c r="E318"/>
      <c r="N318" s="27" t="s">
        <v>7</v>
      </c>
      <c r="Y318" s="27" t="s">
        <v>8</v>
      </c>
      <c r="AA318" s="27" t="s">
        <v>8</v>
      </c>
      <c r="AC318" s="27" t="s">
        <v>8</v>
      </c>
      <c r="AD318" s="27" t="s">
        <v>7</v>
      </c>
      <c r="AE318" s="27" t="s">
        <v>8</v>
      </c>
    </row>
    <row r="319" spans="1:66" x14ac:dyDescent="0.25">
      <c r="A319" s="30">
        <v>2.1185824653158377E-2</v>
      </c>
      <c r="B319"/>
      <c r="C319"/>
      <c r="D319"/>
      <c r="E319"/>
      <c r="N319" s="27" t="s">
        <v>7</v>
      </c>
      <c r="Y319" s="27" t="s">
        <v>8</v>
      </c>
      <c r="Z319" s="27" t="s">
        <v>7</v>
      </c>
      <c r="AA319" s="27" t="s">
        <v>8</v>
      </c>
      <c r="AB319" s="27" t="s">
        <v>7</v>
      </c>
      <c r="AC319" s="27" t="s">
        <v>8</v>
      </c>
      <c r="AD319" s="27" t="s">
        <v>7</v>
      </c>
    </row>
    <row r="320" spans="1:66" x14ac:dyDescent="0.25">
      <c r="A320" s="30">
        <v>2.0176975860150829E-2</v>
      </c>
      <c r="B320"/>
      <c r="C320"/>
      <c r="D320"/>
      <c r="E320"/>
      <c r="N320" s="27" t="s">
        <v>7</v>
      </c>
      <c r="Y320" s="27" t="s">
        <v>8</v>
      </c>
      <c r="Z320" s="27" t="s">
        <v>7</v>
      </c>
      <c r="AA320" s="27" t="s">
        <v>8</v>
      </c>
      <c r="AB320" s="27" t="s">
        <v>7</v>
      </c>
      <c r="AC320" s="27" t="s">
        <v>8</v>
      </c>
    </row>
    <row r="321" spans="1:28" x14ac:dyDescent="0.25">
      <c r="A321" s="30">
        <v>1.9216167485857926E-2</v>
      </c>
      <c r="B321"/>
      <c r="C321"/>
      <c r="D321"/>
      <c r="E321"/>
      <c r="N321" s="27" t="s">
        <v>7</v>
      </c>
      <c r="Y321" s="27" t="s">
        <v>8</v>
      </c>
      <c r="Z321" s="27" t="s">
        <v>7</v>
      </c>
      <c r="AA321" s="27" t="s">
        <v>8</v>
      </c>
      <c r="AB321" s="27" t="s">
        <v>7</v>
      </c>
    </row>
    <row r="322" spans="1:28" x14ac:dyDescent="0.25">
      <c r="A322" s="30">
        <v>1.8301111891293256E-2</v>
      </c>
      <c r="B322"/>
      <c r="C322"/>
      <c r="D322"/>
      <c r="E322"/>
      <c r="N322" s="27" t="s">
        <v>7</v>
      </c>
      <c r="Y322" s="27" t="s">
        <v>8</v>
      </c>
      <c r="Z322" s="27" t="s">
        <v>7</v>
      </c>
      <c r="AA322" s="27" t="s">
        <v>8</v>
      </c>
    </row>
    <row r="323" spans="1:28" x14ac:dyDescent="0.25">
      <c r="A323" s="30">
        <v>1.7429630372660238E-2</v>
      </c>
      <c r="B323"/>
      <c r="C323"/>
      <c r="D323"/>
      <c r="E323"/>
      <c r="N323" s="27" t="s">
        <v>7</v>
      </c>
      <c r="W323" s="27" t="s">
        <v>8</v>
      </c>
      <c r="Y323" s="27" t="s">
        <v>8</v>
      </c>
      <c r="Z323" s="27" t="s">
        <v>7</v>
      </c>
      <c r="AA323" s="27" t="s">
        <v>8</v>
      </c>
    </row>
    <row r="324" spans="1:28" x14ac:dyDescent="0.25">
      <c r="A324" s="30">
        <v>1.6599647973962125E-2</v>
      </c>
      <c r="B324"/>
      <c r="C324"/>
      <c r="D324"/>
      <c r="E324"/>
      <c r="N324" s="27" t="s">
        <v>7</v>
      </c>
      <c r="W324" s="27" t="s">
        <v>8</v>
      </c>
      <c r="X324" s="27" t="s">
        <v>7</v>
      </c>
      <c r="Y324" s="27" t="s">
        <v>8</v>
      </c>
      <c r="Z324" s="27" t="s">
        <v>7</v>
      </c>
      <c r="AA324" s="27" t="s">
        <v>8</v>
      </c>
    </row>
    <row r="325" spans="1:28" x14ac:dyDescent="0.25">
      <c r="A325" s="30">
        <v>1.580918854663059E-2</v>
      </c>
      <c r="B325"/>
      <c r="C325"/>
      <c r="D325"/>
      <c r="E325"/>
      <c r="N325" s="27" t="s">
        <v>7</v>
      </c>
      <c r="W325" s="27" t="s">
        <v>8</v>
      </c>
      <c r="X325" s="27" t="s">
        <v>7</v>
      </c>
      <c r="Y325" s="27" t="s">
        <v>8</v>
      </c>
      <c r="Z325" s="27" t="s">
        <v>7</v>
      </c>
    </row>
    <row r="326" spans="1:28" x14ac:dyDescent="0.25">
      <c r="A326" s="30">
        <v>1.5056370044410079E-2</v>
      </c>
      <c r="B326"/>
      <c r="C326"/>
      <c r="D326"/>
      <c r="E326"/>
      <c r="N326" s="27" t="s">
        <v>7</v>
      </c>
      <c r="S326" s="27" t="s">
        <v>8</v>
      </c>
      <c r="U326" s="27" t="s">
        <v>8</v>
      </c>
      <c r="W326" s="27" t="s">
        <v>8</v>
      </c>
      <c r="X326" s="27" t="s">
        <v>7</v>
      </c>
      <c r="Y326" s="27" t="s">
        <v>8</v>
      </c>
    </row>
    <row r="327" spans="1:28" x14ac:dyDescent="0.25">
      <c r="A327" s="30">
        <v>1.4339400042295308E-2</v>
      </c>
      <c r="B327"/>
      <c r="C327"/>
      <c r="D327"/>
      <c r="E327"/>
      <c r="N327" s="27" t="s">
        <v>7</v>
      </c>
      <c r="S327" s="27" t="s">
        <v>8</v>
      </c>
      <c r="T327" s="27" t="s">
        <v>7</v>
      </c>
      <c r="U327" s="27" t="s">
        <v>8</v>
      </c>
      <c r="V327" s="27" t="s">
        <v>7</v>
      </c>
      <c r="W327" s="27" t="s">
        <v>8</v>
      </c>
      <c r="X327" s="27" t="s">
        <v>7</v>
      </c>
      <c r="Y327" s="27" t="s">
        <v>8</v>
      </c>
    </row>
    <row r="328" spans="1:28" x14ac:dyDescent="0.25">
      <c r="A328" s="30">
        <v>1.365657146885267E-2</v>
      </c>
      <c r="B328"/>
      <c r="C328"/>
      <c r="D328"/>
      <c r="E328"/>
      <c r="N328" s="27" t="s">
        <v>7</v>
      </c>
      <c r="S328" s="27" t="s">
        <v>8</v>
      </c>
      <c r="T328" s="27" t="s">
        <v>7</v>
      </c>
      <c r="U328" s="27" t="s">
        <v>8</v>
      </c>
      <c r="V328" s="27" t="s">
        <v>7</v>
      </c>
      <c r="W328" s="27" t="s">
        <v>8</v>
      </c>
      <c r="X328" s="27" t="s">
        <v>7</v>
      </c>
    </row>
    <row r="329" spans="1:28" x14ac:dyDescent="0.25">
      <c r="A329" s="30">
        <v>1.3006258541764442E-2</v>
      </c>
      <c r="B329"/>
      <c r="C329"/>
      <c r="D329"/>
      <c r="E329"/>
      <c r="N329" s="27" t="s">
        <v>7</v>
      </c>
      <c r="O329" s="27" t="s">
        <v>8</v>
      </c>
      <c r="S329" s="27" t="s">
        <v>8</v>
      </c>
      <c r="T329" s="27" t="s">
        <v>7</v>
      </c>
      <c r="U329" s="27" t="s">
        <v>8</v>
      </c>
      <c r="V329" s="27" t="s">
        <v>7</v>
      </c>
    </row>
    <row r="330" spans="1:28" x14ac:dyDescent="0.25">
      <c r="A330" s="30">
        <v>1.2386912896918512E-2</v>
      </c>
      <c r="B330"/>
      <c r="C330"/>
      <c r="D330"/>
      <c r="E330"/>
      <c r="N330" s="27" t="s">
        <v>7</v>
      </c>
      <c r="O330" s="27" t="s">
        <v>8</v>
      </c>
      <c r="P330" s="27" t="s">
        <v>7</v>
      </c>
      <c r="S330" s="27" t="s">
        <v>8</v>
      </c>
      <c r="T330" s="27" t="s">
        <v>7</v>
      </c>
      <c r="U330" s="27" t="s">
        <v>8</v>
      </c>
    </row>
    <row r="331" spans="1:28" x14ac:dyDescent="0.25">
      <c r="A331" s="30">
        <v>1.179705990182715E-2</v>
      </c>
      <c r="B331"/>
      <c r="C331"/>
      <c r="D331"/>
      <c r="E331"/>
      <c r="N331" s="27" t="s">
        <v>7</v>
      </c>
      <c r="O331" s="27" t="s">
        <v>8</v>
      </c>
      <c r="P331" s="27" t="s">
        <v>7</v>
      </c>
      <c r="Q331" s="27" t="s">
        <v>8</v>
      </c>
      <c r="S331" s="27" t="s">
        <v>8</v>
      </c>
      <c r="T331" s="27" t="s">
        <v>7</v>
      </c>
    </row>
    <row r="332" spans="1:28" x14ac:dyDescent="0.25">
      <c r="A332" s="30">
        <v>1.1235295144597281E-2</v>
      </c>
      <c r="B332"/>
      <c r="C332"/>
      <c r="D332"/>
      <c r="E332"/>
      <c r="N332" s="27" t="s">
        <v>7</v>
      </c>
      <c r="O332" s="27" t="s">
        <v>8</v>
      </c>
      <c r="P332" s="27" t="s">
        <v>7</v>
      </c>
      <c r="Q332" s="27" t="s">
        <v>8</v>
      </c>
      <c r="R332" s="27" t="s">
        <v>7</v>
      </c>
      <c r="S332" s="27" t="s">
        <v>8</v>
      </c>
    </row>
    <row r="333" spans="1:28" x14ac:dyDescent="0.25">
      <c r="A333" s="30">
        <v>1.0700281090092644E-2</v>
      </c>
      <c r="B333"/>
      <c r="C333"/>
      <c r="D333"/>
      <c r="E333"/>
      <c r="N333" s="27" t="s">
        <v>7</v>
      </c>
      <c r="O333" s="27" t="s">
        <v>8</v>
      </c>
      <c r="P333" s="27" t="s">
        <v>7</v>
      </c>
      <c r="Q333" s="27" t="s">
        <v>8</v>
      </c>
      <c r="R333" s="27" t="s">
        <v>7</v>
      </c>
      <c r="S333" s="27" t="s">
        <v>8</v>
      </c>
    </row>
    <row r="334" spans="1:28" x14ac:dyDescent="0.25">
      <c r="A334" s="30">
        <v>1.0190743895326324E-2</v>
      </c>
      <c r="B334"/>
      <c r="C334"/>
      <c r="D334"/>
      <c r="E334"/>
      <c r="N334" s="27" t="s">
        <v>7</v>
      </c>
      <c r="O334" s="27" t="s">
        <v>8</v>
      </c>
      <c r="P334" s="27" t="s">
        <v>7</v>
      </c>
      <c r="Q334" s="27" t="s">
        <v>8</v>
      </c>
      <c r="R334" s="27" t="s">
        <v>7</v>
      </c>
    </row>
    <row r="335" spans="1:28" x14ac:dyDescent="0.25">
      <c r="A335" s="30">
        <v>9.7054703765012563E-3</v>
      </c>
      <c r="B335"/>
      <c r="C335"/>
      <c r="D335"/>
      <c r="E335"/>
      <c r="N335" s="27" t="s">
        <v>7</v>
      </c>
      <c r="O335" s="27" t="s">
        <v>8</v>
      </c>
      <c r="P335" s="27" t="s">
        <v>7</v>
      </c>
      <c r="Q335" s="27" t="s">
        <v>8</v>
      </c>
    </row>
    <row r="336" spans="1:28" x14ac:dyDescent="0.25">
      <c r="A336" s="30">
        <v>9.2433051204773835E-3</v>
      </c>
      <c r="B336"/>
      <c r="C336"/>
      <c r="D336"/>
      <c r="E336"/>
      <c r="N336" s="27" t="s">
        <v>7</v>
      </c>
      <c r="O336" s="27" t="s">
        <v>8</v>
      </c>
      <c r="P336" s="27" t="s">
        <v>7</v>
      </c>
    </row>
    <row r="337" spans="1:15" x14ac:dyDescent="0.25">
      <c r="A337" s="30">
        <v>8.8031477337879808E-3</v>
      </c>
      <c r="B337"/>
      <c r="C337"/>
      <c r="D337"/>
      <c r="E337"/>
      <c r="N337" s="27" t="s">
        <v>7</v>
      </c>
      <c r="O337" s="27" t="s">
        <v>8</v>
      </c>
    </row>
    <row r="338" spans="1:15" x14ac:dyDescent="0.25">
      <c r="A338" s="30">
        <v>8.3839502226552166E-3</v>
      </c>
      <c r="B338"/>
      <c r="C338"/>
      <c r="D338"/>
      <c r="E338"/>
      <c r="N338" s="27" t="s">
        <v>7</v>
      </c>
      <c r="O338" s="27" t="s">
        <v>8</v>
      </c>
    </row>
    <row r="339" spans="1:15" x14ac:dyDescent="0.25">
      <c r="A339" s="30">
        <v>7.9847144977668698E-3</v>
      </c>
      <c r="B339"/>
      <c r="C339"/>
      <c r="D339"/>
      <c r="E339"/>
      <c r="N339" s="27" t="s">
        <v>7</v>
      </c>
      <c r="O339" s="27" t="s">
        <v>8</v>
      </c>
    </row>
    <row r="340" spans="1:15" x14ac:dyDescent="0.25">
      <c r="A340" s="30">
        <v>7.6044899978732058E-3</v>
      </c>
      <c r="B340"/>
      <c r="C340"/>
      <c r="D340"/>
      <c r="E340"/>
      <c r="N340" s="27" t="s">
        <v>7</v>
      </c>
    </row>
    <row r="341" spans="1:15" x14ac:dyDescent="0.25">
      <c r="A341" s="30">
        <v>7.2423714265459072E-3</v>
      </c>
      <c r="B341"/>
      <c r="C341"/>
      <c r="D341"/>
      <c r="E341"/>
    </row>
    <row r="342" spans="1:15" x14ac:dyDescent="0.25">
      <c r="A342" s="30">
        <v>6.8974965967103846E-3</v>
      </c>
      <c r="B342"/>
      <c r="C342"/>
      <c r="D342"/>
      <c r="E342"/>
    </row>
    <row r="343" spans="1:15" x14ac:dyDescent="0.25">
      <c r="A343" s="30">
        <v>6.5690443778194116E-3</v>
      </c>
      <c r="B343"/>
      <c r="C343"/>
      <c r="D343"/>
      <c r="E343"/>
    </row>
    <row r="344" spans="1:15" x14ac:dyDescent="0.25">
      <c r="A344" s="30">
        <v>6.2562327407803897E-3</v>
      </c>
      <c r="B344"/>
      <c r="C344"/>
      <c r="D344"/>
      <c r="E344"/>
    </row>
    <row r="345" spans="1:15" x14ac:dyDescent="0.25">
      <c r="A345" s="30">
        <v>5.9583168959813212E-3</v>
      </c>
      <c r="B345"/>
      <c r="C345"/>
      <c r="D345"/>
      <c r="E345"/>
    </row>
    <row r="346" spans="1:15" x14ac:dyDescent="0.25">
      <c r="A346" s="30">
        <v>5.6745875199822084E-3</v>
      </c>
      <c r="B346"/>
      <c r="C346"/>
      <c r="D346"/>
      <c r="E346"/>
    </row>
    <row r="347" spans="1:15" x14ac:dyDescent="0.25">
      <c r="A347" s="30">
        <v>5.4043690666497205E-3</v>
      </c>
      <c r="B347"/>
      <c r="C347"/>
      <c r="D347"/>
      <c r="E347"/>
    </row>
    <row r="348" spans="1:15" x14ac:dyDescent="0.25">
      <c r="A348" s="30">
        <v>5.1470181587140174E-3</v>
      </c>
      <c r="B348"/>
      <c r="C348"/>
      <c r="D348"/>
      <c r="E348"/>
    </row>
    <row r="349" spans="1:15" x14ac:dyDescent="0.25">
      <c r="A349" s="30">
        <v>4.9019220559181099E-3</v>
      </c>
      <c r="B349"/>
      <c r="C349"/>
      <c r="D349"/>
      <c r="E349"/>
    </row>
    <row r="350" spans="1:15" x14ac:dyDescent="0.25">
      <c r="A350" s="30">
        <v>4.6684971961124836E-3</v>
      </c>
      <c r="B350"/>
      <c r="C350"/>
      <c r="D350"/>
      <c r="E350"/>
    </row>
    <row r="351" spans="1:15" x14ac:dyDescent="0.25">
      <c r="A351" s="30">
        <v>4.4461878058214112E-3</v>
      </c>
      <c r="B351"/>
      <c r="C351"/>
      <c r="D351"/>
      <c r="E351"/>
    </row>
    <row r="352" spans="1:1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1178" operator="equal">
      <formula>$U$1</formula>
    </cfRule>
    <cfRule type="cellIs" dxfId="67" priority="1179" operator="equal">
      <formula>$S$1</formula>
    </cfRule>
  </conditionalFormatting>
  <conditionalFormatting sqref="D136">
    <cfRule type="cellIs" dxfId="66" priority="1176" operator="equal">
      <formula>$S$1</formula>
    </cfRule>
    <cfRule type="cellIs" dxfId="65" priority="1177" operator="equal">
      <formula>$U$1</formula>
    </cfRule>
  </conditionalFormatting>
  <conditionalFormatting sqref="C162">
    <cfRule type="cellIs" dxfId="64" priority="1174" operator="equal">
      <formula>$U$1</formula>
    </cfRule>
    <cfRule type="cellIs" dxfId="63" priority="1175" operator="equal">
      <formula>$S$1</formula>
    </cfRule>
  </conditionalFormatting>
  <conditionalFormatting sqref="D162">
    <cfRule type="cellIs" dxfId="62" priority="1172" operator="equal">
      <formula>$S$1</formula>
    </cfRule>
    <cfRule type="cellIs" dxfId="61" priority="1173" operator="equal">
      <formula>$U$1</formula>
    </cfRule>
  </conditionalFormatting>
  <conditionalFormatting sqref="C187">
    <cfRule type="cellIs" dxfId="60" priority="1170" operator="equal">
      <formula>$U$1</formula>
    </cfRule>
    <cfRule type="cellIs" dxfId="59" priority="1171" operator="equal">
      <formula>$S$1</formula>
    </cfRule>
  </conditionalFormatting>
  <conditionalFormatting sqref="D187">
    <cfRule type="cellIs" dxfId="58" priority="1168" operator="equal">
      <formula>$S$1</formula>
    </cfRule>
    <cfRule type="cellIs" dxfId="57" priority="1169" operator="equal">
      <formula>$U$1</formula>
    </cfRule>
  </conditionalFormatting>
  <conditionalFormatting sqref="C212">
    <cfRule type="cellIs" dxfId="56" priority="1166" operator="equal">
      <formula>$U$1</formula>
    </cfRule>
    <cfRule type="cellIs" dxfId="55" priority="1167" operator="equal">
      <formula>$S$1</formula>
    </cfRule>
  </conditionalFormatting>
  <conditionalFormatting sqref="D212">
    <cfRule type="cellIs" dxfId="54" priority="1164" operator="equal">
      <formula>$S$1</formula>
    </cfRule>
    <cfRule type="cellIs" dxfId="53" priority="1165" operator="equal">
      <formula>$U$1</formula>
    </cfRule>
  </conditionalFormatting>
  <conditionalFormatting sqref="C237">
    <cfRule type="cellIs" dxfId="52" priority="1162" operator="equal">
      <formula>$U$1</formula>
    </cfRule>
    <cfRule type="cellIs" dxfId="51" priority="1163" operator="equal">
      <formula>$S$1</formula>
    </cfRule>
  </conditionalFormatting>
  <conditionalFormatting sqref="D237">
    <cfRule type="cellIs" dxfId="50" priority="1160" operator="equal">
      <formula>$S$1</formula>
    </cfRule>
    <cfRule type="cellIs" dxfId="49" priority="1161" operator="equal">
      <formula>$U$1</formula>
    </cfRule>
  </conditionalFormatting>
  <conditionalFormatting sqref="C106">
    <cfRule type="cellIs" dxfId="48" priority="1158" operator="equal">
      <formula>$U$1</formula>
    </cfRule>
    <cfRule type="cellIs" dxfId="47" priority="1159" operator="equal">
      <formula>$S$1</formula>
    </cfRule>
  </conditionalFormatting>
  <conditionalFormatting sqref="D106">
    <cfRule type="cellIs" dxfId="46" priority="1156" operator="equal">
      <formula>$S$1</formula>
    </cfRule>
    <cfRule type="cellIs" dxfId="45" priority="1157" operator="equal">
      <formula>$U$1</formula>
    </cfRule>
  </conditionalFormatting>
  <conditionalFormatting sqref="C81">
    <cfRule type="cellIs" dxfId="44" priority="1154" operator="equal">
      <formula>$U$1</formula>
    </cfRule>
    <cfRule type="cellIs" dxfId="43" priority="1155" operator="equal">
      <formula>$S$1</formula>
    </cfRule>
  </conditionalFormatting>
  <conditionalFormatting sqref="D81">
    <cfRule type="cellIs" dxfId="42" priority="1152" operator="equal">
      <formula>$S$1</formula>
    </cfRule>
    <cfRule type="cellIs" dxfId="41" priority="1153" operator="equal">
      <formula>$U$1</formula>
    </cfRule>
  </conditionalFormatting>
  <conditionalFormatting sqref="C56">
    <cfRule type="cellIs" dxfId="40" priority="1150" operator="equal">
      <formula>$U$1</formula>
    </cfRule>
    <cfRule type="cellIs" dxfId="39" priority="1151" operator="equal">
      <formula>$S$1</formula>
    </cfRule>
  </conditionalFormatting>
  <conditionalFormatting sqref="D56">
    <cfRule type="cellIs" dxfId="38" priority="1148" operator="equal">
      <formula>$S$1</formula>
    </cfRule>
    <cfRule type="cellIs" dxfId="37" priority="1149" operator="equal">
      <formula>$U$1</formula>
    </cfRule>
  </conditionalFormatting>
  <conditionalFormatting sqref="C31">
    <cfRule type="cellIs" dxfId="36" priority="1146" operator="equal">
      <formula>$U$1</formula>
    </cfRule>
    <cfRule type="cellIs" dxfId="35" priority="1147" operator="equal">
      <formula>$S$1</formula>
    </cfRule>
  </conditionalFormatting>
  <conditionalFormatting sqref="D31">
    <cfRule type="cellIs" dxfId="34" priority="1144" operator="equal">
      <formula>$S$1</formula>
    </cfRule>
    <cfRule type="cellIs" dxfId="33" priority="1145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BD134" sqref="BD134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5" x14ac:dyDescent="0.25">
      <c r="A97" s="30">
        <v>9.849732675807628</v>
      </c>
      <c r="E97"/>
    </row>
    <row r="98" spans="1:5" x14ac:dyDescent="0.25">
      <c r="A98" s="30">
        <v>8.9543024325523888</v>
      </c>
      <c r="C98" s="1" t="s">
        <v>13</v>
      </c>
      <c r="E98"/>
    </row>
    <row r="99" spans="1:5" x14ac:dyDescent="0.25">
      <c r="A99" s="30">
        <v>8.140274938683989</v>
      </c>
      <c r="C99" s="1">
        <f>C88</f>
        <v>0</v>
      </c>
      <c r="E99"/>
    </row>
    <row r="100" spans="1:5" x14ac:dyDescent="0.25">
      <c r="A100" s="30">
        <v>7.4002499442581717</v>
      </c>
      <c r="C100"/>
      <c r="D100"/>
      <c r="E100"/>
    </row>
    <row r="101" spans="1:5" x14ac:dyDescent="0.25">
      <c r="A101" s="30">
        <v>6.72749994932561</v>
      </c>
      <c r="C101" s="1" t="s">
        <v>14</v>
      </c>
      <c r="E101"/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" x14ac:dyDescent="0.25">
      <c r="A103" s="30">
        <v>5.5599173134922388</v>
      </c>
      <c r="E103"/>
    </row>
    <row r="104" spans="1:5" x14ac:dyDescent="0.25">
      <c r="A104" s="30">
        <v>5.0544702849929442</v>
      </c>
      <c r="E104"/>
    </row>
    <row r="105" spans="1:5" x14ac:dyDescent="0.25">
      <c r="A105" s="30">
        <v>4.594972986357222</v>
      </c>
      <c r="E105"/>
    </row>
    <row r="106" spans="1:5" x14ac:dyDescent="0.25">
      <c r="A106" s="30">
        <v>4.1772481694156562</v>
      </c>
      <c r="E106"/>
    </row>
    <row r="107" spans="1:5" x14ac:dyDescent="0.25">
      <c r="A107" s="30">
        <v>3.7974983358324148</v>
      </c>
      <c r="E107"/>
    </row>
    <row r="108" spans="1:5" x14ac:dyDescent="0.25">
      <c r="A108" s="30">
        <v>3.4522712143931042</v>
      </c>
      <c r="E108"/>
    </row>
    <row r="109" spans="1:5" x14ac:dyDescent="0.25">
      <c r="A109" s="30">
        <v>3.1384283767210035</v>
      </c>
      <c r="E109"/>
    </row>
    <row r="110" spans="1:5" x14ac:dyDescent="0.25">
      <c r="A110" s="30">
        <v>2.8531167061100029</v>
      </c>
      <c r="E110"/>
    </row>
    <row r="111" spans="1:5" x14ac:dyDescent="0.25">
      <c r="A111" s="30">
        <v>2.5937424601000023</v>
      </c>
      <c r="C111" s="1" t="str">
        <f>ADDRESS(C121-1,1,1,1)</f>
        <v>$A$133</v>
      </c>
      <c r="D111" s="1" t="str">
        <f>ADDRESS(C121-1,D121,1,1)</f>
        <v>$BD$133</v>
      </c>
      <c r="E111"/>
    </row>
    <row r="112" spans="1:5" x14ac:dyDescent="0.25">
      <c r="A112" s="30">
        <v>2.3579476910000019</v>
      </c>
      <c r="C112" s="1" t="str">
        <f>ADDRESS(C121,1,1,1)</f>
        <v>$A$134</v>
      </c>
      <c r="D112" s="1" t="str">
        <f>ADDRESS(C121,D121-1,1,1)</f>
        <v>$BC$134</v>
      </c>
      <c r="E112"/>
    </row>
    <row r="113" spans="1:56" x14ac:dyDescent="0.25">
      <c r="A113" s="30">
        <v>2.1435888100000016</v>
      </c>
      <c r="C113" s="1" t="str">
        <f>ADDRESS(C121+1,1,1,1)</f>
        <v>$A$135</v>
      </c>
      <c r="D113" s="1" t="str">
        <f>ADDRESS(C121-1,D121+1,1,1)</f>
        <v>$BE$133</v>
      </c>
    </row>
    <row r="114" spans="1:56" x14ac:dyDescent="0.25">
      <c r="A114" s="30">
        <v>1.9487171000000014</v>
      </c>
      <c r="C114" s="1" t="str">
        <f>ADDRESS(C121,D121,1,1)</f>
        <v>$BD$134</v>
      </c>
      <c r="D114" s="1" t="str">
        <f>ADDRESS(C121+1,D121+1,1,1)</f>
        <v>$BE$135</v>
      </c>
    </row>
    <row r="115" spans="1:56" x14ac:dyDescent="0.25">
      <c r="A115" s="30">
        <v>1.7715610000000011</v>
      </c>
      <c r="C115" s="1" t="str">
        <f>ADDRESS(C121+1,D121,1,1)</f>
        <v>$BD$135</v>
      </c>
    </row>
    <row r="116" spans="1:56" x14ac:dyDescent="0.25">
      <c r="A116" s="30">
        <v>1.6105100000000008</v>
      </c>
      <c r="C116" s="1">
        <f>C117-1</f>
        <v>133</v>
      </c>
    </row>
    <row r="117" spans="1:56" x14ac:dyDescent="0.25">
      <c r="A117" s="30">
        <v>1.4641000000000006</v>
      </c>
      <c r="C117" s="1">
        <f>C121</f>
        <v>134</v>
      </c>
      <c r="D117" s="1">
        <f>D121</f>
        <v>56</v>
      </c>
    </row>
    <row r="118" spans="1:56" x14ac:dyDescent="0.25">
      <c r="A118" s="30">
        <v>1.3310000000000004</v>
      </c>
      <c r="C118" s="1">
        <f>C117+1</f>
        <v>135</v>
      </c>
      <c r="D118" s="1">
        <f>D117+1</f>
        <v>57</v>
      </c>
    </row>
    <row r="119" spans="1:56" x14ac:dyDescent="0.25">
      <c r="A119" s="30">
        <v>1.2100000000000002</v>
      </c>
    </row>
    <row r="120" spans="1:56" x14ac:dyDescent="0.25">
      <c r="A120" s="30">
        <v>1.1000000000000001</v>
      </c>
      <c r="C120" s="1" t="s">
        <v>9</v>
      </c>
      <c r="AW120" s="27" t="s">
        <v>8</v>
      </c>
    </row>
    <row r="121" spans="1:56" x14ac:dyDescent="0.25">
      <c r="A121" s="30">
        <v>1</v>
      </c>
      <c r="C121" s="18">
        <v>134</v>
      </c>
      <c r="D121" s="19">
        <v>56</v>
      </c>
      <c r="E121" s="18" t="s">
        <v>8</v>
      </c>
      <c r="AW121" s="27" t="s">
        <v>8</v>
      </c>
      <c r="AX121" s="27" t="s">
        <v>7</v>
      </c>
      <c r="AY121" s="27" t="s">
        <v>8</v>
      </c>
    </row>
    <row r="122" spans="1:56" x14ac:dyDescent="0.25">
      <c r="A122" s="30">
        <v>0.90909090909090895</v>
      </c>
      <c r="C122" s="1" t="str">
        <f>INDEX(1:1048576,C117,D117)</f>
        <v>O</v>
      </c>
      <c r="F122" s="27" t="s">
        <v>7</v>
      </c>
      <c r="AW122" s="27" t="s">
        <v>8</v>
      </c>
      <c r="AX122" s="27" t="s">
        <v>7</v>
      </c>
      <c r="AY122" s="27" t="s">
        <v>8</v>
      </c>
      <c r="AZ122" s="27" t="s">
        <v>7</v>
      </c>
      <c r="BA122" s="27" t="s">
        <v>8</v>
      </c>
    </row>
    <row r="123" spans="1:56" x14ac:dyDescent="0.25">
      <c r="A123" s="30">
        <v>0.82644628099173523</v>
      </c>
      <c r="C123" s="1" t="str">
        <f>"R"&amp;C121</f>
        <v>R134</v>
      </c>
      <c r="D123" s="1" t="str">
        <f>"C"&amp;D121</f>
        <v>C56</v>
      </c>
      <c r="F123" s="27" t="s">
        <v>7</v>
      </c>
      <c r="AI123" s="27" t="s">
        <v>8</v>
      </c>
      <c r="AW123" s="27" t="s">
        <v>8</v>
      </c>
      <c r="AX123" s="27" t="s">
        <v>7</v>
      </c>
      <c r="AY123" s="27" t="s">
        <v>8</v>
      </c>
      <c r="AZ123" s="27" t="s">
        <v>7</v>
      </c>
      <c r="BA123" s="27" t="s">
        <v>8</v>
      </c>
      <c r="BB123" s="27" t="s">
        <v>7</v>
      </c>
    </row>
    <row r="124" spans="1:56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  <c r="AE124" s="27" t="s">
        <v>8</v>
      </c>
      <c r="AG124" s="27" t="s">
        <v>8</v>
      </c>
      <c r="AI124" s="27" t="s">
        <v>8</v>
      </c>
      <c r="AJ124" s="27" t="s">
        <v>7</v>
      </c>
      <c r="AK124" s="27" t="s">
        <v>8</v>
      </c>
      <c r="AW124" s="27" t="s">
        <v>8</v>
      </c>
      <c r="AX124" s="27" t="s">
        <v>7</v>
      </c>
      <c r="AY124" s="27" t="s">
        <v>8</v>
      </c>
      <c r="AZ124" s="27" t="s">
        <v>7</v>
      </c>
      <c r="BA124" s="27" t="s">
        <v>8</v>
      </c>
      <c r="BB124" s="27" t="s">
        <v>7</v>
      </c>
    </row>
    <row r="125" spans="1:56" x14ac:dyDescent="0.25">
      <c r="A125" s="30">
        <v>0.68301345536507019</v>
      </c>
      <c r="F125" s="27" t="s">
        <v>7</v>
      </c>
      <c r="AE125" s="27" t="s">
        <v>8</v>
      </c>
      <c r="AF125" s="27" t="s">
        <v>7</v>
      </c>
      <c r="AG125" s="27" t="s">
        <v>8</v>
      </c>
      <c r="AH125" s="27" t="s">
        <v>7</v>
      </c>
      <c r="AI125" s="27" t="s">
        <v>8</v>
      </c>
      <c r="AJ125" s="27" t="s">
        <v>7</v>
      </c>
      <c r="AK125" s="27" t="s">
        <v>8</v>
      </c>
      <c r="AL125" s="27" t="s">
        <v>7</v>
      </c>
      <c r="AM125" s="27" t="s">
        <v>8</v>
      </c>
      <c r="AW125" s="27" t="s">
        <v>8</v>
      </c>
      <c r="AX125" s="27" t="s">
        <v>7</v>
      </c>
      <c r="AY125" s="27" t="s">
        <v>8</v>
      </c>
      <c r="AZ125" s="27" t="s">
        <v>7</v>
      </c>
      <c r="BB125" s="27" t="s">
        <v>7</v>
      </c>
    </row>
    <row r="126" spans="1:56" x14ac:dyDescent="0.25">
      <c r="A126" s="30">
        <v>0.6209213230591546</v>
      </c>
      <c r="C126" s="1" t="s">
        <v>10</v>
      </c>
      <c r="F126" s="27" t="s">
        <v>7</v>
      </c>
      <c r="AE126" s="27" t="s">
        <v>8</v>
      </c>
      <c r="AF126" s="27" t="s">
        <v>7</v>
      </c>
      <c r="AG126" s="27" t="s">
        <v>8</v>
      </c>
      <c r="AH126" s="27" t="s">
        <v>7</v>
      </c>
      <c r="AI126" s="27" t="s">
        <v>8</v>
      </c>
      <c r="AJ126" s="27" t="s">
        <v>7</v>
      </c>
      <c r="AK126" s="27" t="s">
        <v>8</v>
      </c>
      <c r="AL126" s="27" t="s">
        <v>7</v>
      </c>
      <c r="AM126" s="27" t="s">
        <v>8</v>
      </c>
      <c r="AN126" s="27" t="s">
        <v>7</v>
      </c>
      <c r="AW126" s="27" t="s">
        <v>8</v>
      </c>
      <c r="AX126" s="27" t="s">
        <v>7</v>
      </c>
      <c r="BB126" s="27" t="s">
        <v>7</v>
      </c>
      <c r="BC126" s="27" t="s">
        <v>8</v>
      </c>
    </row>
    <row r="127" spans="1:56" x14ac:dyDescent="0.25">
      <c r="A127" s="30">
        <v>0.56447393005377677</v>
      </c>
      <c r="C127" s="30">
        <v>0.28966437973668741</v>
      </c>
      <c r="D127"/>
      <c r="F127" s="27" t="s">
        <v>7</v>
      </c>
      <c r="AE127" s="27" t="s">
        <v>8</v>
      </c>
      <c r="AF127" s="27" t="s">
        <v>7</v>
      </c>
      <c r="AH127" s="27" t="s">
        <v>7</v>
      </c>
      <c r="AJ127" s="27" t="s">
        <v>7</v>
      </c>
      <c r="AL127" s="27" t="s">
        <v>7</v>
      </c>
      <c r="AM127" s="27" t="s">
        <v>8</v>
      </c>
      <c r="AN127" s="27" t="s">
        <v>7</v>
      </c>
      <c r="AO127" s="27" t="s">
        <v>8</v>
      </c>
      <c r="AW127" s="27" t="s">
        <v>8</v>
      </c>
      <c r="BB127" s="27" t="s">
        <v>7</v>
      </c>
      <c r="BC127" s="27" t="s">
        <v>8</v>
      </c>
      <c r="BD127" s="27" t="s">
        <v>7</v>
      </c>
    </row>
    <row r="128" spans="1:56" x14ac:dyDescent="0.25">
      <c r="A128" s="30">
        <v>0.51315811823070612</v>
      </c>
      <c r="F128" s="27" t="s">
        <v>7</v>
      </c>
      <c r="AE128" s="27" t="s">
        <v>8</v>
      </c>
      <c r="AL128" s="27" t="s">
        <v>7</v>
      </c>
      <c r="AM128" s="27" t="s">
        <v>8</v>
      </c>
      <c r="AN128" s="27" t="s">
        <v>7</v>
      </c>
      <c r="AO128" s="27" t="s">
        <v>8</v>
      </c>
      <c r="AP128" s="27" t="s">
        <v>7</v>
      </c>
      <c r="AW128" s="27" t="s">
        <v>8</v>
      </c>
      <c r="BB128" s="27" t="s">
        <v>7</v>
      </c>
      <c r="BC128" s="27" t="s">
        <v>8</v>
      </c>
      <c r="BD128" s="27" t="s">
        <v>7</v>
      </c>
    </row>
    <row r="129" spans="1:56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  <c r="AE129" s="27" t="s">
        <v>8</v>
      </c>
      <c r="AL129" s="27" t="s">
        <v>7</v>
      </c>
      <c r="AM129" s="27" t="s">
        <v>8</v>
      </c>
      <c r="AN129" s="27" t="s">
        <v>7</v>
      </c>
      <c r="AO129" s="27" t="s">
        <v>8</v>
      </c>
      <c r="AP129" s="27" t="s">
        <v>7</v>
      </c>
      <c r="AW129" s="27" t="s">
        <v>8</v>
      </c>
      <c r="BB129" s="27" t="s">
        <v>7</v>
      </c>
      <c r="BD129" s="27" t="s">
        <v>7</v>
      </c>
    </row>
    <row r="130" spans="1:56" x14ac:dyDescent="0.25">
      <c r="A130" s="30">
        <v>0.42409761837248428</v>
      </c>
      <c r="C130" s="6"/>
      <c r="D130" s="6"/>
      <c r="E130"/>
      <c r="F130" s="27" t="s">
        <v>7</v>
      </c>
      <c r="AE130" s="27" t="s">
        <v>8</v>
      </c>
      <c r="AL130" s="27" t="s">
        <v>7</v>
      </c>
      <c r="AM130" s="27" t="s">
        <v>8</v>
      </c>
      <c r="AN130" s="27" t="s">
        <v>7</v>
      </c>
      <c r="AP130" s="27" t="s">
        <v>7</v>
      </c>
      <c r="AS130" s="27" t="s">
        <v>8</v>
      </c>
      <c r="AW130" s="27" t="s">
        <v>8</v>
      </c>
      <c r="BD130" s="27" t="s">
        <v>7</v>
      </c>
    </row>
    <row r="131" spans="1:56" x14ac:dyDescent="0.25">
      <c r="A131" s="30">
        <v>0.38554328942953109</v>
      </c>
      <c r="E131"/>
      <c r="F131" s="27" t="s">
        <v>7</v>
      </c>
      <c r="AE131" s="27" t="s">
        <v>8</v>
      </c>
      <c r="AL131" s="27" t="s">
        <v>7</v>
      </c>
      <c r="AM131" s="27" t="s">
        <v>8</v>
      </c>
      <c r="AP131" s="27" t="s">
        <v>7</v>
      </c>
      <c r="AQ131" s="27" t="s">
        <v>8</v>
      </c>
      <c r="AS131" s="27" t="s">
        <v>8</v>
      </c>
      <c r="AT131" s="27" t="s">
        <v>7</v>
      </c>
      <c r="AW131" s="27" t="s">
        <v>8</v>
      </c>
      <c r="BD131" s="27" t="s">
        <v>7</v>
      </c>
    </row>
    <row r="132" spans="1:56" x14ac:dyDescent="0.25">
      <c r="A132" s="30">
        <v>0.35049389948139187</v>
      </c>
      <c r="C132" s="1" t="s">
        <v>13</v>
      </c>
      <c r="E132"/>
      <c r="F132" s="27" t="s">
        <v>7</v>
      </c>
      <c r="AE132" s="27" t="s">
        <v>8</v>
      </c>
      <c r="AL132" s="27" t="s">
        <v>7</v>
      </c>
      <c r="AP132" s="27" t="s">
        <v>7</v>
      </c>
      <c r="AQ132" s="27" t="s">
        <v>8</v>
      </c>
      <c r="AR132" s="27" t="s">
        <v>7</v>
      </c>
      <c r="AS132" s="27" t="s">
        <v>8</v>
      </c>
      <c r="AT132" s="27" t="s">
        <v>7</v>
      </c>
      <c r="AW132" s="27" t="s">
        <v>8</v>
      </c>
      <c r="BD132" s="27" t="s">
        <v>7</v>
      </c>
    </row>
    <row r="133" spans="1:56" x14ac:dyDescent="0.25">
      <c r="A133" s="30">
        <v>0.31863081771035617</v>
      </c>
      <c r="C133" s="1" t="str">
        <f>C122</f>
        <v>O</v>
      </c>
      <c r="E133"/>
      <c r="F133" s="27" t="s">
        <v>7</v>
      </c>
      <c r="AC133" s="27" t="s">
        <v>8</v>
      </c>
      <c r="AE133" s="27" t="s">
        <v>8</v>
      </c>
      <c r="AP133" s="27" t="s">
        <v>7</v>
      </c>
      <c r="AQ133" s="27" t="s">
        <v>8</v>
      </c>
      <c r="AR133" s="27" t="s">
        <v>7</v>
      </c>
      <c r="AS133" s="27" t="s">
        <v>8</v>
      </c>
      <c r="AT133" s="27" t="s">
        <v>7</v>
      </c>
      <c r="AW133" s="27" t="s">
        <v>8</v>
      </c>
      <c r="BD133" s="27" t="s">
        <v>7</v>
      </c>
    </row>
    <row r="134" spans="1:56" x14ac:dyDescent="0.25">
      <c r="A134" s="30">
        <v>0.28966437973668741</v>
      </c>
      <c r="C134"/>
      <c r="D134"/>
      <c r="E134"/>
      <c r="F134" s="27" t="s">
        <v>7</v>
      </c>
      <c r="AC134" s="27" t="s">
        <v>8</v>
      </c>
      <c r="AD134" s="27" t="s">
        <v>7</v>
      </c>
      <c r="AE134" s="27" t="s">
        <v>8</v>
      </c>
      <c r="AP134" s="27" t="s">
        <v>7</v>
      </c>
      <c r="AQ134" s="27" t="s">
        <v>8</v>
      </c>
      <c r="AR134" s="27" t="s">
        <v>7</v>
      </c>
      <c r="AS134" s="27" t="s">
        <v>8</v>
      </c>
      <c r="AT134" s="27" t="s">
        <v>7</v>
      </c>
      <c r="AU134" s="27" t="s">
        <v>8</v>
      </c>
      <c r="AW134" s="27" t="s">
        <v>8</v>
      </c>
      <c r="BD134" s="27" t="s">
        <v>7</v>
      </c>
    </row>
    <row r="135" spans="1:56" x14ac:dyDescent="0.25">
      <c r="A135" s="30">
        <v>0.2633312543060794</v>
      </c>
      <c r="C135" s="1" t="s">
        <v>14</v>
      </c>
      <c r="E135"/>
      <c r="F135" s="27" t="s">
        <v>7</v>
      </c>
      <c r="AA135" s="27" t="s">
        <v>8</v>
      </c>
      <c r="AC135" s="27" t="s">
        <v>8</v>
      </c>
      <c r="AD135" s="27" t="s">
        <v>7</v>
      </c>
      <c r="AE135" s="27" t="s">
        <v>8</v>
      </c>
      <c r="AP135" s="27" t="s">
        <v>7</v>
      </c>
      <c r="AR135" s="27" t="s">
        <v>7</v>
      </c>
      <c r="AS135" s="27" t="s">
        <v>8</v>
      </c>
      <c r="AT135" s="27" t="s">
        <v>7</v>
      </c>
      <c r="AU135" s="27" t="s">
        <v>8</v>
      </c>
      <c r="AV135" s="27" t="s">
        <v>7</v>
      </c>
      <c r="AW135" s="27" t="s">
        <v>8</v>
      </c>
    </row>
    <row r="136" spans="1:56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F136" s="27" t="s">
        <v>7</v>
      </c>
      <c r="AA136" s="27" t="s">
        <v>8</v>
      </c>
      <c r="AB136" s="27" t="s">
        <v>7</v>
      </c>
      <c r="AC136" s="27" t="s">
        <v>8</v>
      </c>
      <c r="AD136" s="27" t="s">
        <v>7</v>
      </c>
      <c r="AE136" s="27" t="s">
        <v>8</v>
      </c>
      <c r="AR136" s="27" t="s">
        <v>7</v>
      </c>
      <c r="AS136" s="27" t="s">
        <v>8</v>
      </c>
      <c r="AT136" s="27" t="s">
        <v>7</v>
      </c>
      <c r="AU136" s="27" t="s">
        <v>8</v>
      </c>
      <c r="AV136" s="27" t="s">
        <v>7</v>
      </c>
      <c r="AW136" s="27" t="s">
        <v>8</v>
      </c>
    </row>
    <row r="137" spans="1:56" x14ac:dyDescent="0.25">
      <c r="A137" s="30">
        <v>0.2176291357901482</v>
      </c>
      <c r="E137"/>
      <c r="F137" s="27" t="s">
        <v>7</v>
      </c>
      <c r="AA137" s="27" t="s">
        <v>8</v>
      </c>
      <c r="AB137" s="27" t="s">
        <v>7</v>
      </c>
      <c r="AC137" s="27" t="s">
        <v>8</v>
      </c>
      <c r="AD137" s="27" t="s">
        <v>7</v>
      </c>
      <c r="AE137" s="27" t="s">
        <v>8</v>
      </c>
      <c r="AR137" s="27" t="s">
        <v>7</v>
      </c>
      <c r="AS137" s="27" t="s">
        <v>8</v>
      </c>
      <c r="AT137" s="27" t="s">
        <v>7</v>
      </c>
      <c r="AU137" s="27" t="s">
        <v>8</v>
      </c>
      <c r="AV137" s="27" t="s">
        <v>7</v>
      </c>
      <c r="AW137" s="27" t="s">
        <v>8</v>
      </c>
    </row>
    <row r="138" spans="1:56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  <c r="F138" s="27" t="s">
        <v>7</v>
      </c>
      <c r="AA138" s="27" t="s">
        <v>8</v>
      </c>
      <c r="AB138" s="27" t="s">
        <v>7</v>
      </c>
      <c r="AD138" s="27" t="s">
        <v>7</v>
      </c>
      <c r="AE138" s="27" t="s">
        <v>8</v>
      </c>
      <c r="AR138" s="27" t="s">
        <v>7</v>
      </c>
      <c r="AS138" s="27" t="s">
        <v>8</v>
      </c>
      <c r="AT138" s="27" t="s">
        <v>7</v>
      </c>
      <c r="AU138" s="27" t="s">
        <v>8</v>
      </c>
      <c r="AV138" s="18" t="s">
        <v>7</v>
      </c>
    </row>
    <row r="139" spans="1:56" x14ac:dyDescent="0.25">
      <c r="A139" s="30">
        <v>0.17985878990921333</v>
      </c>
      <c r="E139"/>
      <c r="F139" s="27" t="s">
        <v>7</v>
      </c>
      <c r="M139" s="27" t="s">
        <v>8</v>
      </c>
      <c r="AA139" s="27" t="s">
        <v>8</v>
      </c>
      <c r="AD139" s="27" t="s">
        <v>7</v>
      </c>
      <c r="AR139" s="27" t="s">
        <v>7</v>
      </c>
      <c r="AT139" s="27" t="s">
        <v>7</v>
      </c>
      <c r="AU139" s="27" t="s">
        <v>8</v>
      </c>
    </row>
    <row r="140" spans="1:56" x14ac:dyDescent="0.25">
      <c r="A140" s="30">
        <v>0.16350799082655756</v>
      </c>
      <c r="C140" s="1">
        <v>0</v>
      </c>
      <c r="E140"/>
      <c r="F140" s="27" t="s">
        <v>7</v>
      </c>
      <c r="M140" s="27" t="s">
        <v>8</v>
      </c>
      <c r="N140" s="27" t="s">
        <v>7</v>
      </c>
      <c r="AA140" s="27" t="s">
        <v>8</v>
      </c>
      <c r="AT140" s="27" t="s">
        <v>7</v>
      </c>
    </row>
    <row r="141" spans="1:56" x14ac:dyDescent="0.25">
      <c r="A141" s="30">
        <v>0.14864362802414322</v>
      </c>
      <c r="C141" s="1">
        <v>1</v>
      </c>
      <c r="E141"/>
      <c r="F141" s="27" t="s">
        <v>7</v>
      </c>
      <c r="M141" s="27" t="s">
        <v>8</v>
      </c>
      <c r="N141" s="27" t="s">
        <v>7</v>
      </c>
      <c r="AA141" s="27" t="s">
        <v>8</v>
      </c>
    </row>
    <row r="142" spans="1:56" x14ac:dyDescent="0.25">
      <c r="A142" s="30">
        <v>0.13513057093103928</v>
      </c>
      <c r="C142" s="1">
        <v>2</v>
      </c>
      <c r="E142"/>
      <c r="F142" s="27" t="s">
        <v>7</v>
      </c>
      <c r="M142" s="27" t="s">
        <v>8</v>
      </c>
      <c r="N142" s="27" t="s">
        <v>7</v>
      </c>
      <c r="AA142" s="27" t="s">
        <v>8</v>
      </c>
    </row>
    <row r="143" spans="1:56" x14ac:dyDescent="0.25">
      <c r="A143" s="30">
        <v>0.12284597357367205</v>
      </c>
      <c r="C143" s="1">
        <v>3</v>
      </c>
      <c r="E143"/>
      <c r="F143" s="27" t="s">
        <v>7</v>
      </c>
      <c r="M143" s="27" t="s">
        <v>8</v>
      </c>
      <c r="N143" s="27" t="s">
        <v>7</v>
      </c>
      <c r="AA143" s="27" t="s">
        <v>8</v>
      </c>
    </row>
    <row r="144" spans="1:56" x14ac:dyDescent="0.25">
      <c r="A144" s="30">
        <v>0.11167815779424731</v>
      </c>
      <c r="C144" s="1">
        <v>4</v>
      </c>
      <c r="E144"/>
      <c r="F144" s="27" t="s">
        <v>7</v>
      </c>
      <c r="M144" s="27" t="s">
        <v>8</v>
      </c>
      <c r="N144" s="27" t="s">
        <v>7</v>
      </c>
      <c r="AA144" s="27" t="s">
        <v>8</v>
      </c>
    </row>
    <row r="145" spans="1:27" x14ac:dyDescent="0.25">
      <c r="A145" s="30">
        <v>0.10152559799477026</v>
      </c>
      <c r="B145"/>
      <c r="C145"/>
      <c r="D145"/>
      <c r="E145"/>
      <c r="F145" s="27" t="s">
        <v>7</v>
      </c>
      <c r="M145" s="27" t="s">
        <v>8</v>
      </c>
      <c r="N145" s="27" t="s">
        <v>7</v>
      </c>
      <c r="Y145" s="27" t="s">
        <v>8</v>
      </c>
      <c r="AA145" s="27" t="s">
        <v>8</v>
      </c>
    </row>
    <row r="146" spans="1:27" x14ac:dyDescent="0.25">
      <c r="A146" s="30">
        <v>9.2295998177063854E-2</v>
      </c>
      <c r="B146"/>
      <c r="C146"/>
      <c r="D146"/>
      <c r="E146"/>
      <c r="F146" s="27" t="s">
        <v>7</v>
      </c>
      <c r="M146" s="27" t="s">
        <v>8</v>
      </c>
      <c r="N146" s="27" t="s">
        <v>7</v>
      </c>
      <c r="O146" s="27" t="s">
        <v>8</v>
      </c>
      <c r="Y146" s="27" t="s">
        <v>8</v>
      </c>
      <c r="Z146" s="27" t="s">
        <v>7</v>
      </c>
      <c r="AA146" s="27" t="s">
        <v>8</v>
      </c>
    </row>
    <row r="147" spans="1:27" x14ac:dyDescent="0.25">
      <c r="A147" s="30">
        <v>8.3905452888239848E-2</v>
      </c>
      <c r="B147"/>
      <c r="C147"/>
      <c r="D147"/>
      <c r="E147"/>
      <c r="F147" s="27" t="s">
        <v>7</v>
      </c>
      <c r="M147" s="27" t="s">
        <v>8</v>
      </c>
      <c r="N147" s="27" t="s">
        <v>7</v>
      </c>
      <c r="O147" s="27" t="s">
        <v>8</v>
      </c>
      <c r="P147" s="27" t="s">
        <v>7</v>
      </c>
      <c r="W147" s="27" t="s">
        <v>8</v>
      </c>
      <c r="Y147" s="27" t="s">
        <v>8</v>
      </c>
      <c r="Z147" s="27" t="s">
        <v>7</v>
      </c>
      <c r="AA147" s="27" t="s">
        <v>8</v>
      </c>
    </row>
    <row r="148" spans="1:27" x14ac:dyDescent="0.25">
      <c r="A148" s="30">
        <v>7.6277684443854396E-2</v>
      </c>
      <c r="B148"/>
      <c r="C148"/>
      <c r="D148"/>
      <c r="E148"/>
      <c r="F148" s="27" t="s">
        <v>7</v>
      </c>
      <c r="M148" s="27" t="s">
        <v>8</v>
      </c>
      <c r="N148" s="27" t="s">
        <v>7</v>
      </c>
      <c r="O148" s="27" t="s">
        <v>8</v>
      </c>
      <c r="P148" s="27" t="s">
        <v>7</v>
      </c>
      <c r="W148" s="27" t="s">
        <v>8</v>
      </c>
      <c r="X148" s="27" t="s">
        <v>7</v>
      </c>
      <c r="Y148" s="27" t="s">
        <v>8</v>
      </c>
      <c r="Z148" s="27" t="s">
        <v>7</v>
      </c>
    </row>
    <row r="149" spans="1:27" x14ac:dyDescent="0.25">
      <c r="A149" s="30">
        <v>6.9343349494413078E-2</v>
      </c>
      <c r="B149"/>
      <c r="C149"/>
      <c r="D149"/>
      <c r="E149"/>
      <c r="F149" s="27" t="s">
        <v>7</v>
      </c>
      <c r="M149" s="27" t="s">
        <v>8</v>
      </c>
      <c r="N149" s="27" t="s">
        <v>7</v>
      </c>
      <c r="P149" s="27" t="s">
        <v>7</v>
      </c>
      <c r="Q149" s="27" t="s">
        <v>8</v>
      </c>
      <c r="W149" s="27" t="s">
        <v>8</v>
      </c>
      <c r="X149" s="27" t="s">
        <v>7</v>
      </c>
      <c r="Y149" s="27" t="s">
        <v>8</v>
      </c>
    </row>
    <row r="150" spans="1:27" x14ac:dyDescent="0.25">
      <c r="A150" s="30">
        <v>6.3039408631284613E-2</v>
      </c>
      <c r="B150"/>
      <c r="C150"/>
      <c r="D150"/>
      <c r="E150"/>
      <c r="F150" s="27" t="s">
        <v>7</v>
      </c>
      <c r="M150" s="27" t="s">
        <v>8</v>
      </c>
      <c r="P150" s="27" t="s">
        <v>7</v>
      </c>
      <c r="Q150" s="27" t="s">
        <v>8</v>
      </c>
      <c r="R150" s="27" t="s">
        <v>7</v>
      </c>
      <c r="S150" s="27" t="s">
        <v>8</v>
      </c>
      <c r="U150" s="27" t="s">
        <v>8</v>
      </c>
      <c r="W150" s="27" t="s">
        <v>8</v>
      </c>
      <c r="X150" s="27" t="s">
        <v>7</v>
      </c>
      <c r="Y150" s="27" t="s">
        <v>8</v>
      </c>
    </row>
    <row r="151" spans="1:27" x14ac:dyDescent="0.25">
      <c r="A151" s="30">
        <v>5.7308553301167818E-2</v>
      </c>
      <c r="B151"/>
      <c r="C151"/>
      <c r="D151"/>
      <c r="E151"/>
      <c r="F151" s="27" t="s">
        <v>7</v>
      </c>
      <c r="M151" s="27" t="s">
        <v>8</v>
      </c>
      <c r="P151" s="27" t="s">
        <v>7</v>
      </c>
      <c r="Q151" s="27" t="s">
        <v>8</v>
      </c>
      <c r="R151" s="27" t="s">
        <v>7</v>
      </c>
      <c r="S151" s="27" t="s">
        <v>8</v>
      </c>
      <c r="T151" s="27" t="s">
        <v>7</v>
      </c>
      <c r="U151" s="27" t="s">
        <v>8</v>
      </c>
      <c r="V151" s="27" t="s">
        <v>7</v>
      </c>
      <c r="W151" s="27" t="s">
        <v>8</v>
      </c>
      <c r="X151" s="27" t="s">
        <v>7</v>
      </c>
      <c r="Y151" s="27" t="s">
        <v>8</v>
      </c>
    </row>
    <row r="152" spans="1:27" x14ac:dyDescent="0.25">
      <c r="A152" s="30">
        <v>5.2098684819243464E-2</v>
      </c>
      <c r="B152"/>
      <c r="C152"/>
      <c r="D152"/>
      <c r="E152"/>
      <c r="F152" s="27" t="s">
        <v>7</v>
      </c>
      <c r="G152" s="27" t="s">
        <v>8</v>
      </c>
      <c r="M152" s="27" t="s">
        <v>8</v>
      </c>
      <c r="P152" s="27" t="s">
        <v>7</v>
      </c>
      <c r="Q152" s="27" t="s">
        <v>8</v>
      </c>
      <c r="R152" s="27" t="s">
        <v>7</v>
      </c>
      <c r="S152" s="27" t="s">
        <v>8</v>
      </c>
      <c r="T152" s="27" t="s">
        <v>7</v>
      </c>
      <c r="U152" s="27" t="s">
        <v>8</v>
      </c>
      <c r="V152" s="27" t="s">
        <v>7</v>
      </c>
      <c r="W152" s="27" t="s">
        <v>8</v>
      </c>
      <c r="X152" s="27" t="s">
        <v>7</v>
      </c>
    </row>
    <row r="153" spans="1:27" x14ac:dyDescent="0.25">
      <c r="A153" s="30">
        <v>4.7362440744766775E-2</v>
      </c>
      <c r="B153"/>
      <c r="C153"/>
      <c r="D153"/>
      <c r="E153"/>
      <c r="F153" s="27" t="s">
        <v>7</v>
      </c>
      <c r="G153" s="27" t="s">
        <v>8</v>
      </c>
      <c r="H153" s="27" t="s">
        <v>7</v>
      </c>
      <c r="M153" s="27" t="s">
        <v>8</v>
      </c>
      <c r="P153" s="27" t="s">
        <v>7</v>
      </c>
      <c r="R153" s="27" t="s">
        <v>7</v>
      </c>
      <c r="S153" s="27" t="s">
        <v>8</v>
      </c>
      <c r="T153" s="27" t="s">
        <v>7</v>
      </c>
      <c r="V153" s="27" t="s">
        <v>7</v>
      </c>
    </row>
    <row r="154" spans="1:27" x14ac:dyDescent="0.25">
      <c r="A154" s="30">
        <v>4.3056764313424332E-2</v>
      </c>
      <c r="B154"/>
      <c r="C154"/>
      <c r="D154"/>
      <c r="E154"/>
      <c r="F154" s="27" t="s">
        <v>7</v>
      </c>
      <c r="G154" s="27" t="s">
        <v>8</v>
      </c>
      <c r="H154" s="27" t="s">
        <v>7</v>
      </c>
      <c r="M154" s="27" t="s">
        <v>8</v>
      </c>
      <c r="R154" s="27" t="s">
        <v>7</v>
      </c>
      <c r="S154" s="27" t="s">
        <v>8</v>
      </c>
    </row>
    <row r="155" spans="1:27" x14ac:dyDescent="0.25">
      <c r="A155" s="30">
        <v>3.9142513012203929E-2</v>
      </c>
      <c r="B155"/>
      <c r="C155"/>
      <c r="D155"/>
      <c r="E155"/>
      <c r="F155" s="27" t="s">
        <v>7</v>
      </c>
      <c r="G155" s="27" t="s">
        <v>8</v>
      </c>
      <c r="H155" s="27" t="s">
        <v>7</v>
      </c>
      <c r="M155" s="27" t="s">
        <v>8</v>
      </c>
      <c r="R155" s="27" t="s">
        <v>7</v>
      </c>
    </row>
    <row r="156" spans="1:27" x14ac:dyDescent="0.25">
      <c r="A156" s="30">
        <v>3.55841027383672E-2</v>
      </c>
      <c r="B156"/>
      <c r="C156"/>
      <c r="D156"/>
      <c r="E156"/>
      <c r="F156" s="27" t="s">
        <v>7</v>
      </c>
      <c r="H156" s="27" t="s">
        <v>7</v>
      </c>
      <c r="M156" s="27" t="s">
        <v>8</v>
      </c>
    </row>
    <row r="157" spans="1:27" x14ac:dyDescent="0.25">
      <c r="A157" s="30">
        <v>3.2349184307606541E-2</v>
      </c>
      <c r="B157"/>
      <c r="C157"/>
      <c r="D157"/>
      <c r="E157"/>
      <c r="H157" s="27" t="s">
        <v>7</v>
      </c>
      <c r="M157" s="27" t="s">
        <v>8</v>
      </c>
    </row>
    <row r="158" spans="1:27" x14ac:dyDescent="0.25">
      <c r="A158" s="30">
        <v>2.9408349370551395E-2</v>
      </c>
      <c r="B158"/>
      <c r="C158"/>
      <c r="D158"/>
      <c r="E158"/>
      <c r="H158" s="27" t="s">
        <v>7</v>
      </c>
      <c r="M158" s="27" t="s">
        <v>8</v>
      </c>
    </row>
    <row r="159" spans="1:27" x14ac:dyDescent="0.25">
      <c r="A159" s="30">
        <v>2.6734863064137627E-2</v>
      </c>
      <c r="B159"/>
      <c r="C159"/>
      <c r="D159"/>
      <c r="E159"/>
      <c r="H159" s="27" t="s">
        <v>7</v>
      </c>
      <c r="M159" s="27" t="s">
        <v>8</v>
      </c>
    </row>
    <row r="160" spans="1:27" x14ac:dyDescent="0.25">
      <c r="A160" s="30">
        <v>2.4304420967397839E-2</v>
      </c>
      <c r="B160"/>
      <c r="C160"/>
      <c r="D160"/>
      <c r="E160"/>
      <c r="H160" s="27" t="s">
        <v>7</v>
      </c>
      <c r="M160" s="27" t="s">
        <v>8</v>
      </c>
    </row>
    <row r="161" spans="1:13" x14ac:dyDescent="0.25">
      <c r="A161" s="30">
        <v>2.2094928152179852E-2</v>
      </c>
      <c r="B161"/>
      <c r="C161"/>
      <c r="D161"/>
      <c r="E161"/>
      <c r="H161" s="27" t="s">
        <v>7</v>
      </c>
      <c r="K161" s="27" t="s">
        <v>8</v>
      </c>
      <c r="M161" s="27" t="s">
        <v>8</v>
      </c>
    </row>
    <row r="162" spans="1:13" x14ac:dyDescent="0.25">
      <c r="A162" s="30">
        <v>2.0086298320163499E-2</v>
      </c>
      <c r="B162"/>
      <c r="C162"/>
      <c r="D162"/>
      <c r="E162"/>
      <c r="H162" s="27" t="s">
        <v>7</v>
      </c>
      <c r="K162" s="27" t="s">
        <v>8</v>
      </c>
      <c r="L162" s="27" t="s">
        <v>7</v>
      </c>
      <c r="M162" s="27" t="s">
        <v>8</v>
      </c>
    </row>
    <row r="163" spans="1:13" x14ac:dyDescent="0.25">
      <c r="A163" s="30">
        <v>1.8260271200148632E-2</v>
      </c>
      <c r="B163"/>
      <c r="C163"/>
      <c r="D163"/>
      <c r="E163"/>
      <c r="H163" s="27" t="s">
        <v>7</v>
      </c>
      <c r="K163" s="27" t="s">
        <v>8</v>
      </c>
      <c r="L163" s="27" t="s">
        <v>7</v>
      </c>
      <c r="M163" s="27" t="s">
        <v>8</v>
      </c>
    </row>
    <row r="164" spans="1:13" x14ac:dyDescent="0.25">
      <c r="A164" s="30">
        <v>1.6600246545589663E-2</v>
      </c>
      <c r="B164"/>
      <c r="C164"/>
      <c r="D164"/>
      <c r="E164"/>
      <c r="H164" s="27" t="s">
        <v>7</v>
      </c>
      <c r="K164" s="27" t="s">
        <v>8</v>
      </c>
      <c r="L164" s="27" t="s">
        <v>7</v>
      </c>
    </row>
    <row r="165" spans="1:13" x14ac:dyDescent="0.25">
      <c r="A165" s="30">
        <v>1.5091133223263328E-2</v>
      </c>
      <c r="B165"/>
      <c r="C165"/>
      <c r="D165"/>
      <c r="E165"/>
      <c r="H165" s="27" t="s">
        <v>7</v>
      </c>
      <c r="K165" s="27" t="s">
        <v>8</v>
      </c>
    </row>
    <row r="166" spans="1:13" x14ac:dyDescent="0.25">
      <c r="A166" s="30">
        <v>1.3719212021148477E-2</v>
      </c>
      <c r="B166"/>
      <c r="C166"/>
      <c r="D166"/>
      <c r="E166"/>
      <c r="H166" s="27" t="s">
        <v>7</v>
      </c>
      <c r="K166" s="27" t="s">
        <v>8</v>
      </c>
    </row>
    <row r="167" spans="1:13" x14ac:dyDescent="0.25">
      <c r="A167" s="30">
        <v>1.2472010928316795E-2</v>
      </c>
      <c r="B167"/>
      <c r="C167"/>
      <c r="D167"/>
      <c r="E167"/>
      <c r="H167" s="27" t="s">
        <v>7</v>
      </c>
      <c r="I167" s="27" t="s">
        <v>8</v>
      </c>
      <c r="K167" s="27" t="s">
        <v>8</v>
      </c>
    </row>
    <row r="168" spans="1:13" x14ac:dyDescent="0.25">
      <c r="A168" s="30">
        <v>1.1338191753015267E-2</v>
      </c>
      <c r="B168"/>
      <c r="C168"/>
      <c r="D168"/>
      <c r="E168"/>
      <c r="H168" s="27" t="s">
        <v>7</v>
      </c>
      <c r="I168" s="27" t="s">
        <v>8</v>
      </c>
      <c r="J168" s="27" t="s">
        <v>7</v>
      </c>
      <c r="K168" s="27" t="s">
        <v>8</v>
      </c>
    </row>
    <row r="169" spans="1:13" x14ac:dyDescent="0.25">
      <c r="A169" s="30">
        <v>1.0307447048195697E-2</v>
      </c>
      <c r="B169"/>
      <c r="C169"/>
      <c r="D169"/>
      <c r="E169"/>
      <c r="H169" s="27" t="s">
        <v>7</v>
      </c>
      <c r="I169" s="27" t="s">
        <v>8</v>
      </c>
      <c r="J169" s="27" t="s">
        <v>7</v>
      </c>
      <c r="K169" s="27" t="s">
        <v>8</v>
      </c>
    </row>
    <row r="170" spans="1:13" x14ac:dyDescent="0.25">
      <c r="A170" s="30">
        <v>9.3704064074506318E-3</v>
      </c>
      <c r="B170"/>
      <c r="C170"/>
      <c r="D170"/>
      <c r="E170"/>
      <c r="H170" s="27" t="s">
        <v>7</v>
      </c>
      <c r="I170" s="27" t="s">
        <v>8</v>
      </c>
      <c r="J170" s="27" t="s">
        <v>7</v>
      </c>
    </row>
    <row r="171" spans="1:13" x14ac:dyDescent="0.25">
      <c r="A171" s="30">
        <v>8.5185512795005747E-3</v>
      </c>
      <c r="H171" s="27" t="s">
        <v>7</v>
      </c>
      <c r="I171" s="27" t="s">
        <v>8</v>
      </c>
    </row>
    <row r="172" spans="1:13" x14ac:dyDescent="0.25">
      <c r="A172" s="30">
        <v>7.744137526818704E-3</v>
      </c>
      <c r="H172" s="27" t="s">
        <v>7</v>
      </c>
    </row>
    <row r="173" spans="1:13" x14ac:dyDescent="0.25">
      <c r="A173" s="30">
        <v>7.0401250243806394E-3</v>
      </c>
    </row>
    <row r="174" spans="1:13" x14ac:dyDescent="0.25">
      <c r="A174" s="30">
        <v>6.4001136585278536E-3</v>
      </c>
    </row>
    <row r="175" spans="1:13" x14ac:dyDescent="0.25">
      <c r="A175" s="30">
        <v>5.8182851441162305E-3</v>
      </c>
    </row>
    <row r="176" spans="1:13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1162" operator="equal">
      <formula>$U$1</formula>
    </cfRule>
    <cfRule type="cellIs" dxfId="30" priority="1163" operator="equal">
      <formula>$S$1</formula>
    </cfRule>
  </conditionalFormatting>
  <conditionalFormatting sqref="D136">
    <cfRule type="cellIs" dxfId="29" priority="1160" operator="equal">
      <formula>$S$1</formula>
    </cfRule>
    <cfRule type="cellIs" dxfId="28" priority="1161" operator="equal">
      <formula>$U$1</formula>
    </cfRule>
  </conditionalFormatting>
  <conditionalFormatting sqref="C102">
    <cfRule type="cellIs" dxfId="27" priority="1158" operator="equal">
      <formula>$U$1</formula>
    </cfRule>
    <cfRule type="cellIs" dxfId="26" priority="1159" operator="equal">
      <formula>$S$1</formula>
    </cfRule>
  </conditionalFormatting>
  <conditionalFormatting sqref="D102">
    <cfRule type="cellIs" dxfId="25" priority="1156" operator="equal">
      <formula>$S$1</formula>
    </cfRule>
    <cfRule type="cellIs" dxfId="24" priority="1157" operator="equal">
      <formula>$U$1</formula>
    </cfRule>
  </conditionalFormatting>
  <conditionalFormatting sqref="C77">
    <cfRule type="cellIs" dxfId="23" priority="1154" operator="equal">
      <formula>$U$1</formula>
    </cfRule>
    <cfRule type="cellIs" dxfId="22" priority="1155" operator="equal">
      <formula>$S$1</formula>
    </cfRule>
  </conditionalFormatting>
  <conditionalFormatting sqref="D77">
    <cfRule type="cellIs" dxfId="21" priority="1152" operator="equal">
      <formula>$S$1</formula>
    </cfRule>
    <cfRule type="cellIs" dxfId="20" priority="1153" operator="equal">
      <formula>$U$1</formula>
    </cfRule>
  </conditionalFormatting>
  <conditionalFormatting sqref="C52">
    <cfRule type="cellIs" dxfId="19" priority="1150" operator="equal">
      <formula>$U$1</formula>
    </cfRule>
    <cfRule type="cellIs" dxfId="18" priority="1151" operator="equal">
      <formula>$S$1</formula>
    </cfRule>
  </conditionalFormatting>
  <conditionalFormatting sqref="D52">
    <cfRule type="cellIs" dxfId="17" priority="1148" operator="equal">
      <formula>$S$1</formula>
    </cfRule>
    <cfRule type="cellIs" dxfId="16" priority="1149" operator="equal">
      <formula>$U$1</formula>
    </cfRule>
  </conditionalFormatting>
  <conditionalFormatting sqref="C26">
    <cfRule type="cellIs" dxfId="15" priority="1146" operator="equal">
      <formula>$U$1</formula>
    </cfRule>
    <cfRule type="cellIs" dxfId="14" priority="1147" operator="equal">
      <formula>$S$1</formula>
    </cfRule>
  </conditionalFormatting>
  <conditionalFormatting sqref="D26">
    <cfRule type="cellIs" dxfId="13" priority="1144" operator="equal">
      <formula>$S$1</formula>
    </cfRule>
    <cfRule type="cellIs" dxfId="12" priority="1145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1" t="s">
        <v>17</v>
      </c>
      <c r="C1" s="31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2022-01-28T01:16:30Z</dcterms:modified>
</cp:coreProperties>
</file>