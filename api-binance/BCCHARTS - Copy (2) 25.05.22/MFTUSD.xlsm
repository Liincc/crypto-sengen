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4F505A5-161C-4119-B588-8849F6FA63E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89" i="1"/>
  <c r="Q889" i="1" s="1"/>
  <c r="R889" i="1" s="1"/>
  <c r="S889" i="1" s="1"/>
  <c r="T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C136" i="4" s="1"/>
  <c r="C116" i="4"/>
  <c r="C116" i="3"/>
  <c r="C122" i="3"/>
  <c r="C133" i="3" s="1"/>
  <c r="D136" i="3" s="1"/>
  <c r="R888" i="1"/>
  <c r="C136" i="5" l="1"/>
  <c r="C138" i="5" s="1"/>
  <c r="D136" i="4"/>
  <c r="C138" i="4" s="1"/>
  <c r="C136" i="3"/>
  <c r="C138" i="3" s="1"/>
  <c r="R887" i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<sst xmlns="http://schemas.openxmlformats.org/spreadsheetml/2006/main" count="9453" uniqueCount="34">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</sst>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5.5300000000000002E-3</c:v>
                </c:pt>
                <c:pt idx="1">
                  <c:v>5.6779999999999999E-3</c:v>
                </c:pt>
                <c:pt idx="2">
                  <c:v>5.3109999999999997E-3</c:v>
                </c:pt>
                <c:pt idx="3">
                  <c:v>5.2170000000000003E-3</c:v>
                </c:pt>
                <c:pt idx="4">
                  <c:v>5.4599999999999996E-3</c:v>
                </c:pt>
                <c:pt idx="5">
                  <c:v>5.254E-3</c:v>
                </c:pt>
                <c:pt idx="6">
                  <c:v>5.8209999999999998E-3</c:v>
                </c:pt>
                <c:pt idx="7">
                  <c:v>6.8139999999999997E-3</c:v>
                </c:pt>
                <c:pt idx="8">
                  <c:v>7.1050000000000002E-3</c:v>
                </c:pt>
                <c:pt idx="9">
                  <c:v>7.5799999999999999E-3</c:v>
                </c:pt>
                <c:pt idx="10">
                  <c:v>7.7990000000000004E-3</c:v>
                </c:pt>
                <c:pt idx="11">
                  <c:v>8.0520000000000001E-3</c:v>
                </c:pt>
                <c:pt idx="12">
                  <c:v>8.0569999999999999E-3</c:v>
                </c:pt>
                <c:pt idx="13">
                  <c:v>8.0400000000000003E-3</c:v>
                </c:pt>
                <c:pt idx="14">
                  <c:v>7.9609999999999993E-3</c:v>
                </c:pt>
                <c:pt idx="15">
                  <c:v>8.2459999999999999E-3</c:v>
                </c:pt>
                <c:pt idx="16">
                  <c:v>7.9799999999999992E-3</c:v>
                </c:pt>
                <c:pt idx="17">
                  <c:v>7.8050000000000003E-3</c:v>
                </c:pt>
                <c:pt idx="18">
                  <c:v>8.0909999999999992E-3</c:v>
                </c:pt>
                <c:pt idx="19">
                  <c:v>7.9489999999999995E-3</c:v>
                </c:pt>
                <c:pt idx="20">
                  <c:v>8.0829999999999999E-3</c:v>
                </c:pt>
                <c:pt idx="21">
                  <c:v>8.4169999999999991E-3</c:v>
                </c:pt>
                <c:pt idx="22">
                  <c:v>8.4169999999999991E-3</c:v>
                </c:pt>
                <c:pt idx="23">
                  <c:v>9.1739999999999999E-3</c:v>
                </c:pt>
                <c:pt idx="24">
                  <c:v>9.5090000000000001E-3</c:v>
                </c:pt>
                <c:pt idx="25">
                  <c:v>9.5289999999999993E-3</c:v>
                </c:pt>
                <c:pt idx="26">
                  <c:v>8.7220000000000006E-3</c:v>
                </c:pt>
                <c:pt idx="27">
                  <c:v>8.4510000000000002E-3</c:v>
                </c:pt>
                <c:pt idx="28">
                  <c:v>8.6949999999999996E-3</c:v>
                </c:pt>
                <c:pt idx="29">
                  <c:v>8.4550000000000007E-3</c:v>
                </c:pt>
                <c:pt idx="30">
                  <c:v>8.6499999999999997E-3</c:v>
                </c:pt>
                <c:pt idx="31">
                  <c:v>9.5090000000000001E-3</c:v>
                </c:pt>
                <c:pt idx="32">
                  <c:v>9.4400000000000005E-3</c:v>
                </c:pt>
                <c:pt idx="33">
                  <c:v>9.476E-3</c:v>
                </c:pt>
                <c:pt idx="34">
                  <c:v>9.4179999999999993E-3</c:v>
                </c:pt>
                <c:pt idx="35">
                  <c:v>9.3589999999999993E-3</c:v>
                </c:pt>
                <c:pt idx="36">
                  <c:v>8.8229999999999992E-3</c:v>
                </c:pt>
                <c:pt idx="37">
                  <c:v>8.6300000000000005E-3</c:v>
                </c:pt>
                <c:pt idx="38">
                  <c:v>8.3719999999999992E-3</c:v>
                </c:pt>
                <c:pt idx="39">
                  <c:v>8.7360000000000007E-3</c:v>
                </c:pt>
                <c:pt idx="40">
                  <c:v>8.8240000000000002E-3</c:v>
                </c:pt>
                <c:pt idx="41">
                  <c:v>8.6739999999999994E-3</c:v>
                </c:pt>
                <c:pt idx="42">
                  <c:v>8.5330000000000007E-3</c:v>
                </c:pt>
                <c:pt idx="43">
                  <c:v>8.7329999999999994E-3</c:v>
                </c:pt>
                <c:pt idx="44">
                  <c:v>8.404E-3</c:v>
                </c:pt>
                <c:pt idx="45">
                  <c:v>8.2620000000000002E-3</c:v>
                </c:pt>
                <c:pt idx="46">
                  <c:v>9.3390000000000001E-3</c:v>
                </c:pt>
                <c:pt idx="47">
                  <c:v>8.9009999999999992E-3</c:v>
                </c:pt>
                <c:pt idx="48">
                  <c:v>9.0550000000000005E-3</c:v>
                </c:pt>
                <c:pt idx="49">
                  <c:v>9.4490000000000008E-3</c:v>
                </c:pt>
                <c:pt idx="50">
                  <c:v>1.0407E-2</c:v>
                </c:pt>
                <c:pt idx="51">
                  <c:v>1.0120000000000001E-2</c:v>
                </c:pt>
                <c:pt idx="52">
                  <c:v>1.0196E-2</c:v>
                </c:pt>
                <c:pt idx="53">
                  <c:v>9.7900000000000001E-3</c:v>
                </c:pt>
                <c:pt idx="54">
                  <c:v>1.0406E-2</c:v>
                </c:pt>
                <c:pt idx="55">
                  <c:v>1.2290000000000001E-2</c:v>
                </c:pt>
                <c:pt idx="56">
                  <c:v>1.3244000000000001E-2</c:v>
                </c:pt>
                <c:pt idx="57">
                  <c:v>1.3613E-2</c:v>
                </c:pt>
                <c:pt idx="58">
                  <c:v>1.4305999999999999E-2</c:v>
                </c:pt>
                <c:pt idx="59">
                  <c:v>1.3957000000000001E-2</c:v>
                </c:pt>
                <c:pt idx="60">
                  <c:v>1.3697000000000001E-2</c:v>
                </c:pt>
                <c:pt idx="61">
                  <c:v>1.414E-2</c:v>
                </c:pt>
                <c:pt idx="62">
                  <c:v>1.4246999999999999E-2</c:v>
                </c:pt>
                <c:pt idx="63">
                  <c:v>1.511E-2</c:v>
                </c:pt>
                <c:pt idx="64">
                  <c:v>1.4536E-2</c:v>
                </c:pt>
                <c:pt idx="65">
                  <c:v>1.3873999999999999E-2</c:v>
                </c:pt>
                <c:pt idx="66">
                  <c:v>1.3831E-2</c:v>
                </c:pt>
                <c:pt idx="67">
                  <c:v>1.3859E-2</c:v>
                </c:pt>
                <c:pt idx="68">
                  <c:v>1.3853000000000001E-2</c:v>
                </c:pt>
                <c:pt idx="69">
                  <c:v>1.252E-2</c:v>
                </c:pt>
                <c:pt idx="70">
                  <c:v>1.1871E-2</c:v>
                </c:pt>
                <c:pt idx="71">
                  <c:v>1.4178E-2</c:v>
                </c:pt>
                <c:pt idx="72">
                  <c:v>1.2427000000000001E-2</c:v>
                </c:pt>
                <c:pt idx="73">
                  <c:v>1.2799E-2</c:v>
                </c:pt>
                <c:pt idx="74">
                  <c:v>1.2512000000000001E-2</c:v>
                </c:pt>
                <c:pt idx="75">
                  <c:v>1.2529E-2</c:v>
                </c:pt>
                <c:pt idx="76">
                  <c:v>1.2144E-2</c:v>
                </c:pt>
                <c:pt idx="77">
                  <c:v>1.2482E-2</c:v>
                </c:pt>
                <c:pt idx="78">
                  <c:v>1.2446E-2</c:v>
                </c:pt>
                <c:pt idx="79">
                  <c:v>1.2846E-2</c:v>
                </c:pt>
                <c:pt idx="80">
                  <c:v>1.32E-2</c:v>
                </c:pt>
                <c:pt idx="81">
                  <c:v>1.3596E-2</c:v>
                </c:pt>
                <c:pt idx="82">
                  <c:v>1.2928E-2</c:v>
                </c:pt>
                <c:pt idx="83">
                  <c:v>1.2891E-2</c:v>
                </c:pt>
                <c:pt idx="84">
                  <c:v>1.2947999999999999E-2</c:v>
                </c:pt>
                <c:pt idx="85">
                  <c:v>1.3306999999999999E-2</c:v>
                </c:pt>
                <c:pt idx="86">
                  <c:v>1.3062000000000001E-2</c:v>
                </c:pt>
                <c:pt idx="87">
                  <c:v>1.2772E-2</c:v>
                </c:pt>
                <c:pt idx="88">
                  <c:v>1.3448999999999999E-2</c:v>
                </c:pt>
                <c:pt idx="89">
                  <c:v>1.2715000000000001E-2</c:v>
                </c:pt>
                <c:pt idx="90">
                  <c:v>1.2583E-2</c:v>
                </c:pt>
                <c:pt idx="91">
                  <c:v>1.2267999999999999E-2</c:v>
                </c:pt>
                <c:pt idx="92">
                  <c:v>1.1568999999999999E-2</c:v>
                </c:pt>
                <c:pt idx="93">
                  <c:v>1.2929E-2</c:v>
                </c:pt>
                <c:pt idx="94">
                  <c:v>1.3202999999999999E-2</c:v>
                </c:pt>
                <c:pt idx="95">
                  <c:v>1.3056999999999999E-2</c:v>
                </c:pt>
                <c:pt idx="96">
                  <c:v>1.3511E-2</c:v>
                </c:pt>
                <c:pt idx="97">
                  <c:v>1.3410999999999999E-2</c:v>
                </c:pt>
                <c:pt idx="98">
                  <c:v>1.3056E-2</c:v>
                </c:pt>
                <c:pt idx="99">
                  <c:v>1.3689E-2</c:v>
                </c:pt>
                <c:pt idx="100">
                  <c:v>1.3525000000000001E-2</c:v>
                </c:pt>
                <c:pt idx="101">
                  <c:v>1.2463999999999999E-2</c:v>
                </c:pt>
                <c:pt idx="102">
                  <c:v>1.2824E-2</c:v>
                </c:pt>
                <c:pt idx="103">
                  <c:v>1.3138E-2</c:v>
                </c:pt>
                <c:pt idx="104">
                  <c:v>1.3014E-2</c:v>
                </c:pt>
                <c:pt idx="105">
                  <c:v>1.4324999999999999E-2</c:v>
                </c:pt>
                <c:pt idx="106">
                  <c:v>1.4158E-2</c:v>
                </c:pt>
                <c:pt idx="107">
                  <c:v>1.2884E-2</c:v>
                </c:pt>
                <c:pt idx="108">
                  <c:v>1.3454000000000001E-2</c:v>
                </c:pt>
                <c:pt idx="109">
                  <c:v>1.4165000000000001E-2</c:v>
                </c:pt>
                <c:pt idx="110">
                  <c:v>1.3325E-2</c:v>
                </c:pt>
                <c:pt idx="111">
                  <c:v>1.4609E-2</c:v>
                </c:pt>
                <c:pt idx="112">
                  <c:v>1.2102999999999999E-2</c:v>
                </c:pt>
                <c:pt idx="113">
                  <c:v>1.1702000000000001E-2</c:v>
                </c:pt>
                <c:pt idx="114">
                  <c:v>1.174E-2</c:v>
                </c:pt>
                <c:pt idx="115">
                  <c:v>1.0394E-2</c:v>
                </c:pt>
                <c:pt idx="116">
                  <c:v>1.069E-2</c:v>
                </c:pt>
                <c:pt idx="117">
                  <c:v>1.0685999999999999E-2</c:v>
                </c:pt>
                <c:pt idx="118">
                  <c:v>1.0729000000000001E-2</c:v>
                </c:pt>
                <c:pt idx="119">
                  <c:v>1.0054E-2</c:v>
                </c:pt>
                <c:pt idx="120">
                  <c:v>9.1489999999999991E-3</c:v>
                </c:pt>
                <c:pt idx="121">
                  <c:v>9.051E-3</c:v>
                </c:pt>
                <c:pt idx="122">
                  <c:v>9.5659999999999999E-3</c:v>
                </c:pt>
                <c:pt idx="123">
                  <c:v>1.0059999999999999E-2</c:v>
                </c:pt>
                <c:pt idx="124">
                  <c:v>1.0196999999999999E-2</c:v>
                </c:pt>
                <c:pt idx="125">
                  <c:v>1.0194E-2</c:v>
                </c:pt>
                <c:pt idx="126">
                  <c:v>1.1199000000000001E-2</c:v>
                </c:pt>
                <c:pt idx="127">
                  <c:v>1.1280999999999999E-2</c:v>
                </c:pt>
                <c:pt idx="128">
                  <c:v>1.0263E-2</c:v>
                </c:pt>
                <c:pt idx="129">
                  <c:v>1.0208E-2</c:v>
                </c:pt>
                <c:pt idx="130">
                  <c:v>1.1625999999999999E-2</c:v>
                </c:pt>
                <c:pt idx="131">
                  <c:v>1.2239E-2</c:v>
                </c:pt>
                <c:pt idx="132">
                  <c:v>1.2128E-2</c:v>
                </c:pt>
                <c:pt idx="133">
                  <c:v>1.2599000000000001E-2</c:v>
                </c:pt>
                <c:pt idx="134">
                  <c:v>1.3027E-2</c:v>
                </c:pt>
                <c:pt idx="135">
                  <c:v>1.2163E-2</c:v>
                </c:pt>
                <c:pt idx="136">
                  <c:v>1.1738E-2</c:v>
                </c:pt>
                <c:pt idx="137">
                  <c:v>1.2342000000000001E-2</c:v>
                </c:pt>
                <c:pt idx="138">
                  <c:v>1.2173E-2</c:v>
                </c:pt>
                <c:pt idx="139">
                  <c:v>1.2128E-2</c:v>
                </c:pt>
                <c:pt idx="140">
                  <c:v>1.201E-2</c:v>
                </c:pt>
                <c:pt idx="141">
                  <c:v>1.1249E-2</c:v>
                </c:pt>
                <c:pt idx="142">
                  <c:v>1.1276E-2</c:v>
                </c:pt>
                <c:pt idx="143">
                  <c:v>1.456E-2</c:v>
                </c:pt>
                <c:pt idx="144">
                  <c:v>1.4539E-2</c:v>
                </c:pt>
                <c:pt idx="145">
                  <c:v>1.4404999999999999E-2</c:v>
                </c:pt>
                <c:pt idx="146">
                  <c:v>1.2878000000000001E-2</c:v>
                </c:pt>
                <c:pt idx="147">
                  <c:v>1.2574999999999999E-2</c:v>
                </c:pt>
                <c:pt idx="148">
                  <c:v>1.2704E-2</c:v>
                </c:pt>
                <c:pt idx="149">
                  <c:v>1.1969E-2</c:v>
                </c:pt>
                <c:pt idx="150">
                  <c:v>1.1663E-2</c:v>
                </c:pt>
                <c:pt idx="151">
                  <c:v>1.1847E-2</c:v>
                </c:pt>
                <c:pt idx="152">
                  <c:v>1.2104E-2</c:v>
                </c:pt>
                <c:pt idx="153">
                  <c:v>1.2381E-2</c:v>
                </c:pt>
                <c:pt idx="154">
                  <c:v>1.1809E-2</c:v>
                </c:pt>
                <c:pt idx="155">
                  <c:v>1.3185000000000001E-2</c:v>
                </c:pt>
                <c:pt idx="156">
                  <c:v>1.2456E-2</c:v>
                </c:pt>
                <c:pt idx="157">
                  <c:v>1.3424999999999999E-2</c:v>
                </c:pt>
                <c:pt idx="158">
                  <c:v>1.2449999999999999E-2</c:v>
                </c:pt>
                <c:pt idx="159">
                  <c:v>1.2442E-2</c:v>
                </c:pt>
                <c:pt idx="160">
                  <c:v>1.2041E-2</c:v>
                </c:pt>
                <c:pt idx="161">
                  <c:v>1.1944E-2</c:v>
                </c:pt>
                <c:pt idx="162">
                  <c:v>1.1498E-2</c:v>
                </c:pt>
                <c:pt idx="163">
                  <c:v>1.1861E-2</c:v>
                </c:pt>
                <c:pt idx="164">
                  <c:v>1.2168999999999999E-2</c:v>
                </c:pt>
                <c:pt idx="165">
                  <c:v>1.2437E-2</c:v>
                </c:pt>
                <c:pt idx="166">
                  <c:v>1.2519000000000001E-2</c:v>
                </c:pt>
                <c:pt idx="167">
                  <c:v>1.2841E-2</c:v>
                </c:pt>
                <c:pt idx="168">
                  <c:v>1.2252000000000001E-2</c:v>
                </c:pt>
                <c:pt idx="169">
                  <c:v>1.1839000000000001E-2</c:v>
                </c:pt>
                <c:pt idx="170">
                  <c:v>1.1764E-2</c:v>
                </c:pt>
                <c:pt idx="171">
                  <c:v>1.189E-2</c:v>
                </c:pt>
                <c:pt idx="172">
                  <c:v>1.1532000000000001E-2</c:v>
                </c:pt>
                <c:pt idx="173">
                  <c:v>1.2848E-2</c:v>
                </c:pt>
                <c:pt idx="174">
                  <c:v>1.0286999999999999E-2</c:v>
                </c:pt>
                <c:pt idx="175">
                  <c:v>0.01</c:v>
                </c:pt>
                <c:pt idx="176">
                  <c:v>9.4280000000000006E-3</c:v>
                </c:pt>
                <c:pt idx="177">
                  <c:v>9.1780000000000004E-3</c:v>
                </c:pt>
                <c:pt idx="178">
                  <c:v>9.7470000000000005E-3</c:v>
                </c:pt>
                <c:pt idx="179">
                  <c:v>9.6310000000000007E-3</c:v>
                </c:pt>
                <c:pt idx="180">
                  <c:v>1.0135E-2</c:v>
                </c:pt>
                <c:pt idx="181">
                  <c:v>9.9559999999999996E-3</c:v>
                </c:pt>
                <c:pt idx="182">
                  <c:v>9.6439999999999998E-3</c:v>
                </c:pt>
                <c:pt idx="183">
                  <c:v>8.9820000000000004E-3</c:v>
                </c:pt>
                <c:pt idx="184">
                  <c:v>8.6969999999999999E-3</c:v>
                </c:pt>
                <c:pt idx="185">
                  <c:v>8.6250000000000007E-3</c:v>
                </c:pt>
                <c:pt idx="186">
                  <c:v>8.4159999999999999E-3</c:v>
                </c:pt>
                <c:pt idx="187">
                  <c:v>7.79E-3</c:v>
                </c:pt>
                <c:pt idx="188">
                  <c:v>7.8120000000000004E-3</c:v>
                </c:pt>
                <c:pt idx="189">
                  <c:v>6.9680000000000002E-3</c:v>
                </c:pt>
                <c:pt idx="190">
                  <c:v>6.8329999999999997E-3</c:v>
                </c:pt>
                <c:pt idx="191">
                  <c:v>6.4590000000000003E-3</c:v>
                </c:pt>
                <c:pt idx="192">
                  <c:v>7.339E-3</c:v>
                </c:pt>
                <c:pt idx="193">
                  <c:v>6.9639999999999997E-3</c:v>
                </c:pt>
                <c:pt idx="194">
                  <c:v>7.0790000000000002E-3</c:v>
                </c:pt>
                <c:pt idx="195">
                  <c:v>6.6470000000000001E-3</c:v>
                </c:pt>
                <c:pt idx="196">
                  <c:v>7.3429999999999997E-3</c:v>
                </c:pt>
                <c:pt idx="197">
                  <c:v>7.8609999999999999E-3</c:v>
                </c:pt>
                <c:pt idx="198">
                  <c:v>8.3029999999999996E-3</c:v>
                </c:pt>
                <c:pt idx="199">
                  <c:v>8.5780000000000006E-3</c:v>
                </c:pt>
                <c:pt idx="200">
                  <c:v>8.2129999999999998E-3</c:v>
                </c:pt>
                <c:pt idx="201">
                  <c:v>7.9920000000000008E-3</c:v>
                </c:pt>
                <c:pt idx="202">
                  <c:v>7.6969999999999998E-3</c:v>
                </c:pt>
                <c:pt idx="203">
                  <c:v>7.7419999999999998E-3</c:v>
                </c:pt>
                <c:pt idx="204">
                  <c:v>8.6879999999999995E-3</c:v>
                </c:pt>
                <c:pt idx="205">
                  <c:v>9.1149999999999998E-3</c:v>
                </c:pt>
                <c:pt idx="206">
                  <c:v>9.2169999999999995E-3</c:v>
                </c:pt>
                <c:pt idx="207">
                  <c:v>8.8249999999999995E-3</c:v>
                </c:pt>
                <c:pt idx="208">
                  <c:v>8.5559999999999994E-3</c:v>
                </c:pt>
                <c:pt idx="209">
                  <c:v>8.4469999999999996E-3</c:v>
                </c:pt>
                <c:pt idx="210">
                  <c:v>7.79E-3</c:v>
                </c:pt>
                <c:pt idx="211">
                  <c:v>7.3810000000000004E-3</c:v>
                </c:pt>
                <c:pt idx="212">
                  <c:v>6.9430000000000004E-3</c:v>
                </c:pt>
                <c:pt idx="213">
                  <c:v>6.5849999999999997E-3</c:v>
                </c:pt>
                <c:pt idx="214">
                  <c:v>5.8599999999999998E-3</c:v>
                </c:pt>
                <c:pt idx="215">
                  <c:v>5.6509999999999998E-3</c:v>
                </c:pt>
                <c:pt idx="216">
                  <c:v>5.5840000000000004E-3</c:v>
                </c:pt>
                <c:pt idx="217">
                  <c:v>6.1850000000000004E-3</c:v>
                </c:pt>
                <c:pt idx="218">
                  <c:v>5.738E-3</c:v>
                </c:pt>
                <c:pt idx="219">
                  <c:v>5.359E-3</c:v>
                </c:pt>
                <c:pt idx="220">
                  <c:v>5.921E-3</c:v>
                </c:pt>
                <c:pt idx="221">
                  <c:v>7.6340000000000002E-3</c:v>
                </c:pt>
                <c:pt idx="222">
                  <c:v>8.0000000000000002E-3</c:v>
                </c:pt>
                <c:pt idx="223">
                  <c:v>8.4239999999999992E-3</c:v>
                </c:pt>
                <c:pt idx="224">
                  <c:v>8.1300000000000001E-3</c:v>
                </c:pt>
                <c:pt idx="225">
                  <c:v>8.2089999999999993E-3</c:v>
                </c:pt>
                <c:pt idx="226">
                  <c:v>8.7410000000000005E-3</c:v>
                </c:pt>
                <c:pt idx="227">
                  <c:v>8.9250000000000006E-3</c:v>
                </c:pt>
                <c:pt idx="228">
                  <c:v>8.7469999999999996E-3</c:v>
                </c:pt>
                <c:pt idx="229">
                  <c:v>8.4239999999999992E-3</c:v>
                </c:pt>
                <c:pt idx="230">
                  <c:v>9.0410000000000004E-3</c:v>
                </c:pt>
                <c:pt idx="231">
                  <c:v>1.0303E-2</c:v>
                </c:pt>
                <c:pt idx="232">
                  <c:v>1.0108000000000001E-2</c:v>
                </c:pt>
                <c:pt idx="233">
                  <c:v>9.6550000000000004E-3</c:v>
                </c:pt>
                <c:pt idx="234">
                  <c:v>1.0521000000000001E-2</c:v>
                </c:pt>
                <c:pt idx="235">
                  <c:v>1.0317E-2</c:v>
                </c:pt>
                <c:pt idx="236">
                  <c:v>9.2490000000000003E-3</c:v>
                </c:pt>
                <c:pt idx="237">
                  <c:v>9.3640000000000008E-3</c:v>
                </c:pt>
                <c:pt idx="238">
                  <c:v>1.0089000000000001E-2</c:v>
                </c:pt>
                <c:pt idx="239">
                  <c:v>9.7730000000000004E-3</c:v>
                </c:pt>
                <c:pt idx="240">
                  <c:v>9.3259999999999992E-3</c:v>
                </c:pt>
                <c:pt idx="241">
                  <c:v>9.554E-3</c:v>
                </c:pt>
                <c:pt idx="242">
                  <c:v>9.2460000000000007E-3</c:v>
                </c:pt>
                <c:pt idx="243">
                  <c:v>8.9610000000000002E-3</c:v>
                </c:pt>
                <c:pt idx="244">
                  <c:v>9.4350000000000007E-3</c:v>
                </c:pt>
                <c:pt idx="245">
                  <c:v>1.0907E-2</c:v>
                </c:pt>
                <c:pt idx="246">
                  <c:v>1.0541E-2</c:v>
                </c:pt>
                <c:pt idx="247">
                  <c:v>9.9419999999999994E-3</c:v>
                </c:pt>
                <c:pt idx="248">
                  <c:v>9.7300000000000008E-3</c:v>
                </c:pt>
                <c:pt idx="249">
                  <c:v>9.0900000000000009E-3</c:v>
                </c:pt>
                <c:pt idx="250">
                  <c:v>1.1585E-2</c:v>
                </c:pt>
                <c:pt idx="251">
                  <c:v>1.0905E-2</c:v>
                </c:pt>
                <c:pt idx="252">
                  <c:v>9.9330000000000009E-3</c:v>
                </c:pt>
                <c:pt idx="253">
                  <c:v>8.6490000000000004E-3</c:v>
                </c:pt>
                <c:pt idx="254">
                  <c:v>1.2782999999999999E-2</c:v>
                </c:pt>
                <c:pt idx="255">
                  <c:v>1.2191E-2</c:v>
                </c:pt>
                <c:pt idx="256">
                  <c:v>1.3731E-2</c:v>
                </c:pt>
                <c:pt idx="257">
                  <c:v>1.4097999999999999E-2</c:v>
                </c:pt>
                <c:pt idx="258">
                  <c:v>1.4529E-2</c:v>
                </c:pt>
                <c:pt idx="259">
                  <c:v>1.3894E-2</c:v>
                </c:pt>
                <c:pt idx="260">
                  <c:v>1.2577E-2</c:v>
                </c:pt>
                <c:pt idx="261">
                  <c:v>1.5649E-2</c:v>
                </c:pt>
                <c:pt idx="262">
                  <c:v>1.4411999999999999E-2</c:v>
                </c:pt>
                <c:pt idx="263">
                  <c:v>1.6046999999999999E-2</c:v>
                </c:pt>
                <c:pt idx="264">
                  <c:v>1.6596E-2</c:v>
                </c:pt>
                <c:pt idx="265">
                  <c:v>1.7208000000000001E-2</c:v>
                </c:pt>
                <c:pt idx="266">
                  <c:v>1.7084999999999999E-2</c:v>
                </c:pt>
                <c:pt idx="267">
                  <c:v>1.8719E-2</c:v>
                </c:pt>
                <c:pt idx="268">
                  <c:v>1.7566999999999999E-2</c:v>
                </c:pt>
                <c:pt idx="269">
                  <c:v>1.8706E-2</c:v>
                </c:pt>
                <c:pt idx="270">
                  <c:v>1.8776000000000001E-2</c:v>
                </c:pt>
                <c:pt idx="271">
                  <c:v>1.7162E-2</c:v>
                </c:pt>
                <c:pt idx="272">
                  <c:v>1.7478E-2</c:v>
                </c:pt>
                <c:pt idx="273">
                  <c:v>1.6330999999999998E-2</c:v>
                </c:pt>
                <c:pt idx="274">
                  <c:v>1.6990999999999999E-2</c:v>
                </c:pt>
                <c:pt idx="275">
                  <c:v>1.7756000000000001E-2</c:v>
                </c:pt>
                <c:pt idx="276">
                  <c:v>1.644E-2</c:v>
                </c:pt>
                <c:pt idx="277">
                  <c:v>1.3785E-2</c:v>
                </c:pt>
                <c:pt idx="278">
                  <c:v>1.3512E-2</c:v>
                </c:pt>
                <c:pt idx="279">
                  <c:v>1.35E-2</c:v>
                </c:pt>
                <c:pt idx="280">
                  <c:v>1.4168E-2</c:v>
                </c:pt>
                <c:pt idx="281">
                  <c:v>1.7198000000000001E-2</c:v>
                </c:pt>
                <c:pt idx="282">
                  <c:v>1.6979999999999999E-2</c:v>
                </c:pt>
                <c:pt idx="283">
                  <c:v>1.7409000000000001E-2</c:v>
                </c:pt>
                <c:pt idx="284">
                  <c:v>1.8728999999999999E-2</c:v>
                </c:pt>
                <c:pt idx="285">
                  <c:v>2.1635999999999999E-2</c:v>
                </c:pt>
                <c:pt idx="286">
                  <c:v>2.0256E-2</c:v>
                </c:pt>
                <c:pt idx="287">
                  <c:v>2.1992000000000001E-2</c:v>
                </c:pt>
                <c:pt idx="288">
                  <c:v>2.0567999999999999E-2</c:v>
                </c:pt>
                <c:pt idx="289">
                  <c:v>2.2904000000000001E-2</c:v>
                </c:pt>
                <c:pt idx="290">
                  <c:v>2.1453E-2</c:v>
                </c:pt>
                <c:pt idx="291">
                  <c:v>2.2435E-2</c:v>
                </c:pt>
                <c:pt idx="292">
                  <c:v>2.3469E-2</c:v>
                </c:pt>
                <c:pt idx="293">
                  <c:v>2.477E-2</c:v>
                </c:pt>
                <c:pt idx="294">
                  <c:v>2.3949999999999999E-2</c:v>
                </c:pt>
                <c:pt idx="295">
                  <c:v>2.0461E-2</c:v>
                </c:pt>
                <c:pt idx="296">
                  <c:v>2.5166000000000001E-2</c:v>
                </c:pt>
                <c:pt idx="297">
                  <c:v>2.7570999999999998E-2</c:v>
                </c:pt>
                <c:pt idx="298">
                  <c:v>2.8524000000000001E-2</c:v>
                </c:pt>
                <c:pt idx="299">
                  <c:v>2.5413000000000002E-2</c:v>
                </c:pt>
                <c:pt idx="300">
                  <c:v>3.0945E-2</c:v>
                </c:pt>
                <c:pt idx="301">
                  <c:v>2.6329999999999999E-2</c:v>
                </c:pt>
                <c:pt idx="302">
                  <c:v>2.5232999999999998E-2</c:v>
                </c:pt>
                <c:pt idx="303">
                  <c:v>2.5403999999999999E-2</c:v>
                </c:pt>
                <c:pt idx="304">
                  <c:v>2.4067999999999999E-2</c:v>
                </c:pt>
                <c:pt idx="305">
                  <c:v>2.2662000000000002E-2</c:v>
                </c:pt>
                <c:pt idx="306">
                  <c:v>2.2415000000000001E-2</c:v>
                </c:pt>
                <c:pt idx="307">
                  <c:v>2.2883000000000001E-2</c:v>
                </c:pt>
                <c:pt idx="308">
                  <c:v>1.9958E-2</c:v>
                </c:pt>
                <c:pt idx="309">
                  <c:v>1.9910000000000001E-2</c:v>
                </c:pt>
                <c:pt idx="310">
                  <c:v>2.1596000000000001E-2</c:v>
                </c:pt>
                <c:pt idx="311">
                  <c:v>2.3872999999999998E-2</c:v>
                </c:pt>
                <c:pt idx="312">
                  <c:v>2.9354999999999999E-2</c:v>
                </c:pt>
                <c:pt idx="313">
                  <c:v>2.6137000000000001E-2</c:v>
                </c:pt>
                <c:pt idx="314">
                  <c:v>2.4199999999999999E-2</c:v>
                </c:pt>
                <c:pt idx="315">
                  <c:v>2.0048E-2</c:v>
                </c:pt>
                <c:pt idx="316">
                  <c:v>2.0972999999999999E-2</c:v>
                </c:pt>
                <c:pt idx="317">
                  <c:v>2.2166000000000002E-2</c:v>
                </c:pt>
                <c:pt idx="318">
                  <c:v>1.9199000000000001E-2</c:v>
                </c:pt>
                <c:pt idx="319">
                  <c:v>1.8293E-2</c:v>
                </c:pt>
                <c:pt idx="320">
                  <c:v>1.78E-2</c:v>
                </c:pt>
                <c:pt idx="321">
                  <c:v>1.6285000000000001E-2</c:v>
                </c:pt>
                <c:pt idx="322">
                  <c:v>1.6525999999999999E-2</c:v>
                </c:pt>
                <c:pt idx="323">
                  <c:v>1.6723999999999999E-2</c:v>
                </c:pt>
                <c:pt idx="324">
                  <c:v>1.7829000000000001E-2</c:v>
                </c:pt>
                <c:pt idx="325">
                  <c:v>1.7010999999999998E-2</c:v>
                </c:pt>
                <c:pt idx="326">
                  <c:v>1.6004000000000001E-2</c:v>
                </c:pt>
                <c:pt idx="327">
                  <c:v>1.4884E-2</c:v>
                </c:pt>
                <c:pt idx="328">
                  <c:v>1.4826000000000001E-2</c:v>
                </c:pt>
                <c:pt idx="329">
                  <c:v>1.4258E-2</c:v>
                </c:pt>
                <c:pt idx="330">
                  <c:v>1.4231000000000001E-2</c:v>
                </c:pt>
                <c:pt idx="331">
                  <c:v>1.3075E-2</c:v>
                </c:pt>
                <c:pt idx="332">
                  <c:v>1.3552E-2</c:v>
                </c:pt>
                <c:pt idx="333">
                  <c:v>1.2632000000000001E-2</c:v>
                </c:pt>
                <c:pt idx="334">
                  <c:v>1.4487E-2</c:v>
                </c:pt>
                <c:pt idx="335">
                  <c:v>1.2687E-2</c:v>
                </c:pt>
                <c:pt idx="336">
                  <c:v>1.2533000000000001E-2</c:v>
                </c:pt>
                <c:pt idx="337">
                  <c:v>1.3388000000000001E-2</c:v>
                </c:pt>
                <c:pt idx="338">
                  <c:v>1.294E-2</c:v>
                </c:pt>
                <c:pt idx="339">
                  <c:v>1.7129999999999999E-2</c:v>
                </c:pt>
                <c:pt idx="340">
                  <c:v>1.9800999999999999E-2</c:v>
                </c:pt>
                <c:pt idx="341">
                  <c:v>1.9205E-2</c:v>
                </c:pt>
                <c:pt idx="342">
                  <c:v>2.085E-2</c:v>
                </c:pt>
                <c:pt idx="343">
                  <c:v>2.1600000000000001E-2</c:v>
                </c:pt>
                <c:pt idx="344">
                  <c:v>0.02</c:v>
                </c:pt>
                <c:pt idx="345">
                  <c:v>2.2386E-2</c:v>
                </c:pt>
                <c:pt idx="346">
                  <c:v>1.6875000000000001E-2</c:v>
                </c:pt>
                <c:pt idx="347">
                  <c:v>1.7478E-2</c:v>
                </c:pt>
                <c:pt idx="348">
                  <c:v>1.9321999999999999E-2</c:v>
                </c:pt>
                <c:pt idx="349">
                  <c:v>1.9991999999999999E-2</c:v>
                </c:pt>
                <c:pt idx="350">
                  <c:v>1.6899000000000001E-2</c:v>
                </c:pt>
                <c:pt idx="351">
                  <c:v>1.4876E-2</c:v>
                </c:pt>
                <c:pt idx="352">
                  <c:v>1.6583000000000001E-2</c:v>
                </c:pt>
                <c:pt idx="353">
                  <c:v>1.6983999999999999E-2</c:v>
                </c:pt>
                <c:pt idx="354">
                  <c:v>1.7232000000000001E-2</c:v>
                </c:pt>
                <c:pt idx="355">
                  <c:v>1.6577000000000001E-2</c:v>
                </c:pt>
                <c:pt idx="356">
                  <c:v>1.7493999999999999E-2</c:v>
                </c:pt>
                <c:pt idx="357">
                  <c:v>1.2541E-2</c:v>
                </c:pt>
                <c:pt idx="358">
                  <c:v>9.8530000000000006E-3</c:v>
                </c:pt>
                <c:pt idx="359">
                  <c:v>7.7660000000000003E-3</c:v>
                </c:pt>
                <c:pt idx="360">
                  <c:v>6.7229999999999998E-3</c:v>
                </c:pt>
                <c:pt idx="361">
                  <c:v>6.77E-3</c:v>
                </c:pt>
                <c:pt idx="362">
                  <c:v>7.5760000000000003E-3</c:v>
                </c:pt>
                <c:pt idx="363">
                  <c:v>6.9499999999999996E-3</c:v>
                </c:pt>
                <c:pt idx="364">
                  <c:v>6.8580000000000004E-3</c:v>
                </c:pt>
                <c:pt idx="365">
                  <c:v>4.6759999999999996E-3</c:v>
                </c:pt>
                <c:pt idx="366">
                  <c:v>4.4159999999999998E-3</c:v>
                </c:pt>
                <c:pt idx="367">
                  <c:v>4.4270000000000004E-3</c:v>
                </c:pt>
                <c:pt idx="368">
                  <c:v>3.8570000000000002E-3</c:v>
                </c:pt>
                <c:pt idx="369">
                  <c:v>3.6649999999999999E-3</c:v>
                </c:pt>
                <c:pt idx="370">
                  <c:v>3.5980000000000001E-3</c:v>
                </c:pt>
                <c:pt idx="371">
                  <c:v>3.3300000000000001E-3</c:v>
                </c:pt>
                <c:pt idx="372">
                  <c:v>3.9379999999999997E-3</c:v>
                </c:pt>
                <c:pt idx="373">
                  <c:v>4.0720000000000001E-3</c:v>
                </c:pt>
                <c:pt idx="374">
                  <c:v>3.7090000000000001E-3</c:v>
                </c:pt>
                <c:pt idx="375">
                  <c:v>3.5300000000000002E-3</c:v>
                </c:pt>
                <c:pt idx="376">
                  <c:v>3.1619999999999999E-3</c:v>
                </c:pt>
                <c:pt idx="377">
                  <c:v>3.006E-3</c:v>
                </c:pt>
                <c:pt idx="378">
                  <c:v>2.8219999999999999E-3</c:v>
                </c:pt>
                <c:pt idx="379">
                  <c:v>2.6679999999999998E-3</c:v>
                </c:pt>
                <c:pt idx="380">
                  <c:v>2.5209999999999998E-3</c:v>
                </c:pt>
                <c:pt idx="381">
                  <c:v>2.4910000000000002E-3</c:v>
                </c:pt>
                <c:pt idx="382">
                  <c:v>2.696E-3</c:v>
                </c:pt>
                <c:pt idx="383">
                  <c:v>2.931E-3</c:v>
                </c:pt>
                <c:pt idx="384">
                  <c:v>2.6689999999999999E-3</c:v>
                </c:pt>
                <c:pt idx="385">
                  <c:v>2.598E-3</c:v>
                </c:pt>
                <c:pt idx="386">
                  <c:v>2.6259999999999999E-3</c:v>
                </c:pt>
                <c:pt idx="387">
                  <c:v>2.5279999999999999E-3</c:v>
                </c:pt>
                <c:pt idx="388">
                  <c:v>2.4250000000000001E-3</c:v>
                </c:pt>
                <c:pt idx="389">
                  <c:v>2.5000000000000001E-3</c:v>
                </c:pt>
                <c:pt idx="390">
                  <c:v>2.6250000000000002E-3</c:v>
                </c:pt>
                <c:pt idx="391">
                  <c:v>2.745E-3</c:v>
                </c:pt>
                <c:pt idx="392">
                  <c:v>2.5040000000000001E-3</c:v>
                </c:pt>
                <c:pt idx="393">
                  <c:v>2.5040000000000001E-3</c:v>
                </c:pt>
                <c:pt idx="394">
                  <c:v>2.3600000000000001E-3</c:v>
                </c:pt>
                <c:pt idx="395">
                  <c:v>2.464E-3</c:v>
                </c:pt>
                <c:pt idx="396">
                  <c:v>2.3739999999999998E-3</c:v>
                </c:pt>
                <c:pt idx="397">
                  <c:v>2.3349999999999998E-3</c:v>
                </c:pt>
                <c:pt idx="398">
                  <c:v>2.2529999999999998E-3</c:v>
                </c:pt>
                <c:pt idx="399">
                  <c:v>2.2850000000000001E-3</c:v>
                </c:pt>
                <c:pt idx="400">
                  <c:v>2.081E-3</c:v>
                </c:pt>
                <c:pt idx="401">
                  <c:v>2.3999999999999998E-3</c:v>
                </c:pt>
                <c:pt idx="402">
                  <c:v>2.4299999999999999E-3</c:v>
                </c:pt>
                <c:pt idx="403">
                  <c:v>2.6350000000000002E-3</c:v>
                </c:pt>
                <c:pt idx="404">
                  <c:v>3.0869999999999999E-3</c:v>
                </c:pt>
                <c:pt idx="405">
                  <c:v>2.5000000000000001E-3</c:v>
                </c:pt>
                <c:pt idx="406">
                  <c:v>2.3839999999999998E-3</c:v>
                </c:pt>
                <c:pt idx="407">
                  <c:v>2.392E-3</c:v>
                </c:pt>
                <c:pt idx="408">
                  <c:v>2.349E-3</c:v>
                </c:pt>
                <c:pt idx="409">
                  <c:v>2.3400000000000001E-3</c:v>
                </c:pt>
                <c:pt idx="410">
                  <c:v>2.3059999999999999E-3</c:v>
                </c:pt>
                <c:pt idx="411">
                  <c:v>2.2499999999999998E-3</c:v>
                </c:pt>
                <c:pt idx="412">
                  <c:v>2.163E-3</c:v>
                </c:pt>
                <c:pt idx="413">
                  <c:v>2.2950000000000002E-3</c:v>
                </c:pt>
                <c:pt idx="414">
                  <c:v>2.395E-3</c:v>
                </c:pt>
                <c:pt idx="415">
                  <c:v>2.4160000000000002E-3</c:v>
                </c:pt>
                <c:pt idx="416">
                  <c:v>2.7109999999999999E-3</c:v>
                </c:pt>
                <c:pt idx="417">
                  <c:v>2.6050000000000001E-3</c:v>
                </c:pt>
                <c:pt idx="418">
                  <c:v>2.66E-3</c:v>
                </c:pt>
                <c:pt idx="419">
                  <c:v>2.3540000000000002E-3</c:v>
                </c:pt>
                <c:pt idx="420">
                  <c:v>2.604E-3</c:v>
                </c:pt>
                <c:pt idx="421">
                  <c:v>2.63E-3</c:v>
                </c:pt>
                <c:pt idx="422">
                  <c:v>2.5860000000000002E-3</c:v>
                </c:pt>
                <c:pt idx="423">
                  <c:v>2.33E-3</c:v>
                </c:pt>
                <c:pt idx="424">
                  <c:v>2.2539999999999999E-3</c:v>
                </c:pt>
                <c:pt idx="425">
                  <c:v>2.2539999999999999E-3</c:v>
                </c:pt>
                <c:pt idx="426">
                  <c:v>2.1749999999999999E-3</c:v>
                </c:pt>
                <c:pt idx="427">
                  <c:v>2.2290000000000001E-3</c:v>
                </c:pt>
                <c:pt idx="428">
                  <c:v>2.5790000000000001E-3</c:v>
                </c:pt>
                <c:pt idx="429">
                  <c:v>2.447E-3</c:v>
                </c:pt>
                <c:pt idx="430">
                  <c:v>2.3270000000000001E-3</c:v>
                </c:pt>
                <c:pt idx="431">
                  <c:v>2.3E-3</c:v>
                </c:pt>
                <c:pt idx="432">
                  <c:v>2.2469999999999999E-3</c:v>
                </c:pt>
                <c:pt idx="433">
                  <c:v>2.1159999999999998E-3</c:v>
                </c:pt>
                <c:pt idx="434">
                  <c:v>2.0600000000000002E-3</c:v>
                </c:pt>
                <c:pt idx="435">
                  <c:v>2.1069999999999999E-3</c:v>
                </c:pt>
                <c:pt idx="436">
                  <c:v>2.1180000000000001E-3</c:v>
                </c:pt>
                <c:pt idx="437">
                  <c:v>2.215E-3</c:v>
                </c:pt>
                <c:pt idx="438">
                  <c:v>2.2460000000000002E-3</c:v>
                </c:pt>
                <c:pt idx="439">
                  <c:v>2.294E-3</c:v>
                </c:pt>
                <c:pt idx="440">
                  <c:v>2.2780000000000001E-3</c:v>
                </c:pt>
                <c:pt idx="441">
                  <c:v>2.2889999999999998E-3</c:v>
                </c:pt>
                <c:pt idx="442">
                  <c:v>2.5179999999999998E-3</c:v>
                </c:pt>
                <c:pt idx="443">
                  <c:v>2.5439999999999998E-3</c:v>
                </c:pt>
                <c:pt idx="444">
                  <c:v>2.3709999999999998E-3</c:v>
                </c:pt>
                <c:pt idx="445">
                  <c:v>2.104E-3</c:v>
                </c:pt>
                <c:pt idx="446">
                  <c:v>2.0530000000000001E-3</c:v>
                </c:pt>
                <c:pt idx="447">
                  <c:v>1.9729999999999999E-3</c:v>
                </c:pt>
                <c:pt idx="448">
                  <c:v>1.74E-3</c:v>
                </c:pt>
                <c:pt idx="449">
                  <c:v>1.6199999999999999E-3</c:v>
                </c:pt>
                <c:pt idx="450">
                  <c:v>1.6999999999999999E-3</c:v>
                </c:pt>
                <c:pt idx="451">
                  <c:v>1.758E-3</c:v>
                </c:pt>
                <c:pt idx="452">
                  <c:v>1.853E-3</c:v>
                </c:pt>
                <c:pt idx="453">
                  <c:v>1.8090000000000001E-3</c:v>
                </c:pt>
                <c:pt idx="454">
                  <c:v>1.815E-3</c:v>
                </c:pt>
                <c:pt idx="455">
                  <c:v>1.9589999999999998E-3</c:v>
                </c:pt>
                <c:pt idx="456">
                  <c:v>1.9780000000000002E-3</c:v>
                </c:pt>
                <c:pt idx="457">
                  <c:v>2.1489999999999999E-3</c:v>
                </c:pt>
                <c:pt idx="458">
                  <c:v>1.9859999999999999E-3</c:v>
                </c:pt>
                <c:pt idx="459">
                  <c:v>1.9919999999999998E-3</c:v>
                </c:pt>
                <c:pt idx="460">
                  <c:v>1.98E-3</c:v>
                </c:pt>
                <c:pt idx="461">
                  <c:v>2.0040000000000001E-3</c:v>
                </c:pt>
                <c:pt idx="462">
                  <c:v>1.944E-3</c:v>
                </c:pt>
                <c:pt idx="463">
                  <c:v>1.817E-3</c:v>
                </c:pt>
                <c:pt idx="464">
                  <c:v>1.7669999999999999E-3</c:v>
                </c:pt>
                <c:pt idx="465">
                  <c:v>1.866E-3</c:v>
                </c:pt>
                <c:pt idx="466">
                  <c:v>1.735E-3</c:v>
                </c:pt>
                <c:pt idx="467">
                  <c:v>1.7179999999999999E-3</c:v>
                </c:pt>
                <c:pt idx="468">
                  <c:v>1.6999999999999999E-3</c:v>
                </c:pt>
                <c:pt idx="469">
                  <c:v>1.769E-3</c:v>
                </c:pt>
                <c:pt idx="470">
                  <c:v>1.7830000000000001E-3</c:v>
                </c:pt>
                <c:pt idx="471">
                  <c:v>1.836E-3</c:v>
                </c:pt>
                <c:pt idx="472">
                  <c:v>1.931E-3</c:v>
                </c:pt>
                <c:pt idx="473">
                  <c:v>1.9419999999999999E-3</c:v>
                </c:pt>
                <c:pt idx="474">
                  <c:v>1.9530000000000001E-3</c:v>
                </c:pt>
                <c:pt idx="475">
                  <c:v>1.877E-3</c:v>
                </c:pt>
                <c:pt idx="476">
                  <c:v>1.529E-3</c:v>
                </c:pt>
                <c:pt idx="477">
                  <c:v>1.446E-3</c:v>
                </c:pt>
                <c:pt idx="478">
                  <c:v>1.4829999999999999E-3</c:v>
                </c:pt>
                <c:pt idx="479">
                  <c:v>1.565E-3</c:v>
                </c:pt>
                <c:pt idx="480">
                  <c:v>1.5399999999999999E-3</c:v>
                </c:pt>
                <c:pt idx="481">
                  <c:v>1.5629999999999999E-3</c:v>
                </c:pt>
                <c:pt idx="482">
                  <c:v>1.5299999999999999E-3</c:v>
                </c:pt>
                <c:pt idx="483">
                  <c:v>1.611E-3</c:v>
                </c:pt>
                <c:pt idx="484">
                  <c:v>1.6559999999999999E-3</c:v>
                </c:pt>
                <c:pt idx="485">
                  <c:v>1.6800000000000001E-3</c:v>
                </c:pt>
                <c:pt idx="486">
                  <c:v>1.6720000000000001E-3</c:v>
                </c:pt>
                <c:pt idx="487">
                  <c:v>1.691E-3</c:v>
                </c:pt>
                <c:pt idx="488">
                  <c:v>1.699E-3</c:v>
                </c:pt>
                <c:pt idx="489">
                  <c:v>1.673E-3</c:v>
                </c:pt>
                <c:pt idx="490">
                  <c:v>1.6169999999999999E-3</c:v>
                </c:pt>
                <c:pt idx="491">
                  <c:v>1.48E-3</c:v>
                </c:pt>
                <c:pt idx="492">
                  <c:v>1.635E-3</c:v>
                </c:pt>
                <c:pt idx="493">
                  <c:v>1.7359999999999999E-3</c:v>
                </c:pt>
                <c:pt idx="494">
                  <c:v>1.934E-3</c:v>
                </c:pt>
                <c:pt idx="495">
                  <c:v>2.016E-3</c:v>
                </c:pt>
                <c:pt idx="496">
                  <c:v>2.0690000000000001E-3</c:v>
                </c:pt>
                <c:pt idx="497">
                  <c:v>2.0470000000000002E-3</c:v>
                </c:pt>
                <c:pt idx="498">
                  <c:v>2.062E-3</c:v>
                </c:pt>
                <c:pt idx="499">
                  <c:v>1.983E-3</c:v>
                </c:pt>
                <c:pt idx="500">
                  <c:v>2.0669999999999998E-3</c:v>
                </c:pt>
                <c:pt idx="501">
                  <c:v>2.091E-3</c:v>
                </c:pt>
                <c:pt idx="502">
                  <c:v>2.248E-3</c:v>
                </c:pt>
                <c:pt idx="503">
                  <c:v>2.3040000000000001E-3</c:v>
                </c:pt>
                <c:pt idx="504">
                  <c:v>2.055E-3</c:v>
                </c:pt>
                <c:pt idx="505">
                  <c:v>1.934E-3</c:v>
                </c:pt>
                <c:pt idx="506">
                  <c:v>1.8550000000000001E-3</c:v>
                </c:pt>
                <c:pt idx="507">
                  <c:v>1.91E-3</c:v>
                </c:pt>
                <c:pt idx="508">
                  <c:v>1.9980000000000002E-3</c:v>
                </c:pt>
                <c:pt idx="509">
                  <c:v>1.957E-3</c:v>
                </c:pt>
                <c:pt idx="510">
                  <c:v>2.2629999999999998E-3</c:v>
                </c:pt>
                <c:pt idx="511">
                  <c:v>2.1210000000000001E-3</c:v>
                </c:pt>
                <c:pt idx="512">
                  <c:v>2.7039999999999998E-3</c:v>
                </c:pt>
                <c:pt idx="513">
                  <c:v>2.9169999999999999E-3</c:v>
                </c:pt>
                <c:pt idx="514">
                  <c:v>3.0140000000000002E-3</c:v>
                </c:pt>
                <c:pt idx="515">
                  <c:v>3.2360000000000002E-3</c:v>
                </c:pt>
                <c:pt idx="516">
                  <c:v>3.271E-3</c:v>
                </c:pt>
                <c:pt idx="517">
                  <c:v>3.3219999999999999E-3</c:v>
                </c:pt>
                <c:pt idx="518">
                  <c:v>3.1310000000000001E-3</c:v>
                </c:pt>
                <c:pt idx="519">
                  <c:v>3.718E-3</c:v>
                </c:pt>
                <c:pt idx="520">
                  <c:v>3.1879999999999999E-3</c:v>
                </c:pt>
                <c:pt idx="521">
                  <c:v>2.9359999999999998E-3</c:v>
                </c:pt>
                <c:pt idx="522">
                  <c:v>2.8890000000000001E-3</c:v>
                </c:pt>
                <c:pt idx="523">
                  <c:v>3.0370000000000002E-3</c:v>
                </c:pt>
                <c:pt idx="524">
                  <c:v>2.738E-3</c:v>
                </c:pt>
                <c:pt idx="525">
                  <c:v>2.9129999999999998E-3</c:v>
                </c:pt>
                <c:pt idx="526">
                  <c:v>2.7680000000000001E-3</c:v>
                </c:pt>
                <c:pt idx="527">
                  <c:v>3.0040000000000002E-3</c:v>
                </c:pt>
                <c:pt idx="528">
                  <c:v>3.1549999999999998E-3</c:v>
                </c:pt>
                <c:pt idx="529">
                  <c:v>3.2590000000000002E-3</c:v>
                </c:pt>
                <c:pt idx="530">
                  <c:v>3.1150000000000001E-3</c:v>
                </c:pt>
                <c:pt idx="531">
                  <c:v>3.0309999999999998E-3</c:v>
                </c:pt>
                <c:pt idx="532">
                  <c:v>3.1280000000000001E-3</c:v>
                </c:pt>
                <c:pt idx="533">
                  <c:v>3.4499999999999999E-3</c:v>
                </c:pt>
                <c:pt idx="534">
                  <c:v>3.2260000000000001E-3</c:v>
                </c:pt>
                <c:pt idx="535">
                  <c:v>4.0969999999999999E-3</c:v>
                </c:pt>
                <c:pt idx="536">
                  <c:v>2.6029999999999998E-3</c:v>
                </c:pt>
                <c:pt idx="537">
                  <c:v>2.1870000000000001E-3</c:v>
                </c:pt>
                <c:pt idx="538">
                  <c:v>1.8699999999999999E-3</c:v>
                </c:pt>
                <c:pt idx="539">
                  <c:v>1.866E-3</c:v>
                </c:pt>
                <c:pt idx="540">
                  <c:v>1.8630000000000001E-3</c:v>
                </c:pt>
                <c:pt idx="541">
                  <c:v>1.926E-3</c:v>
                </c:pt>
                <c:pt idx="542">
                  <c:v>1.9499999999999999E-3</c:v>
                </c:pt>
                <c:pt idx="543">
                  <c:v>1.864E-3</c:v>
                </c:pt>
                <c:pt idx="544">
                  <c:v>1.967E-3</c:v>
                </c:pt>
                <c:pt idx="545">
                  <c:v>1.861E-3</c:v>
                </c:pt>
                <c:pt idx="546">
                  <c:v>1.8779999999999999E-3</c:v>
                </c:pt>
                <c:pt idx="547">
                  <c:v>1.9940000000000001E-3</c:v>
                </c:pt>
                <c:pt idx="548">
                  <c:v>1.9599999999999999E-3</c:v>
                </c:pt>
                <c:pt idx="549">
                  <c:v>1.879E-3</c:v>
                </c:pt>
                <c:pt idx="550">
                  <c:v>2.1670000000000001E-3</c:v>
                </c:pt>
                <c:pt idx="551">
                  <c:v>2.284E-3</c:v>
                </c:pt>
                <c:pt idx="552">
                  <c:v>2.1210000000000001E-3</c:v>
                </c:pt>
                <c:pt idx="553">
                  <c:v>2.3080000000000002E-3</c:v>
                </c:pt>
                <c:pt idx="554">
                  <c:v>2.4299999999999999E-3</c:v>
                </c:pt>
                <c:pt idx="555">
                  <c:v>2.189E-3</c:v>
                </c:pt>
                <c:pt idx="556">
                  <c:v>2.2469999999999999E-3</c:v>
                </c:pt>
                <c:pt idx="557">
                  <c:v>2.7799999999999999E-3</c:v>
                </c:pt>
                <c:pt idx="558">
                  <c:v>1.658E-3</c:v>
                </c:pt>
                <c:pt idx="559">
                  <c:v>1.4450000000000001E-3</c:v>
                </c:pt>
                <c:pt idx="560">
                  <c:v>1.495E-3</c:v>
                </c:pt>
                <c:pt idx="561">
                  <c:v>1.3649999999999999E-3</c:v>
                </c:pt>
                <c:pt idx="562">
                  <c:v>1.01E-3</c:v>
                </c:pt>
                <c:pt idx="563">
                  <c:v>9.4700000000000003E-4</c:v>
                </c:pt>
                <c:pt idx="564">
                  <c:v>9.7300000000000002E-4</c:v>
                </c:pt>
                <c:pt idx="565">
                  <c:v>9.7999999999999997E-4</c:v>
                </c:pt>
                <c:pt idx="566">
                  <c:v>9.990000000000001E-4</c:v>
                </c:pt>
                <c:pt idx="567">
                  <c:v>9.4799999999999995E-4</c:v>
                </c:pt>
                <c:pt idx="568">
                  <c:v>9.6299999999999999E-4</c:v>
                </c:pt>
                <c:pt idx="569">
                  <c:v>9.1E-4</c:v>
                </c:pt>
                <c:pt idx="570">
                  <c:v>9.1299999999999997E-4</c:v>
                </c:pt>
                <c:pt idx="571">
                  <c:v>9.0799999999999995E-4</c:v>
                </c:pt>
                <c:pt idx="572">
                  <c:v>8.9800000000000004E-4</c:v>
                </c:pt>
                <c:pt idx="573">
                  <c:v>9.1200000000000005E-4</c:v>
                </c:pt>
                <c:pt idx="574">
                  <c:v>8.9999999999999998E-4</c:v>
                </c:pt>
                <c:pt idx="575">
                  <c:v>9.2000000000000003E-4</c:v>
                </c:pt>
                <c:pt idx="576">
                  <c:v>8.8999999999999995E-4</c:v>
                </c:pt>
                <c:pt idx="577">
                  <c:v>8.8400000000000002E-4</c:v>
                </c:pt>
                <c:pt idx="578">
                  <c:v>8.7299999999999997E-4</c:v>
                </c:pt>
                <c:pt idx="579">
                  <c:v>8.7500000000000002E-4</c:v>
                </c:pt>
                <c:pt idx="580">
                  <c:v>9.1299999999999997E-4</c:v>
                </c:pt>
                <c:pt idx="581">
                  <c:v>9.4499999999999998E-4</c:v>
                </c:pt>
                <c:pt idx="582">
                  <c:v>9.810000000000001E-4</c:v>
                </c:pt>
                <c:pt idx="583">
                  <c:v>1.06E-3</c:v>
                </c:pt>
                <c:pt idx="584">
                  <c:v>1.103E-3</c:v>
                </c:pt>
                <c:pt idx="585">
                  <c:v>1.114E-3</c:v>
                </c:pt>
                <c:pt idx="586">
                  <c:v>1.119E-3</c:v>
                </c:pt>
                <c:pt idx="587">
                  <c:v>1.1069999999999999E-3</c:v>
                </c:pt>
                <c:pt idx="588">
                  <c:v>1.1249999999999999E-3</c:v>
                </c:pt>
                <c:pt idx="589">
                  <c:v>1.008E-3</c:v>
                </c:pt>
                <c:pt idx="590">
                  <c:v>9.7300000000000002E-4</c:v>
                </c:pt>
                <c:pt idx="591">
                  <c:v>9.8999999999999999E-4</c:v>
                </c:pt>
                <c:pt idx="592">
                  <c:v>1.0280000000000001E-3</c:v>
                </c:pt>
                <c:pt idx="593">
                  <c:v>1.207E-3</c:v>
                </c:pt>
                <c:pt idx="594">
                  <c:v>8.5599999999999999E-4</c:v>
                </c:pt>
                <c:pt idx="595">
                  <c:v>7.2000000000000005E-4</c:v>
                </c:pt>
                <c:pt idx="596">
                  <c:v>8.6899999999999998E-4</c:v>
                </c:pt>
                <c:pt idx="597">
                  <c:v>8.6200000000000003E-4</c:v>
                </c:pt>
                <c:pt idx="598">
                  <c:v>8.3699999999999996E-4</c:v>
                </c:pt>
                <c:pt idx="599">
                  <c:v>8.3799999999999999E-4</c:v>
                </c:pt>
                <c:pt idx="600">
                  <c:v>8.4099999999999995E-4</c:v>
                </c:pt>
                <c:pt idx="601">
                  <c:v>8.3900000000000001E-4</c:v>
                </c:pt>
                <c:pt idx="602">
                  <c:v>9.0499999999999999E-4</c:v>
                </c:pt>
                <c:pt idx="603">
                  <c:v>7.4600000000000003E-4</c:v>
                </c:pt>
                <c:pt idx="604">
                  <c:v>6.9099999999999999E-4</c:v>
                </c:pt>
                <c:pt idx="605">
                  <c:v>7.2099999999999996E-4</c:v>
                </c:pt>
                <c:pt idx="606">
                  <c:v>6.9899999999999997E-4</c:v>
                </c:pt>
                <c:pt idx="607">
                  <c:v>7.18E-4</c:v>
                </c:pt>
                <c:pt idx="608">
                  <c:v>7.1100000000000004E-4</c:v>
                </c:pt>
                <c:pt idx="609">
                  <c:v>7.2199999999999999E-4</c:v>
                </c:pt>
                <c:pt idx="610">
                  <c:v>7.2599999999999997E-4</c:v>
                </c:pt>
                <c:pt idx="611">
                  <c:v>7.4799999999999997E-4</c:v>
                </c:pt>
                <c:pt idx="612">
                  <c:v>7.1400000000000001E-4</c:v>
                </c:pt>
                <c:pt idx="613">
                  <c:v>6.1300000000000005E-4</c:v>
                </c:pt>
                <c:pt idx="614">
                  <c:v>6.1600000000000001E-4</c:v>
                </c:pt>
                <c:pt idx="615">
                  <c:v>6.2600000000000004E-4</c:v>
                </c:pt>
                <c:pt idx="616">
                  <c:v>6.0300000000000002E-4</c:v>
                </c:pt>
                <c:pt idx="617">
                  <c:v>5.6899999999999995E-4</c:v>
                </c:pt>
                <c:pt idx="618">
                  <c:v>5.7499999999999999E-4</c:v>
                </c:pt>
                <c:pt idx="619">
                  <c:v>5.7600000000000001E-4</c:v>
                </c:pt>
                <c:pt idx="620">
                  <c:v>5.4000000000000001E-4</c:v>
                </c:pt>
                <c:pt idx="621">
                  <c:v>5.4100000000000003E-4</c:v>
                </c:pt>
                <c:pt idx="622">
                  <c:v>5.2400000000000005E-4</c:v>
                </c:pt>
                <c:pt idx="623">
                  <c:v>5.4100000000000003E-4</c:v>
                </c:pt>
                <c:pt idx="624">
                  <c:v>5.2700000000000002E-4</c:v>
                </c:pt>
                <c:pt idx="625">
                  <c:v>5.2700000000000002E-4</c:v>
                </c:pt>
                <c:pt idx="626">
                  <c:v>5.1800000000000001E-4</c:v>
                </c:pt>
                <c:pt idx="627">
                  <c:v>5.1599999999999997E-4</c:v>
                </c:pt>
                <c:pt idx="628">
                  <c:v>5.8299999999999997E-4</c:v>
                </c:pt>
                <c:pt idx="629">
                  <c:v>6.0599999999999998E-4</c:v>
                </c:pt>
                <c:pt idx="630">
                  <c:v>5.8299999999999997E-4</c:v>
                </c:pt>
                <c:pt idx="631">
                  <c:v>5.6899999999999995E-4</c:v>
                </c:pt>
                <c:pt idx="632">
                  <c:v>5.7799999999999995E-4</c:v>
                </c:pt>
                <c:pt idx="633">
                  <c:v>5.8100000000000003E-4</c:v>
                </c:pt>
                <c:pt idx="634">
                  <c:v>5.9400000000000002E-4</c:v>
                </c:pt>
                <c:pt idx="635">
                  <c:v>6.2699999999999995E-4</c:v>
                </c:pt>
                <c:pt idx="636">
                  <c:v>5.9100000000000005E-4</c:v>
                </c:pt>
                <c:pt idx="637">
                  <c:v>5.7799999999999995E-4</c:v>
                </c:pt>
                <c:pt idx="638">
                  <c:v>5.7899999999999998E-4</c:v>
                </c:pt>
                <c:pt idx="639">
                  <c:v>5.5400000000000002E-4</c:v>
                </c:pt>
                <c:pt idx="640">
                  <c:v>5.53E-4</c:v>
                </c:pt>
                <c:pt idx="641">
                  <c:v>5.5699999999999999E-4</c:v>
                </c:pt>
                <c:pt idx="642">
                  <c:v>5.4500000000000002E-4</c:v>
                </c:pt>
                <c:pt idx="643">
                  <c:v>5.3200000000000003E-4</c:v>
                </c:pt>
                <c:pt idx="644">
                  <c:v>5.1599999999999997E-4</c:v>
                </c:pt>
                <c:pt idx="645">
                  <c:v>5.0600000000000005E-4</c:v>
                </c:pt>
                <c:pt idx="646">
                  <c:v>4.95E-4</c:v>
                </c:pt>
                <c:pt idx="647">
                  <c:v>5.0000000000000001E-4</c:v>
                </c:pt>
                <c:pt idx="648">
                  <c:v>5.22E-4</c:v>
                </c:pt>
                <c:pt idx="649">
                  <c:v>5.4000000000000001E-4</c:v>
                </c:pt>
                <c:pt idx="650">
                  <c:v>5.22E-4</c:v>
                </c:pt>
                <c:pt idx="651">
                  <c:v>5.13E-4</c:v>
                </c:pt>
                <c:pt idx="652">
                  <c:v>5.0500000000000002E-4</c:v>
                </c:pt>
                <c:pt idx="653">
                  <c:v>5.2400000000000005E-4</c:v>
                </c:pt>
                <c:pt idx="654">
                  <c:v>5.2599999999999999E-4</c:v>
                </c:pt>
                <c:pt idx="655">
                  <c:v>5.4299999999999997E-4</c:v>
                </c:pt>
                <c:pt idx="656">
                  <c:v>5.2999999999999998E-4</c:v>
                </c:pt>
                <c:pt idx="657">
                  <c:v>5.31E-4</c:v>
                </c:pt>
                <c:pt idx="658">
                  <c:v>5.8699999999999996E-4</c:v>
                </c:pt>
                <c:pt idx="659">
                  <c:v>5.8900000000000001E-4</c:v>
                </c:pt>
                <c:pt idx="660">
                  <c:v>5.8799999999999998E-4</c:v>
                </c:pt>
                <c:pt idx="661">
                  <c:v>6.0499999999999996E-4</c:v>
                </c:pt>
                <c:pt idx="662">
                  <c:v>5.6899999999999995E-4</c:v>
                </c:pt>
                <c:pt idx="663">
                  <c:v>5.7799999999999995E-4</c:v>
                </c:pt>
                <c:pt idx="664">
                  <c:v>5.7899999999999998E-4</c:v>
                </c:pt>
                <c:pt idx="665">
                  <c:v>6.0800000000000003E-4</c:v>
                </c:pt>
                <c:pt idx="666">
                  <c:v>6.6299999999999996E-4</c:v>
                </c:pt>
                <c:pt idx="667">
                  <c:v>6.2399999999999999E-4</c:v>
                </c:pt>
                <c:pt idx="668">
                  <c:v>6.2E-4</c:v>
                </c:pt>
                <c:pt idx="669">
                  <c:v>5.8799999999999998E-4</c:v>
                </c:pt>
                <c:pt idx="670">
                  <c:v>6.0700000000000001E-4</c:v>
                </c:pt>
                <c:pt idx="671">
                  <c:v>6.1399999999999996E-4</c:v>
                </c:pt>
                <c:pt idx="672">
                  <c:v>6.3299999999999999E-4</c:v>
                </c:pt>
                <c:pt idx="673">
                  <c:v>6.2200000000000005E-4</c:v>
                </c:pt>
                <c:pt idx="674">
                  <c:v>6.0999999999999997E-4</c:v>
                </c:pt>
                <c:pt idx="675">
                  <c:v>6.2299999999999996E-4</c:v>
                </c:pt>
                <c:pt idx="676">
                  <c:v>5.7700000000000004E-4</c:v>
                </c:pt>
                <c:pt idx="677">
                  <c:v>6.3100000000000005E-4</c:v>
                </c:pt>
                <c:pt idx="678">
                  <c:v>6.3699999999999998E-4</c:v>
                </c:pt>
                <c:pt idx="679">
                  <c:v>6.3500000000000004E-4</c:v>
                </c:pt>
                <c:pt idx="680">
                  <c:v>5.6899999999999995E-4</c:v>
                </c:pt>
                <c:pt idx="681">
                  <c:v>5.4000000000000001E-4</c:v>
                </c:pt>
                <c:pt idx="682">
                  <c:v>5.1099999999999995E-4</c:v>
                </c:pt>
                <c:pt idx="683">
                  <c:v>5.9999999999999995E-4</c:v>
                </c:pt>
                <c:pt idx="684">
                  <c:v>5.1599999999999997E-4</c:v>
                </c:pt>
                <c:pt idx="685">
                  <c:v>5.2999999999999998E-4</c:v>
                </c:pt>
                <c:pt idx="686">
                  <c:v>4.6700000000000002E-4</c:v>
                </c:pt>
                <c:pt idx="687">
                  <c:v>8.92E-4</c:v>
                </c:pt>
                <c:pt idx="688">
                  <c:v>9.5E-4</c:v>
                </c:pt>
                <c:pt idx="689">
                  <c:v>9.2500000000000004E-4</c:v>
                </c:pt>
                <c:pt idx="690">
                  <c:v>9.01E-4</c:v>
                </c:pt>
                <c:pt idx="691">
                  <c:v>1.062E-3</c:v>
                </c:pt>
                <c:pt idx="692">
                  <c:v>1.116E-3</c:v>
                </c:pt>
                <c:pt idx="693">
                  <c:v>1.147E-3</c:v>
                </c:pt>
                <c:pt idx="694">
                  <c:v>1.1410000000000001E-3</c:v>
                </c:pt>
                <c:pt idx="695">
                  <c:v>9.7400000000000004E-4</c:v>
                </c:pt>
                <c:pt idx="696">
                  <c:v>9.7400000000000004E-4</c:v>
                </c:pt>
                <c:pt idx="697">
                  <c:v>8.7100000000000003E-4</c:v>
                </c:pt>
                <c:pt idx="698">
                  <c:v>8.8000000000000003E-4</c:v>
                </c:pt>
                <c:pt idx="699">
                  <c:v>9.0399999999999996E-4</c:v>
                </c:pt>
                <c:pt idx="700">
                  <c:v>9.5100000000000002E-4</c:v>
                </c:pt>
                <c:pt idx="701">
                  <c:v>8.4699999999999999E-4</c:v>
                </c:pt>
                <c:pt idx="702">
                  <c:v>9.3999999999999997E-4</c:v>
                </c:pt>
                <c:pt idx="703">
                  <c:v>1.0380000000000001E-3</c:v>
                </c:pt>
                <c:pt idx="704">
                  <c:v>1.1360000000000001E-3</c:v>
                </c:pt>
                <c:pt idx="705">
                  <c:v>1.06E-3</c:v>
                </c:pt>
                <c:pt idx="706">
                  <c:v>1.09E-3</c:v>
                </c:pt>
                <c:pt idx="707">
                  <c:v>1.073E-3</c:v>
                </c:pt>
                <c:pt idx="708">
                  <c:v>1.078E-3</c:v>
                </c:pt>
                <c:pt idx="709">
                  <c:v>1.276E-3</c:v>
                </c:pt>
                <c:pt idx="710">
                  <c:v>1.225E-3</c:v>
                </c:pt>
                <c:pt idx="711">
                  <c:v>1.1249999999999999E-3</c:v>
                </c:pt>
                <c:pt idx="712">
                  <c:v>1.1069999999999999E-3</c:v>
                </c:pt>
                <c:pt idx="713">
                  <c:v>1.1800000000000001E-3</c:v>
                </c:pt>
                <c:pt idx="714">
                  <c:v>1.0430000000000001E-3</c:v>
                </c:pt>
                <c:pt idx="715">
                  <c:v>1.034E-3</c:v>
                </c:pt>
                <c:pt idx="716">
                  <c:v>1.0120000000000001E-3</c:v>
                </c:pt>
                <c:pt idx="717">
                  <c:v>9.8799999999999995E-4</c:v>
                </c:pt>
                <c:pt idx="718">
                  <c:v>1.024E-3</c:v>
                </c:pt>
                <c:pt idx="719">
                  <c:v>9.990000000000001E-4</c:v>
                </c:pt>
                <c:pt idx="720">
                  <c:v>1.005E-3</c:v>
                </c:pt>
                <c:pt idx="721">
                  <c:v>1.0200000000000001E-3</c:v>
                </c:pt>
                <c:pt idx="722">
                  <c:v>9.5799999999999998E-4</c:v>
                </c:pt>
                <c:pt idx="723">
                  <c:v>9.19E-4</c:v>
                </c:pt>
                <c:pt idx="724">
                  <c:v>7.8700000000000005E-4</c:v>
                </c:pt>
                <c:pt idx="725">
                  <c:v>7.7700000000000002E-4</c:v>
                </c:pt>
                <c:pt idx="726">
                  <c:v>7.7200000000000001E-4</c:v>
                </c:pt>
                <c:pt idx="727">
                  <c:v>7.6199999999999998E-4</c:v>
                </c:pt>
                <c:pt idx="728">
                  <c:v>7.6999999999999996E-4</c:v>
                </c:pt>
                <c:pt idx="729">
                  <c:v>7.8399999999999997E-4</c:v>
                </c:pt>
                <c:pt idx="730">
                  <c:v>7.9299999999999998E-4</c:v>
                </c:pt>
                <c:pt idx="731">
                  <c:v>7.7300000000000003E-4</c:v>
                </c:pt>
                <c:pt idx="732">
                  <c:v>7.67E-4</c:v>
                </c:pt>
                <c:pt idx="733">
                  <c:v>7.6800000000000002E-4</c:v>
                </c:pt>
                <c:pt idx="734">
                  <c:v>8.0500000000000005E-4</c:v>
                </c:pt>
                <c:pt idx="735">
                  <c:v>8.34E-4</c:v>
                </c:pt>
                <c:pt idx="736">
                  <c:v>9.0200000000000002E-4</c:v>
                </c:pt>
                <c:pt idx="737">
                  <c:v>8.8800000000000001E-4</c:v>
                </c:pt>
                <c:pt idx="738">
                  <c:v>8.9099999999999997E-4</c:v>
                </c:pt>
                <c:pt idx="739">
                  <c:v>8.6700000000000004E-4</c:v>
                </c:pt>
                <c:pt idx="740">
                  <c:v>9.3000000000000005E-4</c:v>
                </c:pt>
                <c:pt idx="741">
                  <c:v>9.3300000000000002E-4</c:v>
                </c:pt>
                <c:pt idx="742">
                  <c:v>9.2199999999999997E-4</c:v>
                </c:pt>
                <c:pt idx="743">
                  <c:v>9.6100000000000005E-4</c:v>
                </c:pt>
                <c:pt idx="744">
                  <c:v>9.1E-4</c:v>
                </c:pt>
                <c:pt idx="745">
                  <c:v>8.9999999999999998E-4</c:v>
                </c:pt>
                <c:pt idx="746">
                  <c:v>9.0499999999999999E-4</c:v>
                </c:pt>
                <c:pt idx="747">
                  <c:v>9.0200000000000002E-4</c:v>
                </c:pt>
                <c:pt idx="748">
                  <c:v>8.52E-4</c:v>
                </c:pt>
                <c:pt idx="749">
                  <c:v>8.2200000000000003E-4</c:v>
                </c:pt>
                <c:pt idx="750">
                  <c:v>8.4599999999999996E-4</c:v>
                </c:pt>
                <c:pt idx="751">
                  <c:v>8.4199999999999998E-4</c:v>
                </c:pt>
                <c:pt idx="752">
                  <c:v>8.3000000000000001E-4</c:v>
                </c:pt>
                <c:pt idx="753">
                  <c:v>8.4999999999999995E-4</c:v>
                </c:pt>
                <c:pt idx="754">
                  <c:v>8.4199999999999998E-4</c:v>
                </c:pt>
                <c:pt idx="755">
                  <c:v>8.4500000000000005E-4</c:v>
                </c:pt>
                <c:pt idx="756">
                  <c:v>8.2799999999999996E-4</c:v>
                </c:pt>
                <c:pt idx="757">
                  <c:v>8.5400000000000005E-4</c:v>
                </c:pt>
                <c:pt idx="758">
                  <c:v>8.4800000000000001E-4</c:v>
                </c:pt>
                <c:pt idx="759">
                  <c:v>8.9899999999999995E-4</c:v>
                </c:pt>
                <c:pt idx="760">
                  <c:v>9.1600000000000004E-4</c:v>
                </c:pt>
                <c:pt idx="761">
                  <c:v>9.0899999999999998E-4</c:v>
                </c:pt>
                <c:pt idx="762">
                  <c:v>8.7100000000000003E-4</c:v>
                </c:pt>
                <c:pt idx="763">
                  <c:v>8.7200000000000005E-4</c:v>
                </c:pt>
                <c:pt idx="764">
                  <c:v>8.7200000000000005E-4</c:v>
                </c:pt>
                <c:pt idx="765">
                  <c:v>8.9499999999999996E-4</c:v>
                </c:pt>
                <c:pt idx="766">
                  <c:v>8.2899999999999998E-4</c:v>
                </c:pt>
                <c:pt idx="767">
                  <c:v>9.2599999999999996E-4</c:v>
                </c:pt>
                <c:pt idx="768">
                  <c:v>8.5499999999999997E-4</c:v>
                </c:pt>
                <c:pt idx="769">
                  <c:v>8.8500000000000004E-4</c:v>
                </c:pt>
                <c:pt idx="770">
                  <c:v>8.6399999999999997E-4</c:v>
                </c:pt>
                <c:pt idx="771">
                  <c:v>8.9300000000000002E-4</c:v>
                </c:pt>
                <c:pt idx="772">
                  <c:v>8.1300000000000003E-4</c:v>
                </c:pt>
                <c:pt idx="773">
                  <c:v>8.9700000000000001E-4</c:v>
                </c:pt>
                <c:pt idx="774">
                  <c:v>9.4799999999999995E-4</c:v>
                </c:pt>
                <c:pt idx="775">
                  <c:v>9.6699999999999998E-4</c:v>
                </c:pt>
                <c:pt idx="776">
                  <c:v>1.0679999999999999E-3</c:v>
                </c:pt>
                <c:pt idx="777">
                  <c:v>1.067E-3</c:v>
                </c:pt>
                <c:pt idx="778">
                  <c:v>1.052E-3</c:v>
                </c:pt>
                <c:pt idx="779">
                  <c:v>9.77E-4</c:v>
                </c:pt>
                <c:pt idx="780">
                  <c:v>1.103E-3</c:v>
                </c:pt>
                <c:pt idx="781">
                  <c:v>1.1169999999999999E-3</c:v>
                </c:pt>
                <c:pt idx="782">
                  <c:v>1.145E-3</c:v>
                </c:pt>
                <c:pt idx="783">
                  <c:v>9.810000000000001E-4</c:v>
                </c:pt>
                <c:pt idx="784">
                  <c:v>1.0120000000000001E-3</c:v>
                </c:pt>
                <c:pt idx="785">
                  <c:v>1.0139999999999999E-3</c:v>
                </c:pt>
                <c:pt idx="786">
                  <c:v>1.0679999999999999E-3</c:v>
                </c:pt>
                <c:pt idx="787">
                  <c:v>1.114E-3</c:v>
                </c:pt>
                <c:pt idx="788">
                  <c:v>1.0759999999999999E-3</c:v>
                </c:pt>
                <c:pt idx="789">
                  <c:v>1.132E-3</c:v>
                </c:pt>
                <c:pt idx="790">
                  <c:v>1.2160000000000001E-3</c:v>
                </c:pt>
                <c:pt idx="791">
                  <c:v>1.2030000000000001E-3</c:v>
                </c:pt>
                <c:pt idx="792">
                  <c:v>1.238E-3</c:v>
                </c:pt>
                <c:pt idx="793">
                  <c:v>1.1709999999999999E-3</c:v>
                </c:pt>
                <c:pt idx="794">
                  <c:v>1.052E-3</c:v>
                </c:pt>
                <c:pt idx="795">
                  <c:v>1.096E-3</c:v>
                </c:pt>
                <c:pt idx="796">
                  <c:v>1.225E-3</c:v>
                </c:pt>
                <c:pt idx="797">
                  <c:v>1.2329999999999999E-3</c:v>
                </c:pt>
                <c:pt idx="798">
                  <c:v>1.232E-3</c:v>
                </c:pt>
                <c:pt idx="799">
                  <c:v>1.189E-3</c:v>
                </c:pt>
                <c:pt idx="800">
                  <c:v>1.2750000000000001E-3</c:v>
                </c:pt>
                <c:pt idx="801">
                  <c:v>1.2830000000000001E-3</c:v>
                </c:pt>
                <c:pt idx="802">
                  <c:v>1.1850000000000001E-3</c:v>
                </c:pt>
                <c:pt idx="803">
                  <c:v>1.0859999999999999E-3</c:v>
                </c:pt>
                <c:pt idx="804">
                  <c:v>1.0759999999999999E-3</c:v>
                </c:pt>
                <c:pt idx="805">
                  <c:v>1.157E-3</c:v>
                </c:pt>
                <c:pt idx="806">
                  <c:v>1.0679999999999999E-3</c:v>
                </c:pt>
                <c:pt idx="807">
                  <c:v>1.0679999999999999E-3</c:v>
                </c:pt>
                <c:pt idx="808">
                  <c:v>1.073E-3</c:v>
                </c:pt>
                <c:pt idx="809">
                  <c:v>1.0920000000000001E-3</c:v>
                </c:pt>
                <c:pt idx="810">
                  <c:v>1.029E-3</c:v>
                </c:pt>
                <c:pt idx="811">
                  <c:v>1.041E-3</c:v>
                </c:pt>
                <c:pt idx="812">
                  <c:v>1.142E-3</c:v>
                </c:pt>
                <c:pt idx="813">
                  <c:v>1.0529999999999999E-3</c:v>
                </c:pt>
                <c:pt idx="814">
                  <c:v>1.0300000000000001E-3</c:v>
                </c:pt>
                <c:pt idx="815">
                  <c:v>1.052E-3</c:v>
                </c:pt>
                <c:pt idx="816">
                  <c:v>9.77E-4</c:v>
                </c:pt>
                <c:pt idx="817">
                  <c:v>1.0020000000000001E-3</c:v>
                </c:pt>
                <c:pt idx="818">
                  <c:v>9.9799999999999997E-4</c:v>
                </c:pt>
                <c:pt idx="819">
                  <c:v>1E-3</c:v>
                </c:pt>
                <c:pt idx="820">
                  <c:v>9.5600000000000004E-4</c:v>
                </c:pt>
                <c:pt idx="821">
                  <c:v>9.9700000000000006E-4</c:v>
                </c:pt>
                <c:pt idx="822">
                  <c:v>1.01E-3</c:v>
                </c:pt>
                <c:pt idx="823">
                  <c:v>9.7400000000000004E-4</c:v>
                </c:pt>
                <c:pt idx="824">
                  <c:v>9.1600000000000004E-4</c:v>
                </c:pt>
                <c:pt idx="825">
                  <c:v>9.4499999999999998E-4</c:v>
                </c:pt>
                <c:pt idx="826">
                  <c:v>9.0499999999999999E-4</c:v>
                </c:pt>
                <c:pt idx="827">
                  <c:v>8.1700000000000002E-4</c:v>
                </c:pt>
                <c:pt idx="828">
                  <c:v>9.1600000000000004E-4</c:v>
                </c:pt>
                <c:pt idx="829">
                  <c:v>9.2500000000000004E-4</c:v>
                </c:pt>
                <c:pt idx="830">
                  <c:v>9.3499999999999996E-4</c:v>
                </c:pt>
                <c:pt idx="831">
                  <c:v>8.8500000000000004E-4</c:v>
                </c:pt>
                <c:pt idx="832">
                  <c:v>8.7799999999999998E-4</c:v>
                </c:pt>
                <c:pt idx="833">
                  <c:v>9.1299999999999997E-4</c:v>
                </c:pt>
                <c:pt idx="834">
                  <c:v>9.1799999999999998E-4</c:v>
                </c:pt>
                <c:pt idx="835">
                  <c:v>9.77E-4</c:v>
                </c:pt>
                <c:pt idx="836">
                  <c:v>9.7199999999999999E-4</c:v>
                </c:pt>
                <c:pt idx="837">
                  <c:v>9.7599999999999998E-4</c:v>
                </c:pt>
                <c:pt idx="838">
                  <c:v>9.4200000000000002E-4</c:v>
                </c:pt>
                <c:pt idx="839">
                  <c:v>9.5200000000000005E-4</c:v>
                </c:pt>
                <c:pt idx="840">
                  <c:v>9.5299999999999996E-4</c:v>
                </c:pt>
                <c:pt idx="841">
                  <c:v>9.5500000000000001E-4</c:v>
                </c:pt>
                <c:pt idx="842">
                  <c:v>9.8200000000000002E-4</c:v>
                </c:pt>
                <c:pt idx="843">
                  <c:v>9.1799999999999998E-4</c:v>
                </c:pt>
                <c:pt idx="844">
                  <c:v>8.4099999999999995E-4</c:v>
                </c:pt>
                <c:pt idx="845">
                  <c:v>9.1E-4</c:v>
                </c:pt>
                <c:pt idx="846">
                  <c:v>9.2000000000000003E-4</c:v>
                </c:pt>
                <c:pt idx="847">
                  <c:v>9.2699999999999998E-4</c:v>
                </c:pt>
                <c:pt idx="848">
                  <c:v>8.7699999999999996E-4</c:v>
                </c:pt>
                <c:pt idx="849">
                  <c:v>8.4900000000000004E-4</c:v>
                </c:pt>
                <c:pt idx="850">
                  <c:v>8.34E-4</c:v>
                </c:pt>
                <c:pt idx="851">
                  <c:v>8.25E-4</c:v>
                </c:pt>
                <c:pt idx="852">
                  <c:v>8.4000000000000003E-4</c:v>
                </c:pt>
                <c:pt idx="853">
                  <c:v>8.2799999999999996E-4</c:v>
                </c:pt>
                <c:pt idx="854">
                  <c:v>7.9500000000000003E-4</c:v>
                </c:pt>
                <c:pt idx="855">
                  <c:v>8.0999999999999996E-4</c:v>
                </c:pt>
                <c:pt idx="856">
                  <c:v>7.76E-4</c:v>
                </c:pt>
                <c:pt idx="857">
                  <c:v>1.0269999999999999E-3</c:v>
                </c:pt>
                <c:pt idx="858">
                  <c:v>1.114E-3</c:v>
                </c:pt>
                <c:pt idx="859">
                  <c:v>1.189E-3</c:v>
                </c:pt>
                <c:pt idx="860">
                  <c:v>1.189E-3</c:v>
                </c:pt>
                <c:pt idx="861">
                  <c:v>1.1950000000000001E-3</c:v>
                </c:pt>
                <c:pt idx="862">
                  <c:v>1.1720000000000001E-3</c:v>
                </c:pt>
                <c:pt idx="863">
                  <c:v>1.116E-3</c:v>
                </c:pt>
                <c:pt idx="864">
                  <c:v>1.054E-3</c:v>
                </c:pt>
                <c:pt idx="865">
                  <c:v>1.059E-3</c:v>
                </c:pt>
                <c:pt idx="866">
                  <c:v>1.073E-3</c:v>
                </c:pt>
                <c:pt idx="867">
                  <c:v>1.072E-3</c:v>
                </c:pt>
                <c:pt idx="868">
                  <c:v>1.052E-3</c:v>
                </c:pt>
                <c:pt idx="869">
                  <c:v>1.091E-3</c:v>
                </c:pt>
                <c:pt idx="870">
                  <c:v>1.2049999999999999E-3</c:v>
                </c:pt>
                <c:pt idx="871">
                  <c:v>1.196E-3</c:v>
                </c:pt>
                <c:pt idx="872">
                  <c:v>1.07E-3</c:v>
                </c:pt>
                <c:pt idx="873">
                  <c:v>1.054E-3</c:v>
                </c:pt>
                <c:pt idx="874">
                  <c:v>1.0219999999999999E-3</c:v>
                </c:pt>
                <c:pt idx="875">
                  <c:v>1.011E-3</c:v>
                </c:pt>
                <c:pt idx="876">
                  <c:v>1.031E-3</c:v>
                </c:pt>
                <c:pt idx="877">
                  <c:v>1.0549999999999999E-3</c:v>
                </c:pt>
                <c:pt idx="878">
                  <c:v>1.0070000000000001E-3</c:v>
                </c:pt>
                <c:pt idx="879">
                  <c:v>1.0250000000000001E-3</c:v>
                </c:pt>
                <c:pt idx="880">
                  <c:v>1.0399999999999999E-3</c:v>
                </c:pt>
                <c:pt idx="881">
                  <c:v>1.0399999999999999E-3</c:v>
                </c:pt>
                <c:pt idx="882">
                  <c:v>1.0280000000000001E-3</c:v>
                </c:pt>
                <c:pt idx="883">
                  <c:v>1.0889999999999999E-3</c:v>
                </c:pt>
                <c:pt idx="884">
                  <c:v>1.191E-3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E-498D-91FC-CE81501C41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-41.221185602840322</c:v>
                </c:pt>
                <c:pt idx="1">
                  <c:v>-41.164962622840321</c:v>
                </c:pt>
                <c:pt idx="2">
                  <c:v>-40.874739997485484</c:v>
                </c:pt>
                <c:pt idx="3">
                  <c:v>-41.076747314502192</c:v>
                </c:pt>
                <c:pt idx="4">
                  <c:v>-41.642746874691319</c:v>
                </c:pt>
                <c:pt idx="5">
                  <c:v>-42.395589115187406</c:v>
                </c:pt>
                <c:pt idx="6">
                  <c:v>-40.489304473564545</c:v>
                </c:pt>
                <c:pt idx="7">
                  <c:v>-39.205541017030399</c:v>
                </c:pt>
                <c:pt idx="8">
                  <c:v>-38.467809154017495</c:v>
                </c:pt>
                <c:pt idx="9">
                  <c:v>-37.572766246606328</c:v>
                </c:pt>
                <c:pt idx="10">
                  <c:v>-37.116553428044682</c:v>
                </c:pt>
                <c:pt idx="11">
                  <c:v>-36.794991173908706</c:v>
                </c:pt>
                <c:pt idx="12">
                  <c:v>-36.997273198151134</c:v>
                </c:pt>
                <c:pt idx="13">
                  <c:v>-37.057541115781646</c:v>
                </c:pt>
                <c:pt idx="14">
                  <c:v>-36.980858983154533</c:v>
                </c:pt>
                <c:pt idx="15">
                  <c:v>-36.22247698752539</c:v>
                </c:pt>
                <c:pt idx="16">
                  <c:v>-36.593573265823856</c:v>
                </c:pt>
                <c:pt idx="17">
                  <c:v>-35.838891398275649</c:v>
                </c:pt>
                <c:pt idx="18">
                  <c:v>-35.947773921753907</c:v>
                </c:pt>
                <c:pt idx="19">
                  <c:v>-36.349591376426041</c:v>
                </c:pt>
                <c:pt idx="20">
                  <c:v>-36.374883322926891</c:v>
                </c:pt>
                <c:pt idx="21">
                  <c:v>-36.207150009805346</c:v>
                </c:pt>
                <c:pt idx="22">
                  <c:v>-36.264320633461253</c:v>
                </c:pt>
                <c:pt idx="23">
                  <c:v>-35.14287042867214</c:v>
                </c:pt>
                <c:pt idx="24">
                  <c:v>-34.537578554987931</c:v>
                </c:pt>
                <c:pt idx="25">
                  <c:v>-31.055535629030476</c:v>
                </c:pt>
                <c:pt idx="26">
                  <c:v>-25.383792109255985</c:v>
                </c:pt>
                <c:pt idx="27">
                  <c:v>-25.489646209533763</c:v>
                </c:pt>
                <c:pt idx="28">
                  <c:v>-25.236118548953495</c:v>
                </c:pt>
                <c:pt idx="29">
                  <c:v>-25.731657799080342</c:v>
                </c:pt>
                <c:pt idx="30">
                  <c:v>-25.057925084157272</c:v>
                </c:pt>
                <c:pt idx="31">
                  <c:v>-24.308801867157268</c:v>
                </c:pt>
                <c:pt idx="32">
                  <c:v>-23.791109614983355</c:v>
                </c:pt>
                <c:pt idx="33">
                  <c:v>-24.170155900951528</c:v>
                </c:pt>
                <c:pt idx="34">
                  <c:v>-24.653074118048302</c:v>
                </c:pt>
                <c:pt idx="35">
                  <c:v>-24.314024878358374</c:v>
                </c:pt>
                <c:pt idx="36">
                  <c:v>-25.065976900131311</c:v>
                </c:pt>
                <c:pt idx="37">
                  <c:v>-25.344728180131309</c:v>
                </c:pt>
                <c:pt idx="38">
                  <c:v>-25.900536117218685</c:v>
                </c:pt>
                <c:pt idx="39">
                  <c:v>-25.483488602587105</c:v>
                </c:pt>
                <c:pt idx="40">
                  <c:v>-24.991776319998873</c:v>
                </c:pt>
                <c:pt idx="41">
                  <c:v>-25.248970461906389</c:v>
                </c:pt>
                <c:pt idx="42">
                  <c:v>-24.984497795738719</c:v>
                </c:pt>
                <c:pt idx="43">
                  <c:v>-24.103301464417296</c:v>
                </c:pt>
                <c:pt idx="44">
                  <c:v>-25.426152012153143</c:v>
                </c:pt>
                <c:pt idx="45">
                  <c:v>-26.799886816268735</c:v>
                </c:pt>
                <c:pt idx="46">
                  <c:v>-25.514466858542654</c:v>
                </c:pt>
                <c:pt idx="47">
                  <c:v>-25.061224208480802</c:v>
                </c:pt>
                <c:pt idx="48">
                  <c:v>-25.073260035855796</c:v>
                </c:pt>
                <c:pt idx="49">
                  <c:v>-24.2687274759666</c:v>
                </c:pt>
                <c:pt idx="50">
                  <c:v>-23.207532900478228</c:v>
                </c:pt>
                <c:pt idx="51">
                  <c:v>-24.293002993828608</c:v>
                </c:pt>
                <c:pt idx="52">
                  <c:v>-23.940733242673286</c:v>
                </c:pt>
                <c:pt idx="53">
                  <c:v>-26.733682821549436</c:v>
                </c:pt>
                <c:pt idx="54">
                  <c:v>-26.241538864021347</c:v>
                </c:pt>
                <c:pt idx="55">
                  <c:v>-26.281896412887782</c:v>
                </c:pt>
                <c:pt idx="56">
                  <c:v>-24.420847454504994</c:v>
                </c:pt>
                <c:pt idx="57">
                  <c:v>-24.190329718092446</c:v>
                </c:pt>
                <c:pt idx="58">
                  <c:v>-19.696895391248137</c:v>
                </c:pt>
                <c:pt idx="59">
                  <c:v>-19.519362540846203</c:v>
                </c:pt>
                <c:pt idx="60">
                  <c:v>-20.686377621830385</c:v>
                </c:pt>
                <c:pt idx="61">
                  <c:v>-21.254862966128528</c:v>
                </c:pt>
                <c:pt idx="62">
                  <c:v>-20.926521465102883</c:v>
                </c:pt>
                <c:pt idx="63">
                  <c:v>-19.169371291580557</c:v>
                </c:pt>
                <c:pt idx="64">
                  <c:v>-17.559072261273009</c:v>
                </c:pt>
                <c:pt idx="65">
                  <c:v>-18.490352109492068</c:v>
                </c:pt>
                <c:pt idx="66">
                  <c:v>-20.792377392414053</c:v>
                </c:pt>
                <c:pt idx="67">
                  <c:v>-18.044562232457434</c:v>
                </c:pt>
                <c:pt idx="68">
                  <c:v>-9.8668210293285181</c:v>
                </c:pt>
                <c:pt idx="69">
                  <c:v>-13.410158986820051</c:v>
                </c:pt>
                <c:pt idx="70">
                  <c:v>-15.963139797400986</c:v>
                </c:pt>
                <c:pt idx="71">
                  <c:v>-11.5801374790829</c:v>
                </c:pt>
                <c:pt idx="72">
                  <c:v>-16.863311539006926</c:v>
                </c:pt>
                <c:pt idx="73">
                  <c:v>-17.340254948830509</c:v>
                </c:pt>
                <c:pt idx="74">
                  <c:v>-17.89423133179676</c:v>
                </c:pt>
                <c:pt idx="75">
                  <c:v>-18.325637015272548</c:v>
                </c:pt>
                <c:pt idx="76">
                  <c:v>-18.983355555272549</c:v>
                </c:pt>
                <c:pt idx="77">
                  <c:v>-18.504175279971157</c:v>
                </c:pt>
                <c:pt idx="78">
                  <c:v>-18.088018852989642</c:v>
                </c:pt>
                <c:pt idx="79">
                  <c:v>-17.325195162635751</c:v>
                </c:pt>
                <c:pt idx="80">
                  <c:v>-16.491600173503333</c:v>
                </c:pt>
                <c:pt idx="81">
                  <c:v>-16.055361843088512</c:v>
                </c:pt>
                <c:pt idx="82">
                  <c:v>-17.245602797481993</c:v>
                </c:pt>
                <c:pt idx="83">
                  <c:v>-17.416081469715369</c:v>
                </c:pt>
                <c:pt idx="84">
                  <c:v>-18.075354761522593</c:v>
                </c:pt>
                <c:pt idx="85">
                  <c:v>-19.265475878619366</c:v>
                </c:pt>
                <c:pt idx="86">
                  <c:v>-19.80900809394976</c:v>
                </c:pt>
                <c:pt idx="87">
                  <c:v>-20.85830118501821</c:v>
                </c:pt>
                <c:pt idx="88">
                  <c:v>-21.099026036682549</c:v>
                </c:pt>
                <c:pt idx="89">
                  <c:v>-23.749746674320239</c:v>
                </c:pt>
                <c:pt idx="90">
                  <c:v>-24.729172622293415</c:v>
                </c:pt>
                <c:pt idx="91">
                  <c:v>-25.26330529905319</c:v>
                </c:pt>
                <c:pt idx="92">
                  <c:v>-27.366694500595656</c:v>
                </c:pt>
                <c:pt idx="93">
                  <c:v>-26.133470830032692</c:v>
                </c:pt>
                <c:pt idx="94">
                  <c:v>-25.065739424953328</c:v>
                </c:pt>
                <c:pt idx="95">
                  <c:v>-26.428790325973736</c:v>
                </c:pt>
                <c:pt idx="96">
                  <c:v>-26.109350103637283</c:v>
                </c:pt>
                <c:pt idx="97">
                  <c:v>-27.023506066616008</c:v>
                </c:pt>
                <c:pt idx="98">
                  <c:v>-26.999481699416005</c:v>
                </c:pt>
                <c:pt idx="99">
                  <c:v>-25.730284689572446</c:v>
                </c:pt>
                <c:pt idx="100">
                  <c:v>-27.751953140198019</c:v>
                </c:pt>
                <c:pt idx="101">
                  <c:v>-28.529314253605062</c:v>
                </c:pt>
                <c:pt idx="102">
                  <c:v>-28.950788346340904</c:v>
                </c:pt>
                <c:pt idx="103">
                  <c:v>-29.118378788324375</c:v>
                </c:pt>
                <c:pt idx="104">
                  <c:v>-29.175631886641636</c:v>
                </c:pt>
                <c:pt idx="105">
                  <c:v>-27.74518644357352</c:v>
                </c:pt>
                <c:pt idx="106">
                  <c:v>-28.439212980964818</c:v>
                </c:pt>
                <c:pt idx="107">
                  <c:v>-28.881447499393047</c:v>
                </c:pt>
                <c:pt idx="108">
                  <c:v>-30.113125998734066</c:v>
                </c:pt>
                <c:pt idx="109">
                  <c:v>-28.815368146364083</c:v>
                </c:pt>
                <c:pt idx="110">
                  <c:v>-15.769163723109697</c:v>
                </c:pt>
                <c:pt idx="111">
                  <c:v>-7.0537313311096979</c:v>
                </c:pt>
                <c:pt idx="112">
                  <c:v>-13.488635445975881</c:v>
                </c:pt>
                <c:pt idx="113">
                  <c:v>-14.673313066461052</c:v>
                </c:pt>
                <c:pt idx="114">
                  <c:v>-15.407493499536793</c:v>
                </c:pt>
                <c:pt idx="115">
                  <c:v>-14.786451517449052</c:v>
                </c:pt>
                <c:pt idx="116">
                  <c:v>-14.729185083602902</c:v>
                </c:pt>
                <c:pt idx="117">
                  <c:v>-14.784084907314245</c:v>
                </c:pt>
                <c:pt idx="118">
                  <c:v>-14.651687039051433</c:v>
                </c:pt>
                <c:pt idx="119">
                  <c:v>-14.343614261831892</c:v>
                </c:pt>
                <c:pt idx="120">
                  <c:v>-14.083506853644941</c:v>
                </c:pt>
                <c:pt idx="121">
                  <c:v>-14.165430264793022</c:v>
                </c:pt>
                <c:pt idx="122">
                  <c:v>-12.982956178327269</c:v>
                </c:pt>
                <c:pt idx="123">
                  <c:v>-11.246524350989537</c:v>
                </c:pt>
                <c:pt idx="124">
                  <c:v>-11.8174148315625</c:v>
                </c:pt>
                <c:pt idx="125">
                  <c:v>-12.186715414171191</c:v>
                </c:pt>
                <c:pt idx="126">
                  <c:v>-11.443382146097159</c:v>
                </c:pt>
                <c:pt idx="127">
                  <c:v>-12.80671878560536</c:v>
                </c:pt>
                <c:pt idx="128">
                  <c:v>-15.824836606289228</c:v>
                </c:pt>
                <c:pt idx="129">
                  <c:v>-5.3681657914744099</c:v>
                </c:pt>
                <c:pt idx="130">
                  <c:v>-3.3841127973280671</c:v>
                </c:pt>
                <c:pt idx="131">
                  <c:v>-1.1971474383556893</c:v>
                </c:pt>
                <c:pt idx="132">
                  <c:v>-1.4206700405956865</c:v>
                </c:pt>
                <c:pt idx="133">
                  <c:v>-0.33182493965398024</c:v>
                </c:pt>
                <c:pt idx="134">
                  <c:v>0.75503661670965028</c:v>
                </c:pt>
                <c:pt idx="135">
                  <c:v>-0.40650436302783965</c:v>
                </c:pt>
                <c:pt idx="136">
                  <c:v>-1.3968554930278396</c:v>
                </c:pt>
                <c:pt idx="137">
                  <c:v>-0.9954294836226848</c:v>
                </c:pt>
                <c:pt idx="138">
                  <c:v>-1.6080050066632279</c:v>
                </c:pt>
                <c:pt idx="139">
                  <c:v>-1.7936412100766026</c:v>
                </c:pt>
                <c:pt idx="140">
                  <c:v>-1.9051651632275441</c:v>
                </c:pt>
                <c:pt idx="141">
                  <c:v>0.49264996201482747</c:v>
                </c:pt>
                <c:pt idx="142">
                  <c:v>-0.99810489437573757</c:v>
                </c:pt>
                <c:pt idx="143">
                  <c:v>-1.1769742731950358E-2</c:v>
                </c:pt>
                <c:pt idx="144">
                  <c:v>-0.52215602157632768</c:v>
                </c:pt>
                <c:pt idx="145">
                  <c:v>3.9445795061209679</c:v>
                </c:pt>
                <c:pt idx="146">
                  <c:v>-1.1284268508175241</c:v>
                </c:pt>
                <c:pt idx="147">
                  <c:v>-6.5283791501094512</c:v>
                </c:pt>
                <c:pt idx="148">
                  <c:v>-4.3352322167761184</c:v>
                </c:pt>
                <c:pt idx="149">
                  <c:v>-6.5326504816876625</c:v>
                </c:pt>
                <c:pt idx="150">
                  <c:v>-7.6402351912432191</c:v>
                </c:pt>
                <c:pt idx="151">
                  <c:v>-7.227753152147093</c:v>
                </c:pt>
                <c:pt idx="152">
                  <c:v>-7.225010071386933</c:v>
                </c:pt>
                <c:pt idx="153">
                  <c:v>-6.9052332102974381</c:v>
                </c:pt>
                <c:pt idx="154">
                  <c:v>-9.3711654275716594</c:v>
                </c:pt>
                <c:pt idx="155">
                  <c:v>-5.5120720448916396</c:v>
                </c:pt>
                <c:pt idx="156">
                  <c:v>-7.8073859778046328</c:v>
                </c:pt>
                <c:pt idx="157">
                  <c:v>-3.4628054974756055</c:v>
                </c:pt>
                <c:pt idx="158">
                  <c:v>-7.6523583485725641</c:v>
                </c:pt>
                <c:pt idx="159">
                  <c:v>-7.6053592746595209</c:v>
                </c:pt>
                <c:pt idx="160">
                  <c:v>-7.5468921949867536</c:v>
                </c:pt>
                <c:pt idx="161">
                  <c:v>-9.2038788543985177</c:v>
                </c:pt>
                <c:pt idx="162">
                  <c:v>-12.835398489560941</c:v>
                </c:pt>
                <c:pt idx="163">
                  <c:v>-11.974563513281861</c:v>
                </c:pt>
                <c:pt idx="164">
                  <c:v>-7.1020999730724368</c:v>
                </c:pt>
                <c:pt idx="165">
                  <c:v>-5.9679737761881544</c:v>
                </c:pt>
                <c:pt idx="166">
                  <c:v>-7.5369708299645941</c:v>
                </c:pt>
                <c:pt idx="167">
                  <c:v>-8.2308762301819893</c:v>
                </c:pt>
                <c:pt idx="168">
                  <c:v>-13.23557337018199</c:v>
                </c:pt>
                <c:pt idx="169">
                  <c:v>-12.068087086301746</c:v>
                </c:pt>
                <c:pt idx="170">
                  <c:v>-7.624738241217754</c:v>
                </c:pt>
                <c:pt idx="171">
                  <c:v>-8.6201859506370351</c:v>
                </c:pt>
                <c:pt idx="172">
                  <c:v>-12.22416217713366</c:v>
                </c:pt>
                <c:pt idx="173">
                  <c:v>-4.721132510973284</c:v>
                </c:pt>
                <c:pt idx="174">
                  <c:v>-16.962651431069272</c:v>
                </c:pt>
                <c:pt idx="175">
                  <c:v>-19.159981194237588</c:v>
                </c:pt>
                <c:pt idx="176">
                  <c:v>-21.353713095395811</c:v>
                </c:pt>
                <c:pt idx="177">
                  <c:v>-22.364423365803976</c:v>
                </c:pt>
                <c:pt idx="178">
                  <c:v>-21.323071940803981</c:v>
                </c:pt>
                <c:pt idx="179">
                  <c:v>-23.707320932784455</c:v>
                </c:pt>
                <c:pt idx="180">
                  <c:v>-21.481545967084799</c:v>
                </c:pt>
                <c:pt idx="181">
                  <c:v>-19.077311601754314</c:v>
                </c:pt>
                <c:pt idx="182">
                  <c:v>-21.679123547991495</c:v>
                </c:pt>
                <c:pt idx="183">
                  <c:v>-25.248281388250398</c:v>
                </c:pt>
                <c:pt idx="184">
                  <c:v>-25.690371480165933</c:v>
                </c:pt>
                <c:pt idx="185">
                  <c:v>-28.059142066864723</c:v>
                </c:pt>
                <c:pt idx="186">
                  <c:v>-27.776333562162858</c:v>
                </c:pt>
                <c:pt idx="187">
                  <c:v>-29.492635537805825</c:v>
                </c:pt>
                <c:pt idx="188">
                  <c:v>-31.73960473189323</c:v>
                </c:pt>
                <c:pt idx="189">
                  <c:v>-33.125249960745691</c:v>
                </c:pt>
                <c:pt idx="190">
                  <c:v>-34.772701928392756</c:v>
                </c:pt>
                <c:pt idx="191">
                  <c:v>-38.788979176942561</c:v>
                </c:pt>
                <c:pt idx="192">
                  <c:v>-35.48892894843663</c:v>
                </c:pt>
                <c:pt idx="193">
                  <c:v>-30.206920647246889</c:v>
                </c:pt>
                <c:pt idx="194">
                  <c:v>-29.781451438855136</c:v>
                </c:pt>
                <c:pt idx="195">
                  <c:v>-30.878200910260098</c:v>
                </c:pt>
                <c:pt idx="196">
                  <c:v>-28.640143963631587</c:v>
                </c:pt>
                <c:pt idx="197">
                  <c:v>-27.043363231048524</c:v>
                </c:pt>
                <c:pt idx="198">
                  <c:v>-27.082115656399974</c:v>
                </c:pt>
                <c:pt idx="199">
                  <c:v>-26.996507368772345</c:v>
                </c:pt>
                <c:pt idx="200">
                  <c:v>-29.182073234118885</c:v>
                </c:pt>
                <c:pt idx="201">
                  <c:v>-30.32014446718448</c:v>
                </c:pt>
                <c:pt idx="202">
                  <c:v>-30.377549805257885</c:v>
                </c:pt>
                <c:pt idx="203">
                  <c:v>-33.19334883217968</c:v>
                </c:pt>
                <c:pt idx="204">
                  <c:v>-31.149748496289384</c:v>
                </c:pt>
                <c:pt idx="205">
                  <c:v>-28.094509910091944</c:v>
                </c:pt>
                <c:pt idx="206">
                  <c:v>-27.716887316417239</c:v>
                </c:pt>
                <c:pt idx="207">
                  <c:v>-29.003778407484905</c:v>
                </c:pt>
                <c:pt idx="208">
                  <c:v>-28.849844898025435</c:v>
                </c:pt>
                <c:pt idx="209">
                  <c:v>-32.67783730712852</c:v>
                </c:pt>
                <c:pt idx="210">
                  <c:v>-35.174063256659913</c:v>
                </c:pt>
                <c:pt idx="211">
                  <c:v>-40.068893259837921</c:v>
                </c:pt>
                <c:pt idx="212">
                  <c:v>-43.982189426864302</c:v>
                </c:pt>
                <c:pt idx="213">
                  <c:v>-42.829802954300646</c:v>
                </c:pt>
                <c:pt idx="214">
                  <c:v>-47.201556668646631</c:v>
                </c:pt>
                <c:pt idx="215">
                  <c:v>-49.548144094291793</c:v>
                </c:pt>
                <c:pt idx="216">
                  <c:v>-51.540164159769375</c:v>
                </c:pt>
                <c:pt idx="217">
                  <c:v>-49.647897834250458</c:v>
                </c:pt>
                <c:pt idx="218">
                  <c:v>-52.455431795692654</c:v>
                </c:pt>
                <c:pt idx="219">
                  <c:v>-53.488317671810542</c:v>
                </c:pt>
                <c:pt idx="220">
                  <c:v>-54.529656053672809</c:v>
                </c:pt>
                <c:pt idx="221">
                  <c:v>-45.57395299434652</c:v>
                </c:pt>
                <c:pt idx="222">
                  <c:v>-45.762146406377759</c:v>
                </c:pt>
                <c:pt idx="223">
                  <c:v>-41.216941100695053</c:v>
                </c:pt>
                <c:pt idx="224">
                  <c:v>-14.280485213453717</c:v>
                </c:pt>
                <c:pt idx="225">
                  <c:v>-13.312489151350333</c:v>
                </c:pt>
                <c:pt idx="226">
                  <c:v>-11.933240861668798</c:v>
                </c:pt>
                <c:pt idx="227">
                  <c:v>-11.615758028756529</c:v>
                </c:pt>
                <c:pt idx="228">
                  <c:v>-14.124374279594376</c:v>
                </c:pt>
                <c:pt idx="229">
                  <c:v>-18.70387238343584</c:v>
                </c:pt>
                <c:pt idx="230">
                  <c:v>-16.096314894292977</c:v>
                </c:pt>
                <c:pt idx="231">
                  <c:v>-10.55412319710716</c:v>
                </c:pt>
                <c:pt idx="232">
                  <c:v>-1.3522701889772828</c:v>
                </c:pt>
                <c:pt idx="233">
                  <c:v>-6.9861224202752106E-2</c:v>
                </c:pt>
                <c:pt idx="234">
                  <c:v>12.845873937212815</c:v>
                </c:pt>
                <c:pt idx="235">
                  <c:v>21.921630762267007</c:v>
                </c:pt>
                <c:pt idx="236">
                  <c:v>36.926846451148663</c:v>
                </c:pt>
                <c:pt idx="237">
                  <c:v>36.908560778935211</c:v>
                </c:pt>
                <c:pt idx="238">
                  <c:v>37.121447985875854</c:v>
                </c:pt>
                <c:pt idx="239">
                  <c:v>37.121447985875847</c:v>
                </c:pt>
                <c:pt idx="240">
                  <c:v>37.757466068922206</c:v>
                </c:pt>
                <c:pt idx="241">
                  <c:v>37.558356521880782</c:v>
                </c:pt>
                <c:pt idx="242">
                  <c:v>36.891738404466643</c:v>
                </c:pt>
                <c:pt idx="243">
                  <c:v>36.195818321397148</c:v>
                </c:pt>
                <c:pt idx="244">
                  <c:v>36.54605664623142</c:v>
                </c:pt>
                <c:pt idx="245">
                  <c:v>37.907199552485835</c:v>
                </c:pt>
                <c:pt idx="246">
                  <c:v>35.777446206295025</c:v>
                </c:pt>
                <c:pt idx="247">
                  <c:v>33.396366148181436</c:v>
                </c:pt>
                <c:pt idx="248">
                  <c:v>32.931521027479256</c:v>
                </c:pt>
                <c:pt idx="249">
                  <c:v>29.476318295315387</c:v>
                </c:pt>
                <c:pt idx="250">
                  <c:v>30.644191514928973</c:v>
                </c:pt>
                <c:pt idx="251">
                  <c:v>28.813348273678972</c:v>
                </c:pt>
                <c:pt idx="252">
                  <c:v>33.296966757667398</c:v>
                </c:pt>
                <c:pt idx="253">
                  <c:v>30.479184742105105</c:v>
                </c:pt>
                <c:pt idx="254">
                  <c:v>35.697297622273304</c:v>
                </c:pt>
                <c:pt idx="255">
                  <c:v>36.049143018487626</c:v>
                </c:pt>
                <c:pt idx="256">
                  <c:v>37.512929271151926</c:v>
                </c:pt>
                <c:pt idx="257">
                  <c:v>38.024918396465729</c:v>
                </c:pt>
                <c:pt idx="258">
                  <c:v>42.082543748519988</c:v>
                </c:pt>
                <c:pt idx="259">
                  <c:v>42.75412240804237</c:v>
                </c:pt>
                <c:pt idx="260">
                  <c:v>38.255056583384835</c:v>
                </c:pt>
                <c:pt idx="261">
                  <c:v>41.879853286986659</c:v>
                </c:pt>
                <c:pt idx="262">
                  <c:v>40.66317016321986</c:v>
                </c:pt>
                <c:pt idx="263">
                  <c:v>42.948515515949616</c:v>
                </c:pt>
                <c:pt idx="264">
                  <c:v>45.842150305623186</c:v>
                </c:pt>
                <c:pt idx="265">
                  <c:v>48.27997476607365</c:v>
                </c:pt>
                <c:pt idx="266">
                  <c:v>48.44688220211448</c:v>
                </c:pt>
                <c:pt idx="267">
                  <c:v>51.29998075704107</c:v>
                </c:pt>
                <c:pt idx="268">
                  <c:v>49.285020487446488</c:v>
                </c:pt>
                <c:pt idx="269">
                  <c:v>61.070484720074269</c:v>
                </c:pt>
                <c:pt idx="270">
                  <c:v>72.953389477293882</c:v>
                </c:pt>
                <c:pt idx="271">
                  <c:v>84.07694094815821</c:v>
                </c:pt>
                <c:pt idx="272">
                  <c:v>83.354100836537469</c:v>
                </c:pt>
                <c:pt idx="273">
                  <c:v>81.434028468870338</c:v>
                </c:pt>
                <c:pt idx="274">
                  <c:v>81.119118461779436</c:v>
                </c:pt>
                <c:pt idx="275">
                  <c:v>80.539955229930641</c:v>
                </c:pt>
                <c:pt idx="276">
                  <c:v>78.531911412605538</c:v>
                </c:pt>
                <c:pt idx="277">
                  <c:v>73.893702431792136</c:v>
                </c:pt>
                <c:pt idx="278">
                  <c:v>73.05289920597545</c:v>
                </c:pt>
                <c:pt idx="279">
                  <c:v>71.666623388529928</c:v>
                </c:pt>
                <c:pt idx="280">
                  <c:v>64.91326958785676</c:v>
                </c:pt>
                <c:pt idx="281">
                  <c:v>69.599629265352903</c:v>
                </c:pt>
                <c:pt idx="282">
                  <c:v>70.137116462460341</c:v>
                </c:pt>
                <c:pt idx="283">
                  <c:v>67.53203487980683</c:v>
                </c:pt>
                <c:pt idx="284">
                  <c:v>69.64291904718587</c:v>
                </c:pt>
                <c:pt idx="285">
                  <c:v>70.702175027994286</c:v>
                </c:pt>
                <c:pt idx="286">
                  <c:v>65.44809163385473</c:v>
                </c:pt>
                <c:pt idx="287">
                  <c:v>68.675604921502526</c:v>
                </c:pt>
                <c:pt idx="288">
                  <c:v>66.669565200856724</c:v>
                </c:pt>
                <c:pt idx="289">
                  <c:v>69.140594458188431</c:v>
                </c:pt>
                <c:pt idx="290">
                  <c:v>68.886375697305539</c:v>
                </c:pt>
                <c:pt idx="291">
                  <c:v>70.529994672953151</c:v>
                </c:pt>
                <c:pt idx="292">
                  <c:v>69.607906654951947</c:v>
                </c:pt>
                <c:pt idx="293">
                  <c:v>70.695400171310979</c:v>
                </c:pt>
                <c:pt idx="294">
                  <c:v>68.050834534531518</c:v>
                </c:pt>
                <c:pt idx="295">
                  <c:v>63.013690896441183</c:v>
                </c:pt>
                <c:pt idx="296">
                  <c:v>67.4915086913457</c:v>
                </c:pt>
                <c:pt idx="297">
                  <c:v>68.474369048473875</c:v>
                </c:pt>
                <c:pt idx="298">
                  <c:v>74.140879350347504</c:v>
                </c:pt>
                <c:pt idx="299">
                  <c:v>68.363727452029465</c:v>
                </c:pt>
                <c:pt idx="300">
                  <c:v>75.306742855986485</c:v>
                </c:pt>
                <c:pt idx="301">
                  <c:v>68.77938890888646</c:v>
                </c:pt>
                <c:pt idx="302">
                  <c:v>66.885570332382173</c:v>
                </c:pt>
                <c:pt idx="303">
                  <c:v>64.999799893231824</c:v>
                </c:pt>
                <c:pt idx="304">
                  <c:v>64.748798103228324</c:v>
                </c:pt>
                <c:pt idx="305">
                  <c:v>63.015963938052614</c:v>
                </c:pt>
                <c:pt idx="306">
                  <c:v>61.44166684235509</c:v>
                </c:pt>
                <c:pt idx="307">
                  <c:v>60.125620358715281</c:v>
                </c:pt>
                <c:pt idx="308">
                  <c:v>57.295241713619113</c:v>
                </c:pt>
                <c:pt idx="309">
                  <c:v>55.594687517442523</c:v>
                </c:pt>
                <c:pt idx="310">
                  <c:v>58.597126069229923</c:v>
                </c:pt>
                <c:pt idx="311">
                  <c:v>60.480235535417791</c:v>
                </c:pt>
                <c:pt idx="312">
                  <c:v>66.405121272521839</c:v>
                </c:pt>
                <c:pt idx="313">
                  <c:v>59.434162399611559</c:v>
                </c:pt>
                <c:pt idx="314">
                  <c:v>77.418864072083394</c:v>
                </c:pt>
                <c:pt idx="315">
                  <c:v>72.129809846067545</c:v>
                </c:pt>
                <c:pt idx="316">
                  <c:v>72.023810393837323</c:v>
                </c:pt>
                <c:pt idx="317">
                  <c:v>68.818762853307092</c:v>
                </c:pt>
                <c:pt idx="318">
                  <c:v>60.961153709036715</c:v>
                </c:pt>
                <c:pt idx="319">
                  <c:v>55.095550944496992</c:v>
                </c:pt>
                <c:pt idx="320">
                  <c:v>57.764555371057149</c:v>
                </c:pt>
                <c:pt idx="321">
                  <c:v>53.566965974652106</c:v>
                </c:pt>
                <c:pt idx="322">
                  <c:v>51.25882881621461</c:v>
                </c:pt>
                <c:pt idx="323">
                  <c:v>48.621031681801206</c:v>
                </c:pt>
                <c:pt idx="324">
                  <c:v>49.300492719332631</c:v>
                </c:pt>
                <c:pt idx="325">
                  <c:v>47.080752669464488</c:v>
                </c:pt>
                <c:pt idx="326">
                  <c:v>44.237463741310656</c:v>
                </c:pt>
                <c:pt idx="327">
                  <c:v>40.99832289993661</c:v>
                </c:pt>
                <c:pt idx="328">
                  <c:v>39.320794945191309</c:v>
                </c:pt>
                <c:pt idx="329">
                  <c:v>36.892608747629033</c:v>
                </c:pt>
                <c:pt idx="330">
                  <c:v>36.752215223724562</c:v>
                </c:pt>
                <c:pt idx="331">
                  <c:v>35.587089061490389</c:v>
                </c:pt>
                <c:pt idx="332">
                  <c:v>33.731215850106139</c:v>
                </c:pt>
                <c:pt idx="333">
                  <c:v>28.809193049816709</c:v>
                </c:pt>
                <c:pt idx="334">
                  <c:v>30.015125636596363</c:v>
                </c:pt>
                <c:pt idx="335">
                  <c:v>29.776828238582755</c:v>
                </c:pt>
                <c:pt idx="336">
                  <c:v>28.09001078166829</c:v>
                </c:pt>
                <c:pt idx="337">
                  <c:v>41.447500103538673</c:v>
                </c:pt>
                <c:pt idx="338">
                  <c:v>38.918482926270819</c:v>
                </c:pt>
                <c:pt idx="339">
                  <c:v>40.369527633733433</c:v>
                </c:pt>
                <c:pt idx="340">
                  <c:v>38.131790703158217</c:v>
                </c:pt>
                <c:pt idx="341">
                  <c:v>36.140836134373913</c:v>
                </c:pt>
                <c:pt idx="342">
                  <c:v>40.289244848297969</c:v>
                </c:pt>
                <c:pt idx="343">
                  <c:v>37.689659678728269</c:v>
                </c:pt>
                <c:pt idx="344">
                  <c:v>26.007515793118507</c:v>
                </c:pt>
                <c:pt idx="345">
                  <c:v>44.821139832119592</c:v>
                </c:pt>
                <c:pt idx="346">
                  <c:v>40.882935177119599</c:v>
                </c:pt>
                <c:pt idx="347">
                  <c:v>39.833406085303068</c:v>
                </c:pt>
                <c:pt idx="348">
                  <c:v>40.748919273444237</c:v>
                </c:pt>
                <c:pt idx="349">
                  <c:v>39.845521164090016</c:v>
                </c:pt>
                <c:pt idx="350">
                  <c:v>35.928592714315926</c:v>
                </c:pt>
                <c:pt idx="351">
                  <c:v>32.320818835509442</c:v>
                </c:pt>
                <c:pt idx="352">
                  <c:v>32.833290417685909</c:v>
                </c:pt>
                <c:pt idx="353">
                  <c:v>30.052538284451472</c:v>
                </c:pt>
                <c:pt idx="354">
                  <c:v>31.471979280429458</c:v>
                </c:pt>
                <c:pt idx="355">
                  <c:v>29.441096598209498</c:v>
                </c:pt>
                <c:pt idx="356">
                  <c:v>30.525662844796106</c:v>
                </c:pt>
                <c:pt idx="357">
                  <c:v>16.896985648600946</c:v>
                </c:pt>
                <c:pt idx="358">
                  <c:v>-3.6066751439031104</c:v>
                </c:pt>
                <c:pt idx="359">
                  <c:v>4.129901049541405</c:v>
                </c:pt>
                <c:pt idx="360">
                  <c:v>2.833548286350918</c:v>
                </c:pt>
                <c:pt idx="361">
                  <c:v>4.0929826691495261</c:v>
                </c:pt>
                <c:pt idx="362">
                  <c:v>6.4040232046715007</c:v>
                </c:pt>
                <c:pt idx="363">
                  <c:v>12.485191045561553</c:v>
                </c:pt>
                <c:pt idx="364">
                  <c:v>12.733831707531733</c:v>
                </c:pt>
                <c:pt idx="365">
                  <c:v>6.267621087214029</c:v>
                </c:pt>
                <c:pt idx="366">
                  <c:v>2.8451320256870583</c:v>
                </c:pt>
                <c:pt idx="367">
                  <c:v>-1.6876448208435464</c:v>
                </c:pt>
                <c:pt idx="368">
                  <c:v>2.8306759661050118</c:v>
                </c:pt>
                <c:pt idx="369">
                  <c:v>0.84567138192421565</c:v>
                </c:pt>
                <c:pt idx="370">
                  <c:v>-0.37512103346039799</c:v>
                </c:pt>
                <c:pt idx="371">
                  <c:v>-2.8487562720100161</c:v>
                </c:pt>
                <c:pt idx="372">
                  <c:v>0.37359134865761778</c:v>
                </c:pt>
                <c:pt idx="373">
                  <c:v>0.94353429124522448</c:v>
                </c:pt>
                <c:pt idx="374">
                  <c:v>15.432055364895142</c:v>
                </c:pt>
                <c:pt idx="375">
                  <c:v>11.172953751679282</c:v>
                </c:pt>
                <c:pt idx="376">
                  <c:v>10.926447344151855</c:v>
                </c:pt>
                <c:pt idx="377">
                  <c:v>12.895730564270549</c:v>
                </c:pt>
                <c:pt idx="378">
                  <c:v>9.5717577071276914</c:v>
                </c:pt>
                <c:pt idx="379">
                  <c:v>8.2421599295276913</c:v>
                </c:pt>
                <c:pt idx="380">
                  <c:v>7.4357706617428834</c:v>
                </c:pt>
                <c:pt idx="381">
                  <c:v>6.9711112371028836</c:v>
                </c:pt>
                <c:pt idx="382">
                  <c:v>7.2801871980245396</c:v>
                </c:pt>
                <c:pt idx="383">
                  <c:v>8.5909447872380227</c:v>
                </c:pt>
                <c:pt idx="384">
                  <c:v>9.2830041378802228</c:v>
                </c:pt>
                <c:pt idx="385">
                  <c:v>8.3426624099508082</c:v>
                </c:pt>
                <c:pt idx="386">
                  <c:v>8.1819370816489236</c:v>
                </c:pt>
                <c:pt idx="387">
                  <c:v>5.8081434454103933</c:v>
                </c:pt>
                <c:pt idx="388">
                  <c:v>4.0144627431952076</c:v>
                </c:pt>
                <c:pt idx="389">
                  <c:v>5.9947136852552907</c:v>
                </c:pt>
                <c:pt idx="390">
                  <c:v>6.1690391516210843</c:v>
                </c:pt>
                <c:pt idx="391">
                  <c:v>6.448703172390311</c:v>
                </c:pt>
                <c:pt idx="392">
                  <c:v>5.8830956776696945</c:v>
                </c:pt>
                <c:pt idx="393">
                  <c:v>4.8124242282946916</c:v>
                </c:pt>
                <c:pt idx="394">
                  <c:v>4.8014213873034324</c:v>
                </c:pt>
                <c:pt idx="395">
                  <c:v>4.6330075491144536</c:v>
                </c:pt>
                <c:pt idx="396">
                  <c:v>4.0992082433133481</c:v>
                </c:pt>
                <c:pt idx="397">
                  <c:v>5.2853626619214138</c:v>
                </c:pt>
                <c:pt idx="398">
                  <c:v>5.0364551759676557</c:v>
                </c:pt>
                <c:pt idx="399">
                  <c:v>5.1600014990896108</c:v>
                </c:pt>
                <c:pt idx="400">
                  <c:v>4.1355334468137475</c:v>
                </c:pt>
                <c:pt idx="401">
                  <c:v>5.451986921069623</c:v>
                </c:pt>
                <c:pt idx="402">
                  <c:v>5.4519869210696266</c:v>
                </c:pt>
                <c:pt idx="403">
                  <c:v>5.3886888835140745</c:v>
                </c:pt>
                <c:pt idx="404">
                  <c:v>8.2181618391180304</c:v>
                </c:pt>
                <c:pt idx="405">
                  <c:v>3.8299139923645868</c:v>
                </c:pt>
                <c:pt idx="406">
                  <c:v>3.4804955585592769</c:v>
                </c:pt>
                <c:pt idx="407">
                  <c:v>5.4578955777705511</c:v>
                </c:pt>
                <c:pt idx="408">
                  <c:v>4.6515927765675453</c:v>
                </c:pt>
                <c:pt idx="409">
                  <c:v>4.0208203687897637</c:v>
                </c:pt>
                <c:pt idx="410">
                  <c:v>3.2106249954564285</c:v>
                </c:pt>
                <c:pt idx="411">
                  <c:v>2.9143603875494559</c:v>
                </c:pt>
                <c:pt idx="412">
                  <c:v>2.3277921594672684</c:v>
                </c:pt>
                <c:pt idx="413">
                  <c:v>3.3433688376000479</c:v>
                </c:pt>
                <c:pt idx="414">
                  <c:v>3.9483811196000458</c:v>
                </c:pt>
                <c:pt idx="415">
                  <c:v>2.655834029339827</c:v>
                </c:pt>
                <c:pt idx="416">
                  <c:v>4.8725907279444725</c:v>
                </c:pt>
                <c:pt idx="417">
                  <c:v>4.2298075568685265</c:v>
                </c:pt>
                <c:pt idx="418">
                  <c:v>4.6541004369469539</c:v>
                </c:pt>
                <c:pt idx="419">
                  <c:v>0.94600477962074581</c:v>
                </c:pt>
                <c:pt idx="420">
                  <c:v>3.9135968677563393</c:v>
                </c:pt>
                <c:pt idx="421">
                  <c:v>4.1772344365623102</c:v>
                </c:pt>
                <c:pt idx="422">
                  <c:v>0.21446199068444372</c:v>
                </c:pt>
                <c:pt idx="423">
                  <c:v>5.6828575418146876</c:v>
                </c:pt>
                <c:pt idx="424">
                  <c:v>4.2466539018146872</c:v>
                </c:pt>
                <c:pt idx="425">
                  <c:v>3.7468144084813555</c:v>
                </c:pt>
                <c:pt idx="426">
                  <c:v>2.6430300516392511</c:v>
                </c:pt>
                <c:pt idx="427">
                  <c:v>3.6851744775216058</c:v>
                </c:pt>
                <c:pt idx="428">
                  <c:v>5.7186817114224651</c:v>
                </c:pt>
                <c:pt idx="429">
                  <c:v>3.1872422828510381</c:v>
                </c:pt>
                <c:pt idx="430">
                  <c:v>0.35120301809493853</c:v>
                </c:pt>
                <c:pt idx="431">
                  <c:v>0.89567814763866216</c:v>
                </c:pt>
                <c:pt idx="432">
                  <c:v>1.717665848510334</c:v>
                </c:pt>
                <c:pt idx="433">
                  <c:v>-0.77876357118663375</c:v>
                </c:pt>
                <c:pt idx="434">
                  <c:v>-1.2695764203061257</c:v>
                </c:pt>
                <c:pt idx="435">
                  <c:v>-1.3879238836864101</c:v>
                </c:pt>
                <c:pt idx="436">
                  <c:v>-0.624086675216456</c:v>
                </c:pt>
                <c:pt idx="437">
                  <c:v>0.40885164288169856</c:v>
                </c:pt>
                <c:pt idx="438">
                  <c:v>0.49024491227300393</c:v>
                </c:pt>
                <c:pt idx="439">
                  <c:v>1.4995045176063346</c:v>
                </c:pt>
                <c:pt idx="440">
                  <c:v>3.7296647630885698</c:v>
                </c:pt>
                <c:pt idx="441">
                  <c:v>2.0088386747212206</c:v>
                </c:pt>
                <c:pt idx="442">
                  <c:v>3.1775931926593706</c:v>
                </c:pt>
                <c:pt idx="443">
                  <c:v>9.2719029564982982</c:v>
                </c:pt>
                <c:pt idx="444">
                  <c:v>7.1872921358633794</c:v>
                </c:pt>
                <c:pt idx="445">
                  <c:v>3.5930845260238087</c:v>
                </c:pt>
                <c:pt idx="446">
                  <c:v>0.91270949641597265</c:v>
                </c:pt>
                <c:pt idx="447">
                  <c:v>3.2174388772439979</c:v>
                </c:pt>
                <c:pt idx="448">
                  <c:v>1.0405445121773338</c:v>
                </c:pt>
                <c:pt idx="449">
                  <c:v>-8.7199127247124905E-2</c:v>
                </c:pt>
                <c:pt idx="450">
                  <c:v>0.88923781150287651</c:v>
                </c:pt>
                <c:pt idx="451">
                  <c:v>1.1601238344536973</c:v>
                </c:pt>
                <c:pt idx="452">
                  <c:v>1.565664635966302</c:v>
                </c:pt>
                <c:pt idx="453">
                  <c:v>1.1291539923492795</c:v>
                </c:pt>
                <c:pt idx="454">
                  <c:v>1.5833437812854472</c:v>
                </c:pt>
                <c:pt idx="455">
                  <c:v>1.993273040870353</c:v>
                </c:pt>
                <c:pt idx="456">
                  <c:v>2.0986341627384872</c:v>
                </c:pt>
                <c:pt idx="457">
                  <c:v>3.2786069094051524</c:v>
                </c:pt>
                <c:pt idx="458">
                  <c:v>2.1761215917515262</c:v>
                </c:pt>
                <c:pt idx="459">
                  <c:v>5.3156349825486293</c:v>
                </c:pt>
                <c:pt idx="460">
                  <c:v>5.4736260777210477</c:v>
                </c:pt>
                <c:pt idx="461">
                  <c:v>9.3984979672486091</c:v>
                </c:pt>
                <c:pt idx="462">
                  <c:v>8.8155749375625021</c:v>
                </c:pt>
                <c:pt idx="463">
                  <c:v>7.1616056096926792</c:v>
                </c:pt>
                <c:pt idx="464">
                  <c:v>8.4876860430260095</c:v>
                </c:pt>
                <c:pt idx="465">
                  <c:v>16.674109686702831</c:v>
                </c:pt>
                <c:pt idx="466">
                  <c:v>16.631740190389703</c:v>
                </c:pt>
                <c:pt idx="467">
                  <c:v>16.710470824389702</c:v>
                </c:pt>
                <c:pt idx="468">
                  <c:v>16.920284929795113</c:v>
                </c:pt>
                <c:pt idx="469">
                  <c:v>16.863257928256651</c:v>
                </c:pt>
                <c:pt idx="470">
                  <c:v>16.910741762299207</c:v>
                </c:pt>
                <c:pt idx="471">
                  <c:v>17.132240316078732</c:v>
                </c:pt>
                <c:pt idx="472">
                  <c:v>17.834050276882753</c:v>
                </c:pt>
                <c:pt idx="473">
                  <c:v>16.333789343065956</c:v>
                </c:pt>
                <c:pt idx="474">
                  <c:v>14.897724483065957</c:v>
                </c:pt>
                <c:pt idx="475">
                  <c:v>29.137687768780239</c:v>
                </c:pt>
                <c:pt idx="476">
                  <c:v>27.447608155146963</c:v>
                </c:pt>
                <c:pt idx="477">
                  <c:v>27.56486273864094</c:v>
                </c:pt>
                <c:pt idx="478">
                  <c:v>27.404819358963518</c:v>
                </c:pt>
                <c:pt idx="479">
                  <c:v>27.583454706520772</c:v>
                </c:pt>
                <c:pt idx="480">
                  <c:v>27.539755697429861</c:v>
                </c:pt>
                <c:pt idx="481">
                  <c:v>27.381796004096532</c:v>
                </c:pt>
                <c:pt idx="482">
                  <c:v>27.23827675821418</c:v>
                </c:pt>
                <c:pt idx="483">
                  <c:v>27.592623298214178</c:v>
                </c:pt>
                <c:pt idx="484">
                  <c:v>27.701853275499893</c:v>
                </c:pt>
                <c:pt idx="485">
                  <c:v>27.894230459837246</c:v>
                </c:pt>
                <c:pt idx="486">
                  <c:v>27.263370494664834</c:v>
                </c:pt>
                <c:pt idx="487">
                  <c:v>27.183893094039831</c:v>
                </c:pt>
                <c:pt idx="488">
                  <c:v>27.063301350100435</c:v>
                </c:pt>
                <c:pt idx="489">
                  <c:v>26.9897459216389</c:v>
                </c:pt>
                <c:pt idx="490">
                  <c:v>25.659477313177362</c:v>
                </c:pt>
                <c:pt idx="491">
                  <c:v>24.4054563608486</c:v>
                </c:pt>
                <c:pt idx="492">
                  <c:v>25.701905067190062</c:v>
                </c:pt>
                <c:pt idx="493">
                  <c:v>25.412652433571644</c:v>
                </c:pt>
                <c:pt idx="494">
                  <c:v>26.921848356248042</c:v>
                </c:pt>
                <c:pt idx="495">
                  <c:v>27.112426871520771</c:v>
                </c:pt>
                <c:pt idx="496">
                  <c:v>27.262024839213073</c:v>
                </c:pt>
                <c:pt idx="497">
                  <c:v>28.066004579213075</c:v>
                </c:pt>
                <c:pt idx="498">
                  <c:v>29.133911130463073</c:v>
                </c:pt>
                <c:pt idx="499">
                  <c:v>30.154857400352572</c:v>
                </c:pt>
                <c:pt idx="500">
                  <c:v>31.331871355615732</c:v>
                </c:pt>
                <c:pt idx="501">
                  <c:v>30.972239929007035</c:v>
                </c:pt>
                <c:pt idx="502">
                  <c:v>31.589250955055423</c:v>
                </c:pt>
                <c:pt idx="503">
                  <c:v>34.419941242198277</c:v>
                </c:pt>
                <c:pt idx="504">
                  <c:v>32.536772005591139</c:v>
                </c:pt>
                <c:pt idx="505">
                  <c:v>31.756765523204042</c:v>
                </c:pt>
                <c:pt idx="506">
                  <c:v>30.359549137370706</c:v>
                </c:pt>
                <c:pt idx="507">
                  <c:v>30.610094048413174</c:v>
                </c:pt>
                <c:pt idx="508">
                  <c:v>29.936606871731861</c:v>
                </c:pt>
                <c:pt idx="509">
                  <c:v>29.396420760764112</c:v>
                </c:pt>
                <c:pt idx="510">
                  <c:v>30.526364119214819</c:v>
                </c:pt>
                <c:pt idx="511">
                  <c:v>29.078464827823513</c:v>
                </c:pt>
                <c:pt idx="512">
                  <c:v>31.655829440103147</c:v>
                </c:pt>
                <c:pt idx="513">
                  <c:v>32.190612841155783</c:v>
                </c:pt>
                <c:pt idx="514">
                  <c:v>34.731894961155781</c:v>
                </c:pt>
                <c:pt idx="515">
                  <c:v>37.597251099705396</c:v>
                </c:pt>
                <c:pt idx="516">
                  <c:v>37.050284663551544</c:v>
                </c:pt>
                <c:pt idx="517">
                  <c:v>36.297141829638505</c:v>
                </c:pt>
                <c:pt idx="518">
                  <c:v>34.506242333938751</c:v>
                </c:pt>
                <c:pt idx="519">
                  <c:v>40.896174565197335</c:v>
                </c:pt>
                <c:pt idx="520">
                  <c:v>38.334140519476414</c:v>
                </c:pt>
                <c:pt idx="521">
                  <c:v>39.263658598182303</c:v>
                </c:pt>
                <c:pt idx="522">
                  <c:v>38.59982480008707</c:v>
                </c:pt>
                <c:pt idx="523">
                  <c:v>39.095563898520808</c:v>
                </c:pt>
                <c:pt idx="524">
                  <c:v>37.419608299186073</c:v>
                </c:pt>
                <c:pt idx="525">
                  <c:v>41.458284639305845</c:v>
                </c:pt>
                <c:pt idx="526">
                  <c:v>39.474740553795641</c:v>
                </c:pt>
                <c:pt idx="527">
                  <c:v>40.981237123795637</c:v>
                </c:pt>
                <c:pt idx="528">
                  <c:v>40.642553544383873</c:v>
                </c:pt>
                <c:pt idx="529">
                  <c:v>43.482642102555921</c:v>
                </c:pt>
                <c:pt idx="530">
                  <c:v>43.108498888336747</c:v>
                </c:pt>
                <c:pt idx="531">
                  <c:v>41.997701360700383</c:v>
                </c:pt>
                <c:pt idx="532">
                  <c:v>43.114593676928457</c:v>
                </c:pt>
                <c:pt idx="533">
                  <c:v>44.800012901136114</c:v>
                </c:pt>
                <c:pt idx="534">
                  <c:v>37.879757723802776</c:v>
                </c:pt>
                <c:pt idx="535">
                  <c:v>48.044061392495585</c:v>
                </c:pt>
                <c:pt idx="536">
                  <c:v>29.603014010245264</c:v>
                </c:pt>
                <c:pt idx="537">
                  <c:v>19.548787827605452</c:v>
                </c:pt>
                <c:pt idx="538">
                  <c:v>17.522787530171811</c:v>
                </c:pt>
                <c:pt idx="539">
                  <c:v>16.631496850996566</c:v>
                </c:pt>
                <c:pt idx="540">
                  <c:v>15.225354363153427</c:v>
                </c:pt>
                <c:pt idx="541">
                  <c:v>15.462160047457221</c:v>
                </c:pt>
                <c:pt idx="542">
                  <c:v>15.642440004380298</c:v>
                </c:pt>
                <c:pt idx="543">
                  <c:v>15.03299554146639</c:v>
                </c:pt>
                <c:pt idx="544">
                  <c:v>15.288733938092895</c:v>
                </c:pt>
                <c:pt idx="545">
                  <c:v>15.224511583390191</c:v>
                </c:pt>
                <c:pt idx="546">
                  <c:v>17.603388670836075</c:v>
                </c:pt>
                <c:pt idx="547">
                  <c:v>18.733573082264652</c:v>
                </c:pt>
                <c:pt idx="548">
                  <c:v>20.966889760836079</c:v>
                </c:pt>
                <c:pt idx="549">
                  <c:v>19.355303082675171</c:v>
                </c:pt>
                <c:pt idx="550">
                  <c:v>22.483132904357415</c:v>
                </c:pt>
                <c:pt idx="551">
                  <c:v>22.959738840497764</c:v>
                </c:pt>
                <c:pt idx="552">
                  <c:v>23.00028323894761</c:v>
                </c:pt>
                <c:pt idx="553">
                  <c:v>24.678743788947607</c:v>
                </c:pt>
                <c:pt idx="554">
                  <c:v>27.777521892230627</c:v>
                </c:pt>
                <c:pt idx="555">
                  <c:v>27.028235002665408</c:v>
                </c:pt>
                <c:pt idx="556">
                  <c:v>27.63220958015776</c:v>
                </c:pt>
                <c:pt idx="557">
                  <c:v>42.680202478638158</c:v>
                </c:pt>
                <c:pt idx="558">
                  <c:v>28.518191031255324</c:v>
                </c:pt>
                <c:pt idx="559">
                  <c:v>24.804085719178648</c:v>
                </c:pt>
                <c:pt idx="560">
                  <c:v>23.583247707618348</c:v>
                </c:pt>
                <c:pt idx="561">
                  <c:v>26.060864544266405</c:v>
                </c:pt>
                <c:pt idx="562">
                  <c:v>23.579878444236552</c:v>
                </c:pt>
                <c:pt idx="563">
                  <c:v>20.753888943351598</c:v>
                </c:pt>
                <c:pt idx="564">
                  <c:v>21.849778826577399</c:v>
                </c:pt>
                <c:pt idx="565">
                  <c:v>21.630578314759223</c:v>
                </c:pt>
                <c:pt idx="566">
                  <c:v>21.77335692742589</c:v>
                </c:pt>
                <c:pt idx="567">
                  <c:v>19.883313644845238</c:v>
                </c:pt>
                <c:pt idx="568">
                  <c:v>19.752368136273812</c:v>
                </c:pt>
                <c:pt idx="569">
                  <c:v>18.7053051924382</c:v>
                </c:pt>
                <c:pt idx="570">
                  <c:v>18.567713385563199</c:v>
                </c:pt>
                <c:pt idx="571">
                  <c:v>18.320719728420343</c:v>
                </c:pt>
                <c:pt idx="572">
                  <c:v>18.442182112420344</c:v>
                </c:pt>
                <c:pt idx="573">
                  <c:v>18.719370784335236</c:v>
                </c:pt>
                <c:pt idx="574">
                  <c:v>18.657278543314824</c:v>
                </c:pt>
                <c:pt idx="575">
                  <c:v>19.320130597420089</c:v>
                </c:pt>
                <c:pt idx="576">
                  <c:v>17.677892597420087</c:v>
                </c:pt>
                <c:pt idx="577">
                  <c:v>14.306341950429804</c:v>
                </c:pt>
                <c:pt idx="578">
                  <c:v>13.389076480429805</c:v>
                </c:pt>
                <c:pt idx="579">
                  <c:v>12.826873912810758</c:v>
                </c:pt>
                <c:pt idx="580">
                  <c:v>13.276889662810758</c:v>
                </c:pt>
                <c:pt idx="581">
                  <c:v>14.075912479693876</c:v>
                </c:pt>
                <c:pt idx="582">
                  <c:v>14.772888220021741</c:v>
                </c:pt>
                <c:pt idx="583">
                  <c:v>16.35133205113285</c:v>
                </c:pt>
                <c:pt idx="584">
                  <c:v>16.937787823632853</c:v>
                </c:pt>
                <c:pt idx="585">
                  <c:v>17.224220666489995</c:v>
                </c:pt>
                <c:pt idx="586">
                  <c:v>18.017767066489995</c:v>
                </c:pt>
                <c:pt idx="587">
                  <c:v>17.527761926489998</c:v>
                </c:pt>
                <c:pt idx="588">
                  <c:v>18.317939240489999</c:v>
                </c:pt>
                <c:pt idx="589">
                  <c:v>16.820778133786092</c:v>
                </c:pt>
                <c:pt idx="590">
                  <c:v>16.21743453751743</c:v>
                </c:pt>
                <c:pt idx="591">
                  <c:v>17.440533351153796</c:v>
                </c:pt>
                <c:pt idx="592">
                  <c:v>16.655306268681883</c:v>
                </c:pt>
                <c:pt idx="593">
                  <c:v>20.701231340814584</c:v>
                </c:pt>
                <c:pt idx="594">
                  <c:v>6.7846282543678775</c:v>
                </c:pt>
                <c:pt idx="595">
                  <c:v>5.7552655511593214</c:v>
                </c:pt>
                <c:pt idx="596">
                  <c:v>7.8663510011593205</c:v>
                </c:pt>
                <c:pt idx="597">
                  <c:v>7.3547338056754503</c:v>
                </c:pt>
                <c:pt idx="598">
                  <c:v>7.2137998667865597</c:v>
                </c:pt>
                <c:pt idx="599">
                  <c:v>7.061065022342115</c:v>
                </c:pt>
                <c:pt idx="600">
                  <c:v>6.299089671202875</c:v>
                </c:pt>
                <c:pt idx="601">
                  <c:v>6.2766873069171636</c:v>
                </c:pt>
                <c:pt idx="602">
                  <c:v>6.8243489539171627</c:v>
                </c:pt>
                <c:pt idx="603">
                  <c:v>3.2389516787952113</c:v>
                </c:pt>
                <c:pt idx="604">
                  <c:v>2.0489467069952112</c:v>
                </c:pt>
                <c:pt idx="605">
                  <c:v>3.1296515777269174</c:v>
                </c:pt>
                <c:pt idx="606">
                  <c:v>1.9308546411837082</c:v>
                </c:pt>
                <c:pt idx="607">
                  <c:v>3.171325173357626</c:v>
                </c:pt>
                <c:pt idx="608">
                  <c:v>0.75592406297300785</c:v>
                </c:pt>
                <c:pt idx="609">
                  <c:v>0.18041352652139186</c:v>
                </c:pt>
                <c:pt idx="610">
                  <c:v>-1.5648659814786079</c:v>
                </c:pt>
                <c:pt idx="611">
                  <c:v>-0.12228757054527432</c:v>
                </c:pt>
                <c:pt idx="612">
                  <c:v>-1.514620844237581</c:v>
                </c:pt>
                <c:pt idx="613">
                  <c:v>-4.3605770351466706</c:v>
                </c:pt>
                <c:pt idx="614">
                  <c:v>-3.7312432829727586</c:v>
                </c:pt>
                <c:pt idx="615">
                  <c:v>-3.782519175386553</c:v>
                </c:pt>
                <c:pt idx="616">
                  <c:v>-4.6148014468151271</c:v>
                </c:pt>
                <c:pt idx="617">
                  <c:v>-6.2460202792475616</c:v>
                </c:pt>
                <c:pt idx="618">
                  <c:v>-5.9913474459142284</c:v>
                </c:pt>
                <c:pt idx="619">
                  <c:v>-6.1575543916285129</c:v>
                </c:pt>
                <c:pt idx="620">
                  <c:v>-7.382512570199939</c:v>
                </c:pt>
                <c:pt idx="621">
                  <c:v>-7.3285818711999404</c:v>
                </c:pt>
                <c:pt idx="622">
                  <c:v>-7.6544930331047043</c:v>
                </c:pt>
                <c:pt idx="623">
                  <c:v>-7.2243199611047091</c:v>
                </c:pt>
                <c:pt idx="624">
                  <c:v>-7.8283648831047143</c:v>
                </c:pt>
                <c:pt idx="625">
                  <c:v>-7.7345488376501716</c:v>
                </c:pt>
                <c:pt idx="626">
                  <c:v>-8.0433855509835066</c:v>
                </c:pt>
                <c:pt idx="627">
                  <c:v>-8.2084477224120764</c:v>
                </c:pt>
                <c:pt idx="628">
                  <c:v>-7.2802849446098774</c:v>
                </c:pt>
                <c:pt idx="629">
                  <c:v>-6.490583669409876</c:v>
                </c:pt>
                <c:pt idx="630">
                  <c:v>-8.5602047875707932</c:v>
                </c:pt>
                <c:pt idx="631">
                  <c:v>-9.1112466575707955</c:v>
                </c:pt>
                <c:pt idx="632">
                  <c:v>-8.5370355675707934</c:v>
                </c:pt>
                <c:pt idx="633">
                  <c:v>-8.6490325897930127</c:v>
                </c:pt>
                <c:pt idx="634">
                  <c:v>-9.4722495958307533</c:v>
                </c:pt>
                <c:pt idx="635">
                  <c:v>-5.9337740278307507</c:v>
                </c:pt>
                <c:pt idx="636">
                  <c:v>-0.23010893239596381</c:v>
                </c:pt>
                <c:pt idx="637">
                  <c:v>-0.78770439976438744</c:v>
                </c:pt>
                <c:pt idx="638">
                  <c:v>-0.96131888787759245</c:v>
                </c:pt>
                <c:pt idx="639">
                  <c:v>-1.6608481094992145</c:v>
                </c:pt>
                <c:pt idx="640">
                  <c:v>-1.6936058721307938</c:v>
                </c:pt>
                <c:pt idx="641">
                  <c:v>-1.9250783431652763</c:v>
                </c:pt>
                <c:pt idx="642">
                  <c:v>-2.2372817731652765</c:v>
                </c:pt>
                <c:pt idx="643">
                  <c:v>-2.3197330917367074</c:v>
                </c:pt>
                <c:pt idx="644">
                  <c:v>-2.5554925117367095</c:v>
                </c:pt>
                <c:pt idx="645">
                  <c:v>-3.6550592469433201</c:v>
                </c:pt>
                <c:pt idx="646">
                  <c:v>-3.7863729252041898</c:v>
                </c:pt>
                <c:pt idx="647">
                  <c:v>-3.860590854334625</c:v>
                </c:pt>
                <c:pt idx="648">
                  <c:v>-3.427918244334625</c:v>
                </c:pt>
                <c:pt idx="649">
                  <c:v>-3.0847963143346253</c:v>
                </c:pt>
                <c:pt idx="650">
                  <c:v>-3.5639035643346273</c:v>
                </c:pt>
                <c:pt idx="651">
                  <c:v>-3.8443962191733352</c:v>
                </c:pt>
                <c:pt idx="652">
                  <c:v>-4.3890829048876201</c:v>
                </c:pt>
                <c:pt idx="653">
                  <c:v>-4.2608128148876201</c:v>
                </c:pt>
                <c:pt idx="654">
                  <c:v>-4.2300773735542885</c:v>
                </c:pt>
                <c:pt idx="655">
                  <c:v>-4.2855679703284828</c:v>
                </c:pt>
                <c:pt idx="656">
                  <c:v>-4.3492220455008956</c:v>
                </c:pt>
                <c:pt idx="657">
                  <c:v>-4.3856185915008945</c:v>
                </c:pt>
                <c:pt idx="658">
                  <c:v>-4.0482604165008951</c:v>
                </c:pt>
                <c:pt idx="659">
                  <c:v>-4.0677332351675597</c:v>
                </c:pt>
                <c:pt idx="660">
                  <c:v>-4.2767737685008935</c:v>
                </c:pt>
                <c:pt idx="661">
                  <c:v>-4.1318694385008889</c:v>
                </c:pt>
                <c:pt idx="662">
                  <c:v>-5.7582720285008904</c:v>
                </c:pt>
                <c:pt idx="663">
                  <c:v>-5.7416457501008873</c:v>
                </c:pt>
                <c:pt idx="664">
                  <c:v>-6.2989451974692967</c:v>
                </c:pt>
                <c:pt idx="665">
                  <c:v>-3.874692576618231</c:v>
                </c:pt>
                <c:pt idx="666">
                  <c:v>-2.7040416603219422</c:v>
                </c:pt>
                <c:pt idx="667">
                  <c:v>-3.5333778453219424</c:v>
                </c:pt>
                <c:pt idx="668">
                  <c:v>-3.6165845180492155</c:v>
                </c:pt>
                <c:pt idx="669">
                  <c:v>-3.7444812648349299</c:v>
                </c:pt>
                <c:pt idx="670">
                  <c:v>-3.5934214544349294</c:v>
                </c:pt>
                <c:pt idx="671">
                  <c:v>-3.7072710199904857</c:v>
                </c:pt>
                <c:pt idx="672">
                  <c:v>-3.271086804605869</c:v>
                </c:pt>
                <c:pt idx="673">
                  <c:v>-3.8391555346058688</c:v>
                </c:pt>
                <c:pt idx="674">
                  <c:v>-3.9408233806058695</c:v>
                </c:pt>
                <c:pt idx="675">
                  <c:v>-3.7185660870574822</c:v>
                </c:pt>
                <c:pt idx="676">
                  <c:v>-3.967221444027178</c:v>
                </c:pt>
                <c:pt idx="677">
                  <c:v>-3.6269669656180876</c:v>
                </c:pt>
                <c:pt idx="678">
                  <c:v>-3.6104942307244707</c:v>
                </c:pt>
                <c:pt idx="679">
                  <c:v>-3.72165592447447</c:v>
                </c:pt>
                <c:pt idx="680">
                  <c:v>-4.3188854950867155</c:v>
                </c:pt>
                <c:pt idx="681">
                  <c:v>-4.227058342586715</c:v>
                </c:pt>
                <c:pt idx="682">
                  <c:v>-4.3176850446556818</c:v>
                </c:pt>
                <c:pt idx="683">
                  <c:v>-3.7995813066556812</c:v>
                </c:pt>
                <c:pt idx="684">
                  <c:v>-3.5937082096463349</c:v>
                </c:pt>
                <c:pt idx="685">
                  <c:v>-3.1287350159526399</c:v>
                </c:pt>
                <c:pt idx="686">
                  <c:v>-3.7661902400967842</c:v>
                </c:pt>
                <c:pt idx="687">
                  <c:v>-2.6178245350967839</c:v>
                </c:pt>
                <c:pt idx="688">
                  <c:v>-2.4355765641029952</c:v>
                </c:pt>
                <c:pt idx="689">
                  <c:v>-2.5426472371464732</c:v>
                </c:pt>
                <c:pt idx="690">
                  <c:v>-2.753259422268425</c:v>
                </c:pt>
                <c:pt idx="691">
                  <c:v>-2.4390204089350918</c:v>
                </c:pt>
                <c:pt idx="692">
                  <c:v>-2.2914345600462021</c:v>
                </c:pt>
                <c:pt idx="693">
                  <c:v>-2.3727445939409382</c:v>
                </c:pt>
                <c:pt idx="694">
                  <c:v>-1.942705155738691</c:v>
                </c:pt>
                <c:pt idx="695">
                  <c:v>-5.0342577783015114</c:v>
                </c:pt>
                <c:pt idx="696">
                  <c:v>-5.2581074229443683</c:v>
                </c:pt>
                <c:pt idx="697">
                  <c:v>-5.902967896784368</c:v>
                </c:pt>
                <c:pt idx="698">
                  <c:v>-5.7539596160151385</c:v>
                </c:pt>
                <c:pt idx="699">
                  <c:v>-5.6054169715053357</c:v>
                </c:pt>
                <c:pt idx="700">
                  <c:v>-4.9251402240767641</c:v>
                </c:pt>
                <c:pt idx="701">
                  <c:v>-5.8024450216196222</c:v>
                </c:pt>
                <c:pt idx="702">
                  <c:v>-5.5359579223839539</c:v>
                </c:pt>
                <c:pt idx="703">
                  <c:v>-4.9366378527172863</c:v>
                </c:pt>
                <c:pt idx="704">
                  <c:v>-4.0766240138493632</c:v>
                </c:pt>
                <c:pt idx="705">
                  <c:v>-4.6406890598925301</c:v>
                </c:pt>
                <c:pt idx="706">
                  <c:v>-4.4674489209181694</c:v>
                </c:pt>
                <c:pt idx="707">
                  <c:v>-4.4059894863027864</c:v>
                </c:pt>
                <c:pt idx="708">
                  <c:v>-4.3948551160674914</c:v>
                </c:pt>
                <c:pt idx="709">
                  <c:v>-3.1505423565607629</c:v>
                </c:pt>
                <c:pt idx="710">
                  <c:v>-4.2344482259098761</c:v>
                </c:pt>
                <c:pt idx="711">
                  <c:v>-5.0531007455138353</c:v>
                </c:pt>
                <c:pt idx="712">
                  <c:v>-4.2540902090069839</c:v>
                </c:pt>
                <c:pt idx="713">
                  <c:v>-3.2668876396648754</c:v>
                </c:pt>
                <c:pt idx="714">
                  <c:v>-4.6958380086971347</c:v>
                </c:pt>
                <c:pt idx="715">
                  <c:v>-4.9163472916239686</c:v>
                </c:pt>
                <c:pt idx="716">
                  <c:v>-5.5957979955045634</c:v>
                </c:pt>
                <c:pt idx="717">
                  <c:v>-5.6270476849917461</c:v>
                </c:pt>
                <c:pt idx="718">
                  <c:v>-5.3529313373446845</c:v>
                </c:pt>
                <c:pt idx="719">
                  <c:v>-5.3009616707693414</c:v>
                </c:pt>
                <c:pt idx="720">
                  <c:v>-5.2668445512956605</c:v>
                </c:pt>
                <c:pt idx="721">
                  <c:v>-4.6762491406667293</c:v>
                </c:pt>
                <c:pt idx="722">
                  <c:v>-6.1697015766667347</c:v>
                </c:pt>
                <c:pt idx="723">
                  <c:v>-6.9806289403357988</c:v>
                </c:pt>
                <c:pt idx="724">
                  <c:v>-8.756330373342335</c:v>
                </c:pt>
                <c:pt idx="725">
                  <c:v>-8.703317535160517</c:v>
                </c:pt>
                <c:pt idx="726">
                  <c:v>-7.7977031679512177</c:v>
                </c:pt>
                <c:pt idx="727">
                  <c:v>-7.9302843212845522</c:v>
                </c:pt>
                <c:pt idx="728">
                  <c:v>-7.7614941012845504</c:v>
                </c:pt>
                <c:pt idx="729">
                  <c:v>-7.7614941012845495</c:v>
                </c:pt>
                <c:pt idx="730">
                  <c:v>-7.4122466212845497</c:v>
                </c:pt>
                <c:pt idx="731">
                  <c:v>-7.4640259221008751</c:v>
                </c:pt>
                <c:pt idx="732">
                  <c:v>-6.6996571913316467</c:v>
                </c:pt>
                <c:pt idx="733">
                  <c:v>-6.3147655094268851</c:v>
                </c:pt>
                <c:pt idx="734">
                  <c:v>-5.9246596350632492</c:v>
                </c:pt>
                <c:pt idx="735">
                  <c:v>-5.724148569273777</c:v>
                </c:pt>
                <c:pt idx="736">
                  <c:v>-5.5588228592737767</c:v>
                </c:pt>
                <c:pt idx="737">
                  <c:v>-5.8208462892737769</c:v>
                </c:pt>
                <c:pt idx="738">
                  <c:v>-5.802206891012907</c:v>
                </c:pt>
                <c:pt idx="739">
                  <c:v>-6.0095201264295728</c:v>
                </c:pt>
                <c:pt idx="740">
                  <c:v>-5.7506457747274462</c:v>
                </c:pt>
                <c:pt idx="741">
                  <c:v>-5.8593648853156823</c:v>
                </c:pt>
                <c:pt idx="742">
                  <c:v>-5.6708445764735762</c:v>
                </c:pt>
                <c:pt idx="743">
                  <c:v>-5.5636560692735753</c:v>
                </c:pt>
                <c:pt idx="744">
                  <c:v>-6.1664329831391242</c:v>
                </c:pt>
                <c:pt idx="745">
                  <c:v>-6.1489327334994854</c:v>
                </c:pt>
                <c:pt idx="746">
                  <c:v>-6.0893310263566285</c:v>
                </c:pt>
                <c:pt idx="747">
                  <c:v>-6.0449879985788488</c:v>
                </c:pt>
                <c:pt idx="748">
                  <c:v>-6.5804119842931339</c:v>
                </c:pt>
                <c:pt idx="749">
                  <c:v>-6.8352080285788492</c:v>
                </c:pt>
                <c:pt idx="750">
                  <c:v>-6.8512890997553191</c:v>
                </c:pt>
                <c:pt idx="751">
                  <c:v>-6.8512890997553182</c:v>
                </c:pt>
                <c:pt idx="752">
                  <c:v>-6.6870211003675628</c:v>
                </c:pt>
                <c:pt idx="753">
                  <c:v>-6.4996886099829476</c:v>
                </c:pt>
                <c:pt idx="754">
                  <c:v>-6.4613014949829486</c:v>
                </c:pt>
                <c:pt idx="755">
                  <c:v>-6.309354489765556</c:v>
                </c:pt>
                <c:pt idx="756">
                  <c:v>-6.3786540906351208</c:v>
                </c:pt>
                <c:pt idx="757">
                  <c:v>-6.3930482195824885</c:v>
                </c:pt>
                <c:pt idx="758">
                  <c:v>-6.3361477838378084</c:v>
                </c:pt>
                <c:pt idx="759">
                  <c:v>-6.121690510864835</c:v>
                </c:pt>
                <c:pt idx="760">
                  <c:v>-6.0013083794362627</c:v>
                </c:pt>
                <c:pt idx="761">
                  <c:v>-5.8492882777381503</c:v>
                </c:pt>
                <c:pt idx="762">
                  <c:v>-6.1616912574881511</c:v>
                </c:pt>
                <c:pt idx="763">
                  <c:v>-6.100928404039875</c:v>
                </c:pt>
                <c:pt idx="764">
                  <c:v>-6.0391446324182532</c:v>
                </c:pt>
                <c:pt idx="765">
                  <c:v>-5.9948248452387674</c:v>
                </c:pt>
                <c:pt idx="766">
                  <c:v>-6.7114592259054344</c:v>
                </c:pt>
                <c:pt idx="767">
                  <c:v>-6.3778825531331558</c:v>
                </c:pt>
                <c:pt idx="768">
                  <c:v>-6.7376571731331563</c:v>
                </c:pt>
                <c:pt idx="769">
                  <c:v>-6.5757101081331566</c:v>
                </c:pt>
                <c:pt idx="770">
                  <c:v>-6.7139584381331563</c:v>
                </c:pt>
                <c:pt idx="771">
                  <c:v>-6.6764501861331551</c:v>
                </c:pt>
                <c:pt idx="772">
                  <c:v>-7.1827867661331553</c:v>
                </c:pt>
                <c:pt idx="773">
                  <c:v>-6.7771881720110185</c:v>
                </c:pt>
                <c:pt idx="774">
                  <c:v>-6.5792225765564734</c:v>
                </c:pt>
                <c:pt idx="775">
                  <c:v>-6.3029073560231401</c:v>
                </c:pt>
                <c:pt idx="776">
                  <c:v>-5.9425710516683017</c:v>
                </c:pt>
                <c:pt idx="777">
                  <c:v>-5.9156884952580437</c:v>
                </c:pt>
                <c:pt idx="778">
                  <c:v>-6.0921996452580442</c:v>
                </c:pt>
                <c:pt idx="779">
                  <c:v>-6.4756569355235305</c:v>
                </c:pt>
                <c:pt idx="780">
                  <c:v>-5.8590544947072036</c:v>
                </c:pt>
                <c:pt idx="781">
                  <c:v>-5.8001174062861507</c:v>
                </c:pt>
                <c:pt idx="782">
                  <c:v>-5.0250546080252816</c:v>
                </c:pt>
                <c:pt idx="783">
                  <c:v>-6.2512054912203014</c:v>
                </c:pt>
                <c:pt idx="784">
                  <c:v>-6.1402289069065761</c:v>
                </c:pt>
                <c:pt idx="785">
                  <c:v>-6.2249795941158794</c:v>
                </c:pt>
                <c:pt idx="786">
                  <c:v>-6.0287779221831057</c:v>
                </c:pt>
                <c:pt idx="787">
                  <c:v>-5.6542135479406825</c:v>
                </c:pt>
                <c:pt idx="788">
                  <c:v>-6.1174108634168709</c:v>
                </c:pt>
                <c:pt idx="789">
                  <c:v>-5.9396580197805058</c:v>
                </c:pt>
                <c:pt idx="790">
                  <c:v>-4.5674852537805046</c:v>
                </c:pt>
                <c:pt idx="791">
                  <c:v>-4.6532115504471738</c:v>
                </c:pt>
                <c:pt idx="792">
                  <c:v>-3.912564729394544</c:v>
                </c:pt>
                <c:pt idx="793">
                  <c:v>-4.3754200731355501</c:v>
                </c:pt>
                <c:pt idx="794">
                  <c:v>-5.7107742920586251</c:v>
                </c:pt>
                <c:pt idx="795">
                  <c:v>-5.6527027436316581</c:v>
                </c:pt>
                <c:pt idx="796">
                  <c:v>-4.4826376835026247</c:v>
                </c:pt>
                <c:pt idx="797">
                  <c:v>-3.8242400699026238</c:v>
                </c:pt>
                <c:pt idx="798">
                  <c:v>-0.37804653316622017</c:v>
                </c:pt>
                <c:pt idx="799">
                  <c:v>-1.050473951563166</c:v>
                </c:pt>
                <c:pt idx="800">
                  <c:v>-0.60147810156316595</c:v>
                </c:pt>
                <c:pt idx="801">
                  <c:v>-0.32372267934094578</c:v>
                </c:pt>
                <c:pt idx="802">
                  <c:v>0.36439276385905311</c:v>
                </c:pt>
                <c:pt idx="803">
                  <c:v>0.47061274061118807</c:v>
                </c:pt>
                <c:pt idx="804">
                  <c:v>0.27782199626336318</c:v>
                </c:pt>
                <c:pt idx="805">
                  <c:v>0.78521328798998524</c:v>
                </c:pt>
                <c:pt idx="806">
                  <c:v>-1.7931435875045192E-2</c:v>
                </c:pt>
                <c:pt idx="807">
                  <c:v>0.12724698555352701</c:v>
                </c:pt>
                <c:pt idx="808">
                  <c:v>-1.3087359901016204E-2</c:v>
                </c:pt>
                <c:pt idx="809">
                  <c:v>0.19419127400142241</c:v>
                </c:pt>
                <c:pt idx="810">
                  <c:v>-2.1819092066955266E-2</c:v>
                </c:pt>
                <c:pt idx="811">
                  <c:v>0.43361236830001743</c:v>
                </c:pt>
                <c:pt idx="812">
                  <c:v>1.1336894223540717</c:v>
                </c:pt>
                <c:pt idx="813">
                  <c:v>1.515875197655659</c:v>
                </c:pt>
                <c:pt idx="814">
                  <c:v>1.449101950382933</c:v>
                </c:pt>
                <c:pt idx="815">
                  <c:v>1.539619306382932</c:v>
                </c:pt>
                <c:pt idx="816">
                  <c:v>1.1930377198523197</c:v>
                </c:pt>
                <c:pt idx="817">
                  <c:v>1.2799956475446275</c:v>
                </c:pt>
                <c:pt idx="818">
                  <c:v>1.1375847099175076</c:v>
                </c:pt>
                <c:pt idx="819">
                  <c:v>1.0270109663004867</c:v>
                </c:pt>
                <c:pt idx="820">
                  <c:v>0.83606858005048668</c:v>
                </c:pt>
                <c:pt idx="821">
                  <c:v>0.95582698605048644</c:v>
                </c:pt>
                <c:pt idx="822">
                  <c:v>0.96900473864307868</c:v>
                </c:pt>
                <c:pt idx="823">
                  <c:v>0.76928781224307863</c:v>
                </c:pt>
                <c:pt idx="824">
                  <c:v>0.67171046140274226</c:v>
                </c:pt>
                <c:pt idx="825">
                  <c:v>1.0591683287496805</c:v>
                </c:pt>
                <c:pt idx="826">
                  <c:v>-0.18511422938985489</c:v>
                </c:pt>
                <c:pt idx="827">
                  <c:v>-0.83860153161207684</c:v>
                </c:pt>
                <c:pt idx="828">
                  <c:v>-0.59919740875493432</c:v>
                </c:pt>
                <c:pt idx="829">
                  <c:v>-0.34177767875493437</c:v>
                </c:pt>
                <c:pt idx="830">
                  <c:v>-9.7266511897791397E-2</c:v>
                </c:pt>
                <c:pt idx="831">
                  <c:v>-0.40329812217176364</c:v>
                </c:pt>
                <c:pt idx="832">
                  <c:v>-0.37322511417176368</c:v>
                </c:pt>
                <c:pt idx="833">
                  <c:v>-0.22080195631462071</c:v>
                </c:pt>
                <c:pt idx="834">
                  <c:v>-0.14644668845747774</c:v>
                </c:pt>
                <c:pt idx="835">
                  <c:v>0.1675149956103191</c:v>
                </c:pt>
                <c:pt idx="836">
                  <c:v>0.53964196463470793</c:v>
                </c:pt>
                <c:pt idx="837">
                  <c:v>0.58494655396803996</c:v>
                </c:pt>
                <c:pt idx="838">
                  <c:v>0.52735271603700595</c:v>
                </c:pt>
                <c:pt idx="839">
                  <c:v>0.56428657668216764</c:v>
                </c:pt>
                <c:pt idx="840">
                  <c:v>0.56777927369151338</c:v>
                </c:pt>
                <c:pt idx="841">
                  <c:v>0.69281860797722805</c:v>
                </c:pt>
                <c:pt idx="842">
                  <c:v>1.1167052149337484</c:v>
                </c:pt>
                <c:pt idx="843">
                  <c:v>1.0187815473975161</c:v>
                </c:pt>
                <c:pt idx="844">
                  <c:v>0.72682604768877812</c:v>
                </c:pt>
                <c:pt idx="845">
                  <c:v>1.0409932794030639</c:v>
                </c:pt>
                <c:pt idx="846">
                  <c:v>0.93960248352071096</c:v>
                </c:pt>
                <c:pt idx="847">
                  <c:v>0.53868139883321109</c:v>
                </c:pt>
                <c:pt idx="848">
                  <c:v>0.39820356645225857</c:v>
                </c:pt>
                <c:pt idx="849">
                  <c:v>0.3214253973164562</c:v>
                </c:pt>
                <c:pt idx="850">
                  <c:v>0.33423462275505245</c:v>
                </c:pt>
                <c:pt idx="851">
                  <c:v>0.2410073244571799</c:v>
                </c:pt>
                <c:pt idx="852">
                  <c:v>0.22726933627536164</c:v>
                </c:pt>
                <c:pt idx="853">
                  <c:v>0.16803042558570649</c:v>
                </c:pt>
                <c:pt idx="854">
                  <c:v>-7.0169782888869395E-2</c:v>
                </c:pt>
                <c:pt idx="855">
                  <c:v>5.9552417539872971E-3</c:v>
                </c:pt>
                <c:pt idx="856">
                  <c:v>-0.24732846646519074</c:v>
                </c:pt>
                <c:pt idx="857">
                  <c:v>0.27991818353480924</c:v>
                </c:pt>
                <c:pt idx="858">
                  <c:v>0.47240534991162103</c:v>
                </c:pt>
                <c:pt idx="859">
                  <c:v>0.58015100269850628</c:v>
                </c:pt>
                <c:pt idx="860">
                  <c:v>0.50049204609473319</c:v>
                </c:pt>
                <c:pt idx="861">
                  <c:v>0.45715085736746092</c:v>
                </c:pt>
                <c:pt idx="862">
                  <c:v>0.29665325745755078</c:v>
                </c:pt>
                <c:pt idx="863">
                  <c:v>0.29337499930220973</c:v>
                </c:pt>
                <c:pt idx="864">
                  <c:v>0.18509891596887679</c:v>
                </c:pt>
                <c:pt idx="865">
                  <c:v>0.12922145253604006</c:v>
                </c:pt>
                <c:pt idx="866">
                  <c:v>0.14626732046056826</c:v>
                </c:pt>
                <c:pt idx="867">
                  <c:v>0.13920726375468598</c:v>
                </c:pt>
                <c:pt idx="868">
                  <c:v>4.4526924444340879E-2</c:v>
                </c:pt>
                <c:pt idx="869">
                  <c:v>9.2707348957615121E-2</c:v>
                </c:pt>
                <c:pt idx="870">
                  <c:v>0.42578240895761515</c:v>
                </c:pt>
                <c:pt idx="871">
                  <c:v>0.4471000417162368</c:v>
                </c:pt>
                <c:pt idx="872">
                  <c:v>0.21768103846364137</c:v>
                </c:pt>
                <c:pt idx="873">
                  <c:v>0.18375765246364137</c:v>
                </c:pt>
                <c:pt idx="874">
                  <c:v>6.6191122463641366E-2</c:v>
                </c:pt>
                <c:pt idx="875">
                  <c:v>5.2287529736368819E-2</c:v>
                </c:pt>
                <c:pt idx="876">
                  <c:v>0.11233594367576294</c:v>
                </c:pt>
                <c:pt idx="877">
                  <c:v>0.14606645779341004</c:v>
                </c:pt>
                <c:pt idx="878">
                  <c:v>0.11468952524439048</c:v>
                </c:pt>
                <c:pt idx="879">
                  <c:v>0.1444879416546466</c:v>
                </c:pt>
                <c:pt idx="880">
                  <c:v>0.10563377007569903</c:v>
                </c:pt>
                <c:pt idx="881">
                  <c:v>8.9852140663934779E-2</c:v>
                </c:pt>
                <c:pt idx="882">
                  <c:v>-3.9114523893026838E-2</c:v>
                </c:pt>
                <c:pt idx="883">
                  <c:v>-6.6611628432034289E-2</c:v>
                </c:pt>
                <c:pt idx="884">
                  <c:v>-4.509867282608806E-3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E-498D-91FC-CE81501C4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173856"/>
        <c:axId val="802175936"/>
      </c:lineChart>
      <c:dateAx>
        <c:axId val="802173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175936"/>
        <c:crosses val="autoZero"/>
        <c:auto val="1"/>
        <c:lblOffset val="100"/>
        <c:baseTimeUnit val="days"/>
      </c:dateAx>
      <c:valAx>
        <c:axId val="8021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17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9BDE7E3-F859-4502-9415-07385A715FA8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D0424D-158F-490F-A73C-F17C9F389C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3.449E-2</v>
      </c>
      <c r="D2" s="4">
        <f>MIN(D3:D1912)</f>
        <v>3.4299999999999999E-4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5.6699999999999997E-3</v>
      </c>
      <c r="C5">
        <v>5.7349999999999996E-3</v>
      </c>
      <c r="D5">
        <v>5.5300000000000002E-3</v>
      </c>
      <c r="E5">
        <v>5.5300000000000002E-3</v>
      </c>
      <c r="F5">
        <v>5622298</v>
      </c>
      <c r="G5">
        <v>5.5300000000000002E-3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-5622298</v>
      </c>
      <c r="R5">
        <f t="shared" ref="R5" si="2">R6+Q5</f>
        <v>-4122118560.2840323</v>
      </c>
      <c r="S5">
        <f t="shared" ref="S5" si="3">R5/100000</f>
        <v>-41221.18560284032</v>
      </c>
      <c r="T5">
        <f t="shared" ref="T5" si="4">S5/1000</f>
        <v>-41.221185602840322</v>
      </c>
    </row>
    <row r="6" spans="1:20" x14ac:dyDescent="0.25">
      <c r="A6" s="5">
        <v>44587</v>
      </c>
      <c r="B6">
        <v>5.3220000000000003E-3</v>
      </c>
      <c r="C6">
        <v>6.202E-3</v>
      </c>
      <c r="D6">
        <v>5.2719999999999998E-3</v>
      </c>
      <c r="E6">
        <v>5.6779999999999999E-3</v>
      </c>
      <c r="F6">
        <v>228734781</v>
      </c>
      <c r="G6">
        <v>5.6779999999999999E-3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-0.12688172043010754</v>
      </c>
      <c r="Q6">
        <f t="shared" ref="Q6" si="6">F6*P6</f>
        <v>-29022262.535483874</v>
      </c>
      <c r="R6">
        <f t="shared" ref="R6" si="7">R7+Q6</f>
        <v>-4116496262.2840323</v>
      </c>
      <c r="S6">
        <f t="shared" ref="S6" si="8">R6/100000</f>
        <v>-41164.962622840321</v>
      </c>
      <c r="T6">
        <f t="shared" ref="T6" si="9">S6/1000</f>
        <v>-41.164962622840321</v>
      </c>
    </row>
    <row r="7" spans="1:20" x14ac:dyDescent="0.25">
      <c r="A7" s="5">
        <v>44586</v>
      </c>
      <c r="B7">
        <v>5.2300000000000003E-3</v>
      </c>
      <c r="C7">
        <v>5.4869999999999997E-3</v>
      </c>
      <c r="D7">
        <v>5.0679999999999996E-3</v>
      </c>
      <c r="E7">
        <v>5.3109999999999997E-3</v>
      </c>
      <c r="F7">
        <v>126329949</v>
      </c>
      <c r="G7">
        <v>5.3109999999999997E-3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0.15990453460620574</v>
      </c>
      <c r="Q7">
        <f t="shared" ref="Q7" si="11">F7*P7</f>
        <v>20200731.701670706</v>
      </c>
      <c r="R7">
        <f t="shared" ref="R7" si="12">R8+Q7</f>
        <v>-4087473999.7485485</v>
      </c>
      <c r="S7">
        <f t="shared" ref="S7" si="13">R7/100000</f>
        <v>-40874.739997485485</v>
      </c>
      <c r="T7">
        <f t="shared" ref="T7" si="14">S7/1000</f>
        <v>-40.874739997485484</v>
      </c>
    </row>
    <row r="8" spans="1:20" x14ac:dyDescent="0.25">
      <c r="A8" s="5">
        <v>44585</v>
      </c>
      <c r="B8">
        <v>5.4609999999999997E-3</v>
      </c>
      <c r="C8">
        <v>5.4819999999999999E-3</v>
      </c>
      <c r="D8">
        <v>4.6360000000000004E-3</v>
      </c>
      <c r="E8">
        <v>5.2170000000000003E-3</v>
      </c>
      <c r="F8">
        <v>151530262</v>
      </c>
      <c r="G8">
        <v>5.2170000000000003E-3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0.3735224586288422</v>
      </c>
      <c r="Q8">
        <f t="shared" ref="Q8" si="16">F8*P8</f>
        <v>56599956.018912621</v>
      </c>
      <c r="R8">
        <f t="shared" ref="R8" si="17">R9+Q8</f>
        <v>-4107674731.4502192</v>
      </c>
      <c r="S8">
        <f t="shared" ref="S8" si="18">R8/100000</f>
        <v>-41076.747314502194</v>
      </c>
      <c r="T8">
        <f t="shared" ref="T8" si="19">S8/1000</f>
        <v>-41.076747314502192</v>
      </c>
    </row>
    <row r="9" spans="1:20" x14ac:dyDescent="0.25">
      <c r="A9" s="5">
        <v>44584</v>
      </c>
      <c r="B9">
        <v>5.2620000000000002E-3</v>
      </c>
      <c r="C9">
        <v>5.5209999999999999E-3</v>
      </c>
      <c r="D9">
        <v>5.1380000000000002E-3</v>
      </c>
      <c r="E9">
        <v>5.4599999999999996E-3</v>
      </c>
      <c r="F9">
        <v>110474551</v>
      </c>
      <c r="G9">
        <v>5.4599999999999996E-3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0.68146214099216529</v>
      </c>
      <c r="Q9">
        <f t="shared" ref="Q9" si="21">F9*P9</f>
        <v>75284224.049608156</v>
      </c>
      <c r="R9">
        <f t="shared" ref="R9" si="22">R10+Q9</f>
        <v>-4164274687.4691319</v>
      </c>
      <c r="S9">
        <f t="shared" ref="S9" si="23">R9/100000</f>
        <v>-41642.746874691322</v>
      </c>
      <c r="T9">
        <f t="shared" ref="T9" si="24">S9/1000</f>
        <v>-41.642746874691319</v>
      </c>
    </row>
    <row r="10" spans="1:20" x14ac:dyDescent="0.25">
      <c r="A10" s="5">
        <v>44583</v>
      </c>
      <c r="B10">
        <v>5.8209999999999998E-3</v>
      </c>
      <c r="C10">
        <v>6.5500000000000003E-3</v>
      </c>
      <c r="D10">
        <v>4.7999999999999996E-3</v>
      </c>
      <c r="E10">
        <v>5.254E-3</v>
      </c>
      <c r="F10">
        <v>396199302</v>
      </c>
      <c r="G10">
        <v>5.254E-3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-0.48114285714285687</v>
      </c>
      <c r="Q10">
        <f t="shared" ref="Q10" si="26">F10*P10</f>
        <v>-190628464.1622856</v>
      </c>
      <c r="R10">
        <f t="shared" ref="R10" si="27">R11+Q10</f>
        <v>-4239558911.5187402</v>
      </c>
      <c r="S10">
        <f t="shared" ref="S10" si="28">R10/100000</f>
        <v>-42395.589115187402</v>
      </c>
      <c r="T10">
        <f t="shared" ref="T10" si="29">S10/1000</f>
        <v>-42.395589115187406</v>
      </c>
    </row>
    <row r="11" spans="1:20" x14ac:dyDescent="0.25">
      <c r="A11" s="5">
        <v>44582</v>
      </c>
      <c r="B11">
        <v>6.7889999999999999E-3</v>
      </c>
      <c r="C11">
        <v>6.875E-3</v>
      </c>
      <c r="D11">
        <v>5.718E-3</v>
      </c>
      <c r="E11">
        <v>5.8209999999999998E-3</v>
      </c>
      <c r="F11">
        <v>156184471</v>
      </c>
      <c r="G11">
        <v>5.8209999999999998E-3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-0.82195332757130546</v>
      </c>
      <c r="Q11">
        <f t="shared" ref="Q11" si="31">F11*P11</f>
        <v>-128376345.65341406</v>
      </c>
      <c r="R11">
        <f t="shared" ref="R11" si="32">R12+Q11</f>
        <v>-4048930447.3564544</v>
      </c>
      <c r="S11">
        <f t="shared" ref="S11" si="33">R11/100000</f>
        <v>-40489.304473564545</v>
      </c>
      <c r="T11">
        <f t="shared" ref="T11" si="34">S11/1000</f>
        <v>-40.489304473564545</v>
      </c>
    </row>
    <row r="12" spans="1:20" x14ac:dyDescent="0.25">
      <c r="A12" s="5">
        <v>44581</v>
      </c>
      <c r="B12">
        <v>7.1060000000000003E-3</v>
      </c>
      <c r="C12">
        <v>7.4640000000000001E-3</v>
      </c>
      <c r="D12">
        <v>6.7669999999999996E-3</v>
      </c>
      <c r="E12">
        <v>6.8139999999999997E-3</v>
      </c>
      <c r="F12">
        <v>85273484</v>
      </c>
      <c r="G12">
        <v>6.8139999999999997E-3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-0.86513629842180739</v>
      </c>
      <c r="Q12">
        <f t="shared" ref="Q12" si="36">F12*P12</f>
        <v>-73773186.301291212</v>
      </c>
      <c r="R12">
        <f t="shared" ref="R12" si="37">R13+Q12</f>
        <v>-3920554101.7030401</v>
      </c>
      <c r="S12">
        <f t="shared" ref="S12" si="38">R12/100000</f>
        <v>-39205.541017030402</v>
      </c>
      <c r="T12">
        <f t="shared" ref="T12" si="39">S12/1000</f>
        <v>-39.205541017030399</v>
      </c>
    </row>
    <row r="13" spans="1:20" x14ac:dyDescent="0.25">
      <c r="A13" s="5">
        <v>44580</v>
      </c>
      <c r="B13">
        <v>7.574E-3</v>
      </c>
      <c r="C13">
        <v>7.6340000000000002E-3</v>
      </c>
      <c r="D13">
        <v>7.0429999999999998E-3</v>
      </c>
      <c r="E13">
        <v>7.1050000000000002E-3</v>
      </c>
      <c r="F13">
        <v>113269884</v>
      </c>
      <c r="G13">
        <v>7.1050000000000002E-3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-0.79018612521150466</v>
      </c>
      <c r="Q13">
        <f t="shared" ref="Q13" si="41">F13*P13</f>
        <v>-89504290.741116613</v>
      </c>
      <c r="R13">
        <f t="shared" ref="R13" si="42">R14+Q13</f>
        <v>-3846780915.4017491</v>
      </c>
      <c r="S13">
        <f t="shared" ref="S13" si="43">R13/100000</f>
        <v>-38467.809154017494</v>
      </c>
      <c r="T13">
        <f t="shared" ref="T13" si="44">S13/1000</f>
        <v>-38.467809154017495</v>
      </c>
    </row>
    <row r="14" spans="1:20" x14ac:dyDescent="0.25">
      <c r="A14" s="5">
        <v>44579</v>
      </c>
      <c r="B14">
        <v>7.7889999999999999E-3</v>
      </c>
      <c r="C14">
        <v>7.9740000000000002E-3</v>
      </c>
      <c r="D14">
        <v>7.3899999999999999E-3</v>
      </c>
      <c r="E14">
        <v>7.5799999999999999E-3</v>
      </c>
      <c r="F14">
        <v>130602101</v>
      </c>
      <c r="G14">
        <v>7.5799999999999999E-3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-0.3493150684931508</v>
      </c>
      <c r="Q14">
        <f t="shared" ref="Q14" si="46">F14*P14</f>
        <v>-45621281.856164396</v>
      </c>
      <c r="R14">
        <f t="shared" ref="R14" si="47">R15+Q14</f>
        <v>-3757276624.6606326</v>
      </c>
      <c r="S14">
        <f t="shared" ref="S14" si="48">R14/100000</f>
        <v>-37572.766246606327</v>
      </c>
      <c r="T14">
        <f t="shared" ref="T14" si="49">S14/1000</f>
        <v>-37.572766246606328</v>
      </c>
    </row>
    <row r="15" spans="1:20" x14ac:dyDescent="0.25">
      <c r="A15" s="5">
        <v>44578</v>
      </c>
      <c r="B15">
        <v>8.0520000000000001E-3</v>
      </c>
      <c r="C15">
        <v>8.0759999999999998E-3</v>
      </c>
      <c r="D15">
        <v>7.7229999999999998E-3</v>
      </c>
      <c r="E15">
        <v>7.7990000000000004E-3</v>
      </c>
      <c r="F15">
        <v>56473371</v>
      </c>
      <c r="G15">
        <v>7.7990000000000004E-3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-0.56940509915013859</v>
      </c>
      <c r="Q15">
        <f t="shared" ref="Q15" si="51">F15*P15</f>
        <v>-32156225.413597561</v>
      </c>
      <c r="R15">
        <f t="shared" ref="R15" si="52">R16+Q15</f>
        <v>-3711655342.8044682</v>
      </c>
      <c r="S15">
        <f t="shared" ref="S15" si="53">R15/100000</f>
        <v>-37116.553428044681</v>
      </c>
      <c r="T15">
        <f t="shared" ref="T15" si="54">S15/1000</f>
        <v>-37.116553428044682</v>
      </c>
    </row>
    <row r="16" spans="1:20" x14ac:dyDescent="0.25">
      <c r="A16" s="5">
        <v>44577</v>
      </c>
      <c r="B16">
        <v>8.0540000000000004E-3</v>
      </c>
      <c r="C16">
        <v>8.1110000000000002E-3</v>
      </c>
      <c r="D16">
        <v>7.9129999999999999E-3</v>
      </c>
      <c r="E16">
        <v>8.0520000000000001E-3</v>
      </c>
      <c r="F16">
        <v>50064801</v>
      </c>
      <c r="G16">
        <v>8.0520000000000001E-3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0.40404040404040459</v>
      </c>
      <c r="Q16">
        <f t="shared" ref="Q16" si="56">F16*P16</f>
        <v>20228202.424242452</v>
      </c>
      <c r="R16">
        <f t="shared" ref="R16" si="57">R17+Q16</f>
        <v>-3679499117.3908706</v>
      </c>
      <c r="S16">
        <f t="shared" ref="S16" si="58">R16/100000</f>
        <v>-36794.991173908704</v>
      </c>
      <c r="T16">
        <f t="shared" ref="T16" si="59">S16/1000</f>
        <v>-36.794991173908706</v>
      </c>
    </row>
    <row r="17" spans="1:20" x14ac:dyDescent="0.25">
      <c r="A17" s="5">
        <v>44576</v>
      </c>
      <c r="B17">
        <v>8.0249999999999991E-3</v>
      </c>
      <c r="C17">
        <v>8.1670000000000006E-3</v>
      </c>
      <c r="D17">
        <v>7.9179999999999997E-3</v>
      </c>
      <c r="E17">
        <v>8.0569999999999999E-3</v>
      </c>
      <c r="F17">
        <v>51747281</v>
      </c>
      <c r="G17">
        <v>8.0569999999999999E-3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0.11646586345381285</v>
      </c>
      <c r="Q17">
        <f t="shared" ref="Q17" si="61">F17*P17</f>
        <v>6026791.7630520845</v>
      </c>
      <c r="R17">
        <f t="shared" ref="R17" si="62">R18+Q17</f>
        <v>-3699727319.8151131</v>
      </c>
      <c r="S17">
        <f t="shared" ref="S17" si="63">R17/100000</f>
        <v>-36997.273198151132</v>
      </c>
      <c r="T17">
        <f t="shared" ref="T17" si="64">S17/1000</f>
        <v>-36.997273198151134</v>
      </c>
    </row>
    <row r="18" spans="1:20" x14ac:dyDescent="0.25">
      <c r="A18" s="5">
        <v>44575</v>
      </c>
      <c r="B18">
        <v>7.9939999999999994E-3</v>
      </c>
      <c r="C18">
        <v>8.4270000000000005E-3</v>
      </c>
      <c r="D18">
        <v>7.7190000000000002E-3</v>
      </c>
      <c r="E18">
        <v>8.0400000000000003E-3</v>
      </c>
      <c r="F18">
        <v>82259015</v>
      </c>
      <c r="G18">
        <v>8.0400000000000003E-3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-9.3220338983050932E-2</v>
      </c>
      <c r="Q18">
        <f t="shared" ref="Q18" si="66">F18*P18</f>
        <v>-7668213.2627118714</v>
      </c>
      <c r="R18">
        <f t="shared" ref="R18" si="67">R19+Q18</f>
        <v>-3705754111.5781651</v>
      </c>
      <c r="S18">
        <f t="shared" ref="S18" si="68">R18/100000</f>
        <v>-37057.541115781649</v>
      </c>
      <c r="T18">
        <f t="shared" ref="T18" si="69">S18/1000</f>
        <v>-37.057541115781646</v>
      </c>
    </row>
    <row r="19" spans="1:20" x14ac:dyDescent="0.25">
      <c r="A19" s="5">
        <v>44574</v>
      </c>
      <c r="B19">
        <v>8.2450000000000006E-3</v>
      </c>
      <c r="C19">
        <v>8.3809999999999996E-3</v>
      </c>
      <c r="D19">
        <v>7.9279999999999993E-3</v>
      </c>
      <c r="E19">
        <v>7.9609999999999993E-3</v>
      </c>
      <c r="F19">
        <v>88771846</v>
      </c>
      <c r="G19">
        <v>7.9609999999999993E-3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-0.85430463576158933</v>
      </c>
      <c r="Q19">
        <f t="shared" ref="Q19" si="71">F19*P19</f>
        <v>-75838199.562913895</v>
      </c>
      <c r="R19">
        <f t="shared" ref="R19" si="72">R20+Q19</f>
        <v>-3698085898.3154531</v>
      </c>
      <c r="S19">
        <f t="shared" ref="S19" si="73">R19/100000</f>
        <v>-36980.858983154532</v>
      </c>
      <c r="T19">
        <f t="shared" ref="T19" si="74">S19/1000</f>
        <v>-36.980858983154533</v>
      </c>
    </row>
    <row r="20" spans="1:20" x14ac:dyDescent="0.25">
      <c r="A20" s="5">
        <v>44573</v>
      </c>
      <c r="B20">
        <v>7.9869999999999993E-3</v>
      </c>
      <c r="C20">
        <v>8.5000000000000006E-3</v>
      </c>
      <c r="D20">
        <v>7.783E-3</v>
      </c>
      <c r="E20">
        <v>8.2459999999999999E-3</v>
      </c>
      <c r="F20">
        <v>127309106</v>
      </c>
      <c r="G20">
        <v>8.2459999999999999E-3</v>
      </c>
      <c r="L20" t="s">
        <v>7</v>
      </c>
      <c r="M20" t="s">
        <v>8</v>
      </c>
      <c r="N20" t="s">
        <v>7</v>
      </c>
      <c r="P20">
        <f t="shared" ref="P20" si="75">IF(C20=D20,0,((E20-D20)-(C20-E20))/(C20-D20))</f>
        <v>0.29149232914923145</v>
      </c>
      <c r="Q20">
        <f t="shared" ref="Q20" si="76">F20*P20</f>
        <v>37109627.829846397</v>
      </c>
      <c r="R20">
        <f t="shared" ref="R20" si="77">R21+Q20</f>
        <v>-3622247698.7525392</v>
      </c>
      <c r="S20">
        <f t="shared" ref="S20" si="78">R20/100000</f>
        <v>-36222.476987525391</v>
      </c>
      <c r="T20">
        <f t="shared" ref="T20" si="79">S20/1000</f>
        <v>-36.22247698752539</v>
      </c>
    </row>
    <row r="21" spans="1:20" x14ac:dyDescent="0.25">
      <c r="A21" s="5">
        <v>44572</v>
      </c>
      <c r="B21">
        <v>7.7999999999999996E-3</v>
      </c>
      <c r="C21">
        <v>8.9529999999999992E-3</v>
      </c>
      <c r="D21">
        <v>7.5009999999999999E-3</v>
      </c>
      <c r="E21">
        <v>7.9799999999999992E-3</v>
      </c>
      <c r="F21">
        <v>221821472</v>
      </c>
      <c r="G21">
        <v>7.9799999999999992E-3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-0.34022038567493162</v>
      </c>
      <c r="Q21">
        <f t="shared" ref="Q21" si="81">F21*P21</f>
        <v>-75468186.754821047</v>
      </c>
      <c r="R21">
        <f t="shared" ref="R21" si="82">R22+Q21</f>
        <v>-3659357326.5823855</v>
      </c>
      <c r="S21">
        <f t="shared" ref="S21" si="83">R21/100000</f>
        <v>-36593.573265823856</v>
      </c>
      <c r="T21">
        <f t="shared" ref="T21" si="84">S21/1000</f>
        <v>-36.593573265823856</v>
      </c>
    </row>
    <row r="22" spans="1:20" x14ac:dyDescent="0.25">
      <c r="A22" s="5">
        <v>44571</v>
      </c>
      <c r="B22">
        <v>8.0949999999999998E-3</v>
      </c>
      <c r="C22">
        <v>8.1580000000000003E-3</v>
      </c>
      <c r="D22">
        <v>7.3759999999999997E-3</v>
      </c>
      <c r="E22">
        <v>7.8050000000000003E-3</v>
      </c>
      <c r="F22">
        <v>112034386</v>
      </c>
      <c r="G22">
        <v>7.8050000000000003E-3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9.7186700767264059E-2</v>
      </c>
      <c r="Q22">
        <f t="shared" ref="Q22" si="86">F22*P22</f>
        <v>10888252.347826159</v>
      </c>
      <c r="R22">
        <f t="shared" ref="R22" si="87">R23+Q22</f>
        <v>-3583889139.8275647</v>
      </c>
      <c r="S22">
        <f t="shared" ref="S22" si="88">R22/100000</f>
        <v>-35838.891398275649</v>
      </c>
      <c r="T22">
        <f t="shared" ref="T22" si="89">S22/1000</f>
        <v>-35.838891398275649</v>
      </c>
    </row>
    <row r="23" spans="1:20" x14ac:dyDescent="0.25">
      <c r="A23" s="5">
        <v>44570</v>
      </c>
      <c r="B23">
        <v>7.9729999999999992E-3</v>
      </c>
      <c r="C23">
        <v>8.1499999999999993E-3</v>
      </c>
      <c r="D23">
        <v>7.9059999999999998E-3</v>
      </c>
      <c r="E23">
        <v>8.0909999999999992E-3</v>
      </c>
      <c r="F23">
        <v>77812269</v>
      </c>
      <c r="G23">
        <v>8.0909999999999992E-3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0.51639344262294951</v>
      </c>
      <c r="Q23">
        <f t="shared" ref="Q23" si="91">F23*P23</f>
        <v>40181745.467213012</v>
      </c>
      <c r="R23">
        <f t="shared" ref="R23" si="92">R24+Q23</f>
        <v>-3594777392.1753907</v>
      </c>
      <c r="S23">
        <f t="shared" ref="S23" si="93">R23/100000</f>
        <v>-35947.773921753906</v>
      </c>
      <c r="T23">
        <f t="shared" ref="T23" si="94">S23/1000</f>
        <v>-35.947773921753907</v>
      </c>
    </row>
    <row r="24" spans="1:20" x14ac:dyDescent="0.25">
      <c r="A24" s="5">
        <v>44569</v>
      </c>
      <c r="B24">
        <v>8.0940000000000005E-3</v>
      </c>
      <c r="C24">
        <v>8.2299999999999995E-3</v>
      </c>
      <c r="D24">
        <v>7.6470000000000002E-3</v>
      </c>
      <c r="E24">
        <v>7.9489999999999995E-3</v>
      </c>
      <c r="F24">
        <v>70215261</v>
      </c>
      <c r="G24">
        <v>7.9489999999999995E-3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3.6020583190393383E-2</v>
      </c>
      <c r="Q24">
        <f t="shared" ref="Q24" si="96">F24*P24</f>
        <v>2529194.6500856839</v>
      </c>
      <c r="R24">
        <f t="shared" ref="R24" si="97">R25+Q24</f>
        <v>-3634959137.6426039</v>
      </c>
      <c r="S24">
        <f t="shared" ref="S24" si="98">R24/100000</f>
        <v>-36349.59137642604</v>
      </c>
      <c r="T24">
        <f t="shared" ref="T24" si="99">S24/1000</f>
        <v>-36.349591376426041</v>
      </c>
    </row>
    <row r="25" spans="1:20" x14ac:dyDescent="0.25">
      <c r="A25" s="5">
        <v>44568</v>
      </c>
      <c r="B25">
        <v>8.4270000000000005E-3</v>
      </c>
      <c r="C25">
        <v>8.5000000000000006E-3</v>
      </c>
      <c r="D25">
        <v>7.7759999999999999E-3</v>
      </c>
      <c r="E25">
        <v>8.0829999999999999E-3</v>
      </c>
      <c r="F25">
        <v>110399017</v>
      </c>
      <c r="G25">
        <v>8.0829999999999999E-3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-0.15193370165745942</v>
      </c>
      <c r="Q25">
        <f t="shared" ref="Q25" si="101">F25*P25</f>
        <v>-16773331.31215479</v>
      </c>
      <c r="R25">
        <f t="shared" ref="R25" si="102">R26+Q25</f>
        <v>-3637488332.2926893</v>
      </c>
      <c r="S25">
        <f t="shared" ref="S25" si="103">R25/100000</f>
        <v>-36374.883322926893</v>
      </c>
      <c r="T25">
        <f t="shared" ref="T25" si="104">S25/1000</f>
        <v>-36.374883322926891</v>
      </c>
    </row>
    <row r="26" spans="1:20" x14ac:dyDescent="0.25">
      <c r="A26" s="5">
        <v>44567</v>
      </c>
      <c r="B26">
        <v>8.4069999999999995E-3</v>
      </c>
      <c r="C26">
        <v>8.5929999999999999E-3</v>
      </c>
      <c r="D26">
        <v>8.2209999999999991E-3</v>
      </c>
      <c r="E26">
        <v>8.4169999999999991E-3</v>
      </c>
      <c r="F26">
        <v>106337360</v>
      </c>
      <c r="G26">
        <v>8.4169999999999991E-3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5.3763440860212744E-2</v>
      </c>
      <c r="Q26">
        <f t="shared" ref="Q26" si="106">F26*P26</f>
        <v>5717062.3655911526</v>
      </c>
      <c r="R26">
        <f t="shared" ref="R26" si="107">R27+Q26</f>
        <v>-3620715000.9805346</v>
      </c>
      <c r="S26">
        <f t="shared" ref="S26" si="108">R26/100000</f>
        <v>-36207.150009805344</v>
      </c>
      <c r="T26">
        <f t="shared" ref="T26" si="109">S26/1000</f>
        <v>-36.207150009805346</v>
      </c>
    </row>
    <row r="27" spans="1:20" x14ac:dyDescent="0.25">
      <c r="A27" s="5">
        <v>44566</v>
      </c>
      <c r="B27">
        <v>9.1739999999999999E-3</v>
      </c>
      <c r="C27">
        <v>9.5560000000000003E-3</v>
      </c>
      <c r="D27">
        <v>8.0859999999999994E-3</v>
      </c>
      <c r="E27">
        <v>8.4169999999999991E-3</v>
      </c>
      <c r="F27">
        <v>204026213</v>
      </c>
      <c r="G27">
        <v>8.4169999999999991E-3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-0.54965986394557886</v>
      </c>
      <c r="Q27">
        <f t="shared" ref="Q27" si="111">F27*P27</f>
        <v>-112145020.4789117</v>
      </c>
      <c r="R27">
        <f t="shared" ref="R27" si="112">R28+Q27</f>
        <v>-3626432063.3461256</v>
      </c>
      <c r="S27">
        <f t="shared" ref="S27" si="113">R27/100000</f>
        <v>-36264.320633461255</v>
      </c>
      <c r="T27">
        <f t="shared" ref="T27" si="114">S27/1000</f>
        <v>-36.264320633461253</v>
      </c>
    </row>
    <row r="28" spans="1:20" x14ac:dyDescent="0.25">
      <c r="A28" s="5">
        <v>44565</v>
      </c>
      <c r="B28">
        <v>9.5160000000000002E-3</v>
      </c>
      <c r="C28">
        <v>9.5999999999999992E-3</v>
      </c>
      <c r="D28">
        <v>9.0679999999999997E-3</v>
      </c>
      <c r="E28">
        <v>9.1739999999999999E-3</v>
      </c>
      <c r="F28">
        <v>100629774</v>
      </c>
      <c r="G28">
        <v>9.1739999999999999E-3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-0.6015037593984951</v>
      </c>
      <c r="Q28">
        <f t="shared" ref="Q28" si="116">F28*P28</f>
        <v>-60529187.368420936</v>
      </c>
      <c r="R28">
        <f t="shared" ref="R28" si="117">R29+Q28</f>
        <v>-3514287042.8672137</v>
      </c>
      <c r="S28">
        <f t="shared" ref="S28" si="118">R28/100000</f>
        <v>-35142.87042867214</v>
      </c>
      <c r="T28">
        <f t="shared" ref="T28" si="119">S28/1000</f>
        <v>-35.14287042867214</v>
      </c>
    </row>
    <row r="29" spans="1:20" x14ac:dyDescent="0.25">
      <c r="A29" s="5">
        <v>44564</v>
      </c>
      <c r="B29">
        <v>9.5449999999999997E-3</v>
      </c>
      <c r="C29">
        <v>1.0378999999999999E-2</v>
      </c>
      <c r="D29">
        <v>9.2510000000000005E-3</v>
      </c>
      <c r="E29">
        <v>9.5090000000000001E-3</v>
      </c>
      <c r="F29">
        <v>641788304</v>
      </c>
      <c r="G29">
        <v>9.5090000000000001E-3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-0.54255319148936199</v>
      </c>
      <c r="Q29">
        <f t="shared" ref="Q29" si="121">F29*P29</f>
        <v>-348204292.59574485</v>
      </c>
      <c r="R29">
        <f t="shared" ref="R29" si="122">R30+Q29</f>
        <v>-3453757855.4987926</v>
      </c>
      <c r="S29">
        <f t="shared" ref="S29" si="123">R29/100000</f>
        <v>-34537.578554987929</v>
      </c>
      <c r="T29">
        <f t="shared" ref="T29" si="124">S29/1000</f>
        <v>-34.537578554987931</v>
      </c>
    </row>
    <row r="30" spans="1:20" x14ac:dyDescent="0.25">
      <c r="A30" s="5">
        <v>44563</v>
      </c>
      <c r="B30">
        <v>8.7419999999999998E-3</v>
      </c>
      <c r="C30">
        <v>1.2E-2</v>
      </c>
      <c r="D30">
        <v>8.6300000000000005E-3</v>
      </c>
      <c r="E30">
        <v>9.5289999999999993E-3</v>
      </c>
      <c r="F30">
        <v>1215889037</v>
      </c>
      <c r="G30">
        <v>9.5289999999999993E-3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-0.46646884272997102</v>
      </c>
      <c r="Q30">
        <f t="shared" ref="Q30" si="126">F30*P30</f>
        <v>-567174351.97744894</v>
      </c>
      <c r="R30">
        <f t="shared" ref="R30" si="127">R31+Q30</f>
        <v>-3105553562.9030476</v>
      </c>
      <c r="S30">
        <f t="shared" ref="S30" si="128">R30/100000</f>
        <v>-31055.535629030477</v>
      </c>
      <c r="T30">
        <f t="shared" ref="T30" si="129">S30/1000</f>
        <v>-31.055535629030476</v>
      </c>
    </row>
    <row r="31" spans="1:20" x14ac:dyDescent="0.25">
      <c r="A31" s="5">
        <v>44562</v>
      </c>
      <c r="B31">
        <v>8.4530000000000004E-3</v>
      </c>
      <c r="C31">
        <v>8.8710000000000004E-3</v>
      </c>
      <c r="D31">
        <v>8.4390000000000003E-3</v>
      </c>
      <c r="E31">
        <v>8.7220000000000006E-3</v>
      </c>
      <c r="F31">
        <v>34126098</v>
      </c>
      <c r="G31">
        <v>8.7220000000000006E-3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0.31018518518518612</v>
      </c>
      <c r="Q31">
        <f t="shared" ref="Q31" si="131">F31*P31</f>
        <v>10585410.02777781</v>
      </c>
      <c r="R31">
        <f t="shared" ref="R31" si="132">R32+Q31</f>
        <v>-2538379210.9255986</v>
      </c>
      <c r="S31">
        <f t="shared" ref="S31" si="133">R31/100000</f>
        <v>-25383.792109255985</v>
      </c>
      <c r="T31">
        <f t="shared" ref="T31" si="134">S31/1000</f>
        <v>-25.383792109255985</v>
      </c>
    </row>
    <row r="32" spans="1:20" x14ac:dyDescent="0.25">
      <c r="A32" s="5">
        <v>44561</v>
      </c>
      <c r="B32">
        <v>8.6960000000000006E-3</v>
      </c>
      <c r="C32">
        <v>8.8199999999999997E-3</v>
      </c>
      <c r="D32">
        <v>8.3029999999999996E-3</v>
      </c>
      <c r="E32">
        <v>8.4510000000000002E-3</v>
      </c>
      <c r="F32">
        <v>59309412</v>
      </c>
      <c r="G32">
        <v>8.4510000000000002E-3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-0.42746615087040413</v>
      </c>
      <c r="Q32">
        <f t="shared" ref="Q32" si="136">F32*P32</f>
        <v>-25352766.058026958</v>
      </c>
      <c r="R32">
        <f t="shared" ref="R32" si="137">R33+Q32</f>
        <v>-2548964620.9533763</v>
      </c>
      <c r="S32">
        <f t="shared" ref="S32" si="138">R32/100000</f>
        <v>-25489.646209533763</v>
      </c>
      <c r="T32">
        <f t="shared" ref="T32" si="139">S32/1000</f>
        <v>-25.489646209533763</v>
      </c>
    </row>
    <row r="33" spans="1:20" x14ac:dyDescent="0.25">
      <c r="A33" s="5">
        <v>44560</v>
      </c>
      <c r="B33">
        <v>8.4609999999999998E-3</v>
      </c>
      <c r="C33">
        <v>8.7650000000000002E-3</v>
      </c>
      <c r="D33">
        <v>8.2920000000000008E-3</v>
      </c>
      <c r="E33">
        <v>8.6949999999999996E-3</v>
      </c>
      <c r="F33">
        <v>70387407</v>
      </c>
      <c r="G33">
        <v>8.6949999999999996E-3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0.70401691331923599</v>
      </c>
      <c r="Q33">
        <f t="shared" ref="Q33" si="141">F33*P33</f>
        <v>49553925.012684785</v>
      </c>
      <c r="R33">
        <f t="shared" ref="R33" si="142">R34+Q33</f>
        <v>-2523611854.8953495</v>
      </c>
      <c r="S33">
        <f t="shared" ref="S33" si="143">R33/100000</f>
        <v>-25236.118548953495</v>
      </c>
      <c r="T33">
        <f t="shared" ref="T33" si="144">S33/1000</f>
        <v>-25.236118548953495</v>
      </c>
    </row>
    <row r="34" spans="1:20" x14ac:dyDescent="0.25">
      <c r="A34" s="5">
        <v>44559</v>
      </c>
      <c r="B34">
        <v>8.652E-3</v>
      </c>
      <c r="C34">
        <v>8.9029999999999995E-3</v>
      </c>
      <c r="D34">
        <v>8.3829999999999998E-3</v>
      </c>
      <c r="E34">
        <v>8.4550000000000007E-3</v>
      </c>
      <c r="F34">
        <v>93175801</v>
      </c>
      <c r="G34">
        <v>8.4550000000000007E-3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-0.72307692307691951</v>
      </c>
      <c r="Q34">
        <f t="shared" ref="Q34" si="146">F34*P34</f>
        <v>-67373271.492307365</v>
      </c>
      <c r="R34">
        <f t="shared" ref="R34" si="147">R35+Q34</f>
        <v>-2573165779.9080343</v>
      </c>
      <c r="S34">
        <f t="shared" ref="S34" si="148">R34/100000</f>
        <v>-25731.657799080342</v>
      </c>
      <c r="T34">
        <f t="shared" ref="T34" si="149">S34/1000</f>
        <v>-25.731657799080342</v>
      </c>
    </row>
    <row r="35" spans="1:20" x14ac:dyDescent="0.25">
      <c r="A35" s="5">
        <v>44558</v>
      </c>
      <c r="B35">
        <v>9.5090000000000001E-3</v>
      </c>
      <c r="C35">
        <v>9.5239999999999995E-3</v>
      </c>
      <c r="D35">
        <v>8.6040000000000005E-3</v>
      </c>
      <c r="E35">
        <v>8.6499999999999997E-3</v>
      </c>
      <c r="F35">
        <v>83235913</v>
      </c>
      <c r="G35">
        <v>8.6499999999999997E-3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-0.90000000000000169</v>
      </c>
      <c r="Q35">
        <f t="shared" ref="Q35" si="151">F35*P35</f>
        <v>-74912321.700000137</v>
      </c>
      <c r="R35">
        <f t="shared" ref="R35" si="152">R36+Q35</f>
        <v>-2505792508.4157271</v>
      </c>
      <c r="S35">
        <f t="shared" ref="S35" si="153">R35/100000</f>
        <v>-25057.925084157272</v>
      </c>
      <c r="T35">
        <f t="shared" ref="T35" si="154">S35/1000</f>
        <v>-25.057925084157272</v>
      </c>
    </row>
    <row r="36" spans="1:20" x14ac:dyDescent="0.25">
      <c r="A36" s="5">
        <v>44557</v>
      </c>
      <c r="B36">
        <v>9.4610000000000007E-3</v>
      </c>
      <c r="C36">
        <v>9.9939999999999994E-3</v>
      </c>
      <c r="D36">
        <v>9.3500000000000007E-3</v>
      </c>
      <c r="E36">
        <v>9.5090000000000001E-3</v>
      </c>
      <c r="F36">
        <v>102268040</v>
      </c>
      <c r="G36">
        <v>9.5090000000000001E-3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-0.50621118012422439</v>
      </c>
      <c r="Q36">
        <f t="shared" ref="Q36" si="156">F36*P36</f>
        <v>-51769225.217391387</v>
      </c>
      <c r="R36">
        <f t="shared" ref="R36" si="157">R37+Q36</f>
        <v>-2430880186.7157269</v>
      </c>
      <c r="S36">
        <f t="shared" ref="S36" si="158">R36/100000</f>
        <v>-24308.801867157268</v>
      </c>
      <c r="T36">
        <f t="shared" ref="T36" si="159">S36/1000</f>
        <v>-24.308801867157268</v>
      </c>
    </row>
    <row r="37" spans="1:20" x14ac:dyDescent="0.25">
      <c r="A37" s="5">
        <v>44556</v>
      </c>
      <c r="B37">
        <v>9.476E-3</v>
      </c>
      <c r="C37">
        <v>9.5589999999999998E-3</v>
      </c>
      <c r="D37">
        <v>9.1819999999999992E-3</v>
      </c>
      <c r="E37">
        <v>9.4400000000000005E-3</v>
      </c>
      <c r="F37">
        <v>102806079</v>
      </c>
      <c r="G37">
        <v>9.4400000000000005E-3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0.36870026525199401</v>
      </c>
      <c r="Q37">
        <f t="shared" ref="Q37" si="161">F37*P37</f>
        <v>37904628.596817449</v>
      </c>
      <c r="R37">
        <f t="shared" ref="R37" si="162">R38+Q37</f>
        <v>-2379110961.4983354</v>
      </c>
      <c r="S37">
        <f t="shared" ref="S37" si="163">R37/100000</f>
        <v>-23791.109614983354</v>
      </c>
      <c r="T37">
        <f t="shared" ref="T37" si="164">S37/1000</f>
        <v>-23.791109614983355</v>
      </c>
    </row>
    <row r="38" spans="1:20" x14ac:dyDescent="0.25">
      <c r="A38" s="5">
        <v>44555</v>
      </c>
      <c r="B38">
        <v>9.41E-3</v>
      </c>
      <c r="C38">
        <v>9.5139999999999999E-3</v>
      </c>
      <c r="D38">
        <v>9.2040000000000004E-3</v>
      </c>
      <c r="E38">
        <v>9.476E-3</v>
      </c>
      <c r="F38">
        <v>63976345</v>
      </c>
      <c r="G38">
        <v>9.476E-3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0.75483870967741995</v>
      </c>
      <c r="Q38">
        <f t="shared" ref="Q38" si="166">F38*P38</f>
        <v>48291821.709677458</v>
      </c>
      <c r="R38">
        <f t="shared" ref="R38" si="167">R39+Q38</f>
        <v>-2417015590.0951529</v>
      </c>
      <c r="S38">
        <f t="shared" ref="S38" si="168">R38/100000</f>
        <v>-24170.155900951529</v>
      </c>
      <c r="T38">
        <f t="shared" ref="T38" si="169">S38/1000</f>
        <v>-24.170155900951528</v>
      </c>
    </row>
    <row r="39" spans="1:20" x14ac:dyDescent="0.25">
      <c r="A39" s="5">
        <v>44554</v>
      </c>
      <c r="B39">
        <v>9.3589999999999993E-3</v>
      </c>
      <c r="C39">
        <v>9.7999999999999997E-3</v>
      </c>
      <c r="D39">
        <v>9.2840000000000006E-3</v>
      </c>
      <c r="E39">
        <v>9.4179999999999993E-3</v>
      </c>
      <c r="F39">
        <v>70544116</v>
      </c>
      <c r="G39">
        <v>9.4179999999999993E-3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-0.48062015503876382</v>
      </c>
      <c r="Q39">
        <f t="shared" ref="Q39" si="171">F39*P39</f>
        <v>-33904923.968992539</v>
      </c>
      <c r="R39">
        <f t="shared" ref="R39" si="172">R40+Q39</f>
        <v>-2465307411.8048301</v>
      </c>
      <c r="S39">
        <f t="shared" ref="S39" si="173">R39/100000</f>
        <v>-24653.074118048302</v>
      </c>
      <c r="T39">
        <f t="shared" ref="T39" si="174">S39/1000</f>
        <v>-24.653074118048302</v>
      </c>
    </row>
    <row r="40" spans="1:20" x14ac:dyDescent="0.25">
      <c r="A40" s="5">
        <v>44553</v>
      </c>
      <c r="B40">
        <v>8.8409999999999999E-3</v>
      </c>
      <c r="C40">
        <v>9.3679999999999996E-3</v>
      </c>
      <c r="D40">
        <v>8.7250000000000001E-3</v>
      </c>
      <c r="E40">
        <v>9.3589999999999993E-3</v>
      </c>
      <c r="F40">
        <v>77360824</v>
      </c>
      <c r="G40">
        <v>9.3589999999999993E-3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0.97200622083981236</v>
      </c>
      <c r="Q40">
        <f t="shared" ref="Q40" si="176">F40*P40</f>
        <v>75195202.177293852</v>
      </c>
      <c r="R40">
        <f t="shared" ref="R40" si="177">R41+Q40</f>
        <v>-2431402487.8358374</v>
      </c>
      <c r="S40">
        <f t="shared" ref="S40" si="178">R40/100000</f>
        <v>-24314.024878358374</v>
      </c>
      <c r="T40">
        <f t="shared" ref="T40" si="179">S40/1000</f>
        <v>-24.314024878358374</v>
      </c>
    </row>
    <row r="41" spans="1:20" x14ac:dyDescent="0.25">
      <c r="A41" s="5">
        <v>44552</v>
      </c>
      <c r="B41">
        <v>8.6300000000000005E-3</v>
      </c>
      <c r="C41">
        <v>8.9580000000000007E-3</v>
      </c>
      <c r="D41">
        <v>8.5679999999999992E-3</v>
      </c>
      <c r="E41">
        <v>8.8229999999999992E-3</v>
      </c>
      <c r="F41">
        <v>90594166</v>
      </c>
      <c r="G41">
        <v>8.8229999999999992E-3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0.30769230769230288</v>
      </c>
      <c r="Q41">
        <f t="shared" ref="Q41" si="181">F41*P41</f>
        <v>27875127.999999564</v>
      </c>
      <c r="R41">
        <f t="shared" ref="R41" si="182">R42+Q41</f>
        <v>-2506597690.0131311</v>
      </c>
      <c r="S41">
        <f t="shared" ref="S41" si="183">R41/100000</f>
        <v>-25065.976900131311</v>
      </c>
      <c r="T41">
        <f t="shared" ref="T41" si="184">S41/1000</f>
        <v>-25.065976900131311</v>
      </c>
    </row>
    <row r="42" spans="1:20" x14ac:dyDescent="0.25">
      <c r="A42" s="5">
        <v>44551</v>
      </c>
      <c r="B42">
        <v>8.3789999999999993E-3</v>
      </c>
      <c r="C42">
        <v>8.6840000000000007E-3</v>
      </c>
      <c r="D42">
        <v>8.2719999999999998E-3</v>
      </c>
      <c r="E42">
        <v>8.6300000000000005E-3</v>
      </c>
      <c r="F42">
        <v>75326602</v>
      </c>
      <c r="G42">
        <v>8.6300000000000005E-3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0.73786407766990236</v>
      </c>
      <c r="Q42">
        <f t="shared" ref="Q42" si="186">F42*P42</f>
        <v>55580793.70873782</v>
      </c>
      <c r="R42">
        <f t="shared" ref="R42" si="187">R43+Q42</f>
        <v>-2534472818.0131307</v>
      </c>
      <c r="S42">
        <f t="shared" ref="S42" si="188">R42/100000</f>
        <v>-25344.728180131307</v>
      </c>
      <c r="T42">
        <f t="shared" ref="T42" si="189">S42/1000</f>
        <v>-25.344728180131309</v>
      </c>
    </row>
    <row r="43" spans="1:20" x14ac:dyDescent="0.25">
      <c r="A43" s="5">
        <v>44550</v>
      </c>
      <c r="B43">
        <v>8.7360000000000007E-3</v>
      </c>
      <c r="C43">
        <v>8.8839999999999995E-3</v>
      </c>
      <c r="D43">
        <v>8.1239999999999993E-3</v>
      </c>
      <c r="E43">
        <v>8.3719999999999992E-3</v>
      </c>
      <c r="F43">
        <v>120059133</v>
      </c>
      <c r="G43">
        <v>8.3719999999999992E-3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-0.34736842105263194</v>
      </c>
      <c r="Q43">
        <f t="shared" ref="Q43" si="191">F43*P43</f>
        <v>-41704751.463157937</v>
      </c>
      <c r="R43">
        <f t="shared" ref="R43" si="192">R44+Q43</f>
        <v>-2590053611.7218685</v>
      </c>
      <c r="S43">
        <f t="shared" ref="S43" si="193">R43/100000</f>
        <v>-25900.536117218686</v>
      </c>
      <c r="T43">
        <f t="shared" ref="T43" si="194">S43/1000</f>
        <v>-25.900536117218685</v>
      </c>
    </row>
    <row r="44" spans="1:20" x14ac:dyDescent="0.25">
      <c r="A44" s="5">
        <v>44549</v>
      </c>
      <c r="B44">
        <v>8.8310000000000003E-3</v>
      </c>
      <c r="C44">
        <v>8.9499999999999996E-3</v>
      </c>
      <c r="D44">
        <v>8.6949999999999996E-3</v>
      </c>
      <c r="E44">
        <v>8.7360000000000007E-3</v>
      </c>
      <c r="F44">
        <v>72477822</v>
      </c>
      <c r="G44">
        <v>8.7360000000000007E-3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-0.67843137254901098</v>
      </c>
      <c r="Q44">
        <f t="shared" ref="Q44" si="196">F44*P44</f>
        <v>-49171228.258822903</v>
      </c>
      <c r="R44">
        <f t="shared" ref="R44" si="197">R45+Q44</f>
        <v>-2548348860.2587104</v>
      </c>
      <c r="S44">
        <f t="shared" ref="S44" si="198">R44/100000</f>
        <v>-25483.488602587106</v>
      </c>
      <c r="T44">
        <f t="shared" ref="T44" si="199">S44/1000</f>
        <v>-25.483488602587105</v>
      </c>
    </row>
    <row r="45" spans="1:20" x14ac:dyDescent="0.25">
      <c r="A45" s="5">
        <v>44548</v>
      </c>
      <c r="B45">
        <v>8.6700000000000006E-3</v>
      </c>
      <c r="C45">
        <v>8.9999999999999993E-3</v>
      </c>
      <c r="D45">
        <v>8.4810000000000007E-3</v>
      </c>
      <c r="E45">
        <v>8.8240000000000002E-3</v>
      </c>
      <c r="F45">
        <v>79930395</v>
      </c>
      <c r="G45">
        <v>8.8240000000000002E-3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0.3217726396917166</v>
      </c>
      <c r="Q45">
        <f t="shared" ref="Q45" si="201">F45*P45</f>
        <v>25719414.190751586</v>
      </c>
      <c r="R45">
        <f t="shared" ref="R45" si="202">R46+Q45</f>
        <v>-2499177631.9998875</v>
      </c>
      <c r="S45">
        <f t="shared" ref="S45" si="203">R45/100000</f>
        <v>-24991.776319998873</v>
      </c>
      <c r="T45">
        <f t="shared" ref="T45" si="204">S45/1000</f>
        <v>-24.991776319998873</v>
      </c>
    </row>
    <row r="46" spans="1:20" x14ac:dyDescent="0.25">
      <c r="A46" s="5">
        <v>44547</v>
      </c>
      <c r="B46">
        <v>8.5360000000000002E-3</v>
      </c>
      <c r="C46">
        <v>9.1330000000000005E-3</v>
      </c>
      <c r="D46">
        <v>8.2979999999999998E-3</v>
      </c>
      <c r="E46">
        <v>8.6739999999999994E-3</v>
      </c>
      <c r="F46">
        <v>266065875</v>
      </c>
      <c r="G46">
        <v>8.6739999999999994E-3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-9.9401197604792102E-2</v>
      </c>
      <c r="Q46">
        <f t="shared" ref="Q46" si="206">F46*P46</f>
        <v>-26447266.616766915</v>
      </c>
      <c r="R46">
        <f t="shared" ref="R46" si="207">R47+Q46</f>
        <v>-2524897046.190639</v>
      </c>
      <c r="S46">
        <f t="shared" ref="S46" si="208">R46/100000</f>
        <v>-25248.970461906389</v>
      </c>
      <c r="T46">
        <f t="shared" ref="T46" si="209">S46/1000</f>
        <v>-25.248970461906389</v>
      </c>
    </row>
    <row r="47" spans="1:20" x14ac:dyDescent="0.25">
      <c r="A47" s="5">
        <v>44546</v>
      </c>
      <c r="B47">
        <v>8.7620000000000007E-3</v>
      </c>
      <c r="C47">
        <v>9.0760000000000007E-3</v>
      </c>
      <c r="D47">
        <v>8.5159999999999993E-3</v>
      </c>
      <c r="E47">
        <v>8.5330000000000007E-3</v>
      </c>
      <c r="F47">
        <v>93815579</v>
      </c>
      <c r="G47">
        <v>8.5330000000000007E-3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-0.93928571428570951</v>
      </c>
      <c r="Q47">
        <f t="shared" ref="Q47" si="211">F47*P47</f>
        <v>-88119633.13214241</v>
      </c>
      <c r="R47">
        <f t="shared" ref="R47" si="212">R48+Q47</f>
        <v>-2498449779.5738721</v>
      </c>
      <c r="S47">
        <f t="shared" ref="S47" si="213">R47/100000</f>
        <v>-24984.49779573872</v>
      </c>
      <c r="T47">
        <f t="shared" ref="T47" si="214">S47/1000</f>
        <v>-24.984497795738719</v>
      </c>
    </row>
    <row r="48" spans="1:20" x14ac:dyDescent="0.25">
      <c r="A48" s="5">
        <v>44545</v>
      </c>
      <c r="B48">
        <v>8.404E-3</v>
      </c>
      <c r="C48">
        <v>8.8179999999999994E-3</v>
      </c>
      <c r="D48">
        <v>7.9170000000000004E-3</v>
      </c>
      <c r="E48">
        <v>8.7329999999999994E-3</v>
      </c>
      <c r="F48">
        <v>163049021</v>
      </c>
      <c r="G48">
        <v>8.7329999999999994E-3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0.81132075471698095</v>
      </c>
      <c r="Q48">
        <f t="shared" ref="Q48" si="216">F48*P48</f>
        <v>132285054.77358487</v>
      </c>
      <c r="R48">
        <f t="shared" ref="R48" si="217">R49+Q48</f>
        <v>-2410330146.4417295</v>
      </c>
      <c r="S48">
        <f t="shared" ref="S48" si="218">R48/100000</f>
        <v>-24103.301464417294</v>
      </c>
      <c r="T48">
        <f t="shared" ref="T48" si="219">S48/1000</f>
        <v>-24.103301464417296</v>
      </c>
    </row>
    <row r="49" spans="1:20" x14ac:dyDescent="0.25">
      <c r="A49" s="5">
        <v>44544</v>
      </c>
      <c r="B49">
        <v>8.2629999999999995E-3</v>
      </c>
      <c r="C49">
        <v>8.5039999999999994E-3</v>
      </c>
      <c r="D49">
        <v>7.9330000000000008E-3</v>
      </c>
      <c r="E49">
        <v>8.404E-3</v>
      </c>
      <c r="F49">
        <v>211429265</v>
      </c>
      <c r="G49">
        <v>8.404E-3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0.6497373029772342</v>
      </c>
      <c r="Q49">
        <f t="shared" ref="Q49" si="221">F49*P49</f>
        <v>137373480.41155893</v>
      </c>
      <c r="R49">
        <f t="shared" ref="R49" si="222">R50+Q49</f>
        <v>-2542615201.2153144</v>
      </c>
      <c r="S49">
        <f t="shared" ref="S49" si="223">R49/100000</f>
        <v>-25426.152012153143</v>
      </c>
      <c r="T49">
        <f t="shared" ref="T49" si="224">S49/1000</f>
        <v>-25.426152012153143</v>
      </c>
    </row>
    <row r="50" spans="1:20" x14ac:dyDescent="0.25">
      <c r="A50" s="5">
        <v>44543</v>
      </c>
      <c r="B50">
        <v>9.3159999999999996E-3</v>
      </c>
      <c r="C50">
        <v>9.3889999999999998E-3</v>
      </c>
      <c r="D50">
        <v>8.2500000000000004E-3</v>
      </c>
      <c r="E50">
        <v>8.2620000000000002E-3</v>
      </c>
      <c r="F50">
        <v>131308819</v>
      </c>
      <c r="G50">
        <v>8.2620000000000002E-3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-0.97892888498683084</v>
      </c>
      <c r="Q50">
        <f t="shared" ref="Q50" si="226">F50*P50</f>
        <v>-128541995.77260759</v>
      </c>
      <c r="R50">
        <f t="shared" ref="R50" si="227">R51+Q50</f>
        <v>-2679988681.6268735</v>
      </c>
      <c r="S50">
        <f t="shared" ref="S50" si="228">R50/100000</f>
        <v>-26799.886816268736</v>
      </c>
      <c r="T50">
        <f t="shared" ref="T50" si="229">S50/1000</f>
        <v>-26.799886816268735</v>
      </c>
    </row>
    <row r="51" spans="1:20" x14ac:dyDescent="0.25">
      <c r="A51" s="5">
        <v>44542</v>
      </c>
      <c r="B51">
        <v>9.3769999999999999E-3</v>
      </c>
      <c r="C51">
        <v>0.01</v>
      </c>
      <c r="D51">
        <v>9.0299999999999998E-3</v>
      </c>
      <c r="E51">
        <v>9.3390000000000001E-3</v>
      </c>
      <c r="F51">
        <v>124899253</v>
      </c>
      <c r="G51">
        <v>9.3390000000000001E-3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-0.3628865979381441</v>
      </c>
      <c r="Q51">
        <f t="shared" ref="Q51" si="231">F51*P51</f>
        <v>-45324265.006185539</v>
      </c>
      <c r="R51">
        <f t="shared" ref="R51" si="232">R52+Q51</f>
        <v>-2551446685.8542657</v>
      </c>
      <c r="S51">
        <f t="shared" ref="S51" si="233">R51/100000</f>
        <v>-25514.466858542655</v>
      </c>
      <c r="T51">
        <f t="shared" ref="T51" si="234">S51/1000</f>
        <v>-25.514466858542654</v>
      </c>
    </row>
    <row r="52" spans="1:20" x14ac:dyDescent="0.25">
      <c r="A52" s="5">
        <v>44541</v>
      </c>
      <c r="B52">
        <v>9.0220000000000005E-3</v>
      </c>
      <c r="C52">
        <v>9.0500000000000008E-3</v>
      </c>
      <c r="D52">
        <v>8.7299999999999999E-3</v>
      </c>
      <c r="E52">
        <v>8.9009999999999992E-3</v>
      </c>
      <c r="F52">
        <v>17506658</v>
      </c>
      <c r="G52">
        <v>8.9009999999999992E-3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6.8749999999992678E-2</v>
      </c>
      <c r="Q52">
        <f t="shared" ref="Q52" si="236">F52*P52</f>
        <v>1203582.7374998718</v>
      </c>
      <c r="R52">
        <f t="shared" ref="R52" si="237">R53+Q52</f>
        <v>-2506122420.8480802</v>
      </c>
      <c r="S52">
        <f t="shared" ref="S52" si="238">R52/100000</f>
        <v>-25061.224208480802</v>
      </c>
      <c r="T52">
        <f t="shared" ref="T52" si="239">S52/1000</f>
        <v>-25.061224208480802</v>
      </c>
    </row>
    <row r="53" spans="1:20" x14ac:dyDescent="0.25">
      <c r="A53" s="5">
        <v>44540</v>
      </c>
      <c r="B53">
        <v>9.4420000000000007E-3</v>
      </c>
      <c r="C53">
        <v>9.7319999999999993E-3</v>
      </c>
      <c r="D53">
        <v>9.0100000000000006E-3</v>
      </c>
      <c r="E53">
        <v>9.0550000000000005E-3</v>
      </c>
      <c r="F53">
        <v>91910207</v>
      </c>
      <c r="G53">
        <v>9.0550000000000005E-3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-0.87534626038781171</v>
      </c>
      <c r="Q53">
        <f t="shared" ref="Q53" si="241">F53*P53</f>
        <v>-80453255.988919675</v>
      </c>
      <c r="R53">
        <f t="shared" ref="R53" si="242">R54+Q53</f>
        <v>-2507326003.5855799</v>
      </c>
      <c r="S53">
        <f t="shared" ref="S53" si="243">R53/100000</f>
        <v>-25073.260035855797</v>
      </c>
      <c r="T53">
        <f t="shared" ref="T53" si="244">S53/1000</f>
        <v>-25.073260035855796</v>
      </c>
    </row>
    <row r="54" spans="1:20" x14ac:dyDescent="0.25">
      <c r="A54" s="5">
        <v>44539</v>
      </c>
      <c r="B54">
        <v>1.0414E-2</v>
      </c>
      <c r="C54">
        <v>1.0473E-2</v>
      </c>
      <c r="D54">
        <v>9.3980000000000001E-3</v>
      </c>
      <c r="E54">
        <v>9.4490000000000008E-3</v>
      </c>
      <c r="F54">
        <v>117244005</v>
      </c>
      <c r="G54">
        <v>9.4490000000000008E-3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-0.90511627906976611</v>
      </c>
      <c r="Q54">
        <f t="shared" ref="Q54" si="246">F54*P54</f>
        <v>-106119457.54883705</v>
      </c>
      <c r="R54">
        <f t="shared" ref="R54" si="247">R55+Q54</f>
        <v>-2426872747.5966601</v>
      </c>
      <c r="S54">
        <f t="shared" ref="S54" si="248">R54/100000</f>
        <v>-24268.7274759666</v>
      </c>
      <c r="T54">
        <f t="shared" ref="T54" si="249">S54/1000</f>
        <v>-24.2687274759666</v>
      </c>
    </row>
    <row r="55" spans="1:20" x14ac:dyDescent="0.25">
      <c r="A55" s="5">
        <v>44538</v>
      </c>
      <c r="B55">
        <v>1.0120000000000001E-2</v>
      </c>
      <c r="C55">
        <v>1.0473E-2</v>
      </c>
      <c r="D55">
        <v>9.691E-3</v>
      </c>
      <c r="E55">
        <v>1.0407E-2</v>
      </c>
      <c r="F55">
        <v>130590402</v>
      </c>
      <c r="G55">
        <v>1.0407E-2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0.83120204603580539</v>
      </c>
      <c r="Q55">
        <f t="shared" ref="Q55" si="251">F55*P55</f>
        <v>108547009.33503833</v>
      </c>
      <c r="R55">
        <f t="shared" ref="R55" si="252">R56+Q55</f>
        <v>-2320753290.047823</v>
      </c>
      <c r="S55">
        <f t="shared" ref="S55" si="253">R55/100000</f>
        <v>-23207.532900478229</v>
      </c>
      <c r="T55">
        <f t="shared" ref="T55" si="254">S55/1000</f>
        <v>-23.207532900478228</v>
      </c>
    </row>
    <row r="56" spans="1:20" x14ac:dyDescent="0.25">
      <c r="A56" s="5">
        <v>44537</v>
      </c>
      <c r="B56">
        <v>1.0156E-2</v>
      </c>
      <c r="C56">
        <v>1.0598E-2</v>
      </c>
      <c r="D56">
        <v>9.8189999999999996E-3</v>
      </c>
      <c r="E56">
        <v>1.0120000000000001E-2</v>
      </c>
      <c r="F56">
        <v>155038495</v>
      </c>
      <c r="G56">
        <v>1.0120000000000001E-2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-0.22721437740692979</v>
      </c>
      <c r="Q56">
        <f t="shared" ref="Q56" si="256">F56*P56</f>
        <v>-35226975.115532398</v>
      </c>
      <c r="R56">
        <f t="shared" ref="R56" si="257">R57+Q56</f>
        <v>-2429300299.3828611</v>
      </c>
      <c r="S56">
        <f t="shared" ref="S56" si="258">R56/100000</f>
        <v>-24293.00299382861</v>
      </c>
      <c r="T56">
        <f t="shared" ref="T56" si="259">S56/1000</f>
        <v>-24.293002993828608</v>
      </c>
    </row>
    <row r="57" spans="1:20" x14ac:dyDescent="0.25">
      <c r="A57" s="5">
        <v>44536</v>
      </c>
      <c r="B57">
        <v>9.7909999999999994E-3</v>
      </c>
      <c r="C57">
        <v>1.0196999999999999E-2</v>
      </c>
      <c r="D57">
        <v>8.4530000000000004E-3</v>
      </c>
      <c r="E57">
        <v>1.0196E-2</v>
      </c>
      <c r="F57">
        <v>279615618</v>
      </c>
      <c r="G57">
        <v>1.0196E-2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0.99885321100917512</v>
      </c>
      <c r="Q57">
        <f t="shared" ref="Q57" si="261">F57*P57</f>
        <v>279294957.88761491</v>
      </c>
      <c r="R57">
        <f t="shared" ref="R57" si="262">R58+Q57</f>
        <v>-2394073324.2673287</v>
      </c>
      <c r="S57">
        <f t="shared" ref="S57" si="263">R57/100000</f>
        <v>-23940.733242673286</v>
      </c>
      <c r="T57">
        <f t="shared" ref="T57" si="264">S57/1000</f>
        <v>-23.940733242673286</v>
      </c>
    </row>
    <row r="58" spans="1:20" x14ac:dyDescent="0.25">
      <c r="A58" s="5">
        <v>44535</v>
      </c>
      <c r="B58">
        <v>1.0441000000000001E-2</v>
      </c>
      <c r="C58">
        <v>1.0673999999999999E-2</v>
      </c>
      <c r="D58">
        <v>9.2499999999999995E-3</v>
      </c>
      <c r="E58">
        <v>9.7900000000000001E-3</v>
      </c>
      <c r="F58">
        <v>203724708</v>
      </c>
      <c r="G58">
        <v>9.7900000000000001E-3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-0.24157303370786434</v>
      </c>
      <c r="Q58">
        <f t="shared" ref="Q58" si="266">F58*P58</f>
        <v>-49214395.752808824</v>
      </c>
      <c r="R58">
        <f t="shared" ref="R58" si="267">R59+Q58</f>
        <v>-2673368282.1549435</v>
      </c>
      <c r="S58">
        <f t="shared" ref="S58" si="268">R58/100000</f>
        <v>-26733.682821549435</v>
      </c>
      <c r="T58">
        <f t="shared" ref="T58" si="269">S58/1000</f>
        <v>-26.733682821549436</v>
      </c>
    </row>
    <row r="59" spans="1:20" x14ac:dyDescent="0.25">
      <c r="A59" s="5">
        <v>44534</v>
      </c>
      <c r="B59">
        <v>1.2293E-2</v>
      </c>
      <c r="C59">
        <v>1.242E-2</v>
      </c>
      <c r="D59">
        <v>8.3619999999999996E-3</v>
      </c>
      <c r="E59">
        <v>1.0406E-2</v>
      </c>
      <c r="F59">
        <v>545903111</v>
      </c>
      <c r="G59">
        <v>1.0406E-2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7.3928043371120026E-3</v>
      </c>
      <c r="Q59">
        <f t="shared" ref="Q59" si="271">F59*P59</f>
        <v>4035754.8866437348</v>
      </c>
      <c r="R59">
        <f t="shared" ref="R59" si="272">R60+Q59</f>
        <v>-2624153886.4021344</v>
      </c>
      <c r="S59">
        <f t="shared" ref="S59" si="273">R59/100000</f>
        <v>-26241.538864021346</v>
      </c>
      <c r="T59">
        <f t="shared" ref="T59" si="274">S59/1000</f>
        <v>-26.241538864021347</v>
      </c>
    </row>
    <row r="60" spans="1:20" x14ac:dyDescent="0.25">
      <c r="A60" s="5">
        <v>44533</v>
      </c>
      <c r="B60">
        <v>1.3244000000000001E-2</v>
      </c>
      <c r="C60">
        <v>1.3448999999999999E-2</v>
      </c>
      <c r="D60">
        <v>1.2101000000000001E-2</v>
      </c>
      <c r="E60">
        <v>1.2290000000000001E-2</v>
      </c>
      <c r="F60">
        <v>258628247</v>
      </c>
      <c r="G60">
        <v>1.2290000000000001E-2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-0.7195845697329375</v>
      </c>
      <c r="Q60">
        <f t="shared" ref="Q60" si="276">F60*P60</f>
        <v>-186104895.83827889</v>
      </c>
      <c r="R60">
        <f t="shared" ref="R60" si="277">R61+Q60</f>
        <v>-2628189641.2887783</v>
      </c>
      <c r="S60">
        <f t="shared" ref="S60" si="278">R60/100000</f>
        <v>-26281.896412887781</v>
      </c>
      <c r="T60">
        <f t="shared" ref="T60" si="279">S60/1000</f>
        <v>-26.281896412887782</v>
      </c>
    </row>
    <row r="61" spans="1:20" x14ac:dyDescent="0.25">
      <c r="A61" s="5">
        <v>44532</v>
      </c>
      <c r="B61">
        <v>1.3610000000000001E-2</v>
      </c>
      <c r="C61">
        <v>1.3717999999999999E-2</v>
      </c>
      <c r="D61">
        <v>1.2826000000000001E-2</v>
      </c>
      <c r="E61">
        <v>1.3244000000000001E-2</v>
      </c>
      <c r="F61">
        <v>367181823</v>
      </c>
      <c r="G61">
        <v>1.3244000000000001E-2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-6.278026905829466E-2</v>
      </c>
      <c r="Q61">
        <f t="shared" ref="Q61" si="281">F61*P61</f>
        <v>-23051773.641255125</v>
      </c>
      <c r="R61">
        <f t="shared" ref="R61" si="282">R62+Q61</f>
        <v>-2442084745.4504995</v>
      </c>
      <c r="S61">
        <f t="shared" ref="S61" si="283">R61/100000</f>
        <v>-24420.847454504994</v>
      </c>
      <c r="T61">
        <f t="shared" ref="T61" si="284">S61/1000</f>
        <v>-24.420847454504994</v>
      </c>
    </row>
    <row r="62" spans="1:20" x14ac:dyDescent="0.25">
      <c r="A62" s="5">
        <v>44531</v>
      </c>
      <c r="B62">
        <v>1.4293999999999999E-2</v>
      </c>
      <c r="C62">
        <v>1.4737999999999999E-2</v>
      </c>
      <c r="D62">
        <v>1.3311999999999999E-2</v>
      </c>
      <c r="E62">
        <v>1.3613E-2</v>
      </c>
      <c r="F62">
        <v>777625892</v>
      </c>
      <c r="G62">
        <v>1.3613E-2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-0.5778401122019623</v>
      </c>
      <c r="Q62">
        <f t="shared" ref="Q62" si="286">F62*P62</f>
        <v>-449343432.68443102</v>
      </c>
      <c r="R62">
        <f t="shared" ref="R62" si="287">R63+Q62</f>
        <v>-2419032971.8092446</v>
      </c>
      <c r="S62">
        <f t="shared" ref="S62" si="288">R62/100000</f>
        <v>-24190.329718092446</v>
      </c>
      <c r="T62">
        <f t="shared" ref="T62" si="289">S62/1000</f>
        <v>-24.190329718092446</v>
      </c>
    </row>
    <row r="63" spans="1:20" x14ac:dyDescent="0.25">
      <c r="A63" s="5">
        <v>44530</v>
      </c>
      <c r="B63">
        <v>1.3958E-2</v>
      </c>
      <c r="C63">
        <v>1.4963000000000001E-2</v>
      </c>
      <c r="D63">
        <v>1.3719E-2</v>
      </c>
      <c r="E63">
        <v>1.4305999999999999E-2</v>
      </c>
      <c r="F63">
        <v>315501237</v>
      </c>
      <c r="G63">
        <v>1.4305999999999999E-2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-5.6270096463024381E-2</v>
      </c>
      <c r="Q63">
        <f t="shared" ref="Q63" si="291">F63*P63</f>
        <v>-17753285.040193517</v>
      </c>
      <c r="R63">
        <f t="shared" ref="R63" si="292">R64+Q63</f>
        <v>-1969689539.1248138</v>
      </c>
      <c r="S63">
        <f t="shared" ref="S63" si="293">R63/100000</f>
        <v>-19696.895391248137</v>
      </c>
      <c r="T63">
        <f t="shared" ref="T63" si="294">S63/1000</f>
        <v>-19.696895391248137</v>
      </c>
    </row>
    <row r="64" spans="1:20" x14ac:dyDescent="0.25">
      <c r="A64" s="5">
        <v>44529</v>
      </c>
      <c r="B64">
        <v>1.3665E-2</v>
      </c>
      <c r="C64">
        <v>1.3993E-2</v>
      </c>
      <c r="D64">
        <v>1.3424E-2</v>
      </c>
      <c r="E64">
        <v>1.3957000000000001E-2</v>
      </c>
      <c r="F64">
        <v>133607964</v>
      </c>
      <c r="G64">
        <v>1.3957000000000001E-2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0.87346221441124927</v>
      </c>
      <c r="Q64">
        <f t="shared" ref="Q64" si="296">F64*P64</f>
        <v>116701508.09841847</v>
      </c>
      <c r="R64">
        <f t="shared" ref="R64" si="297">R65+Q64</f>
        <v>-1951936254.0846202</v>
      </c>
      <c r="S64">
        <f t="shared" ref="S64" si="298">R64/100000</f>
        <v>-19519.362540846203</v>
      </c>
      <c r="T64">
        <f t="shared" ref="T64" si="299">S64/1000</f>
        <v>-19.519362540846203</v>
      </c>
    </row>
    <row r="65" spans="1:20" x14ac:dyDescent="0.25">
      <c r="A65" s="5">
        <v>44528</v>
      </c>
      <c r="B65">
        <v>1.4142E-2</v>
      </c>
      <c r="C65">
        <v>1.427E-2</v>
      </c>
      <c r="D65">
        <v>1.2659999999999999E-2</v>
      </c>
      <c r="E65">
        <v>1.3697000000000001E-2</v>
      </c>
      <c r="F65">
        <v>197254613</v>
      </c>
      <c r="G65">
        <v>1.3697000000000001E-2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0.28819875776397674</v>
      </c>
      <c r="Q65">
        <f t="shared" ref="Q65" si="301">F65*P65</f>
        <v>56848534.429813981</v>
      </c>
      <c r="R65">
        <f t="shared" ref="R65" si="302">R66+Q65</f>
        <v>-2068637762.1830387</v>
      </c>
      <c r="S65">
        <f t="shared" ref="S65" si="303">R65/100000</f>
        <v>-20686.377621830386</v>
      </c>
      <c r="T65">
        <f t="shared" ref="T65" si="304">S65/1000</f>
        <v>-20.686377621830385</v>
      </c>
    </row>
    <row r="66" spans="1:20" x14ac:dyDescent="0.25">
      <c r="A66" s="5">
        <v>44527</v>
      </c>
      <c r="B66">
        <v>1.4217E-2</v>
      </c>
      <c r="C66">
        <v>1.465E-2</v>
      </c>
      <c r="D66">
        <v>1.3714E-2</v>
      </c>
      <c r="E66">
        <v>1.414E-2</v>
      </c>
      <c r="F66">
        <v>365866244</v>
      </c>
      <c r="G66">
        <v>1.414E-2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-8.9743589743590604E-2</v>
      </c>
      <c r="Q66">
        <f t="shared" ref="Q66" si="306">F66*P66</f>
        <v>-32834150.102564417</v>
      </c>
      <c r="R66">
        <f t="shared" ref="R66" si="307">R67+Q66</f>
        <v>-2125486296.6128528</v>
      </c>
      <c r="S66">
        <f t="shared" ref="S66" si="308">R66/100000</f>
        <v>-21254.862966128527</v>
      </c>
      <c r="T66">
        <f t="shared" ref="T66" si="309">S66/1000</f>
        <v>-21.254862966128528</v>
      </c>
    </row>
    <row r="67" spans="1:20" x14ac:dyDescent="0.25">
      <c r="A67" s="5">
        <v>44526</v>
      </c>
      <c r="B67">
        <v>1.5089999999999999E-2</v>
      </c>
      <c r="C67">
        <v>1.6102000000000002E-2</v>
      </c>
      <c r="D67">
        <v>1.328E-2</v>
      </c>
      <c r="E67">
        <v>1.4246999999999999E-2</v>
      </c>
      <c r="F67">
        <v>558409661</v>
      </c>
      <c r="G67">
        <v>1.4246999999999999E-2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-0.31467044649185077</v>
      </c>
      <c r="Q67">
        <f t="shared" ref="Q67" si="311">F67*P67</f>
        <v>-175715017.35223302</v>
      </c>
      <c r="R67">
        <f t="shared" ref="R67" si="312">R68+Q67</f>
        <v>-2092652146.5102885</v>
      </c>
      <c r="S67">
        <f t="shared" ref="S67" si="313">R67/100000</f>
        <v>-20926.521465102884</v>
      </c>
      <c r="T67">
        <f t="shared" ref="T67" si="314">S67/1000</f>
        <v>-20.926521465102883</v>
      </c>
    </row>
    <row r="68" spans="1:20" x14ac:dyDescent="0.25">
      <c r="A68" s="5">
        <v>44525</v>
      </c>
      <c r="B68">
        <v>1.4928E-2</v>
      </c>
      <c r="C68">
        <v>1.6438999999999999E-2</v>
      </c>
      <c r="D68">
        <v>1.4293E-2</v>
      </c>
      <c r="E68">
        <v>1.511E-2</v>
      </c>
      <c r="F68">
        <v>674941742</v>
      </c>
      <c r="G68">
        <v>1.511E-2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-0.23858341099720359</v>
      </c>
      <c r="Q68">
        <f t="shared" ref="Q68" si="316">F68*P68</f>
        <v>-161029903.03075454</v>
      </c>
      <c r="R68">
        <f t="shared" ref="R68" si="317">R69+Q68</f>
        <v>-1916937129.1580555</v>
      </c>
      <c r="S68">
        <f t="shared" ref="S68" si="318">R68/100000</f>
        <v>-19169.371291580555</v>
      </c>
      <c r="T68">
        <f t="shared" ref="T68" si="319">S68/1000</f>
        <v>-19.169371291580557</v>
      </c>
    </row>
    <row r="69" spans="1:20" x14ac:dyDescent="0.25">
      <c r="A69" s="5">
        <v>44524</v>
      </c>
      <c r="B69">
        <v>1.388E-2</v>
      </c>
      <c r="C69">
        <v>1.4855999999999999E-2</v>
      </c>
      <c r="D69">
        <v>1.3733E-2</v>
      </c>
      <c r="E69">
        <v>1.4536E-2</v>
      </c>
      <c r="F69">
        <v>216527385</v>
      </c>
      <c r="G69">
        <v>1.4536E-2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0.43009795191451577</v>
      </c>
      <c r="Q69">
        <f t="shared" ref="Q69" si="321">F69*P69</f>
        <v>93127984.821905851</v>
      </c>
      <c r="R69">
        <f t="shared" ref="R69" si="322">R70+Q69</f>
        <v>-1755907226.127301</v>
      </c>
      <c r="S69">
        <f t="shared" ref="S69" si="323">R69/100000</f>
        <v>-17559.07226127301</v>
      </c>
      <c r="T69">
        <f t="shared" ref="T69" si="324">S69/1000</f>
        <v>-17.559072261273009</v>
      </c>
    </row>
    <row r="70" spans="1:20" x14ac:dyDescent="0.25">
      <c r="A70" s="5">
        <v>44523</v>
      </c>
      <c r="B70">
        <v>1.3832000000000001E-2</v>
      </c>
      <c r="C70">
        <v>1.4139000000000001E-2</v>
      </c>
      <c r="D70">
        <v>1.328E-2</v>
      </c>
      <c r="E70">
        <v>1.3873999999999999E-2</v>
      </c>
      <c r="F70">
        <v>601045507</v>
      </c>
      <c r="G70">
        <v>1.3873999999999999E-2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0.38300349243305887</v>
      </c>
      <c r="Q70">
        <f t="shared" ref="Q70" si="326">F70*P70</f>
        <v>230202528.29219854</v>
      </c>
      <c r="R70">
        <f t="shared" ref="R70" si="327">R71+Q70</f>
        <v>-1849035210.9492068</v>
      </c>
      <c r="S70">
        <f t="shared" ref="S70" si="328">R70/100000</f>
        <v>-18490.352109492069</v>
      </c>
      <c r="T70">
        <f t="shared" ref="T70" si="329">S70/1000</f>
        <v>-18.490352109492068</v>
      </c>
    </row>
    <row r="71" spans="1:20" x14ac:dyDescent="0.25">
      <c r="A71" s="5">
        <v>44522</v>
      </c>
      <c r="B71">
        <v>1.3884000000000001E-2</v>
      </c>
      <c r="C71">
        <v>1.55E-2</v>
      </c>
      <c r="D71">
        <v>1.2734000000000001E-2</v>
      </c>
      <c r="E71">
        <v>1.3831E-2</v>
      </c>
      <c r="F71">
        <v>1328751177</v>
      </c>
      <c r="G71">
        <v>1.3831E-2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-0.20679681851048498</v>
      </c>
      <c r="Q71">
        <f t="shared" ref="Q71" si="331">F71*P71</f>
        <v>-274781515.99566233</v>
      </c>
      <c r="R71">
        <f t="shared" ref="R71" si="332">R72+Q71</f>
        <v>-2079237739.2414055</v>
      </c>
      <c r="S71">
        <f t="shared" ref="S71" si="333">R71/100000</f>
        <v>-20792.377392414055</v>
      </c>
      <c r="T71">
        <f t="shared" ref="T71" si="334">S71/1000</f>
        <v>-20.792377392414053</v>
      </c>
    </row>
    <row r="72" spans="1:20" x14ac:dyDescent="0.25">
      <c r="A72" s="5">
        <v>44521</v>
      </c>
      <c r="B72">
        <v>1.388E-2</v>
      </c>
      <c r="C72">
        <v>1.55E-2</v>
      </c>
      <c r="D72">
        <v>1.3103E-2</v>
      </c>
      <c r="E72">
        <v>1.3859E-2</v>
      </c>
      <c r="F72">
        <v>2214920414</v>
      </c>
      <c r="G72">
        <v>1.3859E-2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-0.36921151439299144</v>
      </c>
      <c r="Q72">
        <f t="shared" ref="Q72" si="336">F72*P72</f>
        <v>-817774120.3128916</v>
      </c>
      <c r="R72">
        <f t="shared" ref="R72" si="337">R73+Q72</f>
        <v>-1804456223.2457433</v>
      </c>
      <c r="S72">
        <f t="shared" ref="S72" si="338">R72/100000</f>
        <v>-18044.562232457432</v>
      </c>
      <c r="T72">
        <f t="shared" ref="T72" si="339">S72/1000</f>
        <v>-18.044562232457434</v>
      </c>
    </row>
    <row r="73" spans="1:20" x14ac:dyDescent="0.25">
      <c r="A73" s="5">
        <v>44520</v>
      </c>
      <c r="B73">
        <v>1.2506E-2</v>
      </c>
      <c r="C73">
        <v>1.4364E-2</v>
      </c>
      <c r="D73">
        <v>1.2298999999999999E-2</v>
      </c>
      <c r="E73">
        <v>1.3853000000000001E-2</v>
      </c>
      <c r="F73">
        <v>701533354</v>
      </c>
      <c r="G73">
        <v>1.3853000000000001E-2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0.50508474576271278</v>
      </c>
      <c r="Q73">
        <f t="shared" ref="Q73" si="341">F73*P73</f>
        <v>354333795.7491532</v>
      </c>
      <c r="R73">
        <f t="shared" ref="R73" si="342">R74+Q73</f>
        <v>-986682102.93285179</v>
      </c>
      <c r="S73">
        <f t="shared" ref="S73" si="343">R73/100000</f>
        <v>-9866.8210293285174</v>
      </c>
      <c r="T73">
        <f t="shared" ref="T73" si="344">S73/1000</f>
        <v>-9.8668210293285181</v>
      </c>
    </row>
    <row r="74" spans="1:20" x14ac:dyDescent="0.25">
      <c r="A74" s="5">
        <v>44519</v>
      </c>
      <c r="B74">
        <v>1.1866E-2</v>
      </c>
      <c r="C74">
        <v>1.2725999999999999E-2</v>
      </c>
      <c r="D74">
        <v>1.0952999999999999E-2</v>
      </c>
      <c r="E74">
        <v>1.252E-2</v>
      </c>
      <c r="F74">
        <v>332581556</v>
      </c>
      <c r="G74">
        <v>1.252E-2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0.76762549351381892</v>
      </c>
      <c r="Q74">
        <f t="shared" ref="Q74" si="346">F74*P74</f>
        <v>255298081.05809382</v>
      </c>
      <c r="R74">
        <f t="shared" ref="R74" si="347">R75+Q74</f>
        <v>-1341015898.6820049</v>
      </c>
      <c r="S74">
        <f t="shared" ref="S74" si="348">R74/100000</f>
        <v>-13410.15898682005</v>
      </c>
      <c r="T74">
        <f t="shared" ref="T74" si="349">S74/1000</f>
        <v>-13.410158986820051</v>
      </c>
    </row>
    <row r="75" spans="1:20" x14ac:dyDescent="0.25">
      <c r="A75" s="5">
        <v>44518</v>
      </c>
      <c r="B75">
        <v>1.4192E-2</v>
      </c>
      <c r="C75">
        <v>1.5188999999999999E-2</v>
      </c>
      <c r="D75">
        <v>1.18E-2</v>
      </c>
      <c r="E75">
        <v>1.1871E-2</v>
      </c>
      <c r="F75">
        <v>457468274</v>
      </c>
      <c r="G75">
        <v>1.1871E-2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-0.95809973443493668</v>
      </c>
      <c r="Q75">
        <f t="shared" ref="Q75" si="351">F75*P75</f>
        <v>-438300231.83180887</v>
      </c>
      <c r="R75">
        <f t="shared" ref="R75" si="352">R76+Q75</f>
        <v>-1596313979.7400987</v>
      </c>
      <c r="S75">
        <f t="shared" ref="S75" si="353">R75/100000</f>
        <v>-15963.139797400987</v>
      </c>
      <c r="T75">
        <f t="shared" ref="T75" si="354">S75/1000</f>
        <v>-15.963139797400986</v>
      </c>
    </row>
    <row r="76" spans="1:20" x14ac:dyDescent="0.25">
      <c r="A76" s="5">
        <v>44517</v>
      </c>
      <c r="B76">
        <v>1.2427000000000001E-2</v>
      </c>
      <c r="C76">
        <v>1.439E-2</v>
      </c>
      <c r="D76">
        <v>1.2284E-2</v>
      </c>
      <c r="E76">
        <v>1.4178E-2</v>
      </c>
      <c r="F76">
        <v>661496110</v>
      </c>
      <c r="G76">
        <v>1.4178E-2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0.79867046533713171</v>
      </c>
      <c r="Q76">
        <f t="shared" ref="Q76" si="356">F76*P76</f>
        <v>528317405.99240243</v>
      </c>
      <c r="R76">
        <f t="shared" ref="R76" si="357">R77+Q76</f>
        <v>-1158013747.9082899</v>
      </c>
      <c r="S76">
        <f t="shared" ref="S76" si="358">R76/100000</f>
        <v>-11580.1374790829</v>
      </c>
      <c r="T76">
        <f t="shared" ref="T76" si="359">S76/1000</f>
        <v>-11.5801374790829</v>
      </c>
    </row>
    <row r="77" spans="1:20" x14ac:dyDescent="0.25">
      <c r="A77" s="5">
        <v>44516</v>
      </c>
      <c r="B77">
        <v>1.2770999999999999E-2</v>
      </c>
      <c r="C77">
        <v>1.2815E-2</v>
      </c>
      <c r="D77">
        <v>1.1738E-2</v>
      </c>
      <c r="E77">
        <v>1.2427000000000001E-2</v>
      </c>
      <c r="F77">
        <v>170653838</v>
      </c>
      <c r="G77">
        <v>1.2427000000000001E-2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0.2794800371402052</v>
      </c>
      <c r="Q77">
        <f t="shared" ref="Q77" si="361">F77*P77</f>
        <v>47694340.98235856</v>
      </c>
      <c r="R77">
        <f t="shared" ref="R77" si="362">R78+Q77</f>
        <v>-1686331153.9006925</v>
      </c>
      <c r="S77">
        <f t="shared" ref="S77" si="363">R77/100000</f>
        <v>-16863.311539006925</v>
      </c>
      <c r="T77">
        <f t="shared" ref="T77" si="364">S77/1000</f>
        <v>-16.863311539006926</v>
      </c>
    </row>
    <row r="78" spans="1:20" x14ac:dyDescent="0.25">
      <c r="A78" s="5">
        <v>44515</v>
      </c>
      <c r="B78">
        <v>1.2488000000000001E-2</v>
      </c>
      <c r="C78">
        <v>1.2987E-2</v>
      </c>
      <c r="D78">
        <v>1.2423999999999999E-2</v>
      </c>
      <c r="E78">
        <v>1.2799E-2</v>
      </c>
      <c r="F78">
        <v>166785403</v>
      </c>
      <c r="G78">
        <v>1.2799E-2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0.33214920071047838</v>
      </c>
      <c r="Q78">
        <f t="shared" ref="Q78" si="366">F78*P78</f>
        <v>55397638.296625026</v>
      </c>
      <c r="R78">
        <f t="shared" ref="R78" si="367">R79+Q78</f>
        <v>-1734025494.8830509</v>
      </c>
      <c r="S78">
        <f t="shared" ref="S78" si="368">R78/100000</f>
        <v>-17340.254948830509</v>
      </c>
      <c r="T78">
        <f t="shared" ref="T78" si="369">S78/1000</f>
        <v>-17.340254948830509</v>
      </c>
    </row>
    <row r="79" spans="1:20" x14ac:dyDescent="0.25">
      <c r="A79" s="5">
        <v>44514</v>
      </c>
      <c r="B79">
        <v>1.2529E-2</v>
      </c>
      <c r="C79">
        <v>1.2579999999999999E-2</v>
      </c>
      <c r="D79">
        <v>1.2229E-2</v>
      </c>
      <c r="E79">
        <v>1.2512000000000001E-2</v>
      </c>
      <c r="F79">
        <v>70429486</v>
      </c>
      <c r="G79">
        <v>1.2512000000000001E-2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0.61253561253561917</v>
      </c>
      <c r="Q79">
        <f t="shared" ref="Q79" si="371">F79*P79</f>
        <v>43140568.347578816</v>
      </c>
      <c r="R79">
        <f t="shared" ref="R79" si="372">R80+Q79</f>
        <v>-1789423133.1796761</v>
      </c>
      <c r="S79">
        <f t="shared" ref="S79" si="373">R79/100000</f>
        <v>-17894.23133179676</v>
      </c>
      <c r="T79">
        <f t="shared" ref="T79" si="374">S79/1000</f>
        <v>-17.89423133179676</v>
      </c>
    </row>
    <row r="80" spans="1:20" x14ac:dyDescent="0.25">
      <c r="A80" s="5">
        <v>44513</v>
      </c>
      <c r="B80">
        <v>1.2130999999999999E-2</v>
      </c>
      <c r="C80">
        <v>1.2529E-2</v>
      </c>
      <c r="D80">
        <v>1.2102999999999999E-2</v>
      </c>
      <c r="E80">
        <v>1.2529E-2</v>
      </c>
      <c r="F80">
        <v>65771854</v>
      </c>
      <c r="G80">
        <v>1.2529E-2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1</v>
      </c>
      <c r="Q80">
        <f t="shared" ref="Q80" si="376">F80*P80</f>
        <v>65771854</v>
      </c>
      <c r="R80">
        <f t="shared" ref="R80" si="377">R81+Q80</f>
        <v>-1832563701.5272548</v>
      </c>
      <c r="S80">
        <f t="shared" ref="S80" si="378">R80/100000</f>
        <v>-18325.637015272547</v>
      </c>
      <c r="T80">
        <f t="shared" ref="T80" si="379">S80/1000</f>
        <v>-18.325637015272548</v>
      </c>
    </row>
    <row r="81" spans="1:20" x14ac:dyDescent="0.25">
      <c r="A81" s="5">
        <v>44512</v>
      </c>
      <c r="B81">
        <v>1.2473E-2</v>
      </c>
      <c r="C81">
        <v>1.2567E-2</v>
      </c>
      <c r="D81">
        <v>1.192E-2</v>
      </c>
      <c r="E81">
        <v>1.2144E-2</v>
      </c>
      <c r="F81">
        <v>155793788</v>
      </c>
      <c r="G81">
        <v>1.2144E-2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-0.3075734157650688</v>
      </c>
      <c r="Q81">
        <f t="shared" ref="Q81" si="381">F81*P81</f>
        <v>-47918027.530138984</v>
      </c>
      <c r="R81">
        <f t="shared" ref="R81" si="382">R82+Q81</f>
        <v>-1898335555.5272548</v>
      </c>
      <c r="S81">
        <f t="shared" ref="S81" si="383">R81/100000</f>
        <v>-18983.355555272548</v>
      </c>
      <c r="T81">
        <f t="shared" ref="T81" si="384">S81/1000</f>
        <v>-18.983355555272549</v>
      </c>
    </row>
    <row r="82" spans="1:20" x14ac:dyDescent="0.25">
      <c r="A82" s="5">
        <v>44511</v>
      </c>
      <c r="B82">
        <v>1.2433E-2</v>
      </c>
      <c r="C82">
        <v>1.2787E-2</v>
      </c>
      <c r="D82">
        <v>1.23E-2</v>
      </c>
      <c r="E82">
        <v>1.2482E-2</v>
      </c>
      <c r="F82">
        <v>164770878</v>
      </c>
      <c r="G82">
        <v>1.2482E-2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-0.25256673511293626</v>
      </c>
      <c r="Q82">
        <f t="shared" ref="Q82" si="386">F82*P82</f>
        <v>-41615642.698151939</v>
      </c>
      <c r="R82">
        <f t="shared" ref="R82" si="387">R83+Q82</f>
        <v>-1850417527.9971159</v>
      </c>
      <c r="S82">
        <f t="shared" ref="S82" si="388">R82/100000</f>
        <v>-18504.175279971158</v>
      </c>
      <c r="T82">
        <f t="shared" ref="T82" si="389">S82/1000</f>
        <v>-18.504175279971157</v>
      </c>
    </row>
    <row r="83" spans="1:20" x14ac:dyDescent="0.25">
      <c r="A83" s="5">
        <v>44510</v>
      </c>
      <c r="B83">
        <v>1.2846E-2</v>
      </c>
      <c r="C83">
        <v>1.3139E-2</v>
      </c>
      <c r="D83">
        <v>1.2149999999999999E-2</v>
      </c>
      <c r="E83">
        <v>1.2446E-2</v>
      </c>
      <c r="F83">
        <v>190033408</v>
      </c>
      <c r="G83">
        <v>1.2446E-2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-0.40141557128412331</v>
      </c>
      <c r="Q83">
        <f t="shared" ref="Q83" si="391">F83*P83</f>
        <v>-76282369.035388887</v>
      </c>
      <c r="R83">
        <f t="shared" ref="R83" si="392">R84+Q83</f>
        <v>-1808801885.298964</v>
      </c>
      <c r="S83">
        <f t="shared" ref="S83" si="393">R83/100000</f>
        <v>-18088.01885298964</v>
      </c>
      <c r="T83">
        <f t="shared" ref="T83" si="394">S83/1000</f>
        <v>-18.088018852989642</v>
      </c>
    </row>
    <row r="84" spans="1:20" x14ac:dyDescent="0.25">
      <c r="A84" s="5">
        <v>44509</v>
      </c>
      <c r="B84">
        <v>1.3199000000000001E-2</v>
      </c>
      <c r="C84">
        <v>1.3199000000000001E-2</v>
      </c>
      <c r="D84">
        <v>1.2761E-2</v>
      </c>
      <c r="E84">
        <v>1.2846E-2</v>
      </c>
      <c r="F84">
        <v>136236793</v>
      </c>
      <c r="G84">
        <v>1.2846E-2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-0.6118721461187222</v>
      </c>
      <c r="Q84">
        <f t="shared" ref="Q84" si="396">F84*P84</f>
        <v>-83359498.913242117</v>
      </c>
      <c r="R84">
        <f t="shared" ref="R84" si="397">R85+Q84</f>
        <v>-1732519516.2635751</v>
      </c>
      <c r="S84">
        <f t="shared" ref="S84" si="398">R84/100000</f>
        <v>-17325.195162635751</v>
      </c>
      <c r="T84">
        <f t="shared" ref="T84" si="399">S84/1000</f>
        <v>-17.325195162635751</v>
      </c>
    </row>
    <row r="85" spans="1:20" x14ac:dyDescent="0.25">
      <c r="A85" s="5">
        <v>44508</v>
      </c>
      <c r="B85">
        <v>1.3594999999999999E-2</v>
      </c>
      <c r="C85">
        <v>1.3612000000000001E-2</v>
      </c>
      <c r="D85">
        <v>1.2937000000000001E-2</v>
      </c>
      <c r="E85">
        <v>1.32E-2</v>
      </c>
      <c r="F85">
        <v>197624747</v>
      </c>
      <c r="G85">
        <v>1.32E-2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-0.22074074074074299</v>
      </c>
      <c r="Q85">
        <f t="shared" ref="Q85" si="401">F85*P85</f>
        <v>-43623833.041481927</v>
      </c>
      <c r="R85">
        <f t="shared" ref="R85" si="402">R86+Q85</f>
        <v>-1649160017.350333</v>
      </c>
      <c r="S85">
        <f t="shared" ref="S85" si="403">R85/100000</f>
        <v>-16491.600173503331</v>
      </c>
      <c r="T85">
        <f t="shared" ref="T85" si="404">S85/1000</f>
        <v>-16.491600173503333</v>
      </c>
    </row>
    <row r="86" spans="1:20" x14ac:dyDescent="0.25">
      <c r="A86" s="5">
        <v>44507</v>
      </c>
      <c r="B86">
        <v>1.2947E-2</v>
      </c>
      <c r="C86">
        <v>1.3899999999999999E-2</v>
      </c>
      <c r="D86">
        <v>1.2919E-2</v>
      </c>
      <c r="E86">
        <v>1.3596E-2</v>
      </c>
      <c r="F86">
        <v>313036562</v>
      </c>
      <c r="G86">
        <v>1.3596E-2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0.38022426095820805</v>
      </c>
      <c r="Q86">
        <f t="shared" ref="Q86" si="406">F86*P86</f>
        <v>119024095.43934828</v>
      </c>
      <c r="R86">
        <f t="shared" ref="R86" si="407">R87+Q86</f>
        <v>-1605536184.308851</v>
      </c>
      <c r="S86">
        <f t="shared" ref="S86" si="408">R86/100000</f>
        <v>-16055.361843088511</v>
      </c>
      <c r="T86">
        <f t="shared" ref="T86" si="409">S86/1000</f>
        <v>-16.055361843088512</v>
      </c>
    </row>
    <row r="87" spans="1:20" x14ac:dyDescent="0.25">
      <c r="A87" s="5">
        <v>44506</v>
      </c>
      <c r="B87">
        <v>1.2879E-2</v>
      </c>
      <c r="C87">
        <v>1.328E-2</v>
      </c>
      <c r="D87">
        <v>1.2482999999999999E-2</v>
      </c>
      <c r="E87">
        <v>1.2928E-2</v>
      </c>
      <c r="F87">
        <v>146098389</v>
      </c>
      <c r="G87">
        <v>1.2928E-2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0.11668757841907273</v>
      </c>
      <c r="Q87">
        <f t="shared" ref="Q87" si="411">F87*P87</f>
        <v>17047867.223337695</v>
      </c>
      <c r="R87">
        <f t="shared" ref="R87" si="412">R88+Q87</f>
        <v>-1724560279.7481992</v>
      </c>
      <c r="S87">
        <f t="shared" ref="S87" si="413">R87/100000</f>
        <v>-17245.602797481992</v>
      </c>
      <c r="T87">
        <f t="shared" ref="T87" si="414">S87/1000</f>
        <v>-17.245602797481993</v>
      </c>
    </row>
    <row r="88" spans="1:20" x14ac:dyDescent="0.25">
      <c r="A88" s="5">
        <v>44505</v>
      </c>
      <c r="B88">
        <v>1.2947999999999999E-2</v>
      </c>
      <c r="C88">
        <v>1.2975E-2</v>
      </c>
      <c r="D88">
        <v>1.2643E-2</v>
      </c>
      <c r="E88">
        <v>1.2891E-2</v>
      </c>
      <c r="F88">
        <v>133462642</v>
      </c>
      <c r="G88">
        <v>1.2891E-2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0.49397590361445443</v>
      </c>
      <c r="Q88">
        <f t="shared" ref="Q88" si="416">F88*P88</f>
        <v>65927329.180722438</v>
      </c>
      <c r="R88">
        <f t="shared" ref="R88" si="417">R89+Q88</f>
        <v>-1741608146.9715369</v>
      </c>
      <c r="S88">
        <f t="shared" ref="S88" si="418">R88/100000</f>
        <v>-17416.081469715369</v>
      </c>
      <c r="T88">
        <f t="shared" ref="T88" si="419">S88/1000</f>
        <v>-17.416081469715369</v>
      </c>
    </row>
    <row r="89" spans="1:20" x14ac:dyDescent="0.25">
      <c r="A89" s="5">
        <v>44504</v>
      </c>
      <c r="B89">
        <v>1.3327E-2</v>
      </c>
      <c r="C89">
        <v>1.3483999999999999E-2</v>
      </c>
      <c r="D89">
        <v>1.1841000000000001E-2</v>
      </c>
      <c r="E89">
        <v>1.2947999999999999E-2</v>
      </c>
      <c r="F89">
        <v>342446409</v>
      </c>
      <c r="G89">
        <v>1.2947999999999999E-2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0.3475349969567858</v>
      </c>
      <c r="Q89">
        <f t="shared" ref="Q89" si="421">F89*P89</f>
        <v>119012111.70967722</v>
      </c>
      <c r="R89">
        <f t="shared" ref="R89" si="422">R90+Q89</f>
        <v>-1807535476.1522593</v>
      </c>
      <c r="S89">
        <f t="shared" ref="S89" si="423">R89/100000</f>
        <v>-18075.354761522594</v>
      </c>
      <c r="T89">
        <f t="shared" ref="T89" si="424">S89/1000</f>
        <v>-18.075354761522593</v>
      </c>
    </row>
    <row r="90" spans="1:20" x14ac:dyDescent="0.25">
      <c r="A90" s="5">
        <v>44503</v>
      </c>
      <c r="B90">
        <v>1.3061E-2</v>
      </c>
      <c r="C90">
        <v>1.3735000000000001E-2</v>
      </c>
      <c r="D90">
        <v>1.26E-2</v>
      </c>
      <c r="E90">
        <v>1.3306999999999999E-2</v>
      </c>
      <c r="F90">
        <v>221114360</v>
      </c>
      <c r="G90">
        <v>1.3306999999999999E-2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0.24581497797356638</v>
      </c>
      <c r="Q90">
        <f t="shared" ref="Q90" si="426">F90*P90</f>
        <v>54353221.533039227</v>
      </c>
      <c r="R90">
        <f t="shared" ref="R90" si="427">R91+Q90</f>
        <v>-1926547587.8619366</v>
      </c>
      <c r="S90">
        <f t="shared" ref="S90" si="428">R90/100000</f>
        <v>-19265.475878619367</v>
      </c>
      <c r="T90">
        <f t="shared" ref="T90" si="429">S90/1000</f>
        <v>-19.265475878619366</v>
      </c>
    </row>
    <row r="91" spans="1:20" x14ac:dyDescent="0.25">
      <c r="A91" s="5">
        <v>44502</v>
      </c>
      <c r="B91">
        <v>1.2772E-2</v>
      </c>
      <c r="C91">
        <v>1.3140000000000001E-2</v>
      </c>
      <c r="D91">
        <v>1.2541E-2</v>
      </c>
      <c r="E91">
        <v>1.3062000000000001E-2</v>
      </c>
      <c r="F91">
        <v>141879585</v>
      </c>
      <c r="G91">
        <v>1.3062000000000001E-2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0.7395659432387317</v>
      </c>
      <c r="Q91">
        <f t="shared" ref="Q91" si="431">F91*P91</f>
        <v>104929309.10684481</v>
      </c>
      <c r="R91">
        <f t="shared" ref="R91" si="432">R92+Q91</f>
        <v>-1980900809.3949759</v>
      </c>
      <c r="S91">
        <f t="shared" ref="S91" si="433">R91/100000</f>
        <v>-19809.00809394976</v>
      </c>
      <c r="T91">
        <f t="shared" ref="T91" si="434">S91/1000</f>
        <v>-19.80900809394976</v>
      </c>
    </row>
    <row r="92" spans="1:20" x14ac:dyDescent="0.25">
      <c r="A92" s="5">
        <v>44501</v>
      </c>
      <c r="B92">
        <v>1.3448999999999999E-2</v>
      </c>
      <c r="C92">
        <v>1.3448999999999999E-2</v>
      </c>
      <c r="D92">
        <v>1.2019E-2</v>
      </c>
      <c r="E92">
        <v>1.2772E-2</v>
      </c>
      <c r="F92">
        <v>452942813</v>
      </c>
      <c r="G92">
        <v>1.2772E-2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5.3146853146854175E-2</v>
      </c>
      <c r="Q92">
        <f t="shared" ref="Q92" si="436">F92*P92</f>
        <v>24072485.166434031</v>
      </c>
      <c r="R92">
        <f t="shared" ref="R92" si="437">R93+Q92</f>
        <v>-2085830118.5018208</v>
      </c>
      <c r="S92">
        <f t="shared" ref="S92" si="438">R92/100000</f>
        <v>-20858.301185018208</v>
      </c>
      <c r="T92">
        <f t="shared" ref="T92" si="439">S92/1000</f>
        <v>-20.85830118501821</v>
      </c>
    </row>
    <row r="93" spans="1:20" x14ac:dyDescent="0.25">
      <c r="A93" s="5">
        <v>44500</v>
      </c>
      <c r="B93">
        <v>1.2689000000000001E-2</v>
      </c>
      <c r="C93">
        <v>1.3671000000000001E-2</v>
      </c>
      <c r="D93">
        <v>1.2037000000000001E-2</v>
      </c>
      <c r="E93">
        <v>1.3448999999999999E-2</v>
      </c>
      <c r="F93">
        <v>363972901</v>
      </c>
      <c r="G93">
        <v>1.3448999999999999E-2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0.72827417380660742</v>
      </c>
      <c r="Q93">
        <f t="shared" ref="Q93" si="441">F93*P93</f>
        <v>265072063.76376912</v>
      </c>
      <c r="R93">
        <f t="shared" ref="R93" si="442">R94+Q93</f>
        <v>-2109902603.6682549</v>
      </c>
      <c r="S93">
        <f t="shared" ref="S93" si="443">R93/100000</f>
        <v>-21099.02603668255</v>
      </c>
      <c r="T93">
        <f t="shared" ref="T93" si="444">S93/1000</f>
        <v>-21.099026036682549</v>
      </c>
    </row>
    <row r="94" spans="1:20" x14ac:dyDescent="0.25">
      <c r="A94" s="5">
        <v>44499</v>
      </c>
      <c r="B94">
        <v>1.2583E-2</v>
      </c>
      <c r="C94">
        <v>1.2800000000000001E-2</v>
      </c>
      <c r="D94">
        <v>1.2128999999999999E-2</v>
      </c>
      <c r="E94">
        <v>1.2715000000000001E-2</v>
      </c>
      <c r="F94">
        <v>131176609</v>
      </c>
      <c r="G94">
        <v>1.2715000000000001E-2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0.74664679582712423</v>
      </c>
      <c r="Q94">
        <f t="shared" ref="Q94" si="446">F94*P94</f>
        <v>97942594.797317505</v>
      </c>
      <c r="R94">
        <f t="shared" ref="R94" si="447">R95+Q94</f>
        <v>-2374974667.432024</v>
      </c>
      <c r="S94">
        <f t="shared" ref="S94" si="448">R94/100000</f>
        <v>-23749.746674320239</v>
      </c>
      <c r="T94">
        <f t="shared" ref="T94" si="449">S94/1000</f>
        <v>-23.749746674320239</v>
      </c>
    </row>
    <row r="95" spans="1:20" x14ac:dyDescent="0.25">
      <c r="A95" s="5">
        <v>44498</v>
      </c>
      <c r="B95">
        <v>1.2274E-2</v>
      </c>
      <c r="C95">
        <v>1.2888E-2</v>
      </c>
      <c r="D95">
        <v>1.1993E-2</v>
      </c>
      <c r="E95">
        <v>1.2583E-2</v>
      </c>
      <c r="F95">
        <v>167736402</v>
      </c>
      <c r="G95">
        <v>1.2583E-2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0.31843575418994474</v>
      </c>
      <c r="Q95">
        <f t="shared" ref="Q95" si="451">F95*P95</f>
        <v>53413267.675977759</v>
      </c>
      <c r="R95">
        <f t="shared" ref="R95" si="452">R96+Q95</f>
        <v>-2472917262.2293415</v>
      </c>
      <c r="S95">
        <f t="shared" ref="S95" si="453">R95/100000</f>
        <v>-24729.172622293416</v>
      </c>
      <c r="T95">
        <f t="shared" ref="T95" si="454">S95/1000</f>
        <v>-24.729172622293415</v>
      </c>
    </row>
    <row r="96" spans="1:20" x14ac:dyDescent="0.25">
      <c r="A96" s="5">
        <v>44497</v>
      </c>
      <c r="B96">
        <v>1.1554999999999999E-2</v>
      </c>
      <c r="C96">
        <v>1.2331999999999999E-2</v>
      </c>
      <c r="D96">
        <v>1.1178E-2</v>
      </c>
      <c r="E96">
        <v>1.2267999999999999E-2</v>
      </c>
      <c r="F96">
        <v>236580033</v>
      </c>
      <c r="G96">
        <v>1.2267999999999999E-2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0.88908145580589271</v>
      </c>
      <c r="Q96">
        <f t="shared" ref="Q96" si="456">F96*P96</f>
        <v>210338920.15424615</v>
      </c>
      <c r="R96">
        <f t="shared" ref="R96" si="457">R97+Q96</f>
        <v>-2526330529.9053192</v>
      </c>
      <c r="S96">
        <f t="shared" ref="S96" si="458">R96/100000</f>
        <v>-25263.305299053191</v>
      </c>
      <c r="T96">
        <f t="shared" ref="T96" si="459">S96/1000</f>
        <v>-25.26330529905319</v>
      </c>
    </row>
    <row r="97" spans="1:20" x14ac:dyDescent="0.25">
      <c r="A97" s="5">
        <v>44496</v>
      </c>
      <c r="B97">
        <v>1.2954E-2</v>
      </c>
      <c r="C97">
        <v>1.303E-2</v>
      </c>
      <c r="D97">
        <v>1.1004999999999999E-2</v>
      </c>
      <c r="E97">
        <v>1.1568999999999999E-2</v>
      </c>
      <c r="F97">
        <v>278403337</v>
      </c>
      <c r="G97">
        <v>1.1568999999999999E-2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-0.44296296296296289</v>
      </c>
      <c r="Q97">
        <f t="shared" ref="Q97" si="461">F97*P97</f>
        <v>-123322367.05629627</v>
      </c>
      <c r="R97">
        <f t="shared" ref="R97" si="462">R98+Q97</f>
        <v>-2736669450.0595655</v>
      </c>
      <c r="S97">
        <f t="shared" ref="S97" si="463">R97/100000</f>
        <v>-27366.694500595655</v>
      </c>
      <c r="T97">
        <f t="shared" ref="T97" si="464">S97/1000</f>
        <v>-27.366694500595656</v>
      </c>
    </row>
    <row r="98" spans="1:20" x14ac:dyDescent="0.25">
      <c r="A98" s="5">
        <v>44495</v>
      </c>
      <c r="B98">
        <v>1.3224E-2</v>
      </c>
      <c r="C98">
        <v>1.3455E-2</v>
      </c>
      <c r="D98">
        <v>1.2825E-2</v>
      </c>
      <c r="E98">
        <v>1.2929E-2</v>
      </c>
      <c r="F98">
        <v>159400660</v>
      </c>
      <c r="G98">
        <v>1.2929E-2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-0.66984126984127024</v>
      </c>
      <c r="Q98">
        <f t="shared" ref="Q98" si="466">F98*P98</f>
        <v>-106773140.50793657</v>
      </c>
      <c r="R98">
        <f t="shared" ref="R98" si="467">R99+Q98</f>
        <v>-2613347083.0032692</v>
      </c>
      <c r="S98">
        <f t="shared" ref="S98" si="468">R98/100000</f>
        <v>-26133.470830032693</v>
      </c>
      <c r="T98">
        <f t="shared" ref="T98" si="469">S98/1000</f>
        <v>-26.133470830032692</v>
      </c>
    </row>
    <row r="99" spans="1:20" x14ac:dyDescent="0.25">
      <c r="A99" s="5">
        <v>44494</v>
      </c>
      <c r="B99">
        <v>1.3077999999999999E-2</v>
      </c>
      <c r="C99">
        <v>1.3224E-2</v>
      </c>
      <c r="D99">
        <v>1.2881E-2</v>
      </c>
      <c r="E99">
        <v>1.3202999999999999E-2</v>
      </c>
      <c r="F99">
        <v>155324405</v>
      </c>
      <c r="G99">
        <v>1.3202999999999999E-2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0.87755102040816202</v>
      </c>
      <c r="Q99">
        <f t="shared" ref="Q99" si="471">F99*P99</f>
        <v>136305090.10204062</v>
      </c>
      <c r="R99">
        <f t="shared" ref="R99" si="472">R100+Q99</f>
        <v>-2506573942.4953327</v>
      </c>
      <c r="S99">
        <f t="shared" ref="S99" si="473">R99/100000</f>
        <v>-25065.739424953328</v>
      </c>
      <c r="T99">
        <f t="shared" ref="T99" si="474">S99/1000</f>
        <v>-25.065739424953328</v>
      </c>
    </row>
    <row r="100" spans="1:20" x14ac:dyDescent="0.25">
      <c r="A100" s="5">
        <v>44493</v>
      </c>
      <c r="B100">
        <v>1.3473000000000001E-2</v>
      </c>
      <c r="C100">
        <v>1.3592999999999999E-2</v>
      </c>
      <c r="D100">
        <v>1.2737E-2</v>
      </c>
      <c r="E100">
        <v>1.3056999999999999E-2</v>
      </c>
      <c r="F100">
        <v>126592977</v>
      </c>
      <c r="G100">
        <v>1.3056999999999999E-2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-0.25233644859813215</v>
      </c>
      <c r="Q100">
        <f t="shared" ref="Q100" si="476">F100*P100</f>
        <v>-31944022.233645026</v>
      </c>
      <c r="R100">
        <f t="shared" ref="R100" si="477">R101+Q100</f>
        <v>-2642879032.5973735</v>
      </c>
      <c r="S100">
        <f t="shared" ref="S100" si="478">R100/100000</f>
        <v>-26428.790325973736</v>
      </c>
      <c r="T100">
        <f t="shared" ref="T100" si="479">S100/1000</f>
        <v>-26.428790325973736</v>
      </c>
    </row>
    <row r="101" spans="1:20" x14ac:dyDescent="0.25">
      <c r="A101" s="5">
        <v>44492</v>
      </c>
      <c r="B101">
        <v>1.3381000000000001E-2</v>
      </c>
      <c r="C101">
        <v>1.3556E-2</v>
      </c>
      <c r="D101">
        <v>1.2992E-2</v>
      </c>
      <c r="E101">
        <v>1.3511E-2</v>
      </c>
      <c r="F101">
        <v>108772988</v>
      </c>
      <c r="G101">
        <v>1.3511E-2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0.840425531914894</v>
      </c>
      <c r="Q101">
        <f t="shared" ref="Q101" si="481">F101*P101</f>
        <v>91415596.297872379</v>
      </c>
      <c r="R101">
        <f t="shared" ref="R101" si="482">R102+Q101</f>
        <v>-2610935010.3637285</v>
      </c>
      <c r="S101">
        <f t="shared" ref="S101" si="483">R101/100000</f>
        <v>-26109.350103637284</v>
      </c>
      <c r="T101">
        <f t="shared" ref="T101" si="484">S101/1000</f>
        <v>-26.109350103637283</v>
      </c>
    </row>
    <row r="102" spans="1:20" x14ac:dyDescent="0.25">
      <c r="A102" s="5">
        <v>44491</v>
      </c>
      <c r="B102">
        <v>1.3056E-2</v>
      </c>
      <c r="C102">
        <v>1.3913999999999999E-2</v>
      </c>
      <c r="D102">
        <v>1.2914E-2</v>
      </c>
      <c r="E102">
        <v>1.3410999999999999E-2</v>
      </c>
      <c r="F102">
        <v>400406120</v>
      </c>
      <c r="G102">
        <v>1.3410999999999999E-2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-6.0000000000008016E-3</v>
      </c>
      <c r="Q102">
        <f t="shared" ref="Q102" si="486">F102*P102</f>
        <v>-2402436.720000321</v>
      </c>
      <c r="R102">
        <f t="shared" ref="R102" si="487">R103+Q102</f>
        <v>-2702350606.6616011</v>
      </c>
      <c r="S102">
        <f t="shared" ref="S102" si="488">R102/100000</f>
        <v>-27023.50606661601</v>
      </c>
      <c r="T102">
        <f t="shared" ref="T102" si="489">S102/1000</f>
        <v>-27.023506066616008</v>
      </c>
    </row>
    <row r="103" spans="1:20" x14ac:dyDescent="0.25">
      <c r="A103" s="5">
        <v>44490</v>
      </c>
      <c r="B103">
        <v>1.3689E-2</v>
      </c>
      <c r="C103">
        <v>1.3696E-2</v>
      </c>
      <c r="D103">
        <v>1.2865E-2</v>
      </c>
      <c r="E103">
        <v>1.3056E-2</v>
      </c>
      <c r="F103">
        <v>234900382</v>
      </c>
      <c r="G103">
        <v>1.3056E-2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-0.54031287605294787</v>
      </c>
      <c r="Q103">
        <f t="shared" ref="Q103" si="491">F103*P103</f>
        <v>-126919700.98435611</v>
      </c>
      <c r="R103">
        <f t="shared" ref="R103" si="492">R104+Q103</f>
        <v>-2699948169.9416008</v>
      </c>
      <c r="S103">
        <f t="shared" ref="S103" si="493">R103/100000</f>
        <v>-26999.481699416006</v>
      </c>
      <c r="T103">
        <f t="shared" ref="T103" si="494">S103/1000</f>
        <v>-26.999481699416005</v>
      </c>
    </row>
    <row r="104" spans="1:20" x14ac:dyDescent="0.25">
      <c r="A104" s="5">
        <v>44489</v>
      </c>
      <c r="B104">
        <v>1.3499000000000001E-2</v>
      </c>
      <c r="C104">
        <v>1.3787000000000001E-2</v>
      </c>
      <c r="D104">
        <v>1.2699999999999999E-2</v>
      </c>
      <c r="E104">
        <v>1.3689E-2</v>
      </c>
      <c r="F104">
        <v>246639013</v>
      </c>
      <c r="G104">
        <v>1.3689E-2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0.81968721251149812</v>
      </c>
      <c r="Q104">
        <f t="shared" ref="Q104" si="496">F104*P104</f>
        <v>202166845.06255716</v>
      </c>
      <c r="R104">
        <f t="shared" ref="R104" si="497">R105+Q104</f>
        <v>-2573028468.9572449</v>
      </c>
      <c r="S104">
        <f t="shared" ref="S104" si="498">R104/100000</f>
        <v>-25730.284689572447</v>
      </c>
      <c r="T104">
        <f t="shared" ref="T104" si="499">S104/1000</f>
        <v>-25.730284689572446</v>
      </c>
    </row>
    <row r="105" spans="1:20" x14ac:dyDescent="0.25">
      <c r="A105" s="5">
        <v>44488</v>
      </c>
      <c r="B105">
        <v>1.2465E-2</v>
      </c>
      <c r="C105">
        <v>1.4286E-2</v>
      </c>
      <c r="D105">
        <v>1.2296E-2</v>
      </c>
      <c r="E105">
        <v>1.3525000000000001E-2</v>
      </c>
      <c r="F105">
        <v>330544576</v>
      </c>
      <c r="G105">
        <v>1.3525000000000001E-2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0.23517587939698559</v>
      </c>
      <c r="Q105">
        <f t="shared" ref="Q105" si="501">F105*P105</f>
        <v>77736111.340703741</v>
      </c>
      <c r="R105">
        <f t="shared" ref="R105" si="502">R106+Q105</f>
        <v>-2775195314.0198021</v>
      </c>
      <c r="S105">
        <f t="shared" ref="S105" si="503">R105/100000</f>
        <v>-27751.95314019802</v>
      </c>
      <c r="T105">
        <f t="shared" ref="T105" si="504">S105/1000</f>
        <v>-27.751953140198019</v>
      </c>
    </row>
    <row r="106" spans="1:20" x14ac:dyDescent="0.25">
      <c r="A106" s="5">
        <v>44487</v>
      </c>
      <c r="B106">
        <v>1.2782999999999999E-2</v>
      </c>
      <c r="C106">
        <v>1.281E-2</v>
      </c>
      <c r="D106">
        <v>1.1962E-2</v>
      </c>
      <c r="E106">
        <v>1.2463999999999999E-2</v>
      </c>
      <c r="F106">
        <v>229108994</v>
      </c>
      <c r="G106">
        <v>1.2463999999999999E-2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0.18396226415094127</v>
      </c>
      <c r="Q106">
        <f t="shared" ref="Q106" si="506">F106*P106</f>
        <v>42147409.273584418</v>
      </c>
      <c r="R106">
        <f t="shared" ref="R106" si="507">R107+Q106</f>
        <v>-2852931425.3605061</v>
      </c>
      <c r="S106">
        <f t="shared" ref="S106" si="508">R106/100000</f>
        <v>-28529.314253605062</v>
      </c>
      <c r="T106">
        <f t="shared" ref="T106" si="509">S106/1000</f>
        <v>-28.529314253605062</v>
      </c>
    </row>
    <row r="107" spans="1:20" x14ac:dyDescent="0.25">
      <c r="A107" s="5">
        <v>44486</v>
      </c>
      <c r="B107">
        <v>1.3138E-2</v>
      </c>
      <c r="C107">
        <v>1.3150999999999999E-2</v>
      </c>
      <c r="D107">
        <v>1.2425E-2</v>
      </c>
      <c r="E107">
        <v>1.2824E-2</v>
      </c>
      <c r="F107">
        <v>168987029</v>
      </c>
      <c r="G107">
        <v>1.2824E-2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9.9173553719009586E-2</v>
      </c>
      <c r="Q107">
        <f t="shared" ref="Q107" si="511">F107*P107</f>
        <v>16759044.19834733</v>
      </c>
      <c r="R107">
        <f t="shared" ref="R107" si="512">R108+Q107</f>
        <v>-2895078834.6340904</v>
      </c>
      <c r="S107">
        <f t="shared" ref="S107" si="513">R107/100000</f>
        <v>-28950.788346340905</v>
      </c>
      <c r="T107">
        <f t="shared" ref="T107" si="514">S107/1000</f>
        <v>-28.950788346340904</v>
      </c>
    </row>
    <row r="108" spans="1:20" x14ac:dyDescent="0.25">
      <c r="A108" s="5">
        <v>44485</v>
      </c>
      <c r="B108">
        <v>1.3036000000000001E-2</v>
      </c>
      <c r="C108">
        <v>1.359E-2</v>
      </c>
      <c r="D108">
        <v>1.2657E-2</v>
      </c>
      <c r="E108">
        <v>1.3138E-2</v>
      </c>
      <c r="F108">
        <v>184197037</v>
      </c>
      <c r="G108">
        <v>1.3138E-2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3.1082529474813776E-2</v>
      </c>
      <c r="Q108">
        <f t="shared" ref="Q108" si="516">F108*P108</f>
        <v>5725309.8317258637</v>
      </c>
      <c r="R108">
        <f t="shared" ref="R108" si="517">R109+Q108</f>
        <v>-2911837878.8324375</v>
      </c>
      <c r="S108">
        <f t="shared" ref="S108" si="518">R108/100000</f>
        <v>-29118.378788324375</v>
      </c>
      <c r="T108">
        <f t="shared" ref="T108" si="519">S108/1000</f>
        <v>-29.118378788324375</v>
      </c>
    </row>
    <row r="109" spans="1:20" x14ac:dyDescent="0.25">
      <c r="A109" s="5">
        <v>44484</v>
      </c>
      <c r="B109">
        <v>1.4277E-2</v>
      </c>
      <c r="C109">
        <v>1.4277E-2</v>
      </c>
      <c r="D109">
        <v>1.2529999999999999E-2</v>
      </c>
      <c r="E109">
        <v>1.3014E-2</v>
      </c>
      <c r="F109">
        <v>320794376</v>
      </c>
      <c r="G109">
        <v>1.3014E-2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-0.44590726960503724</v>
      </c>
      <c r="Q109">
        <f t="shared" ref="Q109" si="521">F109*P109</f>
        <v>-143044544.30681169</v>
      </c>
      <c r="R109">
        <f t="shared" ref="R109" si="522">R110+Q109</f>
        <v>-2917563188.6641636</v>
      </c>
      <c r="S109">
        <f t="shared" ref="S109" si="523">R109/100000</f>
        <v>-29175.631886641637</v>
      </c>
      <c r="T109">
        <f t="shared" ref="T109" si="524">S109/1000</f>
        <v>-29.175631886641636</v>
      </c>
    </row>
    <row r="110" spans="1:20" x14ac:dyDescent="0.25">
      <c r="A110" s="5">
        <v>44483</v>
      </c>
      <c r="B110">
        <v>1.4123999999999999E-2</v>
      </c>
      <c r="C110">
        <v>1.4552000000000001E-2</v>
      </c>
      <c r="D110">
        <v>1.3769999999999999E-2</v>
      </c>
      <c r="E110">
        <v>1.4324999999999999E-2</v>
      </c>
      <c r="F110">
        <v>165466083</v>
      </c>
      <c r="G110">
        <v>1.4324999999999999E-2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0.41943734015344991</v>
      </c>
      <c r="Q110">
        <f t="shared" ref="Q110" si="526">F110*P110</f>
        <v>69402653.739129975</v>
      </c>
      <c r="R110">
        <f t="shared" ref="R110" si="527">R111+Q110</f>
        <v>-2774518644.3573518</v>
      </c>
      <c r="S110">
        <f t="shared" ref="S110" si="528">R110/100000</f>
        <v>-27745.186443573519</v>
      </c>
      <c r="T110">
        <f t="shared" ref="T110" si="529">S110/1000</f>
        <v>-27.74518644357352</v>
      </c>
    </row>
    <row r="111" spans="1:20" x14ac:dyDescent="0.25">
      <c r="A111" s="5">
        <v>44482</v>
      </c>
      <c r="B111">
        <v>1.2884E-2</v>
      </c>
      <c r="C111">
        <v>1.5321E-2</v>
      </c>
      <c r="D111">
        <v>1.2827E-2</v>
      </c>
      <c r="E111">
        <v>1.4158E-2</v>
      </c>
      <c r="F111">
        <v>656507672</v>
      </c>
      <c r="G111">
        <v>1.4158E-2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6.7361668003208294E-2</v>
      </c>
      <c r="Q111">
        <f t="shared" ref="Q111" si="531">F111*P111</f>
        <v>44223451.842823163</v>
      </c>
      <c r="R111">
        <f t="shared" ref="R111" si="532">R112+Q111</f>
        <v>-2843921298.0964818</v>
      </c>
      <c r="S111">
        <f t="shared" ref="S111" si="533">R111/100000</f>
        <v>-28439.212980964818</v>
      </c>
      <c r="T111">
        <f t="shared" ref="T111" si="534">S111/1000</f>
        <v>-28.439212980964818</v>
      </c>
    </row>
    <row r="112" spans="1:20" x14ac:dyDescent="0.25">
      <c r="A112" s="5">
        <v>44481</v>
      </c>
      <c r="B112">
        <v>1.3450999999999999E-2</v>
      </c>
      <c r="C112">
        <v>1.3499000000000001E-2</v>
      </c>
      <c r="D112">
        <v>1.1677999999999999E-2</v>
      </c>
      <c r="E112">
        <v>1.2884E-2</v>
      </c>
      <c r="F112">
        <v>379507030</v>
      </c>
      <c r="G112">
        <v>1.2884E-2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0.32454695222405222</v>
      </c>
      <c r="Q112">
        <f t="shared" ref="Q112" si="536">F112*P112</f>
        <v>123167849.93410195</v>
      </c>
      <c r="R112">
        <f t="shared" ref="R112" si="537">R113+Q112</f>
        <v>-2888144749.9393048</v>
      </c>
      <c r="S112">
        <f t="shared" ref="S112" si="538">R112/100000</f>
        <v>-28881.447499393049</v>
      </c>
      <c r="T112">
        <f t="shared" ref="T112" si="539">S112/1000</f>
        <v>-28.881447499393047</v>
      </c>
    </row>
    <row r="113" spans="1:20" x14ac:dyDescent="0.25">
      <c r="A113" s="5">
        <v>44480</v>
      </c>
      <c r="B113">
        <v>1.4215E-2</v>
      </c>
      <c r="C113">
        <v>1.4227E-2</v>
      </c>
      <c r="D113">
        <v>1.3054E-2</v>
      </c>
      <c r="E113">
        <v>1.3454000000000001E-2</v>
      </c>
      <c r="F113">
        <v>408115271</v>
      </c>
      <c r="G113">
        <v>1.3454000000000001E-2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-0.31798806479113229</v>
      </c>
      <c r="Q113">
        <f t="shared" ref="Q113" si="541">F113*P113</f>
        <v>-129775785.23699851</v>
      </c>
      <c r="R113">
        <f t="shared" ref="R113" si="542">R114+Q113</f>
        <v>-3011312599.8734069</v>
      </c>
      <c r="S113">
        <f t="shared" ref="S113" si="543">R113/100000</f>
        <v>-30113.125998734067</v>
      </c>
      <c r="T113">
        <f t="shared" ref="T113" si="544">S113/1000</f>
        <v>-30.113125998734066</v>
      </c>
    </row>
    <row r="114" spans="1:20" x14ac:dyDescent="0.25">
      <c r="A114" s="5">
        <v>44479</v>
      </c>
      <c r="B114">
        <v>1.3325E-2</v>
      </c>
      <c r="C114">
        <v>1.9800000000000002E-2</v>
      </c>
      <c r="D114">
        <v>1.3298000000000001E-2</v>
      </c>
      <c r="E114">
        <v>1.4165000000000001E-2</v>
      </c>
      <c r="F114">
        <v>1779077625</v>
      </c>
      <c r="G114">
        <v>1.4165000000000001E-2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-0.73331282682251631</v>
      </c>
      <c r="Q114">
        <f t="shared" ref="Q114" si="546">F114*P114</f>
        <v>-1304620442.3254385</v>
      </c>
      <c r="R114">
        <f t="shared" ref="R114" si="547">R115+Q114</f>
        <v>-2881536814.6364083</v>
      </c>
      <c r="S114">
        <f t="shared" ref="S114" si="548">R114/100000</f>
        <v>-28815.368146364082</v>
      </c>
      <c r="T114">
        <f t="shared" ref="T114" si="549">S114/1000</f>
        <v>-28.815368146364083</v>
      </c>
    </row>
    <row r="115" spans="1:20" x14ac:dyDescent="0.25">
      <c r="A115" s="5">
        <v>44478</v>
      </c>
      <c r="B115">
        <v>1.4604000000000001E-2</v>
      </c>
      <c r="C115">
        <v>1.7219000000000002E-2</v>
      </c>
      <c r="D115">
        <v>1.2794E-2</v>
      </c>
      <c r="E115">
        <v>1.3325E-2</v>
      </c>
      <c r="F115">
        <v>1146767420</v>
      </c>
      <c r="G115">
        <v>1.3325E-2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-0.76</v>
      </c>
      <c r="Q115">
        <f t="shared" ref="Q115" si="551">F115*P115</f>
        <v>-871543239.20000005</v>
      </c>
      <c r="R115">
        <f t="shared" ref="R115" si="552">R116+Q115</f>
        <v>-1576916372.3109698</v>
      </c>
      <c r="S115">
        <f t="shared" ref="S115" si="553">R115/100000</f>
        <v>-15769.163723109697</v>
      </c>
      <c r="T115">
        <f t="shared" ref="T115" si="554">S115/1000</f>
        <v>-15.769163723109697</v>
      </c>
    </row>
    <row r="116" spans="1:20" x14ac:dyDescent="0.25">
      <c r="A116" s="5">
        <v>44477</v>
      </c>
      <c r="B116">
        <v>1.2109E-2</v>
      </c>
      <c r="C116">
        <v>1.537E-2</v>
      </c>
      <c r="D116">
        <v>1.2082000000000001E-2</v>
      </c>
      <c r="E116">
        <v>1.4609E-2</v>
      </c>
      <c r="F116">
        <v>1198072748</v>
      </c>
      <c r="G116">
        <v>1.4609E-2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0.53710462287104643</v>
      </c>
      <c r="Q116">
        <f t="shared" ref="Q116" si="556">F116*P116</f>
        <v>643490411.48661828</v>
      </c>
      <c r="R116">
        <f t="shared" ref="R116" si="557">R117+Q116</f>
        <v>-705373133.11096978</v>
      </c>
      <c r="S116">
        <f t="shared" ref="S116" si="558">R116/100000</f>
        <v>-7053.7313311096977</v>
      </c>
      <c r="T116">
        <f t="shared" ref="T116" si="559">S116/1000</f>
        <v>-7.0537313311096979</v>
      </c>
    </row>
    <row r="117" spans="1:20" x14ac:dyDescent="0.25">
      <c r="A117" s="5">
        <v>44476</v>
      </c>
      <c r="B117">
        <v>1.1702000000000001E-2</v>
      </c>
      <c r="C117">
        <v>1.2411999999999999E-2</v>
      </c>
      <c r="D117">
        <v>1.1299E-2</v>
      </c>
      <c r="E117">
        <v>1.2102999999999999E-2</v>
      </c>
      <c r="F117">
        <v>266372968</v>
      </c>
      <c r="G117">
        <v>1.2102999999999999E-2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0.4447439353099723</v>
      </c>
      <c r="Q117">
        <f t="shared" ref="Q117" si="561">F117*P117</f>
        <v>118467762.04851732</v>
      </c>
      <c r="R117">
        <f t="shared" ref="R117" si="562">R118+Q117</f>
        <v>-1348863544.5975881</v>
      </c>
      <c r="S117">
        <f t="shared" ref="S117" si="563">R117/100000</f>
        <v>-13488.63544597588</v>
      </c>
      <c r="T117">
        <f t="shared" ref="T117" si="564">S117/1000</f>
        <v>-13.488635445975881</v>
      </c>
    </row>
    <row r="118" spans="1:20" x14ac:dyDescent="0.25">
      <c r="A118" s="5">
        <v>44475</v>
      </c>
      <c r="B118">
        <v>1.1724E-2</v>
      </c>
      <c r="C118">
        <v>1.2272E-2</v>
      </c>
      <c r="D118">
        <v>1.0978E-2</v>
      </c>
      <c r="E118">
        <v>1.1702000000000001E-2</v>
      </c>
      <c r="F118">
        <v>616902260</v>
      </c>
      <c r="G118">
        <v>1.1702000000000001E-2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0.11901081916537971</v>
      </c>
      <c r="Q118">
        <f t="shared" ref="Q118" si="566">F118*P118</f>
        <v>73418043.307574064</v>
      </c>
      <c r="R118">
        <f t="shared" ref="R118" si="567">R119+Q118</f>
        <v>-1467331306.6461053</v>
      </c>
      <c r="S118">
        <f t="shared" ref="S118" si="568">R118/100000</f>
        <v>-14673.313066461053</v>
      </c>
      <c r="T118">
        <f t="shared" ref="T118" si="569">S118/1000</f>
        <v>-14.673313066461052</v>
      </c>
    </row>
    <row r="119" spans="1:20" x14ac:dyDescent="0.25">
      <c r="A119" s="5">
        <v>44474</v>
      </c>
      <c r="B119">
        <v>1.0411999999999999E-2</v>
      </c>
      <c r="C119">
        <v>1.35E-2</v>
      </c>
      <c r="D119">
        <v>1.0194999999999999E-2</v>
      </c>
      <c r="E119">
        <v>1.174E-2</v>
      </c>
      <c r="F119">
        <v>954671512</v>
      </c>
      <c r="G119">
        <v>1.174E-2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-6.5052950075642407E-2</v>
      </c>
      <c r="Q119">
        <f t="shared" ref="Q119" si="571">F119*P119</f>
        <v>-62104198.208774053</v>
      </c>
      <c r="R119">
        <f t="shared" ref="R119" si="572">R120+Q119</f>
        <v>-1540749349.9536793</v>
      </c>
      <c r="S119">
        <f t="shared" ref="S119" si="573">R119/100000</f>
        <v>-15407.493499536793</v>
      </c>
      <c r="T119">
        <f t="shared" ref="T119" si="574">S119/1000</f>
        <v>-15.407493499536793</v>
      </c>
    </row>
    <row r="120" spans="1:20" x14ac:dyDescent="0.25">
      <c r="A120" s="5">
        <v>44473</v>
      </c>
      <c r="B120">
        <v>1.0756999999999999E-2</v>
      </c>
      <c r="C120">
        <v>1.0756999999999999E-2</v>
      </c>
      <c r="D120">
        <v>1.0055E-2</v>
      </c>
      <c r="E120">
        <v>1.0394E-2</v>
      </c>
      <c r="F120">
        <v>167504319</v>
      </c>
      <c r="G120">
        <v>1.0394E-2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-3.418803418803134E-2</v>
      </c>
      <c r="Q120">
        <f t="shared" ref="Q120" si="576">F120*P120</f>
        <v>-5726643.3846149072</v>
      </c>
      <c r="R120">
        <f t="shared" ref="R120" si="577">R121+Q120</f>
        <v>-1478645151.7449052</v>
      </c>
      <c r="S120">
        <f t="shared" ref="S120" si="578">R120/100000</f>
        <v>-14786.451517449052</v>
      </c>
      <c r="T120">
        <f t="shared" ref="T120" si="579">S120/1000</f>
        <v>-14.786451517449052</v>
      </c>
    </row>
    <row r="121" spans="1:20" x14ac:dyDescent="0.25">
      <c r="A121" s="5">
        <v>44472</v>
      </c>
      <c r="B121">
        <v>1.073E-2</v>
      </c>
      <c r="C121">
        <v>1.0919999999999999E-2</v>
      </c>
      <c r="D121">
        <v>1.0435E-2</v>
      </c>
      <c r="E121">
        <v>1.069E-2</v>
      </c>
      <c r="F121">
        <v>106505658</v>
      </c>
      <c r="G121">
        <v>1.069E-2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5.1546391752578871E-2</v>
      </c>
      <c r="Q121">
        <f t="shared" ref="Q121" si="581">F121*P121</f>
        <v>5489982.3711341862</v>
      </c>
      <c r="R121">
        <f t="shared" ref="R121" si="582">R122+Q121</f>
        <v>-1472918508.3602903</v>
      </c>
      <c r="S121">
        <f t="shared" ref="S121" si="583">R121/100000</f>
        <v>-14729.185083602903</v>
      </c>
      <c r="T121">
        <f t="shared" ref="T121" si="584">S121/1000</f>
        <v>-14.729185083602902</v>
      </c>
    </row>
    <row r="122" spans="1:20" x14ac:dyDescent="0.25">
      <c r="A122" s="5">
        <v>44471</v>
      </c>
      <c r="B122">
        <v>1.0723E-2</v>
      </c>
      <c r="C122">
        <v>1.0928E-2</v>
      </c>
      <c r="D122">
        <v>1.0479E-2</v>
      </c>
      <c r="E122">
        <v>1.0685999999999999E-2</v>
      </c>
      <c r="F122">
        <v>169847551</v>
      </c>
      <c r="G122">
        <v>1.0685999999999999E-2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-7.7951002227176089E-2</v>
      </c>
      <c r="Q122">
        <f t="shared" ref="Q122" si="586">F122*P122</f>
        <v>-13239786.826281404</v>
      </c>
      <c r="R122">
        <f t="shared" ref="R122" si="587">R123+Q122</f>
        <v>-1478408490.7314246</v>
      </c>
      <c r="S122">
        <f t="shared" ref="S122" si="588">R122/100000</f>
        <v>-14784.084907314245</v>
      </c>
      <c r="T122">
        <f t="shared" ref="T122" si="589">S122/1000</f>
        <v>-14.784084907314245</v>
      </c>
    </row>
    <row r="123" spans="1:20" x14ac:dyDescent="0.25">
      <c r="A123" s="5">
        <v>44470</v>
      </c>
      <c r="B123">
        <v>1.0048E-2</v>
      </c>
      <c r="C123">
        <v>1.15E-2</v>
      </c>
      <c r="D123">
        <v>1.0047E-2</v>
      </c>
      <c r="E123">
        <v>1.0729000000000001E-2</v>
      </c>
      <c r="F123">
        <v>502954770</v>
      </c>
      <c r="G123">
        <v>1.0729000000000001E-2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-6.1252580867170572E-2</v>
      </c>
      <c r="Q123">
        <f t="shared" ref="Q123" si="591">F123*P123</f>
        <v>-30807277.721954174</v>
      </c>
      <c r="R123">
        <f t="shared" ref="R123" si="592">R124+Q123</f>
        <v>-1465168703.9051433</v>
      </c>
      <c r="S123">
        <f t="shared" ref="S123" si="593">R123/100000</f>
        <v>-14651.687039051432</v>
      </c>
      <c r="T123">
        <f t="shared" ref="T123" si="594">S123/1000</f>
        <v>-14.651687039051433</v>
      </c>
    </row>
    <row r="124" spans="1:20" x14ac:dyDescent="0.25">
      <c r="A124" s="5">
        <v>44469</v>
      </c>
      <c r="B124">
        <v>9.1489999999999991E-3</v>
      </c>
      <c r="C124">
        <v>1.1077999999999999E-2</v>
      </c>
      <c r="D124">
        <v>9.1310000000000002E-3</v>
      </c>
      <c r="E124">
        <v>1.0054E-2</v>
      </c>
      <c r="F124">
        <v>501414974</v>
      </c>
      <c r="G124">
        <v>1.0054E-2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-5.1874678993322397E-2</v>
      </c>
      <c r="Q124">
        <f t="shared" ref="Q124" si="596">F124*P124</f>
        <v>-26010740.818695094</v>
      </c>
      <c r="R124">
        <f t="shared" ref="R124" si="597">R125+Q124</f>
        <v>-1434361426.1831892</v>
      </c>
      <c r="S124">
        <f t="shared" ref="S124" si="598">R124/100000</f>
        <v>-14343.614261831892</v>
      </c>
      <c r="T124">
        <f t="shared" ref="T124" si="599">S124/1000</f>
        <v>-14.343614261831892</v>
      </c>
    </row>
    <row r="125" spans="1:20" x14ac:dyDescent="0.25">
      <c r="A125" s="5">
        <v>44468</v>
      </c>
      <c r="B125">
        <v>9.0489999999999998E-3</v>
      </c>
      <c r="C125">
        <v>9.4339999999999997E-3</v>
      </c>
      <c r="D125">
        <v>8.8330000000000006E-3</v>
      </c>
      <c r="E125">
        <v>9.1489999999999991E-3</v>
      </c>
      <c r="F125">
        <v>158825710</v>
      </c>
      <c r="G125">
        <v>9.1489999999999991E-3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5.158069883527136E-2</v>
      </c>
      <c r="Q125">
        <f t="shared" ref="Q125" si="601">F125*P125</f>
        <v>8192341.1148081468</v>
      </c>
      <c r="R125">
        <f t="shared" ref="R125" si="602">R126+Q125</f>
        <v>-1408350685.3644941</v>
      </c>
      <c r="S125">
        <f t="shared" ref="S125" si="603">R125/100000</f>
        <v>-14083.506853644942</v>
      </c>
      <c r="T125">
        <f t="shared" ref="T125" si="604">S125/1000</f>
        <v>-14.083506853644941</v>
      </c>
    </row>
    <row r="126" spans="1:20" x14ac:dyDescent="0.25">
      <c r="A126" s="5">
        <v>44467</v>
      </c>
      <c r="B126">
        <v>9.5960000000000004E-3</v>
      </c>
      <c r="C126">
        <v>9.7319999999999993E-3</v>
      </c>
      <c r="D126">
        <v>9.0019999999999996E-3</v>
      </c>
      <c r="E126">
        <v>9.051E-3</v>
      </c>
      <c r="F126">
        <v>136583241</v>
      </c>
      <c r="G126">
        <v>9.051E-3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-0.86575342465753302</v>
      </c>
      <c r="Q126">
        <f t="shared" ref="Q126" si="606">F126*P126</f>
        <v>-118247408.64657517</v>
      </c>
      <c r="R126">
        <f t="shared" ref="R126" si="607">R127+Q126</f>
        <v>-1416543026.4793022</v>
      </c>
      <c r="S126">
        <f t="shared" ref="S126" si="608">R126/100000</f>
        <v>-14165.430264793022</v>
      </c>
      <c r="T126">
        <f t="shared" ref="T126" si="609">S126/1000</f>
        <v>-14.165430264793022</v>
      </c>
    </row>
    <row r="127" spans="1:20" x14ac:dyDescent="0.25">
      <c r="A127" s="5">
        <v>44466</v>
      </c>
      <c r="B127">
        <v>1.005E-2</v>
      </c>
      <c r="C127">
        <v>1.044E-2</v>
      </c>
      <c r="D127">
        <v>9.5309999999999995E-3</v>
      </c>
      <c r="E127">
        <v>9.5659999999999999E-3</v>
      </c>
      <c r="F127">
        <v>188130695</v>
      </c>
      <c r="G127">
        <v>9.5659999999999999E-3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-0.92299229922992232</v>
      </c>
      <c r="Q127">
        <f t="shared" ref="Q127" si="611">F127*P127</f>
        <v>-173643182.73377326</v>
      </c>
      <c r="R127">
        <f t="shared" ref="R127" si="612">R128+Q127</f>
        <v>-1298295617.832727</v>
      </c>
      <c r="S127">
        <f t="shared" ref="S127" si="613">R127/100000</f>
        <v>-12982.956178327269</v>
      </c>
      <c r="T127">
        <f t="shared" ref="T127" si="614">S127/1000</f>
        <v>-12.982956178327269</v>
      </c>
    </row>
    <row r="128" spans="1:20" x14ac:dyDescent="0.25">
      <c r="A128" s="5">
        <v>44465</v>
      </c>
      <c r="B128">
        <v>1.0196999999999999E-2</v>
      </c>
      <c r="C128">
        <v>1.0503999999999999E-2</v>
      </c>
      <c r="D128">
        <v>9.3869999999999995E-3</v>
      </c>
      <c r="E128">
        <v>1.0059999999999999E-2</v>
      </c>
      <c r="F128">
        <v>278464920</v>
      </c>
      <c r="G128">
        <v>1.0059999999999999E-2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0.20501342882721579</v>
      </c>
      <c r="Q128">
        <f t="shared" ref="Q128" si="616">F128*P128</f>
        <v>57089048.057296343</v>
      </c>
      <c r="R128">
        <f t="shared" ref="R128" si="617">R129+Q128</f>
        <v>-1124652435.0989537</v>
      </c>
      <c r="S128">
        <f t="shared" ref="S128" si="618">R128/100000</f>
        <v>-11246.524350989537</v>
      </c>
      <c r="T128">
        <f t="shared" ref="T128" si="619">S128/1000</f>
        <v>-11.246524350989537</v>
      </c>
    </row>
    <row r="129" spans="1:20" x14ac:dyDescent="0.25">
      <c r="A129" s="5">
        <v>44464</v>
      </c>
      <c r="B129">
        <v>1.0208E-2</v>
      </c>
      <c r="C129">
        <v>1.0389000000000001E-2</v>
      </c>
      <c r="D129">
        <v>9.8370000000000003E-3</v>
      </c>
      <c r="E129">
        <v>1.0196999999999999E-2</v>
      </c>
      <c r="F129">
        <v>121341620</v>
      </c>
      <c r="G129">
        <v>1.0196999999999999E-2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0.30434782608695271</v>
      </c>
      <c r="Q129">
        <f t="shared" ref="Q129" si="621">F129*P129</f>
        <v>36930058.260869101</v>
      </c>
      <c r="R129">
        <f t="shared" ref="R129" si="622">R130+Q129</f>
        <v>-1181741483.15625</v>
      </c>
      <c r="S129">
        <f t="shared" ref="S129" si="623">R129/100000</f>
        <v>-11817.414831562501</v>
      </c>
      <c r="T129">
        <f t="shared" ref="T129" si="624">S129/1000</f>
        <v>-11.8174148315625</v>
      </c>
    </row>
    <row r="130" spans="1:20" x14ac:dyDescent="0.25">
      <c r="A130" s="5">
        <v>44463</v>
      </c>
      <c r="B130">
        <v>1.1178E-2</v>
      </c>
      <c r="C130">
        <v>1.1235999999999999E-2</v>
      </c>
      <c r="D130">
        <v>9.5069999999999998E-3</v>
      </c>
      <c r="E130">
        <v>1.0194E-2</v>
      </c>
      <c r="F130">
        <v>362034710</v>
      </c>
      <c r="G130">
        <v>1.0194E-2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-0.20532099479467872</v>
      </c>
      <c r="Q130">
        <f t="shared" ref="Q130" si="626">F130*P130</f>
        <v>-74333326.807403013</v>
      </c>
      <c r="R130">
        <f t="shared" ref="R130" si="627">R131+Q130</f>
        <v>-1218671541.417119</v>
      </c>
      <c r="S130">
        <f t="shared" ref="S130" si="628">R130/100000</f>
        <v>-12186.715414171191</v>
      </c>
      <c r="T130">
        <f t="shared" ref="T130" si="629">S130/1000</f>
        <v>-12.186715414171191</v>
      </c>
    </row>
    <row r="131" spans="1:20" x14ac:dyDescent="0.25">
      <c r="A131" s="5">
        <v>44462</v>
      </c>
      <c r="B131">
        <v>1.1247E-2</v>
      </c>
      <c r="C131">
        <v>1.1252E-2</v>
      </c>
      <c r="D131">
        <v>1.0703000000000001E-2</v>
      </c>
      <c r="E131">
        <v>1.1199000000000001E-2</v>
      </c>
      <c r="F131">
        <v>168955263</v>
      </c>
      <c r="G131">
        <v>1.1199000000000001E-2</v>
      </c>
      <c r="L131" t="s">
        <v>8</v>
      </c>
      <c r="M131" t="s">
        <v>7</v>
      </c>
      <c r="N131" t="s">
        <v>8</v>
      </c>
      <c r="P131">
        <f t="shared" ref="P131" si="630">IF(C131=D131,0,((E131-D131)-(C131-E131))/(C131-D131))</f>
        <v>0.80692167577413731</v>
      </c>
      <c r="Q131">
        <f t="shared" ref="Q131" si="631">F131*P131</f>
        <v>136333663.95082009</v>
      </c>
      <c r="R131">
        <f t="shared" ref="R131" si="632">R132+Q131</f>
        <v>-1144338214.6097159</v>
      </c>
      <c r="S131">
        <f t="shared" ref="S131" si="633">R131/100000</f>
        <v>-11443.382146097159</v>
      </c>
      <c r="T131">
        <f t="shared" ref="T131" si="634">S131/1000</f>
        <v>-11.443382146097159</v>
      </c>
    </row>
    <row r="132" spans="1:20" x14ac:dyDescent="0.25">
      <c r="A132" s="5">
        <v>44461</v>
      </c>
      <c r="B132">
        <v>1.0208E-2</v>
      </c>
      <c r="C132">
        <v>1.1357000000000001E-2</v>
      </c>
      <c r="D132">
        <v>9.8069999999999997E-3</v>
      </c>
      <c r="E132">
        <v>1.1280999999999999E-2</v>
      </c>
      <c r="F132">
        <v>334626797</v>
      </c>
      <c r="G132">
        <v>1.1280999999999999E-2</v>
      </c>
      <c r="L132" t="s">
        <v>8</v>
      </c>
      <c r="M132" t="s">
        <v>7</v>
      </c>
      <c r="N132" t="s">
        <v>8</v>
      </c>
      <c r="P132">
        <f t="shared" ref="P132" si="635">IF(C132=D132,0,((E132-D132)-(C132-E132))/(C132-D132))</f>
        <v>0.901935483870966</v>
      </c>
      <c r="Q132">
        <f t="shared" ref="Q132" si="636">F132*P132</f>
        <v>301811782.0683865</v>
      </c>
      <c r="R132">
        <f t="shared" ref="R132" si="637">R133+Q132</f>
        <v>-1280671878.5605361</v>
      </c>
      <c r="S132">
        <f t="shared" ref="S132" si="638">R132/100000</f>
        <v>-12806.718785605361</v>
      </c>
      <c r="T132">
        <f t="shared" ref="T132" si="639">S132/1000</f>
        <v>-12.80671878560536</v>
      </c>
    </row>
    <row r="133" spans="1:20" x14ac:dyDescent="0.25">
      <c r="A133" s="5">
        <v>44460</v>
      </c>
      <c r="B133">
        <v>1.2154999999999999E-2</v>
      </c>
      <c r="C133">
        <v>1.2607999999999999E-2</v>
      </c>
      <c r="D133">
        <v>9.7999999999999997E-3</v>
      </c>
      <c r="E133">
        <v>1.0263E-2</v>
      </c>
      <c r="F133">
        <v>1560166400</v>
      </c>
      <c r="G133">
        <v>1.0263E-2</v>
      </c>
      <c r="L133" t="s">
        <v>7</v>
      </c>
      <c r="M133" t="s">
        <v>8</v>
      </c>
      <c r="N133" t="s">
        <v>8</v>
      </c>
      <c r="P133">
        <f t="shared" ref="P133" si="640">IF(C133=D133,0,((E133-D133)-(C133-E133))/(C133-D133))</f>
        <v>-0.67022792022792033</v>
      </c>
      <c r="Q133">
        <f t="shared" ref="Q133" si="641">F133*P133</f>
        <v>-1045667081.4814817</v>
      </c>
      <c r="R133">
        <f t="shared" ref="R133" si="642">R134+Q133</f>
        <v>-1582483660.6289227</v>
      </c>
      <c r="S133">
        <f t="shared" ref="S133" si="643">R133/100000</f>
        <v>-15824.836606289227</v>
      </c>
      <c r="T133">
        <f t="shared" ref="T133" si="644">S133/1000</f>
        <v>-15.824836606289228</v>
      </c>
    </row>
    <row r="134" spans="1:20" x14ac:dyDescent="0.25">
      <c r="A134" s="5">
        <v>44459</v>
      </c>
      <c r="B134">
        <v>1.1624000000000001E-2</v>
      </c>
      <c r="C134">
        <v>1.1748E-2</v>
      </c>
      <c r="D134">
        <v>1.0108000000000001E-2</v>
      </c>
      <c r="E134">
        <v>1.0208E-2</v>
      </c>
      <c r="F134">
        <v>225961591</v>
      </c>
      <c r="G134">
        <v>1.0208E-2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-0.87804878048780555</v>
      </c>
      <c r="Q134">
        <f t="shared" ref="Q134" si="646">F134*P134</f>
        <v>-198405299.41463429</v>
      </c>
      <c r="R134">
        <f t="shared" ref="R134" si="647">R135+Q134</f>
        <v>-536816579.14744103</v>
      </c>
      <c r="S134">
        <f t="shared" ref="S134" si="648">R134/100000</f>
        <v>-5368.1657914744101</v>
      </c>
      <c r="T134">
        <f t="shared" ref="T134" si="649">S134/1000</f>
        <v>-5.3681657914744099</v>
      </c>
    </row>
    <row r="135" spans="1:20" x14ac:dyDescent="0.25">
      <c r="A135" s="5">
        <v>44458</v>
      </c>
      <c r="B135">
        <v>1.2269E-2</v>
      </c>
      <c r="C135">
        <v>1.2408000000000001E-2</v>
      </c>
      <c r="D135">
        <v>1.1502999999999999E-2</v>
      </c>
      <c r="E135">
        <v>1.1625999999999999E-2</v>
      </c>
      <c r="F135">
        <v>300334393</v>
      </c>
      <c r="G135">
        <v>1.1625999999999999E-2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-0.72817679558011128</v>
      </c>
      <c r="Q135">
        <f t="shared" ref="Q135" si="651">F135*P135</f>
        <v>-218696535.89723781</v>
      </c>
      <c r="R135">
        <f t="shared" ref="R135" si="652">R136+Q135</f>
        <v>-338411279.73280674</v>
      </c>
      <c r="S135">
        <f t="shared" ref="S135" si="653">R135/100000</f>
        <v>-3384.1127973280672</v>
      </c>
      <c r="T135">
        <f t="shared" ref="T135" si="654">S135/1000</f>
        <v>-3.3841127973280671</v>
      </c>
    </row>
    <row r="136" spans="1:20" x14ac:dyDescent="0.25">
      <c r="A136" s="5">
        <v>44457</v>
      </c>
      <c r="B136">
        <v>1.2093E-2</v>
      </c>
      <c r="C136">
        <v>1.2441000000000001E-2</v>
      </c>
      <c r="D136">
        <v>1.1941E-2</v>
      </c>
      <c r="E136">
        <v>1.2239E-2</v>
      </c>
      <c r="F136">
        <v>116418022</v>
      </c>
      <c r="G136">
        <v>1.2239E-2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0.19199999999999756</v>
      </c>
      <c r="Q136">
        <f t="shared" ref="Q136" si="656">F136*P136</f>
        <v>22352260.223999716</v>
      </c>
      <c r="R136">
        <f t="shared" ref="R136" si="657">R137+Q136</f>
        <v>-119714743.83556893</v>
      </c>
      <c r="S136">
        <f t="shared" ref="S136" si="658">R136/100000</f>
        <v>-1197.1474383556892</v>
      </c>
      <c r="T136">
        <f t="shared" ref="T136" si="659">S136/1000</f>
        <v>-1.1971474383556893</v>
      </c>
    </row>
    <row r="137" spans="1:20" x14ac:dyDescent="0.25">
      <c r="A137" s="5">
        <v>44456</v>
      </c>
      <c r="B137">
        <v>1.2599000000000001E-2</v>
      </c>
      <c r="C137">
        <v>1.3013E-2</v>
      </c>
      <c r="D137">
        <v>1.1898000000000001E-2</v>
      </c>
      <c r="E137">
        <v>1.2128E-2</v>
      </c>
      <c r="F137">
        <v>185353021</v>
      </c>
      <c r="G137">
        <v>1.2128E-2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-0.58744394618834195</v>
      </c>
      <c r="Q137">
        <f t="shared" ref="Q137" si="661">F137*P137</f>
        <v>-108884510.09417062</v>
      </c>
      <c r="R137">
        <f t="shared" ref="R137" si="662">R138+Q137</f>
        <v>-142067004.05956864</v>
      </c>
      <c r="S137">
        <f t="shared" ref="S137" si="663">R137/100000</f>
        <v>-1420.6700405956865</v>
      </c>
      <c r="T137">
        <f t="shared" ref="T137" si="664">S137/1000</f>
        <v>-1.4206700405956865</v>
      </c>
    </row>
    <row r="138" spans="1:20" x14ac:dyDescent="0.25">
      <c r="A138" s="5">
        <v>44455</v>
      </c>
      <c r="B138">
        <v>1.3027E-2</v>
      </c>
      <c r="C138">
        <v>1.3304E-2</v>
      </c>
      <c r="D138">
        <v>1.2423999999999999E-2</v>
      </c>
      <c r="E138">
        <v>1.2599000000000001E-2</v>
      </c>
      <c r="F138">
        <v>180460032</v>
      </c>
      <c r="G138">
        <v>1.2599000000000001E-2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-0.60227272727272407</v>
      </c>
      <c r="Q138">
        <f t="shared" ref="Q138" si="666">F138*P138</f>
        <v>-108686155.63636306</v>
      </c>
      <c r="R138">
        <f t="shared" ref="R138" si="667">R139+Q138</f>
        <v>-33182493.965398028</v>
      </c>
      <c r="S138">
        <f t="shared" ref="S138" si="668">R138/100000</f>
        <v>-331.82493965398027</v>
      </c>
      <c r="T138">
        <f t="shared" ref="T138" si="669">S138/1000</f>
        <v>-0.33182493965398024</v>
      </c>
    </row>
    <row r="139" spans="1:20" x14ac:dyDescent="0.25">
      <c r="A139" s="5">
        <v>44454</v>
      </c>
      <c r="B139">
        <v>1.2153000000000001E-2</v>
      </c>
      <c r="C139">
        <v>1.315E-2</v>
      </c>
      <c r="D139">
        <v>1.1931000000000001E-2</v>
      </c>
      <c r="E139">
        <v>1.3027E-2</v>
      </c>
      <c r="F139">
        <v>145520910</v>
      </c>
      <c r="G139">
        <v>1.3027E-2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0.79819524200164083</v>
      </c>
      <c r="Q139">
        <f t="shared" ref="Q139" si="671">F139*P139</f>
        <v>116154097.973749</v>
      </c>
      <c r="R139">
        <f t="shared" ref="R139" si="672">R140+Q139</f>
        <v>75503661.670965031</v>
      </c>
      <c r="S139">
        <f t="shared" ref="S139" si="673">R139/100000</f>
        <v>755.03661670965027</v>
      </c>
      <c r="T139">
        <f t="shared" ref="T139" si="674">S139/1000</f>
        <v>0.75503661670965028</v>
      </c>
    </row>
    <row r="140" spans="1:20" x14ac:dyDescent="0.25">
      <c r="A140" s="5">
        <v>44453</v>
      </c>
      <c r="B140">
        <v>1.1738E-2</v>
      </c>
      <c r="C140">
        <v>1.2163E-2</v>
      </c>
      <c r="D140">
        <v>1.1575999999999999E-2</v>
      </c>
      <c r="E140">
        <v>1.2163E-2</v>
      </c>
      <c r="F140">
        <v>99035113</v>
      </c>
      <c r="G140">
        <v>1.2163E-2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1</v>
      </c>
      <c r="Q140">
        <f t="shared" ref="Q140" si="676">F140*P140</f>
        <v>99035113</v>
      </c>
      <c r="R140">
        <f t="shared" ref="R140" si="677">R141+Q140</f>
        <v>-40650436.302783966</v>
      </c>
      <c r="S140">
        <f t="shared" ref="S140" si="678">R140/100000</f>
        <v>-406.50436302783964</v>
      </c>
      <c r="T140">
        <f t="shared" ref="T140" si="679">S140/1000</f>
        <v>-0.40650436302783965</v>
      </c>
    </row>
    <row r="141" spans="1:20" x14ac:dyDescent="0.25">
      <c r="A141" s="5">
        <v>44452</v>
      </c>
      <c r="B141">
        <v>1.2364999999999999E-2</v>
      </c>
      <c r="C141">
        <v>1.2654E-2</v>
      </c>
      <c r="D141">
        <v>1.1141E-2</v>
      </c>
      <c r="E141">
        <v>1.1738E-2</v>
      </c>
      <c r="F141">
        <v>190394217</v>
      </c>
      <c r="G141">
        <v>1.1738E-2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-0.21083939193654974</v>
      </c>
      <c r="Q141">
        <f t="shared" ref="Q141" si="681">F141*P141</f>
        <v>-40142600.940515503</v>
      </c>
      <c r="R141">
        <f t="shared" ref="R141" si="682">R142+Q141</f>
        <v>-139685549.30278397</v>
      </c>
      <c r="S141">
        <f t="shared" ref="S141" si="683">R141/100000</f>
        <v>-1396.8554930278397</v>
      </c>
      <c r="T141">
        <f t="shared" ref="T141" si="684">S141/1000</f>
        <v>-1.3968554930278396</v>
      </c>
    </row>
    <row r="142" spans="1:20" x14ac:dyDescent="0.25">
      <c r="A142" s="5">
        <v>44451</v>
      </c>
      <c r="B142">
        <v>1.2130999999999999E-2</v>
      </c>
      <c r="C142">
        <v>1.2452E-2</v>
      </c>
      <c r="D142">
        <v>1.1860000000000001E-2</v>
      </c>
      <c r="E142">
        <v>1.2342000000000001E-2</v>
      </c>
      <c r="F142">
        <v>97485137</v>
      </c>
      <c r="G142">
        <v>1.2342000000000001E-2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0.62837837837838106</v>
      </c>
      <c r="Q142">
        <f t="shared" ref="Q142" si="686">F142*P142</f>
        <v>61257552.304054312</v>
      </c>
      <c r="R142">
        <f t="shared" ref="R142" si="687">R143+Q142</f>
        <v>-99542948.362268478</v>
      </c>
      <c r="S142">
        <f t="shared" ref="S142" si="688">R142/100000</f>
        <v>-995.42948362268476</v>
      </c>
      <c r="T142">
        <f t="shared" ref="T142" si="689">S142/1000</f>
        <v>-0.9954294836226848</v>
      </c>
    </row>
    <row r="143" spans="1:20" x14ac:dyDescent="0.25">
      <c r="A143" s="5">
        <v>44450</v>
      </c>
      <c r="B143">
        <v>1.2126E-2</v>
      </c>
      <c r="C143">
        <v>1.2434000000000001E-2</v>
      </c>
      <c r="D143">
        <v>1.1851E-2</v>
      </c>
      <c r="E143">
        <v>1.2173E-2</v>
      </c>
      <c r="F143">
        <v>177419519</v>
      </c>
      <c r="G143">
        <v>1.2173E-2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0.1046312178387625</v>
      </c>
      <c r="Q143">
        <f t="shared" ref="Q143" si="691">F143*P143</f>
        <v>18563620.341337461</v>
      </c>
      <c r="R143">
        <f t="shared" ref="R143" si="692">R144+Q143</f>
        <v>-160800500.6663228</v>
      </c>
      <c r="S143">
        <f t="shared" ref="S143" si="693">R143/100000</f>
        <v>-1608.005006663228</v>
      </c>
      <c r="T143">
        <f t="shared" ref="T143" si="694">S143/1000</f>
        <v>-1.6080050066632279</v>
      </c>
    </row>
    <row r="144" spans="1:20" x14ac:dyDescent="0.25">
      <c r="A144" s="5">
        <v>44449</v>
      </c>
      <c r="B144">
        <v>1.2043E-2</v>
      </c>
      <c r="C144">
        <v>1.2635E-2</v>
      </c>
      <c r="D144">
        <v>1.1575E-2</v>
      </c>
      <c r="E144">
        <v>1.2128E-2</v>
      </c>
      <c r="F144">
        <v>256989979</v>
      </c>
      <c r="G144">
        <v>1.2128E-2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4.3396226415093546E-2</v>
      </c>
      <c r="Q144">
        <f t="shared" ref="Q144" si="696">F144*P144</f>
        <v>11152395.315094136</v>
      </c>
      <c r="R144">
        <f t="shared" ref="R144" si="697">R145+Q144</f>
        <v>-179364121.00766027</v>
      </c>
      <c r="S144">
        <f t="shared" ref="S144" si="698">R144/100000</f>
        <v>-1793.6412100766026</v>
      </c>
      <c r="T144">
        <f t="shared" ref="T144" si="699">S144/1000</f>
        <v>-1.7936412100766026</v>
      </c>
    </row>
    <row r="145" spans="1:20" x14ac:dyDescent="0.25">
      <c r="A145" s="5">
        <v>44448</v>
      </c>
      <c r="B145">
        <v>1.1261E-2</v>
      </c>
      <c r="C145">
        <v>1.3480000000000001E-2</v>
      </c>
      <c r="D145">
        <v>1.1252E-2</v>
      </c>
      <c r="E145">
        <v>1.201E-2</v>
      </c>
      <c r="F145">
        <v>750327542</v>
      </c>
      <c r="G145">
        <v>1.201E-2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-0.31956912028725337</v>
      </c>
      <c r="Q145">
        <f t="shared" ref="Q145" si="701">F145*P145</f>
        <v>-239781512.52423716</v>
      </c>
      <c r="R145">
        <f t="shared" ref="R145" si="702">R146+Q145</f>
        <v>-190516516.32275441</v>
      </c>
      <c r="S145">
        <f t="shared" ref="S145" si="703">R145/100000</f>
        <v>-1905.1651632275441</v>
      </c>
      <c r="T145">
        <f t="shared" ref="T145" si="704">S145/1000</f>
        <v>-1.9051651632275441</v>
      </c>
    </row>
    <row r="146" spans="1:20" x14ac:dyDescent="0.25">
      <c r="A146" s="5">
        <v>44447</v>
      </c>
      <c r="B146">
        <v>1.1289E-2</v>
      </c>
      <c r="C146">
        <v>1.1785E-2</v>
      </c>
      <c r="D146">
        <v>9.9620000000000004E-3</v>
      </c>
      <c r="E146">
        <v>1.1249E-2</v>
      </c>
      <c r="F146">
        <v>361870320</v>
      </c>
      <c r="G146">
        <v>1.1249E-2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0.4119583104772353</v>
      </c>
      <c r="Q146">
        <f t="shared" ref="Q146" si="706">F146*P146</f>
        <v>149075485.6390565</v>
      </c>
      <c r="R146">
        <f t="shared" ref="R146" si="707">R147+Q146</f>
        <v>49264996.201482743</v>
      </c>
      <c r="S146">
        <f t="shared" ref="S146" si="708">R146/100000</f>
        <v>492.64996201482745</v>
      </c>
      <c r="T146">
        <f t="shared" ref="T146" si="709">S146/1000</f>
        <v>0.49264996201482747</v>
      </c>
    </row>
    <row r="147" spans="1:20" x14ac:dyDescent="0.25">
      <c r="A147" s="5">
        <v>44446</v>
      </c>
      <c r="B147">
        <v>1.456E-2</v>
      </c>
      <c r="C147">
        <v>1.4609E-2</v>
      </c>
      <c r="D147">
        <v>8.9999999999999993E-3</v>
      </c>
      <c r="E147">
        <v>1.1276E-2</v>
      </c>
      <c r="F147">
        <v>523401501</v>
      </c>
      <c r="G147">
        <v>1.1276E-2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-0.1884471385273668</v>
      </c>
      <c r="Q147">
        <f t="shared" ref="Q147" si="711">F147*P147</f>
        <v>-98633515.164378718</v>
      </c>
      <c r="R147">
        <f t="shared" ref="R147" si="712">R148+Q147</f>
        <v>-99810489.437573761</v>
      </c>
      <c r="S147">
        <f t="shared" ref="S147" si="713">R147/100000</f>
        <v>-998.10489437573756</v>
      </c>
      <c r="T147">
        <f t="shared" ref="T147" si="714">S147/1000</f>
        <v>-0.99810489437573757</v>
      </c>
    </row>
    <row r="148" spans="1:20" x14ac:dyDescent="0.25">
      <c r="A148" s="5">
        <v>44445</v>
      </c>
      <c r="B148">
        <v>1.4565E-2</v>
      </c>
      <c r="C148">
        <v>1.5122E-2</v>
      </c>
      <c r="D148">
        <v>1.3823999999999999E-2</v>
      </c>
      <c r="E148">
        <v>1.456E-2</v>
      </c>
      <c r="F148">
        <v>380736431</v>
      </c>
      <c r="G148">
        <v>1.456E-2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0.13405238828967678</v>
      </c>
      <c r="Q148">
        <f t="shared" ref="Q148" si="716">F148*P148</f>
        <v>51038627.884437732</v>
      </c>
      <c r="R148">
        <f t="shared" ref="R148" si="717">R149+Q148</f>
        <v>-1176974.2731950358</v>
      </c>
      <c r="S148">
        <f t="shared" ref="S148" si="718">R148/100000</f>
        <v>-11.769742731950357</v>
      </c>
      <c r="T148">
        <f t="shared" ref="T148" si="719">S148/1000</f>
        <v>-1.1769742731950358E-2</v>
      </c>
    </row>
    <row r="149" spans="1:20" x14ac:dyDescent="0.25">
      <c r="A149" s="5">
        <v>44444</v>
      </c>
      <c r="B149">
        <v>1.4407E-2</v>
      </c>
      <c r="C149">
        <v>1.6E-2</v>
      </c>
      <c r="D149">
        <v>1.4149999999999999E-2</v>
      </c>
      <c r="E149">
        <v>1.4539E-2</v>
      </c>
      <c r="F149">
        <v>770845217</v>
      </c>
      <c r="G149">
        <v>1.4539E-2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-0.5794594594594592</v>
      </c>
      <c r="Q149">
        <f t="shared" ref="Q149" si="721">F149*P149</f>
        <v>-446673552.76972955</v>
      </c>
      <c r="R149">
        <f t="shared" ref="R149" si="722">R150+Q149</f>
        <v>-52215602.157632768</v>
      </c>
      <c r="S149">
        <f t="shared" ref="S149" si="723">R149/100000</f>
        <v>-522.1560215763277</v>
      </c>
      <c r="T149">
        <f t="shared" ref="T149" si="724">S149/1000</f>
        <v>-0.52215602157632768</v>
      </c>
    </row>
    <row r="150" spans="1:20" x14ac:dyDescent="0.25">
      <c r="A150" s="5">
        <v>44443</v>
      </c>
      <c r="B150">
        <v>1.2851E-2</v>
      </c>
      <c r="C150">
        <v>1.4888E-2</v>
      </c>
      <c r="D150">
        <v>1.2692999999999999E-2</v>
      </c>
      <c r="E150">
        <v>1.4404999999999999E-2</v>
      </c>
      <c r="F150">
        <v>906041412</v>
      </c>
      <c r="G150">
        <v>1.4404999999999999E-2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0.55990888382687876</v>
      </c>
      <c r="Q150">
        <f t="shared" ref="Q150" si="726">F150*P150</f>
        <v>507300635.69384921</v>
      </c>
      <c r="R150">
        <f t="shared" ref="R150" si="727">R151+Q150</f>
        <v>394457950.61209679</v>
      </c>
      <c r="S150">
        <f t="shared" ref="S150" si="728">R150/100000</f>
        <v>3944.5795061209678</v>
      </c>
      <c r="T150">
        <f t="shared" ref="T150" si="729">S150/1000</f>
        <v>3.9445795061209679</v>
      </c>
    </row>
    <row r="151" spans="1:20" x14ac:dyDescent="0.25">
      <c r="A151" s="5">
        <v>44442</v>
      </c>
      <c r="B151">
        <v>1.2572E-2</v>
      </c>
      <c r="C151">
        <v>1.2897E-2</v>
      </c>
      <c r="D151">
        <v>1.2092E-2</v>
      </c>
      <c r="E151">
        <v>1.2878000000000001E-2</v>
      </c>
      <c r="F151">
        <v>566748579</v>
      </c>
      <c r="G151">
        <v>1.2878000000000001E-2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0.9527950310559008</v>
      </c>
      <c r="Q151">
        <f t="shared" ref="Q151" si="731">F151*P151</f>
        <v>539995229.92919266</v>
      </c>
      <c r="R151">
        <f t="shared" ref="R151" si="732">R152+Q151</f>
        <v>-112842685.08175242</v>
      </c>
      <c r="S151">
        <f t="shared" ref="S151" si="733">R151/100000</f>
        <v>-1128.4268508175242</v>
      </c>
      <c r="T151">
        <f t="shared" ref="T151" si="734">S151/1000</f>
        <v>-1.1284268508175241</v>
      </c>
    </row>
    <row r="152" spans="1:20" x14ac:dyDescent="0.25">
      <c r="A152" s="5">
        <v>44441</v>
      </c>
      <c r="B152">
        <v>1.2682000000000001E-2</v>
      </c>
      <c r="C152">
        <v>1.32E-2</v>
      </c>
      <c r="D152">
        <v>1.2449999999999999E-2</v>
      </c>
      <c r="E152">
        <v>1.2574999999999999E-2</v>
      </c>
      <c r="F152">
        <v>328972040</v>
      </c>
      <c r="G152">
        <v>1.2574999999999999E-2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-0.66666666666666663</v>
      </c>
      <c r="Q152">
        <f t="shared" ref="Q152" si="736">F152*P152</f>
        <v>-219314693.33333331</v>
      </c>
      <c r="R152">
        <f t="shared" ref="R152" si="737">R153+Q152</f>
        <v>-652837915.01094508</v>
      </c>
      <c r="S152">
        <f t="shared" ref="S152" si="738">R152/100000</f>
        <v>-6528.3791501094511</v>
      </c>
      <c r="T152">
        <f t="shared" ref="T152" si="739">S152/1000</f>
        <v>-6.5283791501094512</v>
      </c>
    </row>
    <row r="153" spans="1:20" x14ac:dyDescent="0.25">
      <c r="A153" s="5">
        <v>44440</v>
      </c>
      <c r="B153">
        <v>1.1990000000000001E-2</v>
      </c>
      <c r="C153">
        <v>1.2999999999999999E-2</v>
      </c>
      <c r="D153">
        <v>1.1813000000000001E-2</v>
      </c>
      <c r="E153">
        <v>1.2704E-2</v>
      </c>
      <c r="F153">
        <v>438375711</v>
      </c>
      <c r="G153">
        <v>1.2704E-2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0.5012636899747267</v>
      </c>
      <c r="Q153">
        <f t="shared" ref="Q153" si="741">F153*P153</f>
        <v>219741826.4911544</v>
      </c>
      <c r="R153">
        <f t="shared" ref="R153" si="742">R154+Q153</f>
        <v>-433523221.67761183</v>
      </c>
      <c r="S153">
        <f t="shared" ref="S153" si="743">R153/100000</f>
        <v>-4335.2322167761185</v>
      </c>
      <c r="T153">
        <f t="shared" ref="T153" si="744">S153/1000</f>
        <v>-4.3352322167761184</v>
      </c>
    </row>
    <row r="154" spans="1:20" x14ac:dyDescent="0.25">
      <c r="A154" s="5">
        <v>44439</v>
      </c>
      <c r="B154">
        <v>1.166E-2</v>
      </c>
      <c r="C154">
        <v>1.2245000000000001E-2</v>
      </c>
      <c r="D154">
        <v>1.1299999999999999E-2</v>
      </c>
      <c r="E154">
        <v>1.1969E-2</v>
      </c>
      <c r="F154">
        <v>266327621</v>
      </c>
      <c r="G154">
        <v>1.1969E-2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0.41587301587301628</v>
      </c>
      <c r="Q154">
        <f t="shared" ref="Q154" si="746">F154*P154</f>
        <v>110758470.95555566</v>
      </c>
      <c r="R154">
        <f t="shared" ref="R154" si="747">R155+Q154</f>
        <v>-653265048.16876626</v>
      </c>
      <c r="S154">
        <f t="shared" ref="S154" si="748">R154/100000</f>
        <v>-6532.6504816876622</v>
      </c>
      <c r="T154">
        <f t="shared" ref="T154" si="749">S154/1000</f>
        <v>-6.5326504816876625</v>
      </c>
    </row>
    <row r="155" spans="1:20" x14ac:dyDescent="0.25">
      <c r="A155" s="5">
        <v>44438</v>
      </c>
      <c r="B155">
        <v>1.1837E-2</v>
      </c>
      <c r="C155">
        <v>1.2074E-2</v>
      </c>
      <c r="D155">
        <v>1.1377E-2</v>
      </c>
      <c r="E155">
        <v>1.1663E-2</v>
      </c>
      <c r="F155">
        <v>229999985</v>
      </c>
      <c r="G155">
        <v>1.1663E-2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-0.17934002869440482</v>
      </c>
      <c r="Q155">
        <f t="shared" ref="Q155" si="751">F155*P155</f>
        <v>-41248203.909612678</v>
      </c>
      <c r="R155">
        <f t="shared" ref="R155" si="752">R156+Q155</f>
        <v>-764023519.12432194</v>
      </c>
      <c r="S155">
        <f t="shared" ref="S155" si="753">R155/100000</f>
        <v>-7640.2351912432196</v>
      </c>
      <c r="T155">
        <f t="shared" ref="T155" si="754">S155/1000</f>
        <v>-7.6402351912432191</v>
      </c>
    </row>
    <row r="156" spans="1:20" x14ac:dyDescent="0.25">
      <c r="A156" s="5">
        <v>44437</v>
      </c>
      <c r="B156">
        <v>1.2102E-2</v>
      </c>
      <c r="C156">
        <v>1.2229E-2</v>
      </c>
      <c r="D156">
        <v>1.1466E-2</v>
      </c>
      <c r="E156">
        <v>1.1847E-2</v>
      </c>
      <c r="F156">
        <v>209297062</v>
      </c>
      <c r="G156">
        <v>1.1847E-2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-1.3106159895163831E-3</v>
      </c>
      <c r="Q156">
        <f t="shared" ref="Q156" si="756">F156*P156</f>
        <v>-274308.07601600181</v>
      </c>
      <c r="R156">
        <f t="shared" ref="R156" si="757">R157+Q156</f>
        <v>-722775315.21470928</v>
      </c>
      <c r="S156">
        <f t="shared" ref="S156" si="758">R156/100000</f>
        <v>-7227.7531521470928</v>
      </c>
      <c r="T156">
        <f t="shared" ref="T156" si="759">S156/1000</f>
        <v>-7.227753152147093</v>
      </c>
    </row>
    <row r="157" spans="1:20" x14ac:dyDescent="0.25">
      <c r="A157" s="5">
        <v>44436</v>
      </c>
      <c r="B157">
        <v>1.238E-2</v>
      </c>
      <c r="C157">
        <v>1.2414E-2</v>
      </c>
      <c r="D157">
        <v>1.1900000000000001E-2</v>
      </c>
      <c r="E157">
        <v>1.2104E-2</v>
      </c>
      <c r="F157">
        <v>155061610</v>
      </c>
      <c r="G157">
        <v>1.2104E-2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-0.20622568093385299</v>
      </c>
      <c r="Q157">
        <f t="shared" ref="Q157" si="761">F157*P157</f>
        <v>-31977686.108949549</v>
      </c>
      <c r="R157">
        <f t="shared" ref="R157" si="762">R158+Q157</f>
        <v>-722501007.13869333</v>
      </c>
      <c r="S157">
        <f t="shared" ref="S157" si="763">R157/100000</f>
        <v>-7225.0100713869333</v>
      </c>
      <c r="T157">
        <f t="shared" ref="T157" si="764">S157/1000</f>
        <v>-7.225010071386933</v>
      </c>
    </row>
    <row r="158" spans="1:20" x14ac:dyDescent="0.25">
      <c r="A158" s="5">
        <v>44435</v>
      </c>
      <c r="B158">
        <v>1.1807E-2</v>
      </c>
      <c r="C158">
        <v>1.2397999999999999E-2</v>
      </c>
      <c r="D158">
        <v>1.1180000000000001E-2</v>
      </c>
      <c r="E158">
        <v>1.2381E-2</v>
      </c>
      <c r="F158">
        <v>253674446</v>
      </c>
      <c r="G158">
        <v>1.2381E-2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0.97208538587848992</v>
      </c>
      <c r="Q158">
        <f t="shared" ref="Q158" si="766">F158*P158</f>
        <v>246593221.72742215</v>
      </c>
      <c r="R158">
        <f t="shared" ref="R158" si="767">R159+Q158</f>
        <v>-690523321.02974379</v>
      </c>
      <c r="S158">
        <f t="shared" ref="S158" si="768">R158/100000</f>
        <v>-6905.2332102974378</v>
      </c>
      <c r="T158">
        <f t="shared" ref="T158" si="769">S158/1000</f>
        <v>-6.9052332102974381</v>
      </c>
    </row>
    <row r="159" spans="1:20" x14ac:dyDescent="0.25">
      <c r="A159" s="5">
        <v>44434</v>
      </c>
      <c r="B159">
        <v>1.3178E-2</v>
      </c>
      <c r="C159">
        <v>1.3788E-2</v>
      </c>
      <c r="D159">
        <v>1.1691E-2</v>
      </c>
      <c r="E159">
        <v>1.1809E-2</v>
      </c>
      <c r="F159">
        <v>434847868</v>
      </c>
      <c r="G159">
        <v>1.1809E-2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-0.88745827372436814</v>
      </c>
      <c r="Q159">
        <f t="shared" ref="Q159" si="771">F159*P159</f>
        <v>-385909338.26800191</v>
      </c>
      <c r="R159">
        <f t="shared" ref="R159" si="772">R160+Q159</f>
        <v>-937116542.75716591</v>
      </c>
      <c r="S159">
        <f t="shared" ref="S159" si="773">R159/100000</f>
        <v>-9371.1654275716592</v>
      </c>
      <c r="T159">
        <f t="shared" ref="T159" si="774">S159/1000</f>
        <v>-9.3711654275716594</v>
      </c>
    </row>
    <row r="160" spans="1:20" x14ac:dyDescent="0.25">
      <c r="A160" s="5">
        <v>44433</v>
      </c>
      <c r="B160">
        <v>1.2456E-2</v>
      </c>
      <c r="C160">
        <v>1.3488E-2</v>
      </c>
      <c r="D160">
        <v>1.1901999999999999E-2</v>
      </c>
      <c r="E160">
        <v>1.3185000000000001E-2</v>
      </c>
      <c r="F160">
        <v>371466112</v>
      </c>
      <c r="G160">
        <v>1.3185000000000001E-2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0.61790668348045485</v>
      </c>
      <c r="Q160">
        <f t="shared" ref="Q160" si="776">F160*P160</f>
        <v>229531393.29129919</v>
      </c>
      <c r="R160">
        <f t="shared" ref="R160" si="777">R161+Q160</f>
        <v>-551207204.48916399</v>
      </c>
      <c r="S160">
        <f t="shared" ref="S160" si="778">R160/100000</f>
        <v>-5512.07204489164</v>
      </c>
      <c r="T160">
        <f t="shared" ref="T160" si="779">S160/1000</f>
        <v>-5.5120720448916396</v>
      </c>
    </row>
    <row r="161" spans="1:20" x14ac:dyDescent="0.25">
      <c r="A161" s="5">
        <v>44432</v>
      </c>
      <c r="B161">
        <v>1.3406E-2</v>
      </c>
      <c r="C161">
        <v>1.3950000000000001E-2</v>
      </c>
      <c r="D161">
        <v>1.2248E-2</v>
      </c>
      <c r="E161">
        <v>1.2456E-2</v>
      </c>
      <c r="F161">
        <v>574998132</v>
      </c>
      <c r="G161">
        <v>1.2456E-2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-0.75558166862514708</v>
      </c>
      <c r="Q161">
        <f t="shared" ref="Q161" si="781">F161*P161</f>
        <v>-434458048.0329026</v>
      </c>
      <c r="R161">
        <f t="shared" ref="R161" si="782">R162+Q161</f>
        <v>-780738597.78046322</v>
      </c>
      <c r="S161">
        <f t="shared" ref="S161" si="783">R161/100000</f>
        <v>-7807.3859778046326</v>
      </c>
      <c r="T161">
        <f t="shared" ref="T161" si="784">S161/1000</f>
        <v>-7.8073859778046328</v>
      </c>
    </row>
    <row r="162" spans="1:20" x14ac:dyDescent="0.25">
      <c r="A162" s="5">
        <v>44431</v>
      </c>
      <c r="B162">
        <v>1.2135999999999999E-2</v>
      </c>
      <c r="C162">
        <v>1.3533999999999999E-2</v>
      </c>
      <c r="D162">
        <v>1.2121E-2</v>
      </c>
      <c r="E162">
        <v>1.3424999999999999E-2</v>
      </c>
      <c r="F162">
        <v>495383948</v>
      </c>
      <c r="G162">
        <v>1.3424999999999999E-2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0.84571832979476325</v>
      </c>
      <c r="Q162">
        <f t="shared" ref="Q162" si="786">F162*P162</f>
        <v>418955285.10969585</v>
      </c>
      <c r="R162">
        <f t="shared" ref="R162" si="787">R163+Q162</f>
        <v>-346280549.74756056</v>
      </c>
      <c r="S162">
        <f t="shared" ref="S162" si="788">R162/100000</f>
        <v>-3462.8054974756055</v>
      </c>
      <c r="T162">
        <f t="shared" ref="T162" si="789">S162/1000</f>
        <v>-3.4628054974756055</v>
      </c>
    </row>
    <row r="163" spans="1:20" x14ac:dyDescent="0.25">
      <c r="A163" s="5">
        <v>44430</v>
      </c>
      <c r="B163">
        <v>1.2449999999999999E-2</v>
      </c>
      <c r="C163">
        <v>1.2699999999999999E-2</v>
      </c>
      <c r="D163">
        <v>1.2239999999999999E-2</v>
      </c>
      <c r="E163">
        <v>1.2449999999999999E-2</v>
      </c>
      <c r="F163">
        <v>54048935</v>
      </c>
      <c r="G163">
        <v>1.2449999999999999E-2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-8.6956521739130599E-2</v>
      </c>
      <c r="Q163">
        <f t="shared" ref="Q163" si="791">F163*P163</f>
        <v>-4699907.391304357</v>
      </c>
      <c r="R163">
        <f t="shared" ref="R163" si="792">R164+Q163</f>
        <v>-765235834.85725641</v>
      </c>
      <c r="S163">
        <f t="shared" ref="S163" si="793">R163/100000</f>
        <v>-7652.358348572564</v>
      </c>
      <c r="T163">
        <f t="shared" ref="T163" si="794">S163/1000</f>
        <v>-7.6523583485725641</v>
      </c>
    </row>
    <row r="164" spans="1:20" x14ac:dyDescent="0.25">
      <c r="A164" s="5">
        <v>44429</v>
      </c>
      <c r="B164">
        <v>1.2041E-2</v>
      </c>
      <c r="C164">
        <v>1.2970000000000001E-2</v>
      </c>
      <c r="D164">
        <v>1.1931000000000001E-2</v>
      </c>
      <c r="E164">
        <v>1.2442E-2</v>
      </c>
      <c r="F164">
        <v>357337034</v>
      </c>
      <c r="G164">
        <v>1.2442E-2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-1.6361886429260241E-2</v>
      </c>
      <c r="Q164">
        <f t="shared" ref="Q164" si="796">F164*P164</f>
        <v>-5846707.9672767054</v>
      </c>
      <c r="R164">
        <f t="shared" ref="R164" si="797">R165+Q164</f>
        <v>-760535927.46595204</v>
      </c>
      <c r="S164">
        <f t="shared" ref="S164" si="798">R164/100000</f>
        <v>-7605.3592746595205</v>
      </c>
      <c r="T164">
        <f t="shared" ref="T164" si="799">S164/1000</f>
        <v>-7.6053592746595209</v>
      </c>
    </row>
    <row r="165" spans="1:20" x14ac:dyDescent="0.25">
      <c r="A165" s="5">
        <v>44428</v>
      </c>
      <c r="B165">
        <v>1.1919000000000001E-2</v>
      </c>
      <c r="C165">
        <v>1.2166E-2</v>
      </c>
      <c r="D165">
        <v>1.1571E-2</v>
      </c>
      <c r="E165">
        <v>1.2041E-2</v>
      </c>
      <c r="F165">
        <v>285770163</v>
      </c>
      <c r="G165">
        <v>1.2041E-2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0.57983193277310885</v>
      </c>
      <c r="Q165">
        <f t="shared" ref="Q165" si="801">F165*P165</f>
        <v>165698665.94117635</v>
      </c>
      <c r="R165">
        <f t="shared" ref="R165" si="802">R166+Q165</f>
        <v>-754689219.49867535</v>
      </c>
      <c r="S165">
        <f t="shared" ref="S165" si="803">R165/100000</f>
        <v>-7546.8921949867536</v>
      </c>
      <c r="T165">
        <f t="shared" ref="T165" si="804">S165/1000</f>
        <v>-7.5468921949867536</v>
      </c>
    </row>
    <row r="166" spans="1:20" x14ac:dyDescent="0.25">
      <c r="A166" s="5">
        <v>44427</v>
      </c>
      <c r="B166">
        <v>1.1502999999999999E-2</v>
      </c>
      <c r="C166">
        <v>1.1965E-2</v>
      </c>
      <c r="D166">
        <v>1.0826000000000001E-2</v>
      </c>
      <c r="E166">
        <v>1.1944E-2</v>
      </c>
      <c r="F166">
        <v>377055685</v>
      </c>
      <c r="G166">
        <v>1.1944E-2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0.96312554872695311</v>
      </c>
      <c r="Q166">
        <f t="shared" ref="Q166" si="806">F166*P166</f>
        <v>363151963.51624221</v>
      </c>
      <c r="R166">
        <f t="shared" ref="R166" si="807">R167+Q166</f>
        <v>-920387885.43985176</v>
      </c>
      <c r="S166">
        <f t="shared" ref="S166" si="808">R166/100000</f>
        <v>-9203.8788543985174</v>
      </c>
      <c r="T166">
        <f t="shared" ref="T166" si="809">S166/1000</f>
        <v>-9.2038788543985177</v>
      </c>
    </row>
    <row r="167" spans="1:20" x14ac:dyDescent="0.25">
      <c r="A167" s="5">
        <v>44426</v>
      </c>
      <c r="B167">
        <v>1.1878E-2</v>
      </c>
      <c r="C167">
        <v>1.2011000000000001E-2</v>
      </c>
      <c r="D167">
        <v>1.1194000000000001E-2</v>
      </c>
      <c r="E167">
        <v>1.1498E-2</v>
      </c>
      <c r="F167">
        <v>336508218</v>
      </c>
      <c r="G167">
        <v>1.1498E-2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-0.25581395348837527</v>
      </c>
      <c r="Q167">
        <f t="shared" ref="Q167" si="811">F167*P167</f>
        <v>-86083497.627908051</v>
      </c>
      <c r="R167">
        <f t="shared" ref="R167" si="812">R168+Q167</f>
        <v>-1283539848.956094</v>
      </c>
      <c r="S167">
        <f t="shared" ref="S167" si="813">R167/100000</f>
        <v>-12835.398489560941</v>
      </c>
      <c r="T167">
        <f t="shared" ref="T167" si="814">S167/1000</f>
        <v>-12.835398489560941</v>
      </c>
    </row>
    <row r="168" spans="1:20" x14ac:dyDescent="0.25">
      <c r="A168" s="5">
        <v>44425</v>
      </c>
      <c r="B168">
        <v>1.2147E-2</v>
      </c>
      <c r="C168">
        <v>1.2999999999999999E-2</v>
      </c>
      <c r="D168">
        <v>1.1854E-2</v>
      </c>
      <c r="E168">
        <v>1.1861E-2</v>
      </c>
      <c r="F168">
        <v>493272369</v>
      </c>
      <c r="G168">
        <v>1.1861E-2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-0.98778359511343794</v>
      </c>
      <c r="Q168">
        <f t="shared" ref="Q168" si="816">F168*P168</f>
        <v>-487246354.02094233</v>
      </c>
      <c r="R168">
        <f t="shared" ref="R168" si="817">R169+Q168</f>
        <v>-1197456351.328186</v>
      </c>
      <c r="S168">
        <f t="shared" ref="S168" si="818">R168/100000</f>
        <v>-11974.563513281861</v>
      </c>
      <c r="T168">
        <f t="shared" ref="T168" si="819">S168/1000</f>
        <v>-11.974563513281861</v>
      </c>
    </row>
    <row r="169" spans="1:20" x14ac:dyDescent="0.25">
      <c r="A169" s="5">
        <v>44424</v>
      </c>
      <c r="B169">
        <v>1.2437E-2</v>
      </c>
      <c r="C169">
        <v>1.2831E-2</v>
      </c>
      <c r="D169">
        <v>1.1820000000000001E-2</v>
      </c>
      <c r="E169">
        <v>1.2168999999999999E-2</v>
      </c>
      <c r="F169">
        <v>366326385</v>
      </c>
      <c r="G169">
        <v>1.2168999999999999E-2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-0.30959446092977505</v>
      </c>
      <c r="Q169">
        <f t="shared" ref="Q169" si="821">F169*P169</f>
        <v>-113412619.68842824</v>
      </c>
      <c r="R169">
        <f t="shared" ref="R169" si="822">R170+Q169</f>
        <v>-710209997.3072437</v>
      </c>
      <c r="S169">
        <f t="shared" ref="S169" si="823">R169/100000</f>
        <v>-7102.099973072437</v>
      </c>
      <c r="T169">
        <f t="shared" ref="T169" si="824">S169/1000</f>
        <v>-7.1020999730724368</v>
      </c>
    </row>
    <row r="170" spans="1:20" x14ac:dyDescent="0.25">
      <c r="A170" s="5">
        <v>44423</v>
      </c>
      <c r="B170">
        <v>1.252E-2</v>
      </c>
      <c r="C170">
        <v>1.2553999999999999E-2</v>
      </c>
      <c r="D170">
        <v>1.1892E-2</v>
      </c>
      <c r="E170">
        <v>1.2437E-2</v>
      </c>
      <c r="F170">
        <v>242681320</v>
      </c>
      <c r="G170">
        <v>1.2437E-2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0.64652567975831066</v>
      </c>
      <c r="Q170">
        <f t="shared" ref="Q170" si="826">F170*P170</f>
        <v>156899705.37764412</v>
      </c>
      <c r="R170">
        <f t="shared" ref="R170" si="827">R171+Q170</f>
        <v>-596797377.61881542</v>
      </c>
      <c r="S170">
        <f t="shared" ref="S170" si="828">R170/100000</f>
        <v>-5967.9737761881543</v>
      </c>
      <c r="T170">
        <f t="shared" ref="T170" si="829">S170/1000</f>
        <v>-5.9679737761881544</v>
      </c>
    </row>
    <row r="171" spans="1:20" x14ac:dyDescent="0.25">
      <c r="A171" s="5">
        <v>44422</v>
      </c>
      <c r="B171">
        <v>1.2841E-2</v>
      </c>
      <c r="C171">
        <v>1.2897E-2</v>
      </c>
      <c r="D171">
        <v>1.1977E-2</v>
      </c>
      <c r="E171">
        <v>1.2519000000000001E-2</v>
      </c>
      <c r="F171">
        <v>389264005</v>
      </c>
      <c r="G171">
        <v>1.2519000000000001E-2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0.17826086956521831</v>
      </c>
      <c r="Q171">
        <f t="shared" ref="Q171" si="831">F171*P171</f>
        <v>69390540.021739483</v>
      </c>
      <c r="R171">
        <f t="shared" ref="R171" si="832">R172+Q171</f>
        <v>-753697082.99645948</v>
      </c>
      <c r="S171">
        <f t="shared" ref="S171" si="833">R171/100000</f>
        <v>-7536.9708299645945</v>
      </c>
      <c r="T171">
        <f t="shared" ref="T171" si="834">S171/1000</f>
        <v>-7.5369708299645941</v>
      </c>
    </row>
    <row r="172" spans="1:20" x14ac:dyDescent="0.25">
      <c r="A172" s="5">
        <v>44421</v>
      </c>
      <c r="B172">
        <v>1.2248999999999999E-2</v>
      </c>
      <c r="C172">
        <v>1.2841E-2</v>
      </c>
      <c r="D172">
        <v>1.2024999999999999E-2</v>
      </c>
      <c r="E172">
        <v>1.2841E-2</v>
      </c>
      <c r="F172">
        <v>500469714</v>
      </c>
      <c r="G172">
        <v>1.2841E-2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1</v>
      </c>
      <c r="Q172">
        <f t="shared" ref="Q172" si="836">F172*P172</f>
        <v>500469714</v>
      </c>
      <c r="R172">
        <f t="shared" ref="R172" si="837">R173+Q172</f>
        <v>-823087623.01819897</v>
      </c>
      <c r="S172">
        <f t="shared" ref="S172" si="838">R172/100000</f>
        <v>-8230.8762301819897</v>
      </c>
      <c r="T172">
        <f t="shared" ref="T172" si="839">S172/1000</f>
        <v>-8.2308762301819893</v>
      </c>
    </row>
    <row r="173" spans="1:20" x14ac:dyDescent="0.25">
      <c r="A173" s="5">
        <v>44420</v>
      </c>
      <c r="B173">
        <v>1.1839000000000001E-2</v>
      </c>
      <c r="C173">
        <v>1.3235E-2</v>
      </c>
      <c r="D173">
        <v>1.1498E-2</v>
      </c>
      <c r="E173">
        <v>1.2252000000000001E-2</v>
      </c>
      <c r="F173">
        <v>885556190</v>
      </c>
      <c r="G173">
        <v>1.2252000000000001E-2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-0.13183649971214634</v>
      </c>
      <c r="Q173">
        <f t="shared" ref="Q173" si="841">F173*P173</f>
        <v>-116748628.3880244</v>
      </c>
      <c r="R173">
        <f t="shared" ref="R173" si="842">R174+Q173</f>
        <v>-1323557337.018199</v>
      </c>
      <c r="S173">
        <f t="shared" ref="S173" si="843">R173/100000</f>
        <v>-13235.57337018199</v>
      </c>
      <c r="T173">
        <f t="shared" ref="T173" si="844">S173/1000</f>
        <v>-13.23557337018199</v>
      </c>
    </row>
    <row r="174" spans="1:20" x14ac:dyDescent="0.25">
      <c r="A174" s="5">
        <v>44419</v>
      </c>
      <c r="B174">
        <v>1.176E-2</v>
      </c>
      <c r="C174">
        <v>1.29E-2</v>
      </c>
      <c r="D174">
        <v>1.1531E-2</v>
      </c>
      <c r="E174">
        <v>1.1839000000000001E-2</v>
      </c>
      <c r="F174">
        <v>807827964</v>
      </c>
      <c r="G174">
        <v>1.1839000000000001E-2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-0.55003652300949468</v>
      </c>
      <c r="Q174">
        <f t="shared" ref="Q174" si="846">F174*P174</f>
        <v>-444334884.50839925</v>
      </c>
      <c r="R174">
        <f t="shared" ref="R174" si="847">R175+Q174</f>
        <v>-1206808708.6301746</v>
      </c>
      <c r="S174">
        <f t="shared" ref="S174" si="848">R174/100000</f>
        <v>-12068.087086301746</v>
      </c>
      <c r="T174">
        <f t="shared" ref="T174" si="849">S174/1000</f>
        <v>-12.068087086301746</v>
      </c>
    </row>
    <row r="175" spans="1:20" x14ac:dyDescent="0.25">
      <c r="A175" s="5">
        <v>44418</v>
      </c>
      <c r="B175">
        <v>1.1912000000000001E-2</v>
      </c>
      <c r="C175">
        <v>1.2111E-2</v>
      </c>
      <c r="D175">
        <v>1.125E-2</v>
      </c>
      <c r="E175">
        <v>1.1764E-2</v>
      </c>
      <c r="F175">
        <v>513221843</v>
      </c>
      <c r="G175">
        <v>1.1764E-2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0.19396051103368217</v>
      </c>
      <c r="Q175">
        <f t="shared" ref="Q175" si="851">F175*P175</f>
        <v>99544770.941928193</v>
      </c>
      <c r="R175">
        <f t="shared" ref="R175" si="852">R176+Q175</f>
        <v>-762473824.12177539</v>
      </c>
      <c r="S175">
        <f t="shared" ref="S175" si="853">R175/100000</f>
        <v>-7624.738241217754</v>
      </c>
      <c r="T175">
        <f t="shared" ref="T175" si="854">S175/1000</f>
        <v>-7.624738241217754</v>
      </c>
    </row>
    <row r="176" spans="1:20" x14ac:dyDescent="0.25">
      <c r="A176" s="5">
        <v>44417</v>
      </c>
      <c r="B176">
        <v>1.1537E-2</v>
      </c>
      <c r="C176">
        <v>1.2109E-2</v>
      </c>
      <c r="D176">
        <v>1.107E-2</v>
      </c>
      <c r="E176">
        <v>1.189E-2</v>
      </c>
      <c r="F176">
        <v>623050133</v>
      </c>
      <c r="G176">
        <v>1.189E-2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0.57844080846968149</v>
      </c>
      <c r="Q176">
        <f t="shared" ref="Q176" si="856">F176*P176</f>
        <v>360397622.64966255</v>
      </c>
      <c r="R176">
        <f t="shared" ref="R176" si="857">R177+Q176</f>
        <v>-862018595.06370354</v>
      </c>
      <c r="S176">
        <f t="shared" ref="S176" si="858">R176/100000</f>
        <v>-8620.1859506370347</v>
      </c>
      <c r="T176">
        <f t="shared" ref="T176" si="859">S176/1000</f>
        <v>-8.6201859506370351</v>
      </c>
    </row>
    <row r="177" spans="1:20" x14ac:dyDescent="0.25">
      <c r="A177" s="5">
        <v>44416</v>
      </c>
      <c r="B177">
        <v>1.2862E-2</v>
      </c>
      <c r="C177">
        <v>1.3025999999999999E-2</v>
      </c>
      <c r="D177">
        <v>1.1379999999999999E-2</v>
      </c>
      <c r="E177">
        <v>1.1532000000000001E-2</v>
      </c>
      <c r="F177">
        <v>920267275</v>
      </c>
      <c r="G177">
        <v>1.1532000000000001E-2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-0.81530984204131096</v>
      </c>
      <c r="Q177">
        <f t="shared" ref="Q177" si="861">F177*P177</f>
        <v>-750302966.61603773</v>
      </c>
      <c r="R177">
        <f t="shared" ref="R177" si="862">R178+Q177</f>
        <v>-1222416217.713366</v>
      </c>
      <c r="S177">
        <f t="shared" ref="S177" si="863">R177/100000</f>
        <v>-12224.162177133659</v>
      </c>
      <c r="T177">
        <f t="shared" ref="T177" si="864">S177/1000</f>
        <v>-12.22416217713366</v>
      </c>
    </row>
    <row r="178" spans="1:20" x14ac:dyDescent="0.25">
      <c r="A178" s="5">
        <v>44415</v>
      </c>
      <c r="B178">
        <v>1.0288E-2</v>
      </c>
      <c r="C178">
        <v>1.3950000000000001E-2</v>
      </c>
      <c r="D178">
        <v>1.0200000000000001E-2</v>
      </c>
      <c r="E178">
        <v>1.2848E-2</v>
      </c>
      <c r="F178">
        <v>2969320566</v>
      </c>
      <c r="G178">
        <v>1.2848E-2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0.41226666666666634</v>
      </c>
      <c r="Q178">
        <f t="shared" ref="Q178" si="866">F178*P178</f>
        <v>1224151892.009599</v>
      </c>
      <c r="R178">
        <f t="shared" ref="R178" si="867">R179+Q178</f>
        <v>-472113251.09732842</v>
      </c>
      <c r="S178">
        <f t="shared" ref="S178" si="868">R178/100000</f>
        <v>-4721.1325109732843</v>
      </c>
      <c r="T178">
        <f t="shared" ref="T178" si="869">S178/1000</f>
        <v>-4.721132510973284</v>
      </c>
    </row>
    <row r="179" spans="1:20" x14ac:dyDescent="0.25">
      <c r="A179" s="5">
        <v>44414</v>
      </c>
      <c r="B179">
        <v>0.01</v>
      </c>
      <c r="C179">
        <v>1.0468999999999999E-2</v>
      </c>
      <c r="D179">
        <v>9.7619999999999998E-3</v>
      </c>
      <c r="E179">
        <v>1.0286999999999999E-2</v>
      </c>
      <c r="F179">
        <v>452918992</v>
      </c>
      <c r="G179">
        <v>1.0286999999999999E-2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0.48514851485148502</v>
      </c>
      <c r="Q179">
        <f t="shared" ref="Q179" si="871">F179*P179</f>
        <v>219732976.31683162</v>
      </c>
      <c r="R179">
        <f t="shared" ref="R179" si="872">R180+Q179</f>
        <v>-1696265143.1069274</v>
      </c>
      <c r="S179">
        <f t="shared" ref="S179" si="873">R179/100000</f>
        <v>-16962.651431069273</v>
      </c>
      <c r="T179">
        <f t="shared" ref="T179" si="874">S179/1000</f>
        <v>-16.962651431069272</v>
      </c>
    </row>
    <row r="180" spans="1:20" x14ac:dyDescent="0.25">
      <c r="A180" s="5">
        <v>44413</v>
      </c>
      <c r="B180">
        <v>9.4289999999999999E-3</v>
      </c>
      <c r="C180">
        <v>1.025E-2</v>
      </c>
      <c r="D180">
        <v>9.2829999999999996E-3</v>
      </c>
      <c r="E180">
        <v>0.01</v>
      </c>
      <c r="F180">
        <v>454248126</v>
      </c>
      <c r="G180">
        <v>0.01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0.48293691830403307</v>
      </c>
      <c r="Q180">
        <f t="shared" ref="Q180" si="876">F180*P180</f>
        <v>219373190.11582211</v>
      </c>
      <c r="R180">
        <f t="shared" ref="R180" si="877">R181+Q180</f>
        <v>-1915998119.423759</v>
      </c>
      <c r="S180">
        <f t="shared" ref="S180" si="878">R180/100000</f>
        <v>-19159.981194237589</v>
      </c>
      <c r="T180">
        <f t="shared" ref="T180" si="879">S180/1000</f>
        <v>-19.159981194237588</v>
      </c>
    </row>
    <row r="181" spans="1:20" x14ac:dyDescent="0.25">
      <c r="A181" s="5">
        <v>44412</v>
      </c>
      <c r="B181">
        <v>9.1979999999999996E-3</v>
      </c>
      <c r="C181">
        <v>9.5840000000000005E-3</v>
      </c>
      <c r="D181">
        <v>8.9470000000000001E-3</v>
      </c>
      <c r="E181">
        <v>9.4280000000000006E-3</v>
      </c>
      <c r="F181">
        <v>198099213</v>
      </c>
      <c r="G181">
        <v>9.4280000000000006E-3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0.51020408163265374</v>
      </c>
      <c r="Q181">
        <f t="shared" ref="Q181" si="881">F181*P181</f>
        <v>101071027.04081646</v>
      </c>
      <c r="R181">
        <f t="shared" ref="R181" si="882">R182+Q181</f>
        <v>-2135371309.5395811</v>
      </c>
      <c r="S181">
        <f t="shared" ref="S181" si="883">R181/100000</f>
        <v>-21353.713095395811</v>
      </c>
      <c r="T181">
        <f t="shared" ref="T181" si="884">S181/1000</f>
        <v>-21.353713095395811</v>
      </c>
    </row>
    <row r="182" spans="1:20" x14ac:dyDescent="0.25">
      <c r="A182" s="5">
        <v>44411</v>
      </c>
      <c r="B182">
        <v>9.7330000000000003E-3</v>
      </c>
      <c r="C182">
        <v>9.7339999999999996E-3</v>
      </c>
      <c r="D182">
        <v>8.966E-3</v>
      </c>
      <c r="E182">
        <v>9.1780000000000004E-3</v>
      </c>
      <c r="F182">
        <v>232487760</v>
      </c>
      <c r="G182">
        <v>9.1780000000000004E-3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-0.44791666666666535</v>
      </c>
      <c r="Q182">
        <f t="shared" ref="Q182" si="886">F182*P182</f>
        <v>-104135142.4999997</v>
      </c>
      <c r="R182">
        <f t="shared" ref="R182" si="887">R183+Q182</f>
        <v>-2236442336.5803976</v>
      </c>
      <c r="S182">
        <f t="shared" ref="S182" si="888">R182/100000</f>
        <v>-22364.423365803978</v>
      </c>
      <c r="T182">
        <f t="shared" ref="T182" si="889">S182/1000</f>
        <v>-22.364423365803976</v>
      </c>
    </row>
    <row r="183" spans="1:20" x14ac:dyDescent="0.25">
      <c r="A183" s="5">
        <v>44410</v>
      </c>
      <c r="B183">
        <v>9.6270000000000001E-3</v>
      </c>
      <c r="C183">
        <v>9.8180000000000003E-3</v>
      </c>
      <c r="D183">
        <v>9.1009999999999997E-3</v>
      </c>
      <c r="E183">
        <v>9.7470000000000005E-3</v>
      </c>
      <c r="F183">
        <v>297305483</v>
      </c>
      <c r="G183">
        <v>9.7470000000000005E-3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0.8019525801952585</v>
      </c>
      <c r="Q183">
        <f t="shared" ref="Q183" si="891">F183*P183</f>
        <v>238424899.19804755</v>
      </c>
      <c r="R183">
        <f t="shared" ref="R183" si="892">R184+Q183</f>
        <v>-2132307194.0803981</v>
      </c>
      <c r="S183">
        <f t="shared" ref="S183" si="893">R183/100000</f>
        <v>-21323.07194080398</v>
      </c>
      <c r="T183">
        <f t="shared" ref="T183" si="894">S183/1000</f>
        <v>-21.323071940803981</v>
      </c>
    </row>
    <row r="184" spans="1:20" x14ac:dyDescent="0.25">
      <c r="A184" s="5">
        <v>44409</v>
      </c>
      <c r="B184">
        <v>1.0128E-2</v>
      </c>
      <c r="C184">
        <v>1.064E-2</v>
      </c>
      <c r="D184">
        <v>9.4680000000000007E-3</v>
      </c>
      <c r="E184">
        <v>9.6310000000000007E-3</v>
      </c>
      <c r="F184">
        <v>308346130</v>
      </c>
      <c r="G184">
        <v>9.6310000000000007E-3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-0.72184300341296925</v>
      </c>
      <c r="Q184">
        <f t="shared" ref="Q184" si="896">F184*P184</f>
        <v>-222577496.56996587</v>
      </c>
      <c r="R184">
        <f t="shared" ref="R184" si="897">R185+Q184</f>
        <v>-2370732093.2784457</v>
      </c>
      <c r="S184">
        <f t="shared" ref="S184" si="898">R184/100000</f>
        <v>-23707.320932784456</v>
      </c>
      <c r="T184">
        <f t="shared" ref="T184" si="899">S184/1000</f>
        <v>-23.707320932784455</v>
      </c>
    </row>
    <row r="185" spans="1:20" x14ac:dyDescent="0.25">
      <c r="A185" s="5">
        <v>44408</v>
      </c>
      <c r="B185">
        <v>9.9959999999999997E-3</v>
      </c>
      <c r="C185">
        <v>1.12E-2</v>
      </c>
      <c r="D185">
        <v>9.7929999999999996E-3</v>
      </c>
      <c r="E185">
        <v>1.0135E-2</v>
      </c>
      <c r="F185">
        <v>467877974</v>
      </c>
      <c r="G185">
        <v>1.0135E-2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-0.51385927505330453</v>
      </c>
      <c r="Q185">
        <f t="shared" ref="Q185" si="901">F185*P185</f>
        <v>-240423436.53304887</v>
      </c>
      <c r="R185">
        <f t="shared" ref="R185" si="902">R186+Q185</f>
        <v>-2148154596.7084799</v>
      </c>
      <c r="S185">
        <f t="shared" ref="S185" si="903">R185/100000</f>
        <v>-21481.545967084799</v>
      </c>
      <c r="T185">
        <f t="shared" ref="T185" si="904">S185/1000</f>
        <v>-21.481545967084799</v>
      </c>
    </row>
    <row r="186" spans="1:20" x14ac:dyDescent="0.25">
      <c r="A186" s="5">
        <v>44407</v>
      </c>
      <c r="B186">
        <v>9.6480000000000003E-3</v>
      </c>
      <c r="C186">
        <v>1.0323000000000001E-2</v>
      </c>
      <c r="D186">
        <v>8.9569999999999997E-3</v>
      </c>
      <c r="E186">
        <v>9.9559999999999996E-3</v>
      </c>
      <c r="F186">
        <v>562353658</v>
      </c>
      <c r="G186">
        <v>9.9559999999999996E-3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0.46266471449487445</v>
      </c>
      <c r="Q186">
        <f t="shared" ref="Q186" si="906">F186*P186</f>
        <v>260181194.62371826</v>
      </c>
      <c r="R186">
        <f t="shared" ref="R186" si="907">R187+Q186</f>
        <v>-1907731160.1754313</v>
      </c>
      <c r="S186">
        <f t="shared" ref="S186" si="908">R186/100000</f>
        <v>-19077.311601754314</v>
      </c>
      <c r="T186">
        <f t="shared" ref="T186" si="909">S186/1000</f>
        <v>-19.077311601754314</v>
      </c>
    </row>
    <row r="187" spans="1:20" x14ac:dyDescent="0.25">
      <c r="A187" s="5">
        <v>44406</v>
      </c>
      <c r="B187">
        <v>8.9759999999999996E-3</v>
      </c>
      <c r="C187">
        <v>9.6869999999999994E-3</v>
      </c>
      <c r="D187">
        <v>8.7600000000000004E-3</v>
      </c>
      <c r="E187">
        <v>9.6439999999999998E-3</v>
      </c>
      <c r="F187">
        <v>393413712</v>
      </c>
      <c r="G187">
        <v>9.6439999999999998E-3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0.90722761596548074</v>
      </c>
      <c r="Q187">
        <f t="shared" ref="Q187" si="911">F187*P187</f>
        <v>356915784.02589023</v>
      </c>
      <c r="R187">
        <f t="shared" ref="R187" si="912">R188+Q187</f>
        <v>-2167912354.7991495</v>
      </c>
      <c r="S187">
        <f t="shared" ref="S187" si="913">R187/100000</f>
        <v>-21679.123547991494</v>
      </c>
      <c r="T187">
        <f t="shared" ref="T187" si="914">S187/1000</f>
        <v>-21.679123547991495</v>
      </c>
    </row>
    <row r="188" spans="1:20" x14ac:dyDescent="0.25">
      <c r="A188" s="5">
        <v>44405</v>
      </c>
      <c r="B188">
        <v>8.6969999999999999E-3</v>
      </c>
      <c r="C188">
        <v>9.2630000000000004E-3</v>
      </c>
      <c r="D188">
        <v>8.6E-3</v>
      </c>
      <c r="E188">
        <v>8.9820000000000004E-3</v>
      </c>
      <c r="F188">
        <v>290203694</v>
      </c>
      <c r="G188">
        <v>8.9820000000000004E-3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0.15233785822021167</v>
      </c>
      <c r="Q188">
        <f t="shared" ref="Q188" si="916">F188*P188</f>
        <v>44209009.191553697</v>
      </c>
      <c r="R188">
        <f t="shared" ref="R188" si="917">R189+Q188</f>
        <v>-2524828138.8250399</v>
      </c>
      <c r="S188">
        <f t="shared" ref="S188" si="918">R188/100000</f>
        <v>-25248.281388250398</v>
      </c>
      <c r="T188">
        <f t="shared" ref="T188" si="919">S188/1000</f>
        <v>-25.248281388250398</v>
      </c>
    </row>
    <row r="189" spans="1:20" x14ac:dyDescent="0.25">
      <c r="A189" s="5">
        <v>44404</v>
      </c>
      <c r="B189">
        <v>8.6020000000000003E-3</v>
      </c>
      <c r="C189">
        <v>8.8330000000000006E-3</v>
      </c>
      <c r="D189">
        <v>8.0029999999999997E-3</v>
      </c>
      <c r="E189">
        <v>8.6969999999999999E-3</v>
      </c>
      <c r="F189">
        <v>352344012</v>
      </c>
      <c r="G189">
        <v>8.6969999999999999E-3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0.67228915662650468</v>
      </c>
      <c r="Q189">
        <f t="shared" ref="Q189" si="921">F189*P189</f>
        <v>236877058.66987905</v>
      </c>
      <c r="R189">
        <f t="shared" ref="R189" si="922">R190+Q189</f>
        <v>-2569037148.0165935</v>
      </c>
      <c r="S189">
        <f t="shared" ref="S189" si="923">R189/100000</f>
        <v>-25690.371480165933</v>
      </c>
      <c r="T189">
        <f t="shared" ref="T189" si="924">S189/1000</f>
        <v>-25.690371480165933</v>
      </c>
    </row>
    <row r="190" spans="1:20" x14ac:dyDescent="0.25">
      <c r="A190" s="5">
        <v>44403</v>
      </c>
      <c r="B190">
        <v>8.4159999999999999E-3</v>
      </c>
      <c r="C190">
        <v>9.2390000000000007E-3</v>
      </c>
      <c r="D190">
        <v>8.0649999999999993E-3</v>
      </c>
      <c r="E190">
        <v>8.6250000000000007E-3</v>
      </c>
      <c r="F190">
        <v>614846638</v>
      </c>
      <c r="G190">
        <v>8.6250000000000007E-3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-4.5996592844973108E-2</v>
      </c>
      <c r="Q190">
        <f t="shared" ref="Q190" si="926">F190*P190</f>
        <v>-28280850.470186573</v>
      </c>
      <c r="R190">
        <f t="shared" ref="R190" si="927">R191+Q190</f>
        <v>-2805914206.6864724</v>
      </c>
      <c r="S190">
        <f t="shared" ref="S190" si="928">R190/100000</f>
        <v>-28059.142066864722</v>
      </c>
      <c r="T190">
        <f t="shared" ref="T190" si="929">S190/1000</f>
        <v>-28.059142066864723</v>
      </c>
    </row>
    <row r="191" spans="1:20" x14ac:dyDescent="0.25">
      <c r="A191" s="5">
        <v>44402</v>
      </c>
      <c r="B191">
        <v>7.796E-3</v>
      </c>
      <c r="C191">
        <v>8.8999999999999999E-3</v>
      </c>
      <c r="D191">
        <v>7.5779999999999997E-3</v>
      </c>
      <c r="E191">
        <v>8.4159999999999999E-3</v>
      </c>
      <c r="F191">
        <v>640946670</v>
      </c>
      <c r="G191">
        <v>8.4159999999999999E-3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0.26777609682299552</v>
      </c>
      <c r="Q191">
        <f t="shared" ref="Q191" si="931">F191*P191</f>
        <v>171630197.56429657</v>
      </c>
      <c r="R191">
        <f t="shared" ref="R191" si="932">R192+Q191</f>
        <v>-2777633356.2162857</v>
      </c>
      <c r="S191">
        <f t="shared" ref="S191" si="933">R191/100000</f>
        <v>-27776.333562162858</v>
      </c>
      <c r="T191">
        <f t="shared" ref="T191:T197" si="934">S191/1000</f>
        <v>-27.776333562162858</v>
      </c>
    </row>
    <row r="192" spans="1:20" x14ac:dyDescent="0.25">
      <c r="A192" s="5">
        <v>44401</v>
      </c>
      <c r="B192">
        <v>7.8320000000000004E-3</v>
      </c>
      <c r="C192">
        <v>7.8469999999999998E-3</v>
      </c>
      <c r="D192">
        <v>7.4580000000000002E-3</v>
      </c>
      <c r="E192">
        <v>7.79E-3</v>
      </c>
      <c r="F192">
        <v>317844006</v>
      </c>
      <c r="G192">
        <v>7.79E-3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0.7069408740359906</v>
      </c>
      <c r="Q192">
        <f t="shared" ref="Q192" si="936">F192*P192</f>
        <v>224696919.40874064</v>
      </c>
      <c r="R192">
        <f t="shared" ref="R192" si="937">R193+Q192</f>
        <v>-2949263553.7805824</v>
      </c>
      <c r="S192">
        <f t="shared" ref="S192" si="938">R192/100000</f>
        <v>-29492.635537805825</v>
      </c>
      <c r="T192">
        <f t="shared" si="934"/>
        <v>-29.492635537805825</v>
      </c>
    </row>
    <row r="193" spans="1:20" x14ac:dyDescent="0.25">
      <c r="A193" s="5">
        <v>44400</v>
      </c>
      <c r="B193">
        <v>6.9560000000000004E-3</v>
      </c>
      <c r="C193">
        <v>8.3999999999999995E-3</v>
      </c>
      <c r="D193">
        <v>6.9360000000000003E-3</v>
      </c>
      <c r="E193">
        <v>7.8120000000000004E-3</v>
      </c>
      <c r="F193">
        <v>704369658</v>
      </c>
      <c r="G193">
        <v>7.8120000000000004E-3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0.19672131147541058</v>
      </c>
      <c r="Q193">
        <f t="shared" ref="Q193" si="940">F193*P193</f>
        <v>138564522.88524643</v>
      </c>
      <c r="R193">
        <f t="shared" ref="R193" si="941">R194+Q193</f>
        <v>-3173960473.1893229</v>
      </c>
      <c r="S193">
        <f t="shared" ref="S193" si="942">R193/100000</f>
        <v>-31739.604731893229</v>
      </c>
      <c r="T193">
        <f t="shared" si="934"/>
        <v>-31.73960473189323</v>
      </c>
    </row>
    <row r="194" spans="1:20" x14ac:dyDescent="0.25">
      <c r="A194" s="5">
        <v>44399</v>
      </c>
      <c r="B194">
        <v>6.8440000000000003E-3</v>
      </c>
      <c r="C194">
        <v>6.9899999999999997E-3</v>
      </c>
      <c r="D194">
        <v>6.6160000000000004E-3</v>
      </c>
      <c r="E194">
        <v>6.9680000000000002E-3</v>
      </c>
      <c r="F194">
        <v>186711223</v>
      </c>
      <c r="G194">
        <v>6.9680000000000002E-3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0.88235294117647334</v>
      </c>
      <c r="Q194">
        <f t="shared" ref="Q194" si="944">F194*P194</f>
        <v>164745196.7647064</v>
      </c>
      <c r="R194">
        <f t="shared" ref="R194" si="945">R195+Q194</f>
        <v>-3312524996.0745692</v>
      </c>
      <c r="S194">
        <f t="shared" ref="S194" si="946">R194/100000</f>
        <v>-33125.249960745692</v>
      </c>
      <c r="T194">
        <f t="shared" si="934"/>
        <v>-33.125249960745691</v>
      </c>
    </row>
    <row r="195" spans="1:20" x14ac:dyDescent="0.25">
      <c r="A195" s="5">
        <v>44398</v>
      </c>
      <c r="B195">
        <v>6.4619999999999999E-3</v>
      </c>
      <c r="C195">
        <v>6.9189999999999998E-3</v>
      </c>
      <c r="D195">
        <v>6.1260000000000004E-3</v>
      </c>
      <c r="E195">
        <v>6.8329999999999997E-3</v>
      </c>
      <c r="F195">
        <v>512867610</v>
      </c>
      <c r="G195">
        <v>6.8329999999999997E-3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0.78310214375788101</v>
      </c>
      <c r="Q195">
        <f t="shared" ref="Q195" si="948">F195*P195</f>
        <v>401627724.85498083</v>
      </c>
      <c r="R195">
        <f t="shared" ref="R195" si="949">R196+Q195</f>
        <v>-3477270192.8392758</v>
      </c>
      <c r="S195">
        <f t="shared" ref="S195" si="950">R195/100000</f>
        <v>-34772.701928392758</v>
      </c>
      <c r="T195">
        <f t="shared" si="934"/>
        <v>-34.772701928392756</v>
      </c>
    </row>
    <row r="196" spans="1:20" x14ac:dyDescent="0.25">
      <c r="A196" s="5">
        <v>44397</v>
      </c>
      <c r="B196">
        <v>7.339E-3</v>
      </c>
      <c r="C196">
        <v>7.3749999999999996E-3</v>
      </c>
      <c r="D196">
        <v>6.1970000000000003E-3</v>
      </c>
      <c r="E196">
        <v>6.4590000000000003E-3</v>
      </c>
      <c r="F196">
        <v>594412717</v>
      </c>
      <c r="G196">
        <v>6.4590000000000003E-3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-0.55517826825127292</v>
      </c>
      <c r="Q196">
        <f t="shared" ref="Q196" si="952">F196*P196</f>
        <v>-330005022.85059398</v>
      </c>
      <c r="R196">
        <f t="shared" ref="R196" si="953">R197+Q196</f>
        <v>-3878897917.6942568</v>
      </c>
      <c r="S196">
        <f t="shared" ref="S196" si="954">R196/100000</f>
        <v>-38788.979176942565</v>
      </c>
      <c r="T196">
        <f t="shared" si="934"/>
        <v>-38.788979176942561</v>
      </c>
    </row>
    <row r="197" spans="1:20" x14ac:dyDescent="0.25">
      <c r="A197" s="5">
        <v>44396</v>
      </c>
      <c r="B197">
        <v>6.9490000000000003E-3</v>
      </c>
      <c r="C197">
        <v>8.5000000000000006E-3</v>
      </c>
      <c r="D197">
        <v>6.9030000000000003E-3</v>
      </c>
      <c r="E197">
        <v>7.339E-3</v>
      </c>
      <c r="F197">
        <v>1163498932</v>
      </c>
      <c r="G197">
        <v>0</v>
      </c>
      <c r="L197" t="s">
        <v>8</v>
      </c>
      <c r="M197" t="s">
        <v>8</v>
      </c>
      <c r="N197" t="s">
        <v>7</v>
      </c>
      <c r="P197">
        <f t="shared" ref="P197" si="955">IF(C197=D197,0,((E197-D197)-(C197-E197))/(C197-D197))</f>
        <v>-0.45397620538509748</v>
      </c>
      <c r="Q197">
        <f t="shared" ref="Q197" si="956">F197*P197</f>
        <v>-528200830.11897355</v>
      </c>
      <c r="R197">
        <f t="shared" ref="R197" si="957">R198+Q197</f>
        <v>-3548892894.8436627</v>
      </c>
      <c r="S197">
        <f t="shared" ref="S197" si="958">R197/100000</f>
        <v>-35488.928948436631</v>
      </c>
      <c r="T197">
        <f t="shared" si="934"/>
        <v>-35.48892894843663</v>
      </c>
    </row>
    <row r="198" spans="1:20" x14ac:dyDescent="0.25">
      <c r="A198" s="5">
        <v>44395</v>
      </c>
      <c r="B198">
        <v>7.0790000000000002E-3</v>
      </c>
      <c r="C198">
        <v>7.3130000000000001E-3</v>
      </c>
      <c r="D198">
        <v>6.8279999999999999E-3</v>
      </c>
      <c r="E198">
        <v>6.9639999999999997E-3</v>
      </c>
      <c r="F198">
        <v>96879139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-0.43917525773195965</v>
      </c>
      <c r="Q198">
        <f t="shared" ref="Q198:Q261" si="960">F198*P198</f>
        <v>-42546920.839175344</v>
      </c>
      <c r="R198">
        <f t="shared" ref="R198:R261" si="961">R199+Q198</f>
        <v>-3020692064.724689</v>
      </c>
      <c r="S198">
        <f t="shared" ref="S198:S261" si="962">R198/100000</f>
        <v>-30206.92064724689</v>
      </c>
      <c r="T198">
        <f t="shared" ref="T198:T261" si="963">S198/1000</f>
        <v>-30.206920647246889</v>
      </c>
    </row>
    <row r="199" spans="1:20" x14ac:dyDescent="0.25">
      <c r="A199" s="5">
        <v>44394</v>
      </c>
      <c r="B199">
        <v>6.659E-3</v>
      </c>
      <c r="C199">
        <v>7.1590000000000004E-3</v>
      </c>
      <c r="D199">
        <v>6.5539999999999999E-3</v>
      </c>
      <c r="E199">
        <v>7.0790000000000002E-3</v>
      </c>
      <c r="F199">
        <v>149108636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0.73553719008264418</v>
      </c>
      <c r="Q199">
        <f t="shared" si="960"/>
        <v>109674947.14049581</v>
      </c>
      <c r="R199">
        <f t="shared" si="961"/>
        <v>-2978145143.8855138</v>
      </c>
      <c r="S199">
        <f t="shared" si="962"/>
        <v>-29781.451438855136</v>
      </c>
      <c r="T199">
        <f t="shared" si="963"/>
        <v>-29.781451438855136</v>
      </c>
    </row>
    <row r="200" spans="1:20" x14ac:dyDescent="0.25">
      <c r="A200" s="5">
        <v>44393</v>
      </c>
      <c r="B200">
        <v>7.3600000000000002E-3</v>
      </c>
      <c r="C200">
        <v>7.5859999999999999E-3</v>
      </c>
      <c r="D200">
        <v>6.6249999999999998E-3</v>
      </c>
      <c r="E200">
        <v>6.6470000000000001E-3</v>
      </c>
      <c r="F200">
        <v>234544463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-0.95421436004162263</v>
      </c>
      <c r="Q200">
        <f t="shared" si="960"/>
        <v>-223805694.66285104</v>
      </c>
      <c r="R200">
        <f t="shared" si="961"/>
        <v>-3087820091.0260096</v>
      </c>
      <c r="S200">
        <f t="shared" si="962"/>
        <v>-30878.200910260097</v>
      </c>
      <c r="T200">
        <f t="shared" si="963"/>
        <v>-30.878200910260098</v>
      </c>
    </row>
    <row r="201" spans="1:20" x14ac:dyDescent="0.25">
      <c r="A201" s="5">
        <v>44392</v>
      </c>
      <c r="B201">
        <v>7.8469999999999998E-3</v>
      </c>
      <c r="C201">
        <v>8.0999999999999996E-3</v>
      </c>
      <c r="D201">
        <v>7.1669999999999998E-3</v>
      </c>
      <c r="E201">
        <v>7.3429999999999997E-3</v>
      </c>
      <c r="F201">
        <v>256419350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-0.62272240085744912</v>
      </c>
      <c r="Q201">
        <f t="shared" si="960"/>
        <v>-159678073.25830653</v>
      </c>
      <c r="R201">
        <f t="shared" si="961"/>
        <v>-2864014396.3631587</v>
      </c>
      <c r="S201">
        <f t="shared" si="962"/>
        <v>-28640.143963631588</v>
      </c>
      <c r="T201">
        <f t="shared" si="963"/>
        <v>-28.640143963631587</v>
      </c>
    </row>
    <row r="202" spans="1:20" x14ac:dyDescent="0.25">
      <c r="A202" s="5">
        <v>44391</v>
      </c>
      <c r="B202">
        <v>8.3029999999999996E-3</v>
      </c>
      <c r="C202">
        <v>8.3870000000000004E-3</v>
      </c>
      <c r="D202">
        <v>7.3200000000000001E-3</v>
      </c>
      <c r="E202">
        <v>7.8609999999999999E-3</v>
      </c>
      <c r="F202">
        <v>275658919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1.405810684161142E-2</v>
      </c>
      <c r="Q202">
        <f t="shared" si="960"/>
        <v>3875242.5351451081</v>
      </c>
      <c r="R202">
        <f t="shared" si="961"/>
        <v>-2704336323.1048522</v>
      </c>
      <c r="S202">
        <f t="shared" si="962"/>
        <v>-27043.363231048523</v>
      </c>
      <c r="T202">
        <f t="shared" si="963"/>
        <v>-27.043363231048524</v>
      </c>
    </row>
    <row r="203" spans="1:20" x14ac:dyDescent="0.25">
      <c r="A203" s="5">
        <v>44390</v>
      </c>
      <c r="B203">
        <v>8.6140000000000001E-3</v>
      </c>
      <c r="C203">
        <v>8.6499999999999997E-3</v>
      </c>
      <c r="D203">
        <v>7.9839999999999998E-3</v>
      </c>
      <c r="E203">
        <v>8.3029999999999996E-3</v>
      </c>
      <c r="F203">
        <v>203625427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-4.204204204204242E-2</v>
      </c>
      <c r="Q203">
        <f t="shared" si="960"/>
        <v>-8560828.762762839</v>
      </c>
      <c r="R203">
        <f t="shared" si="961"/>
        <v>-2708211565.6399975</v>
      </c>
      <c r="S203">
        <f t="shared" si="962"/>
        <v>-27082.115656399976</v>
      </c>
      <c r="T203">
        <f t="shared" si="963"/>
        <v>-27.082115656399974</v>
      </c>
    </row>
    <row r="204" spans="1:20" x14ac:dyDescent="0.25">
      <c r="A204" s="5">
        <v>44389</v>
      </c>
      <c r="B204">
        <v>8.2129999999999998E-3</v>
      </c>
      <c r="C204">
        <v>8.6499999999999997E-3</v>
      </c>
      <c r="D204">
        <v>8.0440000000000008E-3</v>
      </c>
      <c r="E204">
        <v>8.5780000000000006E-3</v>
      </c>
      <c r="F204">
        <v>286678120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0.76237623762376472</v>
      </c>
      <c r="Q204">
        <f t="shared" si="960"/>
        <v>218556586.53465414</v>
      </c>
      <c r="R204">
        <f t="shared" si="961"/>
        <v>-2699650736.8772345</v>
      </c>
      <c r="S204">
        <f t="shared" si="962"/>
        <v>-26996.507368772345</v>
      </c>
      <c r="T204">
        <f t="shared" si="963"/>
        <v>-26.996507368772345</v>
      </c>
    </row>
    <row r="205" spans="1:20" x14ac:dyDescent="0.25">
      <c r="A205" s="5">
        <v>44388</v>
      </c>
      <c r="B205">
        <v>7.9900000000000006E-3</v>
      </c>
      <c r="C205">
        <v>8.3470000000000003E-3</v>
      </c>
      <c r="D205">
        <v>7.6E-3</v>
      </c>
      <c r="E205">
        <v>8.2129999999999998E-3</v>
      </c>
      <c r="F205">
        <v>177482090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0.64123159303882094</v>
      </c>
      <c r="Q205">
        <f t="shared" si="960"/>
        <v>113807123.30655938</v>
      </c>
      <c r="R205">
        <f t="shared" si="961"/>
        <v>-2918207323.4118886</v>
      </c>
      <c r="S205">
        <f t="shared" si="962"/>
        <v>-29182.073234118885</v>
      </c>
      <c r="T205">
        <f t="shared" si="963"/>
        <v>-29.182073234118885</v>
      </c>
    </row>
    <row r="206" spans="1:20" x14ac:dyDescent="0.25">
      <c r="A206" s="5">
        <v>44387</v>
      </c>
      <c r="B206">
        <v>7.6810000000000003E-3</v>
      </c>
      <c r="C206">
        <v>8.3140000000000002E-3</v>
      </c>
      <c r="D206">
        <v>7.6600000000000001E-3</v>
      </c>
      <c r="E206">
        <v>7.9920000000000008E-3</v>
      </c>
      <c r="F206">
        <v>375430911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1.5290519877677869E-2</v>
      </c>
      <c r="Q206">
        <f t="shared" si="960"/>
        <v>5740533.8073402103</v>
      </c>
      <c r="R206">
        <f t="shared" si="961"/>
        <v>-3032014446.7184482</v>
      </c>
      <c r="S206">
        <f t="shared" si="962"/>
        <v>-30320.14446718448</v>
      </c>
      <c r="T206">
        <f t="shared" si="963"/>
        <v>-30.32014446718448</v>
      </c>
    </row>
    <row r="207" spans="1:20" x14ac:dyDescent="0.25">
      <c r="A207" s="5">
        <v>44386</v>
      </c>
      <c r="B207">
        <v>7.7130000000000002E-3</v>
      </c>
      <c r="C207">
        <v>7.7429999999999999E-3</v>
      </c>
      <c r="D207">
        <v>7.1419999999999999E-3</v>
      </c>
      <c r="E207">
        <v>7.6969999999999998E-3</v>
      </c>
      <c r="F207">
        <v>332474502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0.84692179700499159</v>
      </c>
      <c r="Q207">
        <f t="shared" si="960"/>
        <v>281579902.69217968</v>
      </c>
      <c r="R207">
        <f t="shared" si="961"/>
        <v>-3037754980.5257883</v>
      </c>
      <c r="S207">
        <f t="shared" si="962"/>
        <v>-30377.549805257884</v>
      </c>
      <c r="T207">
        <f t="shared" si="963"/>
        <v>-30.377549805257885</v>
      </c>
    </row>
    <row r="208" spans="1:20" x14ac:dyDescent="0.25">
      <c r="A208" s="5">
        <v>44385</v>
      </c>
      <c r="B208">
        <v>8.6870000000000003E-3</v>
      </c>
      <c r="C208">
        <v>8.6999999999999994E-3</v>
      </c>
      <c r="D208">
        <v>7.515E-3</v>
      </c>
      <c r="E208">
        <v>7.7419999999999998E-3</v>
      </c>
      <c r="F208">
        <v>331281313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-0.6168776371308019</v>
      </c>
      <c r="Q208">
        <f t="shared" si="960"/>
        <v>-204360033.58902961</v>
      </c>
      <c r="R208">
        <f t="shared" si="961"/>
        <v>-3319334883.217968</v>
      </c>
      <c r="S208">
        <f t="shared" si="962"/>
        <v>-33193.348832179683</v>
      </c>
      <c r="T208">
        <f t="shared" si="963"/>
        <v>-33.19334883217968</v>
      </c>
    </row>
    <row r="209" spans="1:20" x14ac:dyDescent="0.25">
      <c r="A209" s="5">
        <v>44384</v>
      </c>
      <c r="B209">
        <v>9.0849999999999993E-3</v>
      </c>
      <c r="C209">
        <v>9.1999999999999998E-3</v>
      </c>
      <c r="D209">
        <v>8.6529999999999992E-3</v>
      </c>
      <c r="E209">
        <v>8.6879999999999995E-3</v>
      </c>
      <c r="F209">
        <v>350359645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-0.87202925045703739</v>
      </c>
      <c r="Q209">
        <f t="shared" si="960"/>
        <v>-305523858.6197437</v>
      </c>
      <c r="R209">
        <f t="shared" si="961"/>
        <v>-3114974849.6289382</v>
      </c>
      <c r="S209">
        <f t="shared" si="962"/>
        <v>-31149.748496289383</v>
      </c>
      <c r="T209">
        <f t="shared" si="963"/>
        <v>-31.149748496289384</v>
      </c>
    </row>
    <row r="210" spans="1:20" x14ac:dyDescent="0.25">
      <c r="A210" s="5">
        <v>44383</v>
      </c>
      <c r="B210">
        <v>9.2169999999999995E-3</v>
      </c>
      <c r="C210">
        <v>9.4739999999999998E-3</v>
      </c>
      <c r="D210">
        <v>8.8100000000000001E-3</v>
      </c>
      <c r="E210">
        <v>9.1149999999999998E-3</v>
      </c>
      <c r="F210">
        <v>464335930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-8.1325301204819664E-2</v>
      </c>
      <c r="Q210">
        <f t="shared" si="960"/>
        <v>-37762259.367470056</v>
      </c>
      <c r="R210">
        <f t="shared" si="961"/>
        <v>-2809450991.0091944</v>
      </c>
      <c r="S210">
        <f t="shared" si="962"/>
        <v>-28094.509910091943</v>
      </c>
      <c r="T210">
        <f t="shared" si="963"/>
        <v>-28.094509910091944</v>
      </c>
    </row>
    <row r="211" spans="1:20" x14ac:dyDescent="0.25">
      <c r="A211" s="5">
        <v>44382</v>
      </c>
      <c r="B211">
        <v>8.8199999999999997E-3</v>
      </c>
      <c r="C211">
        <v>9.783E-3</v>
      </c>
      <c r="D211">
        <v>8.4530000000000004E-3</v>
      </c>
      <c r="E211">
        <v>9.2169999999999995E-3</v>
      </c>
      <c r="F211">
        <v>864426844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0.14887218045112677</v>
      </c>
      <c r="Q211">
        <f t="shared" si="960"/>
        <v>128689109.10676602</v>
      </c>
      <c r="R211">
        <f t="shared" si="961"/>
        <v>-2771688731.6417241</v>
      </c>
      <c r="S211">
        <f t="shared" si="962"/>
        <v>-27716.88731641724</v>
      </c>
      <c r="T211">
        <f t="shared" si="963"/>
        <v>-27.716887316417239</v>
      </c>
    </row>
    <row r="212" spans="1:20" x14ac:dyDescent="0.25">
      <c r="A212" s="5">
        <v>44381</v>
      </c>
      <c r="B212">
        <v>8.5579999999999996E-3</v>
      </c>
      <c r="C212">
        <v>9.3410000000000003E-3</v>
      </c>
      <c r="D212">
        <v>8.3420000000000005E-3</v>
      </c>
      <c r="E212">
        <v>8.8249999999999995E-3</v>
      </c>
      <c r="F212">
        <v>465998715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-3.3033033033034814E-2</v>
      </c>
      <c r="Q212">
        <f t="shared" si="960"/>
        <v>-15393350.945946775</v>
      </c>
      <c r="R212">
        <f t="shared" si="961"/>
        <v>-2900377840.7484903</v>
      </c>
      <c r="S212">
        <f t="shared" si="962"/>
        <v>-29003.778407484904</v>
      </c>
      <c r="T212">
        <f t="shared" si="963"/>
        <v>-29.003778407484905</v>
      </c>
    </row>
    <row r="213" spans="1:20" x14ac:dyDescent="0.25">
      <c r="A213" s="5">
        <v>44380</v>
      </c>
      <c r="B213">
        <v>8.4530000000000004E-3</v>
      </c>
      <c r="C213">
        <v>8.6479999999999994E-3</v>
      </c>
      <c r="D213">
        <v>7.901E-3</v>
      </c>
      <c r="E213">
        <v>8.5559999999999994E-3</v>
      </c>
      <c r="F213">
        <v>507905920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0.7536813922356087</v>
      </c>
      <c r="Q213">
        <f t="shared" si="960"/>
        <v>382799240.91030771</v>
      </c>
      <c r="R213">
        <f t="shared" si="961"/>
        <v>-2884984489.8025436</v>
      </c>
      <c r="S213">
        <f t="shared" si="962"/>
        <v>-28849.844898025436</v>
      </c>
      <c r="T213">
        <f t="shared" si="963"/>
        <v>-28.849844898025435</v>
      </c>
    </row>
    <row r="214" spans="1:20" x14ac:dyDescent="0.25">
      <c r="A214" s="5">
        <v>44379</v>
      </c>
      <c r="B214">
        <v>7.7999999999999996E-3</v>
      </c>
      <c r="C214">
        <v>9.2110000000000004E-3</v>
      </c>
      <c r="D214">
        <v>7.2049999999999996E-3</v>
      </c>
      <c r="E214">
        <v>8.4469999999999996E-3</v>
      </c>
      <c r="F214">
        <v>1047579342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0.23828514456630062</v>
      </c>
      <c r="Q214">
        <f t="shared" si="960"/>
        <v>249622594.95314008</v>
      </c>
      <c r="R214">
        <f t="shared" si="961"/>
        <v>-3267783730.7128515</v>
      </c>
      <c r="S214">
        <f t="shared" si="962"/>
        <v>-32677.837307128517</v>
      </c>
      <c r="T214">
        <f t="shared" si="963"/>
        <v>-32.67783730712852</v>
      </c>
    </row>
    <row r="215" spans="1:20" x14ac:dyDescent="0.25">
      <c r="A215" s="5">
        <v>44378</v>
      </c>
      <c r="B215">
        <v>7.3810000000000004E-3</v>
      </c>
      <c r="C215">
        <v>8.0300000000000007E-3</v>
      </c>
      <c r="D215">
        <v>6.9569999999999996E-3</v>
      </c>
      <c r="E215">
        <v>7.79E-3</v>
      </c>
      <c r="F215">
        <v>885691837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0.5526561043802416</v>
      </c>
      <c r="Q215">
        <f t="shared" si="960"/>
        <v>489483000.31779993</v>
      </c>
      <c r="R215">
        <f t="shared" si="961"/>
        <v>-3517406325.6659918</v>
      </c>
      <c r="S215">
        <f t="shared" si="962"/>
        <v>-35174.063256659916</v>
      </c>
      <c r="T215">
        <f t="shared" si="963"/>
        <v>-35.174063256659913</v>
      </c>
    </row>
    <row r="216" spans="1:20" x14ac:dyDescent="0.25">
      <c r="A216" s="5">
        <v>44377</v>
      </c>
      <c r="B216">
        <v>6.9709999999999998E-3</v>
      </c>
      <c r="C216">
        <v>7.391E-3</v>
      </c>
      <c r="D216">
        <v>6.5570000000000003E-3</v>
      </c>
      <c r="E216">
        <v>7.3810000000000004E-3</v>
      </c>
      <c r="F216">
        <v>400944595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0.9760191846522791</v>
      </c>
      <c r="Q216">
        <f t="shared" si="960"/>
        <v>391329616.70263827</v>
      </c>
      <c r="R216">
        <f t="shared" si="961"/>
        <v>-4006889325.9837918</v>
      </c>
      <c r="S216">
        <f t="shared" si="962"/>
        <v>-40068.893259837918</v>
      </c>
      <c r="T216">
        <f t="shared" si="963"/>
        <v>-40.068893259837921</v>
      </c>
    </row>
    <row r="217" spans="1:20" x14ac:dyDescent="0.25">
      <c r="A217" s="5">
        <v>44376</v>
      </c>
      <c r="B217">
        <v>6.5599999999999999E-3</v>
      </c>
      <c r="C217">
        <v>7.6E-3</v>
      </c>
      <c r="D217">
        <v>6.4609999999999997E-3</v>
      </c>
      <c r="E217">
        <v>6.9430000000000004E-3</v>
      </c>
      <c r="F217">
        <v>750038967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-0.15364354697102625</v>
      </c>
      <c r="Q217">
        <f t="shared" si="960"/>
        <v>-115238647.25636451</v>
      </c>
      <c r="R217">
        <f t="shared" si="961"/>
        <v>-4398218942.68643</v>
      </c>
      <c r="S217">
        <f t="shared" si="962"/>
        <v>-43982.189426864301</v>
      </c>
      <c r="T217">
        <f t="shared" si="963"/>
        <v>-43.982189426864302</v>
      </c>
    </row>
    <row r="218" spans="1:20" x14ac:dyDescent="0.25">
      <c r="A218" s="5">
        <v>44375</v>
      </c>
      <c r="B218">
        <v>5.8630000000000002E-3</v>
      </c>
      <c r="C218">
        <v>6.7990000000000004E-3</v>
      </c>
      <c r="D218">
        <v>5.8510000000000003E-3</v>
      </c>
      <c r="E218">
        <v>6.5849999999999997E-3</v>
      </c>
      <c r="F218">
        <v>797004331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0.54852320675105348</v>
      </c>
      <c r="Q218">
        <f t="shared" si="960"/>
        <v>437175371.43459809</v>
      </c>
      <c r="R218">
        <f t="shared" si="961"/>
        <v>-4282980295.4300652</v>
      </c>
      <c r="S218">
        <f t="shared" si="962"/>
        <v>-42829.802954300649</v>
      </c>
      <c r="T218">
        <f t="shared" si="963"/>
        <v>-42.829802954300646</v>
      </c>
    </row>
    <row r="219" spans="1:20" x14ac:dyDescent="0.25">
      <c r="A219" s="5">
        <v>44374</v>
      </c>
      <c r="B219">
        <v>5.6480000000000002E-3</v>
      </c>
      <c r="C219">
        <v>5.8859999999999997E-3</v>
      </c>
      <c r="D219">
        <v>5.3899999999999998E-3</v>
      </c>
      <c r="E219">
        <v>5.8599999999999998E-3</v>
      </c>
      <c r="F219">
        <v>262141298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0.89516129032258074</v>
      </c>
      <c r="Q219">
        <f t="shared" si="960"/>
        <v>234658742.56451616</v>
      </c>
      <c r="R219">
        <f t="shared" si="961"/>
        <v>-4720155666.8646631</v>
      </c>
      <c r="S219">
        <f t="shared" si="962"/>
        <v>-47201.556668646634</v>
      </c>
      <c r="T219">
        <f t="shared" si="963"/>
        <v>-47.201556668646631</v>
      </c>
    </row>
    <row r="220" spans="1:20" x14ac:dyDescent="0.25">
      <c r="A220" s="5">
        <v>44373</v>
      </c>
      <c r="B220">
        <v>5.5710000000000004E-3</v>
      </c>
      <c r="C220">
        <v>5.6940000000000003E-3</v>
      </c>
      <c r="D220">
        <v>5.1809999999999998E-3</v>
      </c>
      <c r="E220">
        <v>5.6509999999999998E-3</v>
      </c>
      <c r="F220">
        <v>239322317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0.83235867446393585</v>
      </c>
      <c r="Q220">
        <f t="shared" si="960"/>
        <v>199202006.54775786</v>
      </c>
      <c r="R220">
        <f t="shared" si="961"/>
        <v>-4954814409.4291792</v>
      </c>
      <c r="S220">
        <f t="shared" si="962"/>
        <v>-49548.144094291791</v>
      </c>
      <c r="T220">
        <f t="shared" si="963"/>
        <v>-49.548144094291793</v>
      </c>
    </row>
    <row r="221" spans="1:20" x14ac:dyDescent="0.25">
      <c r="A221" s="5">
        <v>44372</v>
      </c>
      <c r="B221">
        <v>6.1590000000000004E-3</v>
      </c>
      <c r="C221">
        <v>6.4200000000000004E-3</v>
      </c>
      <c r="D221">
        <v>5.3889999999999997E-3</v>
      </c>
      <c r="E221">
        <v>5.5840000000000004E-3</v>
      </c>
      <c r="F221">
        <v>304356721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-0.62172647914645862</v>
      </c>
      <c r="Q221">
        <f t="shared" si="960"/>
        <v>-189226632.55189103</v>
      </c>
      <c r="R221">
        <f t="shared" si="961"/>
        <v>-5154016415.9769373</v>
      </c>
      <c r="S221">
        <f t="shared" si="962"/>
        <v>-51540.164159769374</v>
      </c>
      <c r="T221">
        <f t="shared" si="963"/>
        <v>-51.540164159769375</v>
      </c>
    </row>
    <row r="222" spans="1:20" x14ac:dyDescent="0.25">
      <c r="A222" s="5">
        <v>44371</v>
      </c>
      <c r="B222">
        <v>5.738E-3</v>
      </c>
      <c r="C222">
        <v>6.2220000000000001E-3</v>
      </c>
      <c r="D222">
        <v>5.3829999999999998E-3</v>
      </c>
      <c r="E222">
        <v>6.1850000000000004E-3</v>
      </c>
      <c r="F222">
        <v>307911241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0.91179976162097809</v>
      </c>
      <c r="Q222">
        <f t="shared" si="960"/>
        <v>280753396.14421952</v>
      </c>
      <c r="R222">
        <f t="shared" si="961"/>
        <v>-4964789783.425046</v>
      </c>
      <c r="S222">
        <f t="shared" si="962"/>
        <v>-49647.897834250456</v>
      </c>
      <c r="T222">
        <f t="shared" si="963"/>
        <v>-49.647897834250458</v>
      </c>
    </row>
    <row r="223" spans="1:20" x14ac:dyDescent="0.25">
      <c r="A223" s="5">
        <v>44370</v>
      </c>
      <c r="B223">
        <v>5.3920000000000001E-3</v>
      </c>
      <c r="C223">
        <v>6.1349999999999998E-3</v>
      </c>
      <c r="D223">
        <v>5.1510000000000002E-3</v>
      </c>
      <c r="E223">
        <v>5.738E-3</v>
      </c>
      <c r="F223">
        <v>534926159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0.19308943089430908</v>
      </c>
      <c r="Q223">
        <f t="shared" si="960"/>
        <v>103288587.61178869</v>
      </c>
      <c r="R223">
        <f t="shared" si="961"/>
        <v>-5245543179.5692654</v>
      </c>
      <c r="S223">
        <f t="shared" si="962"/>
        <v>-52455.431795692653</v>
      </c>
      <c r="T223">
        <f t="shared" si="963"/>
        <v>-52.455431795692654</v>
      </c>
    </row>
    <row r="224" spans="1:20" x14ac:dyDescent="0.25">
      <c r="A224" s="5">
        <v>44369</v>
      </c>
      <c r="B224">
        <v>5.9329999999999999E-3</v>
      </c>
      <c r="C224">
        <v>5.9899999999999997E-3</v>
      </c>
      <c r="D224">
        <v>4.5669999999999999E-3</v>
      </c>
      <c r="E224">
        <v>5.359E-3</v>
      </c>
      <c r="F224">
        <v>920387899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0.11314125087842626</v>
      </c>
      <c r="Q224">
        <f t="shared" si="960"/>
        <v>104133838.18622665</v>
      </c>
      <c r="R224">
        <f t="shared" si="961"/>
        <v>-5348831767.1810541</v>
      </c>
      <c r="S224">
        <f t="shared" si="962"/>
        <v>-53488.317671810539</v>
      </c>
      <c r="T224">
        <f t="shared" si="963"/>
        <v>-53.488317671810542</v>
      </c>
    </row>
    <row r="225" spans="1:20" x14ac:dyDescent="0.25">
      <c r="A225" s="5">
        <v>44368</v>
      </c>
      <c r="B225">
        <v>7.6429999999999996E-3</v>
      </c>
      <c r="C225">
        <v>7.8910000000000004E-3</v>
      </c>
      <c r="D225">
        <v>5.9020000000000001E-3</v>
      </c>
      <c r="E225">
        <v>5.921E-3</v>
      </c>
      <c r="F225">
        <v>913013500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-0.98089492207139273</v>
      </c>
      <c r="Q225">
        <f t="shared" si="960"/>
        <v>-895570305.93262947</v>
      </c>
      <c r="R225">
        <f t="shared" si="961"/>
        <v>-5452965605.367281</v>
      </c>
      <c r="S225">
        <f t="shared" si="962"/>
        <v>-54529.656053672807</v>
      </c>
      <c r="T225">
        <f t="shared" si="963"/>
        <v>-54.529656053672809</v>
      </c>
    </row>
    <row r="226" spans="1:20" x14ac:dyDescent="0.25">
      <c r="A226" s="5">
        <v>44367</v>
      </c>
      <c r="B226">
        <v>8.0000000000000002E-3</v>
      </c>
      <c r="C226">
        <v>8.1829999999999993E-3</v>
      </c>
      <c r="D226">
        <v>7.0309999999999999E-3</v>
      </c>
      <c r="E226">
        <v>7.6340000000000002E-3</v>
      </c>
      <c r="F226">
        <v>401479279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4.6875000000000978E-2</v>
      </c>
      <c r="Q226">
        <f t="shared" si="960"/>
        <v>18819341.203125391</v>
      </c>
      <c r="R226">
        <f t="shared" si="961"/>
        <v>-4557395299.4346514</v>
      </c>
      <c r="S226">
        <f t="shared" si="962"/>
        <v>-45573.952994346517</v>
      </c>
      <c r="T226">
        <f t="shared" si="963"/>
        <v>-45.57395299434652</v>
      </c>
    </row>
    <row r="227" spans="1:20" x14ac:dyDescent="0.25">
      <c r="A227" s="5">
        <v>44366</v>
      </c>
      <c r="B227">
        <v>8.4320000000000003E-3</v>
      </c>
      <c r="C227">
        <v>8.6499999999999997E-3</v>
      </c>
      <c r="D227">
        <v>7.8810000000000009E-3</v>
      </c>
      <c r="E227">
        <v>8.0000000000000002E-3</v>
      </c>
      <c r="F227">
        <v>658241597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-0.69050715214564506</v>
      </c>
      <c r="Q227">
        <f t="shared" si="960"/>
        <v>-454520530.5682714</v>
      </c>
      <c r="R227">
        <f t="shared" si="961"/>
        <v>-4576214640.6377764</v>
      </c>
      <c r="S227">
        <f t="shared" si="962"/>
        <v>-45762.14640637776</v>
      </c>
      <c r="T227">
        <f t="shared" si="963"/>
        <v>-45.762146406377759</v>
      </c>
    </row>
    <row r="228" spans="1:20" x14ac:dyDescent="0.25">
      <c r="A228" s="5">
        <v>44365</v>
      </c>
      <c r="B228">
        <v>8.1300000000000001E-3</v>
      </c>
      <c r="C228">
        <v>1.4657E-2</v>
      </c>
      <c r="D228">
        <v>7.6499999999999997E-3</v>
      </c>
      <c r="E228">
        <v>8.4239999999999992E-3</v>
      </c>
      <c r="F228">
        <v>3457478410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-0.77907806479235064</v>
      </c>
      <c r="Q228">
        <f t="shared" si="960"/>
        <v>-2693645588.7241335</v>
      </c>
      <c r="R228">
        <f t="shared" si="961"/>
        <v>-4121694110.0695052</v>
      </c>
      <c r="S228">
        <f t="shared" si="962"/>
        <v>-41216.941100695054</v>
      </c>
      <c r="T228">
        <f t="shared" si="963"/>
        <v>-41.216941100695053</v>
      </c>
    </row>
    <row r="229" spans="1:20" x14ac:dyDescent="0.25">
      <c r="A229" s="5">
        <v>44364</v>
      </c>
      <c r="B229">
        <v>8.2089999999999993E-3</v>
      </c>
      <c r="C229">
        <v>8.5609999999999992E-3</v>
      </c>
      <c r="D229">
        <v>8.0000000000000002E-3</v>
      </c>
      <c r="E229">
        <v>8.1300000000000001E-3</v>
      </c>
      <c r="F229">
        <v>180413884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-0.53654188948306547</v>
      </c>
      <c r="Q229">
        <f t="shared" si="960"/>
        <v>-96799606.210338593</v>
      </c>
      <c r="R229">
        <f t="shared" si="961"/>
        <v>-1428048521.3453717</v>
      </c>
      <c r="S229">
        <f t="shared" si="962"/>
        <v>-14280.485213453718</v>
      </c>
      <c r="T229">
        <f t="shared" si="963"/>
        <v>-14.280485213453717</v>
      </c>
    </row>
    <row r="230" spans="1:20" x14ac:dyDescent="0.25">
      <c r="A230" s="5">
        <v>44363</v>
      </c>
      <c r="B230">
        <v>8.7349999999999997E-3</v>
      </c>
      <c r="C230">
        <v>8.8660000000000006E-3</v>
      </c>
      <c r="D230">
        <v>8.0809999999999996E-3</v>
      </c>
      <c r="E230">
        <v>8.2089999999999993E-3</v>
      </c>
      <c r="F230">
        <v>204671060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-0.67388535031847263</v>
      </c>
      <c r="Q230">
        <f t="shared" si="960"/>
        <v>-137924828.96815312</v>
      </c>
      <c r="R230">
        <f t="shared" si="961"/>
        <v>-1331248915.1350331</v>
      </c>
      <c r="S230">
        <f t="shared" si="962"/>
        <v>-13312.489151350332</v>
      </c>
      <c r="T230">
        <f t="shared" si="963"/>
        <v>-13.312489151350333</v>
      </c>
    </row>
    <row r="231" spans="1:20" x14ac:dyDescent="0.25">
      <c r="A231" s="5">
        <v>44362</v>
      </c>
      <c r="B231">
        <v>8.9250000000000006E-3</v>
      </c>
      <c r="C231">
        <v>9.0480000000000005E-3</v>
      </c>
      <c r="D231">
        <v>8.4779999999999994E-3</v>
      </c>
      <c r="E231">
        <v>8.7410000000000005E-3</v>
      </c>
      <c r="F231">
        <v>411284579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-7.7192982456138273E-2</v>
      </c>
      <c r="Q231">
        <f t="shared" si="960"/>
        <v>-31748283.291227214</v>
      </c>
      <c r="R231">
        <f t="shared" si="961"/>
        <v>-1193324086.1668799</v>
      </c>
      <c r="S231">
        <f t="shared" si="962"/>
        <v>-11933.240861668799</v>
      </c>
      <c r="T231">
        <f t="shared" si="963"/>
        <v>-11.933240861668798</v>
      </c>
    </row>
    <row r="232" spans="1:20" x14ac:dyDescent="0.25">
      <c r="A232" s="5">
        <v>44361</v>
      </c>
      <c r="B232">
        <v>8.7559999999999999E-3</v>
      </c>
      <c r="C232">
        <v>9.0939999999999997E-3</v>
      </c>
      <c r="D232">
        <v>8.3540000000000003E-3</v>
      </c>
      <c r="E232">
        <v>8.9250000000000006E-3</v>
      </c>
      <c r="F232">
        <v>461785081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0.54324324324324547</v>
      </c>
      <c r="Q232">
        <f t="shared" si="960"/>
        <v>250861625.08378482</v>
      </c>
      <c r="R232">
        <f t="shared" si="961"/>
        <v>-1161575802.8756528</v>
      </c>
      <c r="S232">
        <f t="shared" si="962"/>
        <v>-11615.758028756529</v>
      </c>
      <c r="T232">
        <f t="shared" si="963"/>
        <v>-11.615758028756529</v>
      </c>
    </row>
    <row r="233" spans="1:20" x14ac:dyDescent="0.25">
      <c r="A233" s="5">
        <v>44360</v>
      </c>
      <c r="B233">
        <v>8.4239999999999992E-3</v>
      </c>
      <c r="C233">
        <v>8.8459999999999997E-3</v>
      </c>
      <c r="D233">
        <v>7.8619999999999992E-3</v>
      </c>
      <c r="E233">
        <v>8.7469999999999996E-3</v>
      </c>
      <c r="F233">
        <v>573311213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0.79878048780487787</v>
      </c>
      <c r="Q233">
        <f t="shared" si="960"/>
        <v>457949810.38414621</v>
      </c>
      <c r="R233">
        <f t="shared" si="961"/>
        <v>-1412437427.9594376</v>
      </c>
      <c r="S233">
        <f t="shared" si="962"/>
        <v>-14124.374279594376</v>
      </c>
      <c r="T233">
        <f t="shared" si="963"/>
        <v>-14.124374279594376</v>
      </c>
    </row>
    <row r="234" spans="1:20" x14ac:dyDescent="0.25">
      <c r="A234" s="5">
        <v>44359</v>
      </c>
      <c r="B234">
        <v>9.0410000000000004E-3</v>
      </c>
      <c r="C234">
        <v>9.2860000000000009E-3</v>
      </c>
      <c r="D234">
        <v>8.3059999999999991E-3</v>
      </c>
      <c r="E234">
        <v>8.4239999999999992E-3</v>
      </c>
      <c r="F234">
        <v>343468594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-0.75918367346938809</v>
      </c>
      <c r="Q234">
        <f t="shared" si="960"/>
        <v>-260755748.91428584</v>
      </c>
      <c r="R234">
        <f t="shared" si="961"/>
        <v>-1870387238.3435838</v>
      </c>
      <c r="S234">
        <f t="shared" si="962"/>
        <v>-18703.872383435839</v>
      </c>
      <c r="T234">
        <f t="shared" si="963"/>
        <v>-18.70387238343584</v>
      </c>
    </row>
    <row r="235" spans="1:20" x14ac:dyDescent="0.25">
      <c r="A235" s="5">
        <v>44358</v>
      </c>
      <c r="B235">
        <v>1.0297000000000001E-2</v>
      </c>
      <c r="C235">
        <v>1.0788000000000001E-2</v>
      </c>
      <c r="D235">
        <v>8.9259999999999999E-3</v>
      </c>
      <c r="E235">
        <v>9.0410000000000004E-3</v>
      </c>
      <c r="F235">
        <v>632326038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-0.87647690655209398</v>
      </c>
      <c r="Q235">
        <f t="shared" si="960"/>
        <v>-554219169.7185818</v>
      </c>
      <c r="R235">
        <f t="shared" si="961"/>
        <v>-1609631489.4292979</v>
      </c>
      <c r="S235">
        <f t="shared" si="962"/>
        <v>-16096.314894292978</v>
      </c>
      <c r="T235">
        <f t="shared" si="963"/>
        <v>-16.096314894292977</v>
      </c>
    </row>
    <row r="236" spans="1:20" x14ac:dyDescent="0.25">
      <c r="A236" s="5">
        <v>44357</v>
      </c>
      <c r="B236">
        <v>1.0144E-2</v>
      </c>
      <c r="C236">
        <v>1.2147E-2</v>
      </c>
      <c r="D236">
        <v>9.8370000000000003E-3</v>
      </c>
      <c r="E236">
        <v>1.0303E-2</v>
      </c>
      <c r="F236">
        <v>1542545751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-0.59653679653679703</v>
      </c>
      <c r="Q236">
        <f t="shared" si="960"/>
        <v>-920185300.8129878</v>
      </c>
      <c r="R236">
        <f t="shared" si="961"/>
        <v>-1055412319.710716</v>
      </c>
      <c r="S236">
        <f t="shared" si="962"/>
        <v>-10554.123197107159</v>
      </c>
      <c r="T236">
        <f t="shared" si="963"/>
        <v>-10.55412319710716</v>
      </c>
    </row>
    <row r="237" spans="1:20" x14ac:dyDescent="0.25">
      <c r="A237" s="5">
        <v>44356</v>
      </c>
      <c r="B237">
        <v>9.6299999999999997E-3</v>
      </c>
      <c r="C237">
        <v>1.1557E-2</v>
      </c>
      <c r="D237">
        <v>8.9180000000000006E-3</v>
      </c>
      <c r="E237">
        <v>1.0108000000000001E-2</v>
      </c>
      <c r="F237">
        <v>1306670756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-9.814323607427014E-2</v>
      </c>
      <c r="Q237">
        <f t="shared" si="960"/>
        <v>-128240896.47745304</v>
      </c>
      <c r="R237">
        <f t="shared" si="961"/>
        <v>-135227018.89772826</v>
      </c>
      <c r="S237">
        <f t="shared" si="962"/>
        <v>-1352.2701889772827</v>
      </c>
      <c r="T237">
        <f t="shared" si="963"/>
        <v>-1.3522701889772828</v>
      </c>
    </row>
    <row r="238" spans="1:20" x14ac:dyDescent="0.25">
      <c r="A238" s="5">
        <v>44355</v>
      </c>
      <c r="B238">
        <v>1.0515999999999999E-2</v>
      </c>
      <c r="C238">
        <v>1.5575E-2</v>
      </c>
      <c r="D238">
        <v>7.6629999999999997E-3</v>
      </c>
      <c r="E238">
        <v>9.6550000000000004E-3</v>
      </c>
      <c r="F238">
        <v>2601560504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-0.4964610717896864</v>
      </c>
      <c r="Q238">
        <f t="shared" si="960"/>
        <v>-1291573516.1415567</v>
      </c>
      <c r="R238">
        <f t="shared" si="961"/>
        <v>-6986122.4202752113</v>
      </c>
      <c r="S238">
        <f t="shared" si="962"/>
        <v>-69.861224202752112</v>
      </c>
      <c r="T238">
        <f t="shared" si="963"/>
        <v>-6.9861224202752106E-2</v>
      </c>
    </row>
    <row r="239" spans="1:20" x14ac:dyDescent="0.25">
      <c r="A239" s="5">
        <v>44354</v>
      </c>
      <c r="B239">
        <v>1.0317E-2</v>
      </c>
      <c r="C239">
        <v>1.32E-2</v>
      </c>
      <c r="D239">
        <v>9.9710000000000007E-3</v>
      </c>
      <c r="E239">
        <v>1.0521000000000001E-2</v>
      </c>
      <c r="F239">
        <v>1376496890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-0.65933725611644456</v>
      </c>
      <c r="Q239">
        <f t="shared" si="960"/>
        <v>-907575682.50541937</v>
      </c>
      <c r="R239">
        <f t="shared" si="961"/>
        <v>1284587393.7212815</v>
      </c>
      <c r="S239">
        <f t="shared" si="962"/>
        <v>12845.873937212815</v>
      </c>
      <c r="T239">
        <f t="shared" si="963"/>
        <v>12.845873937212815</v>
      </c>
    </row>
    <row r="240" spans="1:20" x14ac:dyDescent="0.25">
      <c r="A240" s="5">
        <v>44353</v>
      </c>
      <c r="B240">
        <v>9.2239999999999996E-3</v>
      </c>
      <c r="C240">
        <v>1.95E-2</v>
      </c>
      <c r="D240">
        <v>9.0650000000000001E-3</v>
      </c>
      <c r="E240">
        <v>1.0317E-2</v>
      </c>
      <c r="F240">
        <v>1974270908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-0.76003833253473896</v>
      </c>
      <c r="Q240">
        <f t="shared" si="960"/>
        <v>-1500521568.888165</v>
      </c>
      <c r="R240">
        <f t="shared" si="961"/>
        <v>2192163076.2267008</v>
      </c>
      <c r="S240">
        <f t="shared" si="962"/>
        <v>21921.630762267007</v>
      </c>
      <c r="T240">
        <f t="shared" si="963"/>
        <v>21.921630762267007</v>
      </c>
    </row>
    <row r="241" spans="1:20" x14ac:dyDescent="0.25">
      <c r="A241" s="5">
        <v>44352</v>
      </c>
      <c r="B241">
        <v>9.3640000000000008E-3</v>
      </c>
      <c r="C241">
        <v>9.6240000000000006E-3</v>
      </c>
      <c r="D241">
        <v>8.8649999999999996E-3</v>
      </c>
      <c r="E241">
        <v>9.2490000000000003E-3</v>
      </c>
      <c r="F241">
        <v>154209169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1.1857707509881838E-2</v>
      </c>
      <c r="Q241">
        <f t="shared" si="960"/>
        <v>1828567.2213439376</v>
      </c>
      <c r="R241">
        <f t="shared" si="961"/>
        <v>3692684645.1148658</v>
      </c>
      <c r="S241">
        <f t="shared" si="962"/>
        <v>36926.84645114866</v>
      </c>
      <c r="T241">
        <f t="shared" si="963"/>
        <v>36.926846451148663</v>
      </c>
    </row>
    <row r="242" spans="1:20" x14ac:dyDescent="0.25">
      <c r="A242" s="5">
        <v>44351</v>
      </c>
      <c r="B242">
        <v>1.009E-2</v>
      </c>
      <c r="C242">
        <v>1.0125E-2</v>
      </c>
      <c r="D242">
        <v>8.8109999999999994E-3</v>
      </c>
      <c r="E242">
        <v>9.3640000000000008E-3</v>
      </c>
      <c r="F242">
        <v>134487399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-0.15829528158295128</v>
      </c>
      <c r="Q242">
        <f t="shared" si="960"/>
        <v>-21288720.694063719</v>
      </c>
      <c r="R242">
        <f t="shared" si="961"/>
        <v>3690856077.8935218</v>
      </c>
      <c r="S242">
        <f t="shared" si="962"/>
        <v>36908.560778935214</v>
      </c>
      <c r="T242">
        <f t="shared" si="963"/>
        <v>36.908560778935211</v>
      </c>
    </row>
    <row r="243" spans="1:20" x14ac:dyDescent="0.25">
      <c r="A243" s="5">
        <v>44350</v>
      </c>
      <c r="B243">
        <v>9.7719999999999994E-3</v>
      </c>
      <c r="C243">
        <v>1.0449999999999999E-2</v>
      </c>
      <c r="D243">
        <v>9.7280000000000005E-3</v>
      </c>
      <c r="E243">
        <v>1.0089000000000001E-2</v>
      </c>
      <c r="F243">
        <v>192718528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2.4026640941507068E-15</v>
      </c>
      <c r="Q243">
        <f t="shared" si="960"/>
        <v>4.630378875031776E-7</v>
      </c>
      <c r="R243">
        <f t="shared" si="961"/>
        <v>3712144798.5875854</v>
      </c>
      <c r="S243">
        <f t="shared" si="962"/>
        <v>37121.447985875857</v>
      </c>
      <c r="T243">
        <f t="shared" si="963"/>
        <v>37.121447985875854</v>
      </c>
    </row>
    <row r="244" spans="1:20" x14ac:dyDescent="0.25">
      <c r="A244" s="5">
        <v>44349</v>
      </c>
      <c r="B244">
        <v>9.3019999999999995E-3</v>
      </c>
      <c r="C244">
        <v>1.0663000000000001E-2</v>
      </c>
      <c r="D244">
        <v>9.1529999999999997E-3</v>
      </c>
      <c r="E244">
        <v>9.7730000000000004E-3</v>
      </c>
      <c r="F244">
        <v>355699002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-0.17880794701986705</v>
      </c>
      <c r="Q244">
        <f t="shared" si="960"/>
        <v>-63601808.304635584</v>
      </c>
      <c r="R244">
        <f t="shared" si="961"/>
        <v>3712144798.587585</v>
      </c>
      <c r="S244">
        <f t="shared" si="962"/>
        <v>37121.44798587585</v>
      </c>
      <c r="T244">
        <f t="shared" si="963"/>
        <v>37.121447985875847</v>
      </c>
    </row>
    <row r="245" spans="1:20" x14ac:dyDescent="0.25">
      <c r="A245" s="5">
        <v>44348</v>
      </c>
      <c r="B245">
        <v>9.5469999999999999E-3</v>
      </c>
      <c r="C245">
        <v>9.606E-3</v>
      </c>
      <c r="D245">
        <v>8.9300000000000004E-3</v>
      </c>
      <c r="E245">
        <v>9.3259999999999992E-3</v>
      </c>
      <c r="F245">
        <v>116032805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0.17159763313609191</v>
      </c>
      <c r="Q245">
        <f t="shared" si="960"/>
        <v>19910954.704141691</v>
      </c>
      <c r="R245">
        <f t="shared" si="961"/>
        <v>3775746606.8922205</v>
      </c>
      <c r="S245">
        <f t="shared" si="962"/>
        <v>37757.466068922207</v>
      </c>
      <c r="T245">
        <f t="shared" si="963"/>
        <v>37.757466068922206</v>
      </c>
    </row>
    <row r="246" spans="1:20" x14ac:dyDescent="0.25">
      <c r="A246" s="5">
        <v>44347</v>
      </c>
      <c r="B246">
        <v>9.2460000000000007E-3</v>
      </c>
      <c r="C246">
        <v>9.7000000000000003E-3</v>
      </c>
      <c r="D246">
        <v>8.7100000000000007E-3</v>
      </c>
      <c r="E246">
        <v>9.554E-3</v>
      </c>
      <c r="F246">
        <v>94548988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0.70505050505050437</v>
      </c>
      <c r="Q246">
        <f t="shared" si="960"/>
        <v>66661811.741414078</v>
      </c>
      <c r="R246">
        <f t="shared" si="961"/>
        <v>3755835652.1880789</v>
      </c>
      <c r="S246">
        <f t="shared" si="962"/>
        <v>37558.356521880785</v>
      </c>
      <c r="T246">
        <f t="shared" si="963"/>
        <v>37.558356521880782</v>
      </c>
    </row>
    <row r="247" spans="1:20" x14ac:dyDescent="0.25">
      <c r="A247" s="5">
        <v>44346</v>
      </c>
      <c r="B247">
        <v>8.9999999999999993E-3</v>
      </c>
      <c r="C247">
        <v>9.4970000000000002E-3</v>
      </c>
      <c r="D247">
        <v>8.4609999999999998E-3</v>
      </c>
      <c r="E247">
        <v>9.2460000000000007E-3</v>
      </c>
      <c r="F247">
        <v>135013709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0.51544401544401663</v>
      </c>
      <c r="Q247">
        <f t="shared" si="960"/>
        <v>69592008.306949973</v>
      </c>
      <c r="R247">
        <f t="shared" si="961"/>
        <v>3689173840.4466648</v>
      </c>
      <c r="S247">
        <f t="shared" si="962"/>
        <v>36891.738404466647</v>
      </c>
      <c r="T247">
        <f t="shared" si="963"/>
        <v>36.891738404466643</v>
      </c>
    </row>
    <row r="248" spans="1:20" x14ac:dyDescent="0.25">
      <c r="A248" s="5">
        <v>44345</v>
      </c>
      <c r="B248">
        <v>9.4479999999999998E-3</v>
      </c>
      <c r="C248">
        <v>9.7850000000000003E-3</v>
      </c>
      <c r="D248">
        <v>8.548E-3</v>
      </c>
      <c r="E248">
        <v>8.9610000000000002E-3</v>
      </c>
      <c r="F248">
        <v>105412362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-0.33225545675020196</v>
      </c>
      <c r="Q248">
        <f t="shared" si="960"/>
        <v>-35023832.483427636</v>
      </c>
      <c r="R248">
        <f t="shared" si="961"/>
        <v>3619581832.1397147</v>
      </c>
      <c r="S248">
        <f t="shared" si="962"/>
        <v>36195.81832139715</v>
      </c>
      <c r="T248">
        <f t="shared" si="963"/>
        <v>36.195818321397148</v>
      </c>
    </row>
    <row r="249" spans="1:20" x14ac:dyDescent="0.25">
      <c r="A249" s="5">
        <v>44344</v>
      </c>
      <c r="B249">
        <v>1.0907E-2</v>
      </c>
      <c r="C249">
        <v>1.0980999999999999E-2</v>
      </c>
      <c r="D249">
        <v>8.9999999999999993E-3</v>
      </c>
      <c r="E249">
        <v>9.4350000000000007E-3</v>
      </c>
      <c r="F249">
        <v>242702439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-0.56082786471478918</v>
      </c>
      <c r="Q249">
        <f t="shared" si="960"/>
        <v>-136114290.62544137</v>
      </c>
      <c r="R249">
        <f t="shared" si="961"/>
        <v>3654605664.6231422</v>
      </c>
      <c r="S249">
        <f t="shared" si="962"/>
        <v>36546.056646231424</v>
      </c>
      <c r="T249">
        <f t="shared" si="963"/>
        <v>36.54605664623142</v>
      </c>
    </row>
    <row r="250" spans="1:20" x14ac:dyDescent="0.25">
      <c r="A250" s="5">
        <v>44343</v>
      </c>
      <c r="B250">
        <v>1.0541E-2</v>
      </c>
      <c r="C250">
        <v>1.1039E-2</v>
      </c>
      <c r="D250">
        <v>9.6240000000000006E-3</v>
      </c>
      <c r="E250">
        <v>1.0907E-2</v>
      </c>
      <c r="F250">
        <v>261824586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0.81342756183745557</v>
      </c>
      <c r="Q250">
        <f t="shared" si="960"/>
        <v>212975334.6190812</v>
      </c>
      <c r="R250">
        <f t="shared" si="961"/>
        <v>3790719955.2485838</v>
      </c>
      <c r="S250">
        <f t="shared" si="962"/>
        <v>37907.199552485836</v>
      </c>
      <c r="T250">
        <f t="shared" si="963"/>
        <v>37.907199552485835</v>
      </c>
    </row>
    <row r="251" spans="1:20" x14ac:dyDescent="0.25">
      <c r="A251" s="5">
        <v>44342</v>
      </c>
      <c r="B251">
        <v>9.9450000000000007E-3</v>
      </c>
      <c r="C251">
        <v>1.0612999999999999E-2</v>
      </c>
      <c r="D251">
        <v>9.6270000000000001E-3</v>
      </c>
      <c r="E251">
        <v>1.0541E-2</v>
      </c>
      <c r="F251">
        <v>278829565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0.85395537525355125</v>
      </c>
      <c r="Q251">
        <f t="shared" si="960"/>
        <v>238108005.81135947</v>
      </c>
      <c r="R251">
        <f t="shared" si="961"/>
        <v>3577744620.6295028</v>
      </c>
      <c r="S251">
        <f t="shared" si="962"/>
        <v>35777.446206295026</v>
      </c>
      <c r="T251">
        <f t="shared" si="963"/>
        <v>35.777446206295025</v>
      </c>
    </row>
    <row r="252" spans="1:20" x14ac:dyDescent="0.25">
      <c r="A252" s="5">
        <v>44341</v>
      </c>
      <c r="B252">
        <v>9.7619999999999998E-3</v>
      </c>
      <c r="C252">
        <v>1.0881E-2</v>
      </c>
      <c r="D252">
        <v>8.8159999999999992E-3</v>
      </c>
      <c r="E252">
        <v>9.9419999999999994E-3</v>
      </c>
      <c r="F252">
        <v>513318275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9.0556900726392053E-2</v>
      </c>
      <c r="Q252">
        <f t="shared" si="960"/>
        <v>46484512.070217818</v>
      </c>
      <c r="R252">
        <f t="shared" si="961"/>
        <v>3339636614.8181434</v>
      </c>
      <c r="S252">
        <f t="shared" si="962"/>
        <v>33396.366148181434</v>
      </c>
      <c r="T252">
        <f t="shared" si="963"/>
        <v>33.396366148181436</v>
      </c>
    </row>
    <row r="253" spans="1:20" x14ac:dyDescent="0.25">
      <c r="A253" s="5">
        <v>44340</v>
      </c>
      <c r="B253">
        <v>9.1009999999999997E-3</v>
      </c>
      <c r="C253">
        <v>1.0151E-2</v>
      </c>
      <c r="D253">
        <v>8.2470000000000009E-3</v>
      </c>
      <c r="E253">
        <v>9.7300000000000008E-3</v>
      </c>
      <c r="F253">
        <v>619463842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0.55777310924369783</v>
      </c>
      <c r="Q253">
        <f t="shared" si="960"/>
        <v>345520273.2163868</v>
      </c>
      <c r="R253">
        <f t="shared" si="961"/>
        <v>3293152102.7479258</v>
      </c>
      <c r="S253">
        <f t="shared" si="962"/>
        <v>32931.521027479255</v>
      </c>
      <c r="T253">
        <f t="shared" si="963"/>
        <v>32.931521027479256</v>
      </c>
    </row>
    <row r="254" spans="1:20" x14ac:dyDescent="0.25">
      <c r="A254" s="5">
        <v>44339</v>
      </c>
      <c r="B254">
        <v>1.1554999999999999E-2</v>
      </c>
      <c r="C254">
        <v>1.1598000000000001E-2</v>
      </c>
      <c r="D254">
        <v>7.535E-3</v>
      </c>
      <c r="E254">
        <v>9.0900000000000009E-3</v>
      </c>
      <c r="F254">
        <v>497908593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-0.23455574698498619</v>
      </c>
      <c r="Q254">
        <f t="shared" si="960"/>
        <v>-116787321.96135846</v>
      </c>
      <c r="R254">
        <f t="shared" si="961"/>
        <v>2947631829.531539</v>
      </c>
      <c r="S254">
        <f t="shared" si="962"/>
        <v>29476.318295315388</v>
      </c>
      <c r="T254">
        <f t="shared" si="963"/>
        <v>29.476318295315387</v>
      </c>
    </row>
    <row r="255" spans="1:20" x14ac:dyDescent="0.25">
      <c r="A255" s="5">
        <v>44338</v>
      </c>
      <c r="B255">
        <v>1.0872E-2</v>
      </c>
      <c r="C255">
        <v>1.2442999999999999E-2</v>
      </c>
      <c r="D255">
        <v>9.979E-3</v>
      </c>
      <c r="E255">
        <v>1.1585E-2</v>
      </c>
      <c r="F255">
        <v>603101303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0.30357142857142883</v>
      </c>
      <c r="Q255">
        <f t="shared" si="960"/>
        <v>183084324.12500015</v>
      </c>
      <c r="R255">
        <f t="shared" si="961"/>
        <v>3064419151.4928975</v>
      </c>
      <c r="S255">
        <f t="shared" si="962"/>
        <v>30644.191514928974</v>
      </c>
      <c r="T255">
        <f t="shared" si="963"/>
        <v>30.644191514928973</v>
      </c>
    </row>
    <row r="256" spans="1:20" x14ac:dyDescent="0.25">
      <c r="A256" s="5">
        <v>44337</v>
      </c>
      <c r="B256">
        <v>9.9299999999999996E-3</v>
      </c>
      <c r="C256">
        <v>1.4E-2</v>
      </c>
      <c r="D256">
        <v>9.3390000000000001E-3</v>
      </c>
      <c r="E256">
        <v>1.0905E-2</v>
      </c>
      <c r="F256">
        <v>1366785203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-0.32804119287706518</v>
      </c>
      <c r="Q256">
        <f t="shared" si="960"/>
        <v>-448361848.39884168</v>
      </c>
      <c r="R256">
        <f t="shared" si="961"/>
        <v>2881334827.3678975</v>
      </c>
      <c r="S256">
        <f t="shared" si="962"/>
        <v>28813.348273678974</v>
      </c>
      <c r="T256">
        <f t="shared" si="963"/>
        <v>28.813348273678972</v>
      </c>
    </row>
    <row r="257" spans="1:20" x14ac:dyDescent="0.25">
      <c r="A257" s="5">
        <v>44336</v>
      </c>
      <c r="B257">
        <v>8.6960000000000006E-3</v>
      </c>
      <c r="C257">
        <v>1.0737E-2</v>
      </c>
      <c r="D257">
        <v>7.5979999999999997E-3</v>
      </c>
      <c r="E257">
        <v>9.9330000000000009E-3</v>
      </c>
      <c r="F257">
        <v>577728135</v>
      </c>
      <c r="G257">
        <v>0</v>
      </c>
      <c r="L257" t="s">
        <v>7</v>
      </c>
      <c r="M257" t="s">
        <v>7</v>
      </c>
      <c r="N257" t="s">
        <v>8</v>
      </c>
      <c r="P257">
        <f t="shared" si="959"/>
        <v>0.48773494743548962</v>
      </c>
      <c r="Q257">
        <f t="shared" si="960"/>
        <v>281778201.55622846</v>
      </c>
      <c r="R257">
        <f t="shared" si="961"/>
        <v>3329696675.7667394</v>
      </c>
      <c r="S257">
        <f t="shared" si="962"/>
        <v>33296.966757667396</v>
      </c>
      <c r="T257">
        <f t="shared" si="963"/>
        <v>33.296966757667398</v>
      </c>
    </row>
    <row r="258" spans="1:20" x14ac:dyDescent="0.25">
      <c r="A258" s="5">
        <v>44335</v>
      </c>
      <c r="B258">
        <v>1.2782E-2</v>
      </c>
      <c r="C258">
        <v>1.461E-2</v>
      </c>
      <c r="D258">
        <v>7.0000000000000001E-3</v>
      </c>
      <c r="E258">
        <v>8.6490000000000004E-3</v>
      </c>
      <c r="F258">
        <v>920914634</v>
      </c>
      <c r="G258">
        <v>0</v>
      </c>
      <c r="L258" t="s">
        <v>8</v>
      </c>
      <c r="M258" t="s">
        <v>8</v>
      </c>
      <c r="N258" t="s">
        <v>7</v>
      </c>
      <c r="P258">
        <f t="shared" si="959"/>
        <v>-0.56662286465177392</v>
      </c>
      <c r="Q258">
        <f t="shared" si="960"/>
        <v>-521811288.01681989</v>
      </c>
      <c r="R258">
        <f t="shared" si="961"/>
        <v>3047918474.2105107</v>
      </c>
      <c r="S258">
        <f t="shared" si="962"/>
        <v>30479.184742105106</v>
      </c>
      <c r="T258">
        <f t="shared" si="963"/>
        <v>30.479184742105105</v>
      </c>
    </row>
    <row r="259" spans="1:20" x14ac:dyDescent="0.25">
      <c r="A259" s="5">
        <v>44334</v>
      </c>
      <c r="B259">
        <v>1.2192E-2</v>
      </c>
      <c r="C259">
        <v>1.3915E-2</v>
      </c>
      <c r="D259">
        <v>1.1918E-2</v>
      </c>
      <c r="E259">
        <v>1.2782999999999999E-2</v>
      </c>
      <c r="F259">
        <v>263159272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-0.13370055082624013</v>
      </c>
      <c r="Q259">
        <f t="shared" si="960"/>
        <v>-35184539.621432349</v>
      </c>
      <c r="R259">
        <f t="shared" si="961"/>
        <v>3569729762.2273307</v>
      </c>
      <c r="S259">
        <f t="shared" si="962"/>
        <v>35697.297622273305</v>
      </c>
      <c r="T259">
        <f t="shared" si="963"/>
        <v>35.697297622273304</v>
      </c>
    </row>
    <row r="260" spans="1:20" x14ac:dyDescent="0.25">
      <c r="A260" s="5">
        <v>44333</v>
      </c>
      <c r="B260">
        <v>1.3727E-2</v>
      </c>
      <c r="C260">
        <v>1.3731E-2</v>
      </c>
      <c r="D260">
        <v>1.1479E-2</v>
      </c>
      <c r="E260">
        <v>1.2191E-2</v>
      </c>
      <c r="F260">
        <v>398121575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-0.36767317939609179</v>
      </c>
      <c r="Q260">
        <f t="shared" si="960"/>
        <v>-146378625.2664296</v>
      </c>
      <c r="R260">
        <f t="shared" si="961"/>
        <v>3604914301.848763</v>
      </c>
      <c r="S260">
        <f t="shared" si="962"/>
        <v>36049.14301848763</v>
      </c>
      <c r="T260">
        <f t="shared" si="963"/>
        <v>36.049143018487626</v>
      </c>
    </row>
    <row r="261" spans="1:20" x14ac:dyDescent="0.25">
      <c r="A261" s="5">
        <v>44332</v>
      </c>
      <c r="B261">
        <v>1.4158E-2</v>
      </c>
      <c r="C261">
        <v>1.47E-2</v>
      </c>
      <c r="D261">
        <v>1.3027E-2</v>
      </c>
      <c r="E261">
        <v>1.3731E-2</v>
      </c>
      <c r="F261">
        <v>323229361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-0.15839808726838001</v>
      </c>
      <c r="Q261">
        <f t="shared" si="960"/>
        <v>-51198912.531380706</v>
      </c>
      <c r="R261">
        <f t="shared" si="961"/>
        <v>3751292927.1151924</v>
      </c>
      <c r="S261">
        <f t="shared" si="962"/>
        <v>37512.929271151923</v>
      </c>
      <c r="T261">
        <f t="shared" si="963"/>
        <v>37.512929271151926</v>
      </c>
    </row>
    <row r="262" spans="1:20" x14ac:dyDescent="0.25">
      <c r="A262" s="5">
        <v>44331</v>
      </c>
      <c r="B262">
        <v>1.4581E-2</v>
      </c>
      <c r="C262">
        <v>1.7298000000000001E-2</v>
      </c>
      <c r="D262">
        <v>1.3759E-2</v>
      </c>
      <c r="E262">
        <v>1.4097999999999999E-2</v>
      </c>
      <c r="F262">
        <v>501920172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-0.8084204577564289</v>
      </c>
      <c r="Q262">
        <f t="shared" ref="Q262:Q325" si="965">F262*P262</f>
        <v>-405762535.2054255</v>
      </c>
      <c r="R262">
        <f t="shared" ref="R262:R325" si="966">R263+Q262</f>
        <v>3802491839.6465731</v>
      </c>
      <c r="S262">
        <f t="shared" ref="S262:S325" si="967">R262/100000</f>
        <v>38024.918396465728</v>
      </c>
      <c r="T262">
        <f t="shared" ref="T262:T325" si="968">S262/1000</f>
        <v>38.024918396465729</v>
      </c>
    </row>
    <row r="263" spans="1:20" x14ac:dyDescent="0.25">
      <c r="A263" s="5">
        <v>44330</v>
      </c>
      <c r="B263">
        <v>1.3929E-2</v>
      </c>
      <c r="C263">
        <v>1.5499000000000001E-2</v>
      </c>
      <c r="D263">
        <v>1.3823999999999999E-2</v>
      </c>
      <c r="E263">
        <v>1.4529E-2</v>
      </c>
      <c r="F263">
        <v>424488398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-0.15820895522388026</v>
      </c>
      <c r="Q263">
        <f t="shared" si="965"/>
        <v>-67157865.952238664</v>
      </c>
      <c r="R263">
        <f t="shared" si="966"/>
        <v>4208254374.8519988</v>
      </c>
      <c r="S263">
        <f t="shared" si="967"/>
        <v>42082.543748519987</v>
      </c>
      <c r="T263">
        <f t="shared" si="968"/>
        <v>42.082543748519988</v>
      </c>
    </row>
    <row r="264" spans="1:20" x14ac:dyDescent="0.25">
      <c r="A264" s="5">
        <v>44329</v>
      </c>
      <c r="B264">
        <v>1.2579E-2</v>
      </c>
      <c r="C264">
        <v>1.4818E-2</v>
      </c>
      <c r="D264">
        <v>0.01</v>
      </c>
      <c r="E264">
        <v>1.3894E-2</v>
      </c>
      <c r="F264">
        <v>729848456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0.61643835616438369</v>
      </c>
      <c r="Q264">
        <f t="shared" si="965"/>
        <v>449906582.4657535</v>
      </c>
      <c r="R264">
        <f t="shared" si="966"/>
        <v>4275412240.8042374</v>
      </c>
      <c r="S264">
        <f t="shared" si="967"/>
        <v>42754.122408042371</v>
      </c>
      <c r="T264">
        <f t="shared" si="968"/>
        <v>42.75412240804237</v>
      </c>
    </row>
    <row r="265" spans="1:20" x14ac:dyDescent="0.25">
      <c r="A265" s="5">
        <v>44328</v>
      </c>
      <c r="B265">
        <v>1.5649E-2</v>
      </c>
      <c r="C265">
        <v>1.6497999999999999E-2</v>
      </c>
      <c r="D265">
        <v>1.255E-2</v>
      </c>
      <c r="E265">
        <v>1.2577E-2</v>
      </c>
      <c r="F265">
        <v>367506353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-0.98632218844984842</v>
      </c>
      <c r="Q265">
        <f t="shared" si="965"/>
        <v>-362479670.36018252</v>
      </c>
      <c r="R265">
        <f t="shared" si="966"/>
        <v>3825505658.3384838</v>
      </c>
      <c r="S265">
        <f t="shared" si="967"/>
        <v>38255.056583384838</v>
      </c>
      <c r="T265">
        <f t="shared" si="968"/>
        <v>38.255056583384835</v>
      </c>
    </row>
    <row r="266" spans="1:20" x14ac:dyDescent="0.25">
      <c r="A266" s="5">
        <v>44327</v>
      </c>
      <c r="B266">
        <v>1.4411999999999999E-2</v>
      </c>
      <c r="C266">
        <v>1.6685999999999999E-2</v>
      </c>
      <c r="D266">
        <v>1.3932999999999999E-2</v>
      </c>
      <c r="E266">
        <v>1.5649E-2</v>
      </c>
      <c r="F266">
        <v>493303187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0.2466400290592084</v>
      </c>
      <c r="Q266">
        <f t="shared" si="965"/>
        <v>121668312.37668012</v>
      </c>
      <c r="R266">
        <f t="shared" si="966"/>
        <v>4187985328.6986661</v>
      </c>
      <c r="S266">
        <f t="shared" si="967"/>
        <v>41879.853286986661</v>
      </c>
      <c r="T266">
        <f t="shared" si="968"/>
        <v>41.879853286986659</v>
      </c>
    </row>
    <row r="267" spans="1:20" x14ac:dyDescent="0.25">
      <c r="A267" s="5">
        <v>44326</v>
      </c>
      <c r="B267">
        <v>1.6045E-2</v>
      </c>
      <c r="C267">
        <v>1.6905E-2</v>
      </c>
      <c r="D267">
        <v>1.3608E-2</v>
      </c>
      <c r="E267">
        <v>1.4411999999999999E-2</v>
      </c>
      <c r="F267">
        <v>446109155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-0.51228389444949995</v>
      </c>
      <c r="Q267">
        <f t="shared" si="965"/>
        <v>-228534535.27297562</v>
      </c>
      <c r="R267">
        <f t="shared" si="966"/>
        <v>4066317016.3219862</v>
      </c>
      <c r="S267">
        <f t="shared" si="967"/>
        <v>40663.17016321986</v>
      </c>
      <c r="T267">
        <f t="shared" si="968"/>
        <v>40.66317016321986</v>
      </c>
    </row>
    <row r="268" spans="1:20" x14ac:dyDescent="0.25">
      <c r="A268" s="5">
        <v>44325</v>
      </c>
      <c r="B268">
        <v>1.6596E-2</v>
      </c>
      <c r="C268">
        <v>1.8249999999999999E-2</v>
      </c>
      <c r="D268">
        <v>1.5401E-2</v>
      </c>
      <c r="E268">
        <v>1.6046999999999999E-2</v>
      </c>
      <c r="F268">
        <v>529477554</v>
      </c>
      <c r="G268">
        <v>0</v>
      </c>
      <c r="L268" t="s">
        <v>8</v>
      </c>
      <c r="M268" t="s">
        <v>7</v>
      </c>
      <c r="N268" t="s">
        <v>7</v>
      </c>
      <c r="P268">
        <f t="shared" si="964"/>
        <v>-0.54650754650754707</v>
      </c>
      <c r="Q268">
        <f t="shared" si="965"/>
        <v>-289363478.96735728</v>
      </c>
      <c r="R268">
        <f t="shared" si="966"/>
        <v>4294851551.5949616</v>
      </c>
      <c r="S268">
        <f t="shared" si="967"/>
        <v>42948.515515949613</v>
      </c>
      <c r="T268">
        <f t="shared" si="968"/>
        <v>42.948515515949616</v>
      </c>
    </row>
    <row r="269" spans="1:20" x14ac:dyDescent="0.25">
      <c r="A269" s="5">
        <v>44324</v>
      </c>
      <c r="B269">
        <v>1.7142000000000001E-2</v>
      </c>
      <c r="C269">
        <v>1.7724E-2</v>
      </c>
      <c r="D269">
        <v>1.6392E-2</v>
      </c>
      <c r="E269">
        <v>1.6596E-2</v>
      </c>
      <c r="F269">
        <v>351426643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-0.69369369369369471</v>
      </c>
      <c r="Q269">
        <f t="shared" si="965"/>
        <v>-243782446.04504541</v>
      </c>
      <c r="R269">
        <f t="shared" si="966"/>
        <v>4584215030.5623188</v>
      </c>
      <c r="S269">
        <f t="shared" si="967"/>
        <v>45842.150305623189</v>
      </c>
      <c r="T269">
        <f t="shared" si="968"/>
        <v>45.842150305623186</v>
      </c>
    </row>
    <row r="270" spans="1:20" x14ac:dyDescent="0.25">
      <c r="A270" s="5">
        <v>44323</v>
      </c>
      <c r="B270">
        <v>1.7083999999999998E-2</v>
      </c>
      <c r="C270">
        <v>1.8880999999999998E-2</v>
      </c>
      <c r="D270">
        <v>1.5599999999999999E-2</v>
      </c>
      <c r="E270">
        <v>1.7208000000000001E-2</v>
      </c>
      <c r="F270">
        <v>842497381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-1.9811033221577456E-2</v>
      </c>
      <c r="Q270">
        <f t="shared" si="965"/>
        <v>-16690743.604083</v>
      </c>
      <c r="R270">
        <f t="shared" si="966"/>
        <v>4827997476.6073647</v>
      </c>
      <c r="S270">
        <f t="shared" si="967"/>
        <v>48279.974766073647</v>
      </c>
      <c r="T270">
        <f t="shared" si="968"/>
        <v>48.27997476607365</v>
      </c>
    </row>
    <row r="271" spans="1:20" x14ac:dyDescent="0.25">
      <c r="A271" s="5">
        <v>44322</v>
      </c>
      <c r="B271">
        <v>1.8759999999999999E-2</v>
      </c>
      <c r="C271">
        <v>1.8912999999999999E-2</v>
      </c>
      <c r="D271">
        <v>1.6461E-2</v>
      </c>
      <c r="E271">
        <v>1.7084999999999999E-2</v>
      </c>
      <c r="F271">
        <v>581046317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-0.49102773246329551</v>
      </c>
      <c r="Q271">
        <f t="shared" si="965"/>
        <v>-285309855.49265921</v>
      </c>
      <c r="R271">
        <f t="shared" si="966"/>
        <v>4844688220.2114477</v>
      </c>
      <c r="S271">
        <f t="shared" si="967"/>
        <v>48446.882202114481</v>
      </c>
      <c r="T271">
        <f t="shared" si="968"/>
        <v>48.44688220211448</v>
      </c>
    </row>
    <row r="272" spans="1:20" x14ac:dyDescent="0.25">
      <c r="A272" s="5">
        <v>44321</v>
      </c>
      <c r="B272">
        <v>1.7617000000000001E-2</v>
      </c>
      <c r="C272">
        <v>2.0150000000000001E-2</v>
      </c>
      <c r="D272">
        <v>1.6598000000000002E-2</v>
      </c>
      <c r="E272">
        <v>1.8719E-2</v>
      </c>
      <c r="F272">
        <v>1037266504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0.19425675675675569</v>
      </c>
      <c r="Q272">
        <f t="shared" si="965"/>
        <v>201496026.95945835</v>
      </c>
      <c r="R272">
        <f t="shared" si="966"/>
        <v>5129998075.7041073</v>
      </c>
      <c r="S272">
        <f t="shared" si="967"/>
        <v>51299.98075704107</v>
      </c>
      <c r="T272">
        <f t="shared" si="968"/>
        <v>51.29998075704107</v>
      </c>
    </row>
    <row r="273" spans="1:20" x14ac:dyDescent="0.25">
      <c r="A273" s="5">
        <v>44320</v>
      </c>
      <c r="B273">
        <v>1.8704999999999999E-2</v>
      </c>
      <c r="C273">
        <v>2.1499999999999998E-2</v>
      </c>
      <c r="D273">
        <v>1.7351999999999999E-2</v>
      </c>
      <c r="E273">
        <v>1.7566999999999999E-2</v>
      </c>
      <c r="F273">
        <v>1314849533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-0.89633558341369335</v>
      </c>
      <c r="Q273">
        <f t="shared" si="965"/>
        <v>-1178546423.2627773</v>
      </c>
      <c r="R273">
        <f t="shared" si="966"/>
        <v>4928502048.7446489</v>
      </c>
      <c r="S273">
        <f t="shared" si="967"/>
        <v>49285.020487446491</v>
      </c>
      <c r="T273">
        <f t="shared" si="968"/>
        <v>49.285020487446488</v>
      </c>
    </row>
    <row r="274" spans="1:20" x14ac:dyDescent="0.25">
      <c r="A274" s="5">
        <v>44319</v>
      </c>
      <c r="B274">
        <v>1.8723E-2</v>
      </c>
      <c r="C274">
        <v>2.1580999999999999E-2</v>
      </c>
      <c r="D274">
        <v>1.8157E-2</v>
      </c>
      <c r="E274">
        <v>1.8706E-2</v>
      </c>
      <c r="F274">
        <v>1749228972</v>
      </c>
      <c r="G274">
        <v>0</v>
      </c>
      <c r="L274" t="s">
        <v>7</v>
      </c>
      <c r="M274" t="s">
        <v>7</v>
      </c>
      <c r="N274" t="s">
        <v>7</v>
      </c>
      <c r="P274">
        <f t="shared" si="964"/>
        <v>-0.67932242990654157</v>
      </c>
      <c r="Q274">
        <f t="shared" si="965"/>
        <v>-1188290475.7219617</v>
      </c>
      <c r="R274">
        <f t="shared" si="966"/>
        <v>6107048472.0074263</v>
      </c>
      <c r="S274">
        <f t="shared" si="967"/>
        <v>61070.484720074266</v>
      </c>
      <c r="T274">
        <f t="shared" si="968"/>
        <v>61.070484720074269</v>
      </c>
    </row>
    <row r="275" spans="1:20" x14ac:dyDescent="0.25">
      <c r="A275" s="5">
        <v>44318</v>
      </c>
      <c r="B275">
        <v>1.7191999999999999E-2</v>
      </c>
      <c r="C275">
        <v>2.5547E-2</v>
      </c>
      <c r="D275">
        <v>1.6407000000000001E-2</v>
      </c>
      <c r="E275">
        <v>1.8776000000000001E-2</v>
      </c>
      <c r="F275">
        <v>2309615185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-0.48161925601750549</v>
      </c>
      <c r="Q275">
        <f t="shared" si="965"/>
        <v>-1112355147.0864334</v>
      </c>
      <c r="R275">
        <f t="shared" si="966"/>
        <v>7295338947.7293882</v>
      </c>
      <c r="S275">
        <f t="shared" si="967"/>
        <v>72953.38947729388</v>
      </c>
      <c r="T275">
        <f t="shared" si="968"/>
        <v>72.953389477293882</v>
      </c>
    </row>
    <row r="276" spans="1:20" x14ac:dyDescent="0.25">
      <c r="A276" s="5">
        <v>44317</v>
      </c>
      <c r="B276">
        <v>1.7478E-2</v>
      </c>
      <c r="C276">
        <v>1.7649999999999999E-2</v>
      </c>
      <c r="D276">
        <v>1.6416E-2</v>
      </c>
      <c r="E276">
        <v>1.7162E-2</v>
      </c>
      <c r="F276">
        <v>345730503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0.20907617504051984</v>
      </c>
      <c r="Q276">
        <f t="shared" si="965"/>
        <v>72284011.162074968</v>
      </c>
      <c r="R276">
        <f t="shared" si="966"/>
        <v>8407694094.8158216</v>
      </c>
      <c r="S276">
        <f t="shared" si="967"/>
        <v>84076.940948158212</v>
      </c>
      <c r="T276">
        <f t="shared" si="968"/>
        <v>84.07694094815821</v>
      </c>
    </row>
    <row r="277" spans="1:20" x14ac:dyDescent="0.25">
      <c r="A277" s="5">
        <v>44316</v>
      </c>
      <c r="B277">
        <v>1.6389000000000001E-2</v>
      </c>
      <c r="C277">
        <v>1.7999999999999999E-2</v>
      </c>
      <c r="D277">
        <v>1.5800999999999999E-2</v>
      </c>
      <c r="E277">
        <v>1.7478E-2</v>
      </c>
      <c r="F277">
        <v>365561830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0.52523874488403977</v>
      </c>
      <c r="Q277">
        <f t="shared" si="965"/>
        <v>192007236.76671273</v>
      </c>
      <c r="R277">
        <f t="shared" si="966"/>
        <v>8335410083.6537466</v>
      </c>
      <c r="S277">
        <f t="shared" si="967"/>
        <v>83354.100836537473</v>
      </c>
      <c r="T277">
        <f t="shared" si="968"/>
        <v>83.354100836537469</v>
      </c>
    </row>
    <row r="278" spans="1:20" x14ac:dyDescent="0.25">
      <c r="A278" s="5">
        <v>44315</v>
      </c>
      <c r="B278">
        <v>1.6948999999999999E-2</v>
      </c>
      <c r="C278">
        <v>1.6990000000000002E-2</v>
      </c>
      <c r="D278">
        <v>1.545E-2</v>
      </c>
      <c r="E278">
        <v>1.6330999999999998E-2</v>
      </c>
      <c r="F278">
        <v>218451086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0.14415584415584062</v>
      </c>
      <c r="Q278">
        <f t="shared" si="965"/>
        <v>31491000.709090136</v>
      </c>
      <c r="R278">
        <f t="shared" si="966"/>
        <v>8143402846.8870335</v>
      </c>
      <c r="S278">
        <f t="shared" si="967"/>
        <v>81434.02846887034</v>
      </c>
      <c r="T278">
        <f t="shared" si="968"/>
        <v>81.434028468870338</v>
      </c>
    </row>
    <row r="279" spans="1:20" x14ac:dyDescent="0.25">
      <c r="A279" s="5">
        <v>44314</v>
      </c>
      <c r="B279">
        <v>1.7756000000000001E-2</v>
      </c>
      <c r="C279">
        <v>1.8301999999999999E-2</v>
      </c>
      <c r="D279">
        <v>1.5273E-2</v>
      </c>
      <c r="E279">
        <v>1.6990999999999999E-2</v>
      </c>
      <c r="F279">
        <v>431028361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0.13436777814460202</v>
      </c>
      <c r="Q279">
        <f t="shared" si="965"/>
        <v>57916323.18487943</v>
      </c>
      <c r="R279">
        <f t="shared" si="966"/>
        <v>8111911846.1779432</v>
      </c>
      <c r="S279">
        <f t="shared" si="967"/>
        <v>81119.118461779435</v>
      </c>
      <c r="T279">
        <f t="shared" si="968"/>
        <v>81.119118461779436</v>
      </c>
    </row>
    <row r="280" spans="1:20" x14ac:dyDescent="0.25">
      <c r="A280" s="5">
        <v>44313</v>
      </c>
      <c r="B280">
        <v>1.644E-2</v>
      </c>
      <c r="C280">
        <v>1.8449E-2</v>
      </c>
      <c r="D280">
        <v>1.6261999999999999E-2</v>
      </c>
      <c r="E280">
        <v>1.7756000000000001E-2</v>
      </c>
      <c r="F280">
        <v>548263649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0.36625514403292297</v>
      </c>
      <c r="Q280">
        <f t="shared" si="965"/>
        <v>200804381.73251092</v>
      </c>
      <c r="R280">
        <f t="shared" si="966"/>
        <v>8053995522.9930639</v>
      </c>
      <c r="S280">
        <f t="shared" si="967"/>
        <v>80539.955229930638</v>
      </c>
      <c r="T280">
        <f t="shared" si="968"/>
        <v>80.539955229930641</v>
      </c>
    </row>
    <row r="281" spans="1:20" x14ac:dyDescent="0.25">
      <c r="A281" s="5">
        <v>44312</v>
      </c>
      <c r="B281">
        <v>1.3753E-2</v>
      </c>
      <c r="C281">
        <v>1.6752E-2</v>
      </c>
      <c r="D281">
        <v>1.3199000000000001E-2</v>
      </c>
      <c r="E281">
        <v>1.644E-2</v>
      </c>
      <c r="F281">
        <v>562634227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0.82437376864621459</v>
      </c>
      <c r="Q281">
        <f t="shared" si="965"/>
        <v>463820898.08133978</v>
      </c>
      <c r="R281">
        <f t="shared" si="966"/>
        <v>7853191141.2605534</v>
      </c>
      <c r="S281">
        <f t="shared" si="967"/>
        <v>78531.911412605536</v>
      </c>
      <c r="T281">
        <f t="shared" si="968"/>
        <v>78.531911412605538</v>
      </c>
    </row>
    <row r="282" spans="1:20" x14ac:dyDescent="0.25">
      <c r="A282" s="5">
        <v>44311</v>
      </c>
      <c r="B282">
        <v>1.3556E-2</v>
      </c>
      <c r="C282">
        <v>1.4826000000000001E-2</v>
      </c>
      <c r="D282">
        <v>1.2272999999999999E-2</v>
      </c>
      <c r="E282">
        <v>1.3785E-2</v>
      </c>
      <c r="F282">
        <v>455747481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0.18448883666274996</v>
      </c>
      <c r="Q282">
        <f t="shared" si="965"/>
        <v>84080322.581668735</v>
      </c>
      <c r="R282">
        <f t="shared" si="966"/>
        <v>7389370243.1792135</v>
      </c>
      <c r="S282">
        <f t="shared" si="967"/>
        <v>73893.702431792131</v>
      </c>
      <c r="T282">
        <f t="shared" si="968"/>
        <v>73.893702431792136</v>
      </c>
    </row>
    <row r="283" spans="1:20" x14ac:dyDescent="0.25">
      <c r="A283" s="5">
        <v>44310</v>
      </c>
      <c r="B283">
        <v>1.3519E-2</v>
      </c>
      <c r="C283">
        <v>1.4262E-2</v>
      </c>
      <c r="D283">
        <v>1.2289E-2</v>
      </c>
      <c r="E283">
        <v>1.3512E-2</v>
      </c>
      <c r="F283">
        <v>578249934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0.23973644196654803</v>
      </c>
      <c r="Q283">
        <f t="shared" si="965"/>
        <v>138627581.74455124</v>
      </c>
      <c r="R283">
        <f t="shared" si="966"/>
        <v>7305289920.5975447</v>
      </c>
      <c r="S283">
        <f t="shared" si="967"/>
        <v>73052.899205975453</v>
      </c>
      <c r="T283">
        <f t="shared" si="968"/>
        <v>73.05289920597545</v>
      </c>
    </row>
    <row r="284" spans="1:20" x14ac:dyDescent="0.25">
      <c r="A284" s="5">
        <v>44309</v>
      </c>
      <c r="B284">
        <v>1.4175E-2</v>
      </c>
      <c r="C284">
        <v>1.4295E-2</v>
      </c>
      <c r="D284">
        <v>9.5860000000000008E-3</v>
      </c>
      <c r="E284">
        <v>1.35E-2</v>
      </c>
      <c r="F284">
        <v>1019607023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0.66234869399023122</v>
      </c>
      <c r="Q284">
        <f t="shared" si="965"/>
        <v>675335380.06731761</v>
      </c>
      <c r="R284">
        <f t="shared" si="966"/>
        <v>7166662338.852993</v>
      </c>
      <c r="S284">
        <f t="shared" si="967"/>
        <v>71666.62338852993</v>
      </c>
      <c r="T284">
        <f t="shared" si="968"/>
        <v>71.666623388529928</v>
      </c>
    </row>
    <row r="285" spans="1:20" x14ac:dyDescent="0.25">
      <c r="A285" s="5">
        <v>44308</v>
      </c>
      <c r="B285">
        <v>1.7187999999999998E-2</v>
      </c>
      <c r="C285">
        <v>1.7409999999999998E-2</v>
      </c>
      <c r="D285">
        <v>1.4159E-2</v>
      </c>
      <c r="E285">
        <v>1.4168E-2</v>
      </c>
      <c r="F285">
        <v>471245138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-0.99446324207935999</v>
      </c>
      <c r="Q285">
        <f t="shared" si="965"/>
        <v>-468635967.74961543</v>
      </c>
      <c r="R285">
        <f t="shared" si="966"/>
        <v>6491326958.785675</v>
      </c>
      <c r="S285">
        <f t="shared" si="967"/>
        <v>64913.269587856754</v>
      </c>
      <c r="T285">
        <f t="shared" si="968"/>
        <v>64.91326958785676</v>
      </c>
    </row>
    <row r="286" spans="1:20" x14ac:dyDescent="0.25">
      <c r="A286" s="5">
        <v>44307</v>
      </c>
      <c r="B286">
        <v>1.6978E-2</v>
      </c>
      <c r="C286">
        <v>1.8270000000000002E-2</v>
      </c>
      <c r="D286">
        <v>1.6334000000000001E-2</v>
      </c>
      <c r="E286">
        <v>1.7198000000000001E-2</v>
      </c>
      <c r="F286">
        <v>500276545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-0.10743801652892553</v>
      </c>
      <c r="Q286">
        <f t="shared" si="965"/>
        <v>-53748719.710743755</v>
      </c>
      <c r="R286">
        <f t="shared" si="966"/>
        <v>6959962926.5352907</v>
      </c>
      <c r="S286">
        <f t="shared" si="967"/>
        <v>69599.629265352909</v>
      </c>
      <c r="T286">
        <f t="shared" si="968"/>
        <v>69.599629265352903</v>
      </c>
    </row>
    <row r="287" spans="1:20" x14ac:dyDescent="0.25">
      <c r="A287" s="5">
        <v>44306</v>
      </c>
      <c r="B287">
        <v>1.7464E-2</v>
      </c>
      <c r="C287">
        <v>1.7824E-2</v>
      </c>
      <c r="D287">
        <v>1.4779E-2</v>
      </c>
      <c r="E287">
        <v>1.6979999999999999E-2</v>
      </c>
      <c r="F287">
        <v>584559574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0.44564860426929309</v>
      </c>
      <c r="Q287">
        <f t="shared" si="965"/>
        <v>260508158.26535255</v>
      </c>
      <c r="R287">
        <f t="shared" si="966"/>
        <v>7013711646.2460346</v>
      </c>
      <c r="S287">
        <f t="shared" si="967"/>
        <v>70137.116462460341</v>
      </c>
      <c r="T287">
        <f t="shared" si="968"/>
        <v>70.137116462460341</v>
      </c>
    </row>
    <row r="288" spans="1:20" x14ac:dyDescent="0.25">
      <c r="A288" s="5">
        <v>44305</v>
      </c>
      <c r="B288">
        <v>1.8728000000000002E-2</v>
      </c>
      <c r="C288">
        <v>1.95E-2</v>
      </c>
      <c r="D288">
        <v>1.6729999999999998E-2</v>
      </c>
      <c r="E288">
        <v>1.7409000000000001E-2</v>
      </c>
      <c r="F288">
        <v>414104047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-0.50974729241877104</v>
      </c>
      <c r="Q288">
        <f t="shared" si="965"/>
        <v>-211088416.7379055</v>
      </c>
      <c r="R288">
        <f t="shared" si="966"/>
        <v>6753203487.9806824</v>
      </c>
      <c r="S288">
        <f t="shared" si="967"/>
        <v>67532.03487980683</v>
      </c>
      <c r="T288">
        <f t="shared" si="968"/>
        <v>67.53203487980683</v>
      </c>
    </row>
    <row r="289" spans="1:20" x14ac:dyDescent="0.25">
      <c r="A289" s="5">
        <v>44304</v>
      </c>
      <c r="B289">
        <v>2.1531999999999999E-2</v>
      </c>
      <c r="C289">
        <v>2.1669999999999998E-2</v>
      </c>
      <c r="D289">
        <v>1.6920000000000001E-2</v>
      </c>
      <c r="E289">
        <v>1.8728999999999999E-2</v>
      </c>
      <c r="F289">
        <v>444475787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-0.23831578947368456</v>
      </c>
      <c r="Q289">
        <f t="shared" si="965"/>
        <v>-105925598.08084226</v>
      </c>
      <c r="R289">
        <f t="shared" si="966"/>
        <v>6964291904.7185879</v>
      </c>
      <c r="S289">
        <f t="shared" si="967"/>
        <v>69642.919047185875</v>
      </c>
      <c r="T289">
        <f t="shared" si="968"/>
        <v>69.64291904718587</v>
      </c>
    </row>
    <row r="290" spans="1:20" x14ac:dyDescent="0.25">
      <c r="A290" s="5">
        <v>44303</v>
      </c>
      <c r="B290">
        <v>2.0256E-2</v>
      </c>
      <c r="C290">
        <v>2.1672E-2</v>
      </c>
      <c r="D290">
        <v>1.9795E-2</v>
      </c>
      <c r="E290">
        <v>2.1635999999999999E-2</v>
      </c>
      <c r="F290">
        <v>546366456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0.96164091635588567</v>
      </c>
      <c r="Q290">
        <f t="shared" si="965"/>
        <v>525408339.41395772</v>
      </c>
      <c r="R290">
        <f t="shared" si="966"/>
        <v>7070217502.7994299</v>
      </c>
      <c r="S290">
        <f t="shared" si="967"/>
        <v>70702.175027994293</v>
      </c>
      <c r="T290">
        <f t="shared" si="968"/>
        <v>70.702175027994286</v>
      </c>
    </row>
    <row r="291" spans="1:20" x14ac:dyDescent="0.25">
      <c r="A291" s="5">
        <v>44302</v>
      </c>
      <c r="B291">
        <v>2.1957999999999998E-2</v>
      </c>
      <c r="C291">
        <v>2.2728999999999999E-2</v>
      </c>
      <c r="D291">
        <v>1.9532000000000001E-2</v>
      </c>
      <c r="E291">
        <v>2.0256E-2</v>
      </c>
      <c r="F291">
        <v>589957689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-0.54707538317172388</v>
      </c>
      <c r="Q291">
        <f t="shared" si="965"/>
        <v>-322751328.76477969</v>
      </c>
      <c r="R291">
        <f t="shared" si="966"/>
        <v>6544809163.3854723</v>
      </c>
      <c r="S291">
        <f t="shared" si="967"/>
        <v>65448.091633854725</v>
      </c>
      <c r="T291">
        <f t="shared" si="968"/>
        <v>65.44809163385473</v>
      </c>
    </row>
    <row r="292" spans="1:20" x14ac:dyDescent="0.25">
      <c r="A292" s="5">
        <v>44301</v>
      </c>
      <c r="B292">
        <v>2.0566999999999998E-2</v>
      </c>
      <c r="C292">
        <v>2.2544000000000002E-2</v>
      </c>
      <c r="D292">
        <v>2.0500000000000001E-2</v>
      </c>
      <c r="E292">
        <v>2.1992000000000001E-2</v>
      </c>
      <c r="F292">
        <v>436206935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0.45988258317025421</v>
      </c>
      <c r="Q292">
        <f t="shared" si="965"/>
        <v>200603972.06457916</v>
      </c>
      <c r="R292">
        <f t="shared" si="966"/>
        <v>6867560492.1502523</v>
      </c>
      <c r="S292">
        <f t="shared" si="967"/>
        <v>68675.604921502527</v>
      </c>
      <c r="T292">
        <f t="shared" si="968"/>
        <v>68.675604921502526</v>
      </c>
    </row>
    <row r="293" spans="1:20" x14ac:dyDescent="0.25">
      <c r="A293" s="5">
        <v>44300</v>
      </c>
      <c r="B293">
        <v>2.2901999999999999E-2</v>
      </c>
      <c r="C293">
        <v>2.3012999999999999E-2</v>
      </c>
      <c r="D293">
        <v>1.976E-2</v>
      </c>
      <c r="E293">
        <v>2.0567999999999999E-2</v>
      </c>
      <c r="F293">
        <v>491035930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-0.50322778973255455</v>
      </c>
      <c r="Q293">
        <f t="shared" si="965"/>
        <v>-247102925.73316938</v>
      </c>
      <c r="R293">
        <f t="shared" si="966"/>
        <v>6666956520.0856733</v>
      </c>
      <c r="S293">
        <f t="shared" si="967"/>
        <v>66669.565200856727</v>
      </c>
      <c r="T293">
        <f t="shared" si="968"/>
        <v>66.669565200856724</v>
      </c>
    </row>
    <row r="294" spans="1:20" x14ac:dyDescent="0.25">
      <c r="A294" s="5">
        <v>44299</v>
      </c>
      <c r="B294">
        <v>2.1506000000000001E-2</v>
      </c>
      <c r="C294">
        <v>2.4500000000000001E-2</v>
      </c>
      <c r="D294">
        <v>2.1170000000000001E-2</v>
      </c>
      <c r="E294">
        <v>2.2904000000000001E-2</v>
      </c>
      <c r="F294">
        <v>613440923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4.1441441441441219E-2</v>
      </c>
      <c r="Q294">
        <f t="shared" si="965"/>
        <v>25421876.088288151</v>
      </c>
      <c r="R294">
        <f t="shared" si="966"/>
        <v>6914059445.8188429</v>
      </c>
      <c r="S294">
        <f t="shared" si="967"/>
        <v>69140.594458188425</v>
      </c>
      <c r="T294">
        <f t="shared" si="968"/>
        <v>69.140594458188431</v>
      </c>
    </row>
    <row r="295" spans="1:20" x14ac:dyDescent="0.25">
      <c r="A295" s="5">
        <v>44298</v>
      </c>
      <c r="B295">
        <v>2.2435E-2</v>
      </c>
      <c r="C295">
        <v>2.2894999999999999E-2</v>
      </c>
      <c r="D295">
        <v>2.0988E-2</v>
      </c>
      <c r="E295">
        <v>2.1453E-2</v>
      </c>
      <c r="F295">
        <v>320816928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-0.51232302045096967</v>
      </c>
      <c r="Q295">
        <f t="shared" si="965"/>
        <v>-164361897.56476125</v>
      </c>
      <c r="R295">
        <f t="shared" si="966"/>
        <v>6888637569.7305546</v>
      </c>
      <c r="S295">
        <f t="shared" si="967"/>
        <v>68886.375697305542</v>
      </c>
      <c r="T295">
        <f t="shared" si="968"/>
        <v>68.886375697305539</v>
      </c>
    </row>
    <row r="296" spans="1:20" x14ac:dyDescent="0.25">
      <c r="A296" s="5">
        <v>44297</v>
      </c>
      <c r="B296">
        <v>2.3550999999999999E-2</v>
      </c>
      <c r="C296">
        <v>2.3712E-2</v>
      </c>
      <c r="D296">
        <v>2.0420000000000001E-2</v>
      </c>
      <c r="E296">
        <v>2.2435E-2</v>
      </c>
      <c r="F296">
        <v>411316227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0.22417982989064372</v>
      </c>
      <c r="Q296">
        <f t="shared" si="965"/>
        <v>92208801.800121397</v>
      </c>
      <c r="R296">
        <f t="shared" si="966"/>
        <v>7052999467.2953157</v>
      </c>
      <c r="S296">
        <f t="shared" si="967"/>
        <v>70529.994672953151</v>
      </c>
      <c r="T296">
        <f t="shared" si="968"/>
        <v>70.529994672953151</v>
      </c>
    </row>
    <row r="297" spans="1:20" x14ac:dyDescent="0.25">
      <c r="A297" s="5">
        <v>44296</v>
      </c>
      <c r="B297">
        <v>2.4676E-2</v>
      </c>
      <c r="C297">
        <v>2.5592E-2</v>
      </c>
      <c r="D297">
        <v>2.2232999999999999E-2</v>
      </c>
      <c r="E297">
        <v>2.3469E-2</v>
      </c>
      <c r="F297">
        <v>411825335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-0.26406668651384302</v>
      </c>
      <c r="Q297">
        <f t="shared" si="965"/>
        <v>-108749351.63590339</v>
      </c>
      <c r="R297">
        <f t="shared" si="966"/>
        <v>6960790665.4951944</v>
      </c>
      <c r="S297">
        <f t="shared" si="967"/>
        <v>69607.906654951948</v>
      </c>
      <c r="T297">
        <f t="shared" si="968"/>
        <v>69.607906654951947</v>
      </c>
    </row>
    <row r="298" spans="1:20" x14ac:dyDescent="0.25">
      <c r="A298" s="5">
        <v>44295</v>
      </c>
      <c r="B298">
        <v>2.3965E-2</v>
      </c>
      <c r="C298">
        <v>2.52E-2</v>
      </c>
      <c r="D298">
        <v>2.3486E-2</v>
      </c>
      <c r="E298">
        <v>2.477E-2</v>
      </c>
      <c r="F298">
        <v>530771136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0.49824970828471438</v>
      </c>
      <c r="Q298">
        <f t="shared" si="965"/>
        <v>264456563.67794645</v>
      </c>
      <c r="R298">
        <f t="shared" si="966"/>
        <v>7069540017.1310978</v>
      </c>
      <c r="S298">
        <f t="shared" si="967"/>
        <v>70695.400171310976</v>
      </c>
      <c r="T298">
        <f t="shared" si="968"/>
        <v>70.695400171310979</v>
      </c>
    </row>
    <row r="299" spans="1:20" x14ac:dyDescent="0.25">
      <c r="A299" s="5">
        <v>44294</v>
      </c>
      <c r="B299">
        <v>2.0455000000000001E-2</v>
      </c>
      <c r="C299">
        <v>2.4228E-2</v>
      </c>
      <c r="D299">
        <v>1.9955000000000001E-2</v>
      </c>
      <c r="E299">
        <v>2.3949999999999999E-2</v>
      </c>
      <c r="F299">
        <v>579061468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0.86988064591621783</v>
      </c>
      <c r="Q299">
        <f t="shared" si="965"/>
        <v>503714363.80903327</v>
      </c>
      <c r="R299">
        <f t="shared" si="966"/>
        <v>6805083453.4531517</v>
      </c>
      <c r="S299">
        <f t="shared" si="967"/>
        <v>68050.834534531517</v>
      </c>
      <c r="T299">
        <f t="shared" si="968"/>
        <v>68.050834534531518</v>
      </c>
    </row>
    <row r="300" spans="1:20" x14ac:dyDescent="0.25">
      <c r="A300" s="5">
        <v>44293</v>
      </c>
      <c r="B300">
        <v>2.5166000000000001E-2</v>
      </c>
      <c r="C300">
        <v>2.5166000000000001E-2</v>
      </c>
      <c r="D300">
        <v>1.8515E-2</v>
      </c>
      <c r="E300">
        <v>2.0461E-2</v>
      </c>
      <c r="F300">
        <v>1079447849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-0.41482483837017003</v>
      </c>
      <c r="Q300">
        <f t="shared" si="965"/>
        <v>-447781779.49045271</v>
      </c>
      <c r="R300">
        <f t="shared" si="966"/>
        <v>6301369089.6441183</v>
      </c>
      <c r="S300">
        <f t="shared" si="967"/>
        <v>63013.690896441185</v>
      </c>
      <c r="T300">
        <f t="shared" si="968"/>
        <v>63.013690896441183</v>
      </c>
    </row>
    <row r="301" spans="1:20" x14ac:dyDescent="0.25">
      <c r="A301" s="5">
        <v>44292</v>
      </c>
      <c r="B301">
        <v>2.7571999999999999E-2</v>
      </c>
      <c r="C301">
        <v>2.7677E-2</v>
      </c>
      <c r="D301">
        <v>2.3206000000000001E-2</v>
      </c>
      <c r="E301">
        <v>2.5166000000000001E-2</v>
      </c>
      <c r="F301">
        <v>797526072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-0.12323864907179591</v>
      </c>
      <c r="Q301">
        <f t="shared" si="965"/>
        <v>-98286035.712815836</v>
      </c>
      <c r="R301">
        <f t="shared" si="966"/>
        <v>6749150869.1345711</v>
      </c>
      <c r="S301">
        <f t="shared" si="967"/>
        <v>67491.508691345705</v>
      </c>
      <c r="T301">
        <f t="shared" si="968"/>
        <v>67.4915086913457</v>
      </c>
    </row>
    <row r="302" spans="1:20" x14ac:dyDescent="0.25">
      <c r="A302" s="5">
        <v>44291</v>
      </c>
      <c r="B302">
        <v>2.8524000000000001E-2</v>
      </c>
      <c r="C302">
        <v>3.1676999999999997E-2</v>
      </c>
      <c r="D302">
        <v>2.6675999999999998E-2</v>
      </c>
      <c r="E302">
        <v>2.7570999999999998E-2</v>
      </c>
      <c r="F302">
        <v>882535597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-0.64207158568286338</v>
      </c>
      <c r="Q302">
        <f t="shared" si="965"/>
        <v>-566651030.18736243</v>
      </c>
      <c r="R302">
        <f t="shared" si="966"/>
        <v>6847436904.8473873</v>
      </c>
      <c r="S302">
        <f t="shared" si="967"/>
        <v>68474.369048473876</v>
      </c>
      <c r="T302">
        <f t="shared" si="968"/>
        <v>68.474369048473875</v>
      </c>
    </row>
    <row r="303" spans="1:20" x14ac:dyDescent="0.25">
      <c r="A303" s="5">
        <v>44290</v>
      </c>
      <c r="B303">
        <v>2.5412000000000001E-2</v>
      </c>
      <c r="C303">
        <v>2.9849000000000001E-2</v>
      </c>
      <c r="D303">
        <v>2.4729999999999999E-2</v>
      </c>
      <c r="E303">
        <v>2.8524000000000001E-2</v>
      </c>
      <c r="F303">
        <v>1197782121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0.48232076577456562</v>
      </c>
      <c r="Q303">
        <f t="shared" si="965"/>
        <v>577715189.83180344</v>
      </c>
      <c r="R303">
        <f t="shared" si="966"/>
        <v>7414087935.03475</v>
      </c>
      <c r="S303">
        <f t="shared" si="967"/>
        <v>74140.879350347503</v>
      </c>
      <c r="T303">
        <f t="shared" si="968"/>
        <v>74.140879350347504</v>
      </c>
    </row>
    <row r="304" spans="1:20" x14ac:dyDescent="0.25">
      <c r="A304" s="5">
        <v>44289</v>
      </c>
      <c r="B304">
        <v>3.0949000000000001E-2</v>
      </c>
      <c r="C304">
        <v>3.3300000000000003E-2</v>
      </c>
      <c r="D304">
        <v>2.4598999999999999E-2</v>
      </c>
      <c r="E304">
        <v>2.5413000000000002E-2</v>
      </c>
      <c r="F304">
        <v>854109671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-0.81289506953223722</v>
      </c>
      <c r="Q304">
        <f t="shared" si="965"/>
        <v>-694301540.39570129</v>
      </c>
      <c r="R304">
        <f t="shared" si="966"/>
        <v>6836372745.2029467</v>
      </c>
      <c r="S304">
        <f t="shared" si="967"/>
        <v>68363.72745202946</v>
      </c>
      <c r="T304">
        <f t="shared" si="968"/>
        <v>68.363727452029465</v>
      </c>
    </row>
    <row r="305" spans="1:20" x14ac:dyDescent="0.25">
      <c r="A305" s="5">
        <v>44288</v>
      </c>
      <c r="B305">
        <v>2.6325999999999999E-2</v>
      </c>
      <c r="C305">
        <v>3.2300000000000002E-2</v>
      </c>
      <c r="D305">
        <v>2.6231000000000001E-2</v>
      </c>
      <c r="E305">
        <v>3.0945E-2</v>
      </c>
      <c r="F305">
        <v>1179354305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0.55346844620200963</v>
      </c>
      <c r="Q305">
        <f t="shared" si="965"/>
        <v>652735394.71000099</v>
      </c>
      <c r="R305">
        <f t="shared" si="966"/>
        <v>7530674285.5986481</v>
      </c>
      <c r="S305">
        <f t="shared" si="967"/>
        <v>75306.742855986478</v>
      </c>
      <c r="T305">
        <f t="shared" si="968"/>
        <v>75.306742855986485</v>
      </c>
    </row>
    <row r="306" spans="1:20" x14ac:dyDescent="0.25">
      <c r="A306" s="5">
        <v>44287</v>
      </c>
      <c r="B306">
        <v>2.5144E-2</v>
      </c>
      <c r="C306">
        <v>2.699E-2</v>
      </c>
      <c r="D306">
        <v>2.4198000000000001E-2</v>
      </c>
      <c r="E306">
        <v>2.6329999999999999E-2</v>
      </c>
      <c r="F306">
        <v>359207980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0.52722063037249212</v>
      </c>
      <c r="Q306">
        <f t="shared" si="965"/>
        <v>189381857.65042955</v>
      </c>
      <c r="R306">
        <f t="shared" si="966"/>
        <v>6877938890.8886471</v>
      </c>
      <c r="S306">
        <f t="shared" si="967"/>
        <v>68779.388908886467</v>
      </c>
      <c r="T306">
        <f t="shared" si="968"/>
        <v>68.77938890888646</v>
      </c>
    </row>
    <row r="307" spans="1:20" x14ac:dyDescent="0.25">
      <c r="A307" s="5">
        <v>44286</v>
      </c>
      <c r="B307">
        <v>2.5402999999999998E-2</v>
      </c>
      <c r="C307">
        <v>2.6498000000000001E-2</v>
      </c>
      <c r="D307">
        <v>2.2002000000000001E-2</v>
      </c>
      <c r="E307">
        <v>2.5232999999999998E-2</v>
      </c>
      <c r="F307">
        <v>431252487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0.4372775800711734</v>
      </c>
      <c r="Q307">
        <f t="shared" si="965"/>
        <v>188577043.91503516</v>
      </c>
      <c r="R307">
        <f t="shared" si="966"/>
        <v>6688557033.2382174</v>
      </c>
      <c r="S307">
        <f t="shared" si="967"/>
        <v>66885.57033238218</v>
      </c>
      <c r="T307">
        <f t="shared" si="968"/>
        <v>66.885570332382173</v>
      </c>
    </row>
    <row r="308" spans="1:20" x14ac:dyDescent="0.25">
      <c r="A308" s="5">
        <v>44285</v>
      </c>
      <c r="B308">
        <v>2.4049999999999998E-2</v>
      </c>
      <c r="C308">
        <v>2.6734000000000001E-2</v>
      </c>
      <c r="D308">
        <v>2.3866999999999999E-2</v>
      </c>
      <c r="E308">
        <v>2.5403999999999999E-2</v>
      </c>
      <c r="F308">
        <v>347643542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7.2200906871293602E-2</v>
      </c>
      <c r="Q308">
        <f t="shared" si="965"/>
        <v>25100179.000348646</v>
      </c>
      <c r="R308">
        <f t="shared" si="966"/>
        <v>6499979989.3231821</v>
      </c>
      <c r="S308">
        <f t="shared" si="967"/>
        <v>64999.799893231822</v>
      </c>
      <c r="T308">
        <f t="shared" si="968"/>
        <v>64.999799893231824</v>
      </c>
    </row>
    <row r="309" spans="1:20" x14ac:dyDescent="0.25">
      <c r="A309" s="5">
        <v>44284</v>
      </c>
      <c r="B309">
        <v>2.2577E-2</v>
      </c>
      <c r="C309">
        <v>2.4799999999999999E-2</v>
      </c>
      <c r="D309">
        <v>2.2296E-2</v>
      </c>
      <c r="E309">
        <v>2.4067999999999999E-2</v>
      </c>
      <c r="F309">
        <v>417213149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0.41533546325878579</v>
      </c>
      <c r="Q309">
        <f t="shared" si="965"/>
        <v>173283416.51757181</v>
      </c>
      <c r="R309">
        <f t="shared" si="966"/>
        <v>6474879810.3228331</v>
      </c>
      <c r="S309">
        <f t="shared" si="967"/>
        <v>64748.798103228328</v>
      </c>
      <c r="T309">
        <f t="shared" si="968"/>
        <v>64.748798103228324</v>
      </c>
    </row>
    <row r="310" spans="1:20" x14ac:dyDescent="0.25">
      <c r="A310" s="5">
        <v>44283</v>
      </c>
      <c r="B310">
        <v>2.2335000000000001E-2</v>
      </c>
      <c r="C310">
        <v>2.2998999999999999E-2</v>
      </c>
      <c r="D310">
        <v>2.1465000000000001E-2</v>
      </c>
      <c r="E310">
        <v>2.2662000000000002E-2</v>
      </c>
      <c r="F310">
        <v>280810668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0.56062581486310603</v>
      </c>
      <c r="Q310">
        <f t="shared" si="965"/>
        <v>157429709.56975314</v>
      </c>
      <c r="R310">
        <f t="shared" si="966"/>
        <v>6301596393.8052616</v>
      </c>
      <c r="S310">
        <f t="shared" si="967"/>
        <v>63015.963938052613</v>
      </c>
      <c r="T310">
        <f t="shared" si="968"/>
        <v>63.015963938052614</v>
      </c>
    </row>
    <row r="311" spans="1:20" x14ac:dyDescent="0.25">
      <c r="A311" s="5">
        <v>44282</v>
      </c>
      <c r="B311">
        <v>2.2797999999999999E-2</v>
      </c>
      <c r="C311">
        <v>2.2919999999999999E-2</v>
      </c>
      <c r="D311">
        <v>2.1070999999999999E-2</v>
      </c>
      <c r="E311">
        <v>2.2415000000000001E-2</v>
      </c>
      <c r="F311">
        <v>290032175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0.45375878853434448</v>
      </c>
      <c r="Q311">
        <f t="shared" si="965"/>
        <v>131604648.36398099</v>
      </c>
      <c r="R311">
        <f t="shared" si="966"/>
        <v>6144166684.2355089</v>
      </c>
      <c r="S311">
        <f t="shared" si="967"/>
        <v>61441.666842355087</v>
      </c>
      <c r="T311">
        <f t="shared" si="968"/>
        <v>61.44166684235509</v>
      </c>
    </row>
    <row r="312" spans="1:20" x14ac:dyDescent="0.25">
      <c r="A312" s="5">
        <v>44281</v>
      </c>
      <c r="B312">
        <v>1.9951E-2</v>
      </c>
      <c r="C312">
        <v>2.3997999999999998E-2</v>
      </c>
      <c r="D312">
        <v>1.9838000000000001E-2</v>
      </c>
      <c r="E312">
        <v>2.2883000000000001E-2</v>
      </c>
      <c r="F312">
        <v>610071252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0.46394230769230832</v>
      </c>
      <c r="Q312">
        <f t="shared" si="965"/>
        <v>283037864.50961578</v>
      </c>
      <c r="R312">
        <f t="shared" si="966"/>
        <v>6012562035.8715277</v>
      </c>
      <c r="S312">
        <f t="shared" si="967"/>
        <v>60125.620358715278</v>
      </c>
      <c r="T312">
        <f t="shared" si="968"/>
        <v>60.125620358715281</v>
      </c>
    </row>
    <row r="313" spans="1:20" x14ac:dyDescent="0.25">
      <c r="A313" s="5">
        <v>44280</v>
      </c>
      <c r="B313">
        <v>1.9904000000000002E-2</v>
      </c>
      <c r="C313">
        <v>2.0621E-2</v>
      </c>
      <c r="D313">
        <v>1.8287999999999999E-2</v>
      </c>
      <c r="E313">
        <v>1.9958E-2</v>
      </c>
      <c r="F313">
        <v>393981424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0.43163309044149173</v>
      </c>
      <c r="Q313">
        <f t="shared" si="965"/>
        <v>170055419.61765969</v>
      </c>
      <c r="R313">
        <f t="shared" si="966"/>
        <v>5729524171.3619118</v>
      </c>
      <c r="S313">
        <f t="shared" si="967"/>
        <v>57295.241713619114</v>
      </c>
      <c r="T313">
        <f t="shared" si="968"/>
        <v>57.295241713619113</v>
      </c>
    </row>
    <row r="314" spans="1:20" x14ac:dyDescent="0.25">
      <c r="A314" s="5">
        <v>44279</v>
      </c>
      <c r="B314">
        <v>2.1586000000000001E-2</v>
      </c>
      <c r="C314">
        <v>2.3875E-2</v>
      </c>
      <c r="D314">
        <v>1.8588E-2</v>
      </c>
      <c r="E314">
        <v>1.9910000000000001E-2</v>
      </c>
      <c r="F314">
        <v>600601310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-0.49990542840930574</v>
      </c>
      <c r="Q314">
        <f t="shared" si="965"/>
        <v>-300243855.17874026</v>
      </c>
      <c r="R314">
        <f t="shared" si="966"/>
        <v>5559468751.7442522</v>
      </c>
      <c r="S314">
        <f t="shared" si="967"/>
        <v>55594.687517442522</v>
      </c>
      <c r="T314">
        <f t="shared" si="968"/>
        <v>55.594687517442523</v>
      </c>
    </row>
    <row r="315" spans="1:20" x14ac:dyDescent="0.25">
      <c r="A315" s="5">
        <v>44278</v>
      </c>
      <c r="B315">
        <v>2.3872999999999998E-2</v>
      </c>
      <c r="C315">
        <v>2.4711E-2</v>
      </c>
      <c r="D315">
        <v>1.942E-2</v>
      </c>
      <c r="E315">
        <v>2.1596000000000001E-2</v>
      </c>
      <c r="F315">
        <v>1061079040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-0.17747117747117724</v>
      </c>
      <c r="Q315">
        <f t="shared" si="965"/>
        <v>-188310946.61878636</v>
      </c>
      <c r="R315">
        <f t="shared" si="966"/>
        <v>5859712606.9229927</v>
      </c>
      <c r="S315">
        <f t="shared" si="967"/>
        <v>58597.126069229926</v>
      </c>
      <c r="T315">
        <f t="shared" si="968"/>
        <v>58.597126069229923</v>
      </c>
    </row>
    <row r="316" spans="1:20" x14ac:dyDescent="0.25">
      <c r="A316" s="5">
        <v>44277</v>
      </c>
      <c r="B316">
        <v>2.9399999999999999E-2</v>
      </c>
      <c r="C316">
        <v>2.9569999999999999E-2</v>
      </c>
      <c r="D316">
        <v>2.3313E-2</v>
      </c>
      <c r="E316">
        <v>2.3872999999999998E-2</v>
      </c>
      <c r="F316">
        <v>721666538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-0.82100047946300203</v>
      </c>
      <c r="Q316">
        <f t="shared" si="965"/>
        <v>-592488573.71040475</v>
      </c>
      <c r="R316">
        <f t="shared" si="966"/>
        <v>6048023553.5417795</v>
      </c>
      <c r="S316">
        <f t="shared" si="967"/>
        <v>60480.235535417793</v>
      </c>
      <c r="T316">
        <f t="shared" si="968"/>
        <v>60.480235535417791</v>
      </c>
    </row>
    <row r="317" spans="1:20" x14ac:dyDescent="0.25">
      <c r="A317" s="5">
        <v>44276</v>
      </c>
      <c r="B317">
        <v>2.6134000000000001E-2</v>
      </c>
      <c r="C317">
        <v>0.03</v>
      </c>
      <c r="D317">
        <v>2.4516E-2</v>
      </c>
      <c r="E317">
        <v>2.9354999999999999E-2</v>
      </c>
      <c r="F317">
        <v>911510216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0.76477024070021893</v>
      </c>
      <c r="Q317">
        <f t="shared" si="965"/>
        <v>697095887.2910285</v>
      </c>
      <c r="R317">
        <f t="shared" si="966"/>
        <v>6640512127.2521839</v>
      </c>
      <c r="S317">
        <f t="shared" si="967"/>
        <v>66405.121272521836</v>
      </c>
      <c r="T317">
        <f t="shared" si="968"/>
        <v>66.405121272521839</v>
      </c>
    </row>
    <row r="318" spans="1:20" x14ac:dyDescent="0.25">
      <c r="A318" s="5">
        <v>44275</v>
      </c>
      <c r="B318">
        <v>2.4109999999999999E-2</v>
      </c>
      <c r="C318">
        <v>3.449E-2</v>
      </c>
      <c r="D318">
        <v>2.4105000000000001E-2</v>
      </c>
      <c r="E318">
        <v>2.6137000000000001E-2</v>
      </c>
      <c r="F318">
        <v>2954771822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-0.6086663456909005</v>
      </c>
      <c r="Q318">
        <f t="shared" si="965"/>
        <v>-1798470167.247184</v>
      </c>
      <c r="R318">
        <f t="shared" si="966"/>
        <v>5943416239.9611559</v>
      </c>
      <c r="S318">
        <f t="shared" si="967"/>
        <v>59434.16239961156</v>
      </c>
      <c r="T318">
        <f t="shared" si="968"/>
        <v>59.434162399611559</v>
      </c>
    </row>
    <row r="319" spans="1:20" x14ac:dyDescent="0.25">
      <c r="A319" s="5">
        <v>44274</v>
      </c>
      <c r="B319">
        <v>2.0008000000000001E-2</v>
      </c>
      <c r="C319">
        <v>2.4455000000000001E-2</v>
      </c>
      <c r="D319">
        <v>1.941E-2</v>
      </c>
      <c r="E319">
        <v>2.4199999999999999E-2</v>
      </c>
      <c r="F319">
        <v>588385415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0.8989098116947466</v>
      </c>
      <c r="Q319">
        <f t="shared" si="965"/>
        <v>528905422.60158533</v>
      </c>
      <c r="R319">
        <f t="shared" si="966"/>
        <v>7741886407.2083397</v>
      </c>
      <c r="S319">
        <f t="shared" si="967"/>
        <v>77418.864072083394</v>
      </c>
      <c r="T319">
        <f t="shared" si="968"/>
        <v>77.418864072083394</v>
      </c>
    </row>
    <row r="320" spans="1:20" x14ac:dyDescent="0.25">
      <c r="A320" s="5">
        <v>44273</v>
      </c>
      <c r="B320">
        <v>2.0969000000000002E-2</v>
      </c>
      <c r="C320">
        <v>2.0992E-2</v>
      </c>
      <c r="D320">
        <v>1.9046E-2</v>
      </c>
      <c r="E320">
        <v>2.0048E-2</v>
      </c>
      <c r="F320">
        <v>355646438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2.9804727646453765E-2</v>
      </c>
      <c r="Q320">
        <f t="shared" si="965"/>
        <v>10599945.223021405</v>
      </c>
      <c r="R320">
        <f t="shared" si="966"/>
        <v>7212980984.6067543</v>
      </c>
      <c r="S320">
        <f t="shared" si="967"/>
        <v>72129.809846067539</v>
      </c>
      <c r="T320">
        <f t="shared" si="968"/>
        <v>72.129809846067545</v>
      </c>
    </row>
    <row r="321" spans="1:20" x14ac:dyDescent="0.25">
      <c r="A321" s="5">
        <v>44272</v>
      </c>
      <c r="B321">
        <v>2.2159000000000002E-2</v>
      </c>
      <c r="C321">
        <v>2.2343999999999999E-2</v>
      </c>
      <c r="D321">
        <v>1.7780000000000001E-2</v>
      </c>
      <c r="E321">
        <v>2.0972999999999999E-2</v>
      </c>
      <c r="F321">
        <v>802845059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0.39921121822962263</v>
      </c>
      <c r="Q321">
        <f t="shared" si="965"/>
        <v>320504754.05302328</v>
      </c>
      <c r="R321">
        <f t="shared" si="966"/>
        <v>7202381039.3837328</v>
      </c>
      <c r="S321">
        <f t="shared" si="967"/>
        <v>72023.810393837324</v>
      </c>
      <c r="T321">
        <f t="shared" si="968"/>
        <v>72.023810393837323</v>
      </c>
    </row>
    <row r="322" spans="1:20" x14ac:dyDescent="0.25">
      <c r="A322" s="5">
        <v>44271</v>
      </c>
      <c r="B322">
        <v>1.9186999999999999E-2</v>
      </c>
      <c r="C322">
        <v>2.2172000000000001E-2</v>
      </c>
      <c r="D322">
        <v>1.7142000000000001E-2</v>
      </c>
      <c r="E322">
        <v>2.2166000000000002E-2</v>
      </c>
      <c r="F322">
        <v>787639976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0.99761431411530854</v>
      </c>
      <c r="Q322">
        <f t="shared" si="965"/>
        <v>785760914.42703807</v>
      </c>
      <c r="R322">
        <f t="shared" si="966"/>
        <v>6881876285.3307095</v>
      </c>
      <c r="S322">
        <f t="shared" si="967"/>
        <v>68818.762853307097</v>
      </c>
      <c r="T322">
        <f t="shared" si="968"/>
        <v>68.818762853307092</v>
      </c>
    </row>
    <row r="323" spans="1:20" x14ac:dyDescent="0.25">
      <c r="A323" s="5">
        <v>44270</v>
      </c>
      <c r="B323">
        <v>1.8287999999999999E-2</v>
      </c>
      <c r="C323">
        <v>1.9487000000000001E-2</v>
      </c>
      <c r="D323">
        <v>1.6E-2</v>
      </c>
      <c r="E323">
        <v>1.9199000000000001E-2</v>
      </c>
      <c r="F323">
        <v>702623045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0.83481502724404932</v>
      </c>
      <c r="Q323">
        <f t="shared" si="965"/>
        <v>586560276.45397186</v>
      </c>
      <c r="R323">
        <f t="shared" si="966"/>
        <v>6096115370.9036713</v>
      </c>
      <c r="S323">
        <f t="shared" si="967"/>
        <v>60961.153709036713</v>
      </c>
      <c r="T323">
        <f t="shared" si="968"/>
        <v>60.961153709036715</v>
      </c>
    </row>
    <row r="324" spans="1:20" x14ac:dyDescent="0.25">
      <c r="A324" s="5">
        <v>44269</v>
      </c>
      <c r="B324">
        <v>1.7839000000000001E-2</v>
      </c>
      <c r="C324">
        <v>2.0375000000000001E-2</v>
      </c>
      <c r="D324">
        <v>1.7308E-2</v>
      </c>
      <c r="E324">
        <v>1.8293E-2</v>
      </c>
      <c r="F324">
        <v>746202058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-0.35767851320508659</v>
      </c>
      <c r="Q324">
        <f t="shared" si="965"/>
        <v>-266900442.65601578</v>
      </c>
      <c r="R324">
        <f t="shared" si="966"/>
        <v>5509555094.4496994</v>
      </c>
      <c r="S324">
        <f t="shared" si="967"/>
        <v>55095.550944496994</v>
      </c>
      <c r="T324">
        <f t="shared" si="968"/>
        <v>55.095550944496992</v>
      </c>
    </row>
    <row r="325" spans="1:20" x14ac:dyDescent="0.25">
      <c r="A325" s="5">
        <v>44268</v>
      </c>
      <c r="B325">
        <v>1.6285000000000001E-2</v>
      </c>
      <c r="C325">
        <v>1.8620000000000001E-2</v>
      </c>
      <c r="D325">
        <v>1.5129E-2</v>
      </c>
      <c r="E325">
        <v>1.78E-2</v>
      </c>
      <c r="F325">
        <v>791668535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0.53022056717272925</v>
      </c>
      <c r="Q325">
        <f t="shared" si="965"/>
        <v>419758939.64050364</v>
      </c>
      <c r="R325">
        <f t="shared" si="966"/>
        <v>5776455537.1057148</v>
      </c>
      <c r="S325">
        <f t="shared" si="967"/>
        <v>57764.555371057148</v>
      </c>
      <c r="T325">
        <f t="shared" si="968"/>
        <v>57.764555371057149</v>
      </c>
    </row>
    <row r="326" spans="1:20" x14ac:dyDescent="0.25">
      <c r="A326" s="5">
        <v>44267</v>
      </c>
      <c r="B326">
        <v>1.6551E-2</v>
      </c>
      <c r="C326">
        <v>1.66E-2</v>
      </c>
      <c r="D326">
        <v>1.4999999999999999E-2</v>
      </c>
      <c r="E326">
        <v>1.6285000000000001E-2</v>
      </c>
      <c r="F326">
        <v>380723655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0.60625000000000107</v>
      </c>
      <c r="Q326">
        <f t="shared" ref="Q326:Q389" si="970">F326*P326</f>
        <v>230813715.84375042</v>
      </c>
      <c r="R326">
        <f t="shared" ref="R326:R389" si="971">R327+Q326</f>
        <v>5356696597.4652109</v>
      </c>
      <c r="S326">
        <f t="shared" ref="S326:S389" si="972">R326/100000</f>
        <v>53566.965974652107</v>
      </c>
      <c r="T326">
        <f t="shared" ref="T326:T389" si="973">S326/1000</f>
        <v>53.566965974652106</v>
      </c>
    </row>
    <row r="327" spans="1:20" x14ac:dyDescent="0.25">
      <c r="A327" s="5">
        <v>44266</v>
      </c>
      <c r="B327">
        <v>1.6722999999999998E-2</v>
      </c>
      <c r="C327">
        <v>1.6853E-2</v>
      </c>
      <c r="D327">
        <v>1.5421000000000001E-2</v>
      </c>
      <c r="E327">
        <v>1.6525999999999999E-2</v>
      </c>
      <c r="F327">
        <v>485517416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0.54329608938547336</v>
      </c>
      <c r="Q327">
        <f t="shared" si="970"/>
        <v>263779713.44134006</v>
      </c>
      <c r="R327">
        <f t="shared" si="971"/>
        <v>5125882881.6214609</v>
      </c>
      <c r="S327">
        <f t="shared" si="972"/>
        <v>51258.828816214613</v>
      </c>
      <c r="T327">
        <f t="shared" si="973"/>
        <v>51.25882881621461</v>
      </c>
    </row>
    <row r="328" spans="1:20" x14ac:dyDescent="0.25">
      <c r="A328" s="5">
        <v>44265</v>
      </c>
      <c r="B328">
        <v>1.7829000000000001E-2</v>
      </c>
      <c r="C328">
        <v>1.7892999999999999E-2</v>
      </c>
      <c r="D328">
        <v>1.5904000000000001E-2</v>
      </c>
      <c r="E328">
        <v>1.6723999999999999E-2</v>
      </c>
      <c r="F328">
        <v>387234385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-0.17546505781800026</v>
      </c>
      <c r="Q328">
        <f t="shared" si="970"/>
        <v>-67946103.753142774</v>
      </c>
      <c r="R328">
        <f t="shared" si="971"/>
        <v>4862103168.1801205</v>
      </c>
      <c r="S328">
        <f t="shared" si="972"/>
        <v>48621.031681801207</v>
      </c>
      <c r="T328">
        <f t="shared" si="973"/>
        <v>48.621031681801206</v>
      </c>
    </row>
    <row r="329" spans="1:20" x14ac:dyDescent="0.25">
      <c r="A329" s="5">
        <v>44264</v>
      </c>
      <c r="B329">
        <v>1.7072E-2</v>
      </c>
      <c r="C329">
        <v>1.8499999999999999E-2</v>
      </c>
      <c r="D329">
        <v>1.6301E-2</v>
      </c>
      <c r="E329">
        <v>1.7829000000000001E-2</v>
      </c>
      <c r="F329">
        <v>569569238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0.38972260118235735</v>
      </c>
      <c r="Q329">
        <f t="shared" si="970"/>
        <v>221974004.98681319</v>
      </c>
      <c r="R329">
        <f t="shared" si="971"/>
        <v>4930049271.9332628</v>
      </c>
      <c r="S329">
        <f t="shared" si="972"/>
        <v>49300.492719332629</v>
      </c>
      <c r="T329">
        <f t="shared" si="973"/>
        <v>49.300492719332631</v>
      </c>
    </row>
    <row r="330" spans="1:20" x14ac:dyDescent="0.25">
      <c r="A330" s="5">
        <v>44263</v>
      </c>
      <c r="B330">
        <v>1.6004999999999998E-2</v>
      </c>
      <c r="C330">
        <v>1.7299999999999999E-2</v>
      </c>
      <c r="D330">
        <v>1.6E-2</v>
      </c>
      <c r="E330">
        <v>1.7010999999999998E-2</v>
      </c>
      <c r="F330">
        <v>511949530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0.55538461538461348</v>
      </c>
      <c r="Q330">
        <f t="shared" si="970"/>
        <v>284328892.81538361</v>
      </c>
      <c r="R330">
        <f t="shared" si="971"/>
        <v>4708075266.9464493</v>
      </c>
      <c r="S330">
        <f t="shared" si="972"/>
        <v>47080.752669464491</v>
      </c>
      <c r="T330">
        <f t="shared" si="973"/>
        <v>47.080752669464488</v>
      </c>
    </row>
    <row r="331" spans="1:20" x14ac:dyDescent="0.25">
      <c r="A331" s="5">
        <v>44262</v>
      </c>
      <c r="B331">
        <v>1.4881E-2</v>
      </c>
      <c r="C331">
        <v>1.6213000000000002E-2</v>
      </c>
      <c r="D331">
        <v>1.4641E-2</v>
      </c>
      <c r="E331">
        <v>1.6004000000000001E-2</v>
      </c>
      <c r="F331">
        <v>441241716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0.7340966921119586</v>
      </c>
      <c r="Q331">
        <f t="shared" si="970"/>
        <v>323914084.13740426</v>
      </c>
      <c r="R331">
        <f t="shared" si="971"/>
        <v>4423746374.1310654</v>
      </c>
      <c r="S331">
        <f t="shared" si="972"/>
        <v>44237.463741310654</v>
      </c>
      <c r="T331">
        <f t="shared" si="973"/>
        <v>44.237463741310656</v>
      </c>
    </row>
    <row r="332" spans="1:20" x14ac:dyDescent="0.25">
      <c r="A332" s="5">
        <v>44261</v>
      </c>
      <c r="B332">
        <v>1.4881999999999999E-2</v>
      </c>
      <c r="C332">
        <v>1.5212E-2</v>
      </c>
      <c r="D332">
        <v>1.372E-2</v>
      </c>
      <c r="E332">
        <v>1.4884E-2</v>
      </c>
      <c r="F332">
        <v>299386568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0.56032171581769419</v>
      </c>
      <c r="Q332">
        <f t="shared" si="970"/>
        <v>167752795.47453079</v>
      </c>
      <c r="R332">
        <f t="shared" si="971"/>
        <v>4099832289.9936614</v>
      </c>
      <c r="S332">
        <f t="shared" si="972"/>
        <v>40998.322899936611</v>
      </c>
      <c r="T332">
        <f t="shared" si="973"/>
        <v>40.99832289993661</v>
      </c>
    </row>
    <row r="333" spans="1:20" x14ac:dyDescent="0.25">
      <c r="A333" s="5">
        <v>44260</v>
      </c>
      <c r="B333">
        <v>1.4272E-2</v>
      </c>
      <c r="C333">
        <v>1.519E-2</v>
      </c>
      <c r="D333">
        <v>1.3303000000000001E-2</v>
      </c>
      <c r="E333">
        <v>1.4826000000000001E-2</v>
      </c>
      <c r="F333">
        <v>395339720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0.61420243773184968</v>
      </c>
      <c r="Q333">
        <f t="shared" si="970"/>
        <v>242818619.7562269</v>
      </c>
      <c r="R333">
        <f t="shared" si="971"/>
        <v>3932079494.5191307</v>
      </c>
      <c r="S333">
        <f t="shared" si="972"/>
        <v>39320.794945191308</v>
      </c>
      <c r="T333">
        <f t="shared" si="973"/>
        <v>39.320794945191309</v>
      </c>
    </row>
    <row r="334" spans="1:20" x14ac:dyDescent="0.25">
      <c r="A334" s="5">
        <v>44259</v>
      </c>
      <c r="B334">
        <v>1.4279E-2</v>
      </c>
      <c r="C334">
        <v>1.5076000000000001E-2</v>
      </c>
      <c r="D334">
        <v>1.3401E-2</v>
      </c>
      <c r="E334">
        <v>1.4258E-2</v>
      </c>
      <c r="F334">
        <v>602972186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2.328358208955169E-2</v>
      </c>
      <c r="Q334">
        <f t="shared" si="970"/>
        <v>14039352.39044743</v>
      </c>
      <c r="R334">
        <f t="shared" si="971"/>
        <v>3689260874.7629037</v>
      </c>
      <c r="S334">
        <f t="shared" si="972"/>
        <v>36892.608747629034</v>
      </c>
      <c r="T334">
        <f t="shared" si="973"/>
        <v>36.892608747629033</v>
      </c>
    </row>
    <row r="335" spans="1:20" x14ac:dyDescent="0.25">
      <c r="A335" s="5">
        <v>44258</v>
      </c>
      <c r="B335">
        <v>1.3075E-2</v>
      </c>
      <c r="C335">
        <v>1.5251000000000001E-2</v>
      </c>
      <c r="D335">
        <v>1.274E-2</v>
      </c>
      <c r="E335">
        <v>1.4231000000000001E-2</v>
      </c>
      <c r="F335">
        <v>621153247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0.18757467144563947</v>
      </c>
      <c r="Q335">
        <f t="shared" si="970"/>
        <v>116512616.22341713</v>
      </c>
      <c r="R335">
        <f t="shared" si="971"/>
        <v>3675221522.3724561</v>
      </c>
      <c r="S335">
        <f t="shared" si="972"/>
        <v>36752.215223724561</v>
      </c>
      <c r="T335">
        <f t="shared" si="973"/>
        <v>36.752215223724562</v>
      </c>
    </row>
    <row r="336" spans="1:20" x14ac:dyDescent="0.25">
      <c r="A336" s="5">
        <v>44257</v>
      </c>
      <c r="B336">
        <v>1.3584000000000001E-2</v>
      </c>
      <c r="C336">
        <v>1.3586000000000001E-2</v>
      </c>
      <c r="D336">
        <v>1.191E-2</v>
      </c>
      <c r="E336">
        <v>1.3075E-2</v>
      </c>
      <c r="F336">
        <v>475602982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0.39021479713603707</v>
      </c>
      <c r="Q336">
        <f t="shared" si="970"/>
        <v>185587321.13842428</v>
      </c>
      <c r="R336">
        <f t="shared" si="971"/>
        <v>3558708906.1490388</v>
      </c>
      <c r="S336">
        <f t="shared" si="972"/>
        <v>35587.089061490391</v>
      </c>
      <c r="T336">
        <f t="shared" si="973"/>
        <v>35.587089061490389</v>
      </c>
    </row>
    <row r="337" spans="1:20" x14ac:dyDescent="0.25">
      <c r="A337" s="5">
        <v>44256</v>
      </c>
      <c r="B337">
        <v>1.2632000000000001E-2</v>
      </c>
      <c r="C337">
        <v>1.3599E-2</v>
      </c>
      <c r="D337">
        <v>1.2217E-2</v>
      </c>
      <c r="E337">
        <v>1.3552E-2</v>
      </c>
      <c r="F337">
        <v>528123875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0.93198263386396496</v>
      </c>
      <c r="Q337">
        <f t="shared" si="970"/>
        <v>492202280.02894342</v>
      </c>
      <c r="R337">
        <f t="shared" si="971"/>
        <v>3373121585.0106144</v>
      </c>
      <c r="S337">
        <f t="shared" si="972"/>
        <v>33731.215850106142</v>
      </c>
      <c r="T337">
        <f t="shared" si="973"/>
        <v>33.731215850106139</v>
      </c>
    </row>
    <row r="338" spans="1:20" x14ac:dyDescent="0.25">
      <c r="A338" s="5">
        <v>44255</v>
      </c>
      <c r="B338">
        <v>1.4487E-2</v>
      </c>
      <c r="C338">
        <v>1.4504E-2</v>
      </c>
      <c r="D338">
        <v>1.1318E-2</v>
      </c>
      <c r="E338">
        <v>1.2632000000000001E-2</v>
      </c>
      <c r="F338">
        <v>688548606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-0.17514124293785241</v>
      </c>
      <c r="Q338">
        <f t="shared" si="970"/>
        <v>-120593258.67796563</v>
      </c>
      <c r="R338">
        <f t="shared" si="971"/>
        <v>2880919304.9816709</v>
      </c>
      <c r="S338">
        <f t="shared" si="972"/>
        <v>28809.193049816709</v>
      </c>
      <c r="T338">
        <f t="shared" si="973"/>
        <v>28.809193049816709</v>
      </c>
    </row>
    <row r="339" spans="1:20" x14ac:dyDescent="0.25">
      <c r="A339" s="5">
        <v>44254</v>
      </c>
      <c r="B339">
        <v>1.2687E-2</v>
      </c>
      <c r="C339">
        <v>1.6358999999999999E-2</v>
      </c>
      <c r="D339">
        <v>1.2538000000000001E-2</v>
      </c>
      <c r="E339">
        <v>1.4487E-2</v>
      </c>
      <c r="F339">
        <v>1182512153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2.0151792724417882E-2</v>
      </c>
      <c r="Q339">
        <f t="shared" si="970"/>
        <v>23829739.801361125</v>
      </c>
      <c r="R339">
        <f t="shared" si="971"/>
        <v>3001512563.6596365</v>
      </c>
      <c r="S339">
        <f t="shared" si="972"/>
        <v>30015.125636596364</v>
      </c>
      <c r="T339">
        <f t="shared" si="973"/>
        <v>30.015125636596363</v>
      </c>
    </row>
    <row r="340" spans="1:20" x14ac:dyDescent="0.25">
      <c r="A340" s="5">
        <v>44253</v>
      </c>
      <c r="B340">
        <v>1.2638999999999999E-2</v>
      </c>
      <c r="C340">
        <v>1.349E-2</v>
      </c>
      <c r="D340">
        <v>1.1526E-2</v>
      </c>
      <c r="E340">
        <v>1.2687E-2</v>
      </c>
      <c r="F340">
        <v>925393711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0.18228105906313677</v>
      </c>
      <c r="Q340">
        <f t="shared" si="970"/>
        <v>168681745.6914463</v>
      </c>
      <c r="R340">
        <f t="shared" si="971"/>
        <v>2977682823.8582754</v>
      </c>
      <c r="S340">
        <f t="shared" si="972"/>
        <v>29776.828238582755</v>
      </c>
      <c r="T340">
        <f t="shared" si="973"/>
        <v>29.776828238582755</v>
      </c>
    </row>
    <row r="341" spans="1:20" x14ac:dyDescent="0.25">
      <c r="A341" s="5">
        <v>44252</v>
      </c>
      <c r="B341">
        <v>1.3388000000000001E-2</v>
      </c>
      <c r="C341">
        <v>1.6500000000000001E-2</v>
      </c>
      <c r="D341">
        <v>1.2303E-2</v>
      </c>
      <c r="E341">
        <v>1.2533000000000001E-2</v>
      </c>
      <c r="F341">
        <v>1500170797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-0.89039790326423585</v>
      </c>
      <c r="Q341">
        <f t="shared" si="970"/>
        <v>-1335748932.1870377</v>
      </c>
      <c r="R341">
        <f t="shared" si="971"/>
        <v>2809001078.1668291</v>
      </c>
      <c r="S341">
        <f t="shared" si="972"/>
        <v>28090.01078166829</v>
      </c>
      <c r="T341">
        <f t="shared" si="973"/>
        <v>28.09001078166829</v>
      </c>
    </row>
    <row r="342" spans="1:20" x14ac:dyDescent="0.25">
      <c r="A342" s="5">
        <v>44251</v>
      </c>
      <c r="B342">
        <v>1.2997999999999999E-2</v>
      </c>
      <c r="C342">
        <v>1.4333E-2</v>
      </c>
      <c r="D342">
        <v>1.1727E-2</v>
      </c>
      <c r="E342">
        <v>1.3388000000000001E-2</v>
      </c>
      <c r="F342">
        <v>920477481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0.27475057559478172</v>
      </c>
      <c r="Q342">
        <f t="shared" si="970"/>
        <v>252901717.72678477</v>
      </c>
      <c r="R342">
        <f t="shared" si="971"/>
        <v>4144750010.3538671</v>
      </c>
      <c r="S342">
        <f t="shared" si="972"/>
        <v>41447.500103538674</v>
      </c>
      <c r="T342">
        <f t="shared" si="973"/>
        <v>41.447500103538673</v>
      </c>
    </row>
    <row r="343" spans="1:20" x14ac:dyDescent="0.25">
      <c r="A343" s="5">
        <v>44250</v>
      </c>
      <c r="B343">
        <v>1.7129999999999999E-2</v>
      </c>
      <c r="C343">
        <v>1.7277000000000001E-2</v>
      </c>
      <c r="D343">
        <v>9.3200000000000002E-3</v>
      </c>
      <c r="E343">
        <v>1.294E-2</v>
      </c>
      <c r="F343">
        <v>1610315584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-9.0109337690084279E-2</v>
      </c>
      <c r="Q343">
        <f t="shared" si="970"/>
        <v>-145104470.74626127</v>
      </c>
      <c r="R343">
        <f t="shared" si="971"/>
        <v>3891848292.6270823</v>
      </c>
      <c r="S343">
        <f t="shared" si="972"/>
        <v>38918.482926270823</v>
      </c>
      <c r="T343">
        <f t="shared" si="973"/>
        <v>38.918482926270819</v>
      </c>
    </row>
    <row r="344" spans="1:20" x14ac:dyDescent="0.25">
      <c r="A344" s="5">
        <v>44249</v>
      </c>
      <c r="B344">
        <v>1.9800999999999999E-2</v>
      </c>
      <c r="C344">
        <v>1.9887999999999999E-2</v>
      </c>
      <c r="D344">
        <v>1.3559999999999999E-2</v>
      </c>
      <c r="E344">
        <v>1.7129999999999999E-2</v>
      </c>
      <c r="F344">
        <v>1743891539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0.12831858407079649</v>
      </c>
      <c r="Q344">
        <f t="shared" si="970"/>
        <v>223773693.05752218</v>
      </c>
      <c r="R344">
        <f t="shared" si="971"/>
        <v>4036952763.3733435</v>
      </c>
      <c r="S344">
        <f t="shared" si="972"/>
        <v>40369.527633733436</v>
      </c>
      <c r="T344">
        <f t="shared" si="973"/>
        <v>40.369527633733433</v>
      </c>
    </row>
    <row r="345" spans="1:20" x14ac:dyDescent="0.25">
      <c r="A345" s="5">
        <v>44248</v>
      </c>
      <c r="B345">
        <v>1.9285E-2</v>
      </c>
      <c r="C345">
        <v>2.0230000000000001E-2</v>
      </c>
      <c r="D345">
        <v>1.8700000000000001E-2</v>
      </c>
      <c r="E345">
        <v>1.9800999999999999E-2</v>
      </c>
      <c r="F345">
        <v>453297692</v>
      </c>
      <c r="G345">
        <v>0</v>
      </c>
      <c r="L345" t="s">
        <v>7</v>
      </c>
      <c r="M345" t="s">
        <v>7</v>
      </c>
      <c r="N345" t="s">
        <v>7</v>
      </c>
      <c r="P345">
        <f t="shared" si="969"/>
        <v>0.43921568627450686</v>
      </c>
      <c r="Q345">
        <f t="shared" si="970"/>
        <v>199095456.87843004</v>
      </c>
      <c r="R345">
        <f t="shared" si="971"/>
        <v>3813179070.3158212</v>
      </c>
      <c r="S345">
        <f t="shared" si="972"/>
        <v>38131.790703158214</v>
      </c>
      <c r="T345">
        <f t="shared" si="973"/>
        <v>38.131790703158217</v>
      </c>
    </row>
    <row r="346" spans="1:20" x14ac:dyDescent="0.25">
      <c r="A346" s="5">
        <v>44247</v>
      </c>
      <c r="B346">
        <v>2.0844999999999999E-2</v>
      </c>
      <c r="C346">
        <v>2.2499999999999999E-2</v>
      </c>
      <c r="D346">
        <v>1.7760000000000001E-2</v>
      </c>
      <c r="E346">
        <v>1.9205E-2</v>
      </c>
      <c r="F346">
        <v>1062889584</v>
      </c>
      <c r="G346">
        <v>0</v>
      </c>
      <c r="L346" t="s">
        <v>8</v>
      </c>
      <c r="M346" t="s">
        <v>7</v>
      </c>
      <c r="N346" t="s">
        <v>7</v>
      </c>
      <c r="P346">
        <f t="shared" si="969"/>
        <v>-0.39029535864978943</v>
      </c>
      <c r="Q346">
        <f t="shared" si="970"/>
        <v>-414840871.39240551</v>
      </c>
      <c r="R346">
        <f t="shared" si="971"/>
        <v>3614083613.4373913</v>
      </c>
      <c r="S346">
        <f t="shared" si="972"/>
        <v>36140.836134373916</v>
      </c>
      <c r="T346">
        <f t="shared" si="973"/>
        <v>36.140836134373913</v>
      </c>
    </row>
    <row r="347" spans="1:20" x14ac:dyDescent="0.25">
      <c r="A347" s="5">
        <v>44246</v>
      </c>
      <c r="B347">
        <v>2.1649000000000002E-2</v>
      </c>
      <c r="C347">
        <v>2.1760999999999999E-2</v>
      </c>
      <c r="D347">
        <v>1.9042E-2</v>
      </c>
      <c r="E347">
        <v>2.085E-2</v>
      </c>
      <c r="F347">
        <v>787990198</v>
      </c>
      <c r="G347">
        <v>0</v>
      </c>
      <c r="L347" t="s">
        <v>8</v>
      </c>
      <c r="M347" t="s">
        <v>7</v>
      </c>
      <c r="N347" t="s">
        <v>7</v>
      </c>
      <c r="P347">
        <f t="shared" si="969"/>
        <v>0.32990069878631934</v>
      </c>
      <c r="Q347">
        <f t="shared" si="970"/>
        <v>259958516.95697013</v>
      </c>
      <c r="R347">
        <f t="shared" si="971"/>
        <v>4028924484.8297968</v>
      </c>
      <c r="S347">
        <f t="shared" si="972"/>
        <v>40289.244848297967</v>
      </c>
      <c r="T347">
        <f t="shared" si="973"/>
        <v>40.289244848297969</v>
      </c>
    </row>
    <row r="348" spans="1:20" x14ac:dyDescent="0.25">
      <c r="A348" s="5">
        <v>44245</v>
      </c>
      <c r="B348">
        <v>1.9998999999999999E-2</v>
      </c>
      <c r="C348">
        <v>2.1915E-2</v>
      </c>
      <c r="D348">
        <v>1.8839999999999999E-2</v>
      </c>
      <c r="E348">
        <v>2.1600000000000001E-2</v>
      </c>
      <c r="F348">
        <v>1469226685</v>
      </c>
      <c r="G348">
        <v>0</v>
      </c>
      <c r="L348" t="s">
        <v>7</v>
      </c>
      <c r="M348" t="s">
        <v>7</v>
      </c>
      <c r="N348" t="s">
        <v>7</v>
      </c>
      <c r="P348">
        <f t="shared" si="969"/>
        <v>0.79512195121951268</v>
      </c>
      <c r="Q348">
        <f t="shared" si="970"/>
        <v>1168214388.5609763</v>
      </c>
      <c r="R348">
        <f t="shared" si="971"/>
        <v>3768965967.8728266</v>
      </c>
      <c r="S348">
        <f t="shared" si="972"/>
        <v>37689.659678728269</v>
      </c>
      <c r="T348">
        <f t="shared" si="973"/>
        <v>37.689659678728269</v>
      </c>
    </row>
    <row r="349" spans="1:20" x14ac:dyDescent="0.25">
      <c r="A349" s="5">
        <v>44244</v>
      </c>
      <c r="B349">
        <v>2.2379E-2</v>
      </c>
      <c r="C349">
        <v>2.7421999999999998E-2</v>
      </c>
      <c r="D349">
        <v>1.9153E-2</v>
      </c>
      <c r="E349">
        <v>0.02</v>
      </c>
      <c r="F349">
        <v>2366081478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-0.79513846898052953</v>
      </c>
      <c r="Q349">
        <f t="shared" si="970"/>
        <v>-1881362403.9001086</v>
      </c>
      <c r="R349">
        <f t="shared" si="971"/>
        <v>2600751579.3118505</v>
      </c>
      <c r="S349">
        <f t="shared" si="972"/>
        <v>26007.515793118506</v>
      </c>
      <c r="T349">
        <f t="shared" si="973"/>
        <v>26.007515793118507</v>
      </c>
    </row>
    <row r="350" spans="1:20" x14ac:dyDescent="0.25">
      <c r="A350" s="5">
        <v>44243</v>
      </c>
      <c r="B350">
        <v>1.6976000000000002E-2</v>
      </c>
      <c r="C350">
        <v>2.6949000000000001E-2</v>
      </c>
      <c r="D350">
        <v>1.6185000000000001E-2</v>
      </c>
      <c r="E350">
        <v>2.2386E-2</v>
      </c>
      <c r="F350">
        <v>2587963059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0.15217391304347799</v>
      </c>
      <c r="Q350">
        <f t="shared" si="970"/>
        <v>393820465.49999928</v>
      </c>
      <c r="R350">
        <f t="shared" si="971"/>
        <v>4482113983.2119589</v>
      </c>
      <c r="S350">
        <f t="shared" si="972"/>
        <v>44821.139832119588</v>
      </c>
      <c r="T350">
        <f t="shared" si="973"/>
        <v>44.821139832119592</v>
      </c>
    </row>
    <row r="351" spans="1:20" x14ac:dyDescent="0.25">
      <c r="A351" s="5">
        <v>44242</v>
      </c>
      <c r="B351">
        <v>1.7417999999999999E-2</v>
      </c>
      <c r="C351">
        <v>1.8742999999999999E-2</v>
      </c>
      <c r="D351">
        <v>1.435E-2</v>
      </c>
      <c r="E351">
        <v>1.6875000000000001E-2</v>
      </c>
      <c r="F351">
        <v>701762755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0.14955611199635857</v>
      </c>
      <c r="Q351">
        <f t="shared" si="970"/>
        <v>104952909.18165314</v>
      </c>
      <c r="R351">
        <f t="shared" si="971"/>
        <v>4088293517.7119598</v>
      </c>
      <c r="S351">
        <f t="shared" si="972"/>
        <v>40882.935177119602</v>
      </c>
      <c r="T351">
        <f t="shared" si="973"/>
        <v>40.882935177119599</v>
      </c>
    </row>
    <row r="352" spans="1:20" x14ac:dyDescent="0.25">
      <c r="A352" s="5">
        <v>44241</v>
      </c>
      <c r="B352">
        <v>1.9434E-2</v>
      </c>
      <c r="C352">
        <v>1.95E-2</v>
      </c>
      <c r="D352">
        <v>1.61E-2</v>
      </c>
      <c r="E352">
        <v>1.7478E-2</v>
      </c>
      <c r="F352">
        <v>483345472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-0.18941176470588197</v>
      </c>
      <c r="Q352">
        <f t="shared" si="970"/>
        <v>-91551318.814117461</v>
      </c>
      <c r="R352">
        <f t="shared" si="971"/>
        <v>3983340608.5303068</v>
      </c>
      <c r="S352">
        <f t="shared" si="972"/>
        <v>39833.406085303068</v>
      </c>
      <c r="T352">
        <f t="shared" si="973"/>
        <v>39.833406085303068</v>
      </c>
    </row>
    <row r="353" spans="1:20" x14ac:dyDescent="0.25">
      <c r="A353" s="5">
        <v>44240</v>
      </c>
      <c r="B353">
        <v>2.0112000000000001E-2</v>
      </c>
      <c r="C353">
        <v>2.07E-2</v>
      </c>
      <c r="D353">
        <v>1.7510000000000001E-2</v>
      </c>
      <c r="E353">
        <v>1.9321999999999999E-2</v>
      </c>
      <c r="F353">
        <v>664018426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0.136050156739811</v>
      </c>
      <c r="Q353">
        <f t="shared" si="970"/>
        <v>90339810.935422584</v>
      </c>
      <c r="R353">
        <f t="shared" si="971"/>
        <v>4074891927.3444242</v>
      </c>
      <c r="S353">
        <f t="shared" si="972"/>
        <v>40748.91927344424</v>
      </c>
      <c r="T353">
        <f t="shared" si="973"/>
        <v>40.748919273444237</v>
      </c>
    </row>
    <row r="354" spans="1:20" x14ac:dyDescent="0.25">
      <c r="A354" s="5">
        <v>44239</v>
      </c>
      <c r="B354">
        <v>1.6936E-2</v>
      </c>
      <c r="C354">
        <v>2.232E-2</v>
      </c>
      <c r="D354">
        <v>1.6299999999999999E-2</v>
      </c>
      <c r="E354">
        <v>1.9991999999999999E-2</v>
      </c>
      <c r="F354">
        <v>1728732351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0.22657807308970107</v>
      </c>
      <c r="Q354">
        <f t="shared" si="970"/>
        <v>391692844.97740877</v>
      </c>
      <c r="R354">
        <f t="shared" si="971"/>
        <v>3984552116.4090018</v>
      </c>
      <c r="S354">
        <f t="shared" si="972"/>
        <v>39845.521164090016</v>
      </c>
      <c r="T354">
        <f t="shared" si="973"/>
        <v>39.845521164090016</v>
      </c>
    </row>
    <row r="355" spans="1:20" x14ac:dyDescent="0.25">
      <c r="A355" s="5">
        <v>44238</v>
      </c>
      <c r="B355">
        <v>1.4876E-2</v>
      </c>
      <c r="C355">
        <v>1.8388000000000002E-2</v>
      </c>
      <c r="D355">
        <v>1.383E-2</v>
      </c>
      <c r="E355">
        <v>1.6899000000000001E-2</v>
      </c>
      <c r="F355">
        <v>1040774262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0.34664326458973221</v>
      </c>
      <c r="Q355">
        <f t="shared" si="970"/>
        <v>360777387.88064927</v>
      </c>
      <c r="R355">
        <f t="shared" si="971"/>
        <v>3592859271.4315929</v>
      </c>
      <c r="S355">
        <f t="shared" si="972"/>
        <v>35928.592714315928</v>
      </c>
      <c r="T355">
        <f t="shared" si="973"/>
        <v>35.928592714315926</v>
      </c>
    </row>
    <row r="356" spans="1:20" x14ac:dyDescent="0.25">
      <c r="A356" s="5">
        <v>44237</v>
      </c>
      <c r="B356">
        <v>1.6628E-2</v>
      </c>
      <c r="C356">
        <v>1.6659E-2</v>
      </c>
      <c r="D356">
        <v>1.3259E-2</v>
      </c>
      <c r="E356">
        <v>1.4876E-2</v>
      </c>
      <c r="F356">
        <v>1049640590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-4.882352941176455E-2</v>
      </c>
      <c r="Q356">
        <f t="shared" si="970"/>
        <v>-51247158.217646897</v>
      </c>
      <c r="R356">
        <f t="shared" si="971"/>
        <v>3232081883.5509439</v>
      </c>
      <c r="S356">
        <f t="shared" si="972"/>
        <v>32320.818835509439</v>
      </c>
      <c r="T356">
        <f t="shared" si="973"/>
        <v>32.320818835509442</v>
      </c>
    </row>
    <row r="357" spans="1:20" x14ac:dyDescent="0.25">
      <c r="A357" s="5">
        <v>44236</v>
      </c>
      <c r="B357">
        <v>1.6927999999999999E-2</v>
      </c>
      <c r="C357">
        <v>1.7052999999999999E-2</v>
      </c>
      <c r="D357">
        <v>1.5705E-2</v>
      </c>
      <c r="E357">
        <v>1.6583000000000001E-2</v>
      </c>
      <c r="F357">
        <v>918738695</v>
      </c>
      <c r="G357">
        <v>0</v>
      </c>
      <c r="L357" t="s">
        <v>8</v>
      </c>
      <c r="M357" t="s">
        <v>7</v>
      </c>
      <c r="N357" t="s">
        <v>8</v>
      </c>
      <c r="P357">
        <f t="shared" si="969"/>
        <v>0.3026706231454025</v>
      </c>
      <c r="Q357">
        <f t="shared" si="970"/>
        <v>278075213.32344389</v>
      </c>
      <c r="R357">
        <f t="shared" si="971"/>
        <v>3283329041.7685909</v>
      </c>
      <c r="S357">
        <f t="shared" si="972"/>
        <v>32833.290417685908</v>
      </c>
      <c r="T357">
        <f t="shared" si="973"/>
        <v>32.833290417685909</v>
      </c>
    </row>
    <row r="358" spans="1:20" x14ac:dyDescent="0.25">
      <c r="A358" s="5">
        <v>44235</v>
      </c>
      <c r="B358">
        <v>1.7219999999999999E-2</v>
      </c>
      <c r="C358">
        <v>1.8502999999999999E-2</v>
      </c>
      <c r="D358">
        <v>1.5778E-2</v>
      </c>
      <c r="E358">
        <v>1.6983999999999999E-2</v>
      </c>
      <c r="F358">
        <v>1235775308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-0.11486238532110128</v>
      </c>
      <c r="Q358">
        <f t="shared" si="970"/>
        <v>-141944099.59779862</v>
      </c>
      <c r="R358">
        <f t="shared" si="971"/>
        <v>3005253828.445147</v>
      </c>
      <c r="S358">
        <f t="shared" si="972"/>
        <v>30052.538284451472</v>
      </c>
      <c r="T358">
        <f t="shared" si="973"/>
        <v>30.052538284451472</v>
      </c>
    </row>
    <row r="359" spans="1:20" x14ac:dyDescent="0.25">
      <c r="A359" s="5">
        <v>44234</v>
      </c>
      <c r="B359">
        <v>1.6570999999999999E-2</v>
      </c>
      <c r="C359">
        <v>1.84E-2</v>
      </c>
      <c r="D359">
        <v>1.5462999999999999E-2</v>
      </c>
      <c r="E359">
        <v>1.7232000000000001E-2</v>
      </c>
      <c r="F359">
        <v>992462968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0.20463057541709312</v>
      </c>
      <c r="Q359">
        <f t="shared" si="970"/>
        <v>203088268.22199607</v>
      </c>
      <c r="R359">
        <f t="shared" si="971"/>
        <v>3147197928.0429459</v>
      </c>
      <c r="S359">
        <f t="shared" si="972"/>
        <v>31471.979280429459</v>
      </c>
      <c r="T359">
        <f t="shared" si="973"/>
        <v>31.471979280429458</v>
      </c>
    </row>
    <row r="360" spans="1:20" x14ac:dyDescent="0.25">
      <c r="A360" s="5">
        <v>44233</v>
      </c>
      <c r="B360">
        <v>1.7493000000000002E-2</v>
      </c>
      <c r="C360">
        <v>1.8499999999999999E-2</v>
      </c>
      <c r="D360">
        <v>1.5002E-2</v>
      </c>
      <c r="E360">
        <v>1.6577000000000001E-2</v>
      </c>
      <c r="F360">
        <v>1090176072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-9.9485420240136069E-2</v>
      </c>
      <c r="Q360">
        <f t="shared" si="970"/>
        <v>-108456624.65866083</v>
      </c>
      <c r="R360">
        <f t="shared" si="971"/>
        <v>2944109659.8209496</v>
      </c>
      <c r="S360">
        <f t="shared" si="972"/>
        <v>29441.096598209497</v>
      </c>
      <c r="T360">
        <f t="shared" si="973"/>
        <v>29.441096598209498</v>
      </c>
    </row>
    <row r="361" spans="1:20" x14ac:dyDescent="0.25">
      <c r="A361" s="5">
        <v>44232</v>
      </c>
      <c r="B361">
        <v>1.2539E-2</v>
      </c>
      <c r="C361">
        <v>1.9800000000000002E-2</v>
      </c>
      <c r="D361">
        <v>1.2503999999999999E-2</v>
      </c>
      <c r="E361">
        <v>1.7493999999999999E-2</v>
      </c>
      <c r="F361">
        <v>3704725366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0.36787280701754338</v>
      </c>
      <c r="Q361">
        <f t="shared" si="970"/>
        <v>1362867719.6195157</v>
      </c>
      <c r="R361">
        <f t="shared" si="971"/>
        <v>3052566284.4796104</v>
      </c>
      <c r="S361">
        <f t="shared" si="972"/>
        <v>30525.662844796105</v>
      </c>
      <c r="T361">
        <f t="shared" si="973"/>
        <v>30.525662844796106</v>
      </c>
    </row>
    <row r="362" spans="1:20" x14ac:dyDescent="0.25">
      <c r="A362" s="5">
        <v>44231</v>
      </c>
      <c r="B362">
        <v>9.8539999999999999E-3</v>
      </c>
      <c r="C362">
        <v>1.2888E-2</v>
      </c>
      <c r="D362">
        <v>9.1900000000000003E-3</v>
      </c>
      <c r="E362">
        <v>1.2541E-2</v>
      </c>
      <c r="F362">
        <v>2524052517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0.81233098972417517</v>
      </c>
      <c r="Q362">
        <f t="shared" si="970"/>
        <v>2050366079.2504056</v>
      </c>
      <c r="R362">
        <f t="shared" si="971"/>
        <v>1689698564.8600945</v>
      </c>
      <c r="S362">
        <f t="shared" si="972"/>
        <v>16896.985648600945</v>
      </c>
      <c r="T362">
        <f t="shared" si="973"/>
        <v>16.896985648600946</v>
      </c>
    </row>
    <row r="363" spans="1:20" x14ac:dyDescent="0.25">
      <c r="A363" s="5">
        <v>44230</v>
      </c>
      <c r="B363">
        <v>7.8009999999999998E-3</v>
      </c>
      <c r="C363">
        <v>1.3756000000000001E-2</v>
      </c>
      <c r="D363">
        <v>7.7000000000000002E-3</v>
      </c>
      <c r="E363">
        <v>9.8530000000000006E-3</v>
      </c>
      <c r="F363">
        <v>2677297453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-0.28896961690885065</v>
      </c>
      <c r="Q363">
        <f t="shared" si="970"/>
        <v>-773657619.34445155</v>
      </c>
      <c r="R363">
        <f t="shared" si="971"/>
        <v>-360667514.39031106</v>
      </c>
      <c r="S363">
        <f t="shared" si="972"/>
        <v>-3606.6751439031104</v>
      </c>
      <c r="T363">
        <f t="shared" si="973"/>
        <v>-3.6066751439031104</v>
      </c>
    </row>
    <row r="364" spans="1:20" x14ac:dyDescent="0.25">
      <c r="A364" s="5">
        <v>44229</v>
      </c>
      <c r="B364">
        <v>6.7239999999999999E-3</v>
      </c>
      <c r="C364">
        <v>8.7189999999999993E-3</v>
      </c>
      <c r="D364">
        <v>6.6189999999999999E-3</v>
      </c>
      <c r="E364">
        <v>7.7660000000000003E-3</v>
      </c>
      <c r="F364">
        <v>1403268455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9.2380952380953105E-2</v>
      </c>
      <c r="Q364">
        <f t="shared" si="970"/>
        <v>129635276.31904863</v>
      </c>
      <c r="R364">
        <f t="shared" si="971"/>
        <v>412990104.95414048</v>
      </c>
      <c r="S364">
        <f t="shared" si="972"/>
        <v>4129.901049541405</v>
      </c>
      <c r="T364">
        <f t="shared" si="973"/>
        <v>4.129901049541405</v>
      </c>
    </row>
    <row r="365" spans="1:20" x14ac:dyDescent="0.25">
      <c r="A365" s="5">
        <v>44228</v>
      </c>
      <c r="B365">
        <v>6.7689999999999998E-3</v>
      </c>
      <c r="C365">
        <v>7.4000000000000003E-3</v>
      </c>
      <c r="D365">
        <v>6.2529999999999999E-3</v>
      </c>
      <c r="E365">
        <v>6.7229999999999998E-3</v>
      </c>
      <c r="F365">
        <v>697860501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-0.18047079337401961</v>
      </c>
      <c r="Q365">
        <f t="shared" si="970"/>
        <v>-125943438.27986081</v>
      </c>
      <c r="R365">
        <f t="shared" si="971"/>
        <v>283354828.63509184</v>
      </c>
      <c r="S365">
        <f t="shared" si="972"/>
        <v>2833.5482863509183</v>
      </c>
      <c r="T365">
        <f t="shared" si="973"/>
        <v>2.833548286350918</v>
      </c>
    </row>
    <row r="366" spans="1:20" x14ac:dyDescent="0.25">
      <c r="A366" s="5">
        <v>44227</v>
      </c>
      <c r="B366">
        <v>7.5760000000000003E-3</v>
      </c>
      <c r="C366">
        <v>7.6559999999999996E-3</v>
      </c>
      <c r="D366">
        <v>6.1999999999999998E-3</v>
      </c>
      <c r="E366">
        <v>6.77E-3</v>
      </c>
      <c r="F366">
        <v>1064833867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-0.21703296703296668</v>
      </c>
      <c r="Q366">
        <f t="shared" si="970"/>
        <v>-231104053.55219743</v>
      </c>
      <c r="R366">
        <f t="shared" si="971"/>
        <v>409298266.91495264</v>
      </c>
      <c r="S366">
        <f t="shared" si="972"/>
        <v>4092.9826691495264</v>
      </c>
      <c r="T366">
        <f t="shared" si="973"/>
        <v>4.0929826691495261</v>
      </c>
    </row>
    <row r="367" spans="1:20" x14ac:dyDescent="0.25">
      <c r="A367" s="5">
        <v>44226</v>
      </c>
      <c r="B367">
        <v>6.9820000000000004E-3</v>
      </c>
      <c r="C367">
        <v>9.0150000000000004E-3</v>
      </c>
      <c r="D367">
        <v>6.914E-3</v>
      </c>
      <c r="E367">
        <v>7.5760000000000003E-3</v>
      </c>
      <c r="F367">
        <v>1644341523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-0.36982389338410271</v>
      </c>
      <c r="Q367">
        <f t="shared" si="970"/>
        <v>-608116784.08900511</v>
      </c>
      <c r="R367">
        <f t="shared" si="971"/>
        <v>640402320.46715009</v>
      </c>
      <c r="S367">
        <f t="shared" si="972"/>
        <v>6404.0232046715009</v>
      </c>
      <c r="T367">
        <f t="shared" si="973"/>
        <v>6.4040232046715007</v>
      </c>
    </row>
    <row r="368" spans="1:20" x14ac:dyDescent="0.25">
      <c r="A368" s="5">
        <v>44225</v>
      </c>
      <c r="B368">
        <v>6.8580000000000004E-3</v>
      </c>
      <c r="C368">
        <v>8.0800000000000004E-3</v>
      </c>
      <c r="D368">
        <v>5.8669999999999998E-3</v>
      </c>
      <c r="E368">
        <v>6.9499999999999996E-3</v>
      </c>
      <c r="F368">
        <v>1170727202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-2.1238138273836884E-2</v>
      </c>
      <c r="Q368">
        <f t="shared" si="970"/>
        <v>-24864066.197018165</v>
      </c>
      <c r="R368">
        <f t="shared" si="971"/>
        <v>1248519104.5561552</v>
      </c>
      <c r="S368">
        <f t="shared" si="972"/>
        <v>12485.191045561553</v>
      </c>
      <c r="T368">
        <f t="shared" si="973"/>
        <v>12.485191045561553</v>
      </c>
    </row>
    <row r="369" spans="1:20" x14ac:dyDescent="0.25">
      <c r="A369" s="5">
        <v>44224</v>
      </c>
      <c r="B369">
        <v>4.6769999999999997E-3</v>
      </c>
      <c r="C369">
        <v>8.4430000000000009E-3</v>
      </c>
      <c r="D369">
        <v>4.5399999999999998E-3</v>
      </c>
      <c r="E369">
        <v>6.8580000000000004E-3</v>
      </c>
      <c r="F369">
        <v>3443058670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0.18780425313861132</v>
      </c>
      <c r="Q369">
        <f t="shared" si="970"/>
        <v>646621062.03177047</v>
      </c>
      <c r="R369">
        <f t="shared" si="971"/>
        <v>1273383170.7531734</v>
      </c>
      <c r="S369">
        <f t="shared" si="972"/>
        <v>12733.831707531734</v>
      </c>
      <c r="T369">
        <f t="shared" si="973"/>
        <v>12.733831707531733</v>
      </c>
    </row>
    <row r="370" spans="1:20" x14ac:dyDescent="0.25">
      <c r="A370" s="5">
        <v>44223</v>
      </c>
      <c r="B370">
        <v>4.4159999999999998E-3</v>
      </c>
      <c r="C370">
        <v>4.9480000000000001E-3</v>
      </c>
      <c r="D370">
        <v>4.0769999999999999E-3</v>
      </c>
      <c r="E370">
        <v>4.6759999999999996E-3</v>
      </c>
      <c r="F370">
        <v>911617117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0.37543053960964301</v>
      </c>
      <c r="Q370">
        <f t="shared" si="970"/>
        <v>342248906.15269709</v>
      </c>
      <c r="R370">
        <f t="shared" si="971"/>
        <v>626762108.72140288</v>
      </c>
      <c r="S370">
        <f t="shared" si="972"/>
        <v>6267.6210872140291</v>
      </c>
      <c r="T370">
        <f t="shared" si="973"/>
        <v>6.267621087214029</v>
      </c>
    </row>
    <row r="371" spans="1:20" x14ac:dyDescent="0.25">
      <c r="A371" s="5">
        <v>44222</v>
      </c>
      <c r="B371">
        <v>4.4209999999999996E-3</v>
      </c>
      <c r="C371">
        <v>4.4900000000000001E-3</v>
      </c>
      <c r="D371">
        <v>4.0000000000000001E-3</v>
      </c>
      <c r="E371">
        <v>4.4159999999999998E-3</v>
      </c>
      <c r="F371">
        <v>649432940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0.69795918367346821</v>
      </c>
      <c r="Q371">
        <f t="shared" si="970"/>
        <v>453277684.65306044</v>
      </c>
      <c r="R371">
        <f t="shared" si="971"/>
        <v>284513202.5687058</v>
      </c>
      <c r="S371">
        <f t="shared" si="972"/>
        <v>2845.1320256870581</v>
      </c>
      <c r="T371">
        <f t="shared" si="973"/>
        <v>2.8451320256870583</v>
      </c>
    </row>
    <row r="372" spans="1:20" x14ac:dyDescent="0.25">
      <c r="A372" s="5">
        <v>44221</v>
      </c>
      <c r="B372">
        <v>3.862E-3</v>
      </c>
      <c r="C372">
        <v>5.4999999999999997E-3</v>
      </c>
      <c r="D372">
        <v>3.7499999999999999E-3</v>
      </c>
      <c r="E372">
        <v>4.4270000000000004E-3</v>
      </c>
      <c r="F372">
        <v>1996732671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-0.22628571428571362</v>
      </c>
      <c r="Q372">
        <f t="shared" si="970"/>
        <v>-451832078.69485581</v>
      </c>
      <c r="R372">
        <f t="shared" si="971"/>
        <v>-168764482.08435464</v>
      </c>
      <c r="S372">
        <f t="shared" si="972"/>
        <v>-1687.6448208435463</v>
      </c>
      <c r="T372">
        <f t="shared" si="973"/>
        <v>-1.6876448208435464</v>
      </c>
    </row>
    <row r="373" spans="1:20" x14ac:dyDescent="0.25">
      <c r="A373" s="5">
        <v>44220</v>
      </c>
      <c r="B373">
        <v>3.6640000000000002E-3</v>
      </c>
      <c r="C373">
        <v>3.9329999999999999E-3</v>
      </c>
      <c r="D373">
        <v>3.5790000000000001E-3</v>
      </c>
      <c r="E373">
        <v>3.8570000000000002E-3</v>
      </c>
      <c r="F373">
        <v>347867140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0.57062146892655519</v>
      </c>
      <c r="Q373">
        <f t="shared" si="970"/>
        <v>198500458.41807961</v>
      </c>
      <c r="R373">
        <f t="shared" si="971"/>
        <v>283067596.61050117</v>
      </c>
      <c r="S373">
        <f t="shared" si="972"/>
        <v>2830.6759661050119</v>
      </c>
      <c r="T373">
        <f t="shared" si="973"/>
        <v>2.8306759661050118</v>
      </c>
    </row>
    <row r="374" spans="1:20" x14ac:dyDescent="0.25">
      <c r="A374" s="5">
        <v>44219</v>
      </c>
      <c r="B374">
        <v>3.5969999999999999E-3</v>
      </c>
      <c r="C374">
        <v>3.8E-3</v>
      </c>
      <c r="D374">
        <v>3.4099999999999998E-3</v>
      </c>
      <c r="E374">
        <v>3.6649999999999999E-3</v>
      </c>
      <c r="F374">
        <v>396757535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0.30769230769230727</v>
      </c>
      <c r="Q374">
        <f t="shared" si="970"/>
        <v>122079241.53846137</v>
      </c>
      <c r="R374">
        <f t="shared" si="971"/>
        <v>84567138.19242157</v>
      </c>
      <c r="S374">
        <f t="shared" si="972"/>
        <v>845.67138192421567</v>
      </c>
      <c r="T374">
        <f t="shared" si="973"/>
        <v>0.84567138192421565</v>
      </c>
    </row>
    <row r="375" spans="1:20" x14ac:dyDescent="0.25">
      <c r="A375" s="5">
        <v>44218</v>
      </c>
      <c r="B375">
        <v>3.3340000000000002E-3</v>
      </c>
      <c r="C375">
        <v>3.8140000000000001E-3</v>
      </c>
      <c r="D375">
        <v>3.0279999999999999E-3</v>
      </c>
      <c r="E375">
        <v>3.5980000000000001E-3</v>
      </c>
      <c r="F375">
        <v>549230875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0.45038167938931301</v>
      </c>
      <c r="Q375">
        <f t="shared" si="970"/>
        <v>247363523.85496184</v>
      </c>
      <c r="R375">
        <f t="shared" si="971"/>
        <v>-37512103.346039802</v>
      </c>
      <c r="S375">
        <f t="shared" si="972"/>
        <v>-375.121033460398</v>
      </c>
      <c r="T375">
        <f t="shared" si="973"/>
        <v>-0.37512103346039799</v>
      </c>
    </row>
    <row r="376" spans="1:20" x14ac:dyDescent="0.25">
      <c r="A376" s="5">
        <v>44217</v>
      </c>
      <c r="B376">
        <v>3.9379999999999997E-3</v>
      </c>
      <c r="C376">
        <v>3.96E-3</v>
      </c>
      <c r="D376">
        <v>3.271E-3</v>
      </c>
      <c r="E376">
        <v>3.3300000000000001E-3</v>
      </c>
      <c r="F376">
        <v>388826184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-0.8287373004354136</v>
      </c>
      <c r="Q376">
        <f t="shared" si="970"/>
        <v>-322234762.0667634</v>
      </c>
      <c r="R376">
        <f t="shared" si="971"/>
        <v>-284875627.20100164</v>
      </c>
      <c r="S376">
        <f t="shared" si="972"/>
        <v>-2848.7562720100163</v>
      </c>
      <c r="T376">
        <f t="shared" si="973"/>
        <v>-2.8487562720100161</v>
      </c>
    </row>
    <row r="377" spans="1:20" x14ac:dyDescent="0.25">
      <c r="A377" s="5">
        <v>44216</v>
      </c>
      <c r="B377">
        <v>4.0899999999999999E-3</v>
      </c>
      <c r="C377">
        <v>4.339E-3</v>
      </c>
      <c r="D377">
        <v>3.5969999999999999E-3</v>
      </c>
      <c r="E377">
        <v>3.9379999999999997E-3</v>
      </c>
      <c r="F377">
        <v>704829439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-8.0862533692723171E-2</v>
      </c>
      <c r="Q377">
        <f t="shared" si="970"/>
        <v>-56994294.258760668</v>
      </c>
      <c r="R377">
        <f t="shared" si="971"/>
        <v>37359134.865761779</v>
      </c>
      <c r="S377">
        <f t="shared" si="972"/>
        <v>373.5913486576178</v>
      </c>
      <c r="T377">
        <f t="shared" si="973"/>
        <v>0.37359134865761778</v>
      </c>
    </row>
    <row r="378" spans="1:20" x14ac:dyDescent="0.25">
      <c r="A378" s="5">
        <v>44215</v>
      </c>
      <c r="B378">
        <v>3.7130000000000002E-3</v>
      </c>
      <c r="C378">
        <v>5.5230000000000001E-3</v>
      </c>
      <c r="D378">
        <v>3.712E-3</v>
      </c>
      <c r="E378">
        <v>4.0720000000000001E-3</v>
      </c>
      <c r="F378">
        <v>2405014818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-0.60242959690778575</v>
      </c>
      <c r="Q378">
        <f t="shared" si="970"/>
        <v>-1448852107.3649917</v>
      </c>
      <c r="R378">
        <f t="shared" si="971"/>
        <v>94353429.124522448</v>
      </c>
      <c r="S378">
        <f t="shared" si="972"/>
        <v>943.53429124522449</v>
      </c>
      <c r="T378">
        <f t="shared" si="973"/>
        <v>0.94353429124522448</v>
      </c>
    </row>
    <row r="379" spans="1:20" x14ac:dyDescent="0.25">
      <c r="A379" s="5">
        <v>44214</v>
      </c>
      <c r="B379">
        <v>3.5300000000000002E-3</v>
      </c>
      <c r="C379">
        <v>3.748E-3</v>
      </c>
      <c r="D379">
        <v>3.2940000000000001E-3</v>
      </c>
      <c r="E379">
        <v>3.7090000000000001E-3</v>
      </c>
      <c r="F379">
        <v>514263865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0.82819383259911905</v>
      </c>
      <c r="Q379">
        <f t="shared" si="970"/>
        <v>425910161.32158595</v>
      </c>
      <c r="R379">
        <f t="shared" si="971"/>
        <v>1543205536.4895141</v>
      </c>
      <c r="S379">
        <f t="shared" si="972"/>
        <v>15432.055364895141</v>
      </c>
      <c r="T379">
        <f t="shared" si="973"/>
        <v>15.432055364895142</v>
      </c>
    </row>
    <row r="380" spans="1:20" x14ac:dyDescent="0.25">
      <c r="A380" s="5">
        <v>44213</v>
      </c>
      <c r="B380">
        <v>3.1649999999999998E-3</v>
      </c>
      <c r="C380">
        <v>4.0990000000000002E-3</v>
      </c>
      <c r="D380">
        <v>2.9139999999999999E-3</v>
      </c>
      <c r="E380">
        <v>3.5300000000000002E-3</v>
      </c>
      <c r="F380">
        <v>621510836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3.9662447257384097E-2</v>
      </c>
      <c r="Q380">
        <f t="shared" si="970"/>
        <v>24650640.752742697</v>
      </c>
      <c r="R380">
        <f t="shared" si="971"/>
        <v>1117295375.1679282</v>
      </c>
      <c r="S380">
        <f t="shared" si="972"/>
        <v>11172.953751679283</v>
      </c>
      <c r="T380">
        <f t="shared" si="973"/>
        <v>11.172953751679282</v>
      </c>
    </row>
    <row r="381" spans="1:20" x14ac:dyDescent="0.25">
      <c r="A381" s="5">
        <v>44212</v>
      </c>
      <c r="B381">
        <v>3.0200000000000001E-3</v>
      </c>
      <c r="C381">
        <v>3.5969999999999999E-3</v>
      </c>
      <c r="D381">
        <v>2.9229999999999998E-3</v>
      </c>
      <c r="E381">
        <v>3.1619999999999999E-3</v>
      </c>
      <c r="F381">
        <v>677192291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-0.29080118694362012</v>
      </c>
      <c r="Q381">
        <f t="shared" si="970"/>
        <v>-196928322.0118694</v>
      </c>
      <c r="R381">
        <f t="shared" si="971"/>
        <v>1092644734.4151855</v>
      </c>
      <c r="S381">
        <f t="shared" si="972"/>
        <v>10926.447344151855</v>
      </c>
      <c r="T381">
        <f t="shared" si="973"/>
        <v>10.926447344151855</v>
      </c>
    </row>
    <row r="382" spans="1:20" x14ac:dyDescent="0.25">
      <c r="A382" s="5">
        <v>44211</v>
      </c>
      <c r="B382">
        <v>2.8219999999999999E-3</v>
      </c>
      <c r="C382">
        <v>3.039E-3</v>
      </c>
      <c r="D382">
        <v>2.598E-3</v>
      </c>
      <c r="E382">
        <v>3.006E-3</v>
      </c>
      <c r="F382">
        <v>390899208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0.8503401360544216</v>
      </c>
      <c r="Q382">
        <f t="shared" si="970"/>
        <v>332397285.71428567</v>
      </c>
      <c r="R382">
        <f t="shared" si="971"/>
        <v>1289573056.4270549</v>
      </c>
      <c r="S382">
        <f t="shared" si="972"/>
        <v>12895.730564270549</v>
      </c>
      <c r="T382">
        <f t="shared" si="973"/>
        <v>12.895730564270549</v>
      </c>
    </row>
    <row r="383" spans="1:20" x14ac:dyDescent="0.25">
      <c r="A383" s="5">
        <v>44210</v>
      </c>
      <c r="B383">
        <v>2.66E-3</v>
      </c>
      <c r="C383">
        <v>2.8999999999999998E-3</v>
      </c>
      <c r="D383">
        <v>2.5999999999999999E-3</v>
      </c>
      <c r="E383">
        <v>2.8219999999999999E-3</v>
      </c>
      <c r="F383">
        <v>276999537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0.4800000000000002</v>
      </c>
      <c r="Q383">
        <f t="shared" si="970"/>
        <v>132959777.76000005</v>
      </c>
      <c r="R383">
        <f t="shared" si="971"/>
        <v>957175770.71276927</v>
      </c>
      <c r="S383">
        <f t="shared" si="972"/>
        <v>9571.7577071276919</v>
      </c>
      <c r="T383">
        <f t="shared" si="973"/>
        <v>9.5717577071276914</v>
      </c>
    </row>
    <row r="384" spans="1:20" x14ac:dyDescent="0.25">
      <c r="A384" s="5">
        <v>44209</v>
      </c>
      <c r="B384">
        <v>2.5079999999999998E-3</v>
      </c>
      <c r="C384">
        <v>2.7269999999999998E-3</v>
      </c>
      <c r="D384">
        <v>2.4109999999999999E-3</v>
      </c>
      <c r="E384">
        <v>2.6679999999999998E-3</v>
      </c>
      <c r="F384">
        <v>128696469</v>
      </c>
      <c r="G384">
        <v>0</v>
      </c>
      <c r="L384" t="s">
        <v>8</v>
      </c>
      <c r="M384" t="s">
        <v>7</v>
      </c>
      <c r="N384" t="s">
        <v>8</v>
      </c>
      <c r="P384">
        <f t="shared" si="969"/>
        <v>0.62658227848101233</v>
      </c>
      <c r="Q384">
        <f t="shared" si="970"/>
        <v>80638926.778480977</v>
      </c>
      <c r="R384">
        <f t="shared" si="971"/>
        <v>824215992.95276928</v>
      </c>
      <c r="S384">
        <f t="shared" si="972"/>
        <v>8242.1599295276919</v>
      </c>
      <c r="T384">
        <f t="shared" si="973"/>
        <v>8.2421599295276913</v>
      </c>
    </row>
    <row r="385" spans="1:20" x14ac:dyDescent="0.25">
      <c r="A385" s="5">
        <v>44208</v>
      </c>
      <c r="B385">
        <v>2.4910000000000002E-3</v>
      </c>
      <c r="C385">
        <v>2.6189999999999998E-3</v>
      </c>
      <c r="D385">
        <v>2.369E-3</v>
      </c>
      <c r="E385">
        <v>2.5209999999999998E-3</v>
      </c>
      <c r="F385">
        <v>215120104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0.21599999999999936</v>
      </c>
      <c r="Q385">
        <f t="shared" si="970"/>
        <v>46465942.46399986</v>
      </c>
      <c r="R385">
        <f t="shared" si="971"/>
        <v>743577066.17428827</v>
      </c>
      <c r="S385">
        <f t="shared" si="972"/>
        <v>7435.770661742883</v>
      </c>
      <c r="T385">
        <f t="shared" si="973"/>
        <v>7.4357706617428834</v>
      </c>
    </row>
    <row r="386" spans="1:20" x14ac:dyDescent="0.25">
      <c r="A386" s="5">
        <v>44207</v>
      </c>
      <c r="B386">
        <v>2.7139999999999998E-3</v>
      </c>
      <c r="C386">
        <v>2.7339999999999999E-3</v>
      </c>
      <c r="D386">
        <v>2.3E-3</v>
      </c>
      <c r="E386">
        <v>2.4910000000000002E-3</v>
      </c>
      <c r="F386">
        <v>257959552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-0.11981566820276392</v>
      </c>
      <c r="Q386">
        <f t="shared" si="970"/>
        <v>-30907596.092165627</v>
      </c>
      <c r="R386">
        <f t="shared" si="971"/>
        <v>697111123.71028841</v>
      </c>
      <c r="S386">
        <f t="shared" si="972"/>
        <v>6971.1112371028839</v>
      </c>
      <c r="T386">
        <f t="shared" si="973"/>
        <v>6.9711112371028836</v>
      </c>
    </row>
    <row r="387" spans="1:20" x14ac:dyDescent="0.25">
      <c r="A387" s="5">
        <v>44206</v>
      </c>
      <c r="B387">
        <v>2.9139999999999999E-3</v>
      </c>
      <c r="C387">
        <v>2.97E-3</v>
      </c>
      <c r="D387">
        <v>2.614E-3</v>
      </c>
      <c r="E387">
        <v>2.696E-3</v>
      </c>
      <c r="F387">
        <v>243036303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-0.53932584269662898</v>
      </c>
      <c r="Q387">
        <f t="shared" si="970"/>
        <v>-131075758.92134826</v>
      </c>
      <c r="R387">
        <f t="shared" si="971"/>
        <v>728018719.80245399</v>
      </c>
      <c r="S387">
        <f t="shared" si="972"/>
        <v>7280.1871980245396</v>
      </c>
      <c r="T387">
        <f t="shared" si="973"/>
        <v>7.2801871980245396</v>
      </c>
    </row>
    <row r="388" spans="1:20" x14ac:dyDescent="0.25">
      <c r="A388" s="5">
        <v>44205</v>
      </c>
      <c r="B388">
        <v>2.6879999999999999E-3</v>
      </c>
      <c r="C388">
        <v>3.2309999999999999E-3</v>
      </c>
      <c r="D388">
        <v>2.686E-3</v>
      </c>
      <c r="E388">
        <v>2.931E-3</v>
      </c>
      <c r="F388">
        <v>685767902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-0.10091743119266043</v>
      </c>
      <c r="Q388">
        <f t="shared" si="970"/>
        <v>-69205935.064220101</v>
      </c>
      <c r="R388">
        <f t="shared" si="971"/>
        <v>859094478.72380221</v>
      </c>
      <c r="S388">
        <f t="shared" si="972"/>
        <v>8590.9447872380224</v>
      </c>
      <c r="T388">
        <f t="shared" si="973"/>
        <v>8.5909447872380227</v>
      </c>
    </row>
    <row r="389" spans="1:20" x14ac:dyDescent="0.25">
      <c r="A389" s="5">
        <v>44204</v>
      </c>
      <c r="B389">
        <v>2.5890000000000002E-3</v>
      </c>
      <c r="C389">
        <v>2.8249999999999998E-3</v>
      </c>
      <c r="D389">
        <v>2.3999999999999998E-3</v>
      </c>
      <c r="E389">
        <v>2.6689999999999999E-3</v>
      </c>
      <c r="F389">
        <v>353668349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0.26588235294117707</v>
      </c>
      <c r="Q389">
        <f t="shared" si="970"/>
        <v>94034172.792941391</v>
      </c>
      <c r="R389">
        <f t="shared" si="971"/>
        <v>928300413.78802228</v>
      </c>
      <c r="S389">
        <f t="shared" si="972"/>
        <v>9283.0041378802234</v>
      </c>
      <c r="T389">
        <f t="shared" si="973"/>
        <v>9.2830041378802228</v>
      </c>
    </row>
    <row r="390" spans="1:20" x14ac:dyDescent="0.25">
      <c r="A390" s="5">
        <v>44203</v>
      </c>
      <c r="B390">
        <v>2.6259999999999999E-3</v>
      </c>
      <c r="C390">
        <v>2.7230000000000002E-3</v>
      </c>
      <c r="D390">
        <v>2.4580000000000001E-3</v>
      </c>
      <c r="E390">
        <v>2.598E-3</v>
      </c>
      <c r="F390">
        <v>283948080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5.6603773584904982E-2</v>
      </c>
      <c r="Q390">
        <f t="shared" ref="Q390:Q453" si="975">F390*P390</f>
        <v>16072532.830188487</v>
      </c>
      <c r="R390">
        <f t="shared" ref="R390:R453" si="976">R391+Q390</f>
        <v>834266240.99508083</v>
      </c>
      <c r="S390">
        <f t="shared" ref="S390:S453" si="977">R390/100000</f>
        <v>8342.6624099508081</v>
      </c>
      <c r="T390">
        <f t="shared" ref="T390:T453" si="978">S390/1000</f>
        <v>8.3426624099508082</v>
      </c>
    </row>
    <row r="391" spans="1:20" x14ac:dyDescent="0.25">
      <c r="A391" s="5">
        <v>44202</v>
      </c>
      <c r="B391">
        <v>2.532E-3</v>
      </c>
      <c r="C391">
        <v>2.63E-3</v>
      </c>
      <c r="D391">
        <v>2.4120000000000001E-3</v>
      </c>
      <c r="E391">
        <v>2.6259999999999999E-3</v>
      </c>
      <c r="F391">
        <v>246422387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0.96330275229357709</v>
      </c>
      <c r="Q391">
        <f t="shared" si="975"/>
        <v>237379363.623853</v>
      </c>
      <c r="R391">
        <f t="shared" si="976"/>
        <v>818193708.16489232</v>
      </c>
      <c r="S391">
        <f t="shared" si="977"/>
        <v>8181.9370816489236</v>
      </c>
      <c r="T391">
        <f t="shared" si="978"/>
        <v>8.1819370816489236</v>
      </c>
    </row>
    <row r="392" spans="1:20" x14ac:dyDescent="0.25">
      <c r="A392" s="5">
        <v>44201</v>
      </c>
      <c r="B392">
        <v>2.4260000000000002E-3</v>
      </c>
      <c r="C392">
        <v>2.5850000000000001E-3</v>
      </c>
      <c r="D392">
        <v>2.2690000000000002E-3</v>
      </c>
      <c r="E392">
        <v>2.5279999999999999E-3</v>
      </c>
      <c r="F392">
        <v>280595595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0.63924050632911256</v>
      </c>
      <c r="Q392">
        <f t="shared" si="975"/>
        <v>179368070.22151861</v>
      </c>
      <c r="R392">
        <f t="shared" si="976"/>
        <v>580814344.54103935</v>
      </c>
      <c r="S392">
        <f t="shared" si="977"/>
        <v>5808.1434454103937</v>
      </c>
      <c r="T392">
        <f t="shared" si="978"/>
        <v>5.8081434454103933</v>
      </c>
    </row>
    <row r="393" spans="1:20" x14ac:dyDescent="0.25">
      <c r="A393" s="5">
        <v>44200</v>
      </c>
      <c r="B393">
        <v>2.5140000000000002E-3</v>
      </c>
      <c r="C393">
        <v>2.9069999999999999E-3</v>
      </c>
      <c r="D393">
        <v>2.2079999999999999E-3</v>
      </c>
      <c r="E393">
        <v>2.4250000000000001E-3</v>
      </c>
      <c r="F393">
        <v>522337890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-0.37911301859799662</v>
      </c>
      <c r="Q393">
        <f t="shared" si="975"/>
        <v>-198025094.20600832</v>
      </c>
      <c r="R393">
        <f t="shared" si="976"/>
        <v>401446274.31952071</v>
      </c>
      <c r="S393">
        <f t="shared" si="977"/>
        <v>4014.4627431952072</v>
      </c>
      <c r="T393">
        <f t="shared" si="978"/>
        <v>4.0144627431952076</v>
      </c>
    </row>
    <row r="394" spans="1:20" x14ac:dyDescent="0.25">
      <c r="A394" s="5">
        <v>44199</v>
      </c>
      <c r="B394">
        <v>2.6280000000000001E-3</v>
      </c>
      <c r="C394">
        <v>2.7209999999999999E-3</v>
      </c>
      <c r="D394">
        <v>2.3E-3</v>
      </c>
      <c r="E394">
        <v>2.5000000000000001E-3</v>
      </c>
      <c r="F394">
        <v>349481054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-4.9881235154393716E-2</v>
      </c>
      <c r="Q394">
        <f t="shared" si="975"/>
        <v>-17432546.636579368</v>
      </c>
      <c r="R394">
        <f t="shared" si="976"/>
        <v>599471368.52552903</v>
      </c>
      <c r="S394">
        <f t="shared" si="977"/>
        <v>5994.7136852552903</v>
      </c>
      <c r="T394">
        <f t="shared" si="978"/>
        <v>5.9947136852552907</v>
      </c>
    </row>
    <row r="395" spans="1:20" x14ac:dyDescent="0.25">
      <c r="A395" s="5">
        <v>44198</v>
      </c>
      <c r="B395">
        <v>2.7360000000000002E-3</v>
      </c>
      <c r="C395">
        <v>2.7499999999999998E-3</v>
      </c>
      <c r="D395">
        <v>2.529E-3</v>
      </c>
      <c r="E395">
        <v>2.6250000000000002E-3</v>
      </c>
      <c r="F395">
        <v>213123271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-0.13122171945701147</v>
      </c>
      <c r="Q395">
        <f t="shared" si="975"/>
        <v>-27966402.076922629</v>
      </c>
      <c r="R395">
        <f t="shared" si="976"/>
        <v>616903915.16210842</v>
      </c>
      <c r="S395">
        <f t="shared" si="977"/>
        <v>6169.0391516210839</v>
      </c>
      <c r="T395">
        <f t="shared" si="978"/>
        <v>6.1690391516210843</v>
      </c>
    </row>
    <row r="396" spans="1:20" x14ac:dyDescent="0.25">
      <c r="A396" s="5">
        <v>44197</v>
      </c>
      <c r="B396">
        <v>2.5149999999999999E-3</v>
      </c>
      <c r="C396">
        <v>2.9750000000000002E-3</v>
      </c>
      <c r="D396">
        <v>2.4559999999999998E-3</v>
      </c>
      <c r="E396">
        <v>2.745E-3</v>
      </c>
      <c r="F396">
        <v>497542864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0.11368015414258185</v>
      </c>
      <c r="Q396">
        <f t="shared" si="975"/>
        <v>56560749.472061642</v>
      </c>
      <c r="R396">
        <f t="shared" si="976"/>
        <v>644870317.23903108</v>
      </c>
      <c r="S396">
        <f t="shared" si="977"/>
        <v>6448.703172390311</v>
      </c>
      <c r="T396">
        <f t="shared" si="978"/>
        <v>6.448703172390311</v>
      </c>
    </row>
    <row r="397" spans="1:20" x14ac:dyDescent="0.25">
      <c r="A397" s="5">
        <v>44196</v>
      </c>
      <c r="B397">
        <v>2.5119999999999999E-3</v>
      </c>
      <c r="C397">
        <v>2.529E-3</v>
      </c>
      <c r="D397">
        <v>2.369E-3</v>
      </c>
      <c r="E397">
        <v>2.5040000000000001E-3</v>
      </c>
      <c r="F397">
        <v>155734029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0.68750000000000189</v>
      </c>
      <c r="Q397">
        <f t="shared" si="975"/>
        <v>107067144.9375003</v>
      </c>
      <c r="R397">
        <f t="shared" si="976"/>
        <v>588309567.76696944</v>
      </c>
      <c r="S397">
        <f t="shared" si="977"/>
        <v>5883.0956776696949</v>
      </c>
      <c r="T397">
        <f t="shared" si="978"/>
        <v>5.8830956776696945</v>
      </c>
    </row>
    <row r="398" spans="1:20" x14ac:dyDescent="0.25">
      <c r="A398" s="5">
        <v>44195</v>
      </c>
      <c r="B398">
        <v>2.3519999999999999E-3</v>
      </c>
      <c r="C398">
        <v>2.6749999999999999E-3</v>
      </c>
      <c r="D398">
        <v>2.3319999999999999E-3</v>
      </c>
      <c r="E398">
        <v>2.5040000000000001E-3</v>
      </c>
      <c r="F398">
        <v>377397446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2.9154518950453832E-3</v>
      </c>
      <c r="Q398">
        <f t="shared" si="975"/>
        <v>1100284.0991259876</v>
      </c>
      <c r="R398">
        <f t="shared" si="976"/>
        <v>481242422.8294692</v>
      </c>
      <c r="S398">
        <f t="shared" si="977"/>
        <v>4812.4242282946916</v>
      </c>
      <c r="T398">
        <f t="shared" si="978"/>
        <v>4.8124242282946916</v>
      </c>
    </row>
    <row r="399" spans="1:20" x14ac:dyDescent="0.25">
      <c r="A399" s="5">
        <v>44194</v>
      </c>
      <c r="B399">
        <v>2.4520000000000002E-3</v>
      </c>
      <c r="C399">
        <v>2.4719999999999998E-3</v>
      </c>
      <c r="D399">
        <v>2.2179999999999999E-3</v>
      </c>
      <c r="E399">
        <v>2.3600000000000001E-3</v>
      </c>
      <c r="F399">
        <v>142590383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0.11811023622047451</v>
      </c>
      <c r="Q399">
        <f t="shared" si="975"/>
        <v>16841383.818897933</v>
      </c>
      <c r="R399">
        <f t="shared" si="976"/>
        <v>480142138.73034322</v>
      </c>
      <c r="S399">
        <f t="shared" si="977"/>
        <v>4801.4213873034323</v>
      </c>
      <c r="T399">
        <f t="shared" si="978"/>
        <v>4.8014213873034324</v>
      </c>
    </row>
    <row r="400" spans="1:20" x14ac:dyDescent="0.25">
      <c r="A400" s="5">
        <v>44193</v>
      </c>
      <c r="B400">
        <v>2.379E-3</v>
      </c>
      <c r="C400">
        <v>2.5200000000000001E-3</v>
      </c>
      <c r="D400">
        <v>2.3389999999999999E-3</v>
      </c>
      <c r="E400">
        <v>2.464E-3</v>
      </c>
      <c r="F400">
        <v>140025615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0.38121546961325958</v>
      </c>
      <c r="Q400">
        <f t="shared" si="975"/>
        <v>53379930.580110483</v>
      </c>
      <c r="R400">
        <f t="shared" si="976"/>
        <v>463300754.91144532</v>
      </c>
      <c r="S400">
        <f t="shared" si="977"/>
        <v>4633.0075491144535</v>
      </c>
      <c r="T400">
        <f t="shared" si="978"/>
        <v>4.6330075491144536</v>
      </c>
    </row>
    <row r="401" spans="1:20" x14ac:dyDescent="0.25">
      <c r="A401" s="5">
        <v>44192</v>
      </c>
      <c r="B401">
        <v>2.3340000000000001E-3</v>
      </c>
      <c r="C401">
        <v>2.5500000000000002E-3</v>
      </c>
      <c r="D401">
        <v>2.2769999999999999E-3</v>
      </c>
      <c r="E401">
        <v>2.3739999999999998E-3</v>
      </c>
      <c r="F401">
        <v>409898932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-0.28937728937729101</v>
      </c>
      <c r="Q401">
        <f t="shared" si="975"/>
        <v>-118615441.86080652</v>
      </c>
      <c r="R401">
        <f t="shared" si="976"/>
        <v>409920824.33133483</v>
      </c>
      <c r="S401">
        <f t="shared" si="977"/>
        <v>4099.2082433133482</v>
      </c>
      <c r="T401">
        <f t="shared" si="978"/>
        <v>4.0992082433133481</v>
      </c>
    </row>
    <row r="402" spans="1:20" x14ac:dyDescent="0.25">
      <c r="A402" s="5">
        <v>44191</v>
      </c>
      <c r="B402">
        <v>2.2529999999999998E-3</v>
      </c>
      <c r="C402">
        <v>2.3999999999999998E-3</v>
      </c>
      <c r="D402">
        <v>2.2269999999999998E-3</v>
      </c>
      <c r="E402">
        <v>2.3349999999999998E-3</v>
      </c>
      <c r="F402">
        <v>100141849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0.24855491329479812</v>
      </c>
      <c r="Q402">
        <f t="shared" si="975"/>
        <v>24890748.595375765</v>
      </c>
      <c r="R402">
        <f t="shared" si="976"/>
        <v>528536266.19214135</v>
      </c>
      <c r="S402">
        <f t="shared" si="977"/>
        <v>5285.3626619214137</v>
      </c>
      <c r="T402">
        <f t="shared" si="978"/>
        <v>5.2853626619214138</v>
      </c>
    </row>
    <row r="403" spans="1:20" x14ac:dyDescent="0.25">
      <c r="A403" s="5">
        <v>44190</v>
      </c>
      <c r="B403">
        <v>2.2720000000000001E-3</v>
      </c>
      <c r="C403">
        <v>2.366E-3</v>
      </c>
      <c r="D403">
        <v>2.1610000000000002E-3</v>
      </c>
      <c r="E403">
        <v>2.2529999999999998E-3</v>
      </c>
      <c r="F403">
        <v>120604744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-0.10243902439024698</v>
      </c>
      <c r="Q403">
        <f t="shared" si="975"/>
        <v>-12354632.312195493</v>
      </c>
      <c r="R403">
        <f t="shared" si="976"/>
        <v>503645517.59676558</v>
      </c>
      <c r="S403">
        <f t="shared" si="977"/>
        <v>5036.455175967656</v>
      </c>
      <c r="T403">
        <f t="shared" si="978"/>
        <v>5.0364551759676557</v>
      </c>
    </row>
    <row r="404" spans="1:20" x14ac:dyDescent="0.25">
      <c r="A404" s="5">
        <v>44189</v>
      </c>
      <c r="B404">
        <v>2.0960000000000002E-3</v>
      </c>
      <c r="C404">
        <v>2.297E-3</v>
      </c>
      <c r="D404">
        <v>2.0070000000000001E-3</v>
      </c>
      <c r="E404">
        <v>2.2850000000000001E-3</v>
      </c>
      <c r="F404">
        <v>111690126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0.91724137931034577</v>
      </c>
      <c r="Q404">
        <f t="shared" si="975"/>
        <v>102446805.22758631</v>
      </c>
      <c r="R404">
        <f t="shared" si="976"/>
        <v>516000149.90896106</v>
      </c>
      <c r="S404">
        <f t="shared" si="977"/>
        <v>5160.0014990896107</v>
      </c>
      <c r="T404">
        <f t="shared" si="978"/>
        <v>5.1600014990896108</v>
      </c>
    </row>
    <row r="405" spans="1:20" x14ac:dyDescent="0.25">
      <c r="A405" s="5">
        <v>44188</v>
      </c>
      <c r="B405">
        <v>2.408E-3</v>
      </c>
      <c r="C405">
        <v>2.4229999999999998E-3</v>
      </c>
      <c r="D405">
        <v>2.0400000000000001E-3</v>
      </c>
      <c r="E405">
        <v>2.081E-3</v>
      </c>
      <c r="F405">
        <v>167508864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-0.78590078328981805</v>
      </c>
      <c r="Q405">
        <f t="shared" si="975"/>
        <v>-131645347.42558761</v>
      </c>
      <c r="R405">
        <f t="shared" si="976"/>
        <v>413553344.68137473</v>
      </c>
      <c r="S405">
        <f t="shared" si="977"/>
        <v>4135.5334468137471</v>
      </c>
      <c r="T405">
        <f t="shared" si="978"/>
        <v>4.1355334468137475</v>
      </c>
    </row>
    <row r="406" spans="1:20" x14ac:dyDescent="0.25">
      <c r="A406" s="5">
        <v>44187</v>
      </c>
      <c r="B406">
        <v>2.4299999999999999E-3</v>
      </c>
      <c r="C406">
        <v>2.4989999999999999E-3</v>
      </c>
      <c r="D406">
        <v>2.3010000000000001E-3</v>
      </c>
      <c r="E406">
        <v>2.3999999999999998E-3</v>
      </c>
      <c r="F406">
        <v>140471777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-2.1903074191626371E-15</v>
      </c>
      <c r="Q406">
        <f t="shared" si="975"/>
        <v>-3.0767637534605949E-7</v>
      </c>
      <c r="R406">
        <f t="shared" si="976"/>
        <v>545198692.10696232</v>
      </c>
      <c r="S406">
        <f t="shared" si="977"/>
        <v>5451.9869210696233</v>
      </c>
      <c r="T406">
        <f t="shared" si="978"/>
        <v>5.451986921069623</v>
      </c>
    </row>
    <row r="407" spans="1:20" x14ac:dyDescent="0.25">
      <c r="A407" s="5">
        <v>44186</v>
      </c>
      <c r="B407">
        <v>2.6380000000000002E-3</v>
      </c>
      <c r="C407">
        <v>2.65E-3</v>
      </c>
      <c r="D407">
        <v>2.2000000000000001E-3</v>
      </c>
      <c r="E407">
        <v>2.4299999999999999E-3</v>
      </c>
      <c r="F407">
        <v>284841169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2.2222222222221321E-2</v>
      </c>
      <c r="Q407">
        <f t="shared" si="975"/>
        <v>6329803.7555552991</v>
      </c>
      <c r="R407">
        <f t="shared" si="976"/>
        <v>545198692.10696268</v>
      </c>
      <c r="S407">
        <f t="shared" si="977"/>
        <v>5451.986921069627</v>
      </c>
      <c r="T407">
        <f t="shared" si="978"/>
        <v>5.4519869210696266</v>
      </c>
    </row>
    <row r="408" spans="1:20" x14ac:dyDescent="0.25">
      <c r="A408" s="5">
        <v>44185</v>
      </c>
      <c r="B408">
        <v>3.0790000000000001E-3</v>
      </c>
      <c r="C408">
        <v>3.0829999999999998E-3</v>
      </c>
      <c r="D408">
        <v>2.578E-3</v>
      </c>
      <c r="E408">
        <v>2.6350000000000002E-3</v>
      </c>
      <c r="F408">
        <v>365443438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-0.77425742574257339</v>
      </c>
      <c r="Q408">
        <f t="shared" si="975"/>
        <v>-282947295.56039572</v>
      </c>
      <c r="R408">
        <f t="shared" si="976"/>
        <v>538868888.35140741</v>
      </c>
      <c r="S408">
        <f t="shared" si="977"/>
        <v>5388.6888835140744</v>
      </c>
      <c r="T408">
        <f t="shared" si="978"/>
        <v>5.3886888835140745</v>
      </c>
    </row>
    <row r="409" spans="1:20" x14ac:dyDescent="0.25">
      <c r="A409" s="5">
        <v>44184</v>
      </c>
      <c r="B409">
        <v>2.5000000000000001E-3</v>
      </c>
      <c r="C409">
        <v>3.1199999999999999E-3</v>
      </c>
      <c r="D409">
        <v>2.467E-3</v>
      </c>
      <c r="E409">
        <v>3.0869999999999999E-3</v>
      </c>
      <c r="F409">
        <v>488164539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0.89892802450229692</v>
      </c>
      <c r="Q409">
        <f t="shared" si="975"/>
        <v>438824784.67534447</v>
      </c>
      <c r="R409">
        <f t="shared" si="976"/>
        <v>821816183.91180313</v>
      </c>
      <c r="S409">
        <f t="shared" si="977"/>
        <v>8218.1618391180309</v>
      </c>
      <c r="T409">
        <f t="shared" si="978"/>
        <v>8.2181618391180304</v>
      </c>
    </row>
    <row r="410" spans="1:20" x14ac:dyDescent="0.25">
      <c r="A410" s="5">
        <v>44183</v>
      </c>
      <c r="B410">
        <v>2.392E-3</v>
      </c>
      <c r="C410">
        <v>2.65E-3</v>
      </c>
      <c r="D410">
        <v>2.3110000000000001E-3</v>
      </c>
      <c r="E410">
        <v>2.5000000000000001E-3</v>
      </c>
      <c r="F410">
        <v>303725254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0.11504424778761058</v>
      </c>
      <c r="Q410">
        <f t="shared" si="975"/>
        <v>34941843.380530961</v>
      </c>
      <c r="R410">
        <f t="shared" si="976"/>
        <v>382991399.23645866</v>
      </c>
      <c r="S410">
        <f t="shared" si="977"/>
        <v>3829.9139923645866</v>
      </c>
      <c r="T410">
        <f t="shared" si="978"/>
        <v>3.8299139923645868</v>
      </c>
    </row>
    <row r="411" spans="1:20" x14ac:dyDescent="0.25">
      <c r="A411" s="5">
        <v>44182</v>
      </c>
      <c r="B411">
        <v>2.3890000000000001E-3</v>
      </c>
      <c r="C411">
        <v>2.66E-3</v>
      </c>
      <c r="D411">
        <v>2.3050000000000002E-3</v>
      </c>
      <c r="E411">
        <v>2.3839999999999998E-3</v>
      </c>
      <c r="F411">
        <v>356333506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-0.55492957746479055</v>
      </c>
      <c r="Q411">
        <f t="shared" si="975"/>
        <v>-197740001.92112741</v>
      </c>
      <c r="R411">
        <f t="shared" si="976"/>
        <v>348049555.85592771</v>
      </c>
      <c r="S411">
        <f t="shared" si="977"/>
        <v>3480.495558559277</v>
      </c>
      <c r="T411">
        <f t="shared" si="978"/>
        <v>3.4804955585592769</v>
      </c>
    </row>
    <row r="412" spans="1:20" x14ac:dyDescent="0.25">
      <c r="A412" s="5">
        <v>44181</v>
      </c>
      <c r="B412">
        <v>2.349E-3</v>
      </c>
      <c r="C412">
        <v>2.4290000000000002E-3</v>
      </c>
      <c r="D412">
        <v>2.2959999999999999E-3</v>
      </c>
      <c r="E412">
        <v>2.392E-3</v>
      </c>
      <c r="F412">
        <v>181759784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0.44360902255639012</v>
      </c>
      <c r="Q412">
        <f t="shared" si="975"/>
        <v>80630280.120300591</v>
      </c>
      <c r="R412">
        <f t="shared" si="976"/>
        <v>545789557.77705514</v>
      </c>
      <c r="S412">
        <f t="shared" si="977"/>
        <v>5457.8955777705514</v>
      </c>
      <c r="T412">
        <f t="shared" si="978"/>
        <v>5.4578955777705511</v>
      </c>
    </row>
    <row r="413" spans="1:20" x14ac:dyDescent="0.25">
      <c r="A413" s="5">
        <v>44180</v>
      </c>
      <c r="B413">
        <v>2.3400000000000001E-3</v>
      </c>
      <c r="C413">
        <v>2.3839999999999998E-3</v>
      </c>
      <c r="D413">
        <v>2.2759999999999998E-3</v>
      </c>
      <c r="E413">
        <v>2.349E-3</v>
      </c>
      <c r="F413">
        <v>179272158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0.3518518518518543</v>
      </c>
      <c r="Q413">
        <f t="shared" si="975"/>
        <v>63077240.777778216</v>
      </c>
      <c r="R413">
        <f t="shared" si="976"/>
        <v>465159277.65675455</v>
      </c>
      <c r="S413">
        <f t="shared" si="977"/>
        <v>4651.5927765675451</v>
      </c>
      <c r="T413">
        <f t="shared" si="978"/>
        <v>4.6515927765675453</v>
      </c>
    </row>
    <row r="414" spans="1:20" x14ac:dyDescent="0.25">
      <c r="A414" s="5">
        <v>44179</v>
      </c>
      <c r="B414">
        <v>2.3050000000000002E-3</v>
      </c>
      <c r="C414">
        <v>2.356E-3</v>
      </c>
      <c r="D414">
        <v>2.2599999999999999E-3</v>
      </c>
      <c r="E414">
        <v>2.3400000000000001E-3</v>
      </c>
      <c r="F414">
        <v>121529306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0.66666666666666818</v>
      </c>
      <c r="Q414">
        <f t="shared" si="975"/>
        <v>81019537.333333522</v>
      </c>
      <c r="R414">
        <f t="shared" si="976"/>
        <v>402082036.87897635</v>
      </c>
      <c r="S414">
        <f t="shared" si="977"/>
        <v>4020.8203687897635</v>
      </c>
      <c r="T414">
        <f t="shared" si="978"/>
        <v>4.0208203687897637</v>
      </c>
    </row>
    <row r="415" spans="1:20" x14ac:dyDescent="0.25">
      <c r="A415" s="5">
        <v>44178</v>
      </c>
      <c r="B415">
        <v>2.2569999999999999E-3</v>
      </c>
      <c r="C415">
        <v>2.3570000000000002E-3</v>
      </c>
      <c r="D415">
        <v>2.2279999999999999E-3</v>
      </c>
      <c r="E415">
        <v>2.3059999999999999E-3</v>
      </c>
      <c r="F415">
        <v>141548646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0.20930232558139253</v>
      </c>
      <c r="Q415">
        <f t="shared" si="975"/>
        <v>29626460.790697277</v>
      </c>
      <c r="R415">
        <f t="shared" si="976"/>
        <v>321062499.54564285</v>
      </c>
      <c r="S415">
        <f t="shared" si="977"/>
        <v>3210.6249954564287</v>
      </c>
      <c r="T415">
        <f t="shared" si="978"/>
        <v>3.2106249954564285</v>
      </c>
    </row>
    <row r="416" spans="1:20" x14ac:dyDescent="0.25">
      <c r="A416" s="5">
        <v>44177</v>
      </c>
      <c r="B416">
        <v>2.1559999999999999E-3</v>
      </c>
      <c r="C416">
        <v>2.3E-3</v>
      </c>
      <c r="D416">
        <v>2.1540000000000001E-3</v>
      </c>
      <c r="E416">
        <v>2.2499999999999998E-3</v>
      </c>
      <c r="F416">
        <v>186171655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0.31506849315068247</v>
      </c>
      <c r="Q416">
        <f t="shared" si="975"/>
        <v>58656822.808218718</v>
      </c>
      <c r="R416">
        <f t="shared" si="976"/>
        <v>291436038.75494558</v>
      </c>
      <c r="S416">
        <f t="shared" si="977"/>
        <v>2914.3603875494559</v>
      </c>
      <c r="T416">
        <f t="shared" si="978"/>
        <v>2.9143603875494559</v>
      </c>
    </row>
    <row r="417" spans="1:20" x14ac:dyDescent="0.25">
      <c r="A417" s="5">
        <v>44176</v>
      </c>
      <c r="B417">
        <v>2.297E-3</v>
      </c>
      <c r="C417">
        <v>2.3479999999999998E-3</v>
      </c>
      <c r="D417">
        <v>2.1069999999999999E-3</v>
      </c>
      <c r="E417">
        <v>2.163E-3</v>
      </c>
      <c r="F417">
        <v>189731767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-0.53526970954356778</v>
      </c>
      <c r="Q417">
        <f t="shared" si="975"/>
        <v>-101557667.81327789</v>
      </c>
      <c r="R417">
        <f t="shared" si="976"/>
        <v>232779215.94672686</v>
      </c>
      <c r="S417">
        <f t="shared" si="977"/>
        <v>2327.7921594672684</v>
      </c>
      <c r="T417">
        <f t="shared" si="978"/>
        <v>2.3277921594672684</v>
      </c>
    </row>
    <row r="418" spans="1:20" x14ac:dyDescent="0.25">
      <c r="A418" s="5">
        <v>44175</v>
      </c>
      <c r="B418">
        <v>2.3990000000000001E-3</v>
      </c>
      <c r="C418">
        <v>2.405E-3</v>
      </c>
      <c r="D418">
        <v>2.2550000000000001E-3</v>
      </c>
      <c r="E418">
        <v>2.2950000000000002E-3</v>
      </c>
      <c r="F418">
        <v>129645489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-0.46666666666666512</v>
      </c>
      <c r="Q418">
        <f t="shared" si="975"/>
        <v>-60501228.199999802</v>
      </c>
      <c r="R418">
        <f t="shared" si="976"/>
        <v>334336883.76000476</v>
      </c>
      <c r="S418">
        <f t="shared" si="977"/>
        <v>3343.3688376000478</v>
      </c>
      <c r="T418">
        <f t="shared" si="978"/>
        <v>3.3433688376000479</v>
      </c>
    </row>
    <row r="419" spans="1:20" x14ac:dyDescent="0.25">
      <c r="A419" s="5">
        <v>44174</v>
      </c>
      <c r="B419">
        <v>2.4130000000000002E-3</v>
      </c>
      <c r="C419">
        <v>2.4750000000000002E-3</v>
      </c>
      <c r="D419">
        <v>2.2060000000000001E-3</v>
      </c>
      <c r="E419">
        <v>2.395E-3</v>
      </c>
      <c r="F419">
        <v>318986392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0.4052044609665415</v>
      </c>
      <c r="Q419">
        <f t="shared" si="975"/>
        <v>129254709.02602191</v>
      </c>
      <c r="R419">
        <f t="shared" si="976"/>
        <v>394838111.96000457</v>
      </c>
      <c r="S419">
        <f t="shared" si="977"/>
        <v>3948.3811196000456</v>
      </c>
      <c r="T419">
        <f t="shared" si="978"/>
        <v>3.9483811196000458</v>
      </c>
    </row>
    <row r="420" spans="1:20" x14ac:dyDescent="0.25">
      <c r="A420" s="5">
        <v>44173</v>
      </c>
      <c r="B420">
        <v>2.7109999999999999E-3</v>
      </c>
      <c r="C420">
        <v>2.7439999999999999E-3</v>
      </c>
      <c r="D420">
        <v>2.3999999999999998E-3</v>
      </c>
      <c r="E420">
        <v>2.4160000000000002E-3</v>
      </c>
      <c r="F420">
        <v>244411636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-0.90697674418604424</v>
      </c>
      <c r="Q420">
        <f t="shared" si="975"/>
        <v>-221675669.86046457</v>
      </c>
      <c r="R420">
        <f t="shared" si="976"/>
        <v>265583402.93398267</v>
      </c>
      <c r="S420">
        <f t="shared" si="977"/>
        <v>2655.8340293398269</v>
      </c>
      <c r="T420">
        <f t="shared" si="978"/>
        <v>2.655834029339827</v>
      </c>
    </row>
    <row r="421" spans="1:20" x14ac:dyDescent="0.25">
      <c r="A421" s="5">
        <v>44172</v>
      </c>
      <c r="B421">
        <v>2.6050000000000001E-3</v>
      </c>
      <c r="C421">
        <v>2.836E-3</v>
      </c>
      <c r="D421">
        <v>2.5200000000000001E-3</v>
      </c>
      <c r="E421">
        <v>2.7109999999999999E-3</v>
      </c>
      <c r="F421">
        <v>307756791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0.20886075949366986</v>
      </c>
      <c r="Q421">
        <f t="shared" si="975"/>
        <v>64278317.107594624</v>
      </c>
      <c r="R421">
        <f t="shared" si="976"/>
        <v>487259072.79444724</v>
      </c>
      <c r="S421">
        <f t="shared" si="977"/>
        <v>4872.5907279444727</v>
      </c>
      <c r="T421">
        <f t="shared" si="978"/>
        <v>4.8725907279444725</v>
      </c>
    </row>
    <row r="422" spans="1:20" x14ac:dyDescent="0.25">
      <c r="A422" s="5">
        <v>44171</v>
      </c>
      <c r="B422">
        <v>2.6610000000000002E-3</v>
      </c>
      <c r="C422">
        <v>2.751E-3</v>
      </c>
      <c r="D422">
        <v>2.496E-3</v>
      </c>
      <c r="E422">
        <v>2.6050000000000001E-3</v>
      </c>
      <c r="F422">
        <v>292418066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-0.14509803921568512</v>
      </c>
      <c r="Q422">
        <f t="shared" si="975"/>
        <v>-42429288.007842802</v>
      </c>
      <c r="R422">
        <f t="shared" si="976"/>
        <v>422980755.68685263</v>
      </c>
      <c r="S422">
        <f t="shared" si="977"/>
        <v>4229.8075568685263</v>
      </c>
      <c r="T422">
        <f t="shared" si="978"/>
        <v>4.2298075568685265</v>
      </c>
    </row>
    <row r="423" spans="1:20" x14ac:dyDescent="0.25">
      <c r="A423" s="5">
        <v>44170</v>
      </c>
      <c r="B423">
        <v>2.3549999999999999E-3</v>
      </c>
      <c r="C423">
        <v>2.6909999999999998E-3</v>
      </c>
      <c r="D423">
        <v>2.317E-3</v>
      </c>
      <c r="E423">
        <v>2.66E-3</v>
      </c>
      <c r="F423">
        <v>444496082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0.8342245989304824</v>
      </c>
      <c r="Q423">
        <f t="shared" si="975"/>
        <v>370809565.73262084</v>
      </c>
      <c r="R423">
        <f t="shared" si="976"/>
        <v>465410043.69469541</v>
      </c>
      <c r="S423">
        <f t="shared" si="977"/>
        <v>4654.1004369469538</v>
      </c>
      <c r="T423">
        <f t="shared" si="978"/>
        <v>4.6541004369469539</v>
      </c>
    </row>
    <row r="424" spans="1:20" x14ac:dyDescent="0.25">
      <c r="A424" s="5">
        <v>44169</v>
      </c>
      <c r="B424">
        <v>2.611E-3</v>
      </c>
      <c r="C424">
        <v>2.7539999999999999E-3</v>
      </c>
      <c r="D424">
        <v>2.3410000000000002E-3</v>
      </c>
      <c r="E424">
        <v>2.3540000000000002E-3</v>
      </c>
      <c r="F424">
        <v>316696520</v>
      </c>
      <c r="G424">
        <v>0</v>
      </c>
      <c r="L424" t="s">
        <v>8</v>
      </c>
      <c r="M424" t="s">
        <v>7</v>
      </c>
      <c r="N424" t="s">
        <v>8</v>
      </c>
      <c r="P424">
        <f t="shared" si="974"/>
        <v>-0.93704600484261502</v>
      </c>
      <c r="Q424">
        <f t="shared" si="975"/>
        <v>-296759208.81355935</v>
      </c>
      <c r="R424">
        <f t="shared" si="976"/>
        <v>94600477.962074578</v>
      </c>
      <c r="S424">
        <f t="shared" si="977"/>
        <v>946.00477962074581</v>
      </c>
      <c r="T424">
        <f t="shared" si="978"/>
        <v>0.94600477962074581</v>
      </c>
    </row>
    <row r="425" spans="1:20" x14ac:dyDescent="0.25">
      <c r="A425" s="5">
        <v>44168</v>
      </c>
      <c r="B425">
        <v>2.6189999999999998E-3</v>
      </c>
      <c r="C425">
        <v>2.7109999999999999E-3</v>
      </c>
      <c r="D425">
        <v>2.5100000000000001E-3</v>
      </c>
      <c r="E425">
        <v>2.604E-3</v>
      </c>
      <c r="F425">
        <v>407624241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-6.467661691542291E-2</v>
      </c>
      <c r="Q425">
        <f t="shared" si="975"/>
        <v>-26363756.880597025</v>
      </c>
      <c r="R425">
        <f t="shared" si="976"/>
        <v>391359686.77563393</v>
      </c>
      <c r="S425">
        <f t="shared" si="977"/>
        <v>3913.5968677563392</v>
      </c>
      <c r="T425">
        <f t="shared" si="978"/>
        <v>3.9135968677563393</v>
      </c>
    </row>
    <row r="426" spans="1:20" x14ac:dyDescent="0.25">
      <c r="A426" s="5">
        <v>44167</v>
      </c>
      <c r="B426">
        <v>2.5850000000000001E-3</v>
      </c>
      <c r="C426">
        <v>2.6619999999999999E-3</v>
      </c>
      <c r="D426">
        <v>2.3999999999999998E-3</v>
      </c>
      <c r="E426">
        <v>2.63E-3</v>
      </c>
      <c r="F426">
        <v>524366859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0.75572519083969536</v>
      </c>
      <c r="Q426">
        <f t="shared" si="975"/>
        <v>396277244.58778661</v>
      </c>
      <c r="R426">
        <f t="shared" si="976"/>
        <v>417723443.65623099</v>
      </c>
      <c r="S426">
        <f t="shared" si="977"/>
        <v>4177.2344365623103</v>
      </c>
      <c r="T426">
        <f t="shared" si="978"/>
        <v>4.1772344365623102</v>
      </c>
    </row>
    <row r="427" spans="1:20" x14ac:dyDescent="0.25">
      <c r="A427" s="5">
        <v>44166</v>
      </c>
      <c r="B427">
        <v>2.3310000000000002E-3</v>
      </c>
      <c r="C427">
        <v>3.2000000000000002E-3</v>
      </c>
      <c r="D427">
        <v>2.271E-3</v>
      </c>
      <c r="E427">
        <v>2.5860000000000002E-3</v>
      </c>
      <c r="F427">
        <v>1699043300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-0.32185145317545721</v>
      </c>
      <c r="Q427">
        <f t="shared" si="975"/>
        <v>-546839555.11302435</v>
      </c>
      <c r="R427">
        <f t="shared" si="976"/>
        <v>21446199.068444371</v>
      </c>
      <c r="S427">
        <f t="shared" si="977"/>
        <v>214.46199068444372</v>
      </c>
      <c r="T427">
        <f t="shared" si="978"/>
        <v>0.21446199068444372</v>
      </c>
    </row>
    <row r="428" spans="1:20" x14ac:dyDescent="0.25">
      <c r="A428" s="5">
        <v>44165</v>
      </c>
      <c r="B428">
        <v>2.2560000000000002E-3</v>
      </c>
      <c r="C428">
        <v>2.33E-3</v>
      </c>
      <c r="D428">
        <v>2.2169999999999998E-3</v>
      </c>
      <c r="E428">
        <v>2.33E-3</v>
      </c>
      <c r="F428">
        <v>143620364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1</v>
      </c>
      <c r="Q428">
        <f t="shared" si="975"/>
        <v>143620364</v>
      </c>
      <c r="R428">
        <f t="shared" si="976"/>
        <v>568285754.18146873</v>
      </c>
      <c r="S428">
        <f t="shared" si="977"/>
        <v>5682.8575418146875</v>
      </c>
      <c r="T428">
        <f t="shared" si="978"/>
        <v>5.6828575418146876</v>
      </c>
    </row>
    <row r="429" spans="1:20" x14ac:dyDescent="0.25">
      <c r="A429" s="5">
        <v>44164</v>
      </c>
      <c r="B429">
        <v>2.2539999999999999E-3</v>
      </c>
      <c r="C429">
        <v>2.2750000000000001E-3</v>
      </c>
      <c r="D429">
        <v>2.1849999999999999E-3</v>
      </c>
      <c r="E429">
        <v>2.2539999999999999E-3</v>
      </c>
      <c r="F429">
        <v>93719905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0.53333333333333044</v>
      </c>
      <c r="Q429">
        <f t="shared" si="975"/>
        <v>49983949.33333306</v>
      </c>
      <c r="R429">
        <f t="shared" si="976"/>
        <v>424665390.18146867</v>
      </c>
      <c r="S429">
        <f t="shared" si="977"/>
        <v>4246.6539018146868</v>
      </c>
      <c r="T429">
        <f t="shared" si="978"/>
        <v>4.2466539018146872</v>
      </c>
    </row>
    <row r="430" spans="1:20" x14ac:dyDescent="0.25">
      <c r="A430" s="5">
        <v>44163</v>
      </c>
      <c r="B430">
        <v>2.176E-3</v>
      </c>
      <c r="C430">
        <v>2.264E-3</v>
      </c>
      <c r="D430">
        <v>2.1310000000000001E-3</v>
      </c>
      <c r="E430">
        <v>2.2539999999999999E-3</v>
      </c>
      <c r="F430">
        <v>129914442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0.84962406015037539</v>
      </c>
      <c r="Q430">
        <f t="shared" si="975"/>
        <v>110378435.68421045</v>
      </c>
      <c r="R430">
        <f t="shared" si="976"/>
        <v>374681440.84813559</v>
      </c>
      <c r="S430">
        <f t="shared" si="977"/>
        <v>3746.8144084813557</v>
      </c>
      <c r="T430">
        <f t="shared" si="978"/>
        <v>3.7468144084813555</v>
      </c>
    </row>
    <row r="431" spans="1:20" x14ac:dyDescent="0.25">
      <c r="A431" s="5">
        <v>44162</v>
      </c>
      <c r="B431">
        <v>2.2290000000000001E-3</v>
      </c>
      <c r="C431">
        <v>2.6800000000000001E-3</v>
      </c>
      <c r="D431">
        <v>2E-3</v>
      </c>
      <c r="E431">
        <v>2.1749999999999999E-3</v>
      </c>
      <c r="F431">
        <v>214744912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-0.48529411764705943</v>
      </c>
      <c r="Q431">
        <f t="shared" si="975"/>
        <v>-104214442.58823542</v>
      </c>
      <c r="R431">
        <f t="shared" si="976"/>
        <v>264303005.16392511</v>
      </c>
      <c r="S431">
        <f t="shared" si="977"/>
        <v>2643.0300516392513</v>
      </c>
      <c r="T431">
        <f t="shared" si="978"/>
        <v>2.6430300516392511</v>
      </c>
    </row>
    <row r="432" spans="1:20" x14ac:dyDescent="0.25">
      <c r="A432" s="5">
        <v>44161</v>
      </c>
      <c r="B432">
        <v>2.5709999999999999E-3</v>
      </c>
      <c r="C432">
        <v>2.8999999999999998E-3</v>
      </c>
      <c r="D432">
        <v>1.9719999999999998E-3</v>
      </c>
      <c r="E432">
        <v>2.2290000000000001E-3</v>
      </c>
      <c r="F432">
        <v>455819979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-0.44612068965517182</v>
      </c>
      <c r="Q432">
        <f t="shared" si="975"/>
        <v>-203350723.39008594</v>
      </c>
      <c r="R432">
        <f t="shared" si="976"/>
        <v>368517447.75216055</v>
      </c>
      <c r="S432">
        <f t="shared" si="977"/>
        <v>3685.1744775216057</v>
      </c>
      <c r="T432">
        <f t="shared" si="978"/>
        <v>3.6851744775216058</v>
      </c>
    </row>
    <row r="433" spans="1:20" x14ac:dyDescent="0.25">
      <c r="A433" s="5">
        <v>44160</v>
      </c>
      <c r="B433">
        <v>2.447E-3</v>
      </c>
      <c r="C433">
        <v>2.6450000000000002E-3</v>
      </c>
      <c r="D433">
        <v>2.3370000000000001E-3</v>
      </c>
      <c r="E433">
        <v>2.5790000000000001E-3</v>
      </c>
      <c r="F433">
        <v>443001900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0.57142857142857106</v>
      </c>
      <c r="Q433">
        <f t="shared" si="975"/>
        <v>253143942.85714269</v>
      </c>
      <c r="R433">
        <f t="shared" si="976"/>
        <v>571868171.14224648</v>
      </c>
      <c r="S433">
        <f t="shared" si="977"/>
        <v>5718.681711422465</v>
      </c>
      <c r="T433">
        <f t="shared" si="978"/>
        <v>5.7186817114224651</v>
      </c>
    </row>
    <row r="434" spans="1:20" x14ac:dyDescent="0.25">
      <c r="A434" s="5">
        <v>44159</v>
      </c>
      <c r="B434">
        <v>2.3310000000000002E-3</v>
      </c>
      <c r="C434">
        <v>2.545E-3</v>
      </c>
      <c r="D434">
        <v>2.2169999999999998E-3</v>
      </c>
      <c r="E434">
        <v>2.447E-3</v>
      </c>
      <c r="F434">
        <v>704712787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0.4024390243902442</v>
      </c>
      <c r="Q434">
        <f t="shared" si="975"/>
        <v>283603926.47560996</v>
      </c>
      <c r="R434">
        <f t="shared" si="976"/>
        <v>318724228.2851038</v>
      </c>
      <c r="S434">
        <f t="shared" si="977"/>
        <v>3187.242282851038</v>
      </c>
      <c r="T434">
        <f t="shared" si="978"/>
        <v>3.1872422828510381</v>
      </c>
    </row>
    <row r="435" spans="1:20" x14ac:dyDescent="0.25">
      <c r="A435" s="5">
        <v>44158</v>
      </c>
      <c r="B435">
        <v>2.3E-3</v>
      </c>
      <c r="C435">
        <v>2.4819999999999998E-3</v>
      </c>
      <c r="D435">
        <v>2.2190000000000001E-3</v>
      </c>
      <c r="E435">
        <v>2.3270000000000001E-3</v>
      </c>
      <c r="F435">
        <v>304674381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-0.1787072243345999</v>
      </c>
      <c r="Q435">
        <f t="shared" si="975"/>
        <v>-54447512.954372361</v>
      </c>
      <c r="R435">
        <f t="shared" si="976"/>
        <v>35120301.809493855</v>
      </c>
      <c r="S435">
        <f t="shared" si="977"/>
        <v>351.20301809493856</v>
      </c>
      <c r="T435">
        <f t="shared" si="978"/>
        <v>0.35120301809493853</v>
      </c>
    </row>
    <row r="436" spans="1:20" x14ac:dyDescent="0.25">
      <c r="A436" s="5">
        <v>44157</v>
      </c>
      <c r="B436">
        <v>2.2369999999999998E-3</v>
      </c>
      <c r="C436">
        <v>2.5409999999999999E-3</v>
      </c>
      <c r="D436">
        <v>2.1280000000000001E-3</v>
      </c>
      <c r="E436">
        <v>2.3E-3</v>
      </c>
      <c r="F436">
        <v>492001334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-0.16707021791767576</v>
      </c>
      <c r="Q436">
        <f t="shared" si="975"/>
        <v>-82198770.087167174</v>
      </c>
      <c r="R436">
        <f t="shared" si="976"/>
        <v>89567814.763866216</v>
      </c>
      <c r="S436">
        <f t="shared" si="977"/>
        <v>895.67814763866215</v>
      </c>
      <c r="T436">
        <f t="shared" si="978"/>
        <v>0.89567814763866216</v>
      </c>
    </row>
    <row r="437" spans="1:20" x14ac:dyDescent="0.25">
      <c r="A437" s="5">
        <v>44156</v>
      </c>
      <c r="B437">
        <v>2.1150000000000001E-3</v>
      </c>
      <c r="C437">
        <v>2.2699999999999999E-3</v>
      </c>
      <c r="D437">
        <v>2.1050000000000001E-3</v>
      </c>
      <c r="E437">
        <v>2.2469999999999999E-3</v>
      </c>
      <c r="F437">
        <v>346143575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0.72121212121212064</v>
      </c>
      <c r="Q437">
        <f t="shared" si="975"/>
        <v>249642941.96969676</v>
      </c>
      <c r="R437">
        <f t="shared" si="976"/>
        <v>171766584.85103339</v>
      </c>
      <c r="S437">
        <f t="shared" si="977"/>
        <v>1717.6658485103339</v>
      </c>
      <c r="T437">
        <f t="shared" si="978"/>
        <v>1.717665848510334</v>
      </c>
    </row>
    <row r="438" spans="1:20" x14ac:dyDescent="0.25">
      <c r="A438" s="5">
        <v>44155</v>
      </c>
      <c r="B438">
        <v>2.0509999999999999E-3</v>
      </c>
      <c r="C438">
        <v>2.1770000000000001E-3</v>
      </c>
      <c r="D438">
        <v>2.0179999999999998E-3</v>
      </c>
      <c r="E438">
        <v>2.1159999999999998E-3</v>
      </c>
      <c r="F438">
        <v>210916873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0.232704402515721</v>
      </c>
      <c r="Q438">
        <f t="shared" si="975"/>
        <v>49081284.91194921</v>
      </c>
      <c r="R438">
        <f t="shared" si="976"/>
        <v>-77876357.118663371</v>
      </c>
      <c r="S438">
        <f t="shared" si="977"/>
        <v>-778.76357118663373</v>
      </c>
      <c r="T438">
        <f t="shared" si="978"/>
        <v>-0.77876357118663375</v>
      </c>
    </row>
    <row r="439" spans="1:20" x14ac:dyDescent="0.25">
      <c r="A439" s="5">
        <v>44154</v>
      </c>
      <c r="B439">
        <v>2.1069999999999999E-3</v>
      </c>
      <c r="C439">
        <v>2.1210000000000001E-3</v>
      </c>
      <c r="D439">
        <v>1.9789999999999999E-3</v>
      </c>
      <c r="E439">
        <v>2.0600000000000002E-3</v>
      </c>
      <c r="F439">
        <v>84026699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0.14084507042253844</v>
      </c>
      <c r="Q439">
        <f t="shared" si="975"/>
        <v>11834746.33802844</v>
      </c>
      <c r="R439">
        <f t="shared" si="976"/>
        <v>-126957642.03061257</v>
      </c>
      <c r="S439">
        <f t="shared" si="977"/>
        <v>-1269.5764203061258</v>
      </c>
      <c r="T439">
        <f t="shared" si="978"/>
        <v>-1.2695764203061257</v>
      </c>
    </row>
    <row r="440" spans="1:20" x14ac:dyDescent="0.25">
      <c r="A440" s="5">
        <v>44153</v>
      </c>
      <c r="B440">
        <v>2.1180000000000001E-3</v>
      </c>
      <c r="C440">
        <v>2.2200000000000002E-3</v>
      </c>
      <c r="D440">
        <v>2.0370000000000002E-3</v>
      </c>
      <c r="E440">
        <v>2.1069999999999999E-3</v>
      </c>
      <c r="F440">
        <v>325074905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-0.23497267759563117</v>
      </c>
      <c r="Q440">
        <f t="shared" si="975"/>
        <v>-76383720.846995428</v>
      </c>
      <c r="R440">
        <f t="shared" si="976"/>
        <v>-138792388.36864102</v>
      </c>
      <c r="S440">
        <f t="shared" si="977"/>
        <v>-1387.9238836864101</v>
      </c>
      <c r="T440">
        <f t="shared" si="978"/>
        <v>-1.3879238836864101</v>
      </c>
    </row>
    <row r="441" spans="1:20" x14ac:dyDescent="0.25">
      <c r="A441" s="5">
        <v>44152</v>
      </c>
      <c r="B441">
        <v>2.2160000000000001E-3</v>
      </c>
      <c r="C441">
        <v>2.2529999999999998E-3</v>
      </c>
      <c r="D441">
        <v>2.0899999999999998E-3</v>
      </c>
      <c r="E441">
        <v>2.1180000000000001E-3</v>
      </c>
      <c r="F441">
        <v>157354155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-0.65644171779140792</v>
      </c>
      <c r="Q441">
        <f t="shared" si="975"/>
        <v>-103293831.80981547</v>
      </c>
      <c r="R441">
        <f t="shared" si="976"/>
        <v>-62408667.521645606</v>
      </c>
      <c r="S441">
        <f t="shared" si="977"/>
        <v>-624.086675216456</v>
      </c>
      <c r="T441">
        <f t="shared" si="978"/>
        <v>-0.624086675216456</v>
      </c>
    </row>
    <row r="442" spans="1:20" x14ac:dyDescent="0.25">
      <c r="A442" s="5">
        <v>44151</v>
      </c>
      <c r="B442">
        <v>2.2460000000000002E-3</v>
      </c>
      <c r="C442">
        <v>2.2759999999999998E-3</v>
      </c>
      <c r="D442">
        <v>2.1610000000000002E-3</v>
      </c>
      <c r="E442">
        <v>2.215E-3</v>
      </c>
      <c r="F442">
        <v>133717514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-6.0869565217392028E-2</v>
      </c>
      <c r="Q442">
        <f t="shared" si="975"/>
        <v>-8139326.9391305316</v>
      </c>
      <c r="R442">
        <f t="shared" si="976"/>
        <v>40885164.288169861</v>
      </c>
      <c r="S442">
        <f t="shared" si="977"/>
        <v>408.85164288169858</v>
      </c>
      <c r="T442">
        <f t="shared" si="978"/>
        <v>0.40885164288169856</v>
      </c>
    </row>
    <row r="443" spans="1:20" x14ac:dyDescent="0.25">
      <c r="A443" s="5">
        <v>44150</v>
      </c>
      <c r="B443">
        <v>2.3019999999999998E-3</v>
      </c>
      <c r="C443">
        <v>2.4599999999999999E-3</v>
      </c>
      <c r="D443">
        <v>2.16E-3</v>
      </c>
      <c r="E443">
        <v>2.2460000000000002E-3</v>
      </c>
      <c r="F443">
        <v>236545220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-0.42666666666666558</v>
      </c>
      <c r="Q443">
        <f t="shared" si="975"/>
        <v>-100925960.53333308</v>
      </c>
      <c r="R443">
        <f t="shared" si="976"/>
        <v>49024491.227300391</v>
      </c>
      <c r="S443">
        <f t="shared" si="977"/>
        <v>490.24491227300393</v>
      </c>
      <c r="T443">
        <f t="shared" si="978"/>
        <v>0.49024491227300393</v>
      </c>
    </row>
    <row r="444" spans="1:20" x14ac:dyDescent="0.25">
      <c r="A444" s="5">
        <v>44149</v>
      </c>
      <c r="B444">
        <v>2.287E-3</v>
      </c>
      <c r="C444">
        <v>2.594E-3</v>
      </c>
      <c r="D444">
        <v>2.2000000000000001E-3</v>
      </c>
      <c r="E444">
        <v>2.294E-3</v>
      </c>
      <c r="F444">
        <v>426545212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-0.52284263959390898</v>
      </c>
      <c r="Q444">
        <f t="shared" si="975"/>
        <v>-223016024.5482235</v>
      </c>
      <c r="R444">
        <f t="shared" si="976"/>
        <v>149950451.76063347</v>
      </c>
      <c r="S444">
        <f t="shared" si="977"/>
        <v>1499.5045176063347</v>
      </c>
      <c r="T444">
        <f t="shared" si="978"/>
        <v>1.4995045176063346</v>
      </c>
    </row>
    <row r="445" spans="1:20" x14ac:dyDescent="0.25">
      <c r="A445" s="5">
        <v>44148</v>
      </c>
      <c r="B445">
        <v>2.2929999999999999E-3</v>
      </c>
      <c r="C445">
        <v>2.31E-3</v>
      </c>
      <c r="D445">
        <v>2.114E-3</v>
      </c>
      <c r="E445">
        <v>2.2780000000000001E-3</v>
      </c>
      <c r="F445">
        <v>255516601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0.6734693877551029</v>
      </c>
      <c r="Q445">
        <f t="shared" si="975"/>
        <v>172082608.83673492</v>
      </c>
      <c r="R445">
        <f t="shared" si="976"/>
        <v>372966476.30885696</v>
      </c>
      <c r="S445">
        <f t="shared" si="977"/>
        <v>3729.6647630885695</v>
      </c>
      <c r="T445">
        <f t="shared" si="978"/>
        <v>3.7296647630885698</v>
      </c>
    </row>
    <row r="446" spans="1:20" x14ac:dyDescent="0.25">
      <c r="A446" s="5">
        <v>44147</v>
      </c>
      <c r="B446">
        <v>2.5209999999999998E-3</v>
      </c>
      <c r="C446">
        <v>2.539E-3</v>
      </c>
      <c r="D446">
        <v>2.1510000000000001E-3</v>
      </c>
      <c r="E446">
        <v>2.2889999999999998E-3</v>
      </c>
      <c r="F446">
        <v>404889958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-0.28865979381443452</v>
      </c>
      <c r="Q446">
        <f t="shared" si="975"/>
        <v>-116875451.79381505</v>
      </c>
      <c r="R446">
        <f t="shared" si="976"/>
        <v>200883867.47212204</v>
      </c>
      <c r="S446">
        <f t="shared" si="977"/>
        <v>2008.8386747212205</v>
      </c>
      <c r="T446">
        <f t="shared" si="978"/>
        <v>2.0088386747212206</v>
      </c>
    </row>
    <row r="447" spans="1:20" x14ac:dyDescent="0.25">
      <c r="A447" s="5">
        <v>44146</v>
      </c>
      <c r="B447">
        <v>2.5490000000000001E-3</v>
      </c>
      <c r="C447">
        <v>3.1159999999999998E-3</v>
      </c>
      <c r="D447">
        <v>2.3709999999999998E-3</v>
      </c>
      <c r="E447">
        <v>2.5179999999999998E-3</v>
      </c>
      <c r="F447">
        <v>1006709706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-0.60536912751677852</v>
      </c>
      <c r="Q447">
        <f t="shared" si="975"/>
        <v>-609430976.38389266</v>
      </c>
      <c r="R447">
        <f t="shared" si="976"/>
        <v>317759319.26593709</v>
      </c>
      <c r="S447">
        <f t="shared" si="977"/>
        <v>3177.5931926593707</v>
      </c>
      <c r="T447">
        <f t="shared" si="978"/>
        <v>3.1775931926593706</v>
      </c>
    </row>
    <row r="448" spans="1:20" x14ac:dyDescent="0.25">
      <c r="A448" s="5">
        <v>44145</v>
      </c>
      <c r="B448">
        <v>2.3700000000000001E-3</v>
      </c>
      <c r="C448">
        <v>2.6779999999999998E-3</v>
      </c>
      <c r="D448">
        <v>2.3E-3</v>
      </c>
      <c r="E448">
        <v>2.5439999999999998E-3</v>
      </c>
      <c r="F448">
        <v>716348082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0.29100529100529071</v>
      </c>
      <c r="Q448">
        <f t="shared" si="975"/>
        <v>208461082.06349185</v>
      </c>
      <c r="R448">
        <f t="shared" si="976"/>
        <v>927190295.64982975</v>
      </c>
      <c r="S448">
        <f t="shared" si="977"/>
        <v>9271.9029564982975</v>
      </c>
      <c r="T448">
        <f t="shared" si="978"/>
        <v>9.2719029564982982</v>
      </c>
    </row>
    <row r="449" spans="1:20" x14ac:dyDescent="0.25">
      <c r="A449" s="5">
        <v>44144</v>
      </c>
      <c r="B449">
        <v>2.1029999999999998E-3</v>
      </c>
      <c r="C449">
        <v>2.4299999999999999E-3</v>
      </c>
      <c r="D449">
        <v>2.0560000000000001E-3</v>
      </c>
      <c r="E449">
        <v>2.3709999999999998E-3</v>
      </c>
      <c r="F449">
        <v>525091268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0.6844919786096253</v>
      </c>
      <c r="Q449">
        <f t="shared" si="975"/>
        <v>359420760.98395705</v>
      </c>
      <c r="R449">
        <f t="shared" si="976"/>
        <v>718729213.58633792</v>
      </c>
      <c r="S449">
        <f t="shared" si="977"/>
        <v>7187.2921358633794</v>
      </c>
      <c r="T449">
        <f t="shared" si="978"/>
        <v>7.1872921358633794</v>
      </c>
    </row>
    <row r="450" spans="1:20" x14ac:dyDescent="0.25">
      <c r="A450" s="5">
        <v>44143</v>
      </c>
      <c r="B450">
        <v>2.0439999999999998E-3</v>
      </c>
      <c r="C450">
        <v>2.1350000000000002E-3</v>
      </c>
      <c r="D450">
        <v>1.931E-3</v>
      </c>
      <c r="E450">
        <v>2.104E-3</v>
      </c>
      <c r="F450">
        <v>385067962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0.69607843137254721</v>
      </c>
      <c r="Q450">
        <f t="shared" si="975"/>
        <v>268037502.96078363</v>
      </c>
      <c r="R450">
        <f t="shared" si="976"/>
        <v>359308452.60238087</v>
      </c>
      <c r="S450">
        <f t="shared" si="977"/>
        <v>3593.0845260238088</v>
      </c>
      <c r="T450">
        <f t="shared" si="978"/>
        <v>3.5930845260238087</v>
      </c>
    </row>
    <row r="451" spans="1:20" x14ac:dyDescent="0.25">
      <c r="A451" s="5">
        <v>44142</v>
      </c>
      <c r="B451">
        <v>1.9719999999999998E-3</v>
      </c>
      <c r="C451">
        <v>2.4880000000000002E-3</v>
      </c>
      <c r="D451">
        <v>1.8600000000000001E-3</v>
      </c>
      <c r="E451">
        <v>2.0530000000000001E-3</v>
      </c>
      <c r="F451">
        <v>598086798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-0.38535031847133755</v>
      </c>
      <c r="Q451">
        <f t="shared" si="975"/>
        <v>-230472938.08280253</v>
      </c>
      <c r="R451">
        <f t="shared" si="976"/>
        <v>91270949.641597271</v>
      </c>
      <c r="S451">
        <f t="shared" si="977"/>
        <v>912.70949641597269</v>
      </c>
      <c r="T451">
        <f t="shared" si="978"/>
        <v>0.91270949641597265</v>
      </c>
    </row>
    <row r="452" spans="1:20" x14ac:dyDescent="0.25">
      <c r="A452" s="5">
        <v>44141</v>
      </c>
      <c r="B452">
        <v>1.74E-3</v>
      </c>
      <c r="C452">
        <v>2.0070000000000001E-3</v>
      </c>
      <c r="D452">
        <v>1.707E-3</v>
      </c>
      <c r="E452">
        <v>1.9729999999999999E-3</v>
      </c>
      <c r="F452">
        <v>281494961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0.77333333333333232</v>
      </c>
      <c r="Q452">
        <f t="shared" si="975"/>
        <v>217689436.50666639</v>
      </c>
      <c r="R452">
        <f t="shared" si="976"/>
        <v>321743887.72439981</v>
      </c>
      <c r="S452">
        <f t="shared" si="977"/>
        <v>3217.4388772439979</v>
      </c>
      <c r="T452">
        <f t="shared" si="978"/>
        <v>3.2174388772439979</v>
      </c>
    </row>
    <row r="453" spans="1:20" x14ac:dyDescent="0.25">
      <c r="A453" s="5">
        <v>44140</v>
      </c>
      <c r="B453">
        <v>1.6169999999999999E-3</v>
      </c>
      <c r="C453">
        <v>1.7440000000000001E-3</v>
      </c>
      <c r="D453">
        <v>1.6050000000000001E-3</v>
      </c>
      <c r="E453">
        <v>1.74E-3</v>
      </c>
      <c r="F453">
        <v>119661348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0.94244604316546621</v>
      </c>
      <c r="Q453">
        <f t="shared" si="975"/>
        <v>112774363.94244587</v>
      </c>
      <c r="R453">
        <f t="shared" si="976"/>
        <v>104054451.21773338</v>
      </c>
      <c r="S453">
        <f t="shared" si="977"/>
        <v>1040.5445121773339</v>
      </c>
      <c r="T453">
        <f t="shared" si="978"/>
        <v>1.0405445121773338</v>
      </c>
    </row>
    <row r="454" spans="1:20" x14ac:dyDescent="0.25">
      <c r="A454" s="5">
        <v>44139</v>
      </c>
      <c r="B454">
        <v>1.701E-3</v>
      </c>
      <c r="C454">
        <v>1.755E-3</v>
      </c>
      <c r="D454">
        <v>1.5629999999999999E-3</v>
      </c>
      <c r="E454">
        <v>1.6199999999999999E-3</v>
      </c>
      <c r="F454">
        <v>240353708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-0.40625000000000061</v>
      </c>
      <c r="Q454">
        <f t="shared" ref="Q454:Q517" si="980">F454*P454</f>
        <v>-97643693.875000149</v>
      </c>
      <c r="R454">
        <f t="shared" ref="R454:R517" si="981">R455+Q454</f>
        <v>-8719912.724712491</v>
      </c>
      <c r="S454">
        <f t="shared" ref="S454:S517" si="982">R454/100000</f>
        <v>-87.199127247124906</v>
      </c>
      <c r="T454">
        <f t="shared" ref="T454:T517" si="983">S454/1000</f>
        <v>-8.7199127247124905E-2</v>
      </c>
    </row>
    <row r="455" spans="1:20" x14ac:dyDescent="0.25">
      <c r="A455" s="5">
        <v>44138</v>
      </c>
      <c r="B455">
        <v>1.7570000000000001E-3</v>
      </c>
      <c r="C455">
        <v>1.7819999999999999E-3</v>
      </c>
      <c r="D455">
        <v>1.66E-3</v>
      </c>
      <c r="E455">
        <v>1.6999999999999999E-3</v>
      </c>
      <c r="F455">
        <v>78685940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-0.34426229508196865</v>
      </c>
      <c r="Q455">
        <f t="shared" si="980"/>
        <v>-27088602.295082081</v>
      </c>
      <c r="R455">
        <f t="shared" si="981"/>
        <v>88923781.150287658</v>
      </c>
      <c r="S455">
        <f t="shared" si="982"/>
        <v>889.23781150287653</v>
      </c>
      <c r="T455">
        <f t="shared" si="983"/>
        <v>0.88923781150287651</v>
      </c>
    </row>
    <row r="456" spans="1:20" x14ac:dyDescent="0.25">
      <c r="A456" s="5">
        <v>44137</v>
      </c>
      <c r="B456">
        <v>1.853E-3</v>
      </c>
      <c r="C456">
        <v>1.854E-3</v>
      </c>
      <c r="D456">
        <v>1.735E-3</v>
      </c>
      <c r="E456">
        <v>1.758E-3</v>
      </c>
      <c r="F456">
        <v>66108706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-0.6134453781512601</v>
      </c>
      <c r="Q456">
        <f t="shared" si="980"/>
        <v>-40554080.15126048</v>
      </c>
      <c r="R456">
        <f t="shared" si="981"/>
        <v>116012383.44536974</v>
      </c>
      <c r="S456">
        <f t="shared" si="982"/>
        <v>1160.1238344536973</v>
      </c>
      <c r="T456">
        <f t="shared" si="983"/>
        <v>1.1601238344536973</v>
      </c>
    </row>
    <row r="457" spans="1:20" x14ac:dyDescent="0.25">
      <c r="A457" s="5">
        <v>44136</v>
      </c>
      <c r="B457">
        <v>1.804E-3</v>
      </c>
      <c r="C457">
        <v>1.8749999999999999E-3</v>
      </c>
      <c r="D457">
        <v>1.781E-3</v>
      </c>
      <c r="E457">
        <v>1.853E-3</v>
      </c>
      <c r="F457">
        <v>82064001</v>
      </c>
      <c r="G457">
        <v>0</v>
      </c>
      <c r="L457" t="s">
        <v>8</v>
      </c>
      <c r="M457" t="s">
        <v>7</v>
      </c>
      <c r="N457" t="s">
        <v>8</v>
      </c>
      <c r="P457">
        <f t="shared" si="979"/>
        <v>0.53191489361702327</v>
      </c>
      <c r="Q457">
        <f t="shared" si="980"/>
        <v>43651064.361702293</v>
      </c>
      <c r="R457">
        <f t="shared" si="981"/>
        <v>156566463.59663022</v>
      </c>
      <c r="S457">
        <f t="shared" si="982"/>
        <v>1565.6646359663021</v>
      </c>
      <c r="T457">
        <f t="shared" si="983"/>
        <v>1.565664635966302</v>
      </c>
    </row>
    <row r="458" spans="1:20" x14ac:dyDescent="0.25">
      <c r="A458" s="5">
        <v>44135</v>
      </c>
      <c r="B458">
        <v>1.81E-3</v>
      </c>
      <c r="C458">
        <v>1.879E-3</v>
      </c>
      <c r="D458">
        <v>1.7849999999999999E-3</v>
      </c>
      <c r="E458">
        <v>1.8090000000000001E-3</v>
      </c>
      <c r="F458">
        <v>92812696</v>
      </c>
      <c r="G458">
        <v>0</v>
      </c>
      <c r="L458" t="s">
        <v>8</v>
      </c>
      <c r="M458" t="s">
        <v>7</v>
      </c>
      <c r="N458" t="s">
        <v>8</v>
      </c>
      <c r="P458">
        <f t="shared" si="979"/>
        <v>-0.48936170212765701</v>
      </c>
      <c r="Q458">
        <f t="shared" si="980"/>
        <v>-45418978.893616781</v>
      </c>
      <c r="R458">
        <f t="shared" si="981"/>
        <v>112915399.23492794</v>
      </c>
      <c r="S458">
        <f t="shared" si="982"/>
        <v>1129.1539923492794</v>
      </c>
      <c r="T458">
        <f t="shared" si="983"/>
        <v>1.1291539923492795</v>
      </c>
    </row>
    <row r="459" spans="1:20" x14ac:dyDescent="0.25">
      <c r="A459" s="5">
        <v>44134</v>
      </c>
      <c r="B459">
        <v>1.9559999999999998E-3</v>
      </c>
      <c r="C459">
        <v>1.9759999999999999E-3</v>
      </c>
      <c r="D459">
        <v>1.7110000000000001E-3</v>
      </c>
      <c r="E459">
        <v>1.815E-3</v>
      </c>
      <c r="F459">
        <v>190581147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-0.21509433962264157</v>
      </c>
      <c r="Q459">
        <f t="shared" si="980"/>
        <v>-40992925.95849058</v>
      </c>
      <c r="R459">
        <f t="shared" si="981"/>
        <v>158334378.12854472</v>
      </c>
      <c r="S459">
        <f t="shared" si="982"/>
        <v>1583.3437812854472</v>
      </c>
      <c r="T459">
        <f t="shared" si="983"/>
        <v>1.5833437812854472</v>
      </c>
    </row>
    <row r="460" spans="1:20" x14ac:dyDescent="0.25">
      <c r="A460" s="5">
        <v>44133</v>
      </c>
      <c r="B460">
        <v>1.98E-3</v>
      </c>
      <c r="C460">
        <v>2.0590000000000001E-3</v>
      </c>
      <c r="D460">
        <v>1.877E-3</v>
      </c>
      <c r="E460">
        <v>1.9589999999999998E-3</v>
      </c>
      <c r="F460">
        <v>106531801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-9.8901098901101256E-2</v>
      </c>
      <c r="Q460">
        <f t="shared" si="980"/>
        <v>-10536112.186813438</v>
      </c>
      <c r="R460">
        <f t="shared" si="981"/>
        <v>199327304.0870353</v>
      </c>
      <c r="S460">
        <f t="shared" si="982"/>
        <v>1993.273040870353</v>
      </c>
      <c r="T460">
        <f t="shared" si="983"/>
        <v>1.993273040870353</v>
      </c>
    </row>
    <row r="461" spans="1:20" x14ac:dyDescent="0.25">
      <c r="A461" s="5">
        <v>44132</v>
      </c>
      <c r="B461">
        <v>2.153E-3</v>
      </c>
      <c r="C461">
        <v>2.153E-3</v>
      </c>
      <c r="D461">
        <v>1.9430000000000001E-3</v>
      </c>
      <c r="E461">
        <v>1.9780000000000002E-3</v>
      </c>
      <c r="F461">
        <v>176995912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-0.66666666666666563</v>
      </c>
      <c r="Q461">
        <f t="shared" si="980"/>
        <v>-117997274.66666648</v>
      </c>
      <c r="R461">
        <f t="shared" si="981"/>
        <v>209863416.27384874</v>
      </c>
      <c r="S461">
        <f t="shared" si="982"/>
        <v>2098.6341627384872</v>
      </c>
      <c r="T461">
        <f t="shared" si="983"/>
        <v>2.0986341627384872</v>
      </c>
    </row>
    <row r="462" spans="1:20" x14ac:dyDescent="0.25">
      <c r="A462" s="5">
        <v>44131</v>
      </c>
      <c r="B462">
        <v>1.983E-3</v>
      </c>
      <c r="C462">
        <v>2.2820000000000002E-3</v>
      </c>
      <c r="D462">
        <v>1.9239999999999999E-3</v>
      </c>
      <c r="E462">
        <v>2.1489999999999999E-3</v>
      </c>
      <c r="F462">
        <v>429010591</v>
      </c>
      <c r="G462">
        <v>0</v>
      </c>
      <c r="L462" t="s">
        <v>8</v>
      </c>
      <c r="M462" t="s">
        <v>7</v>
      </c>
      <c r="N462" t="s">
        <v>8</v>
      </c>
      <c r="P462">
        <f t="shared" si="979"/>
        <v>0.25698324022346247</v>
      </c>
      <c r="Q462">
        <f t="shared" si="980"/>
        <v>110248531.76536261</v>
      </c>
      <c r="R462">
        <f t="shared" si="981"/>
        <v>327860690.94051522</v>
      </c>
      <c r="S462">
        <f t="shared" si="982"/>
        <v>3278.6069094051522</v>
      </c>
      <c r="T462">
        <f t="shared" si="983"/>
        <v>3.2786069094051524</v>
      </c>
    </row>
    <row r="463" spans="1:20" x14ac:dyDescent="0.25">
      <c r="A463" s="5">
        <v>44130</v>
      </c>
      <c r="B463">
        <v>1.9919999999999998E-3</v>
      </c>
      <c r="C463">
        <v>2.395E-3</v>
      </c>
      <c r="D463">
        <v>1.843E-3</v>
      </c>
      <c r="E463">
        <v>1.9859999999999999E-3</v>
      </c>
      <c r="F463">
        <v>651508042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-0.48188405797101486</v>
      </c>
      <c r="Q463">
        <f t="shared" si="980"/>
        <v>-313951339.07971036</v>
      </c>
      <c r="R463">
        <f t="shared" si="981"/>
        <v>217612159.1751526</v>
      </c>
      <c r="S463">
        <f t="shared" si="982"/>
        <v>2176.121591751526</v>
      </c>
      <c r="T463">
        <f t="shared" si="983"/>
        <v>2.1761215917515262</v>
      </c>
    </row>
    <row r="464" spans="1:20" x14ac:dyDescent="0.25">
      <c r="A464" s="5">
        <v>44129</v>
      </c>
      <c r="B464">
        <v>1.98E-3</v>
      </c>
      <c r="C464">
        <v>2.085E-3</v>
      </c>
      <c r="D464">
        <v>1.9109999999999999E-3</v>
      </c>
      <c r="E464">
        <v>1.9919999999999998E-3</v>
      </c>
      <c r="F464">
        <v>229087088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-6.8965517241380947E-2</v>
      </c>
      <c r="Q464">
        <f t="shared" si="980"/>
        <v>-15799109.517241754</v>
      </c>
      <c r="R464">
        <f t="shared" si="981"/>
        <v>531563498.25486296</v>
      </c>
      <c r="S464">
        <f t="shared" si="982"/>
        <v>5315.6349825486295</v>
      </c>
      <c r="T464">
        <f t="shared" si="983"/>
        <v>5.3156349825486293</v>
      </c>
    </row>
    <row r="465" spans="1:20" x14ac:dyDescent="0.25">
      <c r="A465" s="5">
        <v>44128</v>
      </c>
      <c r="B465">
        <v>1.9980000000000002E-3</v>
      </c>
      <c r="C465">
        <v>2.2000000000000001E-3</v>
      </c>
      <c r="D465">
        <v>1.946E-3</v>
      </c>
      <c r="E465">
        <v>1.98E-3</v>
      </c>
      <c r="F465">
        <v>535977129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-0.73228346456692961</v>
      </c>
      <c r="Q465">
        <f t="shared" si="980"/>
        <v>-392487188.95275617</v>
      </c>
      <c r="R465">
        <f t="shared" si="981"/>
        <v>547362607.77210474</v>
      </c>
      <c r="S465">
        <f t="shared" si="982"/>
        <v>5473.6260777210473</v>
      </c>
      <c r="T465">
        <f t="shared" si="983"/>
        <v>5.4736260777210477</v>
      </c>
    </row>
    <row r="466" spans="1:20" x14ac:dyDescent="0.25">
      <c r="A466" s="5">
        <v>44127</v>
      </c>
      <c r="B466">
        <v>1.944E-3</v>
      </c>
      <c r="C466">
        <v>2.0999999999999999E-3</v>
      </c>
      <c r="D466">
        <v>1.877E-3</v>
      </c>
      <c r="E466">
        <v>2.0040000000000001E-3</v>
      </c>
      <c r="F466">
        <v>419328502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0.13901345291480019</v>
      </c>
      <c r="Q466">
        <f t="shared" si="980"/>
        <v>58292302.968610696</v>
      </c>
      <c r="R466">
        <f t="shared" si="981"/>
        <v>939849796.72486091</v>
      </c>
      <c r="S466">
        <f t="shared" si="982"/>
        <v>9398.4979672486097</v>
      </c>
      <c r="T466">
        <f t="shared" si="983"/>
        <v>9.3984979672486091</v>
      </c>
    </row>
    <row r="467" spans="1:20" x14ac:dyDescent="0.25">
      <c r="A467" s="5">
        <v>44126</v>
      </c>
      <c r="B467">
        <v>1.817E-3</v>
      </c>
      <c r="C467">
        <v>1.9599999999999999E-3</v>
      </c>
      <c r="D467">
        <v>1.7910000000000001E-3</v>
      </c>
      <c r="E467">
        <v>1.944E-3</v>
      </c>
      <c r="F467">
        <v>204029793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0.81065088757396486</v>
      </c>
      <c r="Q467">
        <f t="shared" si="980"/>
        <v>165396932.78698233</v>
      </c>
      <c r="R467">
        <f t="shared" si="981"/>
        <v>881557493.75625026</v>
      </c>
      <c r="S467">
        <f t="shared" si="982"/>
        <v>8815.5749375625019</v>
      </c>
      <c r="T467">
        <f t="shared" si="983"/>
        <v>8.8155749375625021</v>
      </c>
    </row>
    <row r="468" spans="1:20" x14ac:dyDescent="0.25">
      <c r="A468" s="5">
        <v>44125</v>
      </c>
      <c r="B468">
        <v>1.7669999999999999E-3</v>
      </c>
      <c r="C468">
        <v>1.9719999999999998E-3</v>
      </c>
      <c r="D468">
        <v>1.7619999999999999E-3</v>
      </c>
      <c r="E468">
        <v>1.817E-3</v>
      </c>
      <c r="F468">
        <v>278476891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-0.47619047619047455</v>
      </c>
      <c r="Q468">
        <f t="shared" si="980"/>
        <v>-132608043.33333288</v>
      </c>
      <c r="R468">
        <f t="shared" si="981"/>
        <v>716160560.96926796</v>
      </c>
      <c r="S468">
        <f t="shared" si="982"/>
        <v>7161.6056096926795</v>
      </c>
      <c r="T468">
        <f t="shared" si="983"/>
        <v>7.1616056096926792</v>
      </c>
    </row>
    <row r="469" spans="1:20" x14ac:dyDescent="0.25">
      <c r="A469" s="5">
        <v>44124</v>
      </c>
      <c r="B469">
        <v>1.8680000000000001E-3</v>
      </c>
      <c r="C469">
        <v>2.1480000000000002E-3</v>
      </c>
      <c r="D469">
        <v>1.7210000000000001E-3</v>
      </c>
      <c r="E469">
        <v>1.7669999999999999E-3</v>
      </c>
      <c r="F469">
        <v>1043463551</v>
      </c>
      <c r="G469">
        <v>0</v>
      </c>
      <c r="L469" t="s">
        <v>8</v>
      </c>
      <c r="M469" t="s">
        <v>8</v>
      </c>
      <c r="N469" t="s">
        <v>7</v>
      </c>
      <c r="P469">
        <f t="shared" si="979"/>
        <v>-0.78454332552693296</v>
      </c>
      <c r="Q469">
        <f t="shared" si="980"/>
        <v>-818642364.36768246</v>
      </c>
      <c r="R469">
        <f t="shared" si="981"/>
        <v>848768604.30260086</v>
      </c>
      <c r="S469">
        <f t="shared" si="982"/>
        <v>8487.6860430260094</v>
      </c>
      <c r="T469">
        <f t="shared" si="983"/>
        <v>8.4876860430260095</v>
      </c>
    </row>
    <row r="470" spans="1:20" x14ac:dyDescent="0.25">
      <c r="A470" s="5">
        <v>44123</v>
      </c>
      <c r="B470">
        <v>1.735E-3</v>
      </c>
      <c r="C470">
        <v>2.0630000000000002E-3</v>
      </c>
      <c r="D470">
        <v>1.6670000000000001E-3</v>
      </c>
      <c r="E470">
        <v>1.866E-3</v>
      </c>
      <c r="F470">
        <v>838916027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5.0505050505046242E-3</v>
      </c>
      <c r="Q470">
        <f t="shared" si="980"/>
        <v>4236949.6313127736</v>
      </c>
      <c r="R470">
        <f t="shared" si="981"/>
        <v>1667410968.6702833</v>
      </c>
      <c r="S470">
        <f t="shared" si="982"/>
        <v>16674.109686702832</v>
      </c>
      <c r="T470">
        <f t="shared" si="983"/>
        <v>16.674109686702831</v>
      </c>
    </row>
    <row r="471" spans="1:20" x14ac:dyDescent="0.25">
      <c r="A471" s="5">
        <v>44122</v>
      </c>
      <c r="B471">
        <v>1.725E-3</v>
      </c>
      <c r="C471">
        <v>1.7589999999999999E-3</v>
      </c>
      <c r="D471">
        <v>1.719E-3</v>
      </c>
      <c r="E471">
        <v>1.735E-3</v>
      </c>
      <c r="F471">
        <v>39365317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-0.2</v>
      </c>
      <c r="Q471">
        <f t="shared" si="980"/>
        <v>-7873063.4000000004</v>
      </c>
      <c r="R471">
        <f t="shared" si="981"/>
        <v>1663174019.0389705</v>
      </c>
      <c r="S471">
        <f t="shared" si="982"/>
        <v>16631.740190389704</v>
      </c>
      <c r="T471">
        <f t="shared" si="983"/>
        <v>16.631740190389703</v>
      </c>
    </row>
    <row r="472" spans="1:20" x14ac:dyDescent="0.25">
      <c r="A472" s="5">
        <v>44121</v>
      </c>
      <c r="B472">
        <v>1.6980000000000001E-3</v>
      </c>
      <c r="C472">
        <v>1.787E-3</v>
      </c>
      <c r="D472">
        <v>1.676E-3</v>
      </c>
      <c r="E472">
        <v>1.7179999999999999E-3</v>
      </c>
      <c r="F472">
        <v>86256910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-0.24324324324324431</v>
      </c>
      <c r="Q472">
        <f t="shared" si="980"/>
        <v>-20981410.540540632</v>
      </c>
      <c r="R472">
        <f t="shared" si="981"/>
        <v>1671047082.4389706</v>
      </c>
      <c r="S472">
        <f t="shared" si="982"/>
        <v>16710.470824389704</v>
      </c>
      <c r="T472">
        <f t="shared" si="983"/>
        <v>16.710470824389702</v>
      </c>
    </row>
    <row r="473" spans="1:20" x14ac:dyDescent="0.25">
      <c r="A473" s="5">
        <v>44120</v>
      </c>
      <c r="B473">
        <v>1.7589999999999999E-3</v>
      </c>
      <c r="C473">
        <v>1.7600000000000001E-3</v>
      </c>
      <c r="D473">
        <v>1.6299999999999999E-3</v>
      </c>
      <c r="E473">
        <v>1.6999999999999999E-3</v>
      </c>
      <c r="F473">
        <v>74135102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7.6923076923075387E-2</v>
      </c>
      <c r="Q473">
        <f t="shared" si="980"/>
        <v>5702700.1538460404</v>
      </c>
      <c r="R473">
        <f t="shared" si="981"/>
        <v>1692028492.9795113</v>
      </c>
      <c r="S473">
        <f t="shared" si="982"/>
        <v>16920.284929795114</v>
      </c>
      <c r="T473">
        <f t="shared" si="983"/>
        <v>16.920284929795113</v>
      </c>
    </row>
    <row r="474" spans="1:20" x14ac:dyDescent="0.25">
      <c r="A474" s="5">
        <v>44119</v>
      </c>
      <c r="B474">
        <v>1.7799999999999999E-3</v>
      </c>
      <c r="C474">
        <v>1.82E-3</v>
      </c>
      <c r="D474">
        <v>1.7260000000000001E-3</v>
      </c>
      <c r="E474">
        <v>1.769E-3</v>
      </c>
      <c r="F474">
        <v>55793505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-8.5106382978725567E-2</v>
      </c>
      <c r="Q474">
        <f t="shared" si="980"/>
        <v>-4748383.4042554395</v>
      </c>
      <c r="R474">
        <f t="shared" si="981"/>
        <v>1686325792.8256652</v>
      </c>
      <c r="S474">
        <f t="shared" si="982"/>
        <v>16863.257928256651</v>
      </c>
      <c r="T474">
        <f t="shared" si="983"/>
        <v>16.863257928256651</v>
      </c>
    </row>
    <row r="475" spans="1:20" x14ac:dyDescent="0.25">
      <c r="A475" s="5">
        <v>44118</v>
      </c>
      <c r="B475">
        <v>1.835E-3</v>
      </c>
      <c r="C475">
        <v>1.872E-3</v>
      </c>
      <c r="D475">
        <v>1.745E-3</v>
      </c>
      <c r="E475">
        <v>1.7830000000000001E-3</v>
      </c>
      <c r="F475">
        <v>55157483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-0.40157480314960514</v>
      </c>
      <c r="Q475">
        <f t="shared" si="980"/>
        <v>-22149855.377952691</v>
      </c>
      <c r="R475">
        <f t="shared" si="981"/>
        <v>1691074176.2299206</v>
      </c>
      <c r="S475">
        <f t="shared" si="982"/>
        <v>16910.741762299207</v>
      </c>
      <c r="T475">
        <f t="shared" si="983"/>
        <v>16.910741762299207</v>
      </c>
    </row>
    <row r="476" spans="1:20" x14ac:dyDescent="0.25">
      <c r="A476" s="5">
        <v>44117</v>
      </c>
      <c r="B476">
        <v>1.9269999999999999E-3</v>
      </c>
      <c r="C476">
        <v>1.9740000000000001E-3</v>
      </c>
      <c r="D476">
        <v>1.7750000000000001E-3</v>
      </c>
      <c r="E476">
        <v>1.836E-3</v>
      </c>
      <c r="F476">
        <v>181376860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-0.38693467336683546</v>
      </c>
      <c r="Q476">
        <f t="shared" si="980"/>
        <v>-70180996.08040224</v>
      </c>
      <c r="R476">
        <f t="shared" si="981"/>
        <v>1713224031.6078732</v>
      </c>
      <c r="S476">
        <f t="shared" si="982"/>
        <v>17132.240316078733</v>
      </c>
      <c r="T476">
        <f t="shared" si="983"/>
        <v>17.132240316078732</v>
      </c>
    </row>
    <row r="477" spans="1:20" x14ac:dyDescent="0.25">
      <c r="A477" s="5">
        <v>44116</v>
      </c>
      <c r="B477">
        <v>1.939E-3</v>
      </c>
      <c r="C477">
        <v>1.9559999999999998E-3</v>
      </c>
      <c r="D477">
        <v>1.825E-3</v>
      </c>
      <c r="E477">
        <v>1.931E-3</v>
      </c>
      <c r="F477">
        <v>242634793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0.61832061068702471</v>
      </c>
      <c r="Q477">
        <f t="shared" si="980"/>
        <v>150026093.38167983</v>
      </c>
      <c r="R477">
        <f t="shared" si="981"/>
        <v>1783405027.6882753</v>
      </c>
      <c r="S477">
        <f t="shared" si="982"/>
        <v>17834.050276882754</v>
      </c>
      <c r="T477">
        <f t="shared" si="983"/>
        <v>17.834050276882753</v>
      </c>
    </row>
    <row r="478" spans="1:20" x14ac:dyDescent="0.25">
      <c r="A478" s="5">
        <v>44115</v>
      </c>
      <c r="B478">
        <v>1.946E-3</v>
      </c>
      <c r="C478">
        <v>2.0149999999999999E-3</v>
      </c>
      <c r="D478">
        <v>1.7960000000000001E-3</v>
      </c>
      <c r="E478">
        <v>1.9419999999999999E-3</v>
      </c>
      <c r="F478">
        <v>430819458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0.33333333333333331</v>
      </c>
      <c r="Q478">
        <f t="shared" si="980"/>
        <v>143606486</v>
      </c>
      <c r="R478">
        <f t="shared" si="981"/>
        <v>1633378934.3065956</v>
      </c>
      <c r="S478">
        <f t="shared" si="982"/>
        <v>16333.789343065955</v>
      </c>
      <c r="T478">
        <f t="shared" si="983"/>
        <v>16.333789343065956</v>
      </c>
    </row>
    <row r="479" spans="1:20" x14ac:dyDescent="0.25">
      <c r="A479" s="5">
        <v>44114</v>
      </c>
      <c r="B479">
        <v>1.8779999999999999E-3</v>
      </c>
      <c r="C479">
        <v>3.058E-3</v>
      </c>
      <c r="D479">
        <v>1.8680000000000001E-3</v>
      </c>
      <c r="E479">
        <v>1.9530000000000001E-3</v>
      </c>
      <c r="F479">
        <v>1661329050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-0.8571428571428571</v>
      </c>
      <c r="Q479">
        <f t="shared" si="980"/>
        <v>-1423996328.5714285</v>
      </c>
      <c r="R479">
        <f t="shared" si="981"/>
        <v>1489772448.3065956</v>
      </c>
      <c r="S479">
        <f t="shared" si="982"/>
        <v>14897.724483065957</v>
      </c>
      <c r="T479">
        <f t="shared" si="983"/>
        <v>14.897724483065957</v>
      </c>
    </row>
    <row r="480" spans="1:20" x14ac:dyDescent="0.25">
      <c r="A480" s="5">
        <v>44113</v>
      </c>
      <c r="B480">
        <v>1.531E-3</v>
      </c>
      <c r="C480">
        <v>2.0999999999999999E-3</v>
      </c>
      <c r="D480">
        <v>1.511E-3</v>
      </c>
      <c r="E480">
        <v>1.877E-3</v>
      </c>
      <c r="F480">
        <v>696123701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0.24278438030560295</v>
      </c>
      <c r="Q480">
        <f t="shared" si="980"/>
        <v>169007961.36332783</v>
      </c>
      <c r="R480">
        <f t="shared" si="981"/>
        <v>2913768776.8780241</v>
      </c>
      <c r="S480">
        <f t="shared" si="982"/>
        <v>29137.687768780241</v>
      </c>
      <c r="T480">
        <f t="shared" si="983"/>
        <v>29.137687768780239</v>
      </c>
    </row>
    <row r="481" spans="1:20" x14ac:dyDescent="0.25">
      <c r="A481" s="5">
        <v>44112</v>
      </c>
      <c r="B481">
        <v>1.4499999999999999E-3</v>
      </c>
      <c r="C481">
        <v>1.6590000000000001E-3</v>
      </c>
      <c r="D481">
        <v>1.41E-3</v>
      </c>
      <c r="E481">
        <v>1.529E-3</v>
      </c>
      <c r="F481">
        <v>265421739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-4.4176706827309863E-2</v>
      </c>
      <c r="Q481">
        <f t="shared" si="980"/>
        <v>-11725458.349397756</v>
      </c>
      <c r="R481">
        <f t="shared" si="981"/>
        <v>2744760815.5146961</v>
      </c>
      <c r="S481">
        <f t="shared" si="982"/>
        <v>27447.608155146962</v>
      </c>
      <c r="T481">
        <f t="shared" si="983"/>
        <v>27.447608155146963</v>
      </c>
    </row>
    <row r="482" spans="1:20" x14ac:dyDescent="0.25">
      <c r="A482" s="5">
        <v>44111</v>
      </c>
      <c r="B482">
        <v>1.4790000000000001E-3</v>
      </c>
      <c r="C482">
        <v>1.4790000000000001E-3</v>
      </c>
      <c r="D482">
        <v>1.3860000000000001E-3</v>
      </c>
      <c r="E482">
        <v>1.446E-3</v>
      </c>
      <c r="F482">
        <v>55126053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0.29032258064516026</v>
      </c>
      <c r="Q482">
        <f t="shared" si="980"/>
        <v>16004337.967741879</v>
      </c>
      <c r="R482">
        <f t="shared" si="981"/>
        <v>2756486273.8640938</v>
      </c>
      <c r="S482">
        <f t="shared" si="982"/>
        <v>27564.862738640939</v>
      </c>
      <c r="T482">
        <f t="shared" si="983"/>
        <v>27.56486273864094</v>
      </c>
    </row>
    <row r="483" spans="1:20" x14ac:dyDescent="0.25">
      <c r="A483" s="5">
        <v>44110</v>
      </c>
      <c r="B483">
        <v>1.5659999999999999E-3</v>
      </c>
      <c r="C483">
        <v>1.567E-3</v>
      </c>
      <c r="D483">
        <v>1.436E-3</v>
      </c>
      <c r="E483">
        <v>1.4829999999999999E-3</v>
      </c>
      <c r="F483">
        <v>63246569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-0.28244274809160402</v>
      </c>
      <c r="Q483">
        <f t="shared" si="980"/>
        <v>-17863534.755725253</v>
      </c>
      <c r="R483">
        <f t="shared" si="981"/>
        <v>2740481935.8963518</v>
      </c>
      <c r="S483">
        <f t="shared" si="982"/>
        <v>27404.819358963519</v>
      </c>
      <c r="T483">
        <f t="shared" si="983"/>
        <v>27.404819358963518</v>
      </c>
    </row>
    <row r="484" spans="1:20" x14ac:dyDescent="0.25">
      <c r="A484" s="5">
        <v>44109</v>
      </c>
      <c r="B484">
        <v>1.5399999999999999E-3</v>
      </c>
      <c r="C484">
        <v>1.6169999999999999E-3</v>
      </c>
      <c r="D484">
        <v>1.5070000000000001E-3</v>
      </c>
      <c r="E484">
        <v>1.565E-3</v>
      </c>
      <c r="F484">
        <v>80114850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5.4545454545453974E-2</v>
      </c>
      <c r="Q484">
        <f t="shared" si="980"/>
        <v>4369900.9090908635</v>
      </c>
      <c r="R484">
        <f t="shared" si="981"/>
        <v>2758345470.6520772</v>
      </c>
      <c r="S484">
        <f t="shared" si="982"/>
        <v>27583.454706520773</v>
      </c>
      <c r="T484">
        <f t="shared" si="983"/>
        <v>27.583454706520772</v>
      </c>
    </row>
    <row r="485" spans="1:20" x14ac:dyDescent="0.25">
      <c r="A485" s="5">
        <v>44108</v>
      </c>
      <c r="B485">
        <v>1.5629999999999999E-3</v>
      </c>
      <c r="C485">
        <v>1.5629999999999999E-3</v>
      </c>
      <c r="D485">
        <v>1.4940000000000001E-3</v>
      </c>
      <c r="E485">
        <v>1.5399999999999999E-3</v>
      </c>
      <c r="F485">
        <v>47387908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0.33333333333333126</v>
      </c>
      <c r="Q485">
        <f t="shared" si="980"/>
        <v>15795969.333333235</v>
      </c>
      <c r="R485">
        <f t="shared" si="981"/>
        <v>2753975569.7429862</v>
      </c>
      <c r="S485">
        <f t="shared" si="982"/>
        <v>27539.75569742986</v>
      </c>
      <c r="T485">
        <f t="shared" si="983"/>
        <v>27.539755697429861</v>
      </c>
    </row>
    <row r="486" spans="1:20" x14ac:dyDescent="0.25">
      <c r="A486" s="5">
        <v>44107</v>
      </c>
      <c r="B486">
        <v>1.536E-3</v>
      </c>
      <c r="C486">
        <v>1.578E-3</v>
      </c>
      <c r="D486">
        <v>1.5269999999999999E-3</v>
      </c>
      <c r="E486">
        <v>1.5629999999999999E-3</v>
      </c>
      <c r="F486">
        <v>34854674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0.41176470588235192</v>
      </c>
      <c r="Q486">
        <f t="shared" si="980"/>
        <v>14351924.588235259</v>
      </c>
      <c r="R486">
        <f t="shared" si="981"/>
        <v>2738179600.4096532</v>
      </c>
      <c r="S486">
        <f t="shared" si="982"/>
        <v>27381.796004096534</v>
      </c>
      <c r="T486">
        <f t="shared" si="983"/>
        <v>27.381796004096532</v>
      </c>
    </row>
    <row r="487" spans="1:20" x14ac:dyDescent="0.25">
      <c r="A487" s="5">
        <v>44106</v>
      </c>
      <c r="B487">
        <v>1.6080000000000001E-3</v>
      </c>
      <c r="C487">
        <v>1.632E-3</v>
      </c>
      <c r="D487">
        <v>1.4790000000000001E-3</v>
      </c>
      <c r="E487">
        <v>1.5299999999999999E-3</v>
      </c>
      <c r="F487">
        <v>106303962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-0.3333333333333352</v>
      </c>
      <c r="Q487">
        <f t="shared" si="980"/>
        <v>-35434654.000000201</v>
      </c>
      <c r="R487">
        <f t="shared" si="981"/>
        <v>2723827675.8214178</v>
      </c>
      <c r="S487">
        <f t="shared" si="982"/>
        <v>27238.276758214179</v>
      </c>
      <c r="T487">
        <f t="shared" si="983"/>
        <v>27.23827675821418</v>
      </c>
    </row>
    <row r="488" spans="1:20" x14ac:dyDescent="0.25">
      <c r="A488" s="5">
        <v>44105</v>
      </c>
      <c r="B488">
        <v>1.655E-3</v>
      </c>
      <c r="C488">
        <v>1.6900000000000001E-3</v>
      </c>
      <c r="D488">
        <v>1.5499999999999999E-3</v>
      </c>
      <c r="E488">
        <v>1.611E-3</v>
      </c>
      <c r="F488">
        <v>84956649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-0.12857142857142845</v>
      </c>
      <c r="Q488">
        <f t="shared" si="980"/>
        <v>-10922997.728571419</v>
      </c>
      <c r="R488">
        <f t="shared" si="981"/>
        <v>2759262329.8214178</v>
      </c>
      <c r="S488">
        <f t="shared" si="982"/>
        <v>27592.623298214177</v>
      </c>
      <c r="T488">
        <f t="shared" si="983"/>
        <v>27.592623298214178</v>
      </c>
    </row>
    <row r="489" spans="1:20" x14ac:dyDescent="0.25">
      <c r="A489" s="5">
        <v>44104</v>
      </c>
      <c r="B489">
        <v>1.6789999999999999E-3</v>
      </c>
      <c r="C489">
        <v>1.7030000000000001E-3</v>
      </c>
      <c r="D489">
        <v>1.6199999999999999E-3</v>
      </c>
      <c r="E489">
        <v>1.6559999999999999E-3</v>
      </c>
      <c r="F489">
        <v>145157330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-0.13253012048192936</v>
      </c>
      <c r="Q489">
        <f t="shared" si="980"/>
        <v>-19237718.433735181</v>
      </c>
      <c r="R489">
        <f t="shared" si="981"/>
        <v>2770185327.5499892</v>
      </c>
      <c r="S489">
        <f t="shared" si="982"/>
        <v>27701.853275499892</v>
      </c>
      <c r="T489">
        <f t="shared" si="983"/>
        <v>27.701853275499893</v>
      </c>
    </row>
    <row r="490" spans="1:20" x14ac:dyDescent="0.25">
      <c r="A490" s="5">
        <v>44103</v>
      </c>
      <c r="B490">
        <v>1.673E-3</v>
      </c>
      <c r="C490">
        <v>1.686E-3</v>
      </c>
      <c r="D490">
        <v>1.6280000000000001E-3</v>
      </c>
      <c r="E490">
        <v>1.6800000000000001E-3</v>
      </c>
      <c r="F490">
        <v>79543213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0.7931034482758641</v>
      </c>
      <c r="Q490">
        <f t="shared" si="980"/>
        <v>63085996.517241538</v>
      </c>
      <c r="R490">
        <f t="shared" si="981"/>
        <v>2789423045.9837246</v>
      </c>
      <c r="S490">
        <f t="shared" si="982"/>
        <v>27894.230459837247</v>
      </c>
      <c r="T490">
        <f t="shared" si="983"/>
        <v>27.894230459837246</v>
      </c>
    </row>
    <row r="491" spans="1:20" x14ac:dyDescent="0.25">
      <c r="A491" s="5">
        <v>44102</v>
      </c>
      <c r="B491">
        <v>1.696E-3</v>
      </c>
      <c r="C491">
        <v>1.701E-3</v>
      </c>
      <c r="D491">
        <v>1.637E-3</v>
      </c>
      <c r="E491">
        <v>1.6720000000000001E-3</v>
      </c>
      <c r="F491">
        <v>84775894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9.375000000000222E-2</v>
      </c>
      <c r="Q491">
        <f t="shared" si="980"/>
        <v>7947740.0625001881</v>
      </c>
      <c r="R491">
        <f t="shared" si="981"/>
        <v>2726337049.4664831</v>
      </c>
      <c r="S491">
        <f t="shared" si="982"/>
        <v>27263.370494664832</v>
      </c>
      <c r="T491">
        <f t="shared" si="983"/>
        <v>27.263370494664834</v>
      </c>
    </row>
    <row r="492" spans="1:20" x14ac:dyDescent="0.25">
      <c r="A492" s="5">
        <v>44101</v>
      </c>
      <c r="B492">
        <v>1.696E-3</v>
      </c>
      <c r="C492">
        <v>1.7470000000000001E-3</v>
      </c>
      <c r="D492">
        <v>1.6149999999999999E-3</v>
      </c>
      <c r="E492">
        <v>1.691E-3</v>
      </c>
      <c r="F492">
        <v>79590551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0.15151515151515171</v>
      </c>
      <c r="Q492">
        <f t="shared" si="980"/>
        <v>12059174.393939409</v>
      </c>
      <c r="R492">
        <f t="shared" si="981"/>
        <v>2718389309.4039831</v>
      </c>
      <c r="S492">
        <f t="shared" si="982"/>
        <v>27183.893094039831</v>
      </c>
      <c r="T492">
        <f t="shared" si="983"/>
        <v>27.183893094039831</v>
      </c>
    </row>
    <row r="493" spans="1:20" x14ac:dyDescent="0.25">
      <c r="A493" s="5">
        <v>44100</v>
      </c>
      <c r="B493">
        <v>1.676E-3</v>
      </c>
      <c r="C493">
        <v>1.735E-3</v>
      </c>
      <c r="D493">
        <v>1.6570000000000001E-3</v>
      </c>
      <c r="E493">
        <v>1.699E-3</v>
      </c>
      <c r="F493">
        <v>95622057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7.6923076923076067E-2</v>
      </c>
      <c r="Q493">
        <f t="shared" si="980"/>
        <v>7355542.8461537641</v>
      </c>
      <c r="R493">
        <f t="shared" si="981"/>
        <v>2706330135.0100436</v>
      </c>
      <c r="S493">
        <f t="shared" si="982"/>
        <v>27063.301350100435</v>
      </c>
      <c r="T493">
        <f t="shared" si="983"/>
        <v>27.063301350100435</v>
      </c>
    </row>
    <row r="494" spans="1:20" x14ac:dyDescent="0.25">
      <c r="A494" s="5">
        <v>44099</v>
      </c>
      <c r="B494">
        <v>1.6100000000000001E-3</v>
      </c>
      <c r="C494">
        <v>1.6789999999999999E-3</v>
      </c>
      <c r="D494">
        <v>1.5100000000000001E-3</v>
      </c>
      <c r="E494">
        <v>1.673E-3</v>
      </c>
      <c r="F494">
        <v>143194519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0.92899408284023743</v>
      </c>
      <c r="Q494">
        <f t="shared" si="980"/>
        <v>133026860.84615396</v>
      </c>
      <c r="R494">
        <f t="shared" si="981"/>
        <v>2698974592.1638899</v>
      </c>
      <c r="S494">
        <f t="shared" si="982"/>
        <v>26989.7459216389</v>
      </c>
      <c r="T494">
        <f t="shared" si="983"/>
        <v>26.9897459216389</v>
      </c>
    </row>
    <row r="495" spans="1:20" x14ac:dyDescent="0.25">
      <c r="A495" s="5">
        <v>44098</v>
      </c>
      <c r="B495">
        <v>1.49E-3</v>
      </c>
      <c r="C495">
        <v>1.6180000000000001E-3</v>
      </c>
      <c r="D495">
        <v>1.472E-3</v>
      </c>
      <c r="E495">
        <v>1.6169999999999999E-3</v>
      </c>
      <c r="F495">
        <v>127143791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0.98630136986301187</v>
      </c>
      <c r="Q495">
        <f t="shared" si="980"/>
        <v>125402095.23287648</v>
      </c>
      <c r="R495">
        <f t="shared" si="981"/>
        <v>2565947731.3177361</v>
      </c>
      <c r="S495">
        <f t="shared" si="982"/>
        <v>25659.477313177362</v>
      </c>
      <c r="T495">
        <f t="shared" si="983"/>
        <v>25.659477313177362</v>
      </c>
    </row>
    <row r="496" spans="1:20" x14ac:dyDescent="0.25">
      <c r="A496" s="5">
        <v>44097</v>
      </c>
      <c r="B496">
        <v>1.6360000000000001E-3</v>
      </c>
      <c r="C496">
        <v>1.6379999999999999E-3</v>
      </c>
      <c r="D496">
        <v>1.474E-3</v>
      </c>
      <c r="E496">
        <v>1.48E-3</v>
      </c>
      <c r="F496">
        <v>139879992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-0.92682926829268375</v>
      </c>
      <c r="Q496">
        <f t="shared" si="980"/>
        <v>-129644870.63414645</v>
      </c>
      <c r="R496">
        <f t="shared" si="981"/>
        <v>2440545636.0848598</v>
      </c>
      <c r="S496">
        <f t="shared" si="982"/>
        <v>24405.456360848599</v>
      </c>
      <c r="T496">
        <f t="shared" si="983"/>
        <v>24.4054563608486</v>
      </c>
    </row>
    <row r="497" spans="1:20" x14ac:dyDescent="0.25">
      <c r="A497" s="5">
        <v>44096</v>
      </c>
      <c r="B497">
        <v>1.7359999999999999E-3</v>
      </c>
      <c r="C497">
        <v>1.7780000000000001E-3</v>
      </c>
      <c r="D497">
        <v>1.474E-3</v>
      </c>
      <c r="E497">
        <v>1.635E-3</v>
      </c>
      <c r="F497">
        <v>488515559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5.921052631578877E-2</v>
      </c>
      <c r="Q497">
        <f t="shared" si="980"/>
        <v>28925263.361841761</v>
      </c>
      <c r="R497">
        <f t="shared" si="981"/>
        <v>2570190506.7190061</v>
      </c>
      <c r="S497">
        <f t="shared" si="982"/>
        <v>25701.905067190062</v>
      </c>
      <c r="T497">
        <f t="shared" si="983"/>
        <v>25.701905067190062</v>
      </c>
    </row>
    <row r="498" spans="1:20" x14ac:dyDescent="0.25">
      <c r="A498" s="5">
        <v>44095</v>
      </c>
      <c r="B498">
        <v>1.9319999999999999E-3</v>
      </c>
      <c r="C498">
        <v>2.1099999999999999E-3</v>
      </c>
      <c r="D498">
        <v>1.699E-3</v>
      </c>
      <c r="E498">
        <v>1.7359999999999999E-3</v>
      </c>
      <c r="F498">
        <v>184059206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-0.81995133819951371</v>
      </c>
      <c r="Q498">
        <f t="shared" si="980"/>
        <v>-150919592.26763996</v>
      </c>
      <c r="R498">
        <f t="shared" si="981"/>
        <v>2541265243.3571644</v>
      </c>
      <c r="S498">
        <f t="shared" si="982"/>
        <v>25412.652433571642</v>
      </c>
      <c r="T498">
        <f t="shared" si="983"/>
        <v>25.412652433571644</v>
      </c>
    </row>
    <row r="499" spans="1:20" x14ac:dyDescent="0.25">
      <c r="A499" s="5">
        <v>44094</v>
      </c>
      <c r="B499">
        <v>2.0149999999999999E-3</v>
      </c>
      <c r="C499">
        <v>2.0409999999999998E-3</v>
      </c>
      <c r="D499">
        <v>1.8760000000000001E-3</v>
      </c>
      <c r="E499">
        <v>1.934E-3</v>
      </c>
      <c r="F499">
        <v>64174398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-0.29696969696969733</v>
      </c>
      <c r="Q499">
        <f t="shared" si="980"/>
        <v>-19057851.52727275</v>
      </c>
      <c r="R499">
        <f t="shared" si="981"/>
        <v>2692184835.6248045</v>
      </c>
      <c r="S499">
        <f t="shared" si="982"/>
        <v>26921.848356248043</v>
      </c>
      <c r="T499">
        <f t="shared" si="983"/>
        <v>26.921848356248042</v>
      </c>
    </row>
    <row r="500" spans="1:20" x14ac:dyDescent="0.25">
      <c r="A500" s="5">
        <v>44093</v>
      </c>
      <c r="B500">
        <v>2.062E-3</v>
      </c>
      <c r="C500">
        <v>2.0639999999999999E-3</v>
      </c>
      <c r="D500">
        <v>1.9859999999999999E-3</v>
      </c>
      <c r="E500">
        <v>2.016E-3</v>
      </c>
      <c r="F500">
        <v>64825786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-0.2307692307692282</v>
      </c>
      <c r="Q500">
        <f t="shared" si="980"/>
        <v>-14959796.769230602</v>
      </c>
      <c r="R500">
        <f t="shared" si="981"/>
        <v>2711242687.1520772</v>
      </c>
      <c r="S500">
        <f t="shared" si="982"/>
        <v>27112.426871520773</v>
      </c>
      <c r="T500">
        <f t="shared" si="983"/>
        <v>27.112426871520771</v>
      </c>
    </row>
    <row r="501" spans="1:20" x14ac:dyDescent="0.25">
      <c r="A501" s="5">
        <v>44092</v>
      </c>
      <c r="B501">
        <v>2.0470000000000002E-3</v>
      </c>
      <c r="C501">
        <v>2.2330000000000002E-3</v>
      </c>
      <c r="D501">
        <v>1.9870000000000001E-3</v>
      </c>
      <c r="E501">
        <v>2.0690000000000001E-3</v>
      </c>
      <c r="F501">
        <v>241193922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-0.33333333333333331</v>
      </c>
      <c r="Q501">
        <f t="shared" si="980"/>
        <v>-80397974</v>
      </c>
      <c r="R501">
        <f t="shared" si="981"/>
        <v>2726202483.9213076</v>
      </c>
      <c r="S501">
        <f t="shared" si="982"/>
        <v>27262.024839213074</v>
      </c>
      <c r="T501">
        <f t="shared" si="983"/>
        <v>27.262024839213073</v>
      </c>
    </row>
    <row r="502" spans="1:20" x14ac:dyDescent="0.25">
      <c r="A502" s="5">
        <v>44091</v>
      </c>
      <c r="B502">
        <v>2.062E-3</v>
      </c>
      <c r="C502">
        <v>2.258E-3</v>
      </c>
      <c r="D502">
        <v>1.97E-3</v>
      </c>
      <c r="E502">
        <v>2.0470000000000002E-3</v>
      </c>
      <c r="F502">
        <v>229520214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-0.46527777777777618</v>
      </c>
      <c r="Q502">
        <f t="shared" si="980"/>
        <v>-106790655.12499963</v>
      </c>
      <c r="R502">
        <f t="shared" si="981"/>
        <v>2806600457.9213076</v>
      </c>
      <c r="S502">
        <f t="shared" si="982"/>
        <v>28066.004579213077</v>
      </c>
      <c r="T502">
        <f t="shared" si="983"/>
        <v>28.066004579213075</v>
      </c>
    </row>
    <row r="503" spans="1:20" x14ac:dyDescent="0.25">
      <c r="A503" s="5">
        <v>44090</v>
      </c>
      <c r="B503">
        <v>1.9859999999999999E-3</v>
      </c>
      <c r="C503">
        <v>2.379E-3</v>
      </c>
      <c r="D503">
        <v>1.836E-3</v>
      </c>
      <c r="E503">
        <v>2.062E-3</v>
      </c>
      <c r="F503">
        <v>609202005</v>
      </c>
      <c r="G503">
        <v>0</v>
      </c>
      <c r="L503" t="s">
        <v>8</v>
      </c>
      <c r="M503" t="s">
        <v>7</v>
      </c>
      <c r="N503" t="s">
        <v>7</v>
      </c>
      <c r="P503">
        <f t="shared" si="979"/>
        <v>-0.16758747697974202</v>
      </c>
      <c r="Q503">
        <f t="shared" si="980"/>
        <v>-102094626.98895018</v>
      </c>
      <c r="R503">
        <f t="shared" si="981"/>
        <v>2913391113.0463071</v>
      </c>
      <c r="S503">
        <f t="shared" si="982"/>
        <v>29133.911130463071</v>
      </c>
      <c r="T503">
        <f t="shared" si="983"/>
        <v>29.133911130463073</v>
      </c>
    </row>
    <row r="504" spans="1:20" x14ac:dyDescent="0.25">
      <c r="A504" s="5">
        <v>44089</v>
      </c>
      <c r="B504">
        <v>2.0660000000000001E-3</v>
      </c>
      <c r="C504">
        <v>2.1210000000000001E-3</v>
      </c>
      <c r="D504">
        <v>1.9689999999999998E-3</v>
      </c>
      <c r="E504">
        <v>1.983E-3</v>
      </c>
      <c r="F504">
        <v>144279130</v>
      </c>
      <c r="G504">
        <v>0</v>
      </c>
      <c r="L504" t="s">
        <v>8</v>
      </c>
      <c r="M504" t="s">
        <v>7</v>
      </c>
      <c r="N504" t="s">
        <v>8</v>
      </c>
      <c r="P504">
        <f t="shared" si="979"/>
        <v>-0.81578947368420918</v>
      </c>
      <c r="Q504">
        <f t="shared" si="980"/>
        <v>-117701395.5263156</v>
      </c>
      <c r="R504">
        <f t="shared" si="981"/>
        <v>3015485740.0352573</v>
      </c>
      <c r="S504">
        <f t="shared" si="982"/>
        <v>30154.857400352572</v>
      </c>
      <c r="T504">
        <f t="shared" si="983"/>
        <v>30.154857400352572</v>
      </c>
    </row>
    <row r="505" spans="1:20" x14ac:dyDescent="0.25">
      <c r="A505" s="5">
        <v>44088</v>
      </c>
      <c r="B505">
        <v>2.091E-3</v>
      </c>
      <c r="C505">
        <v>2.0999999999999999E-3</v>
      </c>
      <c r="D505">
        <v>1.9849999999999998E-3</v>
      </c>
      <c r="E505">
        <v>2.0669999999999998E-3</v>
      </c>
      <c r="F505">
        <v>84403294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0.42608695652173878</v>
      </c>
      <c r="Q505">
        <f t="shared" si="980"/>
        <v>35963142.660869539</v>
      </c>
      <c r="R505">
        <f t="shared" si="981"/>
        <v>3133187135.561573</v>
      </c>
      <c r="S505">
        <f t="shared" si="982"/>
        <v>31331.871355615731</v>
      </c>
      <c r="T505">
        <f t="shared" si="983"/>
        <v>31.331871355615732</v>
      </c>
    </row>
    <row r="506" spans="1:20" x14ac:dyDescent="0.25">
      <c r="A506" s="5">
        <v>44087</v>
      </c>
      <c r="B506">
        <v>2.2339999999999999E-3</v>
      </c>
      <c r="C506">
        <v>2.258E-3</v>
      </c>
      <c r="D506">
        <v>2.0100000000000001E-3</v>
      </c>
      <c r="E506">
        <v>2.091E-3</v>
      </c>
      <c r="F506">
        <v>177928761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-0.34677419354838773</v>
      </c>
      <c r="Q506">
        <f t="shared" si="980"/>
        <v>-61701102.604838826</v>
      </c>
      <c r="R506">
        <f t="shared" si="981"/>
        <v>3097223992.9007034</v>
      </c>
      <c r="S506">
        <f t="shared" si="982"/>
        <v>30972.239929007035</v>
      </c>
      <c r="T506">
        <f t="shared" si="983"/>
        <v>30.972239929007035</v>
      </c>
    </row>
    <row r="507" spans="1:20" x14ac:dyDescent="0.25">
      <c r="A507" s="5">
        <v>44086</v>
      </c>
      <c r="B507">
        <v>2.3040000000000001E-3</v>
      </c>
      <c r="C507">
        <v>2.5170000000000001E-3</v>
      </c>
      <c r="D507">
        <v>2.16E-3</v>
      </c>
      <c r="E507">
        <v>2.248E-3</v>
      </c>
      <c r="F507">
        <v>558318471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-0.50700280112044849</v>
      </c>
      <c r="Q507">
        <f t="shared" si="980"/>
        <v>-283069028.71428591</v>
      </c>
      <c r="R507">
        <f t="shared" si="981"/>
        <v>3158925095.5055423</v>
      </c>
      <c r="S507">
        <f t="shared" si="982"/>
        <v>31589.250955055424</v>
      </c>
      <c r="T507">
        <f t="shared" si="983"/>
        <v>31.589250955055423</v>
      </c>
    </row>
    <row r="508" spans="1:20" x14ac:dyDescent="0.25">
      <c r="A508" s="5">
        <v>44085</v>
      </c>
      <c r="B508">
        <v>2.0539999999999998E-3</v>
      </c>
      <c r="C508">
        <v>2.428E-3</v>
      </c>
      <c r="D508">
        <v>1.98E-3</v>
      </c>
      <c r="E508">
        <v>2.3040000000000001E-3</v>
      </c>
      <c r="F508">
        <v>421829909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0.44642857142857156</v>
      </c>
      <c r="Q508">
        <f t="shared" si="980"/>
        <v>188316923.66071433</v>
      </c>
      <c r="R508">
        <f t="shared" si="981"/>
        <v>3441994124.2198281</v>
      </c>
      <c r="S508">
        <f t="shared" si="982"/>
        <v>34419.941242198278</v>
      </c>
      <c r="T508">
        <f t="shared" si="983"/>
        <v>34.419941242198277</v>
      </c>
    </row>
    <row r="509" spans="1:20" x14ac:dyDescent="0.25">
      <c r="A509" s="5">
        <v>44084</v>
      </c>
      <c r="B509">
        <v>1.9319999999999999E-3</v>
      </c>
      <c r="C509">
        <v>2.0869999999999999E-3</v>
      </c>
      <c r="D509">
        <v>1.9319999999999999E-3</v>
      </c>
      <c r="E509">
        <v>2.055E-3</v>
      </c>
      <c r="F509">
        <v>132858247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0.58709677419354944</v>
      </c>
      <c r="Q509">
        <f t="shared" si="980"/>
        <v>78000648.238709822</v>
      </c>
      <c r="R509">
        <f t="shared" si="981"/>
        <v>3253677200.559114</v>
      </c>
      <c r="S509">
        <f t="shared" si="982"/>
        <v>32536.772005591141</v>
      </c>
      <c r="T509">
        <f t="shared" si="983"/>
        <v>32.536772005591139</v>
      </c>
    </row>
    <row r="510" spans="1:20" x14ac:dyDescent="0.25">
      <c r="A510" s="5">
        <v>44083</v>
      </c>
      <c r="B510">
        <v>1.8600000000000001E-3</v>
      </c>
      <c r="C510">
        <v>1.9689999999999998E-3</v>
      </c>
      <c r="D510">
        <v>1.8010000000000001E-3</v>
      </c>
      <c r="E510">
        <v>1.934E-3</v>
      </c>
      <c r="F510">
        <v>239522809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0.58333333333333415</v>
      </c>
      <c r="Q510">
        <f t="shared" si="980"/>
        <v>139721638.58333352</v>
      </c>
      <c r="R510">
        <f t="shared" si="981"/>
        <v>3175676552.3204041</v>
      </c>
      <c r="S510">
        <f t="shared" si="982"/>
        <v>31756.765523204042</v>
      </c>
      <c r="T510">
        <f t="shared" si="983"/>
        <v>31.756765523204042</v>
      </c>
    </row>
    <row r="511" spans="1:20" x14ac:dyDescent="0.25">
      <c r="A511" s="5">
        <v>44082</v>
      </c>
      <c r="B511">
        <v>1.9170000000000001E-3</v>
      </c>
      <c r="C511">
        <v>1.9989999999999999E-3</v>
      </c>
      <c r="D511">
        <v>1.74E-3</v>
      </c>
      <c r="E511">
        <v>1.8550000000000001E-3</v>
      </c>
      <c r="F511">
        <v>223762524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-0.11196911196911097</v>
      </c>
      <c r="Q511">
        <f t="shared" si="980"/>
        <v>-25054491.104246881</v>
      </c>
      <c r="R511">
        <f t="shared" si="981"/>
        <v>3035954913.7370706</v>
      </c>
      <c r="S511">
        <f t="shared" si="982"/>
        <v>30359.549137370705</v>
      </c>
      <c r="T511">
        <f t="shared" si="983"/>
        <v>30.359549137370706</v>
      </c>
    </row>
    <row r="512" spans="1:20" x14ac:dyDescent="0.25">
      <c r="A512" s="5">
        <v>44081</v>
      </c>
      <c r="B512">
        <v>2E-3</v>
      </c>
      <c r="C512">
        <v>2.0869999999999999E-3</v>
      </c>
      <c r="D512">
        <v>1.632E-3</v>
      </c>
      <c r="E512">
        <v>1.91E-3</v>
      </c>
      <c r="F512">
        <v>303402639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0.22197802197802241</v>
      </c>
      <c r="Q512">
        <f t="shared" si="980"/>
        <v>67348717.668131992</v>
      </c>
      <c r="R512">
        <f t="shared" si="981"/>
        <v>3061009404.8413177</v>
      </c>
      <c r="S512">
        <f t="shared" si="982"/>
        <v>30610.094048413175</v>
      </c>
      <c r="T512">
        <f t="shared" si="983"/>
        <v>30.610094048413174</v>
      </c>
    </row>
    <row r="513" spans="1:20" x14ac:dyDescent="0.25">
      <c r="A513" s="5">
        <v>44080</v>
      </c>
      <c r="B513">
        <v>1.9580000000000001E-3</v>
      </c>
      <c r="C513">
        <v>2.16E-3</v>
      </c>
      <c r="D513">
        <v>1.7880000000000001E-3</v>
      </c>
      <c r="E513">
        <v>1.9980000000000002E-3</v>
      </c>
      <c r="F513">
        <v>418644236</v>
      </c>
      <c r="G513">
        <v>0</v>
      </c>
      <c r="L513" t="s">
        <v>7</v>
      </c>
      <c r="M513" t="s">
        <v>8</v>
      </c>
      <c r="N513" t="s">
        <v>7</v>
      </c>
      <c r="P513">
        <f t="shared" si="979"/>
        <v>0.12903225806451696</v>
      </c>
      <c r="Q513">
        <f t="shared" si="980"/>
        <v>54018611.096774541</v>
      </c>
      <c r="R513">
        <f t="shared" si="981"/>
        <v>2993660687.1731858</v>
      </c>
      <c r="S513">
        <f t="shared" si="982"/>
        <v>29936.606871731859</v>
      </c>
      <c r="T513">
        <f t="shared" si="983"/>
        <v>29.936606871731861</v>
      </c>
    </row>
    <row r="514" spans="1:20" x14ac:dyDescent="0.25">
      <c r="A514" s="5">
        <v>44079</v>
      </c>
      <c r="B514">
        <v>2.2659999999999998E-3</v>
      </c>
      <c r="C514">
        <v>2.307E-3</v>
      </c>
      <c r="D514">
        <v>1.81E-3</v>
      </c>
      <c r="E514">
        <v>1.957E-3</v>
      </c>
      <c r="F514">
        <v>276641305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-0.40845070422535218</v>
      </c>
      <c r="Q514">
        <f t="shared" si="980"/>
        <v>-112994335.84507044</v>
      </c>
      <c r="R514">
        <f t="shared" si="981"/>
        <v>2939642076.0764112</v>
      </c>
      <c r="S514">
        <f t="shared" si="982"/>
        <v>29396.420760764111</v>
      </c>
      <c r="T514">
        <f t="shared" si="983"/>
        <v>29.396420760764112</v>
      </c>
    </row>
    <row r="515" spans="1:20" x14ac:dyDescent="0.25">
      <c r="A515" s="5">
        <v>44078</v>
      </c>
      <c r="B515">
        <v>2.1180000000000001E-3</v>
      </c>
      <c r="C515">
        <v>2.3410000000000002E-3</v>
      </c>
      <c r="D515">
        <v>1.9959999999999999E-3</v>
      </c>
      <c r="E515">
        <v>2.2629999999999998E-3</v>
      </c>
      <c r="F515">
        <v>264299077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0.54782608695651991</v>
      </c>
      <c r="Q515">
        <f t="shared" si="980"/>
        <v>144789929.13912994</v>
      </c>
      <c r="R515">
        <f t="shared" si="981"/>
        <v>3052636411.9214816</v>
      </c>
      <c r="S515">
        <f t="shared" si="982"/>
        <v>30526.364119214817</v>
      </c>
      <c r="T515">
        <f t="shared" si="983"/>
        <v>30.526364119214819</v>
      </c>
    </row>
    <row r="516" spans="1:20" x14ac:dyDescent="0.25">
      <c r="A516" s="5">
        <v>44077</v>
      </c>
      <c r="B516">
        <v>2.6909999999999998E-3</v>
      </c>
      <c r="C516">
        <v>2.7629999999999998E-3</v>
      </c>
      <c r="D516">
        <v>2.1050000000000001E-3</v>
      </c>
      <c r="E516">
        <v>2.1210000000000001E-3</v>
      </c>
      <c r="F516">
        <v>270911488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-0.9513677811550153</v>
      </c>
      <c r="Q516">
        <f t="shared" si="980"/>
        <v>-257736461.22796357</v>
      </c>
      <c r="R516">
        <f t="shared" si="981"/>
        <v>2907846482.7823515</v>
      </c>
      <c r="S516">
        <f t="shared" si="982"/>
        <v>29078.464827823514</v>
      </c>
      <c r="T516">
        <f t="shared" si="983"/>
        <v>29.078464827823513</v>
      </c>
    </row>
    <row r="517" spans="1:20" x14ac:dyDescent="0.25">
      <c r="A517" s="5">
        <v>44076</v>
      </c>
      <c r="B517">
        <v>2.918E-3</v>
      </c>
      <c r="C517">
        <v>2.9629999999999999E-3</v>
      </c>
      <c r="D517">
        <v>2.526E-3</v>
      </c>
      <c r="E517">
        <v>2.7039999999999998E-3</v>
      </c>
      <c r="F517">
        <v>288518946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-0.18535469107551569</v>
      </c>
      <c r="Q517">
        <f t="shared" si="980"/>
        <v>-53478340.105263397</v>
      </c>
      <c r="R517">
        <f t="shared" si="981"/>
        <v>3165582944.0103149</v>
      </c>
      <c r="S517">
        <f t="shared" si="982"/>
        <v>31655.829440103149</v>
      </c>
      <c r="T517">
        <f t="shared" si="983"/>
        <v>31.655829440103147</v>
      </c>
    </row>
    <row r="518" spans="1:20" x14ac:dyDescent="0.25">
      <c r="A518" s="5">
        <v>44075</v>
      </c>
      <c r="B518">
        <v>3.0149999999999999E-3</v>
      </c>
      <c r="C518">
        <v>3.1549999999999998E-3</v>
      </c>
      <c r="D518">
        <v>2.9129999999999998E-3</v>
      </c>
      <c r="E518">
        <v>2.9169999999999999E-3</v>
      </c>
      <c r="F518">
        <v>262816356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-0.9669421487603298</v>
      </c>
      <c r="Q518">
        <f t="shared" ref="Q518:Q581" si="985">F518*P518</f>
        <v>-254128211.99999979</v>
      </c>
      <c r="R518">
        <f t="shared" ref="R518:R581" si="986">R519+Q518</f>
        <v>3219061284.1155782</v>
      </c>
      <c r="S518">
        <f t="shared" ref="S518:S581" si="987">R518/100000</f>
        <v>32190.61284115578</v>
      </c>
      <c r="T518">
        <f t="shared" ref="T518:T581" si="988">S518/1000</f>
        <v>32.190612841155783</v>
      </c>
    </row>
    <row r="519" spans="1:20" x14ac:dyDescent="0.25">
      <c r="A519" s="5">
        <v>44074</v>
      </c>
      <c r="B519">
        <v>3.2330000000000002E-3</v>
      </c>
      <c r="C519">
        <v>3.258E-3</v>
      </c>
      <c r="D519">
        <v>2.996E-3</v>
      </c>
      <c r="E519">
        <v>3.0140000000000002E-3</v>
      </c>
      <c r="F519">
        <v>332178455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-0.86259541984732657</v>
      </c>
      <c r="Q519">
        <f t="shared" si="985"/>
        <v>-286535613.85496128</v>
      </c>
      <c r="R519">
        <f t="shared" si="986"/>
        <v>3473189496.1155782</v>
      </c>
      <c r="S519">
        <f t="shared" si="987"/>
        <v>34731.894961155784</v>
      </c>
      <c r="T519">
        <f t="shared" si="988"/>
        <v>34.731894961155781</v>
      </c>
    </row>
    <row r="520" spans="1:20" x14ac:dyDescent="0.25">
      <c r="A520" s="5">
        <v>44073</v>
      </c>
      <c r="B520">
        <v>3.2699999999999999E-3</v>
      </c>
      <c r="C520">
        <v>3.287E-3</v>
      </c>
      <c r="D520">
        <v>3.1310000000000001E-3</v>
      </c>
      <c r="E520">
        <v>3.2360000000000002E-3</v>
      </c>
      <c r="F520">
        <v>158012526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0.34615384615384787</v>
      </c>
      <c r="Q520">
        <f t="shared" si="985"/>
        <v>54696643.615384884</v>
      </c>
      <c r="R520">
        <f t="shared" si="986"/>
        <v>3759725109.9705396</v>
      </c>
      <c r="S520">
        <f t="shared" si="987"/>
        <v>37597.251099705398</v>
      </c>
      <c r="T520">
        <f t="shared" si="988"/>
        <v>37.597251099705396</v>
      </c>
    </row>
    <row r="521" spans="1:20" x14ac:dyDescent="0.25">
      <c r="A521" s="5">
        <v>44072</v>
      </c>
      <c r="B521">
        <v>3.3219999999999999E-3</v>
      </c>
      <c r="C521">
        <v>3.3249999999999998E-3</v>
      </c>
      <c r="D521">
        <v>3.1410000000000001E-3</v>
      </c>
      <c r="E521">
        <v>3.271E-3</v>
      </c>
      <c r="F521">
        <v>182339844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0.41304347826087084</v>
      </c>
      <c r="Q521">
        <f t="shared" si="985"/>
        <v>75314283.391304582</v>
      </c>
      <c r="R521">
        <f t="shared" si="986"/>
        <v>3705028466.3551545</v>
      </c>
      <c r="S521">
        <f t="shared" si="987"/>
        <v>37050.284663551545</v>
      </c>
      <c r="T521">
        <f t="shared" si="988"/>
        <v>37.050284663551544</v>
      </c>
    </row>
    <row r="522" spans="1:20" x14ac:dyDescent="0.25">
      <c r="A522" s="5">
        <v>44071</v>
      </c>
      <c r="B522">
        <v>3.1380000000000002E-3</v>
      </c>
      <c r="C522">
        <v>3.447E-3</v>
      </c>
      <c r="D522">
        <v>3.0539999999999999E-3</v>
      </c>
      <c r="E522">
        <v>3.3219999999999999E-3</v>
      </c>
      <c r="F522">
        <v>492184267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0.36386768447837115</v>
      </c>
      <c r="Q522">
        <f t="shared" si="985"/>
        <v>179089949.56997439</v>
      </c>
      <c r="R522">
        <f t="shared" si="986"/>
        <v>3629714182.96385</v>
      </c>
      <c r="S522">
        <f t="shared" si="987"/>
        <v>36297.141829638502</v>
      </c>
      <c r="T522">
        <f t="shared" si="988"/>
        <v>36.297141829638505</v>
      </c>
    </row>
    <row r="523" spans="1:20" x14ac:dyDescent="0.25">
      <c r="A523" s="5">
        <v>44070</v>
      </c>
      <c r="B523">
        <v>3.7360000000000002E-3</v>
      </c>
      <c r="C523">
        <v>3.8539999999999998E-3</v>
      </c>
      <c r="D523">
        <v>2.98E-3</v>
      </c>
      <c r="E523">
        <v>3.1310000000000001E-3</v>
      </c>
      <c r="F523">
        <v>976363771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-0.65446224256292873</v>
      </c>
      <c r="Q523">
        <f t="shared" si="985"/>
        <v>-638993223.12585783</v>
      </c>
      <c r="R523">
        <f t="shared" si="986"/>
        <v>3450624233.3938756</v>
      </c>
      <c r="S523">
        <f t="shared" si="987"/>
        <v>34506.242333938753</v>
      </c>
      <c r="T523">
        <f t="shared" si="988"/>
        <v>34.506242333938751</v>
      </c>
    </row>
    <row r="524" spans="1:20" x14ac:dyDescent="0.25">
      <c r="A524" s="5">
        <v>44069</v>
      </c>
      <c r="B524">
        <v>3.1809999999999998E-3</v>
      </c>
      <c r="C524">
        <v>4.2900000000000004E-3</v>
      </c>
      <c r="D524">
        <v>3.0000000000000001E-3</v>
      </c>
      <c r="E524">
        <v>3.718E-3</v>
      </c>
      <c r="F524">
        <v>2263715013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0.11317829457364294</v>
      </c>
      <c r="Q524">
        <f t="shared" si="985"/>
        <v>256203404.57209194</v>
      </c>
      <c r="R524">
        <f t="shared" si="986"/>
        <v>4089617456.5197334</v>
      </c>
      <c r="S524">
        <f t="shared" si="987"/>
        <v>40896.174565197332</v>
      </c>
      <c r="T524">
        <f t="shared" si="988"/>
        <v>40.896174565197335</v>
      </c>
    </row>
    <row r="525" spans="1:20" x14ac:dyDescent="0.25">
      <c r="A525" s="5">
        <v>44068</v>
      </c>
      <c r="B525">
        <v>2.928E-3</v>
      </c>
      <c r="C525">
        <v>3.65E-3</v>
      </c>
      <c r="D525">
        <v>2.8E-3</v>
      </c>
      <c r="E525">
        <v>3.1879999999999999E-3</v>
      </c>
      <c r="F525">
        <v>1067689685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-8.7058823529412091E-2</v>
      </c>
      <c r="Q525">
        <f t="shared" si="985"/>
        <v>-92951807.870588586</v>
      </c>
      <c r="R525">
        <f t="shared" si="986"/>
        <v>3833414051.9476414</v>
      </c>
      <c r="S525">
        <f t="shared" si="987"/>
        <v>38334.140519476416</v>
      </c>
      <c r="T525">
        <f t="shared" si="988"/>
        <v>38.334140519476414</v>
      </c>
    </row>
    <row r="526" spans="1:20" x14ac:dyDescent="0.25">
      <c r="A526" s="5">
        <v>44067</v>
      </c>
      <c r="B526">
        <v>2.8909999999999999E-3</v>
      </c>
      <c r="C526">
        <v>2.967E-3</v>
      </c>
      <c r="D526">
        <v>2.8410000000000002E-3</v>
      </c>
      <c r="E526">
        <v>2.9359999999999998E-3</v>
      </c>
      <c r="F526">
        <v>130692279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0.5079365079365038</v>
      </c>
      <c r="Q526">
        <f t="shared" si="985"/>
        <v>66383379.80952327</v>
      </c>
      <c r="R526">
        <f t="shared" si="986"/>
        <v>3926365859.8182302</v>
      </c>
      <c r="S526">
        <f t="shared" si="987"/>
        <v>39263.658598182301</v>
      </c>
      <c r="T526">
        <f t="shared" si="988"/>
        <v>39.263658598182303</v>
      </c>
    </row>
    <row r="527" spans="1:20" x14ac:dyDescent="0.25">
      <c r="A527" s="5">
        <v>44066</v>
      </c>
      <c r="B527">
        <v>3.0370000000000002E-3</v>
      </c>
      <c r="C527">
        <v>3.045E-3</v>
      </c>
      <c r="D527">
        <v>2.7959999999999999E-3</v>
      </c>
      <c r="E527">
        <v>2.8890000000000001E-3</v>
      </c>
      <c r="F527">
        <v>195934977</v>
      </c>
      <c r="G527">
        <v>0</v>
      </c>
      <c r="L527" t="s">
        <v>7</v>
      </c>
      <c r="M527" t="s">
        <v>8</v>
      </c>
      <c r="N527" t="s">
        <v>7</v>
      </c>
      <c r="P527">
        <f t="shared" si="984"/>
        <v>-0.25301204819276973</v>
      </c>
      <c r="Q527">
        <f t="shared" si="985"/>
        <v>-49573909.843373232</v>
      </c>
      <c r="R527">
        <f t="shared" si="986"/>
        <v>3859982480.008707</v>
      </c>
      <c r="S527">
        <f t="shared" si="987"/>
        <v>38599.824800087074</v>
      </c>
      <c r="T527">
        <f t="shared" si="988"/>
        <v>38.59982480008707</v>
      </c>
    </row>
    <row r="528" spans="1:20" x14ac:dyDescent="0.25">
      <c r="A528" s="5">
        <v>44065</v>
      </c>
      <c r="B528">
        <v>2.7269999999999998E-3</v>
      </c>
      <c r="C528">
        <v>3.192E-3</v>
      </c>
      <c r="D528">
        <v>2.7109999999999999E-3</v>
      </c>
      <c r="E528">
        <v>3.0370000000000002E-3</v>
      </c>
      <c r="F528">
        <v>471423768</v>
      </c>
      <c r="G528">
        <v>0</v>
      </c>
      <c r="L528" t="s">
        <v>8</v>
      </c>
      <c r="M528" t="s">
        <v>8</v>
      </c>
      <c r="N528" t="s">
        <v>7</v>
      </c>
      <c r="P528">
        <f t="shared" si="984"/>
        <v>0.35550935550935664</v>
      </c>
      <c r="Q528">
        <f t="shared" si="985"/>
        <v>167595559.93347245</v>
      </c>
      <c r="R528">
        <f t="shared" si="986"/>
        <v>3909556389.8520803</v>
      </c>
      <c r="S528">
        <f t="shared" si="987"/>
        <v>39095.563898520806</v>
      </c>
      <c r="T528">
        <f t="shared" si="988"/>
        <v>39.095563898520808</v>
      </c>
    </row>
    <row r="529" spans="1:20" x14ac:dyDescent="0.25">
      <c r="A529" s="5">
        <v>44064</v>
      </c>
      <c r="B529">
        <v>2.9150000000000001E-3</v>
      </c>
      <c r="C529">
        <v>3.0490000000000001E-3</v>
      </c>
      <c r="D529">
        <v>2.715E-3</v>
      </c>
      <c r="E529">
        <v>2.738E-3</v>
      </c>
      <c r="F529">
        <v>468374270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-0.86227544910179632</v>
      </c>
      <c r="Q529">
        <f t="shared" si="985"/>
        <v>-403867634.011976</v>
      </c>
      <c r="R529">
        <f t="shared" si="986"/>
        <v>3741960829.9186077</v>
      </c>
      <c r="S529">
        <f t="shared" si="987"/>
        <v>37419.608299186075</v>
      </c>
      <c r="T529">
        <f t="shared" si="988"/>
        <v>37.419608299186073</v>
      </c>
    </row>
    <row r="530" spans="1:20" x14ac:dyDescent="0.25">
      <c r="A530" s="5">
        <v>44063</v>
      </c>
      <c r="B530">
        <v>2.7820000000000002E-3</v>
      </c>
      <c r="C530">
        <v>2.9610000000000001E-3</v>
      </c>
      <c r="D530">
        <v>2.6670000000000001E-3</v>
      </c>
      <c r="E530">
        <v>2.9129999999999998E-3</v>
      </c>
      <c r="F530">
        <v>294526243</v>
      </c>
      <c r="G530">
        <v>0</v>
      </c>
      <c r="L530" t="s">
        <v>7</v>
      </c>
      <c r="M530" t="s">
        <v>7</v>
      </c>
      <c r="N530" t="s">
        <v>7</v>
      </c>
      <c r="P530">
        <f t="shared" si="984"/>
        <v>0.67346938775510001</v>
      </c>
      <c r="Q530">
        <f t="shared" si="985"/>
        <v>198354408.55101982</v>
      </c>
      <c r="R530">
        <f t="shared" si="986"/>
        <v>4145828463.930584</v>
      </c>
      <c r="S530">
        <f t="shared" si="987"/>
        <v>41458.284639305843</v>
      </c>
      <c r="T530">
        <f t="shared" si="988"/>
        <v>41.458284639305845</v>
      </c>
    </row>
    <row r="531" spans="1:20" x14ac:dyDescent="0.25">
      <c r="A531" s="5">
        <v>44062</v>
      </c>
      <c r="B531">
        <v>3.009E-3</v>
      </c>
      <c r="C531">
        <v>3.0200000000000001E-3</v>
      </c>
      <c r="D531">
        <v>2.6840000000000002E-3</v>
      </c>
      <c r="E531">
        <v>2.7680000000000001E-3</v>
      </c>
      <c r="F531">
        <v>301299314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-0.50000000000000067</v>
      </c>
      <c r="Q531">
        <f t="shared" si="985"/>
        <v>-150649657.00000021</v>
      </c>
      <c r="R531">
        <f t="shared" si="986"/>
        <v>3947474055.3795643</v>
      </c>
      <c r="S531">
        <f t="shared" si="987"/>
        <v>39474.740553795644</v>
      </c>
      <c r="T531">
        <f t="shared" si="988"/>
        <v>39.474740553795641</v>
      </c>
    </row>
    <row r="532" spans="1:20" x14ac:dyDescent="0.25">
      <c r="A532" s="5">
        <v>44061</v>
      </c>
      <c r="B532">
        <v>3.1549999999999998E-3</v>
      </c>
      <c r="C532">
        <v>3.1879999999999999E-3</v>
      </c>
      <c r="D532">
        <v>2.7799999999999999E-3</v>
      </c>
      <c r="E532">
        <v>3.0040000000000002E-3</v>
      </c>
      <c r="F532">
        <v>345457251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9.8039215686275841E-2</v>
      </c>
      <c r="Q532">
        <f t="shared" si="985"/>
        <v>33868357.941176929</v>
      </c>
      <c r="R532">
        <f t="shared" si="986"/>
        <v>4098123712.3795643</v>
      </c>
      <c r="S532">
        <f t="shared" si="987"/>
        <v>40981.237123795639</v>
      </c>
      <c r="T532">
        <f t="shared" si="988"/>
        <v>40.981237123795637</v>
      </c>
    </row>
    <row r="533" spans="1:20" x14ac:dyDescent="0.25">
      <c r="A533" s="5">
        <v>44060</v>
      </c>
      <c r="B533">
        <v>3.2599999999999999E-3</v>
      </c>
      <c r="C533">
        <v>3.4099999999999998E-3</v>
      </c>
      <c r="D533">
        <v>3.1310000000000001E-3</v>
      </c>
      <c r="E533">
        <v>3.1549999999999998E-3</v>
      </c>
      <c r="F533">
        <v>343023683</v>
      </c>
      <c r="G533">
        <v>0</v>
      </c>
      <c r="L533" t="s">
        <v>7</v>
      </c>
      <c r="M533" t="s">
        <v>7</v>
      </c>
      <c r="N533" t="s">
        <v>7</v>
      </c>
      <c r="P533">
        <f t="shared" si="984"/>
        <v>-0.82795698924731365</v>
      </c>
      <c r="Q533">
        <f t="shared" si="985"/>
        <v>-284008855.81720495</v>
      </c>
      <c r="R533">
        <f t="shared" si="986"/>
        <v>4064255354.4383874</v>
      </c>
      <c r="S533">
        <f t="shared" si="987"/>
        <v>40642.553544383874</v>
      </c>
      <c r="T533">
        <f t="shared" si="988"/>
        <v>40.642553544383873</v>
      </c>
    </row>
    <row r="534" spans="1:20" x14ac:dyDescent="0.25">
      <c r="A534" s="5">
        <v>44059</v>
      </c>
      <c r="B534">
        <v>3.1250000000000002E-3</v>
      </c>
      <c r="C534">
        <v>3.4280000000000001E-3</v>
      </c>
      <c r="D534">
        <v>3.0630000000000002E-3</v>
      </c>
      <c r="E534">
        <v>3.2590000000000002E-3</v>
      </c>
      <c r="F534">
        <v>505786197</v>
      </c>
      <c r="G534">
        <v>0</v>
      </c>
      <c r="L534" t="s">
        <v>8</v>
      </c>
      <c r="M534" t="s">
        <v>7</v>
      </c>
      <c r="N534" t="s">
        <v>7</v>
      </c>
      <c r="P534">
        <f t="shared" si="984"/>
        <v>7.3972602739726362E-2</v>
      </c>
      <c r="Q534">
        <f t="shared" si="985"/>
        <v>37414321.421917975</v>
      </c>
      <c r="R534">
        <f t="shared" si="986"/>
        <v>4348264210.2555923</v>
      </c>
      <c r="S534">
        <f t="shared" si="987"/>
        <v>43482.642102555925</v>
      </c>
      <c r="T534">
        <f t="shared" si="988"/>
        <v>43.482642102555921</v>
      </c>
    </row>
    <row r="535" spans="1:20" x14ac:dyDescent="0.25">
      <c r="A535" s="5">
        <v>44058</v>
      </c>
      <c r="B535">
        <v>3.0309999999999998E-3</v>
      </c>
      <c r="C535">
        <v>3.1970000000000002E-3</v>
      </c>
      <c r="D535">
        <v>2.977E-3</v>
      </c>
      <c r="E535">
        <v>3.1150000000000001E-3</v>
      </c>
      <c r="F535">
        <v>436384743</v>
      </c>
      <c r="G535">
        <v>0</v>
      </c>
      <c r="L535" t="s">
        <v>8</v>
      </c>
      <c r="M535" t="s">
        <v>7</v>
      </c>
      <c r="N535" t="s">
        <v>7</v>
      </c>
      <c r="P535">
        <f t="shared" si="984"/>
        <v>0.25454545454545463</v>
      </c>
      <c r="Q535">
        <f t="shared" si="985"/>
        <v>111079752.7636364</v>
      </c>
      <c r="R535">
        <f t="shared" si="986"/>
        <v>4310849888.8336744</v>
      </c>
      <c r="S535">
        <f t="shared" si="987"/>
        <v>43108.498888336748</v>
      </c>
      <c r="T535">
        <f t="shared" si="988"/>
        <v>43.108498888336747</v>
      </c>
    </row>
    <row r="536" spans="1:20" x14ac:dyDescent="0.25">
      <c r="A536" s="5">
        <v>44057</v>
      </c>
      <c r="B536">
        <v>3.1419999999999998E-3</v>
      </c>
      <c r="C536">
        <v>3.1800000000000001E-3</v>
      </c>
      <c r="D536">
        <v>2.9520000000000002E-3</v>
      </c>
      <c r="E536">
        <v>3.0309999999999998E-3</v>
      </c>
      <c r="F536">
        <v>363787783</v>
      </c>
      <c r="G536">
        <v>0</v>
      </c>
      <c r="L536" t="s">
        <v>7</v>
      </c>
      <c r="M536" t="s">
        <v>7</v>
      </c>
      <c r="N536" t="s">
        <v>7</v>
      </c>
      <c r="P536">
        <f t="shared" si="984"/>
        <v>-0.30701754385965196</v>
      </c>
      <c r="Q536">
        <f t="shared" si="985"/>
        <v>-111689231.62280805</v>
      </c>
      <c r="R536">
        <f t="shared" si="986"/>
        <v>4199770136.0700383</v>
      </c>
      <c r="S536">
        <f t="shared" si="987"/>
        <v>41997.701360700383</v>
      </c>
      <c r="T536">
        <f t="shared" si="988"/>
        <v>41.997701360700383</v>
      </c>
    </row>
    <row r="537" spans="1:20" x14ac:dyDescent="0.25">
      <c r="A537" s="5">
        <v>44056</v>
      </c>
      <c r="B537">
        <v>3.4510000000000001E-3</v>
      </c>
      <c r="C537">
        <v>3.4640000000000001E-3</v>
      </c>
      <c r="D537">
        <v>2.9150000000000001E-3</v>
      </c>
      <c r="E537">
        <v>3.1280000000000001E-3</v>
      </c>
      <c r="F537">
        <v>752272483</v>
      </c>
      <c r="G537">
        <v>0</v>
      </c>
      <c r="L537" t="s">
        <v>8</v>
      </c>
      <c r="M537" t="s">
        <v>7</v>
      </c>
      <c r="N537" t="s">
        <v>7</v>
      </c>
      <c r="P537">
        <f t="shared" si="984"/>
        <v>-0.22404371584699426</v>
      </c>
      <c r="Q537">
        <f t="shared" si="985"/>
        <v>-168541922.4207648</v>
      </c>
      <c r="R537">
        <f t="shared" si="986"/>
        <v>4311459367.6928463</v>
      </c>
      <c r="S537">
        <f t="shared" si="987"/>
        <v>43114.59367692846</v>
      </c>
      <c r="T537">
        <f t="shared" si="988"/>
        <v>43.114593676928457</v>
      </c>
    </row>
    <row r="538" spans="1:20" x14ac:dyDescent="0.25">
      <c r="A538" s="5">
        <v>44055</v>
      </c>
      <c r="B538">
        <v>3.228E-3</v>
      </c>
      <c r="C538">
        <v>3.4849999999999998E-3</v>
      </c>
      <c r="D538">
        <v>2.96E-3</v>
      </c>
      <c r="E538">
        <v>3.4499999999999999E-3</v>
      </c>
      <c r="F538">
        <v>798490982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0.86666666666666714</v>
      </c>
      <c r="Q538">
        <f t="shared" si="985"/>
        <v>692025517.73333371</v>
      </c>
      <c r="R538">
        <f t="shared" si="986"/>
        <v>4480001290.1136112</v>
      </c>
      <c r="S538">
        <f t="shared" si="987"/>
        <v>44800.012901136113</v>
      </c>
      <c r="T538">
        <f t="shared" si="988"/>
        <v>44.800012901136114</v>
      </c>
    </row>
    <row r="539" spans="1:20" x14ac:dyDescent="0.25">
      <c r="A539" s="5">
        <v>44054</v>
      </c>
      <c r="B539">
        <v>4.0850000000000001E-3</v>
      </c>
      <c r="C539">
        <v>4.3350000000000003E-3</v>
      </c>
      <c r="D539">
        <v>3.1110000000000001E-3</v>
      </c>
      <c r="E539">
        <v>3.2260000000000001E-3</v>
      </c>
      <c r="F539">
        <v>1251620492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-0.81209150326797375</v>
      </c>
      <c r="Q539">
        <f t="shared" si="985"/>
        <v>-1016430366.8692809</v>
      </c>
      <c r="R539">
        <f t="shared" si="986"/>
        <v>3787975772.3802776</v>
      </c>
      <c r="S539">
        <f t="shared" si="987"/>
        <v>37879.757723802773</v>
      </c>
      <c r="T539">
        <f t="shared" si="988"/>
        <v>37.879757723802776</v>
      </c>
    </row>
    <row r="540" spans="1:20" x14ac:dyDescent="0.25">
      <c r="A540" s="5">
        <v>44053</v>
      </c>
      <c r="B540">
        <v>2.6189999999999998E-3</v>
      </c>
      <c r="C540">
        <v>4.1999999999999997E-3</v>
      </c>
      <c r="D540">
        <v>2.6180000000000001E-3</v>
      </c>
      <c r="E540">
        <v>4.0969999999999999E-3</v>
      </c>
      <c r="F540">
        <v>2120184372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0.86978508217446293</v>
      </c>
      <c r="Q540">
        <f t="shared" si="985"/>
        <v>1844104738.2250321</v>
      </c>
      <c r="R540">
        <f t="shared" si="986"/>
        <v>4804406139.2495584</v>
      </c>
      <c r="S540">
        <f t="shared" si="987"/>
        <v>48044.061392495583</v>
      </c>
      <c r="T540">
        <f t="shared" si="988"/>
        <v>48.044061392495585</v>
      </c>
    </row>
    <row r="541" spans="1:20" x14ac:dyDescent="0.25">
      <c r="A541" s="5">
        <v>44052</v>
      </c>
      <c r="B541">
        <v>2.1879999999999998E-3</v>
      </c>
      <c r="C541">
        <v>2.6229999999999999E-3</v>
      </c>
      <c r="D541">
        <v>2.176E-3</v>
      </c>
      <c r="E541">
        <v>2.6029999999999998E-3</v>
      </c>
      <c r="F541">
        <v>1104235652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0.91051454138702437</v>
      </c>
      <c r="Q541">
        <f t="shared" si="985"/>
        <v>1005422618.2639818</v>
      </c>
      <c r="R541">
        <f t="shared" si="986"/>
        <v>2960301401.0245266</v>
      </c>
      <c r="S541">
        <f t="shared" si="987"/>
        <v>29603.014010245264</v>
      </c>
      <c r="T541">
        <f t="shared" si="988"/>
        <v>29.603014010245264</v>
      </c>
    </row>
    <row r="542" spans="1:20" x14ac:dyDescent="0.25">
      <c r="A542" s="5">
        <v>44051</v>
      </c>
      <c r="B542">
        <v>1.866E-3</v>
      </c>
      <c r="C542">
        <v>2.4199999999999998E-3</v>
      </c>
      <c r="D542">
        <v>1.8550000000000001E-3</v>
      </c>
      <c r="E542">
        <v>2.1870000000000001E-3</v>
      </c>
      <c r="F542">
        <v>1156252695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0.1752212389380538</v>
      </c>
      <c r="Q542">
        <f t="shared" si="985"/>
        <v>202600029.74336365</v>
      </c>
      <c r="R542">
        <f t="shared" si="986"/>
        <v>1954878782.760545</v>
      </c>
      <c r="S542">
        <f t="shared" si="987"/>
        <v>19548.787827605451</v>
      </c>
      <c r="T542">
        <f t="shared" si="988"/>
        <v>19.548787827605452</v>
      </c>
    </row>
    <row r="543" spans="1:20" x14ac:dyDescent="0.25">
      <c r="A543" s="5">
        <v>44050</v>
      </c>
      <c r="B543">
        <v>1.866E-3</v>
      </c>
      <c r="C543">
        <v>1.9070000000000001E-3</v>
      </c>
      <c r="D543">
        <v>1.81E-3</v>
      </c>
      <c r="E543">
        <v>1.8699999999999999E-3</v>
      </c>
      <c r="F543">
        <v>375892156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0.23711340206185341</v>
      </c>
      <c r="Q543">
        <f t="shared" si="985"/>
        <v>89129067.917524919</v>
      </c>
      <c r="R543">
        <f t="shared" si="986"/>
        <v>1752278753.0171814</v>
      </c>
      <c r="S543">
        <f t="shared" si="987"/>
        <v>17522.787530171812</v>
      </c>
      <c r="T543">
        <f t="shared" si="988"/>
        <v>17.522787530171811</v>
      </c>
    </row>
    <row r="544" spans="1:20" x14ac:dyDescent="0.25">
      <c r="A544" s="5">
        <v>44049</v>
      </c>
      <c r="B544">
        <v>1.8630000000000001E-3</v>
      </c>
      <c r="C544">
        <v>1.885E-3</v>
      </c>
      <c r="D544">
        <v>1.7830000000000001E-3</v>
      </c>
      <c r="E544">
        <v>1.866E-3</v>
      </c>
      <c r="F544">
        <v>224103959</v>
      </c>
      <c r="G544">
        <v>0</v>
      </c>
      <c r="L544" t="s">
        <v>7</v>
      </c>
      <c r="M544" t="s">
        <v>7</v>
      </c>
      <c r="N544" t="s">
        <v>7</v>
      </c>
      <c r="P544">
        <f t="shared" si="984"/>
        <v>0.62745098039215796</v>
      </c>
      <c r="Q544">
        <f t="shared" si="985"/>
        <v>140614248.78431398</v>
      </c>
      <c r="R544">
        <f t="shared" si="986"/>
        <v>1663149685.0996566</v>
      </c>
      <c r="S544">
        <f t="shared" si="987"/>
        <v>16631.496850996566</v>
      </c>
      <c r="T544">
        <f t="shared" si="988"/>
        <v>16.631496850996566</v>
      </c>
    </row>
    <row r="545" spans="1:20" x14ac:dyDescent="0.25">
      <c r="A545" s="5">
        <v>44048</v>
      </c>
      <c r="B545">
        <v>1.926E-3</v>
      </c>
      <c r="C545">
        <v>1.9480000000000001E-3</v>
      </c>
      <c r="D545">
        <v>1.7899999999999999E-3</v>
      </c>
      <c r="E545">
        <v>1.8630000000000001E-3</v>
      </c>
      <c r="F545">
        <v>311794151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-7.5949367088606626E-2</v>
      </c>
      <c r="Q545">
        <f t="shared" si="985"/>
        <v>-23680568.430379443</v>
      </c>
      <c r="R545">
        <f t="shared" si="986"/>
        <v>1522535436.3153427</v>
      </c>
      <c r="S545">
        <f t="shared" si="987"/>
        <v>15225.354363153427</v>
      </c>
      <c r="T545">
        <f t="shared" si="988"/>
        <v>15.225354363153427</v>
      </c>
    </row>
    <row r="546" spans="1:20" x14ac:dyDescent="0.25">
      <c r="A546" s="5">
        <v>44047</v>
      </c>
      <c r="B546">
        <v>1.949E-3</v>
      </c>
      <c r="C546">
        <v>1.9989999999999999E-3</v>
      </c>
      <c r="D546">
        <v>1.869E-3</v>
      </c>
      <c r="E546">
        <v>1.926E-3</v>
      </c>
      <c r="F546">
        <v>146477465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-0.12307692307692282</v>
      </c>
      <c r="Q546">
        <f t="shared" si="985"/>
        <v>-18027995.692307655</v>
      </c>
      <c r="R546">
        <f t="shared" si="986"/>
        <v>1546216004.7457221</v>
      </c>
      <c r="S546">
        <f t="shared" si="987"/>
        <v>15462.160047457221</v>
      </c>
      <c r="T546">
        <f t="shared" si="988"/>
        <v>15.462160047457221</v>
      </c>
    </row>
    <row r="547" spans="1:20" x14ac:dyDescent="0.25">
      <c r="A547" s="5">
        <v>44046</v>
      </c>
      <c r="B547">
        <v>1.864E-3</v>
      </c>
      <c r="C547">
        <v>2.0079999999999998E-3</v>
      </c>
      <c r="D547">
        <v>1.8569999999999999E-3</v>
      </c>
      <c r="E547">
        <v>1.9499999999999999E-3</v>
      </c>
      <c r="F547">
        <v>262931754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0.23178807947019947</v>
      </c>
      <c r="Q547">
        <f t="shared" si="985"/>
        <v>60944446.291390941</v>
      </c>
      <c r="R547">
        <f t="shared" si="986"/>
        <v>1564244000.4380298</v>
      </c>
      <c r="S547">
        <f t="shared" si="987"/>
        <v>15642.440004380298</v>
      </c>
      <c r="T547">
        <f t="shared" si="988"/>
        <v>15.642440004380298</v>
      </c>
    </row>
    <row r="548" spans="1:20" x14ac:dyDescent="0.25">
      <c r="A548" s="5">
        <v>44045</v>
      </c>
      <c r="B548">
        <v>1.9710000000000001E-3</v>
      </c>
      <c r="C548">
        <v>2E-3</v>
      </c>
      <c r="D548">
        <v>1.751E-3</v>
      </c>
      <c r="E548">
        <v>1.864E-3</v>
      </c>
      <c r="F548">
        <v>276864612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-9.2369477911646625E-2</v>
      </c>
      <c r="Q548">
        <f t="shared" si="985"/>
        <v>-25573839.662650611</v>
      </c>
      <c r="R548">
        <f t="shared" si="986"/>
        <v>1503299554.1466389</v>
      </c>
      <c r="S548">
        <f t="shared" si="987"/>
        <v>15032.995541466389</v>
      </c>
      <c r="T548">
        <f t="shared" si="988"/>
        <v>15.03299554146639</v>
      </c>
    </row>
    <row r="549" spans="1:20" x14ac:dyDescent="0.25">
      <c r="A549" s="5">
        <v>44044</v>
      </c>
      <c r="B549">
        <v>1.8619999999999999E-3</v>
      </c>
      <c r="C549">
        <v>2.15E-3</v>
      </c>
      <c r="D549">
        <v>1.7799999999999999E-3</v>
      </c>
      <c r="E549">
        <v>1.967E-3</v>
      </c>
      <c r="F549">
        <v>594056781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1.081081081081107E-2</v>
      </c>
      <c r="Q549">
        <f t="shared" si="985"/>
        <v>6422235.4702704241</v>
      </c>
      <c r="R549">
        <f t="shared" si="986"/>
        <v>1528873393.8092895</v>
      </c>
      <c r="S549">
        <f t="shared" si="987"/>
        <v>15288.733938092895</v>
      </c>
      <c r="T549">
        <f t="shared" si="988"/>
        <v>15.288733938092895</v>
      </c>
    </row>
    <row r="550" spans="1:20" x14ac:dyDescent="0.25">
      <c r="A550" s="5">
        <v>44043</v>
      </c>
      <c r="B550">
        <v>1.884E-3</v>
      </c>
      <c r="C550">
        <v>2.0539999999999998E-3</v>
      </c>
      <c r="D550">
        <v>1.823E-3</v>
      </c>
      <c r="E550">
        <v>1.861E-3</v>
      </c>
      <c r="F550">
        <v>354529424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-0.67099567099567037</v>
      </c>
      <c r="Q550">
        <f t="shared" si="985"/>
        <v>-237887708.74458852</v>
      </c>
      <c r="R550">
        <f t="shared" si="986"/>
        <v>1522451158.3390191</v>
      </c>
      <c r="S550">
        <f t="shared" si="987"/>
        <v>15224.511583390191</v>
      </c>
      <c r="T550">
        <f t="shared" si="988"/>
        <v>15.224511583390191</v>
      </c>
    </row>
    <row r="551" spans="1:20" x14ac:dyDescent="0.25">
      <c r="A551" s="5">
        <v>44042</v>
      </c>
      <c r="B551">
        <v>2.0010000000000002E-3</v>
      </c>
      <c r="C551">
        <v>2.0219999999999999E-3</v>
      </c>
      <c r="D551">
        <v>1.7979999999999999E-3</v>
      </c>
      <c r="E551">
        <v>1.8779999999999999E-3</v>
      </c>
      <c r="F551">
        <v>395564544</v>
      </c>
      <c r="G551">
        <v>0</v>
      </c>
      <c r="L551" t="s">
        <v>7</v>
      </c>
      <c r="M551" t="s">
        <v>7</v>
      </c>
      <c r="N551" t="s">
        <v>7</v>
      </c>
      <c r="P551">
        <f t="shared" si="984"/>
        <v>-0.28571428571428586</v>
      </c>
      <c r="Q551">
        <f t="shared" si="985"/>
        <v>-113018441.14285721</v>
      </c>
      <c r="R551">
        <f t="shared" si="986"/>
        <v>1760338867.0836077</v>
      </c>
      <c r="S551">
        <f t="shared" si="987"/>
        <v>17603.388670836077</v>
      </c>
      <c r="T551">
        <f t="shared" si="988"/>
        <v>17.603388670836075</v>
      </c>
    </row>
    <row r="552" spans="1:20" x14ac:dyDescent="0.25">
      <c r="A552" s="5">
        <v>44041</v>
      </c>
      <c r="B552">
        <v>1.9599999999999999E-3</v>
      </c>
      <c r="C552">
        <v>2.1840000000000002E-3</v>
      </c>
      <c r="D552">
        <v>1.918E-3</v>
      </c>
      <c r="E552">
        <v>1.9940000000000001E-3</v>
      </c>
      <c r="F552">
        <v>521107225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-0.4285714285714281</v>
      </c>
      <c r="Q552">
        <f t="shared" si="985"/>
        <v>-223331667.85714263</v>
      </c>
      <c r="R552">
        <f t="shared" si="986"/>
        <v>1873357308.226465</v>
      </c>
      <c r="S552">
        <f t="shared" si="987"/>
        <v>18733.573082264651</v>
      </c>
      <c r="T552">
        <f t="shared" si="988"/>
        <v>18.733573082264652</v>
      </c>
    </row>
    <row r="553" spans="1:20" x14ac:dyDescent="0.25">
      <c r="A553" s="5">
        <v>44040</v>
      </c>
      <c r="B553">
        <v>1.884E-3</v>
      </c>
      <c r="C553">
        <v>2.0270000000000002E-3</v>
      </c>
      <c r="D553">
        <v>1.853E-3</v>
      </c>
      <c r="E553">
        <v>1.9599999999999999E-3</v>
      </c>
      <c r="F553">
        <v>701040205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0.22988505747126234</v>
      </c>
      <c r="Q553">
        <f t="shared" si="985"/>
        <v>161158667.81609052</v>
      </c>
      <c r="R553">
        <f t="shared" si="986"/>
        <v>2096688976.0836077</v>
      </c>
      <c r="S553">
        <f t="shared" si="987"/>
        <v>20966.889760836078</v>
      </c>
      <c r="T553">
        <f t="shared" si="988"/>
        <v>20.966889760836079</v>
      </c>
    </row>
    <row r="554" spans="1:20" x14ac:dyDescent="0.25">
      <c r="A554" s="5">
        <v>44039</v>
      </c>
      <c r="B554">
        <v>2.166E-3</v>
      </c>
      <c r="C554">
        <v>2.222E-3</v>
      </c>
      <c r="D554">
        <v>1.794E-3</v>
      </c>
      <c r="E554">
        <v>1.879E-3</v>
      </c>
      <c r="F554">
        <v>518880296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-0.60280373831775702</v>
      </c>
      <c r="Q554">
        <f t="shared" si="985"/>
        <v>-312782982.16822433</v>
      </c>
      <c r="R554">
        <f t="shared" si="986"/>
        <v>1935530308.2675171</v>
      </c>
      <c r="S554">
        <f t="shared" si="987"/>
        <v>19355.303082675171</v>
      </c>
      <c r="T554">
        <f t="shared" si="988"/>
        <v>19.355303082675171</v>
      </c>
    </row>
    <row r="555" spans="1:20" x14ac:dyDescent="0.25">
      <c r="A555" s="5">
        <v>44038</v>
      </c>
      <c r="B555">
        <v>2.287E-3</v>
      </c>
      <c r="C555">
        <v>2.421E-3</v>
      </c>
      <c r="D555">
        <v>1.9650000000000002E-3</v>
      </c>
      <c r="E555">
        <v>2.1670000000000001E-3</v>
      </c>
      <c r="F555">
        <v>417946744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-0.11403508771929821</v>
      </c>
      <c r="Q555">
        <f t="shared" si="985"/>
        <v>-47660593.61403507</v>
      </c>
      <c r="R555">
        <f t="shared" si="986"/>
        <v>2248313290.4357414</v>
      </c>
      <c r="S555">
        <f t="shared" si="987"/>
        <v>22483.132904357415</v>
      </c>
      <c r="T555">
        <f t="shared" si="988"/>
        <v>22.483132904357415</v>
      </c>
    </row>
    <row r="556" spans="1:20" x14ac:dyDescent="0.25">
      <c r="A556" s="5">
        <v>44037</v>
      </c>
      <c r="B556">
        <v>2.1250000000000002E-3</v>
      </c>
      <c r="C556">
        <v>2.4499999999999999E-3</v>
      </c>
      <c r="D556">
        <v>2.1210000000000001E-3</v>
      </c>
      <c r="E556">
        <v>2.284E-3</v>
      </c>
      <c r="F556">
        <v>444636903</v>
      </c>
      <c r="G556">
        <v>0</v>
      </c>
      <c r="L556" t="s">
        <v>8</v>
      </c>
      <c r="M556" t="s">
        <v>7</v>
      </c>
      <c r="N556" t="s">
        <v>8</v>
      </c>
      <c r="P556">
        <f t="shared" si="984"/>
        <v>-9.1185410334345459E-3</v>
      </c>
      <c r="Q556">
        <f t="shared" si="985"/>
        <v>-4054439.8449847559</v>
      </c>
      <c r="R556">
        <f t="shared" si="986"/>
        <v>2295973884.0497766</v>
      </c>
      <c r="S556">
        <f t="shared" si="987"/>
        <v>22959.738840497765</v>
      </c>
      <c r="T556">
        <f t="shared" si="988"/>
        <v>22.959738840497764</v>
      </c>
    </row>
    <row r="557" spans="1:20" x14ac:dyDescent="0.25">
      <c r="A557" s="5">
        <v>44036</v>
      </c>
      <c r="B557">
        <v>2.3080000000000002E-3</v>
      </c>
      <c r="C557">
        <v>2.3219999999999998E-3</v>
      </c>
      <c r="D557">
        <v>2.0539999999999998E-3</v>
      </c>
      <c r="E557">
        <v>2.1210000000000001E-3</v>
      </c>
      <c r="F557">
        <v>335692110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-0.49999999999999839</v>
      </c>
      <c r="Q557">
        <f t="shared" si="985"/>
        <v>-167846054.99999946</v>
      </c>
      <c r="R557">
        <f t="shared" si="986"/>
        <v>2300028323.8947611</v>
      </c>
      <c r="S557">
        <f t="shared" si="987"/>
        <v>23000.28323894761</v>
      </c>
      <c r="T557">
        <f t="shared" si="988"/>
        <v>23.00028323894761</v>
      </c>
    </row>
    <row r="558" spans="1:20" x14ac:dyDescent="0.25">
      <c r="A558" s="5">
        <v>44035</v>
      </c>
      <c r="B558">
        <v>2.4290000000000002E-3</v>
      </c>
      <c r="C558">
        <v>2.5040000000000001E-3</v>
      </c>
      <c r="D558">
        <v>2.2390000000000001E-3</v>
      </c>
      <c r="E558">
        <v>2.3080000000000002E-3</v>
      </c>
      <c r="F558">
        <v>646595431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-0.47924528301886765</v>
      </c>
      <c r="Q558">
        <f t="shared" si="985"/>
        <v>-309877810.32830173</v>
      </c>
      <c r="R558">
        <f t="shared" si="986"/>
        <v>2467874378.8947606</v>
      </c>
      <c r="S558">
        <f t="shared" si="987"/>
        <v>24678.743788947606</v>
      </c>
      <c r="T558">
        <f t="shared" si="988"/>
        <v>24.678743788947607</v>
      </c>
    </row>
    <row r="559" spans="1:20" x14ac:dyDescent="0.25">
      <c r="A559" s="5">
        <v>44034</v>
      </c>
      <c r="B559">
        <v>2.1779999999999998E-3</v>
      </c>
      <c r="C559">
        <v>2.7309999999999999E-3</v>
      </c>
      <c r="D559">
        <v>2.0869999999999999E-3</v>
      </c>
      <c r="E559">
        <v>2.4299999999999999E-3</v>
      </c>
      <c r="F559">
        <v>1148906564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6.5217391304347727E-2</v>
      </c>
      <c r="Q559">
        <f t="shared" si="985"/>
        <v>74928688.95652163</v>
      </c>
      <c r="R559">
        <f t="shared" si="986"/>
        <v>2777752189.2230625</v>
      </c>
      <c r="S559">
        <f t="shared" si="987"/>
        <v>27777.521892230627</v>
      </c>
      <c r="T559">
        <f t="shared" si="988"/>
        <v>27.777521892230627</v>
      </c>
    </row>
    <row r="560" spans="1:20" x14ac:dyDescent="0.25">
      <c r="A560" s="5">
        <v>44033</v>
      </c>
      <c r="B560">
        <v>2.2469999999999999E-3</v>
      </c>
      <c r="C560">
        <v>2.362E-3</v>
      </c>
      <c r="D560">
        <v>2.0349999999999999E-3</v>
      </c>
      <c r="E560">
        <v>2.189E-3</v>
      </c>
      <c r="F560">
        <v>1039472036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-5.8103975535167947E-2</v>
      </c>
      <c r="Q560">
        <f t="shared" si="985"/>
        <v>-60397457.749235213</v>
      </c>
      <c r="R560">
        <f t="shared" si="986"/>
        <v>2702823500.266541</v>
      </c>
      <c r="S560">
        <f t="shared" si="987"/>
        <v>27028.235002665409</v>
      </c>
      <c r="T560">
        <f t="shared" si="988"/>
        <v>27.028235002665408</v>
      </c>
    </row>
    <row r="561" spans="1:104" x14ac:dyDescent="0.25">
      <c r="A561" s="5">
        <v>44032</v>
      </c>
      <c r="B561">
        <v>2.7799999999999999E-3</v>
      </c>
      <c r="C561">
        <v>2.9329999999999998E-3</v>
      </c>
      <c r="D561">
        <v>2.117E-3</v>
      </c>
      <c r="E561">
        <v>2.2469999999999999E-3</v>
      </c>
      <c r="F561">
        <v>2208482411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-0.68137254901960798</v>
      </c>
      <c r="Q561">
        <f t="shared" si="985"/>
        <v>-1504799289.8480396</v>
      </c>
      <c r="R561">
        <f t="shared" si="986"/>
        <v>2763220958.0157762</v>
      </c>
      <c r="S561">
        <f t="shared" si="987"/>
        <v>27632.20958015776</v>
      </c>
      <c r="T561">
        <f t="shared" si="988"/>
        <v>27.63220958015776</v>
      </c>
      <c r="CZ561" t="s">
        <v>7</v>
      </c>
    </row>
    <row r="562" spans="1:104" x14ac:dyDescent="0.25">
      <c r="A562" s="5">
        <v>44031</v>
      </c>
      <c r="B562">
        <v>1.658E-3</v>
      </c>
      <c r="C562">
        <v>3.2829999999999999E-3</v>
      </c>
      <c r="D562">
        <v>1.64E-3</v>
      </c>
      <c r="E562">
        <v>2.7799999999999999E-3</v>
      </c>
      <c r="F562">
        <v>3652776265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0.38770541692026783</v>
      </c>
      <c r="Q562">
        <f t="shared" si="985"/>
        <v>1416201144.7382836</v>
      </c>
      <c r="R562">
        <f t="shared" si="986"/>
        <v>4268020247.8638158</v>
      </c>
      <c r="S562">
        <f t="shared" si="987"/>
        <v>42680.202478638159</v>
      </c>
      <c r="T562">
        <f t="shared" si="988"/>
        <v>42.680202478638158</v>
      </c>
      <c r="CZ562" t="s">
        <v>7</v>
      </c>
    </row>
    <row r="563" spans="1:104" x14ac:dyDescent="0.25">
      <c r="A563" s="5">
        <v>44030</v>
      </c>
      <c r="B563">
        <v>1.4480000000000001E-3</v>
      </c>
      <c r="C563">
        <v>1.753E-3</v>
      </c>
      <c r="D563">
        <v>1.4400000000000001E-3</v>
      </c>
      <c r="E563">
        <v>1.658E-3</v>
      </c>
      <c r="F563">
        <v>945134116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0.39297124600638939</v>
      </c>
      <c r="Q563">
        <f t="shared" si="985"/>
        <v>371410531.20766735</v>
      </c>
      <c r="R563">
        <f t="shared" si="986"/>
        <v>2851819103.1255322</v>
      </c>
      <c r="S563">
        <f t="shared" si="987"/>
        <v>28518.191031255323</v>
      </c>
      <c r="T563">
        <f t="shared" si="988"/>
        <v>28.518191031255324</v>
      </c>
      <c r="CZ563" t="s">
        <v>7</v>
      </c>
    </row>
    <row r="564" spans="1:104" x14ac:dyDescent="0.25">
      <c r="A564" s="5">
        <v>44029</v>
      </c>
      <c r="B564">
        <v>1.4890000000000001E-3</v>
      </c>
      <c r="C564">
        <v>1.5039999999999999E-3</v>
      </c>
      <c r="D564">
        <v>1.3630000000000001E-3</v>
      </c>
      <c r="E564">
        <v>1.4450000000000001E-3</v>
      </c>
      <c r="F564">
        <v>748426781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0.16312056737588837</v>
      </c>
      <c r="Q564">
        <f t="shared" si="985"/>
        <v>122083801.15602975</v>
      </c>
      <c r="R564">
        <f t="shared" si="986"/>
        <v>2480408571.9178648</v>
      </c>
      <c r="S564">
        <f t="shared" si="987"/>
        <v>24804.085719178649</v>
      </c>
      <c r="T564">
        <f t="shared" si="988"/>
        <v>24.804085719178648</v>
      </c>
    </row>
    <row r="565" spans="1:104" x14ac:dyDescent="0.25">
      <c r="A565" s="5">
        <v>44028</v>
      </c>
      <c r="B565">
        <v>1.3649999999999999E-3</v>
      </c>
      <c r="C565">
        <v>1.6900000000000001E-3</v>
      </c>
      <c r="D565">
        <v>1.3320000000000001E-3</v>
      </c>
      <c r="E565">
        <v>1.495E-3</v>
      </c>
      <c r="F565">
        <v>2771833836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-8.9385474860335545E-2</v>
      </c>
      <c r="Q565">
        <f t="shared" si="985"/>
        <v>-247761683.66480544</v>
      </c>
      <c r="R565">
        <f t="shared" si="986"/>
        <v>2358324770.7618351</v>
      </c>
      <c r="S565">
        <f t="shared" si="987"/>
        <v>23583.24770761835</v>
      </c>
      <c r="T565">
        <f t="shared" si="988"/>
        <v>23.583247707618348</v>
      </c>
    </row>
    <row r="566" spans="1:104" x14ac:dyDescent="0.25">
      <c r="A566" s="5">
        <v>44027</v>
      </c>
      <c r="B566">
        <v>1.01E-3</v>
      </c>
      <c r="C566">
        <v>1.653E-3</v>
      </c>
      <c r="D566">
        <v>9.8299999999999993E-4</v>
      </c>
      <c r="E566">
        <v>1.3649999999999999E-3</v>
      </c>
      <c r="F566">
        <v>1768362433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0.14029850746268641</v>
      </c>
      <c r="Q566">
        <f t="shared" si="985"/>
        <v>248098610.00298479</v>
      </c>
      <c r="R566">
        <f t="shared" si="986"/>
        <v>2606086454.4266405</v>
      </c>
      <c r="S566">
        <f t="shared" si="987"/>
        <v>26060.864544266406</v>
      </c>
      <c r="T566">
        <f t="shared" si="988"/>
        <v>26.060864544266405</v>
      </c>
    </row>
    <row r="567" spans="1:104" x14ac:dyDescent="0.25">
      <c r="A567" s="5">
        <v>44026</v>
      </c>
      <c r="B567">
        <v>9.4899999999999997E-4</v>
      </c>
      <c r="C567">
        <v>1.031E-3</v>
      </c>
      <c r="D567">
        <v>9.1799999999999998E-4</v>
      </c>
      <c r="E567">
        <v>1.01E-3</v>
      </c>
      <c r="F567">
        <v>449770160</v>
      </c>
      <c r="G567">
        <v>0</v>
      </c>
      <c r="L567" t="s">
        <v>8</v>
      </c>
      <c r="M567" t="s">
        <v>8</v>
      </c>
      <c r="N567" t="s">
        <v>7</v>
      </c>
      <c r="P567">
        <f t="shared" si="984"/>
        <v>0.6283185840707971</v>
      </c>
      <c r="Q567">
        <f t="shared" si="985"/>
        <v>282598950.08849585</v>
      </c>
      <c r="R567">
        <f t="shared" si="986"/>
        <v>2357987844.4236555</v>
      </c>
      <c r="S567">
        <f t="shared" si="987"/>
        <v>23579.878444236554</v>
      </c>
      <c r="T567">
        <f t="shared" si="988"/>
        <v>23.579878444236552</v>
      </c>
    </row>
    <row r="568" spans="1:104" x14ac:dyDescent="0.25">
      <c r="A568" s="5">
        <v>44025</v>
      </c>
      <c r="B568">
        <v>9.7199999999999999E-4</v>
      </c>
      <c r="C568">
        <v>9.7599999999999998E-4</v>
      </c>
      <c r="D568">
        <v>9.4499999999999998E-4</v>
      </c>
      <c r="E568">
        <v>9.4700000000000003E-4</v>
      </c>
      <c r="F568">
        <v>125824394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-0.87096774193548077</v>
      </c>
      <c r="Q568">
        <f t="shared" si="985"/>
        <v>-109588988.32258025</v>
      </c>
      <c r="R568">
        <f t="shared" si="986"/>
        <v>2075388894.3351598</v>
      </c>
      <c r="S568">
        <f t="shared" si="987"/>
        <v>20753.888943351598</v>
      </c>
      <c r="T568">
        <f t="shared" si="988"/>
        <v>20.753888943351598</v>
      </c>
    </row>
    <row r="569" spans="1:104" x14ac:dyDescent="0.25">
      <c r="A569" s="5">
        <v>44024</v>
      </c>
      <c r="B569">
        <v>9.7799999999999992E-4</v>
      </c>
      <c r="C569">
        <v>9.810000000000001E-4</v>
      </c>
      <c r="D569">
        <v>9.59E-4</v>
      </c>
      <c r="E569">
        <v>9.7300000000000002E-4</v>
      </c>
      <c r="F569">
        <v>80373521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0.27272727272726827</v>
      </c>
      <c r="Q569">
        <f t="shared" si="985"/>
        <v>21920051.181817822</v>
      </c>
      <c r="R569">
        <f t="shared" si="986"/>
        <v>2184977882.6577401</v>
      </c>
      <c r="S569">
        <f t="shared" si="987"/>
        <v>21849.7788265774</v>
      </c>
      <c r="T569">
        <f t="shared" si="988"/>
        <v>21.849778826577399</v>
      </c>
    </row>
    <row r="570" spans="1:104" x14ac:dyDescent="0.25">
      <c r="A570" s="5">
        <v>44023</v>
      </c>
      <c r="B570">
        <v>1.0020000000000001E-3</v>
      </c>
      <c r="C570">
        <v>1.0059999999999999E-3</v>
      </c>
      <c r="D570">
        <v>9.6100000000000005E-4</v>
      </c>
      <c r="E570">
        <v>9.7999999999999997E-4</v>
      </c>
      <c r="F570">
        <v>91786251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-0.15555555555555728</v>
      </c>
      <c r="Q570">
        <f t="shared" si="985"/>
        <v>-14277861.266666824</v>
      </c>
      <c r="R570">
        <f t="shared" si="986"/>
        <v>2163057831.4759221</v>
      </c>
      <c r="S570">
        <f t="shared" si="987"/>
        <v>21630.578314759223</v>
      </c>
      <c r="T570">
        <f t="shared" si="988"/>
        <v>21.630578314759223</v>
      </c>
    </row>
    <row r="571" spans="1:104" x14ac:dyDescent="0.25">
      <c r="A571" s="5">
        <v>44022</v>
      </c>
      <c r="B571">
        <v>9.4899999999999997E-4</v>
      </c>
      <c r="C571">
        <v>1.0020000000000001E-3</v>
      </c>
      <c r="D571">
        <v>9.3999999999999997E-4</v>
      </c>
      <c r="E571">
        <v>9.990000000000001E-4</v>
      </c>
      <c r="F571">
        <v>209254792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0.90322580645161421</v>
      </c>
      <c r="Q571">
        <f t="shared" si="985"/>
        <v>189004328.25806478</v>
      </c>
      <c r="R571">
        <f t="shared" si="986"/>
        <v>2177335692.742589</v>
      </c>
      <c r="S571">
        <f t="shared" si="987"/>
        <v>21773.356927425892</v>
      </c>
      <c r="T571">
        <f t="shared" si="988"/>
        <v>21.77335692742589</v>
      </c>
    </row>
    <row r="572" spans="1:104" x14ac:dyDescent="0.25">
      <c r="A572" s="5">
        <v>44021</v>
      </c>
      <c r="B572">
        <v>9.59E-4</v>
      </c>
      <c r="C572">
        <v>9.7199999999999999E-4</v>
      </c>
      <c r="D572">
        <v>9.1600000000000004E-4</v>
      </c>
      <c r="E572">
        <v>9.4799999999999995E-4</v>
      </c>
      <c r="F572">
        <v>91661856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0.14285714285714066</v>
      </c>
      <c r="Q572">
        <f t="shared" si="985"/>
        <v>13094550.857142655</v>
      </c>
      <c r="R572">
        <f t="shared" si="986"/>
        <v>1988331364.484524</v>
      </c>
      <c r="S572">
        <f t="shared" si="987"/>
        <v>19883.313644845239</v>
      </c>
      <c r="T572">
        <f t="shared" si="988"/>
        <v>19.883313644845238</v>
      </c>
    </row>
    <row r="573" spans="1:104" x14ac:dyDescent="0.25">
      <c r="A573" s="5">
        <v>44020</v>
      </c>
      <c r="B573">
        <v>9.1200000000000005E-4</v>
      </c>
      <c r="C573">
        <v>9.8200000000000002E-4</v>
      </c>
      <c r="D573">
        <v>9.0899999999999998E-4</v>
      </c>
      <c r="E573">
        <v>9.6299999999999999E-4</v>
      </c>
      <c r="F573">
        <v>218387414</v>
      </c>
      <c r="G573">
        <v>0</v>
      </c>
      <c r="L573" t="s">
        <v>7</v>
      </c>
      <c r="M573" t="s">
        <v>8</v>
      </c>
      <c r="N573" t="s">
        <v>7</v>
      </c>
      <c r="P573">
        <f t="shared" si="984"/>
        <v>0.47945205479452008</v>
      </c>
      <c r="Q573">
        <f t="shared" si="985"/>
        <v>104706294.38356154</v>
      </c>
      <c r="R573">
        <f t="shared" si="986"/>
        <v>1975236813.6273813</v>
      </c>
      <c r="S573">
        <f t="shared" si="987"/>
        <v>19752.368136273813</v>
      </c>
      <c r="T573">
        <f t="shared" si="988"/>
        <v>19.752368136273812</v>
      </c>
    </row>
    <row r="574" spans="1:104" x14ac:dyDescent="0.25">
      <c r="A574" s="5">
        <v>44019</v>
      </c>
      <c r="B574">
        <v>9.19E-4</v>
      </c>
      <c r="C574">
        <v>9.2299999999999999E-4</v>
      </c>
      <c r="D574">
        <v>8.9099999999999997E-4</v>
      </c>
      <c r="E574">
        <v>9.1E-4</v>
      </c>
      <c r="F574">
        <v>73382297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0.18750000000000105</v>
      </c>
      <c r="Q574">
        <f t="shared" si="985"/>
        <v>13759180.687500078</v>
      </c>
      <c r="R574">
        <f t="shared" si="986"/>
        <v>1870530519.2438197</v>
      </c>
      <c r="S574">
        <f t="shared" si="987"/>
        <v>18705.305192438198</v>
      </c>
      <c r="T574">
        <f t="shared" si="988"/>
        <v>18.7053051924382</v>
      </c>
    </row>
    <row r="575" spans="1:104" x14ac:dyDescent="0.25">
      <c r="A575" s="5">
        <v>44018</v>
      </c>
      <c r="B575">
        <v>9.1E-4</v>
      </c>
      <c r="C575">
        <v>9.2900000000000003E-4</v>
      </c>
      <c r="D575">
        <v>8.8699999999999998E-4</v>
      </c>
      <c r="E575">
        <v>9.1299999999999997E-4</v>
      </c>
      <c r="F575">
        <v>103737336</v>
      </c>
      <c r="G575">
        <v>0</v>
      </c>
      <c r="L575" t="s">
        <v>7</v>
      </c>
      <c r="M575" t="s">
        <v>7</v>
      </c>
      <c r="N575" t="s">
        <v>7</v>
      </c>
      <c r="P575">
        <f t="shared" si="984"/>
        <v>0.23809523809523589</v>
      </c>
      <c r="Q575">
        <f t="shared" si="985"/>
        <v>24699365.714285485</v>
      </c>
      <c r="R575">
        <f t="shared" si="986"/>
        <v>1856771338.5563197</v>
      </c>
      <c r="S575">
        <f t="shared" si="987"/>
        <v>18567.713385563198</v>
      </c>
      <c r="T575">
        <f t="shared" si="988"/>
        <v>18.567713385563199</v>
      </c>
    </row>
    <row r="576" spans="1:104" x14ac:dyDescent="0.25">
      <c r="A576" s="5">
        <v>44017</v>
      </c>
      <c r="B576">
        <v>8.9999999999999998E-4</v>
      </c>
      <c r="C576">
        <v>9.4200000000000002E-4</v>
      </c>
      <c r="D576">
        <v>8.8199999999999997E-4</v>
      </c>
      <c r="E576">
        <v>9.0799999999999995E-4</v>
      </c>
      <c r="F576">
        <v>91096788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-0.13333333333333466</v>
      </c>
      <c r="Q576">
        <f t="shared" si="985"/>
        <v>-12146238.400000121</v>
      </c>
      <c r="R576">
        <f t="shared" si="986"/>
        <v>1832071972.8420343</v>
      </c>
      <c r="S576">
        <f t="shared" si="987"/>
        <v>18320.719728420343</v>
      </c>
      <c r="T576">
        <f t="shared" si="988"/>
        <v>18.320719728420343</v>
      </c>
    </row>
    <row r="577" spans="1:20" x14ac:dyDescent="0.25">
      <c r="A577" s="5">
        <v>44016</v>
      </c>
      <c r="B577">
        <v>9.1200000000000005E-4</v>
      </c>
      <c r="C577">
        <v>9.2800000000000001E-4</v>
      </c>
      <c r="D577">
        <v>8.8099999999999995E-4</v>
      </c>
      <c r="E577">
        <v>8.9800000000000004E-4</v>
      </c>
      <c r="F577">
        <v>100214366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-0.27659574468084824</v>
      </c>
      <c r="Q577">
        <f t="shared" si="985"/>
        <v>-27718867.191489078</v>
      </c>
      <c r="R577">
        <f t="shared" si="986"/>
        <v>1844218211.2420344</v>
      </c>
      <c r="S577">
        <f t="shared" si="987"/>
        <v>18442.182112420345</v>
      </c>
      <c r="T577">
        <f t="shared" si="988"/>
        <v>18.442182112420344</v>
      </c>
    </row>
    <row r="578" spans="1:20" x14ac:dyDescent="0.25">
      <c r="A578" s="5">
        <v>44015</v>
      </c>
      <c r="B578">
        <v>9.0200000000000002E-4</v>
      </c>
      <c r="C578">
        <v>9.5799999999999998E-4</v>
      </c>
      <c r="D578">
        <v>8.5999999999999998E-4</v>
      </c>
      <c r="E578">
        <v>9.1200000000000005E-4</v>
      </c>
      <c r="F578">
        <v>101417327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6.1224489795919858E-2</v>
      </c>
      <c r="Q578">
        <f t="shared" si="985"/>
        <v>6209224.1020409679</v>
      </c>
      <c r="R578">
        <f t="shared" si="986"/>
        <v>1871937078.4335234</v>
      </c>
      <c r="S578">
        <f t="shared" si="987"/>
        <v>18719.370784335235</v>
      </c>
      <c r="T578">
        <f t="shared" si="988"/>
        <v>18.719370784335236</v>
      </c>
    </row>
    <row r="579" spans="1:20" x14ac:dyDescent="0.25">
      <c r="A579" s="5">
        <v>44014</v>
      </c>
      <c r="B579">
        <v>9.2000000000000003E-4</v>
      </c>
      <c r="C579">
        <v>9.59E-4</v>
      </c>
      <c r="D579">
        <v>8.6399999999999997E-4</v>
      </c>
      <c r="E579">
        <v>8.9999999999999998E-4</v>
      </c>
      <c r="F579">
        <v>273786718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-0.24210526315789482</v>
      </c>
      <c r="Q579">
        <f t="shared" si="985"/>
        <v>-66285205.410526343</v>
      </c>
      <c r="R579">
        <f t="shared" si="986"/>
        <v>1865727854.3314824</v>
      </c>
      <c r="S579">
        <f t="shared" si="987"/>
        <v>18657.278543314824</v>
      </c>
      <c r="T579">
        <f t="shared" si="988"/>
        <v>18.657278543314824</v>
      </c>
    </row>
    <row r="580" spans="1:20" x14ac:dyDescent="0.25">
      <c r="A580" s="5">
        <v>44013</v>
      </c>
      <c r="B580">
        <v>8.9099999999999997E-4</v>
      </c>
      <c r="C580">
        <v>9.2000000000000003E-4</v>
      </c>
      <c r="D580">
        <v>8.4699999999999999E-4</v>
      </c>
      <c r="E580">
        <v>9.2000000000000003E-4</v>
      </c>
      <c r="F580">
        <v>164223800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1</v>
      </c>
      <c r="Q580">
        <f t="shared" si="985"/>
        <v>164223800</v>
      </c>
      <c r="R580">
        <f t="shared" si="986"/>
        <v>1932013059.7420087</v>
      </c>
      <c r="S580">
        <f t="shared" si="987"/>
        <v>19320.130597420088</v>
      </c>
      <c r="T580">
        <f t="shared" si="988"/>
        <v>19.320130597420089</v>
      </c>
    </row>
    <row r="581" spans="1:20" x14ac:dyDescent="0.25">
      <c r="A581" s="5">
        <v>44012</v>
      </c>
      <c r="B581">
        <v>8.8199999999999997E-4</v>
      </c>
      <c r="C581">
        <v>9.0300000000000005E-4</v>
      </c>
      <c r="D581">
        <v>8.0000000000000004E-4</v>
      </c>
      <c r="E581">
        <v>8.8999999999999995E-4</v>
      </c>
      <c r="F581">
        <v>450999632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0.7475728155339787</v>
      </c>
      <c r="Q581">
        <f t="shared" si="985"/>
        <v>337155064.69902825</v>
      </c>
      <c r="R581">
        <f t="shared" si="986"/>
        <v>1767789259.7420087</v>
      </c>
      <c r="S581">
        <f t="shared" si="987"/>
        <v>17677.892597420087</v>
      </c>
      <c r="T581">
        <f t="shared" si="988"/>
        <v>17.677892597420087</v>
      </c>
    </row>
    <row r="582" spans="1:20" x14ac:dyDescent="0.25">
      <c r="A582" s="5">
        <v>44011</v>
      </c>
      <c r="B582">
        <v>8.7000000000000001E-4</v>
      </c>
      <c r="C582">
        <v>8.8400000000000002E-4</v>
      </c>
      <c r="D582">
        <v>8.3100000000000003E-4</v>
      </c>
      <c r="E582">
        <v>8.8400000000000002E-4</v>
      </c>
      <c r="F582">
        <v>91726547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1</v>
      </c>
      <c r="Q582">
        <f t="shared" ref="Q582:Q645" si="990">F582*P582</f>
        <v>91726547</v>
      </c>
      <c r="R582">
        <f t="shared" ref="R582:R645" si="991">R583+Q582</f>
        <v>1430634195.0429804</v>
      </c>
      <c r="S582">
        <f t="shared" ref="S582:S645" si="992">R582/100000</f>
        <v>14306.341950429804</v>
      </c>
      <c r="T582">
        <f t="shared" ref="T582:T645" si="993">S582/1000</f>
        <v>14.306341950429804</v>
      </c>
    </row>
    <row r="583" spans="1:20" x14ac:dyDescent="0.25">
      <c r="A583" s="5">
        <v>44010</v>
      </c>
      <c r="B583">
        <v>8.7000000000000001E-4</v>
      </c>
      <c r="C583">
        <v>8.7799999999999998E-4</v>
      </c>
      <c r="D583">
        <v>8.3600000000000005E-4</v>
      </c>
      <c r="E583">
        <v>8.7299999999999997E-4</v>
      </c>
      <c r="F583">
        <v>73789087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0.76190476190476097</v>
      </c>
      <c r="Q583">
        <f t="shared" si="990"/>
        <v>56220256.761904694</v>
      </c>
      <c r="R583">
        <f t="shared" si="991"/>
        <v>1338907648.0429804</v>
      </c>
      <c r="S583">
        <f t="shared" si="992"/>
        <v>13389.076480429805</v>
      </c>
      <c r="T583">
        <f t="shared" si="993"/>
        <v>13.389076480429805</v>
      </c>
    </row>
    <row r="584" spans="1:20" x14ac:dyDescent="0.25">
      <c r="A584" s="5">
        <v>44009</v>
      </c>
      <c r="B584">
        <v>9.1500000000000001E-4</v>
      </c>
      <c r="C584">
        <v>9.3800000000000003E-4</v>
      </c>
      <c r="D584">
        <v>8.5700000000000001E-4</v>
      </c>
      <c r="E584">
        <v>8.7500000000000002E-4</v>
      </c>
      <c r="F584">
        <v>81002835</v>
      </c>
      <c r="G584">
        <v>0</v>
      </c>
      <c r="L584" t="s">
        <v>8</v>
      </c>
      <c r="M584" t="s">
        <v>7</v>
      </c>
      <c r="N584" t="s">
        <v>7</v>
      </c>
      <c r="P584">
        <f t="shared" si="989"/>
        <v>-0.55555555555555558</v>
      </c>
      <c r="Q584">
        <f t="shared" si="990"/>
        <v>-45001575</v>
      </c>
      <c r="R584">
        <f t="shared" si="991"/>
        <v>1282687391.2810757</v>
      </c>
      <c r="S584">
        <f t="shared" si="992"/>
        <v>12826.873912810757</v>
      </c>
      <c r="T584">
        <f t="shared" si="993"/>
        <v>12.826873912810758</v>
      </c>
    </row>
    <row r="585" spans="1:20" x14ac:dyDescent="0.25">
      <c r="A585" s="5">
        <v>44008</v>
      </c>
      <c r="B585">
        <v>9.4499999999999998E-4</v>
      </c>
      <c r="C585">
        <v>9.7300000000000002E-4</v>
      </c>
      <c r="D585">
        <v>8.9599999999999999E-4</v>
      </c>
      <c r="E585">
        <v>9.1299999999999997E-4</v>
      </c>
      <c r="F585">
        <v>143080830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-0.55844155844155918</v>
      </c>
      <c r="Q585">
        <f t="shared" si="990"/>
        <v>-79902281.6883118</v>
      </c>
      <c r="R585">
        <f t="shared" si="991"/>
        <v>1327688966.2810757</v>
      </c>
      <c r="S585">
        <f t="shared" si="992"/>
        <v>13276.889662810758</v>
      </c>
      <c r="T585">
        <f t="shared" si="993"/>
        <v>13.276889662810758</v>
      </c>
    </row>
    <row r="586" spans="1:20" x14ac:dyDescent="0.25">
      <c r="A586" s="5">
        <v>44007</v>
      </c>
      <c r="B586">
        <v>9.8400000000000007E-4</v>
      </c>
      <c r="C586">
        <v>1.0219999999999999E-3</v>
      </c>
      <c r="D586">
        <v>8.9999999999999998E-4</v>
      </c>
      <c r="E586">
        <v>9.4499999999999998E-4</v>
      </c>
      <c r="F586">
        <v>265722001</v>
      </c>
      <c r="G586">
        <v>0</v>
      </c>
      <c r="L586" t="s">
        <v>8</v>
      </c>
      <c r="M586" t="s">
        <v>7</v>
      </c>
      <c r="N586" t="s">
        <v>8</v>
      </c>
      <c r="P586">
        <f t="shared" si="989"/>
        <v>-0.26229508196721252</v>
      </c>
      <c r="Q586">
        <f t="shared" si="990"/>
        <v>-69697574.032786727</v>
      </c>
      <c r="R586">
        <f t="shared" si="991"/>
        <v>1407591247.9693875</v>
      </c>
      <c r="S586">
        <f t="shared" si="992"/>
        <v>14075.912479693876</v>
      </c>
      <c r="T586">
        <f t="shared" si="993"/>
        <v>14.075912479693876</v>
      </c>
    </row>
    <row r="587" spans="1:20" x14ac:dyDescent="0.25">
      <c r="A587" s="5">
        <v>44006</v>
      </c>
      <c r="B587">
        <v>1.06E-3</v>
      </c>
      <c r="C587">
        <v>1.0820000000000001E-3</v>
      </c>
      <c r="D587">
        <v>9.5600000000000004E-4</v>
      </c>
      <c r="E587">
        <v>9.810000000000001E-4</v>
      </c>
      <c r="F587">
        <v>261689372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-0.60317460317460225</v>
      </c>
      <c r="Q587">
        <f t="shared" si="990"/>
        <v>-157844383.11111087</v>
      </c>
      <c r="R587">
        <f t="shared" si="991"/>
        <v>1477288822.0021741</v>
      </c>
      <c r="S587">
        <f t="shared" si="992"/>
        <v>14772.888220021741</v>
      </c>
      <c r="T587">
        <f t="shared" si="993"/>
        <v>14.772888220021741</v>
      </c>
    </row>
    <row r="588" spans="1:20" x14ac:dyDescent="0.25">
      <c r="A588" s="5">
        <v>44005</v>
      </c>
      <c r="B588">
        <v>1.1000000000000001E-3</v>
      </c>
      <c r="C588">
        <v>1.1050000000000001E-3</v>
      </c>
      <c r="D588">
        <v>1.041E-3</v>
      </c>
      <c r="E588">
        <v>1.06E-3</v>
      </c>
      <c r="F588">
        <v>144358344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-0.40625000000000283</v>
      </c>
      <c r="Q588">
        <f t="shared" si="990"/>
        <v>-58645577.25000041</v>
      </c>
      <c r="R588">
        <f t="shared" si="991"/>
        <v>1635133205.1132851</v>
      </c>
      <c r="S588">
        <f t="shared" si="992"/>
        <v>16351.332051132851</v>
      </c>
      <c r="T588">
        <f t="shared" si="993"/>
        <v>16.35133205113285</v>
      </c>
    </row>
    <row r="589" spans="1:20" x14ac:dyDescent="0.25">
      <c r="A589" s="5">
        <v>44004</v>
      </c>
      <c r="B589">
        <v>1.1100000000000001E-3</v>
      </c>
      <c r="C589">
        <v>1.14E-3</v>
      </c>
      <c r="D589">
        <v>1.0839999999999999E-3</v>
      </c>
      <c r="E589">
        <v>1.103E-3</v>
      </c>
      <c r="F589">
        <v>89112440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-0.32142857142856729</v>
      </c>
      <c r="Q589">
        <f t="shared" si="990"/>
        <v>-28643284.285713919</v>
      </c>
      <c r="R589">
        <f t="shared" si="991"/>
        <v>1693778782.3632855</v>
      </c>
      <c r="S589">
        <f t="shared" si="992"/>
        <v>16937.787823632854</v>
      </c>
      <c r="T589">
        <f t="shared" si="993"/>
        <v>16.937787823632853</v>
      </c>
    </row>
    <row r="590" spans="1:20" x14ac:dyDescent="0.25">
      <c r="A590" s="5">
        <v>44003</v>
      </c>
      <c r="B590">
        <v>1.119E-3</v>
      </c>
      <c r="C590">
        <v>1.1800000000000001E-3</v>
      </c>
      <c r="D590">
        <v>1.1050000000000001E-3</v>
      </c>
      <c r="E590">
        <v>1.114E-3</v>
      </c>
      <c r="F590">
        <v>104414000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-0.76000000000000278</v>
      </c>
      <c r="Q590">
        <f t="shared" si="990"/>
        <v>-79354640.000000298</v>
      </c>
      <c r="R590">
        <f t="shared" si="991"/>
        <v>1722422066.6489995</v>
      </c>
      <c r="S590">
        <f t="shared" si="992"/>
        <v>17224.220666489993</v>
      </c>
      <c r="T590">
        <f t="shared" si="993"/>
        <v>17.224220666489995</v>
      </c>
    </row>
    <row r="591" spans="1:20" x14ac:dyDescent="0.25">
      <c r="A591" s="5">
        <v>44002</v>
      </c>
      <c r="B591">
        <v>1.103E-3</v>
      </c>
      <c r="C591">
        <v>1.137E-3</v>
      </c>
      <c r="D591">
        <v>1.065E-3</v>
      </c>
      <c r="E591">
        <v>1.119E-3</v>
      </c>
      <c r="F591">
        <v>98001028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0.5</v>
      </c>
      <c r="Q591">
        <f t="shared" si="990"/>
        <v>49000514</v>
      </c>
      <c r="R591">
        <f t="shared" si="991"/>
        <v>1801776706.6489997</v>
      </c>
      <c r="S591">
        <f t="shared" si="992"/>
        <v>18017.767066489996</v>
      </c>
      <c r="T591">
        <f t="shared" si="993"/>
        <v>18.017767066489995</v>
      </c>
    </row>
    <row r="592" spans="1:20" x14ac:dyDescent="0.25">
      <c r="A592" s="5">
        <v>44001</v>
      </c>
      <c r="B592">
        <v>1.1199999999999999E-3</v>
      </c>
      <c r="C592">
        <v>1.1980000000000001E-3</v>
      </c>
      <c r="D592">
        <v>1.0579999999999999E-3</v>
      </c>
      <c r="E592">
        <v>1.1069999999999999E-3</v>
      </c>
      <c r="F592">
        <v>263392438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-0.30000000000000077</v>
      </c>
      <c r="Q592">
        <f t="shared" si="990"/>
        <v>-79017731.4000002</v>
      </c>
      <c r="R592">
        <f t="shared" si="991"/>
        <v>1752776192.6489997</v>
      </c>
      <c r="S592">
        <f t="shared" si="992"/>
        <v>17527.761926489999</v>
      </c>
      <c r="T592">
        <f t="shared" si="993"/>
        <v>17.527761926489998</v>
      </c>
    </row>
    <row r="593" spans="1:20" x14ac:dyDescent="0.25">
      <c r="A593" s="5">
        <v>44000</v>
      </c>
      <c r="B593">
        <v>1.008E-3</v>
      </c>
      <c r="C593">
        <v>1.183E-3</v>
      </c>
      <c r="D593">
        <v>1.0039999999999999E-3</v>
      </c>
      <c r="E593">
        <v>1.1249999999999999E-3</v>
      </c>
      <c r="F593">
        <v>425383870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0.35195530726256907</v>
      </c>
      <c r="Q593">
        <f t="shared" si="990"/>
        <v>149716110.67039073</v>
      </c>
      <c r="R593">
        <f t="shared" si="991"/>
        <v>1831793924.0489998</v>
      </c>
      <c r="S593">
        <f t="shared" si="992"/>
        <v>18317.939240489999</v>
      </c>
      <c r="T593">
        <f t="shared" si="993"/>
        <v>18.317939240489999</v>
      </c>
    </row>
    <row r="594" spans="1:20" x14ac:dyDescent="0.25">
      <c r="A594" s="5">
        <v>43999</v>
      </c>
      <c r="B594">
        <v>9.7499999999999996E-4</v>
      </c>
      <c r="C594">
        <v>1.0319999999999999E-3</v>
      </c>
      <c r="D594">
        <v>9.6500000000000004E-4</v>
      </c>
      <c r="E594">
        <v>1.008E-3</v>
      </c>
      <c r="F594">
        <v>212758005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0.28358208955223968</v>
      </c>
      <c r="Q594">
        <f t="shared" si="990"/>
        <v>60334359.626865856</v>
      </c>
      <c r="R594">
        <f t="shared" si="991"/>
        <v>1682077813.3786089</v>
      </c>
      <c r="S594">
        <f t="shared" si="992"/>
        <v>16820.778133786091</v>
      </c>
      <c r="T594">
        <f t="shared" si="993"/>
        <v>16.820778133786092</v>
      </c>
    </row>
    <row r="595" spans="1:20" x14ac:dyDescent="0.25">
      <c r="A595" s="5">
        <v>43998</v>
      </c>
      <c r="B595">
        <v>9.9400000000000009E-4</v>
      </c>
      <c r="C595">
        <v>1.029E-3</v>
      </c>
      <c r="D595">
        <v>9.5200000000000005E-4</v>
      </c>
      <c r="E595">
        <v>9.7300000000000002E-4</v>
      </c>
      <c r="F595">
        <v>269081739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-0.45454545454545481</v>
      </c>
      <c r="Q595">
        <f t="shared" si="990"/>
        <v>-122309881.36363643</v>
      </c>
      <c r="R595">
        <f t="shared" si="991"/>
        <v>1621743453.7517431</v>
      </c>
      <c r="S595">
        <f t="shared" si="992"/>
        <v>16217.434537517431</v>
      </c>
      <c r="T595">
        <f t="shared" si="993"/>
        <v>16.21743453751743</v>
      </c>
    </row>
    <row r="596" spans="1:20" x14ac:dyDescent="0.25">
      <c r="A596" s="5">
        <v>43997</v>
      </c>
      <c r="B596">
        <v>1.026E-3</v>
      </c>
      <c r="C596">
        <v>1.057E-3</v>
      </c>
      <c r="D596">
        <v>8.7900000000000001E-4</v>
      </c>
      <c r="E596">
        <v>9.8999999999999999E-4</v>
      </c>
      <c r="F596">
        <v>317660047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0.24719101123595499</v>
      </c>
      <c r="Q596">
        <f t="shared" si="990"/>
        <v>78522708.247190997</v>
      </c>
      <c r="R596">
        <f t="shared" si="991"/>
        <v>1744053335.1153796</v>
      </c>
      <c r="S596">
        <f t="shared" si="992"/>
        <v>17440.533351153797</v>
      </c>
      <c r="T596">
        <f t="shared" si="993"/>
        <v>17.440533351153796</v>
      </c>
    </row>
    <row r="597" spans="1:20" x14ac:dyDescent="0.25">
      <c r="A597" s="5">
        <v>43996</v>
      </c>
      <c r="B597">
        <v>1.207E-3</v>
      </c>
      <c r="C597">
        <v>1.207E-3</v>
      </c>
      <c r="D597">
        <v>9.9599999999999992E-4</v>
      </c>
      <c r="E597">
        <v>1.0280000000000001E-3</v>
      </c>
      <c r="F597">
        <v>580741626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-0.69668246445497517</v>
      </c>
      <c r="Q597">
        <f t="shared" si="990"/>
        <v>-404592507.21326947</v>
      </c>
      <c r="R597">
        <f t="shared" si="991"/>
        <v>1665530626.8681886</v>
      </c>
      <c r="S597">
        <f t="shared" si="992"/>
        <v>16655.306268681885</v>
      </c>
      <c r="T597">
        <f t="shared" si="993"/>
        <v>16.655306268681883</v>
      </c>
    </row>
    <row r="598" spans="1:20" x14ac:dyDescent="0.25">
      <c r="A598" s="5">
        <v>43995</v>
      </c>
      <c r="B598">
        <v>8.5800000000000004E-4</v>
      </c>
      <c r="C598">
        <v>1.2409999999999999E-3</v>
      </c>
      <c r="D598">
        <v>8.4699999999999999E-4</v>
      </c>
      <c r="E598">
        <v>1.207E-3</v>
      </c>
      <c r="F598">
        <v>1681945281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0.8274111675126905</v>
      </c>
      <c r="Q598">
        <f t="shared" si="990"/>
        <v>1391660308.6446702</v>
      </c>
      <c r="R598">
        <f t="shared" si="991"/>
        <v>2070123134.0814581</v>
      </c>
      <c r="S598">
        <f t="shared" si="992"/>
        <v>20701.231340814582</v>
      </c>
      <c r="T598">
        <f t="shared" si="993"/>
        <v>20.701231340814584</v>
      </c>
    </row>
    <row r="599" spans="1:20" x14ac:dyDescent="0.25">
      <c r="A599" s="5">
        <v>43994</v>
      </c>
      <c r="B599">
        <v>7.2099999999999996E-4</v>
      </c>
      <c r="C599">
        <v>9.01E-4</v>
      </c>
      <c r="D599">
        <v>7.1400000000000001E-4</v>
      </c>
      <c r="E599">
        <v>8.5599999999999999E-4</v>
      </c>
      <c r="F599">
        <v>198444150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0.5187165775401068</v>
      </c>
      <c r="Q599">
        <f t="shared" si="990"/>
        <v>102936270.32085559</v>
      </c>
      <c r="R599">
        <f t="shared" si="991"/>
        <v>678462825.43678772</v>
      </c>
      <c r="S599">
        <f t="shared" si="992"/>
        <v>6784.6282543678772</v>
      </c>
      <c r="T599">
        <f t="shared" si="993"/>
        <v>6.7846282543678775</v>
      </c>
    </row>
    <row r="600" spans="1:20" x14ac:dyDescent="0.25">
      <c r="A600" s="5">
        <v>43993</v>
      </c>
      <c r="B600">
        <v>8.6600000000000002E-4</v>
      </c>
      <c r="C600">
        <v>8.7200000000000005E-4</v>
      </c>
      <c r="D600">
        <v>7.2000000000000005E-4</v>
      </c>
      <c r="E600">
        <v>7.2000000000000005E-4</v>
      </c>
      <c r="F600">
        <v>211108545</v>
      </c>
      <c r="G600">
        <v>0</v>
      </c>
      <c r="L600" t="s">
        <v>8</v>
      </c>
      <c r="M600" t="s">
        <v>7</v>
      </c>
      <c r="N600" t="s">
        <v>8</v>
      </c>
      <c r="P600">
        <f t="shared" si="989"/>
        <v>-1</v>
      </c>
      <c r="Q600">
        <f t="shared" si="990"/>
        <v>-211108545</v>
      </c>
      <c r="R600">
        <f t="shared" si="991"/>
        <v>575526555.11593211</v>
      </c>
      <c r="S600">
        <f t="shared" si="992"/>
        <v>5755.2655511593211</v>
      </c>
      <c r="T600">
        <f t="shared" si="993"/>
        <v>5.7552655511593214</v>
      </c>
    </row>
    <row r="601" spans="1:20" x14ac:dyDescent="0.25">
      <c r="A601" s="5">
        <v>43992</v>
      </c>
      <c r="B601">
        <v>8.5999999999999998E-4</v>
      </c>
      <c r="C601">
        <v>8.7000000000000001E-4</v>
      </c>
      <c r="D601">
        <v>8.3900000000000001E-4</v>
      </c>
      <c r="E601">
        <v>8.6899999999999998E-4</v>
      </c>
      <c r="F601">
        <v>54690114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0.93548387096774033</v>
      </c>
      <c r="Q601">
        <f t="shared" si="990"/>
        <v>51161719.548387006</v>
      </c>
      <c r="R601">
        <f t="shared" si="991"/>
        <v>786635100.11593211</v>
      </c>
      <c r="S601">
        <f t="shared" si="992"/>
        <v>7866.3510011593207</v>
      </c>
      <c r="T601">
        <f t="shared" si="993"/>
        <v>7.8663510011593205</v>
      </c>
    </row>
    <row r="602" spans="1:20" x14ac:dyDescent="0.25">
      <c r="A602" s="5">
        <v>43991</v>
      </c>
      <c r="B602">
        <v>8.3600000000000005E-4</v>
      </c>
      <c r="C602">
        <v>8.8999999999999995E-4</v>
      </c>
      <c r="D602">
        <v>8.2700000000000004E-4</v>
      </c>
      <c r="E602">
        <v>8.6200000000000003E-4</v>
      </c>
      <c r="F602">
        <v>126840545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0.11111111111111226</v>
      </c>
      <c r="Q602">
        <f t="shared" si="990"/>
        <v>14093393.888889033</v>
      </c>
      <c r="R602">
        <f t="shared" si="991"/>
        <v>735473380.56754506</v>
      </c>
      <c r="S602">
        <f t="shared" si="992"/>
        <v>7354.7338056754506</v>
      </c>
      <c r="T602">
        <f t="shared" si="993"/>
        <v>7.3547338056754503</v>
      </c>
    </row>
    <row r="603" spans="1:20" x14ac:dyDescent="0.25">
      <c r="A603" s="5">
        <v>43990</v>
      </c>
      <c r="B603">
        <v>8.3900000000000001E-4</v>
      </c>
      <c r="C603">
        <v>8.5099999999999998E-4</v>
      </c>
      <c r="D603">
        <v>8.1499999999999997E-4</v>
      </c>
      <c r="E603">
        <v>8.3699999999999996E-4</v>
      </c>
      <c r="F603">
        <v>68730680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0.22222222222222154</v>
      </c>
      <c r="Q603">
        <f t="shared" si="990"/>
        <v>15273484.444444397</v>
      </c>
      <c r="R603">
        <f t="shared" si="991"/>
        <v>721379986.67865598</v>
      </c>
      <c r="S603">
        <f t="shared" si="992"/>
        <v>7213.7998667865595</v>
      </c>
      <c r="T603">
        <f t="shared" si="993"/>
        <v>7.2137998667865597</v>
      </c>
    </row>
    <row r="604" spans="1:20" x14ac:dyDescent="0.25">
      <c r="A604" s="5">
        <v>43989</v>
      </c>
      <c r="B604">
        <v>8.4099999999999995E-4</v>
      </c>
      <c r="C604">
        <v>8.5099999999999998E-4</v>
      </c>
      <c r="D604">
        <v>7.7200000000000001E-4</v>
      </c>
      <c r="E604">
        <v>8.3799999999999999E-4</v>
      </c>
      <c r="F604">
        <v>113577458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0.67088607594936722</v>
      </c>
      <c r="Q604">
        <f t="shared" si="990"/>
        <v>76197535.113924071</v>
      </c>
      <c r="R604">
        <f t="shared" si="991"/>
        <v>706106502.23421156</v>
      </c>
      <c r="S604">
        <f t="shared" si="992"/>
        <v>7061.0650223421153</v>
      </c>
      <c r="T604">
        <f t="shared" si="993"/>
        <v>7.061065022342115</v>
      </c>
    </row>
    <row r="605" spans="1:20" x14ac:dyDescent="0.25">
      <c r="A605" s="5">
        <v>43988</v>
      </c>
      <c r="B605">
        <v>8.3900000000000001E-4</v>
      </c>
      <c r="C605">
        <v>8.5800000000000004E-4</v>
      </c>
      <c r="D605">
        <v>8.2299999999999995E-4</v>
      </c>
      <c r="E605">
        <v>8.4099999999999995E-4</v>
      </c>
      <c r="F605">
        <v>78408275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2.8571428571426093E-2</v>
      </c>
      <c r="Q605">
        <f t="shared" si="990"/>
        <v>2240236.4285712345</v>
      </c>
      <c r="R605">
        <f t="shared" si="991"/>
        <v>629908967.12028754</v>
      </c>
      <c r="S605">
        <f t="shared" si="992"/>
        <v>6299.0896712028753</v>
      </c>
      <c r="T605">
        <f t="shared" si="993"/>
        <v>6.299089671202875</v>
      </c>
    </row>
    <row r="606" spans="1:20" x14ac:dyDescent="0.25">
      <c r="A606" s="5">
        <v>43987</v>
      </c>
      <c r="B606">
        <v>8.9899999999999995E-4</v>
      </c>
      <c r="C606">
        <v>9.0499999999999999E-4</v>
      </c>
      <c r="D606">
        <v>8.25E-4</v>
      </c>
      <c r="E606">
        <v>8.3900000000000001E-4</v>
      </c>
      <c r="F606">
        <v>84255638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-0.64999999999999958</v>
      </c>
      <c r="Q606">
        <f t="shared" si="990"/>
        <v>-54766164.699999966</v>
      </c>
      <c r="R606">
        <f t="shared" si="991"/>
        <v>627668730.69171631</v>
      </c>
      <c r="S606">
        <f t="shared" si="992"/>
        <v>6276.6873069171634</v>
      </c>
      <c r="T606">
        <f t="shared" si="993"/>
        <v>6.2766873069171636</v>
      </c>
    </row>
    <row r="607" spans="1:20" x14ac:dyDescent="0.25">
      <c r="A607" s="5">
        <v>43986</v>
      </c>
      <c r="B607">
        <v>7.5000000000000002E-4</v>
      </c>
      <c r="C607">
        <v>9.1E-4</v>
      </c>
      <c r="D607">
        <v>7.4600000000000003E-4</v>
      </c>
      <c r="E607">
        <v>9.0499999999999999E-4</v>
      </c>
      <c r="F607">
        <v>381821528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0.93902439024390227</v>
      </c>
      <c r="Q607">
        <f t="shared" si="990"/>
        <v>358539727.51219505</v>
      </c>
      <c r="R607">
        <f t="shared" si="991"/>
        <v>682434895.39171624</v>
      </c>
      <c r="S607">
        <f t="shared" si="992"/>
        <v>6824.3489539171624</v>
      </c>
      <c r="T607">
        <f t="shared" si="993"/>
        <v>6.8243489539171627</v>
      </c>
    </row>
    <row r="608" spans="1:20" x14ac:dyDescent="0.25">
      <c r="A608" s="5">
        <v>43985</v>
      </c>
      <c r="B608">
        <v>6.8599999999999998E-4</v>
      </c>
      <c r="C608">
        <v>7.7300000000000003E-4</v>
      </c>
      <c r="D608">
        <v>6.7299999999999999E-4</v>
      </c>
      <c r="E608">
        <v>7.4600000000000003E-4</v>
      </c>
      <c r="F608">
        <v>258696733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0.46000000000000013</v>
      </c>
      <c r="Q608">
        <f t="shared" si="990"/>
        <v>119000497.18000004</v>
      </c>
      <c r="R608">
        <f t="shared" si="991"/>
        <v>323895167.87952113</v>
      </c>
      <c r="S608">
        <f t="shared" si="992"/>
        <v>3238.9516787952111</v>
      </c>
      <c r="T608">
        <f t="shared" si="993"/>
        <v>3.2389516787952113</v>
      </c>
    </row>
    <row r="609" spans="1:20" x14ac:dyDescent="0.25">
      <c r="A609" s="5">
        <v>43984</v>
      </c>
      <c r="B609">
        <v>7.2199999999999999E-4</v>
      </c>
      <c r="C609">
        <v>7.45E-4</v>
      </c>
      <c r="D609">
        <v>6.6299999999999996E-4</v>
      </c>
      <c r="E609">
        <v>6.9099999999999999E-4</v>
      </c>
      <c r="F609">
        <v>340837690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-0.31707317073170693</v>
      </c>
      <c r="Q609">
        <f t="shared" si="990"/>
        <v>-108070487.0731706</v>
      </c>
      <c r="R609">
        <f t="shared" si="991"/>
        <v>204894670.69952112</v>
      </c>
      <c r="S609">
        <f t="shared" si="992"/>
        <v>2048.9467069952111</v>
      </c>
      <c r="T609">
        <f t="shared" si="993"/>
        <v>2.0489467069952112</v>
      </c>
    </row>
    <row r="610" spans="1:20" x14ac:dyDescent="0.25">
      <c r="A610" s="5">
        <v>43983</v>
      </c>
      <c r="B610">
        <v>6.9999999999999999E-4</v>
      </c>
      <c r="C610">
        <v>7.3499999999999998E-4</v>
      </c>
      <c r="D610">
        <v>6.5399999999999996E-4</v>
      </c>
      <c r="E610">
        <v>7.2099999999999996E-4</v>
      </c>
      <c r="F610">
        <v>183212362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0.65432098765432067</v>
      </c>
      <c r="Q610">
        <f t="shared" si="990"/>
        <v>119879693.65432093</v>
      </c>
      <c r="R610">
        <f t="shared" si="991"/>
        <v>312965157.77269173</v>
      </c>
      <c r="S610">
        <f t="shared" si="992"/>
        <v>3129.6515777269174</v>
      </c>
      <c r="T610">
        <f t="shared" si="993"/>
        <v>3.1296515777269174</v>
      </c>
    </row>
    <row r="611" spans="1:20" x14ac:dyDescent="0.25">
      <c r="A611" s="5">
        <v>43982</v>
      </c>
      <c r="B611">
        <v>7.2000000000000005E-4</v>
      </c>
      <c r="C611">
        <v>7.3399999999999995E-4</v>
      </c>
      <c r="D611">
        <v>6.8800000000000003E-4</v>
      </c>
      <c r="E611">
        <v>6.9899999999999997E-4</v>
      </c>
      <c r="F611">
        <v>237756852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-0.52173913043478437</v>
      </c>
      <c r="Q611">
        <f t="shared" si="990"/>
        <v>-124047053.21739173</v>
      </c>
      <c r="R611">
        <f t="shared" si="991"/>
        <v>193085464.11837083</v>
      </c>
      <c r="S611">
        <f t="shared" si="992"/>
        <v>1930.8546411837083</v>
      </c>
      <c r="T611">
        <f t="shared" si="993"/>
        <v>1.9308546411837082</v>
      </c>
    </row>
    <row r="612" spans="1:20" x14ac:dyDescent="0.25">
      <c r="A612" s="5">
        <v>43981</v>
      </c>
      <c r="B612">
        <v>7.1100000000000004E-4</v>
      </c>
      <c r="C612">
        <v>7.3499999999999998E-4</v>
      </c>
      <c r="D612">
        <v>6.8300000000000001E-4</v>
      </c>
      <c r="E612">
        <v>7.18E-4</v>
      </c>
      <c r="F612">
        <v>697782543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0.34615384615384648</v>
      </c>
      <c r="Q612">
        <f t="shared" si="990"/>
        <v>241540111.03846177</v>
      </c>
      <c r="R612">
        <f t="shared" si="991"/>
        <v>317132517.33576256</v>
      </c>
      <c r="S612">
        <f t="shared" si="992"/>
        <v>3171.3251733576258</v>
      </c>
      <c r="T612">
        <f t="shared" si="993"/>
        <v>3.171325173357626</v>
      </c>
    </row>
    <row r="613" spans="1:20" x14ac:dyDescent="0.25">
      <c r="A613" s="5">
        <v>43980</v>
      </c>
      <c r="B613">
        <v>7.2499999999999995E-4</v>
      </c>
      <c r="C613">
        <v>7.2499999999999995E-4</v>
      </c>
      <c r="D613">
        <v>6.6299999999999996E-4</v>
      </c>
      <c r="E613">
        <v>7.1100000000000004E-4</v>
      </c>
      <c r="F613">
        <v>104946039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0.5483870967741965</v>
      </c>
      <c r="Q613">
        <f t="shared" si="990"/>
        <v>57551053.645161599</v>
      </c>
      <c r="R613">
        <f t="shared" si="991"/>
        <v>75592406.297300786</v>
      </c>
      <c r="S613">
        <f t="shared" si="992"/>
        <v>755.92406297300784</v>
      </c>
      <c r="T613">
        <f t="shared" si="993"/>
        <v>0.75592406297300785</v>
      </c>
    </row>
    <row r="614" spans="1:20" x14ac:dyDescent="0.25">
      <c r="A614" s="5">
        <v>43979</v>
      </c>
      <c r="B614">
        <v>7.2199999999999999E-4</v>
      </c>
      <c r="C614">
        <v>7.3999999999999999E-4</v>
      </c>
      <c r="D614">
        <v>6.4999999999999997E-4</v>
      </c>
      <c r="E614">
        <v>7.2199999999999999E-4</v>
      </c>
      <c r="F614">
        <v>290879918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0.6</v>
      </c>
      <c r="Q614">
        <f t="shared" si="990"/>
        <v>174527950.79999998</v>
      </c>
      <c r="R614">
        <f t="shared" si="991"/>
        <v>18041352.652139187</v>
      </c>
      <c r="S614">
        <f t="shared" si="992"/>
        <v>180.41352652139187</v>
      </c>
      <c r="T614">
        <f t="shared" si="993"/>
        <v>0.18041352652139186</v>
      </c>
    </row>
    <row r="615" spans="1:20" x14ac:dyDescent="0.25">
      <c r="A615" s="5">
        <v>43978</v>
      </c>
      <c r="B615">
        <v>7.4799999999999997E-4</v>
      </c>
      <c r="C615">
        <v>8.4999999999999995E-4</v>
      </c>
      <c r="D615">
        <v>6.9999999999999999E-4</v>
      </c>
      <c r="E615">
        <v>7.2599999999999997E-4</v>
      </c>
      <c r="F615">
        <v>220802818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-0.65333333333333343</v>
      </c>
      <c r="Q615">
        <f t="shared" si="990"/>
        <v>-144257841.09333336</v>
      </c>
      <c r="R615">
        <f t="shared" si="991"/>
        <v>-156486598.1478608</v>
      </c>
      <c r="S615">
        <f t="shared" si="992"/>
        <v>-1564.8659814786079</v>
      </c>
      <c r="T615">
        <f t="shared" si="993"/>
        <v>-1.5648659814786079</v>
      </c>
    </row>
    <row r="616" spans="1:20" x14ac:dyDescent="0.25">
      <c r="A616" s="5">
        <v>43977</v>
      </c>
      <c r="B616">
        <v>7.1199999999999996E-4</v>
      </c>
      <c r="C616">
        <v>7.4899999999999999E-4</v>
      </c>
      <c r="D616">
        <v>6.8400000000000004E-4</v>
      </c>
      <c r="E616">
        <v>7.4799999999999997E-4</v>
      </c>
      <c r="F616">
        <v>143653433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0.96923076923076845</v>
      </c>
      <c r="Q616">
        <f t="shared" si="990"/>
        <v>139233327.36923066</v>
      </c>
      <c r="R616">
        <f t="shared" si="991"/>
        <v>-12228757.054527432</v>
      </c>
      <c r="S616">
        <f t="shared" si="992"/>
        <v>-122.28757054527432</v>
      </c>
      <c r="T616">
        <f t="shared" si="993"/>
        <v>-0.12228757054527432</v>
      </c>
    </row>
    <row r="617" spans="1:20" x14ac:dyDescent="0.25">
      <c r="A617" s="5">
        <v>43976</v>
      </c>
      <c r="B617">
        <v>6.1300000000000005E-4</v>
      </c>
      <c r="C617">
        <v>7.3700000000000002E-4</v>
      </c>
      <c r="D617">
        <v>5.9400000000000002E-4</v>
      </c>
      <c r="E617">
        <v>7.1400000000000001E-4</v>
      </c>
      <c r="F617">
        <v>419558490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0.67832167832167811</v>
      </c>
      <c r="Q617">
        <f t="shared" si="990"/>
        <v>284595619.090909</v>
      </c>
      <c r="R617">
        <f t="shared" si="991"/>
        <v>-151462084.42375809</v>
      </c>
      <c r="S617">
        <f t="shared" si="992"/>
        <v>-1514.620844237581</v>
      </c>
      <c r="T617">
        <f t="shared" si="993"/>
        <v>-1.514620844237581</v>
      </c>
    </row>
    <row r="618" spans="1:20" x14ac:dyDescent="0.25">
      <c r="A618" s="5">
        <v>43975</v>
      </c>
      <c r="B618">
        <v>6.1499999999999999E-4</v>
      </c>
      <c r="C618">
        <v>6.4999999999999997E-4</v>
      </c>
      <c r="D618">
        <v>6.0400000000000004E-4</v>
      </c>
      <c r="E618">
        <v>6.1300000000000005E-4</v>
      </c>
      <c r="F618">
        <v>103390545</v>
      </c>
      <c r="G618">
        <v>0</v>
      </c>
      <c r="L618" t="s">
        <v>8</v>
      </c>
      <c r="M618" t="s">
        <v>8</v>
      </c>
      <c r="N618" t="s">
        <v>7</v>
      </c>
      <c r="P618">
        <f t="shared" si="989"/>
        <v>-0.6086956521739123</v>
      </c>
      <c r="Q618">
        <f t="shared" si="990"/>
        <v>-62933375.21739123</v>
      </c>
      <c r="R618">
        <f t="shared" si="991"/>
        <v>-436057703.51466709</v>
      </c>
      <c r="S618">
        <f t="shared" si="992"/>
        <v>-4360.5770351466708</v>
      </c>
      <c r="T618">
        <f t="shared" si="993"/>
        <v>-4.3605770351466706</v>
      </c>
    </row>
    <row r="619" spans="1:20" x14ac:dyDescent="0.25">
      <c r="A619" s="5">
        <v>43974</v>
      </c>
      <c r="B619">
        <v>6.2600000000000004E-4</v>
      </c>
      <c r="C619">
        <v>6.29E-4</v>
      </c>
      <c r="D619">
        <v>5.9999999999999995E-4</v>
      </c>
      <c r="E619">
        <v>6.1600000000000001E-4</v>
      </c>
      <c r="F619">
        <v>49566696</v>
      </c>
      <c r="G619">
        <v>0</v>
      </c>
      <c r="L619" t="s">
        <v>7</v>
      </c>
      <c r="M619" t="s">
        <v>8</v>
      </c>
      <c r="N619" t="s">
        <v>7</v>
      </c>
      <c r="P619">
        <f t="shared" si="989"/>
        <v>0.10344827586207128</v>
      </c>
      <c r="Q619">
        <f t="shared" si="990"/>
        <v>5127589.2413794249</v>
      </c>
      <c r="R619">
        <f t="shared" si="991"/>
        <v>-373124328.29727584</v>
      </c>
      <c r="S619">
        <f t="shared" si="992"/>
        <v>-3731.2432829727586</v>
      </c>
      <c r="T619">
        <f t="shared" si="993"/>
        <v>-3.7312432829727586</v>
      </c>
    </row>
    <row r="620" spans="1:20" x14ac:dyDescent="0.25">
      <c r="A620" s="5">
        <v>43973</v>
      </c>
      <c r="B620">
        <v>6.0300000000000002E-4</v>
      </c>
      <c r="C620">
        <v>6.3299999999999999E-4</v>
      </c>
      <c r="D620">
        <v>5.8399999999999999E-4</v>
      </c>
      <c r="E620">
        <v>6.2600000000000004E-4</v>
      </c>
      <c r="F620">
        <v>116519518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0.71428571428571619</v>
      </c>
      <c r="Q620">
        <f t="shared" si="990"/>
        <v>83228227.142857358</v>
      </c>
      <c r="R620">
        <f t="shared" si="991"/>
        <v>-378251917.53865528</v>
      </c>
      <c r="S620">
        <f t="shared" si="992"/>
        <v>-3782.5191753865529</v>
      </c>
      <c r="T620">
        <f t="shared" si="993"/>
        <v>-3.782519175386553</v>
      </c>
    </row>
    <row r="621" spans="1:20" x14ac:dyDescent="0.25">
      <c r="A621" s="5">
        <v>43972</v>
      </c>
      <c r="B621">
        <v>5.7399999999999997E-4</v>
      </c>
      <c r="C621">
        <v>6.2500000000000001E-4</v>
      </c>
      <c r="D621">
        <v>5.5099999999999995E-4</v>
      </c>
      <c r="E621">
        <v>6.0300000000000002E-4</v>
      </c>
      <c r="F621">
        <v>402367312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0.40540540540540609</v>
      </c>
      <c r="Q621">
        <f t="shared" si="990"/>
        <v>163121883.24324352</v>
      </c>
      <c r="R621">
        <f t="shared" si="991"/>
        <v>-461480144.68151265</v>
      </c>
      <c r="S621">
        <f t="shared" si="992"/>
        <v>-4614.8014468151268</v>
      </c>
      <c r="T621">
        <f t="shared" si="993"/>
        <v>-4.6148014468151271</v>
      </c>
    </row>
    <row r="622" spans="1:20" x14ac:dyDescent="0.25">
      <c r="A622" s="5">
        <v>43971</v>
      </c>
      <c r="B622">
        <v>5.7499999999999999E-4</v>
      </c>
      <c r="C622">
        <v>6.0099999999999997E-4</v>
      </c>
      <c r="D622">
        <v>5.4699999999999996E-4</v>
      </c>
      <c r="E622">
        <v>5.6899999999999995E-4</v>
      </c>
      <c r="F622">
        <v>137523330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-0.18518518518518562</v>
      </c>
      <c r="Q622">
        <f t="shared" si="990"/>
        <v>-25467283.333333392</v>
      </c>
      <c r="R622">
        <f t="shared" si="991"/>
        <v>-624602027.92475617</v>
      </c>
      <c r="S622">
        <f t="shared" si="992"/>
        <v>-6246.020279247562</v>
      </c>
      <c r="T622">
        <f t="shared" si="993"/>
        <v>-6.2460202792475616</v>
      </c>
    </row>
    <row r="623" spans="1:20" x14ac:dyDescent="0.25">
      <c r="A623" s="5">
        <v>43970</v>
      </c>
      <c r="B623">
        <v>5.7799999999999995E-4</v>
      </c>
      <c r="C623">
        <v>5.8E-4</v>
      </c>
      <c r="D623">
        <v>5.6599999999999999E-4</v>
      </c>
      <c r="E623">
        <v>5.7499999999999999E-4</v>
      </c>
      <c r="F623">
        <v>58172431</v>
      </c>
      <c r="G623">
        <v>0</v>
      </c>
      <c r="L623" t="s">
        <v>7</v>
      </c>
      <c r="M623" t="s">
        <v>8</v>
      </c>
      <c r="N623" t="s">
        <v>7</v>
      </c>
      <c r="P623">
        <f t="shared" si="989"/>
        <v>0.28571428571428459</v>
      </c>
      <c r="Q623">
        <f t="shared" si="990"/>
        <v>16620694.571428506</v>
      </c>
      <c r="R623">
        <f t="shared" si="991"/>
        <v>-599134744.5914228</v>
      </c>
      <c r="S623">
        <f t="shared" si="992"/>
        <v>-5991.347445914228</v>
      </c>
      <c r="T623">
        <f t="shared" si="993"/>
        <v>-5.9913474459142284</v>
      </c>
    </row>
    <row r="624" spans="1:20" x14ac:dyDescent="0.25">
      <c r="A624" s="5">
        <v>43969</v>
      </c>
      <c r="B624">
        <v>5.4600000000000004E-4</v>
      </c>
      <c r="C624">
        <v>5.8200000000000005E-4</v>
      </c>
      <c r="D624">
        <v>5.4000000000000001E-4</v>
      </c>
      <c r="E624">
        <v>5.7600000000000001E-4</v>
      </c>
      <c r="F624">
        <v>171494145</v>
      </c>
      <c r="G624">
        <v>0</v>
      </c>
      <c r="L624" t="s">
        <v>8</v>
      </c>
      <c r="M624" t="s">
        <v>8</v>
      </c>
      <c r="N624" t="s">
        <v>7</v>
      </c>
      <c r="P624">
        <f t="shared" si="989"/>
        <v>0.71428571428571286</v>
      </c>
      <c r="Q624">
        <f t="shared" si="990"/>
        <v>122495817.85714261</v>
      </c>
      <c r="R624">
        <f t="shared" si="991"/>
        <v>-615755439.16285133</v>
      </c>
      <c r="S624">
        <f t="shared" si="992"/>
        <v>-6157.5543916285133</v>
      </c>
      <c r="T624">
        <f t="shared" si="993"/>
        <v>-6.1575543916285129</v>
      </c>
    </row>
    <row r="625" spans="1:20" x14ac:dyDescent="0.25">
      <c r="A625" s="5">
        <v>43968</v>
      </c>
      <c r="B625">
        <v>5.3499999999999999E-4</v>
      </c>
      <c r="C625">
        <v>5.5099999999999995E-4</v>
      </c>
      <c r="D625">
        <v>5.31E-4</v>
      </c>
      <c r="E625">
        <v>5.4000000000000001E-4</v>
      </c>
      <c r="F625">
        <v>53930699</v>
      </c>
      <c r="G625">
        <v>0</v>
      </c>
      <c r="L625" t="s">
        <v>7</v>
      </c>
      <c r="M625" t="s">
        <v>7</v>
      </c>
      <c r="N625" t="s">
        <v>7</v>
      </c>
      <c r="P625">
        <f t="shared" si="989"/>
        <v>-9.9999999999997286E-2</v>
      </c>
      <c r="Q625">
        <f t="shared" si="990"/>
        <v>-5393069.8999998532</v>
      </c>
      <c r="R625">
        <f t="shared" si="991"/>
        <v>-738251257.0199939</v>
      </c>
      <c r="S625">
        <f t="shared" si="992"/>
        <v>-7382.5125701999386</v>
      </c>
      <c r="T625">
        <f t="shared" si="993"/>
        <v>-7.382512570199939</v>
      </c>
    </row>
    <row r="626" spans="1:20" x14ac:dyDescent="0.25">
      <c r="A626" s="5">
        <v>43967</v>
      </c>
      <c r="B626">
        <v>5.22E-4</v>
      </c>
      <c r="C626">
        <v>5.4199999999999995E-4</v>
      </c>
      <c r="D626">
        <v>5.2099999999999998E-4</v>
      </c>
      <c r="E626">
        <v>5.4100000000000003E-4</v>
      </c>
      <c r="F626">
        <v>36021760</v>
      </c>
      <c r="G626">
        <v>0</v>
      </c>
      <c r="L626" t="s">
        <v>8</v>
      </c>
      <c r="M626" t="s">
        <v>7</v>
      </c>
      <c r="N626" t="s">
        <v>7</v>
      </c>
      <c r="P626">
        <f t="shared" si="989"/>
        <v>0.90476190476191265</v>
      </c>
      <c r="Q626">
        <f t="shared" si="990"/>
        <v>32591116.190476473</v>
      </c>
      <c r="R626">
        <f t="shared" si="991"/>
        <v>-732858187.11999404</v>
      </c>
      <c r="S626">
        <f t="shared" si="992"/>
        <v>-7328.58187119994</v>
      </c>
      <c r="T626">
        <f t="shared" si="993"/>
        <v>-7.3285818711999404</v>
      </c>
    </row>
    <row r="627" spans="1:20" x14ac:dyDescent="0.25">
      <c r="A627" s="5">
        <v>43966</v>
      </c>
      <c r="B627">
        <v>5.4100000000000003E-4</v>
      </c>
      <c r="C627">
        <v>5.4100000000000003E-4</v>
      </c>
      <c r="D627">
        <v>5.2099999999999998E-4</v>
      </c>
      <c r="E627">
        <v>5.2400000000000005E-4</v>
      </c>
      <c r="F627">
        <v>61453296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-0.69999999999999352</v>
      </c>
      <c r="Q627">
        <f t="shared" si="990"/>
        <v>-43017307.199999601</v>
      </c>
      <c r="R627">
        <f t="shared" si="991"/>
        <v>-765449303.31047046</v>
      </c>
      <c r="S627">
        <f t="shared" si="992"/>
        <v>-7654.4930331047044</v>
      </c>
      <c r="T627">
        <f t="shared" si="993"/>
        <v>-7.6544930331047043</v>
      </c>
    </row>
    <row r="628" spans="1:20" x14ac:dyDescent="0.25">
      <c r="A628" s="5">
        <v>43965</v>
      </c>
      <c r="B628">
        <v>5.2700000000000002E-4</v>
      </c>
      <c r="C628">
        <v>5.4699999999999996E-4</v>
      </c>
      <c r="D628">
        <v>5.22E-4</v>
      </c>
      <c r="E628">
        <v>5.4100000000000003E-4</v>
      </c>
      <c r="F628">
        <v>116162485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0.5200000000000049</v>
      </c>
      <c r="Q628">
        <f t="shared" si="990"/>
        <v>60404492.200000569</v>
      </c>
      <c r="R628">
        <f t="shared" si="991"/>
        <v>-722431996.11047089</v>
      </c>
      <c r="S628">
        <f t="shared" si="992"/>
        <v>-7224.3199611047094</v>
      </c>
      <c r="T628">
        <f t="shared" si="993"/>
        <v>-7.2243199611047091</v>
      </c>
    </row>
    <row r="629" spans="1:20" x14ac:dyDescent="0.25">
      <c r="A629" s="5">
        <v>43964</v>
      </c>
      <c r="B629">
        <v>5.2700000000000002E-4</v>
      </c>
      <c r="C629">
        <v>5.3899999999999998E-4</v>
      </c>
      <c r="D629">
        <v>5.1699999999999999E-4</v>
      </c>
      <c r="E629">
        <v>5.2700000000000002E-4</v>
      </c>
      <c r="F629">
        <v>103197650</v>
      </c>
      <c r="G629">
        <v>0</v>
      </c>
      <c r="L629" t="s">
        <v>7</v>
      </c>
      <c r="M629" t="s">
        <v>7</v>
      </c>
      <c r="N629" t="s">
        <v>7</v>
      </c>
      <c r="P629">
        <f t="shared" si="989"/>
        <v>-9.0909090909088219E-2</v>
      </c>
      <c r="Q629">
        <f t="shared" si="990"/>
        <v>-9381604.5454542674</v>
      </c>
      <c r="R629">
        <f t="shared" si="991"/>
        <v>-782836488.31047142</v>
      </c>
      <c r="S629">
        <f t="shared" si="992"/>
        <v>-7828.364883104714</v>
      </c>
      <c r="T629">
        <f t="shared" si="993"/>
        <v>-7.8283648831047143</v>
      </c>
    </row>
    <row r="630" spans="1:20" x14ac:dyDescent="0.25">
      <c r="A630" s="5">
        <v>43963</v>
      </c>
      <c r="B630">
        <v>5.2099999999999998E-4</v>
      </c>
      <c r="C630">
        <v>5.2999999999999998E-4</v>
      </c>
      <c r="D630">
        <v>5.1199999999999998E-4</v>
      </c>
      <c r="E630">
        <v>5.2700000000000002E-4</v>
      </c>
      <c r="F630">
        <v>46325507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0.66666666666667074</v>
      </c>
      <c r="Q630">
        <f t="shared" si="990"/>
        <v>30883671.333333522</v>
      </c>
      <c r="R630">
        <f t="shared" si="991"/>
        <v>-773454883.76501715</v>
      </c>
      <c r="S630">
        <f t="shared" si="992"/>
        <v>-7734.5488376501717</v>
      </c>
      <c r="T630">
        <f t="shared" si="993"/>
        <v>-7.7345488376501716</v>
      </c>
    </row>
    <row r="631" spans="1:20" x14ac:dyDescent="0.25">
      <c r="A631" s="5">
        <v>43962</v>
      </c>
      <c r="B631">
        <v>5.1400000000000003E-4</v>
      </c>
      <c r="C631">
        <v>5.3300000000000005E-4</v>
      </c>
      <c r="D631">
        <v>4.9100000000000001E-4</v>
      </c>
      <c r="E631">
        <v>5.1800000000000001E-4</v>
      </c>
      <c r="F631">
        <v>57771760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0.28571428571428459</v>
      </c>
      <c r="Q631">
        <f t="shared" si="990"/>
        <v>16506217.142857078</v>
      </c>
      <c r="R631">
        <f t="shared" si="991"/>
        <v>-804338555.09835064</v>
      </c>
      <c r="S631">
        <f t="shared" si="992"/>
        <v>-8043.3855509835066</v>
      </c>
      <c r="T631">
        <f t="shared" si="993"/>
        <v>-8.0433855509835066</v>
      </c>
    </row>
    <row r="632" spans="1:20" x14ac:dyDescent="0.25">
      <c r="A632" s="5">
        <v>43961</v>
      </c>
      <c r="B632">
        <v>5.8299999999999997E-4</v>
      </c>
      <c r="C632">
        <v>5.8299999999999997E-4</v>
      </c>
      <c r="D632">
        <v>4.9200000000000003E-4</v>
      </c>
      <c r="E632">
        <v>5.1599999999999997E-4</v>
      </c>
      <c r="F632">
        <v>196425146</v>
      </c>
      <c r="G632">
        <v>0</v>
      </c>
      <c r="L632" t="s">
        <v>8</v>
      </c>
      <c r="M632" t="s">
        <v>7</v>
      </c>
      <c r="N632" t="s">
        <v>7</v>
      </c>
      <c r="P632">
        <f t="shared" si="989"/>
        <v>-0.47252747252747362</v>
      </c>
      <c r="Q632">
        <f t="shared" si="990"/>
        <v>-92816277.780220002</v>
      </c>
      <c r="R632">
        <f t="shared" si="991"/>
        <v>-820844772.24120772</v>
      </c>
      <c r="S632">
        <f t="shared" si="992"/>
        <v>-8208.4477224120765</v>
      </c>
      <c r="T632">
        <f t="shared" si="993"/>
        <v>-8.2084477224120764</v>
      </c>
    </row>
    <row r="633" spans="1:20" x14ac:dyDescent="0.25">
      <c r="A633" s="5">
        <v>43960</v>
      </c>
      <c r="B633">
        <v>6.0599999999999998E-4</v>
      </c>
      <c r="C633">
        <v>6.2E-4</v>
      </c>
      <c r="D633">
        <v>5.6999999999999998E-4</v>
      </c>
      <c r="E633">
        <v>5.8299999999999997E-4</v>
      </c>
      <c r="F633">
        <v>164521099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-0.48000000000000059</v>
      </c>
      <c r="Q633">
        <f t="shared" si="990"/>
        <v>-78970127.5200001</v>
      </c>
      <c r="R633">
        <f t="shared" si="991"/>
        <v>-728028494.46098769</v>
      </c>
      <c r="S633">
        <f t="shared" si="992"/>
        <v>-7280.2849446098771</v>
      </c>
      <c r="T633">
        <f t="shared" si="993"/>
        <v>-7.2802849446098774</v>
      </c>
    </row>
    <row r="634" spans="1:20" x14ac:dyDescent="0.25">
      <c r="A634" s="5">
        <v>43959</v>
      </c>
      <c r="B634">
        <v>5.8200000000000005E-4</v>
      </c>
      <c r="C634">
        <v>6.2799999999999998E-4</v>
      </c>
      <c r="D634">
        <v>5.4100000000000003E-4</v>
      </c>
      <c r="E634">
        <v>6.0599999999999998E-4</v>
      </c>
      <c r="F634">
        <v>418737296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0.49425287356321823</v>
      </c>
      <c r="Q634">
        <f t="shared" si="990"/>
        <v>206962111.8160919</v>
      </c>
      <c r="R634">
        <f t="shared" si="991"/>
        <v>-649058366.94098759</v>
      </c>
      <c r="S634">
        <f t="shared" si="992"/>
        <v>-6490.5836694098762</v>
      </c>
      <c r="T634">
        <f t="shared" si="993"/>
        <v>-6.490583669409876</v>
      </c>
    </row>
    <row r="635" spans="1:20" x14ac:dyDescent="0.25">
      <c r="A635" s="5">
        <v>43958</v>
      </c>
      <c r="B635">
        <v>5.6899999999999995E-4</v>
      </c>
      <c r="C635">
        <v>5.8299999999999997E-4</v>
      </c>
      <c r="D635">
        <v>5.5699999999999999E-4</v>
      </c>
      <c r="E635">
        <v>5.8299999999999997E-4</v>
      </c>
      <c r="F635">
        <v>55104187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1</v>
      </c>
      <c r="Q635">
        <f t="shared" si="990"/>
        <v>55104187</v>
      </c>
      <c r="R635">
        <f t="shared" si="991"/>
        <v>-856020478.75707948</v>
      </c>
      <c r="S635">
        <f t="shared" si="992"/>
        <v>-8560.204787570794</v>
      </c>
      <c r="T635">
        <f t="shared" si="993"/>
        <v>-8.5602047875707932</v>
      </c>
    </row>
    <row r="636" spans="1:20" x14ac:dyDescent="0.25">
      <c r="A636" s="5">
        <v>43957</v>
      </c>
      <c r="B636">
        <v>5.7799999999999995E-4</v>
      </c>
      <c r="C636">
        <v>5.8299999999999997E-4</v>
      </c>
      <c r="D636">
        <v>5.6899999999999995E-4</v>
      </c>
      <c r="E636">
        <v>5.6899999999999995E-4</v>
      </c>
      <c r="F636">
        <v>57421109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-1</v>
      </c>
      <c r="Q636">
        <f t="shared" si="990"/>
        <v>-57421109</v>
      </c>
      <c r="R636">
        <f t="shared" si="991"/>
        <v>-911124665.75707948</v>
      </c>
      <c r="S636">
        <f t="shared" si="992"/>
        <v>-9111.2466575707949</v>
      </c>
      <c r="T636">
        <f t="shared" si="993"/>
        <v>-9.1112466575707955</v>
      </c>
    </row>
    <row r="637" spans="1:20" x14ac:dyDescent="0.25">
      <c r="A637" s="5">
        <v>43956</v>
      </c>
      <c r="B637">
        <v>5.8200000000000005E-4</v>
      </c>
      <c r="C637">
        <v>5.8500000000000002E-4</v>
      </c>
      <c r="D637">
        <v>5.6700000000000001E-4</v>
      </c>
      <c r="E637">
        <v>5.7799999999999995E-4</v>
      </c>
      <c r="F637">
        <v>50398660</v>
      </c>
      <c r="G637">
        <v>0</v>
      </c>
      <c r="L637" t="s">
        <v>7</v>
      </c>
      <c r="M637" t="s">
        <v>7</v>
      </c>
      <c r="N637" t="s">
        <v>8</v>
      </c>
      <c r="P637">
        <f t="shared" si="989"/>
        <v>0.22222222222221552</v>
      </c>
      <c r="Q637">
        <f t="shared" si="990"/>
        <v>11199702.222221885</v>
      </c>
      <c r="R637">
        <f t="shared" si="991"/>
        <v>-853703556.75707948</v>
      </c>
      <c r="S637">
        <f t="shared" si="992"/>
        <v>-8537.0355675707942</v>
      </c>
      <c r="T637">
        <f t="shared" si="993"/>
        <v>-8.5370355675707934</v>
      </c>
    </row>
    <row r="638" spans="1:20" x14ac:dyDescent="0.25">
      <c r="A638" s="5">
        <v>43955</v>
      </c>
      <c r="B638">
        <v>5.8900000000000001E-4</v>
      </c>
      <c r="C638">
        <v>5.9699999999999998E-4</v>
      </c>
      <c r="D638">
        <v>5.44E-4</v>
      </c>
      <c r="E638">
        <v>5.8100000000000003E-4</v>
      </c>
      <c r="F638">
        <v>207764292</v>
      </c>
      <c r="G638">
        <v>0</v>
      </c>
      <c r="L638" t="s">
        <v>8</v>
      </c>
      <c r="M638" t="s">
        <v>7</v>
      </c>
      <c r="N638" t="s">
        <v>8</v>
      </c>
      <c r="P638">
        <f t="shared" si="989"/>
        <v>0.39622641509434114</v>
      </c>
      <c r="Q638">
        <f t="shared" si="990"/>
        <v>82321700.603773907</v>
      </c>
      <c r="R638">
        <f t="shared" si="991"/>
        <v>-864903258.97930133</v>
      </c>
      <c r="S638">
        <f t="shared" si="992"/>
        <v>-8649.0325897930124</v>
      </c>
      <c r="T638">
        <f t="shared" si="993"/>
        <v>-8.6490325897930127</v>
      </c>
    </row>
    <row r="639" spans="1:20" x14ac:dyDescent="0.25">
      <c r="A639" s="5">
        <v>43954</v>
      </c>
      <c r="B639">
        <v>6.2699999999999995E-4</v>
      </c>
      <c r="C639">
        <v>6.6600000000000003E-4</v>
      </c>
      <c r="D639">
        <v>5.8600000000000004E-4</v>
      </c>
      <c r="E639">
        <v>5.9400000000000002E-4</v>
      </c>
      <c r="F639">
        <v>442309446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-0.80000000000000049</v>
      </c>
      <c r="Q639">
        <f t="shared" si="990"/>
        <v>-353847556.80000019</v>
      </c>
      <c r="R639">
        <f t="shared" si="991"/>
        <v>-947224959.58307528</v>
      </c>
      <c r="S639">
        <f t="shared" si="992"/>
        <v>-9472.2495958307536</v>
      </c>
      <c r="T639">
        <f t="shared" si="993"/>
        <v>-9.4722495958307533</v>
      </c>
    </row>
    <row r="640" spans="1:20" x14ac:dyDescent="0.25">
      <c r="A640" s="5">
        <v>43953</v>
      </c>
      <c r="B640">
        <v>5.9100000000000005E-4</v>
      </c>
      <c r="C640">
        <v>7.6800000000000002E-4</v>
      </c>
      <c r="D640">
        <v>5.8399999999999999E-4</v>
      </c>
      <c r="E640">
        <v>6.2699999999999995E-4</v>
      </c>
      <c r="F640">
        <v>1070892222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-0.53260869565217439</v>
      </c>
      <c r="Q640">
        <f t="shared" si="990"/>
        <v>-570366509.54347873</v>
      </c>
      <c r="R640">
        <f t="shared" si="991"/>
        <v>-593377402.78307509</v>
      </c>
      <c r="S640">
        <f t="shared" si="992"/>
        <v>-5933.774027830751</v>
      </c>
      <c r="T640">
        <f t="shared" si="993"/>
        <v>-5.9337740278307507</v>
      </c>
    </row>
    <row r="641" spans="1:20" x14ac:dyDescent="0.25">
      <c r="A641" s="5">
        <v>43952</v>
      </c>
      <c r="B641">
        <v>5.7700000000000004E-4</v>
      </c>
      <c r="C641">
        <v>5.9800000000000001E-4</v>
      </c>
      <c r="D641">
        <v>5.5999999999999995E-4</v>
      </c>
      <c r="E641">
        <v>5.9100000000000005E-4</v>
      </c>
      <c r="F641">
        <v>88285949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0.63157894736842402</v>
      </c>
      <c r="Q641">
        <f t="shared" si="990"/>
        <v>55759546.736842364</v>
      </c>
      <c r="R641">
        <f t="shared" si="991"/>
        <v>-23010893.239596382</v>
      </c>
      <c r="S641">
        <f t="shared" si="992"/>
        <v>-230.10893239596382</v>
      </c>
      <c r="T641">
        <f t="shared" si="993"/>
        <v>-0.23010893239596381</v>
      </c>
    </row>
    <row r="642" spans="1:20" x14ac:dyDescent="0.25">
      <c r="A642" s="5">
        <v>43951</v>
      </c>
      <c r="B642">
        <v>5.7499999999999999E-4</v>
      </c>
      <c r="C642">
        <v>5.9900000000000003E-4</v>
      </c>
      <c r="D642">
        <v>5.4600000000000004E-4</v>
      </c>
      <c r="E642">
        <v>5.7799999999999995E-4</v>
      </c>
      <c r="F642">
        <v>83650617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0.20754716981131766</v>
      </c>
      <c r="Q642">
        <f t="shared" si="990"/>
        <v>17361448.811320495</v>
      </c>
      <c r="R642">
        <f t="shared" si="991"/>
        <v>-78770439.976438746</v>
      </c>
      <c r="S642">
        <f t="shared" si="992"/>
        <v>-787.7043997643874</v>
      </c>
      <c r="T642">
        <f t="shared" si="993"/>
        <v>-0.78770439976438744</v>
      </c>
    </row>
    <row r="643" spans="1:20" x14ac:dyDescent="0.25">
      <c r="A643" s="5">
        <v>43950</v>
      </c>
      <c r="B643">
        <v>5.5099999999999995E-4</v>
      </c>
      <c r="C643">
        <v>5.8299999999999997E-4</v>
      </c>
      <c r="D643">
        <v>5.4600000000000004E-4</v>
      </c>
      <c r="E643">
        <v>5.7899999999999998E-4</v>
      </c>
      <c r="F643">
        <v>89250280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0.78378378378378399</v>
      </c>
      <c r="Q643">
        <f t="shared" si="990"/>
        <v>69952922.162162185</v>
      </c>
      <c r="R643">
        <f t="shared" si="991"/>
        <v>-96131888.787759244</v>
      </c>
      <c r="S643">
        <f t="shared" si="992"/>
        <v>-961.31888787759249</v>
      </c>
      <c r="T643">
        <f t="shared" si="993"/>
        <v>-0.96131888787759245</v>
      </c>
    </row>
    <row r="644" spans="1:20" x14ac:dyDescent="0.25">
      <c r="A644" s="5">
        <v>43949</v>
      </c>
      <c r="B644">
        <v>5.5199999999999997E-4</v>
      </c>
      <c r="C644">
        <v>5.62E-4</v>
      </c>
      <c r="D644">
        <v>5.4299999999999997E-4</v>
      </c>
      <c r="E644">
        <v>5.5400000000000002E-4</v>
      </c>
      <c r="F644">
        <v>20746583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0.15789473684210886</v>
      </c>
      <c r="Q644">
        <f t="shared" si="990"/>
        <v>3275776.2631579693</v>
      </c>
      <c r="R644">
        <f t="shared" si="991"/>
        <v>-166084810.94992143</v>
      </c>
      <c r="S644">
        <f t="shared" si="992"/>
        <v>-1660.8481094992144</v>
      </c>
      <c r="T644">
        <f t="shared" si="993"/>
        <v>-1.6608481094992145</v>
      </c>
    </row>
    <row r="645" spans="1:20" x14ac:dyDescent="0.25">
      <c r="A645" s="5">
        <v>43948</v>
      </c>
      <c r="B645">
        <v>5.5999999999999995E-4</v>
      </c>
      <c r="C645">
        <v>5.6300000000000002E-4</v>
      </c>
      <c r="D645">
        <v>5.3399999999999997E-4</v>
      </c>
      <c r="E645">
        <v>5.53E-4</v>
      </c>
      <c r="F645">
        <v>74585574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0.31034482758620641</v>
      </c>
      <c r="Q645">
        <f t="shared" si="990"/>
        <v>23147247.103448238</v>
      </c>
      <c r="R645">
        <f t="shared" si="991"/>
        <v>-169360587.21307939</v>
      </c>
      <c r="S645">
        <f t="shared" si="992"/>
        <v>-1693.6058721307938</v>
      </c>
      <c r="T645">
        <f t="shared" si="993"/>
        <v>-1.6936058721307938</v>
      </c>
    </row>
    <row r="646" spans="1:20" x14ac:dyDescent="0.25">
      <c r="A646" s="5">
        <v>43947</v>
      </c>
      <c r="B646">
        <v>5.44E-4</v>
      </c>
      <c r="C646">
        <v>5.6899999999999995E-4</v>
      </c>
      <c r="D646">
        <v>5.2700000000000002E-4</v>
      </c>
      <c r="E646">
        <v>5.5699999999999999E-4</v>
      </c>
      <c r="F646">
        <v>72847467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0.42857142857142932</v>
      </c>
      <c r="Q646">
        <f t="shared" ref="Q646:Q709" si="995">F646*P646</f>
        <v>31220343.000000056</v>
      </c>
      <c r="R646">
        <f t="shared" ref="R646:R709" si="996">R647+Q646</f>
        <v>-192507834.31652763</v>
      </c>
      <c r="S646">
        <f t="shared" ref="S646:S709" si="997">R646/100000</f>
        <v>-1925.0783431652762</v>
      </c>
      <c r="T646">
        <f t="shared" ref="T646:T709" si="998">S646/1000</f>
        <v>-1.9250783431652763</v>
      </c>
    </row>
    <row r="647" spans="1:20" x14ac:dyDescent="0.25">
      <c r="A647" s="5">
        <v>43946</v>
      </c>
      <c r="B647">
        <v>5.3600000000000002E-4</v>
      </c>
      <c r="C647">
        <v>5.5999999999999995E-4</v>
      </c>
      <c r="D647">
        <v>5.2499999999999997E-4</v>
      </c>
      <c r="E647">
        <v>5.4500000000000002E-4</v>
      </c>
      <c r="F647">
        <v>57715923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0.1428571428571464</v>
      </c>
      <c r="Q647">
        <f t="shared" si="995"/>
        <v>8245131.8571430622</v>
      </c>
      <c r="R647">
        <f t="shared" si="996"/>
        <v>-223728177.31652769</v>
      </c>
      <c r="S647">
        <f t="shared" si="997"/>
        <v>-2237.2817731652767</v>
      </c>
      <c r="T647">
        <f t="shared" si="998"/>
        <v>-2.2372817731652765</v>
      </c>
    </row>
    <row r="648" spans="1:20" x14ac:dyDescent="0.25">
      <c r="A648" s="5">
        <v>43945</v>
      </c>
      <c r="B648">
        <v>5.1599999999999997E-4</v>
      </c>
      <c r="C648">
        <v>5.3799999999999996E-4</v>
      </c>
      <c r="D648">
        <v>5.13E-4</v>
      </c>
      <c r="E648">
        <v>5.3200000000000003E-4</v>
      </c>
      <c r="F648">
        <v>45338350</v>
      </c>
      <c r="G648">
        <v>0</v>
      </c>
      <c r="L648" t="s">
        <v>8</v>
      </c>
      <c r="M648" t="s">
        <v>8</v>
      </c>
      <c r="N648" t="s">
        <v>7</v>
      </c>
      <c r="P648">
        <f t="shared" si="994"/>
        <v>0.5200000000000049</v>
      </c>
      <c r="Q648">
        <f t="shared" si="995"/>
        <v>23575942.000000224</v>
      </c>
      <c r="R648">
        <f t="shared" si="996"/>
        <v>-231973309.17367077</v>
      </c>
      <c r="S648">
        <f t="shared" si="997"/>
        <v>-2319.7330917367076</v>
      </c>
      <c r="T648">
        <f t="shared" si="998"/>
        <v>-2.3197330917367074</v>
      </c>
    </row>
    <row r="649" spans="1:20" x14ac:dyDescent="0.25">
      <c r="A649" s="5">
        <v>43944</v>
      </c>
      <c r="B649">
        <v>5.0699999999999996E-4</v>
      </c>
      <c r="C649">
        <v>5.2300000000000003E-4</v>
      </c>
      <c r="D649">
        <v>4.0200000000000001E-4</v>
      </c>
      <c r="E649">
        <v>5.1599999999999997E-4</v>
      </c>
      <c r="F649">
        <v>124343528</v>
      </c>
      <c r="G649">
        <v>0</v>
      </c>
      <c r="L649" t="s">
        <v>7</v>
      </c>
      <c r="M649" t="s">
        <v>7</v>
      </c>
      <c r="N649" t="s">
        <v>7</v>
      </c>
      <c r="P649">
        <f t="shared" si="994"/>
        <v>0.88429752066115597</v>
      </c>
      <c r="Q649">
        <f t="shared" si="995"/>
        <v>109956673.52066103</v>
      </c>
      <c r="R649">
        <f t="shared" si="996"/>
        <v>-255549251.17367098</v>
      </c>
      <c r="S649">
        <f t="shared" si="997"/>
        <v>-2555.4925117367097</v>
      </c>
      <c r="T649">
        <f t="shared" si="998"/>
        <v>-2.5554925117367095</v>
      </c>
    </row>
    <row r="650" spans="1:20" x14ac:dyDescent="0.25">
      <c r="A650" s="5">
        <v>43943</v>
      </c>
      <c r="B650">
        <v>4.9100000000000001E-4</v>
      </c>
      <c r="C650">
        <v>5.1000000000000004E-4</v>
      </c>
      <c r="D650">
        <v>4.8700000000000002E-4</v>
      </c>
      <c r="E650">
        <v>5.0600000000000005E-4</v>
      </c>
      <c r="F650">
        <v>20134764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0.65217391304347949</v>
      </c>
      <c r="Q650">
        <f t="shared" si="995"/>
        <v>13131367.826086981</v>
      </c>
      <c r="R650">
        <f t="shared" si="996"/>
        <v>-365505924.694332</v>
      </c>
      <c r="S650">
        <f t="shared" si="997"/>
        <v>-3655.05924694332</v>
      </c>
      <c r="T650">
        <f t="shared" si="998"/>
        <v>-3.6550592469433201</v>
      </c>
    </row>
    <row r="651" spans="1:20" x14ac:dyDescent="0.25">
      <c r="A651" s="5">
        <v>43942</v>
      </c>
      <c r="B651">
        <v>5.0000000000000001E-4</v>
      </c>
      <c r="C651">
        <v>5.0299999999999997E-4</v>
      </c>
      <c r="D651">
        <v>4.8000000000000001E-4</v>
      </c>
      <c r="E651">
        <v>4.95E-4</v>
      </c>
      <c r="F651">
        <v>24385891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0.30434782608695732</v>
      </c>
      <c r="Q651">
        <f t="shared" si="995"/>
        <v>7421792.9130434981</v>
      </c>
      <c r="R651">
        <f t="shared" si="996"/>
        <v>-378637292.520419</v>
      </c>
      <c r="S651">
        <f t="shared" si="997"/>
        <v>-3786.3729252041899</v>
      </c>
      <c r="T651">
        <f t="shared" si="998"/>
        <v>-3.7863729252041898</v>
      </c>
    </row>
    <row r="652" spans="1:20" x14ac:dyDescent="0.25">
      <c r="A652" s="5">
        <v>43941</v>
      </c>
      <c r="B652">
        <v>5.2300000000000003E-4</v>
      </c>
      <c r="C652">
        <v>5.2999999999999998E-4</v>
      </c>
      <c r="D652">
        <v>5.0000000000000001E-4</v>
      </c>
      <c r="E652">
        <v>5.0000000000000001E-4</v>
      </c>
      <c r="F652">
        <v>43267261</v>
      </c>
      <c r="G652">
        <v>0</v>
      </c>
      <c r="L652" t="s">
        <v>8</v>
      </c>
      <c r="M652" t="s">
        <v>7</v>
      </c>
      <c r="N652" t="s">
        <v>7</v>
      </c>
      <c r="P652">
        <f t="shared" si="994"/>
        <v>-1</v>
      </c>
      <c r="Q652">
        <f t="shared" si="995"/>
        <v>-43267261</v>
      </c>
      <c r="R652">
        <f t="shared" si="996"/>
        <v>-386059085.4334625</v>
      </c>
      <c r="S652">
        <f t="shared" si="997"/>
        <v>-3860.590854334625</v>
      </c>
      <c r="T652">
        <f t="shared" si="998"/>
        <v>-3.860590854334625</v>
      </c>
    </row>
    <row r="653" spans="1:20" x14ac:dyDescent="0.25">
      <c r="A653" s="5">
        <v>43940</v>
      </c>
      <c r="B653">
        <v>5.4000000000000001E-4</v>
      </c>
      <c r="C653">
        <v>5.4100000000000003E-4</v>
      </c>
      <c r="D653">
        <v>5.22E-4</v>
      </c>
      <c r="E653">
        <v>5.22E-4</v>
      </c>
      <c r="F653">
        <v>34312193</v>
      </c>
      <c r="G653">
        <v>0</v>
      </c>
      <c r="L653" t="s">
        <v>7</v>
      </c>
      <c r="M653" t="s">
        <v>7</v>
      </c>
      <c r="N653" t="s">
        <v>7</v>
      </c>
      <c r="P653">
        <f t="shared" si="994"/>
        <v>-1</v>
      </c>
      <c r="Q653">
        <f t="shared" si="995"/>
        <v>-34312193</v>
      </c>
      <c r="R653">
        <f t="shared" si="996"/>
        <v>-342791824.4334625</v>
      </c>
      <c r="S653">
        <f t="shared" si="997"/>
        <v>-3427.9182443346249</v>
      </c>
      <c r="T653">
        <f t="shared" si="998"/>
        <v>-3.427918244334625</v>
      </c>
    </row>
    <row r="654" spans="1:20" x14ac:dyDescent="0.25">
      <c r="A654" s="5">
        <v>43939</v>
      </c>
      <c r="B654">
        <v>5.2800000000000004E-4</v>
      </c>
      <c r="C654">
        <v>5.4199999999999995E-4</v>
      </c>
      <c r="D654">
        <v>5.1800000000000001E-4</v>
      </c>
      <c r="E654">
        <v>5.4000000000000001E-4</v>
      </c>
      <c r="F654">
        <v>57492870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0.83333333333333781</v>
      </c>
      <c r="Q654">
        <f t="shared" si="995"/>
        <v>47910725.000000261</v>
      </c>
      <c r="R654">
        <f t="shared" si="996"/>
        <v>-308479631.4334625</v>
      </c>
      <c r="S654">
        <f t="shared" si="997"/>
        <v>-3084.7963143346251</v>
      </c>
      <c r="T654">
        <f t="shared" si="998"/>
        <v>-3.0847963143346253</v>
      </c>
    </row>
    <row r="655" spans="1:20" x14ac:dyDescent="0.25">
      <c r="A655" s="5">
        <v>43938</v>
      </c>
      <c r="B655">
        <v>5.1400000000000003E-4</v>
      </c>
      <c r="C655">
        <v>5.3200000000000003E-4</v>
      </c>
      <c r="D655">
        <v>5.0100000000000003E-4</v>
      </c>
      <c r="E655">
        <v>5.22E-4</v>
      </c>
      <c r="F655">
        <v>79047930</v>
      </c>
      <c r="G655">
        <v>0</v>
      </c>
      <c r="L655" t="s">
        <v>7</v>
      </c>
      <c r="M655" t="s">
        <v>7</v>
      </c>
      <c r="N655" t="s">
        <v>7</v>
      </c>
      <c r="P655">
        <f t="shared" si="994"/>
        <v>0.35483870967741754</v>
      </c>
      <c r="Q655">
        <f t="shared" si="995"/>
        <v>28049265.483870823</v>
      </c>
      <c r="R655">
        <f t="shared" si="996"/>
        <v>-356390356.43346274</v>
      </c>
      <c r="S655">
        <f t="shared" si="997"/>
        <v>-3563.9035643346274</v>
      </c>
      <c r="T655">
        <f t="shared" si="998"/>
        <v>-3.5639035643346273</v>
      </c>
    </row>
    <row r="656" spans="1:20" x14ac:dyDescent="0.25">
      <c r="A656" s="5">
        <v>43937</v>
      </c>
      <c r="B656">
        <v>5.0500000000000002E-4</v>
      </c>
      <c r="C656">
        <v>5.2300000000000003E-4</v>
      </c>
      <c r="D656">
        <v>4.8099999999999998E-4</v>
      </c>
      <c r="E656">
        <v>5.13E-4</v>
      </c>
      <c r="F656">
        <v>103985640</v>
      </c>
      <c r="G656">
        <v>0</v>
      </c>
      <c r="L656" t="s">
        <v>8</v>
      </c>
      <c r="M656" t="s">
        <v>7</v>
      </c>
      <c r="N656" t="s">
        <v>7</v>
      </c>
      <c r="P656">
        <f t="shared" si="994"/>
        <v>0.52380952380952306</v>
      </c>
      <c r="Q656">
        <f t="shared" si="995"/>
        <v>54468668.571428493</v>
      </c>
      <c r="R656">
        <f t="shared" si="996"/>
        <v>-384439621.91733354</v>
      </c>
      <c r="S656">
        <f t="shared" si="997"/>
        <v>-3844.3962191733353</v>
      </c>
      <c r="T656">
        <f t="shared" si="998"/>
        <v>-3.8443962191733352</v>
      </c>
    </row>
    <row r="657" spans="1:20" x14ac:dyDescent="0.25">
      <c r="A657" s="5">
        <v>43936</v>
      </c>
      <c r="B657">
        <v>5.2099999999999998E-4</v>
      </c>
      <c r="C657">
        <v>5.2899999999999996E-4</v>
      </c>
      <c r="D657">
        <v>5.0500000000000002E-4</v>
      </c>
      <c r="E657">
        <v>5.0500000000000002E-4</v>
      </c>
      <c r="F657">
        <v>12827009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-1</v>
      </c>
      <c r="Q657">
        <f t="shared" si="995"/>
        <v>-12827009</v>
      </c>
      <c r="R657">
        <f t="shared" si="996"/>
        <v>-438908290.48876202</v>
      </c>
      <c r="S657">
        <f t="shared" si="997"/>
        <v>-4389.0829048876203</v>
      </c>
      <c r="T657">
        <f t="shared" si="998"/>
        <v>-4.3890829048876201</v>
      </c>
    </row>
    <row r="658" spans="1:20" x14ac:dyDescent="0.25">
      <c r="A658" s="5">
        <v>43935</v>
      </c>
      <c r="B658">
        <v>5.31E-4</v>
      </c>
      <c r="C658">
        <v>5.3200000000000003E-4</v>
      </c>
      <c r="D658">
        <v>5.1699999999999999E-4</v>
      </c>
      <c r="E658">
        <v>5.2400000000000005E-4</v>
      </c>
      <c r="F658">
        <v>46103162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-6.6666666666660879E-2</v>
      </c>
      <c r="Q658">
        <f t="shared" si="995"/>
        <v>-3073544.1333330665</v>
      </c>
      <c r="R658">
        <f t="shared" si="996"/>
        <v>-426081281.48876202</v>
      </c>
      <c r="S658">
        <f t="shared" si="997"/>
        <v>-4260.8128148876203</v>
      </c>
      <c r="T658">
        <f t="shared" si="998"/>
        <v>-4.2608128148876201</v>
      </c>
    </row>
    <row r="659" spans="1:20" x14ac:dyDescent="0.25">
      <c r="A659" s="5">
        <v>43934</v>
      </c>
      <c r="B659">
        <v>5.3899999999999998E-4</v>
      </c>
      <c r="C659">
        <v>5.3899999999999998E-4</v>
      </c>
      <c r="D659">
        <v>5.0799999999999999E-4</v>
      </c>
      <c r="E659">
        <v>5.2599999999999999E-4</v>
      </c>
      <c r="F659">
        <v>34404170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0.1612903225806456</v>
      </c>
      <c r="Q659">
        <f t="shared" si="995"/>
        <v>5549059.67741937</v>
      </c>
      <c r="R659">
        <f t="shared" si="996"/>
        <v>-423007737.35542893</v>
      </c>
      <c r="S659">
        <f t="shared" si="997"/>
        <v>-4230.0773735542889</v>
      </c>
      <c r="T659">
        <f t="shared" si="998"/>
        <v>-4.2300773735542885</v>
      </c>
    </row>
    <row r="660" spans="1:20" x14ac:dyDescent="0.25">
      <c r="A660" s="5">
        <v>43933</v>
      </c>
      <c r="B660">
        <v>5.31E-4</v>
      </c>
      <c r="C660">
        <v>5.5400000000000002E-4</v>
      </c>
      <c r="D660">
        <v>5.2499999999999997E-4</v>
      </c>
      <c r="E660">
        <v>5.4299999999999997E-4</v>
      </c>
      <c r="F660">
        <v>26370974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0.24137931034482552</v>
      </c>
      <c r="Q660">
        <f t="shared" si="995"/>
        <v>6365407.5172413243</v>
      </c>
      <c r="R660">
        <f t="shared" si="996"/>
        <v>-428556797.0328483</v>
      </c>
      <c r="S660">
        <f t="shared" si="997"/>
        <v>-4285.5679703284832</v>
      </c>
      <c r="T660">
        <f t="shared" si="998"/>
        <v>-4.2855679703284828</v>
      </c>
    </row>
    <row r="661" spans="1:20" x14ac:dyDescent="0.25">
      <c r="A661" s="5">
        <v>43932</v>
      </c>
      <c r="B661">
        <v>5.3300000000000005E-4</v>
      </c>
      <c r="C661">
        <v>5.3899999999999998E-4</v>
      </c>
      <c r="D661">
        <v>5.1900000000000004E-4</v>
      </c>
      <c r="E661">
        <v>5.2999999999999998E-4</v>
      </c>
      <c r="F661">
        <v>36396546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9.9999999999997286E-2</v>
      </c>
      <c r="Q661">
        <f t="shared" si="995"/>
        <v>3639654.5999999014</v>
      </c>
      <c r="R661">
        <f t="shared" si="996"/>
        <v>-434922204.5500896</v>
      </c>
      <c r="S661">
        <f t="shared" si="997"/>
        <v>-4349.2220455008955</v>
      </c>
      <c r="T661">
        <f t="shared" si="998"/>
        <v>-4.3492220455008956</v>
      </c>
    </row>
    <row r="662" spans="1:20" x14ac:dyDescent="0.25">
      <c r="A662" s="5">
        <v>43931</v>
      </c>
      <c r="B662">
        <v>5.8600000000000004E-4</v>
      </c>
      <c r="C662">
        <v>5.8900000000000001E-4</v>
      </c>
      <c r="D662">
        <v>5.1699999999999999E-4</v>
      </c>
      <c r="E662">
        <v>5.31E-4</v>
      </c>
      <c r="F662">
        <v>55204065</v>
      </c>
      <c r="G662">
        <v>0</v>
      </c>
      <c r="L662" t="s">
        <v>8</v>
      </c>
      <c r="M662" t="s">
        <v>7</v>
      </c>
      <c r="N662" t="s">
        <v>7</v>
      </c>
      <c r="P662">
        <f t="shared" si="994"/>
        <v>-0.61111111111111083</v>
      </c>
      <c r="Q662">
        <f t="shared" si="995"/>
        <v>-33735817.499999985</v>
      </c>
      <c r="R662">
        <f t="shared" si="996"/>
        <v>-438561859.1500895</v>
      </c>
      <c r="S662">
        <f t="shared" si="997"/>
        <v>-4385.6185915008946</v>
      </c>
      <c r="T662">
        <f t="shared" si="998"/>
        <v>-4.3856185915008945</v>
      </c>
    </row>
    <row r="663" spans="1:20" x14ac:dyDescent="0.25">
      <c r="A663" s="5">
        <v>43930</v>
      </c>
      <c r="B663">
        <v>5.8900000000000001E-4</v>
      </c>
      <c r="C663">
        <v>5.9400000000000002E-4</v>
      </c>
      <c r="D663">
        <v>5.7899999999999998E-4</v>
      </c>
      <c r="E663">
        <v>5.8699999999999996E-4</v>
      </c>
      <c r="F663">
        <v>29209228</v>
      </c>
      <c r="G663">
        <v>0</v>
      </c>
      <c r="L663" t="s">
        <v>7</v>
      </c>
      <c r="M663" t="s">
        <v>7</v>
      </c>
      <c r="N663" t="s">
        <v>8</v>
      </c>
      <c r="P663">
        <f t="shared" si="994"/>
        <v>6.6666666666660879E-2</v>
      </c>
      <c r="Q663">
        <f t="shared" si="995"/>
        <v>1947281.8666664977</v>
      </c>
      <c r="R663">
        <f t="shared" si="996"/>
        <v>-404826041.6500895</v>
      </c>
      <c r="S663">
        <f t="shared" si="997"/>
        <v>-4048.2604165008952</v>
      </c>
      <c r="T663">
        <f t="shared" si="998"/>
        <v>-4.0482604165008951</v>
      </c>
    </row>
    <row r="664" spans="1:20" x14ac:dyDescent="0.25">
      <c r="A664" s="5">
        <v>43929</v>
      </c>
      <c r="B664">
        <v>5.8699999999999996E-4</v>
      </c>
      <c r="C664">
        <v>5.9400000000000002E-4</v>
      </c>
      <c r="D664">
        <v>5.7899999999999998E-4</v>
      </c>
      <c r="E664">
        <v>5.8900000000000001E-4</v>
      </c>
      <c r="F664">
        <v>62712160</v>
      </c>
      <c r="G664">
        <v>0</v>
      </c>
      <c r="L664" t="s">
        <v>8</v>
      </c>
      <c r="M664" t="s">
        <v>7</v>
      </c>
      <c r="N664" t="s">
        <v>8</v>
      </c>
      <c r="P664">
        <f t="shared" si="994"/>
        <v>0.33333333333333331</v>
      </c>
      <c r="Q664">
        <f t="shared" si="995"/>
        <v>20904053.333333332</v>
      </c>
      <c r="R664">
        <f t="shared" si="996"/>
        <v>-406773323.516756</v>
      </c>
      <c r="S664">
        <f t="shared" si="997"/>
        <v>-4067.73323516756</v>
      </c>
      <c r="T664">
        <f t="shared" si="998"/>
        <v>-4.0677332351675597</v>
      </c>
    </row>
    <row r="665" spans="1:20" x14ac:dyDescent="0.25">
      <c r="A665" s="5">
        <v>43928</v>
      </c>
      <c r="B665">
        <v>6.0300000000000002E-4</v>
      </c>
      <c r="C665">
        <v>6.0800000000000003E-4</v>
      </c>
      <c r="D665">
        <v>5.7300000000000005E-4</v>
      </c>
      <c r="E665">
        <v>5.8799999999999998E-4</v>
      </c>
      <c r="F665">
        <v>101433031</v>
      </c>
      <c r="G665">
        <v>0</v>
      </c>
      <c r="L665" t="s">
        <v>7</v>
      </c>
      <c r="M665" t="s">
        <v>7</v>
      </c>
      <c r="N665" t="s">
        <v>8</v>
      </c>
      <c r="P665">
        <f t="shared" si="994"/>
        <v>-0.1428571428571464</v>
      </c>
      <c r="Q665">
        <f t="shared" si="995"/>
        <v>-14490433.000000359</v>
      </c>
      <c r="R665">
        <f t="shared" si="996"/>
        <v>-427677376.85008931</v>
      </c>
      <c r="S665">
        <f t="shared" si="997"/>
        <v>-4276.7737685008933</v>
      </c>
      <c r="T665">
        <f t="shared" si="998"/>
        <v>-4.2767737685008935</v>
      </c>
    </row>
    <row r="666" spans="1:20" x14ac:dyDescent="0.25">
      <c r="A666" s="5">
        <v>43927</v>
      </c>
      <c r="B666">
        <v>5.6899999999999995E-4</v>
      </c>
      <c r="C666">
        <v>6.0499999999999996E-4</v>
      </c>
      <c r="D666">
        <v>5.6300000000000002E-4</v>
      </c>
      <c r="E666">
        <v>6.0499999999999996E-4</v>
      </c>
      <c r="F666">
        <v>162640259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1</v>
      </c>
      <c r="Q666">
        <f t="shared" si="995"/>
        <v>162640259</v>
      </c>
      <c r="R666">
        <f t="shared" si="996"/>
        <v>-413186943.85008895</v>
      </c>
      <c r="S666">
        <f t="shared" si="997"/>
        <v>-4131.8694385008894</v>
      </c>
      <c r="T666">
        <f t="shared" si="998"/>
        <v>-4.1318694385008889</v>
      </c>
    </row>
    <row r="667" spans="1:20" x14ac:dyDescent="0.25">
      <c r="A667" s="5">
        <v>43926</v>
      </c>
      <c r="B667">
        <v>5.7799999999999995E-4</v>
      </c>
      <c r="C667">
        <v>5.8200000000000005E-4</v>
      </c>
      <c r="D667">
        <v>5.5699999999999999E-4</v>
      </c>
      <c r="E667">
        <v>5.6899999999999995E-4</v>
      </c>
      <c r="F667">
        <v>41565696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-4.0000000000005205E-2</v>
      </c>
      <c r="Q667">
        <f t="shared" si="995"/>
        <v>-1662627.8400002164</v>
      </c>
      <c r="R667">
        <f t="shared" si="996"/>
        <v>-575827202.85008895</v>
      </c>
      <c r="S667">
        <f t="shared" si="997"/>
        <v>-5758.27202850089</v>
      </c>
      <c r="T667">
        <f t="shared" si="998"/>
        <v>-5.7582720285008904</v>
      </c>
    </row>
    <row r="668" spans="1:20" x14ac:dyDescent="0.25">
      <c r="A668" s="5">
        <v>43925</v>
      </c>
      <c r="B668">
        <v>5.8200000000000005E-4</v>
      </c>
      <c r="C668">
        <v>5.8500000000000002E-4</v>
      </c>
      <c r="D668">
        <v>5.6599999999999999E-4</v>
      </c>
      <c r="E668">
        <v>5.7799999999999995E-4</v>
      </c>
      <c r="F668">
        <v>211773790</v>
      </c>
      <c r="G668">
        <v>0</v>
      </c>
      <c r="L668" t="s">
        <v>8</v>
      </c>
      <c r="M668" t="s">
        <v>7</v>
      </c>
      <c r="N668" t="s">
        <v>8</v>
      </c>
      <c r="P668">
        <f t="shared" si="994"/>
        <v>0.26315789473683671</v>
      </c>
      <c r="Q668">
        <f t="shared" si="995"/>
        <v>55729944.736840963</v>
      </c>
      <c r="R668">
        <f t="shared" si="996"/>
        <v>-574164575.01008868</v>
      </c>
      <c r="S668">
        <f t="shared" si="997"/>
        <v>-5741.6457501008872</v>
      </c>
      <c r="T668">
        <f t="shared" si="998"/>
        <v>-5.7416457501008873</v>
      </c>
    </row>
    <row r="669" spans="1:20" x14ac:dyDescent="0.25">
      <c r="A669" s="5">
        <v>43924</v>
      </c>
      <c r="B669">
        <v>6.0700000000000001E-4</v>
      </c>
      <c r="C669">
        <v>6.1799999999999995E-4</v>
      </c>
      <c r="D669">
        <v>5.71E-4</v>
      </c>
      <c r="E669">
        <v>5.7899999999999998E-4</v>
      </c>
      <c r="F669">
        <v>367547978</v>
      </c>
      <c r="G669">
        <v>0</v>
      </c>
      <c r="L669" t="s">
        <v>7</v>
      </c>
      <c r="M669" t="s">
        <v>7</v>
      </c>
      <c r="N669" t="s">
        <v>8</v>
      </c>
      <c r="P669">
        <f t="shared" si="994"/>
        <v>-0.659574468085107</v>
      </c>
      <c r="Q669">
        <f t="shared" si="995"/>
        <v>-242425262.08510661</v>
      </c>
      <c r="R669">
        <f t="shared" si="996"/>
        <v>-629894519.74692965</v>
      </c>
      <c r="S669">
        <f t="shared" si="997"/>
        <v>-6298.9451974692965</v>
      </c>
      <c r="T669">
        <f t="shared" si="998"/>
        <v>-6.2989451974692967</v>
      </c>
    </row>
    <row r="670" spans="1:20" x14ac:dyDescent="0.25">
      <c r="A670" s="5">
        <v>43923</v>
      </c>
      <c r="B670">
        <v>6.5899999999999997E-4</v>
      </c>
      <c r="C670">
        <v>6.5899999999999997E-4</v>
      </c>
      <c r="D670">
        <v>5.7799999999999995E-4</v>
      </c>
      <c r="E670">
        <v>6.0800000000000003E-4</v>
      </c>
      <c r="F670">
        <v>451536782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-0.25925925925925747</v>
      </c>
      <c r="Q670">
        <f t="shared" si="995"/>
        <v>-117065091.62962882</v>
      </c>
      <c r="R670">
        <f t="shared" si="996"/>
        <v>-387469257.66182309</v>
      </c>
      <c r="S670">
        <f t="shared" si="997"/>
        <v>-3874.6925766182308</v>
      </c>
      <c r="T670">
        <f t="shared" si="998"/>
        <v>-3.874692576618231</v>
      </c>
    </row>
    <row r="671" spans="1:20" x14ac:dyDescent="0.25">
      <c r="A671" s="5">
        <v>43922</v>
      </c>
      <c r="B671">
        <v>6.2399999999999999E-4</v>
      </c>
      <c r="C671">
        <v>6.6699999999999995E-4</v>
      </c>
      <c r="D671">
        <v>5.8699999999999996E-4</v>
      </c>
      <c r="E671">
        <v>6.6299999999999996E-4</v>
      </c>
      <c r="F671">
        <v>92148465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0.90000000000000024</v>
      </c>
      <c r="Q671">
        <f t="shared" si="995"/>
        <v>82933618.50000003</v>
      </c>
      <c r="R671">
        <f t="shared" si="996"/>
        <v>-270404166.03219426</v>
      </c>
      <c r="S671">
        <f t="shared" si="997"/>
        <v>-2704.0416603219423</v>
      </c>
      <c r="T671">
        <f t="shared" si="998"/>
        <v>-2.7040416603219422</v>
      </c>
    </row>
    <row r="672" spans="1:20" x14ac:dyDescent="0.25">
      <c r="A672" s="5">
        <v>43921</v>
      </c>
      <c r="B672">
        <v>6.2100000000000002E-4</v>
      </c>
      <c r="C672">
        <v>6.3299999999999999E-4</v>
      </c>
      <c r="D672">
        <v>5.9999999999999995E-4</v>
      </c>
      <c r="E672">
        <v>6.2399999999999999E-4</v>
      </c>
      <c r="F672">
        <v>18305468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0.45454545454545514</v>
      </c>
      <c r="Q672">
        <f t="shared" si="995"/>
        <v>8320667.2727272836</v>
      </c>
      <c r="R672">
        <f t="shared" si="996"/>
        <v>-353337784.53219426</v>
      </c>
      <c r="S672">
        <f t="shared" si="997"/>
        <v>-3533.3778453219425</v>
      </c>
      <c r="T672">
        <f t="shared" si="998"/>
        <v>-3.5333778453219424</v>
      </c>
    </row>
    <row r="673" spans="1:20" x14ac:dyDescent="0.25">
      <c r="A673" s="5">
        <v>43920</v>
      </c>
      <c r="B673">
        <v>5.8399999999999999E-4</v>
      </c>
      <c r="C673">
        <v>6.3900000000000003E-4</v>
      </c>
      <c r="D673">
        <v>5.8299999999999997E-4</v>
      </c>
      <c r="E673">
        <v>6.2E-4</v>
      </c>
      <c r="F673">
        <v>39790099</v>
      </c>
      <c r="G673">
        <v>0</v>
      </c>
      <c r="L673" t="s">
        <v>7</v>
      </c>
      <c r="M673" t="s">
        <v>7</v>
      </c>
      <c r="N673" t="s">
        <v>8</v>
      </c>
      <c r="P673">
        <f t="shared" si="994"/>
        <v>0.32142857142857117</v>
      </c>
      <c r="Q673">
        <f t="shared" si="995"/>
        <v>12789674.678571418</v>
      </c>
      <c r="R673">
        <f t="shared" si="996"/>
        <v>-361658451.80492157</v>
      </c>
      <c r="S673">
        <f t="shared" si="997"/>
        <v>-3616.5845180492156</v>
      </c>
      <c r="T673">
        <f t="shared" si="998"/>
        <v>-3.6165845180492155</v>
      </c>
    </row>
    <row r="674" spans="1:20" x14ac:dyDescent="0.25">
      <c r="A674" s="5">
        <v>43919</v>
      </c>
      <c r="B674">
        <v>6.11E-4</v>
      </c>
      <c r="C674">
        <v>6.3000000000000003E-4</v>
      </c>
      <c r="D674">
        <v>5.8E-4</v>
      </c>
      <c r="E674">
        <v>5.8799999999999998E-4</v>
      </c>
      <c r="F674">
        <v>22214678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-0.68000000000000105</v>
      </c>
      <c r="Q674">
        <f t="shared" si="995"/>
        <v>-15105981.040000023</v>
      </c>
      <c r="R674">
        <f t="shared" si="996"/>
        <v>-374448126.48349297</v>
      </c>
      <c r="S674">
        <f t="shared" si="997"/>
        <v>-3744.4812648349298</v>
      </c>
      <c r="T674">
        <f t="shared" si="998"/>
        <v>-3.7444812648349299</v>
      </c>
    </row>
    <row r="675" spans="1:20" x14ac:dyDescent="0.25">
      <c r="A675" s="5">
        <v>43918</v>
      </c>
      <c r="B675">
        <v>6.1399999999999996E-4</v>
      </c>
      <c r="C675">
        <v>6.1399999999999996E-4</v>
      </c>
      <c r="D675">
        <v>5.8699999999999996E-4</v>
      </c>
      <c r="E675">
        <v>6.0700000000000001E-4</v>
      </c>
      <c r="F675">
        <v>23645679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0.48148148148148506</v>
      </c>
      <c r="Q675">
        <f t="shared" si="995"/>
        <v>11384956.55555564</v>
      </c>
      <c r="R675">
        <f t="shared" si="996"/>
        <v>-359342145.44349295</v>
      </c>
      <c r="S675">
        <f t="shared" si="997"/>
        <v>-3593.4214544349293</v>
      </c>
      <c r="T675">
        <f t="shared" si="998"/>
        <v>-3.5934214544349294</v>
      </c>
    </row>
    <row r="676" spans="1:20" x14ac:dyDescent="0.25">
      <c r="A676" s="5">
        <v>43917</v>
      </c>
      <c r="B676">
        <v>6.3500000000000004E-4</v>
      </c>
      <c r="C676">
        <v>6.4999999999999997E-4</v>
      </c>
      <c r="D676">
        <v>5.9800000000000001E-4</v>
      </c>
      <c r="E676">
        <v>6.1399999999999996E-4</v>
      </c>
      <c r="F676">
        <v>113407896</v>
      </c>
      <c r="G676">
        <v>0</v>
      </c>
      <c r="L676" t="s">
        <v>8</v>
      </c>
      <c r="M676" t="s">
        <v>7</v>
      </c>
      <c r="N676" t="s">
        <v>8</v>
      </c>
      <c r="P676">
        <f t="shared" si="994"/>
        <v>-0.38461538461538591</v>
      </c>
      <c r="Q676">
        <f t="shared" si="995"/>
        <v>-43618421.538461685</v>
      </c>
      <c r="R676">
        <f t="shared" si="996"/>
        <v>-370727101.99904859</v>
      </c>
      <c r="S676">
        <f t="shared" si="997"/>
        <v>-3707.2710199904859</v>
      </c>
      <c r="T676">
        <f t="shared" si="998"/>
        <v>-3.7072710199904857</v>
      </c>
    </row>
    <row r="677" spans="1:20" x14ac:dyDescent="0.25">
      <c r="A677" s="5">
        <v>43916</v>
      </c>
      <c r="B677">
        <v>6.2200000000000005E-4</v>
      </c>
      <c r="C677">
        <v>6.3299999999999999E-4</v>
      </c>
      <c r="D677">
        <v>5.9199999999999997E-4</v>
      </c>
      <c r="E677">
        <v>6.3299999999999999E-4</v>
      </c>
      <c r="F677">
        <v>56806873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1</v>
      </c>
      <c r="Q677">
        <f t="shared" si="995"/>
        <v>56806873</v>
      </c>
      <c r="R677">
        <f t="shared" si="996"/>
        <v>-327108680.46058691</v>
      </c>
      <c r="S677">
        <f t="shared" si="997"/>
        <v>-3271.086804605869</v>
      </c>
      <c r="T677">
        <f t="shared" si="998"/>
        <v>-3.271086804605869</v>
      </c>
    </row>
    <row r="678" spans="1:20" x14ac:dyDescent="0.25">
      <c r="A678" s="5">
        <v>43915</v>
      </c>
      <c r="B678">
        <v>6.0300000000000002E-4</v>
      </c>
      <c r="C678">
        <v>6.3900000000000003E-4</v>
      </c>
      <c r="D678">
        <v>5.8399999999999999E-4</v>
      </c>
      <c r="E678">
        <v>6.2200000000000005E-4</v>
      </c>
      <c r="F678">
        <v>26627293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0.38181818181818294</v>
      </c>
      <c r="Q678">
        <f t="shared" si="995"/>
        <v>10166784.600000029</v>
      </c>
      <c r="R678">
        <f t="shared" si="996"/>
        <v>-383915553.46058691</v>
      </c>
      <c r="S678">
        <f t="shared" si="997"/>
        <v>-3839.155534605869</v>
      </c>
      <c r="T678">
        <f t="shared" si="998"/>
        <v>-3.8391555346058688</v>
      </c>
    </row>
    <row r="679" spans="1:20" x14ac:dyDescent="0.25">
      <c r="A679" s="5">
        <v>43914</v>
      </c>
      <c r="B679">
        <v>6.2299999999999996E-4</v>
      </c>
      <c r="C679">
        <v>6.4999999999999997E-4</v>
      </c>
      <c r="D679">
        <v>5.8799999999999998E-4</v>
      </c>
      <c r="E679">
        <v>6.0999999999999997E-4</v>
      </c>
      <c r="F679">
        <v>76555290</v>
      </c>
      <c r="G679">
        <v>0</v>
      </c>
      <c r="L679" t="s">
        <v>7</v>
      </c>
      <c r="M679" t="s">
        <v>7</v>
      </c>
      <c r="N679" t="s">
        <v>8</v>
      </c>
      <c r="P679">
        <f t="shared" si="994"/>
        <v>-0.29032258064516142</v>
      </c>
      <c r="Q679">
        <f t="shared" si="995"/>
        <v>-22225729.354838721</v>
      </c>
      <c r="R679">
        <f t="shared" si="996"/>
        <v>-394082338.06058693</v>
      </c>
      <c r="S679">
        <f t="shared" si="997"/>
        <v>-3940.8233806058693</v>
      </c>
      <c r="T679">
        <f t="shared" si="998"/>
        <v>-3.9408233806058695</v>
      </c>
    </row>
    <row r="680" spans="1:20" x14ac:dyDescent="0.25">
      <c r="A680" s="5">
        <v>43913</v>
      </c>
      <c r="B680">
        <v>5.7600000000000001E-4</v>
      </c>
      <c r="C680">
        <v>6.3000000000000003E-4</v>
      </c>
      <c r="D680">
        <v>5.6400000000000005E-4</v>
      </c>
      <c r="E680">
        <v>6.2299999999999996E-4</v>
      </c>
      <c r="F680">
        <v>31560103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0.78787878787878596</v>
      </c>
      <c r="Q680">
        <f t="shared" si="995"/>
        <v>24865535.696969636</v>
      </c>
      <c r="R680">
        <f t="shared" si="996"/>
        <v>-371856608.7057482</v>
      </c>
      <c r="S680">
        <f t="shared" si="997"/>
        <v>-3718.566087057482</v>
      </c>
      <c r="T680">
        <f t="shared" si="998"/>
        <v>-3.7185660870574822</v>
      </c>
    </row>
    <row r="681" spans="1:20" x14ac:dyDescent="0.25">
      <c r="A681" s="5">
        <v>43912</v>
      </c>
      <c r="B681">
        <v>6.3599999999999996E-4</v>
      </c>
      <c r="C681">
        <v>7.5000000000000002E-4</v>
      </c>
      <c r="D681">
        <v>5.7399999999999997E-4</v>
      </c>
      <c r="E681">
        <v>5.7700000000000004E-4</v>
      </c>
      <c r="F681">
        <v>35226346</v>
      </c>
      <c r="G681">
        <v>0</v>
      </c>
      <c r="L681" t="s">
        <v>7</v>
      </c>
      <c r="M681" t="s">
        <v>8</v>
      </c>
      <c r="N681" t="s">
        <v>8</v>
      </c>
      <c r="P681">
        <f t="shared" si="994"/>
        <v>-0.96590909090909005</v>
      </c>
      <c r="Q681">
        <f t="shared" si="995"/>
        <v>-34025447.840909064</v>
      </c>
      <c r="R681">
        <f t="shared" si="996"/>
        <v>-396722144.40271783</v>
      </c>
      <c r="S681">
        <f t="shared" si="997"/>
        <v>-3967.2214440271782</v>
      </c>
      <c r="T681">
        <f t="shared" si="998"/>
        <v>-3.967221444027178</v>
      </c>
    </row>
    <row r="682" spans="1:20" x14ac:dyDescent="0.25">
      <c r="A682" s="5">
        <v>43911</v>
      </c>
      <c r="B682">
        <v>6.4999999999999997E-4</v>
      </c>
      <c r="C682">
        <v>6.8000000000000005E-4</v>
      </c>
      <c r="D682">
        <v>5.8600000000000004E-4</v>
      </c>
      <c r="E682">
        <v>6.3100000000000005E-4</v>
      </c>
      <c r="F682">
        <v>38710927</v>
      </c>
      <c r="G682">
        <v>0</v>
      </c>
      <c r="L682" t="s">
        <v>8</v>
      </c>
      <c r="M682" t="s">
        <v>7</v>
      </c>
      <c r="N682" t="s">
        <v>8</v>
      </c>
      <c r="P682">
        <f t="shared" si="994"/>
        <v>-4.2553191489361576E-2</v>
      </c>
      <c r="Q682">
        <f t="shared" si="995"/>
        <v>-1647273.4893616973</v>
      </c>
      <c r="R682">
        <f t="shared" si="996"/>
        <v>-362696696.56180876</v>
      </c>
      <c r="S682">
        <f t="shared" si="997"/>
        <v>-3626.9669656180877</v>
      </c>
      <c r="T682">
        <f t="shared" si="998"/>
        <v>-3.6269669656180876</v>
      </c>
    </row>
    <row r="683" spans="1:20" x14ac:dyDescent="0.25">
      <c r="A683" s="5">
        <v>43910</v>
      </c>
      <c r="B683">
        <v>6.3000000000000003E-4</v>
      </c>
      <c r="C683">
        <v>6.9300000000000004E-4</v>
      </c>
      <c r="D683">
        <v>5.6499999999999996E-4</v>
      </c>
      <c r="E683">
        <v>6.3699999999999998E-4</v>
      </c>
      <c r="F683">
        <v>88929355</v>
      </c>
      <c r="G683">
        <v>0</v>
      </c>
      <c r="L683" t="s">
        <v>7</v>
      </c>
      <c r="M683" t="s">
        <v>8</v>
      </c>
      <c r="N683" t="s">
        <v>8</v>
      </c>
      <c r="P683">
        <f t="shared" si="994"/>
        <v>0.12499999999999957</v>
      </c>
      <c r="Q683">
        <f t="shared" si="995"/>
        <v>11116169.374999961</v>
      </c>
      <c r="R683">
        <f t="shared" si="996"/>
        <v>-361049423.07244706</v>
      </c>
      <c r="S683">
        <f t="shared" si="997"/>
        <v>-3610.4942307244705</v>
      </c>
      <c r="T683">
        <f t="shared" si="998"/>
        <v>-3.6104942307244707</v>
      </c>
    </row>
    <row r="684" spans="1:20" x14ac:dyDescent="0.25">
      <c r="A684" s="5">
        <v>43909</v>
      </c>
      <c r="B684">
        <v>5.7399999999999997E-4</v>
      </c>
      <c r="C684">
        <v>6.5200000000000002E-4</v>
      </c>
      <c r="D684">
        <v>5.5400000000000002E-4</v>
      </c>
      <c r="E684">
        <v>6.3500000000000004E-4</v>
      </c>
      <c r="F684">
        <v>91450778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0.65306122448979631</v>
      </c>
      <c r="Q684">
        <f t="shared" si="995"/>
        <v>59722957.061224528</v>
      </c>
      <c r="R684">
        <f t="shared" si="996"/>
        <v>-372165592.447447</v>
      </c>
      <c r="S684">
        <f t="shared" si="997"/>
        <v>-3721.6559244744699</v>
      </c>
      <c r="T684">
        <f t="shared" si="998"/>
        <v>-3.72165592447447</v>
      </c>
    </row>
    <row r="685" spans="1:20" x14ac:dyDescent="0.25">
      <c r="A685" s="5">
        <v>43908</v>
      </c>
      <c r="B685">
        <v>5.4000000000000001E-4</v>
      </c>
      <c r="C685">
        <v>6.3199999999999997E-4</v>
      </c>
      <c r="D685">
        <v>5.1999999999999995E-4</v>
      </c>
      <c r="E685">
        <v>5.6899999999999995E-4</v>
      </c>
      <c r="F685">
        <v>73461722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-0.12500000000000011</v>
      </c>
      <c r="Q685">
        <f t="shared" si="995"/>
        <v>-9182715.2500000075</v>
      </c>
      <c r="R685">
        <f t="shared" si="996"/>
        <v>-431888549.50867152</v>
      </c>
      <c r="S685">
        <f t="shared" si="997"/>
        <v>-4318.8854950867153</v>
      </c>
      <c r="T685">
        <f t="shared" si="998"/>
        <v>-4.3188854950867155</v>
      </c>
    </row>
    <row r="686" spans="1:20" x14ac:dyDescent="0.25">
      <c r="A686" s="5">
        <v>43907</v>
      </c>
      <c r="B686">
        <v>5.1099999999999995E-4</v>
      </c>
      <c r="C686">
        <v>5.6499999999999996E-4</v>
      </c>
      <c r="D686">
        <v>5.0699999999999996E-4</v>
      </c>
      <c r="E686">
        <v>5.4000000000000001E-4</v>
      </c>
      <c r="F686">
        <v>65704359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0.13793103448276009</v>
      </c>
      <c r="Q686">
        <f t="shared" si="995"/>
        <v>9062670.2068966478</v>
      </c>
      <c r="R686">
        <f t="shared" si="996"/>
        <v>-422705834.25867152</v>
      </c>
      <c r="S686">
        <f t="shared" si="997"/>
        <v>-4227.0583425867153</v>
      </c>
      <c r="T686">
        <f t="shared" si="998"/>
        <v>-4.227058342586715</v>
      </c>
    </row>
    <row r="687" spans="1:20" x14ac:dyDescent="0.25">
      <c r="A687" s="5">
        <v>43906</v>
      </c>
      <c r="B687">
        <v>6.2E-4</v>
      </c>
      <c r="C687">
        <v>6.4700000000000001E-4</v>
      </c>
      <c r="D687">
        <v>4.4700000000000002E-4</v>
      </c>
      <c r="E687">
        <v>5.1099999999999995E-4</v>
      </c>
      <c r="F687">
        <v>143917705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-0.36000000000000065</v>
      </c>
      <c r="Q687">
        <f t="shared" si="995"/>
        <v>-51810373.800000094</v>
      </c>
      <c r="R687">
        <f t="shared" si="996"/>
        <v>-431768504.46556818</v>
      </c>
      <c r="S687">
        <f t="shared" si="997"/>
        <v>-4317.6850446556818</v>
      </c>
      <c r="T687">
        <f t="shared" si="998"/>
        <v>-4.3176850446556818</v>
      </c>
    </row>
    <row r="688" spans="1:20" x14ac:dyDescent="0.25">
      <c r="A688" s="5">
        <v>43905</v>
      </c>
      <c r="B688">
        <v>5.1500000000000005E-4</v>
      </c>
      <c r="C688">
        <v>7.2099999999999996E-4</v>
      </c>
      <c r="D688">
        <v>5.0699999999999996E-4</v>
      </c>
      <c r="E688">
        <v>5.9999999999999995E-4</v>
      </c>
      <c r="F688">
        <v>157345867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-0.13084112149532726</v>
      </c>
      <c r="Q688">
        <f t="shared" si="995"/>
        <v>-20587309.700934604</v>
      </c>
      <c r="R688">
        <f t="shared" si="996"/>
        <v>-379958130.66556811</v>
      </c>
      <c r="S688">
        <f t="shared" si="997"/>
        <v>-3799.5813066556811</v>
      </c>
      <c r="T688">
        <f t="shared" si="998"/>
        <v>-3.7995813066556812</v>
      </c>
    </row>
    <row r="689" spans="1:20" x14ac:dyDescent="0.25">
      <c r="A689" s="5">
        <v>43904</v>
      </c>
      <c r="B689">
        <v>5.1800000000000001E-4</v>
      </c>
      <c r="C689">
        <v>5.8399999999999999E-4</v>
      </c>
      <c r="D689">
        <v>4.73E-4</v>
      </c>
      <c r="E689">
        <v>5.1599999999999997E-4</v>
      </c>
      <c r="F689">
        <v>206448098</v>
      </c>
      <c r="G689">
        <v>0</v>
      </c>
      <c r="L689" t="s">
        <v>7</v>
      </c>
      <c r="M689" t="s">
        <v>8</v>
      </c>
      <c r="N689" t="s">
        <v>8</v>
      </c>
      <c r="P689">
        <f t="shared" si="994"/>
        <v>-0.22522522522522584</v>
      </c>
      <c r="Q689">
        <f t="shared" si="995"/>
        <v>-46497319.369369499</v>
      </c>
      <c r="R689">
        <f t="shared" si="996"/>
        <v>-359370820.96463352</v>
      </c>
      <c r="S689">
        <f t="shared" si="997"/>
        <v>-3593.708209646335</v>
      </c>
      <c r="T689">
        <f t="shared" si="998"/>
        <v>-3.5937082096463349</v>
      </c>
    </row>
    <row r="690" spans="1:20" x14ac:dyDescent="0.25">
      <c r="A690" s="5">
        <v>43903</v>
      </c>
      <c r="B690">
        <v>5.22E-4</v>
      </c>
      <c r="C690">
        <v>5.6499999999999996E-4</v>
      </c>
      <c r="D690">
        <v>3.4299999999999999E-4</v>
      </c>
      <c r="E690">
        <v>5.2999999999999998E-4</v>
      </c>
      <c r="F690">
        <v>93102013</v>
      </c>
      <c r="G690">
        <v>0</v>
      </c>
      <c r="L690" t="s">
        <v>8</v>
      </c>
      <c r="M690" t="s">
        <v>7</v>
      </c>
      <c r="N690" t="s">
        <v>7</v>
      </c>
      <c r="P690">
        <f t="shared" si="994"/>
        <v>0.6846846846846848</v>
      </c>
      <c r="Q690">
        <f t="shared" si="995"/>
        <v>63745522.414414428</v>
      </c>
      <c r="R690">
        <f t="shared" si="996"/>
        <v>-312873501.59526402</v>
      </c>
      <c r="S690">
        <f t="shared" si="997"/>
        <v>-3128.73501595264</v>
      </c>
      <c r="T690">
        <f t="shared" si="998"/>
        <v>-3.1287350159526399</v>
      </c>
    </row>
    <row r="691" spans="1:20" x14ac:dyDescent="0.25">
      <c r="A691" s="5">
        <v>43902</v>
      </c>
      <c r="B691">
        <v>8.92E-4</v>
      </c>
      <c r="C691">
        <v>9.1699999999999995E-4</v>
      </c>
      <c r="D691">
        <v>3.8900000000000002E-4</v>
      </c>
      <c r="E691">
        <v>4.6700000000000002E-4</v>
      </c>
      <c r="F691">
        <v>162993842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-0.70454545454545447</v>
      </c>
      <c r="Q691">
        <f t="shared" si="995"/>
        <v>-114836570.49999999</v>
      </c>
      <c r="R691">
        <f t="shared" si="996"/>
        <v>-376619024.00967842</v>
      </c>
      <c r="S691">
        <f t="shared" si="997"/>
        <v>-3766.1902400967842</v>
      </c>
      <c r="T691">
        <f t="shared" si="998"/>
        <v>-3.7661902400967842</v>
      </c>
    </row>
    <row r="692" spans="1:20" x14ac:dyDescent="0.25">
      <c r="A692" s="5">
        <v>43901</v>
      </c>
      <c r="B692">
        <v>9.4700000000000003E-4</v>
      </c>
      <c r="C692">
        <v>9.9400000000000009E-4</v>
      </c>
      <c r="D692">
        <v>8.3299999999999997E-4</v>
      </c>
      <c r="E692">
        <v>8.92E-4</v>
      </c>
      <c r="F692">
        <v>68237031</v>
      </c>
      <c r="G692">
        <v>0</v>
      </c>
      <c r="L692" t="s">
        <v>8</v>
      </c>
      <c r="M692" t="s">
        <v>7</v>
      </c>
      <c r="N692" t="s">
        <v>7</v>
      </c>
      <c r="P692">
        <f t="shared" si="994"/>
        <v>-0.26708074534161513</v>
      </c>
      <c r="Q692">
        <f t="shared" si="995"/>
        <v>-18224797.099378899</v>
      </c>
      <c r="R692">
        <f t="shared" si="996"/>
        <v>-261782453.50967842</v>
      </c>
      <c r="S692">
        <f t="shared" si="997"/>
        <v>-2617.8245350967841</v>
      </c>
      <c r="T692">
        <f t="shared" si="998"/>
        <v>-2.6178245350967839</v>
      </c>
    </row>
    <row r="693" spans="1:20" x14ac:dyDescent="0.25">
      <c r="A693" s="5">
        <v>43900</v>
      </c>
      <c r="B693">
        <v>9.2699999999999998E-4</v>
      </c>
      <c r="C693">
        <v>9.7400000000000004E-4</v>
      </c>
      <c r="D693">
        <v>9.0499999999999999E-4</v>
      </c>
      <c r="E693">
        <v>9.5E-4</v>
      </c>
      <c r="F693">
        <v>35180364</v>
      </c>
      <c r="G693">
        <v>0</v>
      </c>
      <c r="L693" t="s">
        <v>7</v>
      </c>
      <c r="M693" t="s">
        <v>7</v>
      </c>
      <c r="N693" t="s">
        <v>7</v>
      </c>
      <c r="P693">
        <f t="shared" si="994"/>
        <v>0.30434782608695582</v>
      </c>
      <c r="Q693">
        <f t="shared" si="995"/>
        <v>10707067.304347802</v>
      </c>
      <c r="R693">
        <f t="shared" si="996"/>
        <v>-243557656.41029951</v>
      </c>
      <c r="S693">
        <f t="shared" si="997"/>
        <v>-2435.5765641029952</v>
      </c>
      <c r="T693">
        <f t="shared" si="998"/>
        <v>-2.4355765641029952</v>
      </c>
    </row>
    <row r="694" spans="1:20" x14ac:dyDescent="0.25">
      <c r="A694" s="5">
        <v>43899</v>
      </c>
      <c r="B694">
        <v>9.1399999999999999E-4</v>
      </c>
      <c r="C694">
        <v>9.5299999999999996E-4</v>
      </c>
      <c r="D694">
        <v>8.7100000000000003E-4</v>
      </c>
      <c r="E694">
        <v>9.2500000000000004E-4</v>
      </c>
      <c r="F694">
        <v>66423843</v>
      </c>
      <c r="G694">
        <v>0</v>
      </c>
      <c r="L694" t="s">
        <v>8</v>
      </c>
      <c r="M694" t="s">
        <v>7</v>
      </c>
      <c r="N694" t="s">
        <v>7</v>
      </c>
      <c r="P694">
        <f t="shared" si="994"/>
        <v>0.31707317073170865</v>
      </c>
      <c r="Q694">
        <f t="shared" si="995"/>
        <v>21061218.512195211</v>
      </c>
      <c r="R694">
        <f t="shared" si="996"/>
        <v>-254264723.71464732</v>
      </c>
      <c r="S694">
        <f t="shared" si="997"/>
        <v>-2542.6472371464733</v>
      </c>
      <c r="T694">
        <f t="shared" si="998"/>
        <v>-2.5426472371464732</v>
      </c>
    </row>
    <row r="695" spans="1:20" x14ac:dyDescent="0.25">
      <c r="A695" s="5">
        <v>43898</v>
      </c>
      <c r="B695">
        <v>1.0549999999999999E-3</v>
      </c>
      <c r="C695">
        <v>1.0549999999999999E-3</v>
      </c>
      <c r="D695">
        <v>8.9599999999999999E-4</v>
      </c>
      <c r="E695">
        <v>9.01E-4</v>
      </c>
      <c r="F695">
        <v>33532888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-0.9371069182389935</v>
      </c>
      <c r="Q695">
        <f t="shared" si="995"/>
        <v>-31423901.333333325</v>
      </c>
      <c r="R695">
        <f t="shared" si="996"/>
        <v>-275325942.22684252</v>
      </c>
      <c r="S695">
        <f t="shared" si="997"/>
        <v>-2753.2594222684252</v>
      </c>
      <c r="T695">
        <f t="shared" si="998"/>
        <v>-2.753259422268425</v>
      </c>
    </row>
    <row r="696" spans="1:20" x14ac:dyDescent="0.25">
      <c r="A696" s="5">
        <v>43897</v>
      </c>
      <c r="B696">
        <v>1.101E-3</v>
      </c>
      <c r="C696">
        <v>1.1050000000000001E-3</v>
      </c>
      <c r="D696">
        <v>1.0510000000000001E-3</v>
      </c>
      <c r="E696">
        <v>1.062E-3</v>
      </c>
      <c r="F696">
        <v>24905112</v>
      </c>
      <c r="G696">
        <v>0</v>
      </c>
      <c r="L696" t="s">
        <v>7</v>
      </c>
      <c r="M696" t="s">
        <v>7</v>
      </c>
      <c r="N696" t="s">
        <v>8</v>
      </c>
      <c r="P696">
        <f t="shared" si="994"/>
        <v>-0.59259259259259478</v>
      </c>
      <c r="Q696">
        <f t="shared" si="995"/>
        <v>-14758584.888888944</v>
      </c>
      <c r="R696">
        <f t="shared" si="996"/>
        <v>-243902040.89350918</v>
      </c>
      <c r="S696">
        <f t="shared" si="997"/>
        <v>-2439.0204089350918</v>
      </c>
      <c r="T696">
        <f t="shared" si="998"/>
        <v>-2.4390204089350918</v>
      </c>
    </row>
    <row r="697" spans="1:20" x14ac:dyDescent="0.25">
      <c r="A697" s="5">
        <v>43896</v>
      </c>
      <c r="B697">
        <v>1.1479999999999999E-3</v>
      </c>
      <c r="C697">
        <v>1.1590000000000001E-3</v>
      </c>
      <c r="D697">
        <v>1.0640000000000001E-3</v>
      </c>
      <c r="E697">
        <v>1.116E-3</v>
      </c>
      <c r="F697">
        <v>85827258</v>
      </c>
      <c r="G697">
        <v>0</v>
      </c>
      <c r="L697" t="s">
        <v>7</v>
      </c>
      <c r="M697" t="s">
        <v>7</v>
      </c>
      <c r="N697" t="s">
        <v>8</v>
      </c>
      <c r="P697">
        <f t="shared" si="994"/>
        <v>9.4736842105262009E-2</v>
      </c>
      <c r="Q697">
        <f t="shared" si="995"/>
        <v>8131003.3894735854</v>
      </c>
      <c r="R697">
        <f t="shared" si="996"/>
        <v>-229143456.00462022</v>
      </c>
      <c r="S697">
        <f t="shared" si="997"/>
        <v>-2291.434560046202</v>
      </c>
      <c r="T697">
        <f t="shared" si="998"/>
        <v>-2.2914345600462021</v>
      </c>
    </row>
    <row r="698" spans="1:20" x14ac:dyDescent="0.25">
      <c r="A698" s="5">
        <v>43895</v>
      </c>
      <c r="B698">
        <v>1.14E-3</v>
      </c>
      <c r="C698">
        <v>1.276E-3</v>
      </c>
      <c r="D698">
        <v>1.098E-3</v>
      </c>
      <c r="E698">
        <v>1.147E-3</v>
      </c>
      <c r="F698">
        <v>95683775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-0.449438202247191</v>
      </c>
      <c r="Q698">
        <f t="shared" si="995"/>
        <v>-43003943.820224717</v>
      </c>
      <c r="R698">
        <f t="shared" si="996"/>
        <v>-237274459.39409381</v>
      </c>
      <c r="S698">
        <f t="shared" si="997"/>
        <v>-2372.7445939409381</v>
      </c>
      <c r="T698">
        <f t="shared" si="998"/>
        <v>-2.3727445939409382</v>
      </c>
    </row>
    <row r="699" spans="1:20" x14ac:dyDescent="0.25">
      <c r="A699" s="5">
        <v>43894</v>
      </c>
      <c r="B699">
        <v>9.7099999999999997E-4</v>
      </c>
      <c r="C699">
        <v>1.1609999999999999E-3</v>
      </c>
      <c r="D699">
        <v>9.6199999999999996E-4</v>
      </c>
      <c r="E699">
        <v>1.1410000000000001E-3</v>
      </c>
      <c r="F699">
        <v>386930171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0.79899497487437343</v>
      </c>
      <c r="Q699">
        <f t="shared" si="995"/>
        <v>309155262.25628203</v>
      </c>
      <c r="R699">
        <f t="shared" si="996"/>
        <v>-194270515.57386911</v>
      </c>
      <c r="S699">
        <f t="shared" si="997"/>
        <v>-1942.705155738691</v>
      </c>
      <c r="T699">
        <f t="shared" si="998"/>
        <v>-1.942705155738691</v>
      </c>
    </row>
    <row r="700" spans="1:20" x14ac:dyDescent="0.25">
      <c r="A700" s="5">
        <v>43893</v>
      </c>
      <c r="B700">
        <v>9.5299999999999996E-4</v>
      </c>
      <c r="C700">
        <v>9.8700000000000003E-4</v>
      </c>
      <c r="D700">
        <v>9.3099999999999997E-4</v>
      </c>
      <c r="E700">
        <v>9.7400000000000004E-4</v>
      </c>
      <c r="F700">
        <v>41785267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0.53571428571428659</v>
      </c>
      <c r="Q700">
        <f t="shared" si="995"/>
        <v>22384964.46428575</v>
      </c>
      <c r="R700">
        <f t="shared" si="996"/>
        <v>-503425777.83015114</v>
      </c>
      <c r="S700">
        <f t="shared" si="997"/>
        <v>-5034.2577783015113</v>
      </c>
      <c r="T700">
        <f t="shared" si="998"/>
        <v>-5.0342577783015114</v>
      </c>
    </row>
    <row r="701" spans="1:20" x14ac:dyDescent="0.25">
      <c r="A701" s="5">
        <v>43892</v>
      </c>
      <c r="B701">
        <v>8.7299999999999997E-4</v>
      </c>
      <c r="C701">
        <v>9.8700000000000003E-4</v>
      </c>
      <c r="D701">
        <v>8.6200000000000003E-4</v>
      </c>
      <c r="E701">
        <v>9.7400000000000004E-4</v>
      </c>
      <c r="F701">
        <v>81421777</v>
      </c>
      <c r="G701">
        <v>0</v>
      </c>
      <c r="L701" t="s">
        <v>7</v>
      </c>
      <c r="M701" t="s">
        <v>8</v>
      </c>
      <c r="N701" t="s">
        <v>7</v>
      </c>
      <c r="P701">
        <f t="shared" si="994"/>
        <v>0.79200000000000015</v>
      </c>
      <c r="Q701">
        <f t="shared" si="995"/>
        <v>64486047.384000011</v>
      </c>
      <c r="R701">
        <f t="shared" si="996"/>
        <v>-525810742.29443687</v>
      </c>
      <c r="S701">
        <f t="shared" si="997"/>
        <v>-5258.1074229443684</v>
      </c>
      <c r="T701">
        <f t="shared" si="998"/>
        <v>-5.2581074229443683</v>
      </c>
    </row>
    <row r="702" spans="1:20" x14ac:dyDescent="0.25">
      <c r="A702" s="5">
        <v>43891</v>
      </c>
      <c r="B702">
        <v>8.9599999999999999E-4</v>
      </c>
      <c r="C702">
        <v>9.1200000000000005E-4</v>
      </c>
      <c r="D702">
        <v>8.5999999999999998E-4</v>
      </c>
      <c r="E702">
        <v>8.7100000000000003E-4</v>
      </c>
      <c r="F702">
        <v>25828102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-0.57692307692307554</v>
      </c>
      <c r="Q702">
        <f t="shared" si="995"/>
        <v>-14900828.076923041</v>
      </c>
      <c r="R702">
        <f t="shared" si="996"/>
        <v>-590296789.67843688</v>
      </c>
      <c r="S702">
        <f t="shared" si="997"/>
        <v>-5902.9678967843683</v>
      </c>
      <c r="T702">
        <f t="shared" si="998"/>
        <v>-5.902967896784368</v>
      </c>
    </row>
    <row r="703" spans="1:20" x14ac:dyDescent="0.25">
      <c r="A703" s="5">
        <v>43890</v>
      </c>
      <c r="B703">
        <v>8.9999999999999998E-4</v>
      </c>
      <c r="C703">
        <v>9.1500000000000001E-4</v>
      </c>
      <c r="D703">
        <v>8.6399999999999997E-4</v>
      </c>
      <c r="E703">
        <v>8.8000000000000003E-4</v>
      </c>
      <c r="F703">
        <v>39871973</v>
      </c>
      <c r="G703">
        <v>0</v>
      </c>
      <c r="L703" t="s">
        <v>7</v>
      </c>
      <c r="M703" t="s">
        <v>8</v>
      </c>
      <c r="N703" t="s">
        <v>7</v>
      </c>
      <c r="P703">
        <f t="shared" si="994"/>
        <v>-0.3725490196078412</v>
      </c>
      <c r="Q703">
        <f t="shared" si="995"/>
        <v>-14854264.450980315</v>
      </c>
      <c r="R703">
        <f t="shared" si="996"/>
        <v>-575395961.60151386</v>
      </c>
      <c r="S703">
        <f t="shared" si="997"/>
        <v>-5753.9596160151386</v>
      </c>
      <c r="T703">
        <f t="shared" si="998"/>
        <v>-5.7539596160151385</v>
      </c>
    </row>
    <row r="704" spans="1:20" x14ac:dyDescent="0.25">
      <c r="A704" s="5">
        <v>43889</v>
      </c>
      <c r="B704">
        <v>9.5100000000000002E-4</v>
      </c>
      <c r="C704">
        <v>1E-3</v>
      </c>
      <c r="D704">
        <v>8.5999999999999998E-4</v>
      </c>
      <c r="E704">
        <v>9.0399999999999996E-4</v>
      </c>
      <c r="F704">
        <v>183151432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-0.37142857142857183</v>
      </c>
      <c r="Q704">
        <f t="shared" si="995"/>
        <v>-68027674.742857218</v>
      </c>
      <c r="R704">
        <f t="shared" si="996"/>
        <v>-560541697.15053356</v>
      </c>
      <c r="S704">
        <f t="shared" si="997"/>
        <v>-5605.4169715053358</v>
      </c>
      <c r="T704">
        <f t="shared" si="998"/>
        <v>-5.6054169715053357</v>
      </c>
    </row>
    <row r="705" spans="1:20" x14ac:dyDescent="0.25">
      <c r="A705" s="5">
        <v>43888</v>
      </c>
      <c r="B705">
        <v>8.2700000000000004E-4</v>
      </c>
      <c r="C705">
        <v>9.8799999999999995E-4</v>
      </c>
      <c r="D705">
        <v>8.1300000000000003E-4</v>
      </c>
      <c r="E705">
        <v>9.5100000000000002E-4</v>
      </c>
      <c r="F705">
        <v>152008257</v>
      </c>
      <c r="G705">
        <v>0</v>
      </c>
      <c r="L705" t="s">
        <v>7</v>
      </c>
      <c r="M705" t="s">
        <v>8</v>
      </c>
      <c r="N705" t="s">
        <v>7</v>
      </c>
      <c r="P705">
        <f t="shared" si="994"/>
        <v>0.57714285714285785</v>
      </c>
      <c r="Q705">
        <f t="shared" si="995"/>
        <v>87730479.754285827</v>
      </c>
      <c r="R705">
        <f t="shared" si="996"/>
        <v>-492514022.40767634</v>
      </c>
      <c r="S705">
        <f t="shared" si="997"/>
        <v>-4925.1402240767638</v>
      </c>
      <c r="T705">
        <f t="shared" si="998"/>
        <v>-4.9251402240767641</v>
      </c>
    </row>
    <row r="706" spans="1:20" x14ac:dyDescent="0.25">
      <c r="A706" s="5">
        <v>43887</v>
      </c>
      <c r="B706">
        <v>9.4700000000000003E-4</v>
      </c>
      <c r="C706">
        <v>9.5E-4</v>
      </c>
      <c r="D706">
        <v>7.9299999999999998E-4</v>
      </c>
      <c r="E706">
        <v>8.4699999999999999E-4</v>
      </c>
      <c r="F706">
        <v>85384642</v>
      </c>
      <c r="G706">
        <v>0</v>
      </c>
      <c r="L706" t="s">
        <v>8</v>
      </c>
      <c r="M706" t="s">
        <v>7</v>
      </c>
      <c r="N706" t="s">
        <v>7</v>
      </c>
      <c r="P706">
        <f t="shared" si="994"/>
        <v>-0.31210191082802541</v>
      </c>
      <c r="Q706">
        <f t="shared" si="995"/>
        <v>-26648709.923566874</v>
      </c>
      <c r="R706">
        <f t="shared" si="996"/>
        <v>-580244502.16196215</v>
      </c>
      <c r="S706">
        <f t="shared" si="997"/>
        <v>-5802.4450216196219</v>
      </c>
      <c r="T706">
        <f t="shared" si="998"/>
        <v>-5.8024450216196222</v>
      </c>
    </row>
    <row r="707" spans="1:20" x14ac:dyDescent="0.25">
      <c r="A707" s="5">
        <v>43886</v>
      </c>
      <c r="B707">
        <v>1.0380000000000001E-3</v>
      </c>
      <c r="C707">
        <v>1.0460000000000001E-3</v>
      </c>
      <c r="D707">
        <v>9.2599999999999996E-4</v>
      </c>
      <c r="E707">
        <v>9.3999999999999997E-4</v>
      </c>
      <c r="F707">
        <v>78172183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-0.76666666666666661</v>
      </c>
      <c r="Q707">
        <f t="shared" si="995"/>
        <v>-59932006.966666661</v>
      </c>
      <c r="R707">
        <f t="shared" si="996"/>
        <v>-553595792.23839533</v>
      </c>
      <c r="S707">
        <f t="shared" si="997"/>
        <v>-5535.9579223839537</v>
      </c>
      <c r="T707">
        <f t="shared" si="998"/>
        <v>-5.5359579223839539</v>
      </c>
    </row>
    <row r="708" spans="1:20" x14ac:dyDescent="0.25">
      <c r="A708" s="5">
        <v>43885</v>
      </c>
      <c r="B708">
        <v>1.137E-3</v>
      </c>
      <c r="C708">
        <v>1.137E-3</v>
      </c>
      <c r="D708">
        <v>1.031E-3</v>
      </c>
      <c r="E708">
        <v>1.0380000000000001E-3</v>
      </c>
      <c r="F708">
        <v>99088551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-0.8679245283018856</v>
      </c>
      <c r="Q708">
        <f t="shared" si="995"/>
        <v>-86001383.886792332</v>
      </c>
      <c r="R708">
        <f t="shared" si="996"/>
        <v>-493663785.27172863</v>
      </c>
      <c r="S708">
        <f t="shared" si="997"/>
        <v>-4936.6378527172865</v>
      </c>
      <c r="T708">
        <f t="shared" si="998"/>
        <v>-4.9366378527172863</v>
      </c>
    </row>
    <row r="709" spans="1:20" x14ac:dyDescent="0.25">
      <c r="A709" s="5">
        <v>43884</v>
      </c>
      <c r="B709">
        <v>1.06E-3</v>
      </c>
      <c r="C709">
        <v>1.1529999999999999E-3</v>
      </c>
      <c r="D709">
        <v>1.0139999999999999E-3</v>
      </c>
      <c r="E709">
        <v>1.1360000000000001E-3</v>
      </c>
      <c r="F709">
        <v>74671468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0.75539568345323926</v>
      </c>
      <c r="Q709">
        <f t="shared" si="995"/>
        <v>56406504.604316682</v>
      </c>
      <c r="R709">
        <f t="shared" si="996"/>
        <v>-407662401.38493633</v>
      </c>
      <c r="S709">
        <f t="shared" si="997"/>
        <v>-4076.6240138493631</v>
      </c>
      <c r="T709">
        <f t="shared" si="998"/>
        <v>-4.0766240138493632</v>
      </c>
    </row>
    <row r="710" spans="1:20" x14ac:dyDescent="0.25">
      <c r="A710" s="5">
        <v>43883</v>
      </c>
      <c r="B710">
        <v>1.0920000000000001E-3</v>
      </c>
      <c r="C710">
        <v>1.129E-3</v>
      </c>
      <c r="D710">
        <v>1.0120000000000001E-3</v>
      </c>
      <c r="E710">
        <v>1.06E-3</v>
      </c>
      <c r="F710">
        <v>96519506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-0.17948717948718121</v>
      </c>
      <c r="Q710">
        <f t="shared" ref="Q710:Q766" si="1000">F710*P710</f>
        <v>-17324013.897436064</v>
      </c>
      <c r="R710">
        <f t="shared" ref="R710:R766" si="1001">R711+Q710</f>
        <v>-464068905.98925298</v>
      </c>
      <c r="S710">
        <f t="shared" ref="S710:S766" si="1002">R710/100000</f>
        <v>-4640.6890598925302</v>
      </c>
      <c r="T710">
        <f t="shared" ref="T710:T766" si="1003">S710/1000</f>
        <v>-4.6406890598925301</v>
      </c>
    </row>
    <row r="711" spans="1:20" x14ac:dyDescent="0.25">
      <c r="A711" s="5">
        <v>43882</v>
      </c>
      <c r="B711">
        <v>1.0640000000000001E-3</v>
      </c>
      <c r="C711">
        <v>1.1249999999999999E-3</v>
      </c>
      <c r="D711">
        <v>1.06E-3</v>
      </c>
      <c r="E711">
        <v>1.09E-3</v>
      </c>
      <c r="F711">
        <v>79897265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-7.6923076923073846E-2</v>
      </c>
      <c r="Q711">
        <f t="shared" si="1000"/>
        <v>-6145943.4615382161</v>
      </c>
      <c r="R711">
        <f t="shared" si="1001"/>
        <v>-446744892.0918169</v>
      </c>
      <c r="S711">
        <f t="shared" si="1002"/>
        <v>-4467.4489209181693</v>
      </c>
      <c r="T711">
        <f t="shared" si="1003"/>
        <v>-4.4674489209181694</v>
      </c>
    </row>
    <row r="712" spans="1:20" x14ac:dyDescent="0.25">
      <c r="A712" s="5">
        <v>43881</v>
      </c>
      <c r="B712">
        <v>1.078E-3</v>
      </c>
      <c r="C712">
        <v>1.116E-3</v>
      </c>
      <c r="D712">
        <v>1.031E-3</v>
      </c>
      <c r="E712">
        <v>1.073E-3</v>
      </c>
      <c r="F712">
        <v>94642147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-1.1764705882354502E-2</v>
      </c>
      <c r="Q712">
        <f t="shared" si="1000"/>
        <v>-1113437.0235295596</v>
      </c>
      <c r="R712">
        <f t="shared" si="1001"/>
        <v>-440598948.63027871</v>
      </c>
      <c r="S712">
        <f t="shared" si="1002"/>
        <v>-4405.9894863027866</v>
      </c>
      <c r="T712">
        <f t="shared" si="1003"/>
        <v>-4.4059894863027864</v>
      </c>
    </row>
    <row r="713" spans="1:20" x14ac:dyDescent="0.25">
      <c r="A713" s="5">
        <v>43880</v>
      </c>
      <c r="B713">
        <v>1.263E-3</v>
      </c>
      <c r="C713">
        <v>1.289E-3</v>
      </c>
      <c r="D713">
        <v>1.0660000000000001E-3</v>
      </c>
      <c r="E713">
        <v>1.078E-3</v>
      </c>
      <c r="F713">
        <v>139438063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-0.89237668161435102</v>
      </c>
      <c r="Q713">
        <f t="shared" si="1000"/>
        <v>-124431275.95067282</v>
      </c>
      <c r="R713">
        <f t="shared" si="1001"/>
        <v>-439485511.60674912</v>
      </c>
      <c r="S713">
        <f t="shared" si="1002"/>
        <v>-4394.8551160674915</v>
      </c>
      <c r="T713">
        <f t="shared" si="1003"/>
        <v>-4.3948551160674914</v>
      </c>
    </row>
    <row r="714" spans="1:20" x14ac:dyDescent="0.25">
      <c r="A714" s="5">
        <v>43879</v>
      </c>
      <c r="B714">
        <v>1.224E-3</v>
      </c>
      <c r="C714">
        <v>1.299E-3</v>
      </c>
      <c r="D714">
        <v>1.1299999999999999E-3</v>
      </c>
      <c r="E714">
        <v>1.276E-3</v>
      </c>
      <c r="F714">
        <v>148926904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0.72781065088757391</v>
      </c>
      <c r="Q714">
        <f t="shared" si="1000"/>
        <v>108390586.93491124</v>
      </c>
      <c r="R714">
        <f t="shared" si="1001"/>
        <v>-315054235.65607631</v>
      </c>
      <c r="S714">
        <f t="shared" si="1002"/>
        <v>-3150.542356560763</v>
      </c>
      <c r="T714">
        <f t="shared" si="1003"/>
        <v>-3.1505423565607629</v>
      </c>
    </row>
    <row r="715" spans="1:20" x14ac:dyDescent="0.25">
      <c r="A715" s="5">
        <v>43878</v>
      </c>
      <c r="B715">
        <v>1.1310000000000001E-3</v>
      </c>
      <c r="C715">
        <v>1.333E-3</v>
      </c>
      <c r="D715">
        <v>1.0300000000000001E-3</v>
      </c>
      <c r="E715">
        <v>1.225E-3</v>
      </c>
      <c r="F715">
        <v>285116912</v>
      </c>
      <c r="G715">
        <v>0</v>
      </c>
      <c r="L715" t="s">
        <v>8</v>
      </c>
      <c r="M715" t="s">
        <v>8</v>
      </c>
      <c r="N715" t="s">
        <v>8</v>
      </c>
      <c r="P715">
        <f t="shared" si="999"/>
        <v>0.28712871287128672</v>
      </c>
      <c r="Q715">
        <f t="shared" si="1000"/>
        <v>81865251.960395917</v>
      </c>
      <c r="R715">
        <f t="shared" si="1001"/>
        <v>-423444822.59098756</v>
      </c>
      <c r="S715">
        <f t="shared" si="1002"/>
        <v>-4234.4482259098759</v>
      </c>
      <c r="T715">
        <f t="shared" si="1003"/>
        <v>-4.2344482259098761</v>
      </c>
    </row>
    <row r="716" spans="1:20" x14ac:dyDescent="0.25">
      <c r="A716" s="5">
        <v>43877</v>
      </c>
      <c r="B716">
        <v>1.109E-3</v>
      </c>
      <c r="C716">
        <v>1.2999999999999999E-3</v>
      </c>
      <c r="D716">
        <v>1.008E-3</v>
      </c>
      <c r="E716">
        <v>1.1249999999999999E-3</v>
      </c>
      <c r="F716">
        <v>402260477</v>
      </c>
      <c r="G716">
        <v>0</v>
      </c>
      <c r="L716" t="s">
        <v>8</v>
      </c>
      <c r="M716" t="s">
        <v>8</v>
      </c>
      <c r="N716" t="s">
        <v>8</v>
      </c>
      <c r="P716">
        <f t="shared" si="999"/>
        <v>-0.19863013698630178</v>
      </c>
      <c r="Q716">
        <f t="shared" si="1000"/>
        <v>-79901053.650685102</v>
      </c>
      <c r="R716">
        <f t="shared" si="1001"/>
        <v>-505310074.5513835</v>
      </c>
      <c r="S716">
        <f t="shared" si="1002"/>
        <v>-5053.1007455138351</v>
      </c>
      <c r="T716">
        <f t="shared" si="1003"/>
        <v>-5.0531007455138353</v>
      </c>
    </row>
    <row r="717" spans="1:20" x14ac:dyDescent="0.25">
      <c r="A717" s="5">
        <v>43876</v>
      </c>
      <c r="B717">
        <v>1.196E-3</v>
      </c>
      <c r="C717">
        <v>1.224E-3</v>
      </c>
      <c r="D717">
        <v>1.072E-3</v>
      </c>
      <c r="E717">
        <v>1.1069999999999999E-3</v>
      </c>
      <c r="F717">
        <v>182993647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-0.53947368421052799</v>
      </c>
      <c r="Q717">
        <f t="shared" si="1000"/>
        <v>-98720256.934210837</v>
      </c>
      <c r="R717">
        <f t="shared" si="1001"/>
        <v>-425409020.90069836</v>
      </c>
      <c r="S717">
        <f t="shared" si="1002"/>
        <v>-4254.090209006984</v>
      </c>
      <c r="T717">
        <f t="shared" si="1003"/>
        <v>-4.2540902090069839</v>
      </c>
    </row>
    <row r="718" spans="1:20" x14ac:dyDescent="0.25">
      <c r="A718" s="5">
        <v>43875</v>
      </c>
      <c r="B718">
        <v>1.0330000000000001E-3</v>
      </c>
      <c r="C718">
        <v>1.201E-3</v>
      </c>
      <c r="D718">
        <v>1.0150000000000001E-3</v>
      </c>
      <c r="E718">
        <v>1.1800000000000001E-3</v>
      </c>
      <c r="F718">
        <v>184572756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0.77419354838709709</v>
      </c>
      <c r="Q718">
        <f t="shared" si="1000"/>
        <v>142895036.90322587</v>
      </c>
      <c r="R718">
        <f t="shared" si="1001"/>
        <v>-326688763.96648753</v>
      </c>
      <c r="S718">
        <f t="shared" si="1002"/>
        <v>-3266.8876396648752</v>
      </c>
      <c r="T718">
        <f t="shared" si="1003"/>
        <v>-3.2668876396648754</v>
      </c>
    </row>
    <row r="719" spans="1:20" x14ac:dyDescent="0.25">
      <c r="A719" s="5">
        <v>43874</v>
      </c>
      <c r="B719">
        <v>1.0399999999999999E-3</v>
      </c>
      <c r="C719">
        <v>1.08E-3</v>
      </c>
      <c r="D719">
        <v>9.9799999999999997E-4</v>
      </c>
      <c r="E719">
        <v>1.0430000000000001E-3</v>
      </c>
      <c r="F719">
        <v>226022015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9.7560975609758419E-2</v>
      </c>
      <c r="Q719">
        <f t="shared" si="1000"/>
        <v>22050928.292683452</v>
      </c>
      <c r="R719">
        <f t="shared" si="1001"/>
        <v>-469583800.86971343</v>
      </c>
      <c r="S719">
        <f t="shared" si="1002"/>
        <v>-4695.8380086971347</v>
      </c>
      <c r="T719">
        <f t="shared" si="1003"/>
        <v>-4.6958380086971347</v>
      </c>
    </row>
    <row r="720" spans="1:20" x14ac:dyDescent="0.25">
      <c r="A720" s="5">
        <v>43873</v>
      </c>
      <c r="B720">
        <v>1.0120000000000001E-3</v>
      </c>
      <c r="C720">
        <v>1.0870000000000001E-3</v>
      </c>
      <c r="D720">
        <v>9.5299999999999996E-4</v>
      </c>
      <c r="E720">
        <v>1.034E-3</v>
      </c>
      <c r="F720">
        <v>325165694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0.20895522388059626</v>
      </c>
      <c r="Q720">
        <f t="shared" si="1000"/>
        <v>67945070.388059452</v>
      </c>
      <c r="R720">
        <f t="shared" si="1001"/>
        <v>-491634729.16239685</v>
      </c>
      <c r="S720">
        <f t="shared" si="1002"/>
        <v>-4916.3472916239689</v>
      </c>
      <c r="T720">
        <f t="shared" si="1003"/>
        <v>-4.9163472916239686</v>
      </c>
    </row>
    <row r="721" spans="1:20" x14ac:dyDescent="0.25">
      <c r="A721" s="5">
        <v>43872</v>
      </c>
      <c r="B721">
        <v>9.8499999999999998E-4</v>
      </c>
      <c r="C721">
        <v>1.0499999999999999E-3</v>
      </c>
      <c r="D721">
        <v>9.7199999999999999E-4</v>
      </c>
      <c r="E721">
        <v>1.0120000000000001E-3</v>
      </c>
      <c r="F721">
        <v>121873789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2.5641025641029061E-2</v>
      </c>
      <c r="Q721">
        <f t="shared" si="1000"/>
        <v>3124968.9487183657</v>
      </c>
      <c r="R721">
        <f t="shared" si="1001"/>
        <v>-559579799.55045629</v>
      </c>
      <c r="S721">
        <f t="shared" si="1002"/>
        <v>-5595.797995504563</v>
      </c>
      <c r="T721">
        <f t="shared" si="1003"/>
        <v>-5.5957979955045634</v>
      </c>
    </row>
    <row r="722" spans="1:20" x14ac:dyDescent="0.25">
      <c r="A722" s="5">
        <v>43871</v>
      </c>
      <c r="B722">
        <v>1.0200000000000001E-3</v>
      </c>
      <c r="C722">
        <v>1.029E-3</v>
      </c>
      <c r="D722">
        <v>9.6100000000000005E-4</v>
      </c>
      <c r="E722">
        <v>9.8799999999999995E-4</v>
      </c>
      <c r="F722">
        <v>133142226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-0.20588235294117854</v>
      </c>
      <c r="Q722">
        <f t="shared" si="1000"/>
        <v>-27411634.764706157</v>
      </c>
      <c r="R722">
        <f t="shared" si="1001"/>
        <v>-562704768.49917459</v>
      </c>
      <c r="S722">
        <f t="shared" si="1002"/>
        <v>-5627.0476849917459</v>
      </c>
      <c r="T722">
        <f t="shared" si="1003"/>
        <v>-5.6270476849917461</v>
      </c>
    </row>
    <row r="723" spans="1:20" x14ac:dyDescent="0.25">
      <c r="A723" s="5">
        <v>43870</v>
      </c>
      <c r="B723">
        <v>9.990000000000001E-4</v>
      </c>
      <c r="C723">
        <v>1.065E-3</v>
      </c>
      <c r="D723">
        <v>9.9200000000000004E-4</v>
      </c>
      <c r="E723">
        <v>1.024E-3</v>
      </c>
      <c r="F723">
        <v>42153174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-0.12328767123287834</v>
      </c>
      <c r="Q723">
        <f t="shared" si="1000"/>
        <v>-5196966.6575343153</v>
      </c>
      <c r="R723">
        <f t="shared" si="1001"/>
        <v>-535293133.73446846</v>
      </c>
      <c r="S723">
        <f t="shared" si="1002"/>
        <v>-5352.9313373446848</v>
      </c>
      <c r="T723">
        <f t="shared" si="1003"/>
        <v>-5.3529313373446845</v>
      </c>
    </row>
    <row r="724" spans="1:20" x14ac:dyDescent="0.25">
      <c r="A724" s="5">
        <v>43869</v>
      </c>
      <c r="B724">
        <v>1.0020000000000001E-3</v>
      </c>
      <c r="C724">
        <v>1.029E-3</v>
      </c>
      <c r="D724">
        <v>9.7199999999999999E-4</v>
      </c>
      <c r="E724">
        <v>9.990000000000001E-4</v>
      </c>
      <c r="F724">
        <v>64822527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-5.2631578947364019E-2</v>
      </c>
      <c r="Q724">
        <f t="shared" si="1000"/>
        <v>-3411711.9473681357</v>
      </c>
      <c r="R724">
        <f t="shared" si="1001"/>
        <v>-530096167.07693416</v>
      </c>
      <c r="S724">
        <f t="shared" si="1002"/>
        <v>-5300.9616707693413</v>
      </c>
      <c r="T724">
        <f t="shared" si="1003"/>
        <v>-5.3009616707693414</v>
      </c>
    </row>
    <row r="725" spans="1:20" x14ac:dyDescent="0.25">
      <c r="A725" s="5">
        <v>43868</v>
      </c>
      <c r="B725">
        <v>1.0319999999999999E-3</v>
      </c>
      <c r="C725">
        <v>1.1199999999999999E-3</v>
      </c>
      <c r="D725">
        <v>9.6100000000000005E-4</v>
      </c>
      <c r="E725">
        <v>1.005E-3</v>
      </c>
      <c r="F725">
        <v>132260099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-0.44654088050314433</v>
      </c>
      <c r="Q725">
        <f t="shared" si="1000"/>
        <v>-59059541.06289304</v>
      </c>
      <c r="R725">
        <f t="shared" si="1001"/>
        <v>-526684455.12956601</v>
      </c>
      <c r="S725">
        <f t="shared" si="1002"/>
        <v>-5266.8445512956605</v>
      </c>
      <c r="T725">
        <f t="shared" si="1003"/>
        <v>-5.2668445512956605</v>
      </c>
    </row>
    <row r="726" spans="1:20" x14ac:dyDescent="0.25">
      <c r="A726" s="5">
        <v>43867</v>
      </c>
      <c r="B726">
        <v>9.6100000000000005E-4</v>
      </c>
      <c r="C726">
        <v>1.0369999999999999E-3</v>
      </c>
      <c r="D726">
        <v>9.1699999999999995E-4</v>
      </c>
      <c r="E726">
        <v>1.0200000000000001E-3</v>
      </c>
      <c r="F726">
        <v>208388712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0.71666666666666878</v>
      </c>
      <c r="Q726">
        <f t="shared" si="1000"/>
        <v>149345243.60000044</v>
      </c>
      <c r="R726">
        <f t="shared" si="1001"/>
        <v>-467624914.06667298</v>
      </c>
      <c r="S726">
        <f t="shared" si="1002"/>
        <v>-4676.2491406667295</v>
      </c>
      <c r="T726">
        <f t="shared" si="1003"/>
        <v>-4.6762491406667293</v>
      </c>
    </row>
    <row r="727" spans="1:20" x14ac:dyDescent="0.25">
      <c r="A727" s="5">
        <v>43866</v>
      </c>
      <c r="B727">
        <v>9.19E-4</v>
      </c>
      <c r="C727">
        <v>1.0059999999999999E-3</v>
      </c>
      <c r="D727">
        <v>8.6700000000000004E-4</v>
      </c>
      <c r="E727">
        <v>9.5799999999999998E-4</v>
      </c>
      <c r="F727">
        <v>262136985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0.30935251798561142</v>
      </c>
      <c r="Q727">
        <f t="shared" si="1000"/>
        <v>81092736.366906449</v>
      </c>
      <c r="R727">
        <f t="shared" si="1001"/>
        <v>-616970157.66667342</v>
      </c>
      <c r="S727">
        <f t="shared" si="1002"/>
        <v>-6169.7015766667346</v>
      </c>
      <c r="T727">
        <f t="shared" si="1003"/>
        <v>-6.1697015766667347</v>
      </c>
    </row>
    <row r="728" spans="1:20" x14ac:dyDescent="0.25">
      <c r="A728" s="5">
        <v>43865</v>
      </c>
      <c r="B728">
        <v>7.9299999999999998E-4</v>
      </c>
      <c r="C728">
        <v>9.3800000000000003E-4</v>
      </c>
      <c r="D728">
        <v>7.85E-4</v>
      </c>
      <c r="E728">
        <v>9.19E-4</v>
      </c>
      <c r="F728">
        <v>236245495</v>
      </c>
      <c r="G728">
        <v>0</v>
      </c>
      <c r="L728" t="s">
        <v>7</v>
      </c>
      <c r="M728" t="s">
        <v>8</v>
      </c>
      <c r="N728" t="s">
        <v>7</v>
      </c>
      <c r="P728">
        <f t="shared" si="999"/>
        <v>0.75163398692810424</v>
      </c>
      <c r="Q728">
        <f t="shared" si="1000"/>
        <v>177570143.30065352</v>
      </c>
      <c r="R728">
        <f t="shared" si="1001"/>
        <v>-698062894.03357983</v>
      </c>
      <c r="S728">
        <f t="shared" si="1002"/>
        <v>-6980.6289403357987</v>
      </c>
      <c r="T728">
        <f t="shared" si="1003"/>
        <v>-6.9806289403357988</v>
      </c>
    </row>
    <row r="729" spans="1:20" x14ac:dyDescent="0.25">
      <c r="A729" s="5">
        <v>43864</v>
      </c>
      <c r="B729">
        <v>7.7700000000000002E-4</v>
      </c>
      <c r="C729">
        <v>7.9900000000000001E-4</v>
      </c>
      <c r="D729">
        <v>7.7700000000000002E-4</v>
      </c>
      <c r="E729">
        <v>7.8700000000000005E-4</v>
      </c>
      <c r="F729">
        <v>58314122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-9.0909090909088219E-2</v>
      </c>
      <c r="Q729">
        <f t="shared" si="1000"/>
        <v>-5301283.818181661</v>
      </c>
      <c r="R729">
        <f t="shared" si="1001"/>
        <v>-875633037.3342334</v>
      </c>
      <c r="S729">
        <f t="shared" si="1002"/>
        <v>-8756.3303733423345</v>
      </c>
      <c r="T729">
        <f t="shared" si="1003"/>
        <v>-8.756330373342335</v>
      </c>
    </row>
    <row r="730" spans="1:20" x14ac:dyDescent="0.25">
      <c r="A730" s="5">
        <v>43863</v>
      </c>
      <c r="B730">
        <v>7.7300000000000003E-4</v>
      </c>
      <c r="C730">
        <v>8.1300000000000003E-4</v>
      </c>
      <c r="D730">
        <v>7.6999999999999996E-4</v>
      </c>
      <c r="E730">
        <v>7.7700000000000002E-4</v>
      </c>
      <c r="F730">
        <v>134280751</v>
      </c>
      <c r="G730">
        <v>0</v>
      </c>
      <c r="L730" t="s">
        <v>7</v>
      </c>
      <c r="M730" t="s">
        <v>7</v>
      </c>
      <c r="N730" t="s">
        <v>7</v>
      </c>
      <c r="P730">
        <f t="shared" si="999"/>
        <v>-0.67441860465116044</v>
      </c>
      <c r="Q730">
        <f t="shared" si="1000"/>
        <v>-90561436.720929921</v>
      </c>
      <c r="R730">
        <f t="shared" si="1001"/>
        <v>-870331753.51605177</v>
      </c>
      <c r="S730">
        <f t="shared" si="1002"/>
        <v>-8703.3175351605169</v>
      </c>
      <c r="T730">
        <f t="shared" si="1003"/>
        <v>-8.703317535160517</v>
      </c>
    </row>
    <row r="731" spans="1:20" x14ac:dyDescent="0.25">
      <c r="A731" s="5">
        <v>43862</v>
      </c>
      <c r="B731">
        <v>7.6000000000000004E-4</v>
      </c>
      <c r="C731">
        <v>7.8100000000000001E-4</v>
      </c>
      <c r="D731">
        <v>7.54E-4</v>
      </c>
      <c r="E731">
        <v>7.7200000000000001E-4</v>
      </c>
      <c r="F731">
        <v>39774346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0.33333333333333331</v>
      </c>
      <c r="Q731">
        <f t="shared" si="1000"/>
        <v>13258115.333333332</v>
      </c>
      <c r="R731">
        <f t="shared" si="1001"/>
        <v>-779770316.79512179</v>
      </c>
      <c r="S731">
        <f t="shared" si="1002"/>
        <v>-7797.7031679512174</v>
      </c>
      <c r="T731">
        <f t="shared" si="1003"/>
        <v>-7.7977031679512177</v>
      </c>
    </row>
    <row r="732" spans="1:20" x14ac:dyDescent="0.25">
      <c r="A732" s="5">
        <v>43861</v>
      </c>
      <c r="B732">
        <v>7.7499999999999997E-4</v>
      </c>
      <c r="C732">
        <v>7.7800000000000005E-4</v>
      </c>
      <c r="D732">
        <v>7.54E-4</v>
      </c>
      <c r="E732">
        <v>7.6199999999999998E-4</v>
      </c>
      <c r="F732">
        <v>50637066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-0.33333333333333637</v>
      </c>
      <c r="Q732">
        <f t="shared" si="1000"/>
        <v>-16879022.000000153</v>
      </c>
      <c r="R732">
        <f t="shared" si="1001"/>
        <v>-793028432.12845516</v>
      </c>
      <c r="S732">
        <f t="shared" si="1002"/>
        <v>-7930.2843212845519</v>
      </c>
      <c r="T732">
        <f t="shared" si="1003"/>
        <v>-7.9302843212845522</v>
      </c>
    </row>
    <row r="733" spans="1:20" x14ac:dyDescent="0.25">
      <c r="A733" s="5">
        <v>43860</v>
      </c>
      <c r="B733">
        <v>7.8399999999999997E-4</v>
      </c>
      <c r="C733">
        <v>7.8399999999999997E-4</v>
      </c>
      <c r="D733">
        <v>7.5600000000000005E-4</v>
      </c>
      <c r="E733">
        <v>7.6999999999999996E-4</v>
      </c>
      <c r="F733">
        <v>27497078</v>
      </c>
      <c r="G733">
        <v>0</v>
      </c>
      <c r="L733" t="s">
        <v>8</v>
      </c>
      <c r="M733" t="s">
        <v>7</v>
      </c>
      <c r="N733" t="s">
        <v>7</v>
      </c>
      <c r="P733">
        <f t="shared" si="999"/>
        <v>-3.8721506160196693E-15</v>
      </c>
      <c r="Q733">
        <f t="shared" si="1000"/>
        <v>-1.064728275164409E-7</v>
      </c>
      <c r="R733">
        <f t="shared" si="1001"/>
        <v>-776149410.12845504</v>
      </c>
      <c r="S733">
        <f t="shared" si="1002"/>
        <v>-7761.4941012845502</v>
      </c>
      <c r="T733">
        <f t="shared" si="1003"/>
        <v>-7.7614941012845504</v>
      </c>
    </row>
    <row r="734" spans="1:20" x14ac:dyDescent="0.25">
      <c r="A734" s="5">
        <v>43859</v>
      </c>
      <c r="B734">
        <v>8.0000000000000004E-4</v>
      </c>
      <c r="C734">
        <v>8.3199999999999995E-4</v>
      </c>
      <c r="D734">
        <v>7.6800000000000002E-4</v>
      </c>
      <c r="E734">
        <v>7.8399999999999997E-4</v>
      </c>
      <c r="F734">
        <v>69849496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-0.50000000000000089</v>
      </c>
      <c r="Q734">
        <f t="shared" si="1000"/>
        <v>-34924748.00000006</v>
      </c>
      <c r="R734">
        <f t="shared" si="1001"/>
        <v>-776149410.12845492</v>
      </c>
      <c r="S734">
        <f t="shared" si="1002"/>
        <v>-7761.4941012845493</v>
      </c>
      <c r="T734">
        <f t="shared" si="1003"/>
        <v>-7.7614941012845495</v>
      </c>
    </row>
    <row r="735" spans="1:20" x14ac:dyDescent="0.25">
      <c r="A735" s="5">
        <v>43858</v>
      </c>
      <c r="B735">
        <v>7.6900000000000004E-4</v>
      </c>
      <c r="C735">
        <v>8.1599999999999999E-4</v>
      </c>
      <c r="D735">
        <v>7.67E-4</v>
      </c>
      <c r="E735">
        <v>7.9299999999999998E-4</v>
      </c>
      <c r="F735">
        <v>84572858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6.1224489795917644E-2</v>
      </c>
      <c r="Q735">
        <f t="shared" si="1000"/>
        <v>5177930.0816325918</v>
      </c>
      <c r="R735">
        <f t="shared" si="1001"/>
        <v>-741224662.12845492</v>
      </c>
      <c r="S735">
        <f t="shared" si="1002"/>
        <v>-7412.2466212845493</v>
      </c>
      <c r="T735">
        <f t="shared" si="1003"/>
        <v>-7.4122466212845497</v>
      </c>
    </row>
    <row r="736" spans="1:20" x14ac:dyDescent="0.25">
      <c r="A736" s="5">
        <v>43857</v>
      </c>
      <c r="B736">
        <v>7.7399999999999995E-4</v>
      </c>
      <c r="C736">
        <v>8.1400000000000005E-4</v>
      </c>
      <c r="D736">
        <v>7.6199999999999998E-4</v>
      </c>
      <c r="E736">
        <v>7.7300000000000003E-4</v>
      </c>
      <c r="F736">
        <v>132490580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-0.57692307692307554</v>
      </c>
      <c r="Q736">
        <f t="shared" si="1000"/>
        <v>-76436873.076922894</v>
      </c>
      <c r="R736">
        <f t="shared" si="1001"/>
        <v>-746402592.21008754</v>
      </c>
      <c r="S736">
        <f t="shared" si="1002"/>
        <v>-7464.0259221008755</v>
      </c>
      <c r="T736">
        <f t="shared" si="1003"/>
        <v>-7.4640259221008751</v>
      </c>
    </row>
    <row r="737" spans="1:20" x14ac:dyDescent="0.25">
      <c r="A737" s="5">
        <v>43856</v>
      </c>
      <c r="B737">
        <v>7.7200000000000001E-4</v>
      </c>
      <c r="C737">
        <v>7.9199999999999995E-4</v>
      </c>
      <c r="D737">
        <v>7.5000000000000002E-4</v>
      </c>
      <c r="E737">
        <v>7.67E-4</v>
      </c>
      <c r="F737">
        <v>202068133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-0.19047619047619024</v>
      </c>
      <c r="Q737">
        <f t="shared" si="1000"/>
        <v>-38489168.190476142</v>
      </c>
      <c r="R737">
        <f t="shared" si="1001"/>
        <v>-669965719.13316464</v>
      </c>
      <c r="S737">
        <f t="shared" si="1002"/>
        <v>-6699.6571913316466</v>
      </c>
      <c r="T737">
        <f t="shared" si="1003"/>
        <v>-6.6996571913316467</v>
      </c>
    </row>
    <row r="738" spans="1:20" x14ac:dyDescent="0.25">
      <c r="A738" s="5">
        <v>43855</v>
      </c>
      <c r="B738">
        <v>8.0599999999999997E-4</v>
      </c>
      <c r="C738">
        <v>8.1700000000000002E-4</v>
      </c>
      <c r="D738">
        <v>7.6199999999999998E-4</v>
      </c>
      <c r="E738">
        <v>7.6800000000000002E-4</v>
      </c>
      <c r="F738">
        <v>49897263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-0.78181818181818064</v>
      </c>
      <c r="Q738">
        <f t="shared" si="1000"/>
        <v>-39010587.436363578</v>
      </c>
      <c r="R738">
        <f t="shared" si="1001"/>
        <v>-631476550.94268847</v>
      </c>
      <c r="S738">
        <f t="shared" si="1002"/>
        <v>-6314.7655094268848</v>
      </c>
      <c r="T738">
        <f t="shared" si="1003"/>
        <v>-6.3147655094268851</v>
      </c>
    </row>
    <row r="739" spans="1:20" x14ac:dyDescent="0.25">
      <c r="A739" s="5">
        <v>43854</v>
      </c>
      <c r="B739">
        <v>8.4000000000000003E-4</v>
      </c>
      <c r="C739">
        <v>8.4099999999999995E-4</v>
      </c>
      <c r="D739">
        <v>7.8399999999999997E-4</v>
      </c>
      <c r="E739">
        <v>8.0500000000000005E-4</v>
      </c>
      <c r="F739">
        <v>76194205</v>
      </c>
      <c r="G739">
        <v>0</v>
      </c>
      <c r="L739" t="s">
        <v>8</v>
      </c>
      <c r="M739" t="s">
        <v>7</v>
      </c>
      <c r="N739" t="s">
        <v>7</v>
      </c>
      <c r="P739">
        <f t="shared" si="999"/>
        <v>-0.26315789473683909</v>
      </c>
      <c r="Q739">
        <f t="shared" si="1000"/>
        <v>-20051106.578947138</v>
      </c>
      <c r="R739">
        <f t="shared" si="1001"/>
        <v>-592465963.50632489</v>
      </c>
      <c r="S739">
        <f t="shared" si="1002"/>
        <v>-5924.659635063249</v>
      </c>
      <c r="T739">
        <f t="shared" si="1003"/>
        <v>-5.9246596350632492</v>
      </c>
    </row>
    <row r="740" spans="1:20" x14ac:dyDescent="0.25">
      <c r="A740" s="5">
        <v>43853</v>
      </c>
      <c r="B740">
        <v>9.01E-4</v>
      </c>
      <c r="C740">
        <v>9.0899999999999998E-4</v>
      </c>
      <c r="D740">
        <v>8.25E-4</v>
      </c>
      <c r="E740">
        <v>8.34E-4</v>
      </c>
      <c r="F740">
        <v>21041454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-0.78571428571428559</v>
      </c>
      <c r="Q740">
        <f t="shared" si="1000"/>
        <v>-16532570.999999998</v>
      </c>
      <c r="R740">
        <f t="shared" si="1001"/>
        <v>-572414856.9273777</v>
      </c>
      <c r="S740">
        <f t="shared" si="1002"/>
        <v>-5724.148569273777</v>
      </c>
      <c r="T740">
        <f t="shared" si="1003"/>
        <v>-5.724148569273777</v>
      </c>
    </row>
    <row r="741" spans="1:20" x14ac:dyDescent="0.25">
      <c r="A741" s="5">
        <v>43852</v>
      </c>
      <c r="B741">
        <v>8.8999999999999995E-4</v>
      </c>
      <c r="C741">
        <v>9.0200000000000002E-4</v>
      </c>
      <c r="D741">
        <v>8.8000000000000003E-4</v>
      </c>
      <c r="E741">
        <v>9.0200000000000002E-4</v>
      </c>
      <c r="F741">
        <v>26202343</v>
      </c>
      <c r="G741">
        <v>0</v>
      </c>
      <c r="L741" t="s">
        <v>8</v>
      </c>
      <c r="M741" t="s">
        <v>7</v>
      </c>
      <c r="N741" t="s">
        <v>7</v>
      </c>
      <c r="P741">
        <f t="shared" si="999"/>
        <v>1</v>
      </c>
      <c r="Q741">
        <f t="shared" si="1000"/>
        <v>26202343</v>
      </c>
      <c r="R741">
        <f t="shared" si="1001"/>
        <v>-555882285.9273777</v>
      </c>
      <c r="S741">
        <f t="shared" si="1002"/>
        <v>-5558.8228592737769</v>
      </c>
      <c r="T741">
        <f t="shared" si="1003"/>
        <v>-5.5588228592737767</v>
      </c>
    </row>
    <row r="742" spans="1:20" x14ac:dyDescent="0.25">
      <c r="A742" s="5">
        <v>43851</v>
      </c>
      <c r="B742">
        <v>8.8900000000000003E-4</v>
      </c>
      <c r="C742">
        <v>9.1299999999999997E-4</v>
      </c>
      <c r="D742">
        <v>8.6700000000000004E-4</v>
      </c>
      <c r="E742">
        <v>8.8800000000000001E-4</v>
      </c>
      <c r="F742">
        <v>21435308</v>
      </c>
      <c r="G742">
        <v>0</v>
      </c>
      <c r="L742" t="s">
        <v>7</v>
      </c>
      <c r="M742" t="s">
        <v>7</v>
      </c>
      <c r="N742" t="s">
        <v>7</v>
      </c>
      <c r="P742">
        <f t="shared" si="999"/>
        <v>-8.6956521739130335E-2</v>
      </c>
      <c r="Q742">
        <f t="shared" si="1000"/>
        <v>-1863939.8260869544</v>
      </c>
      <c r="R742">
        <f t="shared" si="1001"/>
        <v>-582084628.9273777</v>
      </c>
      <c r="S742">
        <f t="shared" si="1002"/>
        <v>-5820.8462892737771</v>
      </c>
      <c r="T742">
        <f t="shared" si="1003"/>
        <v>-5.8208462892737769</v>
      </c>
    </row>
    <row r="743" spans="1:20" x14ac:dyDescent="0.25">
      <c r="A743" s="5">
        <v>43850</v>
      </c>
      <c r="B743">
        <v>8.6799999999999996E-4</v>
      </c>
      <c r="C743">
        <v>8.9599999999999999E-4</v>
      </c>
      <c r="D743">
        <v>8.4800000000000001E-4</v>
      </c>
      <c r="E743">
        <v>8.9099999999999997E-4</v>
      </c>
      <c r="F743">
        <v>26186935</v>
      </c>
      <c r="G743">
        <v>0</v>
      </c>
      <c r="L743" t="s">
        <v>8</v>
      </c>
      <c r="M743" t="s">
        <v>7</v>
      </c>
      <c r="N743" t="s">
        <v>7</v>
      </c>
      <c r="P743">
        <f t="shared" si="999"/>
        <v>0.79166666666666596</v>
      </c>
      <c r="Q743">
        <f t="shared" si="1000"/>
        <v>20731323.541666649</v>
      </c>
      <c r="R743">
        <f t="shared" si="1001"/>
        <v>-580220689.1012907</v>
      </c>
      <c r="S743">
        <f t="shared" si="1002"/>
        <v>-5802.2068910129074</v>
      </c>
      <c r="T743">
        <f t="shared" si="1003"/>
        <v>-5.802206891012907</v>
      </c>
    </row>
    <row r="744" spans="1:20" x14ac:dyDescent="0.25">
      <c r="A744" s="5">
        <v>43849</v>
      </c>
      <c r="B744">
        <v>9.3599999999999998E-4</v>
      </c>
      <c r="C744">
        <v>9.3700000000000001E-4</v>
      </c>
      <c r="D744">
        <v>8.43E-4</v>
      </c>
      <c r="E744">
        <v>8.6700000000000004E-4</v>
      </c>
      <c r="F744">
        <v>52900411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-0.48936170212765873</v>
      </c>
      <c r="Q744">
        <f t="shared" si="1000"/>
        <v>-25887435.17021272</v>
      </c>
      <c r="R744">
        <f t="shared" si="1001"/>
        <v>-600952012.64295733</v>
      </c>
      <c r="S744">
        <f t="shared" si="1002"/>
        <v>-6009.5201264295729</v>
      </c>
      <c r="T744">
        <f t="shared" si="1003"/>
        <v>-6.0095201264295728</v>
      </c>
    </row>
    <row r="745" spans="1:20" x14ac:dyDescent="0.25">
      <c r="A745" s="5">
        <v>43848</v>
      </c>
      <c r="B745">
        <v>9.3000000000000005E-4</v>
      </c>
      <c r="C745">
        <v>9.3800000000000003E-4</v>
      </c>
      <c r="D745">
        <v>9.0399999999999996E-4</v>
      </c>
      <c r="E745">
        <v>9.3000000000000005E-4</v>
      </c>
      <c r="F745">
        <v>20535832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0.52941176470588458</v>
      </c>
      <c r="Q745">
        <f t="shared" si="1000"/>
        <v>10871911.058823574</v>
      </c>
      <c r="R745">
        <f t="shared" si="1001"/>
        <v>-575064577.47274458</v>
      </c>
      <c r="S745">
        <f t="shared" si="1002"/>
        <v>-5750.6457747274462</v>
      </c>
      <c r="T745">
        <f t="shared" si="1003"/>
        <v>-5.7506457747274462</v>
      </c>
    </row>
    <row r="746" spans="1:20" x14ac:dyDescent="0.25">
      <c r="A746" s="5">
        <v>43847</v>
      </c>
      <c r="B746">
        <v>9.2199999999999997E-4</v>
      </c>
      <c r="C746">
        <v>9.9700000000000006E-4</v>
      </c>
      <c r="D746">
        <v>9.0200000000000002E-4</v>
      </c>
      <c r="E746">
        <v>9.3300000000000002E-4</v>
      </c>
      <c r="F746">
        <v>54270998</v>
      </c>
      <c r="G746">
        <v>0</v>
      </c>
      <c r="L746" t="s">
        <v>7</v>
      </c>
      <c r="M746" t="s">
        <v>8</v>
      </c>
      <c r="N746" t="s">
        <v>7</v>
      </c>
      <c r="P746">
        <f t="shared" si="999"/>
        <v>-0.34736842105263194</v>
      </c>
      <c r="Q746">
        <f t="shared" si="1000"/>
        <v>-18852030.884210546</v>
      </c>
      <c r="R746">
        <f t="shared" si="1001"/>
        <v>-585936488.53156817</v>
      </c>
      <c r="S746">
        <f t="shared" si="1002"/>
        <v>-5859.3648853156819</v>
      </c>
      <c r="T746">
        <f t="shared" si="1003"/>
        <v>-5.8593648853156823</v>
      </c>
    </row>
    <row r="747" spans="1:20" x14ac:dyDescent="0.25">
      <c r="A747" s="5">
        <v>43846</v>
      </c>
      <c r="B747">
        <v>9.5799999999999998E-4</v>
      </c>
      <c r="C747">
        <v>9.59E-4</v>
      </c>
      <c r="D747">
        <v>9.0899999999999998E-4</v>
      </c>
      <c r="E747">
        <v>9.2199999999999997E-4</v>
      </c>
      <c r="F747">
        <v>22330939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-0.48000000000000059</v>
      </c>
      <c r="Q747">
        <f t="shared" si="1000"/>
        <v>-10718850.720000014</v>
      </c>
      <c r="R747">
        <f t="shared" si="1001"/>
        <v>-567084457.64735758</v>
      </c>
      <c r="S747">
        <f t="shared" si="1002"/>
        <v>-5670.8445764735761</v>
      </c>
      <c r="T747">
        <f t="shared" si="1003"/>
        <v>-5.6708445764735762</v>
      </c>
    </row>
    <row r="748" spans="1:20" x14ac:dyDescent="0.25">
      <c r="A748" s="5">
        <v>43845</v>
      </c>
      <c r="B748">
        <v>9.1299999999999997E-4</v>
      </c>
      <c r="C748">
        <v>9.9299999999999996E-4</v>
      </c>
      <c r="D748">
        <v>8.7399999999999999E-4</v>
      </c>
      <c r="E748">
        <v>9.6100000000000005E-4</v>
      </c>
      <c r="F748">
        <v>130419005</v>
      </c>
      <c r="G748">
        <v>0</v>
      </c>
      <c r="L748" t="s">
        <v>7</v>
      </c>
      <c r="M748" t="s">
        <v>8</v>
      </c>
      <c r="N748" t="s">
        <v>7</v>
      </c>
      <c r="P748">
        <f t="shared" si="999"/>
        <v>0.46218487394958119</v>
      </c>
      <c r="Q748">
        <f t="shared" si="1000"/>
        <v>60277691.3865548</v>
      </c>
      <c r="R748">
        <f t="shared" si="1001"/>
        <v>-556365606.92735755</v>
      </c>
      <c r="S748">
        <f t="shared" si="1002"/>
        <v>-5563.6560692735757</v>
      </c>
      <c r="T748">
        <f t="shared" si="1003"/>
        <v>-5.5636560692735753</v>
      </c>
    </row>
    <row r="749" spans="1:20" x14ac:dyDescent="0.25">
      <c r="A749" s="5">
        <v>43844</v>
      </c>
      <c r="B749">
        <v>9.0200000000000002E-4</v>
      </c>
      <c r="C749">
        <v>9.6599999999999995E-4</v>
      </c>
      <c r="D749">
        <v>8.5499999999999997E-4</v>
      </c>
      <c r="E749">
        <v>9.1E-4</v>
      </c>
      <c r="F749">
        <v>194252771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-9.0090090090082526E-3</v>
      </c>
      <c r="Q749">
        <f t="shared" si="1000"/>
        <v>-1750024.9639638171</v>
      </c>
      <c r="R749">
        <f t="shared" si="1001"/>
        <v>-616643298.31391239</v>
      </c>
      <c r="S749">
        <f t="shared" si="1002"/>
        <v>-6166.4329831391242</v>
      </c>
      <c r="T749">
        <f t="shared" si="1003"/>
        <v>-6.1664329831391242</v>
      </c>
    </row>
    <row r="750" spans="1:20" x14ac:dyDescent="0.25">
      <c r="A750" s="5">
        <v>43843</v>
      </c>
      <c r="B750">
        <v>9.0700000000000004E-4</v>
      </c>
      <c r="C750">
        <v>9.2699999999999998E-4</v>
      </c>
      <c r="D750">
        <v>8.7799999999999998E-4</v>
      </c>
      <c r="E750">
        <v>8.9999999999999998E-4</v>
      </c>
      <c r="F750">
        <v>58409673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-0.10204081632653088</v>
      </c>
      <c r="Q750">
        <f t="shared" si="1000"/>
        <v>-5960170.7142857295</v>
      </c>
      <c r="R750">
        <f t="shared" si="1001"/>
        <v>-614893273.34994853</v>
      </c>
      <c r="S750">
        <f t="shared" si="1002"/>
        <v>-6148.932733499485</v>
      </c>
      <c r="T750">
        <f t="shared" si="1003"/>
        <v>-6.1489327334994854</v>
      </c>
    </row>
    <row r="751" spans="1:20" x14ac:dyDescent="0.25">
      <c r="A751" s="5">
        <v>43842</v>
      </c>
      <c r="B751">
        <v>9.0200000000000002E-4</v>
      </c>
      <c r="C751">
        <v>9.3000000000000005E-4</v>
      </c>
      <c r="D751">
        <v>8.8500000000000004E-4</v>
      </c>
      <c r="E751">
        <v>9.0499999999999999E-4</v>
      </c>
      <c r="F751">
        <v>39908725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-0.11111111111111378</v>
      </c>
      <c r="Q751">
        <f t="shared" si="1000"/>
        <v>-4434302.7777778842</v>
      </c>
      <c r="R751">
        <f t="shared" si="1001"/>
        <v>-608933102.63566279</v>
      </c>
      <c r="S751">
        <f t="shared" si="1002"/>
        <v>-6089.3310263566282</v>
      </c>
      <c r="T751">
        <f t="shared" si="1003"/>
        <v>-6.0893310263566285</v>
      </c>
    </row>
    <row r="752" spans="1:20" x14ac:dyDescent="0.25">
      <c r="A752" s="5">
        <v>43841</v>
      </c>
      <c r="B752">
        <v>8.4999999999999995E-4</v>
      </c>
      <c r="C752">
        <v>9.0300000000000005E-4</v>
      </c>
      <c r="D752">
        <v>8.3299999999999997E-4</v>
      </c>
      <c r="E752">
        <v>9.0200000000000002E-4</v>
      </c>
      <c r="F752">
        <v>55117175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0.97142857142857075</v>
      </c>
      <c r="Q752">
        <f t="shared" si="1000"/>
        <v>53542398.571428537</v>
      </c>
      <c r="R752">
        <f t="shared" si="1001"/>
        <v>-604498799.85788488</v>
      </c>
      <c r="S752">
        <f t="shared" si="1002"/>
        <v>-6044.9879985788484</v>
      </c>
      <c r="T752">
        <f t="shared" si="1003"/>
        <v>-6.0449879985788488</v>
      </c>
    </row>
    <row r="753" spans="1:20" x14ac:dyDescent="0.25">
      <c r="A753" s="5">
        <v>43840</v>
      </c>
      <c r="B753">
        <v>8.1700000000000002E-4</v>
      </c>
      <c r="C753">
        <v>8.6399999999999997E-4</v>
      </c>
      <c r="D753">
        <v>8.0099999999999995E-4</v>
      </c>
      <c r="E753">
        <v>8.52E-4</v>
      </c>
      <c r="F753">
        <v>41159361</v>
      </c>
      <c r="G753">
        <v>0</v>
      </c>
      <c r="L753" t="s">
        <v>8</v>
      </c>
      <c r="M753" t="s">
        <v>7</v>
      </c>
      <c r="N753" t="s">
        <v>7</v>
      </c>
      <c r="P753">
        <f t="shared" si="999"/>
        <v>0.61904761904762018</v>
      </c>
      <c r="Q753">
        <f t="shared" si="1000"/>
        <v>25479604.428571474</v>
      </c>
      <c r="R753">
        <f t="shared" si="1001"/>
        <v>-658041198.42931342</v>
      </c>
      <c r="S753">
        <f t="shared" si="1002"/>
        <v>-6580.4119842931341</v>
      </c>
      <c r="T753">
        <f t="shared" si="1003"/>
        <v>-6.5804119842931339</v>
      </c>
    </row>
    <row r="754" spans="1:20" x14ac:dyDescent="0.25">
      <c r="A754" s="5">
        <v>43839</v>
      </c>
      <c r="B754">
        <v>8.3699999999999996E-4</v>
      </c>
      <c r="C754">
        <v>8.3799999999999999E-4</v>
      </c>
      <c r="D754">
        <v>8.0400000000000003E-4</v>
      </c>
      <c r="E754">
        <v>8.2200000000000003E-4</v>
      </c>
      <c r="F754">
        <v>27337821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5.8823529411766204E-2</v>
      </c>
      <c r="Q754">
        <f t="shared" si="1000"/>
        <v>1608107.1176470998</v>
      </c>
      <c r="R754">
        <f t="shared" si="1001"/>
        <v>-683520802.85788488</v>
      </c>
      <c r="S754">
        <f t="shared" si="1002"/>
        <v>-6835.2080285788488</v>
      </c>
      <c r="T754">
        <f t="shared" si="1003"/>
        <v>-6.8352080285788492</v>
      </c>
    </row>
    <row r="755" spans="1:20" x14ac:dyDescent="0.25">
      <c r="A755" s="5">
        <v>43838</v>
      </c>
      <c r="B755">
        <v>8.4500000000000005E-4</v>
      </c>
      <c r="C755">
        <v>8.6499999999999999E-4</v>
      </c>
      <c r="D755">
        <v>8.2700000000000004E-4</v>
      </c>
      <c r="E755">
        <v>8.4599999999999996E-4</v>
      </c>
      <c r="F755">
        <v>36900227</v>
      </c>
      <c r="G755">
        <v>0</v>
      </c>
      <c r="L755" t="s">
        <v>8</v>
      </c>
      <c r="M755" t="s">
        <v>7</v>
      </c>
      <c r="N755" t="s">
        <v>7</v>
      </c>
      <c r="P755">
        <f t="shared" si="999"/>
        <v>-2.8531636118039629E-15</v>
      </c>
      <c r="Q755">
        <f t="shared" si="1000"/>
        <v>-1.0528238494370611E-7</v>
      </c>
      <c r="R755">
        <f t="shared" si="1001"/>
        <v>-685128909.97553194</v>
      </c>
      <c r="S755">
        <f t="shared" si="1002"/>
        <v>-6851.2890997553195</v>
      </c>
      <c r="T755">
        <f t="shared" si="1003"/>
        <v>-6.8512890997553191</v>
      </c>
    </row>
    <row r="756" spans="1:20" x14ac:dyDescent="0.25">
      <c r="A756" s="5">
        <v>43837</v>
      </c>
      <c r="B756">
        <v>8.3000000000000001E-4</v>
      </c>
      <c r="C756">
        <v>8.7200000000000005E-4</v>
      </c>
      <c r="D756">
        <v>8.2299999999999995E-4</v>
      </c>
      <c r="E756">
        <v>8.4199999999999998E-4</v>
      </c>
      <c r="F756">
        <v>73173927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-0.2244897959183679</v>
      </c>
      <c r="Q756">
        <f t="shared" si="1000"/>
        <v>-16426799.938775551</v>
      </c>
      <c r="R756">
        <f t="shared" si="1001"/>
        <v>-685128909.97553182</v>
      </c>
      <c r="S756">
        <f t="shared" si="1002"/>
        <v>-6851.2890997553186</v>
      </c>
      <c r="T756">
        <f t="shared" si="1003"/>
        <v>-6.8512890997553182</v>
      </c>
    </row>
    <row r="757" spans="1:20" x14ac:dyDescent="0.25">
      <c r="A757" s="5">
        <v>43836</v>
      </c>
      <c r="B757">
        <v>8.4699999999999999E-4</v>
      </c>
      <c r="C757">
        <v>8.7100000000000003E-4</v>
      </c>
      <c r="D757">
        <v>8.1899999999999996E-4</v>
      </c>
      <c r="E757">
        <v>8.3000000000000001E-4</v>
      </c>
      <c r="F757">
        <v>32470965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-0.57692307692307554</v>
      </c>
      <c r="Q757">
        <f t="shared" si="1000"/>
        <v>-18733249.038461495</v>
      </c>
      <c r="R757">
        <f t="shared" si="1001"/>
        <v>-668702110.03675628</v>
      </c>
      <c r="S757">
        <f t="shared" si="1002"/>
        <v>-6687.0211003675631</v>
      </c>
      <c r="T757">
        <f t="shared" si="1003"/>
        <v>-6.6870211003675628</v>
      </c>
    </row>
    <row r="758" spans="1:20" x14ac:dyDescent="0.25">
      <c r="A758" s="5">
        <v>43835</v>
      </c>
      <c r="B758">
        <v>8.4800000000000001E-4</v>
      </c>
      <c r="C758">
        <v>8.7200000000000005E-4</v>
      </c>
      <c r="D758">
        <v>8.4000000000000003E-4</v>
      </c>
      <c r="E758">
        <v>8.4999999999999995E-4</v>
      </c>
      <c r="F758">
        <v>10236564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-0.3750000000000055</v>
      </c>
      <c r="Q758">
        <f t="shared" si="1000"/>
        <v>-3838711.5000000563</v>
      </c>
      <c r="R758">
        <f t="shared" si="1001"/>
        <v>-649968860.99829483</v>
      </c>
      <c r="S758">
        <f t="shared" si="1002"/>
        <v>-6499.688609982948</v>
      </c>
      <c r="T758">
        <f t="shared" si="1003"/>
        <v>-6.4996886099829476</v>
      </c>
    </row>
    <row r="759" spans="1:20" x14ac:dyDescent="0.25">
      <c r="A759" s="5">
        <v>43834</v>
      </c>
      <c r="B759">
        <v>8.4500000000000005E-4</v>
      </c>
      <c r="C759">
        <v>8.8199999999999997E-4</v>
      </c>
      <c r="D759">
        <v>8.3600000000000005E-4</v>
      </c>
      <c r="E759">
        <v>8.4199999999999998E-4</v>
      </c>
      <c r="F759">
        <v>20557536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-0.73913043478261131</v>
      </c>
      <c r="Q759">
        <f t="shared" si="1000"/>
        <v>-15194700.521739185</v>
      </c>
      <c r="R759">
        <f t="shared" si="1001"/>
        <v>-646130149.49829483</v>
      </c>
      <c r="S759">
        <f t="shared" si="1002"/>
        <v>-6461.3014949829485</v>
      </c>
      <c r="T759">
        <f t="shared" si="1003"/>
        <v>-6.4613014949829486</v>
      </c>
    </row>
    <row r="760" spans="1:20" x14ac:dyDescent="0.25">
      <c r="A760" s="5">
        <v>43833</v>
      </c>
      <c r="B760">
        <v>8.1899999999999996E-4</v>
      </c>
      <c r="C760">
        <v>8.6200000000000003E-4</v>
      </c>
      <c r="D760">
        <v>8.1599999999999999E-4</v>
      </c>
      <c r="E760">
        <v>8.4500000000000005E-4</v>
      </c>
      <c r="F760">
        <v>26564847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0.26086956521739274</v>
      </c>
      <c r="Q760">
        <f t="shared" si="1000"/>
        <v>6929960.0869565597</v>
      </c>
      <c r="R760">
        <f t="shared" si="1001"/>
        <v>-630935448.97655559</v>
      </c>
      <c r="S760">
        <f t="shared" si="1002"/>
        <v>-6309.3544897655556</v>
      </c>
      <c r="T760">
        <f t="shared" si="1003"/>
        <v>-6.309354489765556</v>
      </c>
    </row>
    <row r="761" spans="1:20" x14ac:dyDescent="0.25">
      <c r="A761" s="5">
        <v>43832</v>
      </c>
      <c r="B761">
        <v>8.4599999999999996E-4</v>
      </c>
      <c r="C761">
        <v>8.4599999999999996E-4</v>
      </c>
      <c r="D761">
        <v>8.0800000000000002E-4</v>
      </c>
      <c r="E761">
        <v>8.2799999999999996E-4</v>
      </c>
      <c r="F761">
        <v>27348845</v>
      </c>
      <c r="G761">
        <v>0</v>
      </c>
      <c r="L761" t="s">
        <v>8</v>
      </c>
      <c r="M761" t="s">
        <v>7</v>
      </c>
      <c r="N761" t="s">
        <v>7</v>
      </c>
      <c r="P761">
        <f t="shared" si="999"/>
        <v>5.2631578947366919E-2</v>
      </c>
      <c r="Q761">
        <f t="shared" si="1000"/>
        <v>1439412.894736801</v>
      </c>
      <c r="R761">
        <f t="shared" si="1001"/>
        <v>-637865409.06351209</v>
      </c>
      <c r="S761">
        <f t="shared" si="1002"/>
        <v>-6378.6540906351211</v>
      </c>
      <c r="T761">
        <f t="shared" si="1003"/>
        <v>-6.3786540906351208</v>
      </c>
    </row>
    <row r="762" spans="1:20" x14ac:dyDescent="0.25">
      <c r="A762" s="5">
        <v>43831</v>
      </c>
      <c r="B762">
        <v>8.4500000000000005E-4</v>
      </c>
      <c r="C762">
        <v>8.8400000000000002E-4</v>
      </c>
      <c r="D762">
        <v>8.3699999999999996E-4</v>
      </c>
      <c r="E762">
        <v>8.5400000000000005E-4</v>
      </c>
      <c r="F762">
        <v>20571696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-0.27659574468084824</v>
      </c>
      <c r="Q762">
        <f t="shared" si="1000"/>
        <v>-5690043.5744680269</v>
      </c>
      <c r="R762">
        <f t="shared" si="1001"/>
        <v>-639304821.95824885</v>
      </c>
      <c r="S762">
        <f t="shared" si="1002"/>
        <v>-6393.0482195824889</v>
      </c>
      <c r="T762">
        <f t="shared" si="1003"/>
        <v>-6.3930482195824885</v>
      </c>
    </row>
    <row r="763" spans="1:20" x14ac:dyDescent="0.25">
      <c r="A763" s="5">
        <v>43830</v>
      </c>
      <c r="B763">
        <v>8.8800000000000001E-4</v>
      </c>
      <c r="C763">
        <v>9.1399999999999999E-4</v>
      </c>
      <c r="D763">
        <v>8.4000000000000003E-4</v>
      </c>
      <c r="E763">
        <v>8.4800000000000001E-4</v>
      </c>
      <c r="F763">
        <v>27361790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-0.78378378378378422</v>
      </c>
      <c r="Q763">
        <f t="shared" si="1000"/>
        <v>-21445727.29729731</v>
      </c>
      <c r="R763">
        <f t="shared" si="1001"/>
        <v>-633614778.38378084</v>
      </c>
      <c r="S763">
        <f t="shared" si="1002"/>
        <v>-6336.1477838378087</v>
      </c>
      <c r="T763">
        <f t="shared" si="1003"/>
        <v>-6.3361477838378084</v>
      </c>
    </row>
    <row r="764" spans="1:20" x14ac:dyDescent="0.25">
      <c r="A764" s="5">
        <v>43829</v>
      </c>
      <c r="B764">
        <v>9.1799999999999998E-4</v>
      </c>
      <c r="C764">
        <v>9.4399999999999996E-4</v>
      </c>
      <c r="D764">
        <v>8.8099999999999995E-4</v>
      </c>
      <c r="E764">
        <v>8.9899999999999995E-4</v>
      </c>
      <c r="F764">
        <v>28089164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-0.42857142857142855</v>
      </c>
      <c r="Q764">
        <f t="shared" si="1000"/>
        <v>-12038213.142857142</v>
      </c>
      <c r="R764">
        <f t="shared" si="1001"/>
        <v>-612169051.08648348</v>
      </c>
      <c r="S764">
        <f t="shared" si="1002"/>
        <v>-6121.6905108648352</v>
      </c>
      <c r="T764">
        <f t="shared" si="1003"/>
        <v>-6.121690510864835</v>
      </c>
    </row>
    <row r="765" spans="1:20" x14ac:dyDescent="0.25">
      <c r="A765" s="5">
        <v>43828</v>
      </c>
      <c r="B765">
        <v>9.0899999999999998E-4</v>
      </c>
      <c r="C765">
        <v>9.7999999999999997E-4</v>
      </c>
      <c r="D765">
        <v>8.7399999999999999E-4</v>
      </c>
      <c r="E765">
        <v>9.1600000000000004E-4</v>
      </c>
      <c r="F765">
        <v>73246049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-0.20754716981131971</v>
      </c>
      <c r="Q765">
        <f t="shared" si="1000"/>
        <v>-15202010.169811245</v>
      </c>
      <c r="R765">
        <f t="shared" si="1001"/>
        <v>-600130837.94362628</v>
      </c>
      <c r="S765">
        <f t="shared" si="1002"/>
        <v>-6001.3083794362628</v>
      </c>
      <c r="T765">
        <f t="shared" si="1003"/>
        <v>-6.0013083794362627</v>
      </c>
    </row>
    <row r="766" spans="1:20" x14ac:dyDescent="0.25">
      <c r="A766" s="5">
        <v>43827</v>
      </c>
      <c r="B766">
        <v>8.7399999999999999E-4</v>
      </c>
      <c r="C766">
        <v>9.2599999999999996E-4</v>
      </c>
      <c r="D766">
        <v>8.4599999999999996E-4</v>
      </c>
      <c r="E766">
        <v>9.0899999999999998E-4</v>
      </c>
      <c r="F766">
        <v>54330953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0.57500000000000051</v>
      </c>
      <c r="Q766">
        <f t="shared" si="1000"/>
        <v>31240297.975000028</v>
      </c>
      <c r="R766">
        <f t="shared" si="1001"/>
        <v>-584928827.77381504</v>
      </c>
      <c r="S766">
        <f t="shared" si="1002"/>
        <v>-5849.2882777381501</v>
      </c>
      <c r="T766">
        <f t="shared" si="1003"/>
        <v>-5.8492882777381503</v>
      </c>
    </row>
    <row r="767" spans="1:20" x14ac:dyDescent="0.25">
      <c r="A767" s="5">
        <v>43826</v>
      </c>
      <c r="B767">
        <v>8.7100000000000003E-4</v>
      </c>
      <c r="C767">
        <v>8.9300000000000002E-4</v>
      </c>
      <c r="D767">
        <v>8.6399999999999997E-4</v>
      </c>
      <c r="E767">
        <v>8.7100000000000003E-4</v>
      </c>
      <c r="F767">
        <v>11747485</v>
      </c>
      <c r="G767">
        <v>0</v>
      </c>
      <c r="L767" t="s">
        <v>8</v>
      </c>
      <c r="M767" t="s">
        <v>8</v>
      </c>
      <c r="N767" t="s">
        <v>7</v>
      </c>
      <c r="P767">
        <f t="shared" ref="P767:P830" si="1004">IF(C767=D767,0,((E767-D767)-(C767-E767))/(C767-D767))</f>
        <v>-0.51724137931034142</v>
      </c>
      <c r="Q767">
        <f t="shared" ref="Q767:Q830" si="1005">F767*P767</f>
        <v>-6076285.3448275458</v>
      </c>
      <c r="R767">
        <f t="shared" ref="R767:R830" si="1006">R768+Q767</f>
        <v>-616169125.74881506</v>
      </c>
      <c r="S767">
        <f t="shared" ref="S767:S830" si="1007">R767/100000</f>
        <v>-6161.6912574881508</v>
      </c>
      <c r="T767">
        <f t="shared" ref="T767:T830" si="1008">S767/1000</f>
        <v>-6.1616912574881511</v>
      </c>
    </row>
    <row r="768" spans="1:20" x14ac:dyDescent="0.25">
      <c r="A768" s="5">
        <v>43825</v>
      </c>
      <c r="B768">
        <v>8.7000000000000001E-4</v>
      </c>
      <c r="C768">
        <v>8.9800000000000004E-4</v>
      </c>
      <c r="D768">
        <v>8.61E-4</v>
      </c>
      <c r="E768">
        <v>8.7200000000000005E-4</v>
      </c>
      <c r="F768">
        <v>15239997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-0.40540540540540321</v>
      </c>
      <c r="Q768">
        <f t="shared" si="1005"/>
        <v>-6178377.1621621288</v>
      </c>
      <c r="R768">
        <f t="shared" si="1006"/>
        <v>-610092840.40398753</v>
      </c>
      <c r="S768">
        <f t="shared" si="1007"/>
        <v>-6100.9284040398752</v>
      </c>
      <c r="T768">
        <f t="shared" si="1008"/>
        <v>-6.100928404039875</v>
      </c>
    </row>
    <row r="769" spans="1:20" x14ac:dyDescent="0.25">
      <c r="A769" s="5">
        <v>43824</v>
      </c>
      <c r="B769">
        <v>8.8699999999999998E-4</v>
      </c>
      <c r="C769">
        <v>8.9400000000000005E-4</v>
      </c>
      <c r="D769">
        <v>8.5499999999999997E-4</v>
      </c>
      <c r="E769">
        <v>8.7200000000000005E-4</v>
      </c>
      <c r="F769">
        <v>34569434</v>
      </c>
      <c r="G769">
        <v>0</v>
      </c>
      <c r="L769" t="s">
        <v>8</v>
      </c>
      <c r="M769" t="s">
        <v>8</v>
      </c>
      <c r="N769" t="s">
        <v>7</v>
      </c>
      <c r="P769">
        <f t="shared" si="1004"/>
        <v>-0.1282051282051255</v>
      </c>
      <c r="Q769">
        <f t="shared" si="1005"/>
        <v>-4431978.7179486249</v>
      </c>
      <c r="R769">
        <f t="shared" si="1006"/>
        <v>-603914463.24182534</v>
      </c>
      <c r="S769">
        <f t="shared" si="1007"/>
        <v>-6039.1446324182534</v>
      </c>
      <c r="T769">
        <f t="shared" si="1008"/>
        <v>-6.0391446324182532</v>
      </c>
    </row>
    <row r="770" spans="1:20" x14ac:dyDescent="0.25">
      <c r="A770" s="5">
        <v>43823</v>
      </c>
      <c r="B770">
        <v>8.2899999999999998E-4</v>
      </c>
      <c r="C770">
        <v>8.9899999999999995E-4</v>
      </c>
      <c r="D770">
        <v>8.0900000000000004E-4</v>
      </c>
      <c r="E770">
        <v>8.9499999999999996E-4</v>
      </c>
      <c r="F770">
        <v>78654993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0.91111111111111132</v>
      </c>
      <c r="Q770">
        <f t="shared" si="1005"/>
        <v>71663438.066666678</v>
      </c>
      <c r="R770">
        <f t="shared" si="1006"/>
        <v>-599482484.52387667</v>
      </c>
      <c r="S770">
        <f t="shared" si="1007"/>
        <v>-5994.824845238767</v>
      </c>
      <c r="T770">
        <f t="shared" si="1008"/>
        <v>-5.9948248452387674</v>
      </c>
    </row>
    <row r="771" spans="1:20" x14ac:dyDescent="0.25">
      <c r="A771" s="5">
        <v>43822</v>
      </c>
      <c r="B771">
        <v>9.2500000000000004E-4</v>
      </c>
      <c r="C771">
        <v>9.2500000000000004E-4</v>
      </c>
      <c r="D771">
        <v>8.2399999999999997E-4</v>
      </c>
      <c r="E771">
        <v>8.2899999999999998E-4</v>
      </c>
      <c r="F771">
        <v>37023345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-0.90099009900990079</v>
      </c>
      <c r="Q771">
        <f t="shared" si="1005"/>
        <v>-33357667.277227715</v>
      </c>
      <c r="R771">
        <f t="shared" si="1006"/>
        <v>-671145922.59054339</v>
      </c>
      <c r="S771">
        <f t="shared" si="1007"/>
        <v>-6711.4592259054343</v>
      </c>
      <c r="T771">
        <f t="shared" si="1008"/>
        <v>-6.7114592259054344</v>
      </c>
    </row>
    <row r="772" spans="1:20" x14ac:dyDescent="0.25">
      <c r="A772" s="5">
        <v>43821</v>
      </c>
      <c r="B772">
        <v>8.5599999999999999E-4</v>
      </c>
      <c r="C772">
        <v>9.2599999999999996E-4</v>
      </c>
      <c r="D772">
        <v>8.43E-4</v>
      </c>
      <c r="E772">
        <v>9.2599999999999996E-4</v>
      </c>
      <c r="F772">
        <v>35977462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1</v>
      </c>
      <c r="Q772">
        <f t="shared" si="1005"/>
        <v>35977462</v>
      </c>
      <c r="R772">
        <f t="shared" si="1006"/>
        <v>-637788255.31331563</v>
      </c>
      <c r="S772">
        <f t="shared" si="1007"/>
        <v>-6377.8825531331559</v>
      </c>
      <c r="T772">
        <f t="shared" si="1008"/>
        <v>-6.3778825531331558</v>
      </c>
    </row>
    <row r="773" spans="1:20" x14ac:dyDescent="0.25">
      <c r="A773" s="5">
        <v>43820</v>
      </c>
      <c r="B773">
        <v>8.8000000000000003E-4</v>
      </c>
      <c r="C773">
        <v>8.83E-4</v>
      </c>
      <c r="D773">
        <v>8.5099999999999998E-4</v>
      </c>
      <c r="E773">
        <v>8.5499999999999997E-4</v>
      </c>
      <c r="F773">
        <v>21592942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-0.75000000000000089</v>
      </c>
      <c r="Q773">
        <f t="shared" si="1005"/>
        <v>-16194706.500000019</v>
      </c>
      <c r="R773">
        <f t="shared" si="1006"/>
        <v>-673765717.31331563</v>
      </c>
      <c r="S773">
        <f t="shared" si="1007"/>
        <v>-6737.657173133156</v>
      </c>
      <c r="T773">
        <f t="shared" si="1008"/>
        <v>-6.7376571731331563</v>
      </c>
    </row>
    <row r="774" spans="1:20" x14ac:dyDescent="0.25">
      <c r="A774" s="5">
        <v>43819</v>
      </c>
      <c r="B774">
        <v>8.6399999999999997E-4</v>
      </c>
      <c r="C774">
        <v>8.8500000000000004E-4</v>
      </c>
      <c r="D774">
        <v>8.4900000000000004E-4</v>
      </c>
      <c r="E774">
        <v>8.8500000000000004E-4</v>
      </c>
      <c r="F774">
        <v>13824833</v>
      </c>
      <c r="G774">
        <v>0</v>
      </c>
      <c r="L774" t="s">
        <v>7</v>
      </c>
      <c r="M774" t="s">
        <v>7</v>
      </c>
      <c r="N774" t="s">
        <v>7</v>
      </c>
      <c r="P774">
        <f t="shared" si="1004"/>
        <v>1</v>
      </c>
      <c r="Q774">
        <f t="shared" si="1005"/>
        <v>13824833</v>
      </c>
      <c r="R774">
        <f t="shared" si="1006"/>
        <v>-657571010.81331563</v>
      </c>
      <c r="S774">
        <f t="shared" si="1007"/>
        <v>-6575.7101081331566</v>
      </c>
      <c r="T774">
        <f t="shared" si="1008"/>
        <v>-6.5757101081331566</v>
      </c>
    </row>
    <row r="775" spans="1:20" x14ac:dyDescent="0.25">
      <c r="A775" s="5">
        <v>43818</v>
      </c>
      <c r="B775">
        <v>8.9400000000000005E-4</v>
      </c>
      <c r="C775">
        <v>8.9999999999999998E-4</v>
      </c>
      <c r="D775">
        <v>8.4000000000000003E-4</v>
      </c>
      <c r="E775">
        <v>8.6399999999999997E-4</v>
      </c>
      <c r="F775">
        <v>18754126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-0.20000000000000145</v>
      </c>
      <c r="Q775">
        <f t="shared" si="1005"/>
        <v>-3750825.2000000272</v>
      </c>
      <c r="R775">
        <f t="shared" si="1006"/>
        <v>-671395843.81331563</v>
      </c>
      <c r="S775">
        <f t="shared" si="1007"/>
        <v>-6713.9584381331561</v>
      </c>
      <c r="T775">
        <f t="shared" si="1008"/>
        <v>-6.7139584381331563</v>
      </c>
    </row>
    <row r="776" spans="1:20" x14ac:dyDescent="0.25">
      <c r="A776" s="5">
        <v>43817</v>
      </c>
      <c r="B776">
        <v>8.0699999999999999E-4</v>
      </c>
      <c r="C776">
        <v>8.9300000000000002E-4</v>
      </c>
      <c r="D776">
        <v>7.9000000000000001E-4</v>
      </c>
      <c r="E776">
        <v>8.9300000000000002E-4</v>
      </c>
      <c r="F776">
        <v>50633658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1</v>
      </c>
      <c r="Q776">
        <f t="shared" si="1005"/>
        <v>50633658</v>
      </c>
      <c r="R776">
        <f t="shared" si="1006"/>
        <v>-667645018.61331558</v>
      </c>
      <c r="S776">
        <f t="shared" si="1007"/>
        <v>-6676.4501861331555</v>
      </c>
      <c r="T776">
        <f t="shared" si="1008"/>
        <v>-6.6764501861331551</v>
      </c>
    </row>
    <row r="777" spans="1:20" x14ac:dyDescent="0.25">
      <c r="A777" s="5">
        <v>43816</v>
      </c>
      <c r="B777">
        <v>8.9800000000000004E-4</v>
      </c>
      <c r="C777">
        <v>9.2800000000000001E-4</v>
      </c>
      <c r="D777">
        <v>7.9699999999999997E-4</v>
      </c>
      <c r="E777">
        <v>8.1300000000000003E-4</v>
      </c>
      <c r="F777">
        <v>53670117</v>
      </c>
      <c r="G777">
        <v>0</v>
      </c>
      <c r="L777" t="s">
        <v>8</v>
      </c>
      <c r="M777" t="s">
        <v>7</v>
      </c>
      <c r="N777" t="s">
        <v>7</v>
      </c>
      <c r="P777">
        <f t="shared" si="1004"/>
        <v>-0.75572519083969381</v>
      </c>
      <c r="Q777">
        <f t="shared" si="1005"/>
        <v>-40559859.412213698</v>
      </c>
      <c r="R777">
        <f t="shared" si="1006"/>
        <v>-718278676.61331558</v>
      </c>
      <c r="S777">
        <f t="shared" si="1007"/>
        <v>-7182.7867661331557</v>
      </c>
      <c r="T777">
        <f t="shared" si="1008"/>
        <v>-7.1827867661331553</v>
      </c>
    </row>
    <row r="778" spans="1:20" x14ac:dyDescent="0.25">
      <c r="A778" s="5">
        <v>43815</v>
      </c>
      <c r="B778">
        <v>9.5299999999999996E-4</v>
      </c>
      <c r="C778">
        <v>9.5699999999999995E-4</v>
      </c>
      <c r="D778">
        <v>8.9099999999999997E-4</v>
      </c>
      <c r="E778">
        <v>8.9700000000000001E-4</v>
      </c>
      <c r="F778">
        <v>24195795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-0.81818181818181701</v>
      </c>
      <c r="Q778">
        <f t="shared" si="1005"/>
        <v>-19796559.545454517</v>
      </c>
      <c r="R778">
        <f t="shared" si="1006"/>
        <v>-677718817.2011019</v>
      </c>
      <c r="S778">
        <f t="shared" si="1007"/>
        <v>-6777.1881720110187</v>
      </c>
      <c r="T778">
        <f t="shared" si="1008"/>
        <v>-6.7771881720110185</v>
      </c>
    </row>
    <row r="779" spans="1:20" x14ac:dyDescent="0.25">
      <c r="A779" s="5">
        <v>43814</v>
      </c>
      <c r="B779">
        <v>9.6500000000000004E-4</v>
      </c>
      <c r="C779">
        <v>1.01E-3</v>
      </c>
      <c r="D779">
        <v>9.3499999999999996E-4</v>
      </c>
      <c r="E779">
        <v>9.4799999999999995E-4</v>
      </c>
      <c r="F779">
        <v>42293146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-0.65333333333333399</v>
      </c>
      <c r="Q779">
        <f t="shared" si="1005"/>
        <v>-27631522.053333361</v>
      </c>
      <c r="R779">
        <f t="shared" si="1006"/>
        <v>-657922257.6556474</v>
      </c>
      <c r="S779">
        <f t="shared" si="1007"/>
        <v>-6579.2225765564735</v>
      </c>
      <c r="T779">
        <f t="shared" si="1008"/>
        <v>-6.5792225765564734</v>
      </c>
    </row>
    <row r="780" spans="1:20" x14ac:dyDescent="0.25">
      <c r="A780" s="5">
        <v>43813</v>
      </c>
      <c r="B780">
        <v>1.0679999999999999E-3</v>
      </c>
      <c r="C780">
        <v>1.0679999999999999E-3</v>
      </c>
      <c r="D780">
        <v>9.4399999999999996E-4</v>
      </c>
      <c r="E780">
        <v>9.6699999999999998E-4</v>
      </c>
      <c r="F780">
        <v>57284233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-0.62903225806451579</v>
      </c>
      <c r="Q780">
        <f t="shared" si="1005"/>
        <v>-36033630.435483851</v>
      </c>
      <c r="R780">
        <f t="shared" si="1006"/>
        <v>-630290735.602314</v>
      </c>
      <c r="S780">
        <f t="shared" si="1007"/>
        <v>-6302.90735602314</v>
      </c>
      <c r="T780">
        <f t="shared" si="1008"/>
        <v>-6.3029073560231401</v>
      </c>
    </row>
    <row r="781" spans="1:20" x14ac:dyDescent="0.25">
      <c r="A781" s="5">
        <v>43812</v>
      </c>
      <c r="B781">
        <v>1.07E-3</v>
      </c>
      <c r="C781">
        <v>1.09E-3</v>
      </c>
      <c r="D781">
        <v>1.0510000000000001E-3</v>
      </c>
      <c r="E781">
        <v>1.0679999999999999E-3</v>
      </c>
      <c r="F781">
        <v>20968394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-0.12820512820513419</v>
      </c>
      <c r="Q781">
        <f t="shared" si="1005"/>
        <v>-2688255.6410257663</v>
      </c>
      <c r="R781">
        <f t="shared" si="1006"/>
        <v>-594257105.16683018</v>
      </c>
      <c r="S781">
        <f t="shared" si="1007"/>
        <v>-5942.5710516683021</v>
      </c>
      <c r="T781">
        <f t="shared" si="1008"/>
        <v>-5.9425710516683017</v>
      </c>
    </row>
    <row r="782" spans="1:20" x14ac:dyDescent="0.25">
      <c r="A782" s="5">
        <v>43811</v>
      </c>
      <c r="B782">
        <v>1.0549999999999999E-3</v>
      </c>
      <c r="C782">
        <v>1.075E-3</v>
      </c>
      <c r="D782">
        <v>1.039E-3</v>
      </c>
      <c r="E782">
        <v>1.067E-3</v>
      </c>
      <c r="F782">
        <v>31772007</v>
      </c>
      <c r="G782">
        <v>0</v>
      </c>
      <c r="L782" t="s">
        <v>8</v>
      </c>
      <c r="M782" t="s">
        <v>7</v>
      </c>
      <c r="N782" t="s">
        <v>7</v>
      </c>
      <c r="P782">
        <f t="shared" si="1004"/>
        <v>0.55555555555555691</v>
      </c>
      <c r="Q782">
        <f t="shared" si="1005"/>
        <v>17651115.000000045</v>
      </c>
      <c r="R782">
        <f t="shared" si="1006"/>
        <v>-591568849.5258044</v>
      </c>
      <c r="S782">
        <f t="shared" si="1007"/>
        <v>-5915.688495258044</v>
      </c>
      <c r="T782">
        <f t="shared" si="1008"/>
        <v>-5.9156884952580437</v>
      </c>
    </row>
    <row r="783" spans="1:20" x14ac:dyDescent="0.25">
      <c r="A783" s="5">
        <v>43810</v>
      </c>
      <c r="B783">
        <v>9.7099999999999997E-4</v>
      </c>
      <c r="C783">
        <v>1.0790000000000001E-3</v>
      </c>
      <c r="D783">
        <v>9.6599999999999995E-4</v>
      </c>
      <c r="E783">
        <v>1.052E-3</v>
      </c>
      <c r="F783">
        <v>73441820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0.52212389380530833</v>
      </c>
      <c r="Q783">
        <f t="shared" si="1005"/>
        <v>38345729.026548572</v>
      </c>
      <c r="R783">
        <f t="shared" si="1006"/>
        <v>-609219964.5258044</v>
      </c>
      <c r="S783">
        <f t="shared" si="1007"/>
        <v>-6092.1996452580443</v>
      </c>
      <c r="T783">
        <f t="shared" si="1008"/>
        <v>-6.0921996452580442</v>
      </c>
    </row>
    <row r="784" spans="1:20" x14ac:dyDescent="0.25">
      <c r="A784" s="5">
        <v>43809</v>
      </c>
      <c r="B784">
        <v>1.1039999999999999E-3</v>
      </c>
      <c r="C784">
        <v>1.1349999999999999E-3</v>
      </c>
      <c r="D784">
        <v>9.3899999999999995E-4</v>
      </c>
      <c r="E784">
        <v>9.77E-4</v>
      </c>
      <c r="F784">
        <v>100711732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-0.61224489795918313</v>
      </c>
      <c r="Q784">
        <f t="shared" si="1005"/>
        <v>-61660244.081632599</v>
      </c>
      <c r="R784">
        <f t="shared" si="1006"/>
        <v>-647565693.55235302</v>
      </c>
      <c r="S784">
        <f t="shared" si="1007"/>
        <v>-6475.6569355235306</v>
      </c>
      <c r="T784">
        <f t="shared" si="1008"/>
        <v>-6.4756569355235305</v>
      </c>
    </row>
    <row r="785" spans="1:20" x14ac:dyDescent="0.25">
      <c r="A785" s="5">
        <v>43808</v>
      </c>
      <c r="B785">
        <v>1.1169999999999999E-3</v>
      </c>
      <c r="C785">
        <v>1.1640000000000001E-3</v>
      </c>
      <c r="D785">
        <v>1.0499999999999999E-3</v>
      </c>
      <c r="E785">
        <v>1.103E-3</v>
      </c>
      <c r="F785">
        <v>83985351</v>
      </c>
      <c r="G785">
        <v>0</v>
      </c>
      <c r="L785" t="s">
        <v>7</v>
      </c>
      <c r="M785" t="s">
        <v>8</v>
      </c>
      <c r="N785" t="s">
        <v>7</v>
      </c>
      <c r="P785">
        <f t="shared" si="1004"/>
        <v>-7.0175438596490933E-2</v>
      </c>
      <c r="Q785">
        <f t="shared" si="1005"/>
        <v>-5893708.8421052387</v>
      </c>
      <c r="R785">
        <f t="shared" si="1006"/>
        <v>-585905449.47072041</v>
      </c>
      <c r="S785">
        <f t="shared" si="1007"/>
        <v>-5859.054494707204</v>
      </c>
      <c r="T785">
        <f t="shared" si="1008"/>
        <v>-5.8590544947072036</v>
      </c>
    </row>
    <row r="786" spans="1:20" x14ac:dyDescent="0.25">
      <c r="A786" s="5">
        <v>43807</v>
      </c>
      <c r="B786">
        <v>1.145E-3</v>
      </c>
      <c r="C786">
        <v>1.199E-3</v>
      </c>
      <c r="D786">
        <v>1.1069999999999999E-3</v>
      </c>
      <c r="E786">
        <v>1.1169999999999999E-3</v>
      </c>
      <c r="F786">
        <v>99035802</v>
      </c>
      <c r="G786">
        <v>0</v>
      </c>
      <c r="L786" t="s">
        <v>7</v>
      </c>
      <c r="M786" t="s">
        <v>8</v>
      </c>
      <c r="N786" t="s">
        <v>7</v>
      </c>
      <c r="P786">
        <f t="shared" si="1004"/>
        <v>-0.7826086956521735</v>
      </c>
      <c r="Q786">
        <f t="shared" si="1005"/>
        <v>-77506279.826086909</v>
      </c>
      <c r="R786">
        <f t="shared" si="1006"/>
        <v>-580011740.62861514</v>
      </c>
      <c r="S786">
        <f t="shared" si="1007"/>
        <v>-5800.117406286151</v>
      </c>
      <c r="T786">
        <f t="shared" si="1008"/>
        <v>-5.8001174062861507</v>
      </c>
    </row>
    <row r="787" spans="1:20" x14ac:dyDescent="0.25">
      <c r="A787" s="5">
        <v>43806</v>
      </c>
      <c r="B787">
        <v>9.810000000000001E-4</v>
      </c>
      <c r="C787">
        <v>1.193E-3</v>
      </c>
      <c r="D787">
        <v>9.5200000000000005E-4</v>
      </c>
      <c r="E787">
        <v>1.145E-3</v>
      </c>
      <c r="F787">
        <v>203794733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0.6016597510373437</v>
      </c>
      <c r="Q787">
        <f t="shared" si="1005"/>
        <v>122615088.31950194</v>
      </c>
      <c r="R787">
        <f t="shared" si="1006"/>
        <v>-502505460.8025282</v>
      </c>
      <c r="S787">
        <f t="shared" si="1007"/>
        <v>-5025.0546080252816</v>
      </c>
      <c r="T787">
        <f t="shared" si="1008"/>
        <v>-5.0250546080252816</v>
      </c>
    </row>
    <row r="788" spans="1:20" x14ac:dyDescent="0.25">
      <c r="A788" s="5">
        <v>43805</v>
      </c>
      <c r="B788">
        <v>1.003E-3</v>
      </c>
      <c r="C788">
        <v>1.0120000000000001E-3</v>
      </c>
      <c r="D788">
        <v>9.6100000000000005E-4</v>
      </c>
      <c r="E788">
        <v>9.810000000000001E-4</v>
      </c>
      <c r="F788">
        <v>51452780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-0.2156862745098026</v>
      </c>
      <c r="Q788">
        <f t="shared" si="1005"/>
        <v>-11097658.43137248</v>
      </c>
      <c r="R788">
        <f t="shared" si="1006"/>
        <v>-625120549.12203014</v>
      </c>
      <c r="S788">
        <f t="shared" si="1007"/>
        <v>-6251.2054912203012</v>
      </c>
      <c r="T788">
        <f t="shared" si="1008"/>
        <v>-6.2512054912203014</v>
      </c>
    </row>
    <row r="789" spans="1:20" x14ac:dyDescent="0.25">
      <c r="A789" s="5">
        <v>43804</v>
      </c>
      <c r="B789">
        <v>1.013E-3</v>
      </c>
      <c r="C789">
        <v>1.026E-3</v>
      </c>
      <c r="D789">
        <v>9.8299999999999993E-4</v>
      </c>
      <c r="E789">
        <v>1.0120000000000001E-3</v>
      </c>
      <c r="F789">
        <v>24295197</v>
      </c>
      <c r="G789">
        <v>0</v>
      </c>
      <c r="L789" t="s">
        <v>8</v>
      </c>
      <c r="M789" t="s">
        <v>7</v>
      </c>
      <c r="N789" t="s">
        <v>7</v>
      </c>
      <c r="P789">
        <f t="shared" si="1004"/>
        <v>0.34883720930233098</v>
      </c>
      <c r="Q789">
        <f t="shared" si="1005"/>
        <v>8475068.720930364</v>
      </c>
      <c r="R789">
        <f t="shared" si="1006"/>
        <v>-614022890.69065762</v>
      </c>
      <c r="S789">
        <f t="shared" si="1007"/>
        <v>-6140.2289069065764</v>
      </c>
      <c r="T789">
        <f t="shared" si="1008"/>
        <v>-6.1402289069065761</v>
      </c>
    </row>
    <row r="790" spans="1:20" x14ac:dyDescent="0.25">
      <c r="A790" s="5">
        <v>43803</v>
      </c>
      <c r="B790">
        <v>1.0679999999999999E-3</v>
      </c>
      <c r="C790">
        <v>1.09E-3</v>
      </c>
      <c r="D790">
        <v>9.7099999999999997E-4</v>
      </c>
      <c r="E790">
        <v>1.0139999999999999E-3</v>
      </c>
      <c r="F790">
        <v>70751512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-0.27731092436974902</v>
      </c>
      <c r="Q790">
        <f t="shared" si="1005"/>
        <v>-19620167.193277389</v>
      </c>
      <c r="R790">
        <f t="shared" si="1006"/>
        <v>-622497959.41158795</v>
      </c>
      <c r="S790">
        <f t="shared" si="1007"/>
        <v>-6224.9795941158791</v>
      </c>
      <c r="T790">
        <f t="shared" si="1008"/>
        <v>-6.2249795941158794</v>
      </c>
    </row>
    <row r="791" spans="1:20" x14ac:dyDescent="0.25">
      <c r="A791" s="5">
        <v>43802</v>
      </c>
      <c r="B791">
        <v>1.1150000000000001E-3</v>
      </c>
      <c r="C791">
        <v>1.152E-3</v>
      </c>
      <c r="D791">
        <v>1.0529999999999999E-3</v>
      </c>
      <c r="E791">
        <v>1.0679999999999999E-3</v>
      </c>
      <c r="F791">
        <v>53741845</v>
      </c>
      <c r="G791">
        <v>0</v>
      </c>
      <c r="L791" t="s">
        <v>8</v>
      </c>
      <c r="M791" t="s">
        <v>7</v>
      </c>
      <c r="N791" t="s">
        <v>7</v>
      </c>
      <c r="P791">
        <f t="shared" si="1004"/>
        <v>-0.69696969696969657</v>
      </c>
      <c r="Q791">
        <f t="shared" si="1005"/>
        <v>-37456437.4242424</v>
      </c>
      <c r="R791">
        <f t="shared" si="1006"/>
        <v>-602877792.21831059</v>
      </c>
      <c r="S791">
        <f t="shared" si="1007"/>
        <v>-6028.7779221831061</v>
      </c>
      <c r="T791">
        <f t="shared" si="1008"/>
        <v>-6.0287779221831057</v>
      </c>
    </row>
    <row r="792" spans="1:20" x14ac:dyDescent="0.25">
      <c r="A792" s="5">
        <v>43801</v>
      </c>
      <c r="B792">
        <v>1.0759999999999999E-3</v>
      </c>
      <c r="C792">
        <v>1.1310000000000001E-3</v>
      </c>
      <c r="D792">
        <v>1.047E-3</v>
      </c>
      <c r="E792">
        <v>1.114E-3</v>
      </c>
      <c r="F792">
        <v>77817149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0.59523809523809357</v>
      </c>
      <c r="Q792">
        <f t="shared" si="1005"/>
        <v>46319731.547618918</v>
      </c>
      <c r="R792">
        <f t="shared" si="1006"/>
        <v>-565421354.79406822</v>
      </c>
      <c r="S792">
        <f t="shared" si="1007"/>
        <v>-5654.2135479406825</v>
      </c>
      <c r="T792">
        <f t="shared" si="1008"/>
        <v>-5.6542135479406825</v>
      </c>
    </row>
    <row r="793" spans="1:20" x14ac:dyDescent="0.25">
      <c r="A793" s="5">
        <v>43800</v>
      </c>
      <c r="B793">
        <v>1.124E-3</v>
      </c>
      <c r="C793">
        <v>1.1249999999999999E-3</v>
      </c>
      <c r="D793">
        <v>1.059E-3</v>
      </c>
      <c r="E793">
        <v>1.0759999999999999E-3</v>
      </c>
      <c r="F793">
        <v>36661524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-0.48484848484848775</v>
      </c>
      <c r="Q793">
        <f t="shared" si="1005"/>
        <v>-17775284.363636471</v>
      </c>
      <c r="R793">
        <f t="shared" si="1006"/>
        <v>-611741086.34168708</v>
      </c>
      <c r="S793">
        <f t="shared" si="1007"/>
        <v>-6117.4108634168706</v>
      </c>
      <c r="T793">
        <f t="shared" si="1008"/>
        <v>-6.1174108634168709</v>
      </c>
    </row>
    <row r="794" spans="1:20" x14ac:dyDescent="0.25">
      <c r="A794" s="5">
        <v>43799</v>
      </c>
      <c r="B794">
        <v>1.225E-3</v>
      </c>
      <c r="C794">
        <v>1.32E-3</v>
      </c>
      <c r="D794">
        <v>1.1100000000000001E-3</v>
      </c>
      <c r="E794">
        <v>1.132E-3</v>
      </c>
      <c r="F794">
        <v>173588121</v>
      </c>
      <c r="G794">
        <v>0</v>
      </c>
      <c r="L794" t="s">
        <v>7</v>
      </c>
      <c r="M794" t="s">
        <v>7</v>
      </c>
      <c r="N794" t="s">
        <v>7</v>
      </c>
      <c r="P794">
        <f t="shared" si="1004"/>
        <v>-0.79047619047619144</v>
      </c>
      <c r="Q794">
        <f t="shared" si="1005"/>
        <v>-137217276.60000017</v>
      </c>
      <c r="R794">
        <f t="shared" si="1006"/>
        <v>-593965801.97805059</v>
      </c>
      <c r="S794">
        <f t="shared" si="1007"/>
        <v>-5939.658019780506</v>
      </c>
      <c r="T794">
        <f t="shared" si="1008"/>
        <v>-5.9396580197805058</v>
      </c>
    </row>
    <row r="795" spans="1:20" x14ac:dyDescent="0.25">
      <c r="A795" s="5">
        <v>43798</v>
      </c>
      <c r="B795">
        <v>1.206E-3</v>
      </c>
      <c r="C795">
        <v>1.2359999999999999E-3</v>
      </c>
      <c r="D795">
        <v>1.188E-3</v>
      </c>
      <c r="E795">
        <v>1.2160000000000001E-3</v>
      </c>
      <c r="F795">
        <v>51435778</v>
      </c>
      <c r="G795">
        <v>0</v>
      </c>
      <c r="L795" t="s">
        <v>7</v>
      </c>
      <c r="M795" t="s">
        <v>8</v>
      </c>
      <c r="N795" t="s">
        <v>7</v>
      </c>
      <c r="P795">
        <f t="shared" si="1004"/>
        <v>0.16666666666667118</v>
      </c>
      <c r="Q795">
        <f t="shared" si="1005"/>
        <v>8572629.6666668989</v>
      </c>
      <c r="R795">
        <f t="shared" si="1006"/>
        <v>-456748525.37805045</v>
      </c>
      <c r="S795">
        <f t="shared" si="1007"/>
        <v>-4567.4852537805045</v>
      </c>
      <c r="T795">
        <f t="shared" si="1008"/>
        <v>-4.5674852537805046</v>
      </c>
    </row>
    <row r="796" spans="1:20" x14ac:dyDescent="0.25">
      <c r="A796" s="5">
        <v>43797</v>
      </c>
      <c r="B796">
        <v>1.242E-3</v>
      </c>
      <c r="C796">
        <v>1.2999999999999999E-3</v>
      </c>
      <c r="D796">
        <v>1.186E-3</v>
      </c>
      <c r="E796">
        <v>1.2030000000000001E-3</v>
      </c>
      <c r="F796">
        <v>105542172</v>
      </c>
      <c r="G796">
        <v>0</v>
      </c>
      <c r="L796" t="s">
        <v>7</v>
      </c>
      <c r="M796" t="s">
        <v>8</v>
      </c>
      <c r="N796" t="s">
        <v>7</v>
      </c>
      <c r="P796">
        <f t="shared" si="1004"/>
        <v>-0.70175438596491058</v>
      </c>
      <c r="Q796">
        <f t="shared" si="1005"/>
        <v>-74064682.10526298</v>
      </c>
      <c r="R796">
        <f t="shared" si="1006"/>
        <v>-465321155.04471737</v>
      </c>
      <c r="S796">
        <f t="shared" si="1007"/>
        <v>-4653.211550447174</v>
      </c>
      <c r="T796">
        <f t="shared" si="1008"/>
        <v>-4.6532115504471738</v>
      </c>
    </row>
    <row r="797" spans="1:20" x14ac:dyDescent="0.25">
      <c r="A797" s="5">
        <v>43796</v>
      </c>
      <c r="B797">
        <v>1.168E-3</v>
      </c>
      <c r="C797">
        <v>1.34E-3</v>
      </c>
      <c r="D797">
        <v>1.062E-3</v>
      </c>
      <c r="E797">
        <v>1.238E-3</v>
      </c>
      <c r="F797">
        <v>173883494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0.26618705035971163</v>
      </c>
      <c r="Q797">
        <f t="shared" si="1005"/>
        <v>46285534.374100618</v>
      </c>
      <c r="R797">
        <f t="shared" si="1006"/>
        <v>-391256472.93945438</v>
      </c>
      <c r="S797">
        <f t="shared" si="1007"/>
        <v>-3912.564729394544</v>
      </c>
      <c r="T797">
        <f t="shared" si="1008"/>
        <v>-3.912564729394544</v>
      </c>
    </row>
    <row r="798" spans="1:20" x14ac:dyDescent="0.25">
      <c r="A798" s="5">
        <v>43795</v>
      </c>
      <c r="B798">
        <v>1.0560000000000001E-3</v>
      </c>
      <c r="C798">
        <v>1.175E-3</v>
      </c>
      <c r="D798">
        <v>1.0449999999999999E-3</v>
      </c>
      <c r="E798">
        <v>1.1709999999999999E-3</v>
      </c>
      <c r="F798">
        <v>142291843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0.93846153846153701</v>
      </c>
      <c r="Q798">
        <f t="shared" si="1005"/>
        <v>133535421.89230749</v>
      </c>
      <c r="R798">
        <f t="shared" si="1006"/>
        <v>-437542007.313555</v>
      </c>
      <c r="S798">
        <f t="shared" si="1007"/>
        <v>-4375.4200731355504</v>
      </c>
      <c r="T798">
        <f t="shared" si="1008"/>
        <v>-4.3754200731355501</v>
      </c>
    </row>
    <row r="799" spans="1:20" x14ac:dyDescent="0.25">
      <c r="A799" s="5">
        <v>43794</v>
      </c>
      <c r="B799">
        <v>1.103E-3</v>
      </c>
      <c r="C799">
        <v>1.1440000000000001E-3</v>
      </c>
      <c r="D799">
        <v>9.6599999999999995E-4</v>
      </c>
      <c r="E799">
        <v>1.052E-3</v>
      </c>
      <c r="F799">
        <v>172278927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-3.3707865168539519E-2</v>
      </c>
      <c r="Q799">
        <f t="shared" si="1005"/>
        <v>-5807154.8426966621</v>
      </c>
      <c r="R799">
        <f t="shared" si="1006"/>
        <v>-571077429.20586252</v>
      </c>
      <c r="S799">
        <f t="shared" si="1007"/>
        <v>-5710.7742920586252</v>
      </c>
      <c r="T799">
        <f t="shared" si="1008"/>
        <v>-5.7107742920586251</v>
      </c>
    </row>
    <row r="800" spans="1:20" x14ac:dyDescent="0.25">
      <c r="A800" s="5">
        <v>43793</v>
      </c>
      <c r="B800">
        <v>1.225E-3</v>
      </c>
      <c r="C800">
        <v>1.237E-3</v>
      </c>
      <c r="D800">
        <v>1.0820000000000001E-3</v>
      </c>
      <c r="E800">
        <v>1.096E-3</v>
      </c>
      <c r="F800">
        <v>142803216</v>
      </c>
      <c r="G800">
        <v>0</v>
      </c>
      <c r="L800" t="s">
        <v>7</v>
      </c>
      <c r="M800" t="s">
        <v>7</v>
      </c>
      <c r="N800" t="s">
        <v>8</v>
      </c>
      <c r="P800">
        <f t="shared" si="1004"/>
        <v>-0.81935483870967862</v>
      </c>
      <c r="Q800">
        <f t="shared" si="1005"/>
        <v>-117006506.01290339</v>
      </c>
      <c r="R800">
        <f t="shared" si="1006"/>
        <v>-565270274.36316586</v>
      </c>
      <c r="S800">
        <f t="shared" si="1007"/>
        <v>-5652.7027436316584</v>
      </c>
      <c r="T800">
        <f t="shared" si="1008"/>
        <v>-5.6527027436316581</v>
      </c>
    </row>
    <row r="801" spans="1:20" x14ac:dyDescent="0.25">
      <c r="A801" s="5">
        <v>43792</v>
      </c>
      <c r="B801">
        <v>1.2290000000000001E-3</v>
      </c>
      <c r="C801">
        <v>1.2979999999999999E-3</v>
      </c>
      <c r="D801">
        <v>1.1980000000000001E-3</v>
      </c>
      <c r="E801">
        <v>1.225E-3</v>
      </c>
      <c r="F801">
        <v>143129916</v>
      </c>
      <c r="G801">
        <v>0</v>
      </c>
      <c r="L801" t="s">
        <v>7</v>
      </c>
      <c r="M801" t="s">
        <v>8</v>
      </c>
      <c r="N801" t="s">
        <v>8</v>
      </c>
      <c r="P801">
        <f t="shared" si="1004"/>
        <v>-0.46000000000000113</v>
      </c>
      <c r="Q801">
        <f t="shared" si="1005"/>
        <v>-65839761.360000163</v>
      </c>
      <c r="R801">
        <f t="shared" si="1006"/>
        <v>-448263768.35026252</v>
      </c>
      <c r="S801">
        <f t="shared" si="1007"/>
        <v>-4482.6376835026249</v>
      </c>
      <c r="T801">
        <f t="shared" si="1008"/>
        <v>-4.4826376835026247</v>
      </c>
    </row>
    <row r="802" spans="1:20" x14ac:dyDescent="0.25">
      <c r="A802" s="5">
        <v>43791</v>
      </c>
      <c r="B802">
        <v>1.2290000000000001E-3</v>
      </c>
      <c r="C802">
        <v>1.438E-3</v>
      </c>
      <c r="D802">
        <v>1.199E-3</v>
      </c>
      <c r="E802">
        <v>1.2329999999999999E-3</v>
      </c>
      <c r="F802">
        <v>481660968</v>
      </c>
      <c r="G802">
        <v>0</v>
      </c>
      <c r="L802" t="s">
        <v>8</v>
      </c>
      <c r="M802" t="s">
        <v>8</v>
      </c>
      <c r="N802" t="s">
        <v>8</v>
      </c>
      <c r="P802">
        <f t="shared" si="1004"/>
        <v>-0.71548117154811752</v>
      </c>
      <c r="Q802">
        <f t="shared" si="1005"/>
        <v>-344619353.67364037</v>
      </c>
      <c r="R802">
        <f t="shared" si="1006"/>
        <v>-382424006.99026239</v>
      </c>
      <c r="S802">
        <f t="shared" si="1007"/>
        <v>-3824.2400699026239</v>
      </c>
      <c r="T802">
        <f t="shared" si="1008"/>
        <v>-3.8242400699026238</v>
      </c>
    </row>
    <row r="803" spans="1:20" x14ac:dyDescent="0.25">
      <c r="A803" s="5">
        <v>43790</v>
      </c>
      <c r="B803">
        <v>1.189E-3</v>
      </c>
      <c r="C803">
        <v>1.2520000000000001E-3</v>
      </c>
      <c r="D803">
        <v>1.121E-3</v>
      </c>
      <c r="E803">
        <v>1.232E-3</v>
      </c>
      <c r="F803">
        <v>96799991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0.69465648854961759</v>
      </c>
      <c r="Q803">
        <f t="shared" si="1005"/>
        <v>67242741.839694589</v>
      </c>
      <c r="R803">
        <f t="shared" si="1006"/>
        <v>-37804653.316622019</v>
      </c>
      <c r="S803">
        <f t="shared" si="1007"/>
        <v>-378.04653316622017</v>
      </c>
      <c r="T803">
        <f t="shared" si="1008"/>
        <v>-0.37804653316622017</v>
      </c>
    </row>
    <row r="804" spans="1:20" x14ac:dyDescent="0.25">
      <c r="A804" s="5">
        <v>43789</v>
      </c>
      <c r="B804">
        <v>1.2669999999999999E-3</v>
      </c>
      <c r="C804">
        <v>1.271E-3</v>
      </c>
      <c r="D804">
        <v>1.1479999999999999E-3</v>
      </c>
      <c r="E804">
        <v>1.189E-3</v>
      </c>
      <c r="F804">
        <v>134698755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-0.33333333333333331</v>
      </c>
      <c r="Q804">
        <f t="shared" si="1005"/>
        <v>-44899585</v>
      </c>
      <c r="R804">
        <f t="shared" si="1006"/>
        <v>-105047395.15631661</v>
      </c>
      <c r="S804">
        <f t="shared" si="1007"/>
        <v>-1050.4739515631661</v>
      </c>
      <c r="T804">
        <f t="shared" si="1008"/>
        <v>-1.050473951563166</v>
      </c>
    </row>
    <row r="805" spans="1:20" x14ac:dyDescent="0.25">
      <c r="A805" s="5">
        <v>43788</v>
      </c>
      <c r="B805">
        <v>1.2849999999999999E-3</v>
      </c>
      <c r="C805">
        <v>1.3749999999999999E-3</v>
      </c>
      <c r="D805">
        <v>1.1950000000000001E-3</v>
      </c>
      <c r="E805">
        <v>1.2750000000000001E-3</v>
      </c>
      <c r="F805">
        <v>249979880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-0.11111111111111031</v>
      </c>
      <c r="Q805">
        <f t="shared" si="1005"/>
        <v>-27775542.222222023</v>
      </c>
      <c r="R805">
        <f t="shared" si="1006"/>
        <v>-60147810.156316601</v>
      </c>
      <c r="S805">
        <f t="shared" si="1007"/>
        <v>-601.47810156316598</v>
      </c>
      <c r="T805">
        <f t="shared" si="1008"/>
        <v>-0.60147810156316595</v>
      </c>
    </row>
    <row r="806" spans="1:20" x14ac:dyDescent="0.25">
      <c r="A806" s="5">
        <v>43787</v>
      </c>
      <c r="B806">
        <v>1.1850000000000001E-3</v>
      </c>
      <c r="C806">
        <v>1.5E-3</v>
      </c>
      <c r="D806">
        <v>1.15E-3</v>
      </c>
      <c r="E806">
        <v>1.2830000000000001E-3</v>
      </c>
      <c r="F806">
        <v>286714768</v>
      </c>
      <c r="G806">
        <v>0</v>
      </c>
      <c r="L806" t="s">
        <v>8</v>
      </c>
      <c r="M806" t="s">
        <v>8</v>
      </c>
      <c r="N806" t="s">
        <v>8</v>
      </c>
      <c r="P806">
        <f t="shared" si="1004"/>
        <v>-0.2399999999999996</v>
      </c>
      <c r="Q806">
        <f t="shared" si="1005"/>
        <v>-68811544.319999889</v>
      </c>
      <c r="R806">
        <f t="shared" si="1006"/>
        <v>-32372267.934094578</v>
      </c>
      <c r="S806">
        <f t="shared" si="1007"/>
        <v>-323.72267934094577</v>
      </c>
      <c r="T806">
        <f t="shared" si="1008"/>
        <v>-0.32372267934094578</v>
      </c>
    </row>
    <row r="807" spans="1:20" x14ac:dyDescent="0.25">
      <c r="A807" s="5">
        <v>43786</v>
      </c>
      <c r="B807">
        <v>1.085E-3</v>
      </c>
      <c r="C807">
        <v>1.31E-3</v>
      </c>
      <c r="D807">
        <v>1.0759999999999999E-3</v>
      </c>
      <c r="E807">
        <v>1.1850000000000001E-3</v>
      </c>
      <c r="F807">
        <v>155346716</v>
      </c>
      <c r="G807">
        <v>0</v>
      </c>
      <c r="L807" t="s">
        <v>8</v>
      </c>
      <c r="M807" t="s">
        <v>8</v>
      </c>
      <c r="N807" t="s">
        <v>8</v>
      </c>
      <c r="P807">
        <f t="shared" si="1004"/>
        <v>-6.8376068376067245E-2</v>
      </c>
      <c r="Q807">
        <f t="shared" si="1005"/>
        <v>-10621997.675213499</v>
      </c>
      <c r="R807">
        <f t="shared" si="1006"/>
        <v>36439276.385905311</v>
      </c>
      <c r="S807">
        <f t="shared" si="1007"/>
        <v>364.3927638590531</v>
      </c>
      <c r="T807">
        <f t="shared" si="1008"/>
        <v>0.36439276385905311</v>
      </c>
    </row>
    <row r="808" spans="1:20" x14ac:dyDescent="0.25">
      <c r="A808" s="5">
        <v>43785</v>
      </c>
      <c r="B808">
        <v>1.072E-3</v>
      </c>
      <c r="C808">
        <v>1.098E-3</v>
      </c>
      <c r="D808">
        <v>1.052E-3</v>
      </c>
      <c r="E808">
        <v>1.0859999999999999E-3</v>
      </c>
      <c r="F808">
        <v>40310792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0.47826086956521452</v>
      </c>
      <c r="Q808">
        <f t="shared" si="1005"/>
        <v>19279074.434782494</v>
      </c>
      <c r="R808">
        <f t="shared" si="1006"/>
        <v>47061274.061118811</v>
      </c>
      <c r="S808">
        <f t="shared" si="1007"/>
        <v>470.61274061118809</v>
      </c>
      <c r="T808">
        <f t="shared" si="1008"/>
        <v>0.47061274061118807</v>
      </c>
    </row>
    <row r="809" spans="1:20" x14ac:dyDescent="0.25">
      <c r="A809" s="5">
        <v>43784</v>
      </c>
      <c r="B809">
        <v>1.1670000000000001E-3</v>
      </c>
      <c r="C809">
        <v>1.1670000000000001E-3</v>
      </c>
      <c r="D809">
        <v>1.0280000000000001E-3</v>
      </c>
      <c r="E809">
        <v>1.0759999999999999E-3</v>
      </c>
      <c r="F809">
        <v>164017185</v>
      </c>
      <c r="G809">
        <v>0</v>
      </c>
      <c r="L809" t="s">
        <v>8</v>
      </c>
      <c r="M809" t="s">
        <v>7</v>
      </c>
      <c r="N809" t="s">
        <v>8</v>
      </c>
      <c r="P809">
        <f t="shared" si="1004"/>
        <v>-0.30935251798561353</v>
      </c>
      <c r="Q809">
        <f t="shared" si="1005"/>
        <v>-50739129.172662199</v>
      </c>
      <c r="R809">
        <f t="shared" si="1006"/>
        <v>27782199.626336321</v>
      </c>
      <c r="S809">
        <f t="shared" si="1007"/>
        <v>277.82199626336319</v>
      </c>
      <c r="T809">
        <f t="shared" si="1008"/>
        <v>0.27782199626336318</v>
      </c>
    </row>
    <row r="810" spans="1:20" x14ac:dyDescent="0.25">
      <c r="A810" s="5">
        <v>43783</v>
      </c>
      <c r="B810">
        <v>1.059E-3</v>
      </c>
      <c r="C810">
        <v>1.193E-3</v>
      </c>
      <c r="D810">
        <v>1.0300000000000001E-3</v>
      </c>
      <c r="E810">
        <v>1.157E-3</v>
      </c>
      <c r="F810">
        <v>143859989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0.55828220858895683</v>
      </c>
      <c r="Q810">
        <f t="shared" si="1005"/>
        <v>80314472.386503041</v>
      </c>
      <c r="R810">
        <f t="shared" si="1006"/>
        <v>78521328.79899852</v>
      </c>
      <c r="S810">
        <f t="shared" si="1007"/>
        <v>785.21328798998525</v>
      </c>
      <c r="T810">
        <f t="shared" si="1008"/>
        <v>0.78521328798998524</v>
      </c>
    </row>
    <row r="811" spans="1:20" x14ac:dyDescent="0.25">
      <c r="A811" s="5">
        <v>43782</v>
      </c>
      <c r="B811">
        <v>1.072E-3</v>
      </c>
      <c r="C811">
        <v>1.101E-3</v>
      </c>
      <c r="D811">
        <v>1.052E-3</v>
      </c>
      <c r="E811">
        <v>1.0679999999999999E-3</v>
      </c>
      <c r="F811">
        <v>41845545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-0.34693877551020591</v>
      </c>
      <c r="Q811">
        <f t="shared" si="1005"/>
        <v>-14517842.14285722</v>
      </c>
      <c r="R811">
        <f t="shared" si="1006"/>
        <v>-1793143.5875045191</v>
      </c>
      <c r="S811">
        <f t="shared" si="1007"/>
        <v>-17.931435875045192</v>
      </c>
      <c r="T811">
        <f t="shared" si="1008"/>
        <v>-1.7931435875045192E-2</v>
      </c>
    </row>
    <row r="812" spans="1:20" x14ac:dyDescent="0.25">
      <c r="A812" s="5">
        <v>43781</v>
      </c>
      <c r="B812">
        <v>1.073E-3</v>
      </c>
      <c r="C812">
        <v>1.0820000000000001E-3</v>
      </c>
      <c r="D812">
        <v>1.0380000000000001E-3</v>
      </c>
      <c r="E812">
        <v>1.0679999999999999E-3</v>
      </c>
      <c r="F812">
        <v>38591945</v>
      </c>
      <c r="G812">
        <v>0</v>
      </c>
      <c r="L812" t="s">
        <v>7</v>
      </c>
      <c r="M812" t="s">
        <v>7</v>
      </c>
      <c r="N812" t="s">
        <v>8</v>
      </c>
      <c r="P812">
        <f t="shared" si="1004"/>
        <v>0.36363636363635782</v>
      </c>
      <c r="Q812">
        <f t="shared" si="1005"/>
        <v>14033434.545454321</v>
      </c>
      <c r="R812">
        <f t="shared" si="1006"/>
        <v>12724698.555352701</v>
      </c>
      <c r="S812">
        <f t="shared" si="1007"/>
        <v>127.24698555352701</v>
      </c>
      <c r="T812">
        <f t="shared" si="1008"/>
        <v>0.12724698555352701</v>
      </c>
    </row>
    <row r="813" spans="1:20" x14ac:dyDescent="0.25">
      <c r="A813" s="5">
        <v>43780</v>
      </c>
      <c r="B813">
        <v>1.0889999999999999E-3</v>
      </c>
      <c r="C813">
        <v>1.145E-3</v>
      </c>
      <c r="D813">
        <v>1.0219999999999999E-3</v>
      </c>
      <c r="E813">
        <v>1.073E-3</v>
      </c>
      <c r="F813">
        <v>121406057</v>
      </c>
      <c r="G813">
        <v>0</v>
      </c>
      <c r="L813" t="s">
        <v>8</v>
      </c>
      <c r="M813" t="s">
        <v>7</v>
      </c>
      <c r="N813" t="s">
        <v>8</v>
      </c>
      <c r="P813">
        <f t="shared" si="1004"/>
        <v>-0.17073170731707282</v>
      </c>
      <c r="Q813">
        <f t="shared" si="1005"/>
        <v>-20727863.390243862</v>
      </c>
      <c r="R813">
        <f t="shared" si="1006"/>
        <v>-1308735.9901016206</v>
      </c>
      <c r="S813">
        <f t="shared" si="1007"/>
        <v>-13.087359901016205</v>
      </c>
      <c r="T813">
        <f t="shared" si="1008"/>
        <v>-1.3087359901016204E-2</v>
      </c>
    </row>
    <row r="814" spans="1:20" x14ac:dyDescent="0.25">
      <c r="A814" s="5">
        <v>43779</v>
      </c>
      <c r="B814">
        <v>1.0280000000000001E-3</v>
      </c>
      <c r="C814">
        <v>1.1349999999999999E-3</v>
      </c>
      <c r="D814">
        <v>1.018E-3</v>
      </c>
      <c r="E814">
        <v>1.0920000000000001E-3</v>
      </c>
      <c r="F814">
        <v>81526493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0.26495726495726696</v>
      </c>
      <c r="Q814">
        <f t="shared" si="1005"/>
        <v>21601036.606837768</v>
      </c>
      <c r="R814">
        <f t="shared" si="1006"/>
        <v>19419127.400142241</v>
      </c>
      <c r="S814">
        <f t="shared" si="1007"/>
        <v>194.19127400142241</v>
      </c>
      <c r="T814">
        <f t="shared" si="1008"/>
        <v>0.19419127400142241</v>
      </c>
    </row>
    <row r="815" spans="1:20" x14ac:dyDescent="0.25">
      <c r="A815" s="5">
        <v>43778</v>
      </c>
      <c r="B815">
        <v>1.041E-3</v>
      </c>
      <c r="C815">
        <v>1.1100000000000001E-3</v>
      </c>
      <c r="D815">
        <v>1.0009999999999999E-3</v>
      </c>
      <c r="E815">
        <v>1.029E-3</v>
      </c>
      <c r="F815">
        <v>93664206</v>
      </c>
      <c r="G815">
        <v>0</v>
      </c>
      <c r="L815" t="s">
        <v>8</v>
      </c>
      <c r="M815" t="s">
        <v>7</v>
      </c>
      <c r="N815" t="s">
        <v>8</v>
      </c>
      <c r="P815">
        <f t="shared" si="1004"/>
        <v>-0.48623853211009194</v>
      </c>
      <c r="Q815">
        <f t="shared" si="1005"/>
        <v>-45543146.036697268</v>
      </c>
      <c r="R815">
        <f t="shared" si="1006"/>
        <v>-2181909.2066955268</v>
      </c>
      <c r="S815">
        <f t="shared" si="1007"/>
        <v>-21.819092066955267</v>
      </c>
      <c r="T815">
        <f t="shared" si="1008"/>
        <v>-2.1819092066955266E-2</v>
      </c>
    </row>
    <row r="816" spans="1:20" x14ac:dyDescent="0.25">
      <c r="A816" s="5">
        <v>43777</v>
      </c>
      <c r="B816">
        <v>1.1410000000000001E-3</v>
      </c>
      <c r="C816">
        <v>1.155E-3</v>
      </c>
      <c r="D816">
        <v>1.0070000000000001E-3</v>
      </c>
      <c r="E816">
        <v>1.041E-3</v>
      </c>
      <c r="F816">
        <v>129514255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-0.54054054054054079</v>
      </c>
      <c r="Q816">
        <f t="shared" si="1005"/>
        <v>-70007705.405405432</v>
      </c>
      <c r="R816">
        <f t="shared" si="1006"/>
        <v>43361236.830001742</v>
      </c>
      <c r="S816">
        <f t="shared" si="1007"/>
        <v>433.61236830001741</v>
      </c>
      <c r="T816">
        <f t="shared" si="1008"/>
        <v>0.43361236830001743</v>
      </c>
    </row>
    <row r="817" spans="1:20" x14ac:dyDescent="0.25">
      <c r="A817" s="5">
        <v>43776</v>
      </c>
      <c r="B817">
        <v>1.0549999999999999E-3</v>
      </c>
      <c r="C817">
        <v>1.315E-3</v>
      </c>
      <c r="D817">
        <v>1E-3</v>
      </c>
      <c r="E817">
        <v>1.142E-3</v>
      </c>
      <c r="F817">
        <v>388350062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-9.841269841269841E-2</v>
      </c>
      <c r="Q817">
        <f t="shared" si="1005"/>
        <v>-38218577.530158728</v>
      </c>
      <c r="R817">
        <f t="shared" si="1006"/>
        <v>113368942.23540717</v>
      </c>
      <c r="S817">
        <f t="shared" si="1007"/>
        <v>1133.6894223540717</v>
      </c>
      <c r="T817">
        <f t="shared" si="1008"/>
        <v>1.1336894223540717</v>
      </c>
    </row>
    <row r="818" spans="1:20" x14ac:dyDescent="0.25">
      <c r="A818" s="5">
        <v>43775</v>
      </c>
      <c r="B818">
        <v>1.031E-3</v>
      </c>
      <c r="C818">
        <v>1.0740000000000001E-3</v>
      </c>
      <c r="D818">
        <v>1.0189999999999999E-3</v>
      </c>
      <c r="E818">
        <v>1.0529999999999999E-3</v>
      </c>
      <c r="F818">
        <v>28250220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0.23636363636363164</v>
      </c>
      <c r="Q818">
        <f t="shared" si="1005"/>
        <v>6677324.7272725934</v>
      </c>
      <c r="R818">
        <f t="shared" si="1006"/>
        <v>151587519.7655659</v>
      </c>
      <c r="S818">
        <f t="shared" si="1007"/>
        <v>1515.8751976556591</v>
      </c>
      <c r="T818">
        <f t="shared" si="1008"/>
        <v>1.515875197655659</v>
      </c>
    </row>
    <row r="819" spans="1:20" x14ac:dyDescent="0.25">
      <c r="A819" s="5">
        <v>43774</v>
      </c>
      <c r="B819">
        <v>1.057E-3</v>
      </c>
      <c r="C819">
        <v>1.0610000000000001E-3</v>
      </c>
      <c r="D819">
        <v>1.011E-3</v>
      </c>
      <c r="E819">
        <v>1.0300000000000001E-3</v>
      </c>
      <c r="F819">
        <v>37715565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-0.23999999999999652</v>
      </c>
      <c r="Q819">
        <f t="shared" si="1005"/>
        <v>-9051735.5999998692</v>
      </c>
      <c r="R819">
        <f t="shared" si="1006"/>
        <v>144910195.0382933</v>
      </c>
      <c r="S819">
        <f t="shared" si="1007"/>
        <v>1449.101950382933</v>
      </c>
      <c r="T819">
        <f t="shared" si="1008"/>
        <v>1.449101950382933</v>
      </c>
    </row>
    <row r="820" spans="1:20" x14ac:dyDescent="0.25">
      <c r="A820" s="5">
        <v>43773</v>
      </c>
      <c r="B820">
        <v>9.77E-4</v>
      </c>
      <c r="C820">
        <v>1.075E-3</v>
      </c>
      <c r="D820">
        <v>9.77E-4</v>
      </c>
      <c r="E820">
        <v>1.052E-3</v>
      </c>
      <c r="F820">
        <v>65317299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0.53061224489795877</v>
      </c>
      <c r="Q820">
        <f t="shared" si="1005"/>
        <v>34658158.653061196</v>
      </c>
      <c r="R820">
        <f t="shared" si="1006"/>
        <v>153961930.63829318</v>
      </c>
      <c r="S820">
        <f t="shared" si="1007"/>
        <v>1539.6193063829319</v>
      </c>
      <c r="T820">
        <f t="shared" si="1008"/>
        <v>1.539619306382932</v>
      </c>
    </row>
    <row r="821" spans="1:20" x14ac:dyDescent="0.25">
      <c r="A821" s="5">
        <v>43772</v>
      </c>
      <c r="B821">
        <v>1.0020000000000001E-3</v>
      </c>
      <c r="C821">
        <v>1.024E-3</v>
      </c>
      <c r="D821">
        <v>9.59E-4</v>
      </c>
      <c r="E821">
        <v>9.77E-4</v>
      </c>
      <c r="F821">
        <v>19490570</v>
      </c>
      <c r="G821">
        <v>0</v>
      </c>
      <c r="L821" t="s">
        <v>8</v>
      </c>
      <c r="M821" t="s">
        <v>8</v>
      </c>
      <c r="N821" t="s">
        <v>7</v>
      </c>
      <c r="P821">
        <f t="shared" si="1004"/>
        <v>-0.44615384615384562</v>
      </c>
      <c r="Q821">
        <f t="shared" si="1005"/>
        <v>-8695792.7692307588</v>
      </c>
      <c r="R821">
        <f t="shared" si="1006"/>
        <v>119303771.98523198</v>
      </c>
      <c r="S821">
        <f t="shared" si="1007"/>
        <v>1193.0377198523197</v>
      </c>
      <c r="T821">
        <f t="shared" si="1008"/>
        <v>1.1930377198523197</v>
      </c>
    </row>
    <row r="822" spans="1:20" x14ac:dyDescent="0.25">
      <c r="A822" s="5">
        <v>43771</v>
      </c>
      <c r="B822">
        <v>9.9799999999999997E-4</v>
      </c>
      <c r="C822">
        <v>1.021E-3</v>
      </c>
      <c r="D822">
        <v>9.6199999999999996E-4</v>
      </c>
      <c r="E822">
        <v>1.0020000000000001E-3</v>
      </c>
      <c r="F822">
        <v>40010692</v>
      </c>
      <c r="G822">
        <v>0</v>
      </c>
      <c r="L822" t="s">
        <v>8</v>
      </c>
      <c r="M822" t="s">
        <v>8</v>
      </c>
      <c r="N822" t="s">
        <v>7</v>
      </c>
      <c r="P822">
        <f t="shared" si="1004"/>
        <v>0.3559322033898335</v>
      </c>
      <c r="Q822">
        <f t="shared" si="1005"/>
        <v>14241093.762711985</v>
      </c>
      <c r="R822">
        <f t="shared" si="1006"/>
        <v>127999564.75446273</v>
      </c>
      <c r="S822">
        <f t="shared" si="1007"/>
        <v>1279.9956475446274</v>
      </c>
      <c r="T822">
        <f t="shared" si="1008"/>
        <v>1.2799956475446275</v>
      </c>
    </row>
    <row r="823" spans="1:20" x14ac:dyDescent="0.25">
      <c r="A823" s="5">
        <v>43770</v>
      </c>
      <c r="B823">
        <v>9.8799999999999995E-4</v>
      </c>
      <c r="C823">
        <v>1.016E-3</v>
      </c>
      <c r="D823">
        <v>9.6900000000000003E-4</v>
      </c>
      <c r="E823">
        <v>9.9799999999999997E-4</v>
      </c>
      <c r="F823">
        <v>47245145</v>
      </c>
      <c r="G823">
        <v>0</v>
      </c>
      <c r="L823" t="s">
        <v>8</v>
      </c>
      <c r="M823" t="s">
        <v>8</v>
      </c>
      <c r="N823" t="s">
        <v>7</v>
      </c>
      <c r="P823">
        <f t="shared" si="1004"/>
        <v>0.23404255319148837</v>
      </c>
      <c r="Q823">
        <f t="shared" si="1005"/>
        <v>11057374.361702081</v>
      </c>
      <c r="R823">
        <f t="shared" si="1006"/>
        <v>113758470.99175075</v>
      </c>
      <c r="S823">
        <f t="shared" si="1007"/>
        <v>1137.5847099175076</v>
      </c>
      <c r="T823">
        <f t="shared" si="1008"/>
        <v>1.1375847099175076</v>
      </c>
    </row>
    <row r="824" spans="1:20" x14ac:dyDescent="0.25">
      <c r="A824" s="5">
        <v>43769</v>
      </c>
      <c r="B824">
        <v>9.59E-4</v>
      </c>
      <c r="C824">
        <v>1.0150000000000001E-3</v>
      </c>
      <c r="D824">
        <v>9.19E-4</v>
      </c>
      <c r="E824">
        <v>1E-3</v>
      </c>
      <c r="F824">
        <v>27773438</v>
      </c>
      <c r="G824">
        <v>0</v>
      </c>
      <c r="L824" t="s">
        <v>8</v>
      </c>
      <c r="M824" t="s">
        <v>8</v>
      </c>
      <c r="N824" t="s">
        <v>7</v>
      </c>
      <c r="P824">
        <f t="shared" si="1004"/>
        <v>0.68749999999999933</v>
      </c>
      <c r="Q824">
        <f t="shared" si="1005"/>
        <v>19094238.624999981</v>
      </c>
      <c r="R824">
        <f t="shared" si="1006"/>
        <v>102701096.63004866</v>
      </c>
      <c r="S824">
        <f t="shared" si="1007"/>
        <v>1027.0109663004866</v>
      </c>
      <c r="T824">
        <f t="shared" si="1008"/>
        <v>1.0270109663004867</v>
      </c>
    </row>
    <row r="825" spans="1:20" x14ac:dyDescent="0.25">
      <c r="A825" s="5">
        <v>43768</v>
      </c>
      <c r="B825">
        <v>9.9700000000000006E-4</v>
      </c>
      <c r="C825">
        <v>1.0349999999999999E-3</v>
      </c>
      <c r="D825">
        <v>9.1500000000000001E-4</v>
      </c>
      <c r="E825">
        <v>9.5600000000000004E-4</v>
      </c>
      <c r="F825">
        <v>37818444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-0.31666666666666565</v>
      </c>
      <c r="Q825">
        <f t="shared" si="1005"/>
        <v>-11975840.599999962</v>
      </c>
      <c r="R825">
        <f t="shared" si="1006"/>
        <v>83606858.005048677</v>
      </c>
      <c r="S825">
        <f t="shared" si="1007"/>
        <v>836.06858005048673</v>
      </c>
      <c r="T825">
        <f t="shared" si="1008"/>
        <v>0.83606858005048668</v>
      </c>
    </row>
    <row r="826" spans="1:20" x14ac:dyDescent="0.25">
      <c r="A826" s="5">
        <v>43767</v>
      </c>
      <c r="B826">
        <v>1.0089999999999999E-3</v>
      </c>
      <c r="C826">
        <v>1.0250000000000001E-3</v>
      </c>
      <c r="D826">
        <v>9.7099999999999997E-4</v>
      </c>
      <c r="E826">
        <v>9.9700000000000006E-4</v>
      </c>
      <c r="F826">
        <v>35579932</v>
      </c>
      <c r="G826">
        <v>0</v>
      </c>
      <c r="L826" t="s">
        <v>8</v>
      </c>
      <c r="M826" t="s">
        <v>8</v>
      </c>
      <c r="N826" t="s">
        <v>7</v>
      </c>
      <c r="P826">
        <f t="shared" si="1004"/>
        <v>-3.7037037037035848E-2</v>
      </c>
      <c r="Q826">
        <f t="shared" si="1005"/>
        <v>-1317775.259259217</v>
      </c>
      <c r="R826">
        <f t="shared" si="1006"/>
        <v>95582698.605048642</v>
      </c>
      <c r="S826">
        <f t="shared" si="1007"/>
        <v>955.82698605048643</v>
      </c>
      <c r="T826">
        <f t="shared" si="1008"/>
        <v>0.95582698605048644</v>
      </c>
    </row>
    <row r="827" spans="1:20" x14ac:dyDescent="0.25">
      <c r="A827" s="5">
        <v>43766</v>
      </c>
      <c r="B827">
        <v>9.7400000000000004E-4</v>
      </c>
      <c r="C827">
        <v>1.0330000000000001E-3</v>
      </c>
      <c r="D827">
        <v>9.3300000000000002E-4</v>
      </c>
      <c r="E827">
        <v>1.01E-3</v>
      </c>
      <c r="F827">
        <v>36984616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0.53999999999999992</v>
      </c>
      <c r="Q827">
        <f t="shared" si="1005"/>
        <v>19971692.639999997</v>
      </c>
      <c r="R827">
        <f t="shared" si="1006"/>
        <v>96900473.864307866</v>
      </c>
      <c r="S827">
        <f t="shared" si="1007"/>
        <v>969.00473864307867</v>
      </c>
      <c r="T827">
        <f t="shared" si="1008"/>
        <v>0.96900473864307868</v>
      </c>
    </row>
    <row r="828" spans="1:20" x14ac:dyDescent="0.25">
      <c r="A828" s="5">
        <v>43765</v>
      </c>
      <c r="B828">
        <v>9.1600000000000004E-4</v>
      </c>
      <c r="C828">
        <v>1.021E-3</v>
      </c>
      <c r="D828">
        <v>9.0200000000000002E-4</v>
      </c>
      <c r="E828">
        <v>9.7400000000000004E-4</v>
      </c>
      <c r="F828">
        <v>46446819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0.21008403361344599</v>
      </c>
      <c r="Q828">
        <f t="shared" si="1005"/>
        <v>9757735.084033642</v>
      </c>
      <c r="R828">
        <f t="shared" si="1006"/>
        <v>76928781.224307865</v>
      </c>
      <c r="S828">
        <f t="shared" si="1007"/>
        <v>769.28781224307863</v>
      </c>
      <c r="T828">
        <f t="shared" si="1008"/>
        <v>0.76928781224307863</v>
      </c>
    </row>
    <row r="829" spans="1:20" x14ac:dyDescent="0.25">
      <c r="A829" s="5">
        <v>43764</v>
      </c>
      <c r="B829">
        <v>9.4499999999999998E-4</v>
      </c>
      <c r="C829">
        <v>1.034E-3</v>
      </c>
      <c r="D829">
        <v>8.8699999999999998E-4</v>
      </c>
      <c r="E829">
        <v>9.1600000000000004E-4</v>
      </c>
      <c r="F829">
        <v>63995850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-0.60544217687074753</v>
      </c>
      <c r="Q829">
        <f t="shared" si="1005"/>
        <v>-38745786.734693825</v>
      </c>
      <c r="R829">
        <f t="shared" si="1006"/>
        <v>67171046.140274227</v>
      </c>
      <c r="S829">
        <f t="shared" si="1007"/>
        <v>671.71046140274223</v>
      </c>
      <c r="T829">
        <f t="shared" si="1008"/>
        <v>0.67171046140274226</v>
      </c>
    </row>
    <row r="830" spans="1:20" x14ac:dyDescent="0.25">
      <c r="A830" s="5">
        <v>43763</v>
      </c>
      <c r="B830">
        <v>9.0799999999999995E-4</v>
      </c>
      <c r="C830">
        <v>9.5299999999999996E-4</v>
      </c>
      <c r="D830">
        <v>8.6700000000000004E-4</v>
      </c>
      <c r="E830">
        <v>9.4499999999999998E-4</v>
      </c>
      <c r="F830">
        <v>152869000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0.81395348837209336</v>
      </c>
      <c r="Q830">
        <f t="shared" si="1005"/>
        <v>124428255.81395353</v>
      </c>
      <c r="R830">
        <f t="shared" si="1006"/>
        <v>105916832.87496805</v>
      </c>
      <c r="S830">
        <f t="shared" si="1007"/>
        <v>1059.1683287496805</v>
      </c>
      <c r="T830">
        <f t="shared" si="1008"/>
        <v>1.0591683287496805</v>
      </c>
    </row>
    <row r="831" spans="1:20" x14ac:dyDescent="0.25">
      <c r="A831" s="5">
        <v>43762</v>
      </c>
      <c r="B831">
        <v>8.2100000000000001E-4</v>
      </c>
      <c r="C831">
        <v>9.1500000000000001E-4</v>
      </c>
      <c r="D831">
        <v>7.7099999999999998E-4</v>
      </c>
      <c r="E831">
        <v>9.0499999999999999E-4</v>
      </c>
      <c r="F831">
        <v>75888848</v>
      </c>
      <c r="G831">
        <v>0</v>
      </c>
      <c r="L831" t="s">
        <v>7</v>
      </c>
      <c r="M831" t="s">
        <v>7</v>
      </c>
      <c r="N831" t="s">
        <v>7</v>
      </c>
      <c r="P831">
        <f t="shared" ref="P831:P889" si="1009">IF(C831=D831,0,((E831-D831)-(C831-E831))/(C831-D831))</f>
        <v>0.86111111111111083</v>
      </c>
      <c r="Q831">
        <f t="shared" ref="Q831:Q889" si="1010">F831*P831</f>
        <v>65348730.222222202</v>
      </c>
      <c r="R831">
        <f t="shared" ref="R831:R889" si="1011">R832+Q831</f>
        <v>-18511422.938985489</v>
      </c>
      <c r="S831">
        <f t="shared" ref="S831:S889" si="1012">R831/100000</f>
        <v>-185.1142293898549</v>
      </c>
      <c r="T831">
        <f t="shared" ref="T831:T889" si="1013">S831/1000</f>
        <v>-0.18511422938985489</v>
      </c>
    </row>
    <row r="832" spans="1:20" x14ac:dyDescent="0.25">
      <c r="A832" s="5">
        <v>43761</v>
      </c>
      <c r="B832">
        <v>9.1600000000000004E-4</v>
      </c>
      <c r="C832">
        <v>9.4700000000000003E-4</v>
      </c>
      <c r="D832">
        <v>7.6499999999999995E-4</v>
      </c>
      <c r="E832">
        <v>8.1700000000000002E-4</v>
      </c>
      <c r="F832">
        <v>55860962</v>
      </c>
      <c r="G832">
        <v>0</v>
      </c>
      <c r="L832" t="s">
        <v>8</v>
      </c>
      <c r="M832" t="s">
        <v>7</v>
      </c>
      <c r="N832" t="s">
        <v>7</v>
      </c>
      <c r="P832">
        <f t="shared" si="1009"/>
        <v>-0.42857142857142805</v>
      </c>
      <c r="Q832">
        <f t="shared" si="1010"/>
        <v>-23940412.285714258</v>
      </c>
      <c r="R832">
        <f t="shared" si="1011"/>
        <v>-83860153.161207691</v>
      </c>
      <c r="S832">
        <f t="shared" si="1012"/>
        <v>-838.60153161207688</v>
      </c>
      <c r="T832">
        <f t="shared" si="1013"/>
        <v>-0.83860153161207684</v>
      </c>
    </row>
    <row r="833" spans="1:20" x14ac:dyDescent="0.25">
      <c r="A833" s="5">
        <v>43760</v>
      </c>
      <c r="B833">
        <v>9.3700000000000001E-4</v>
      </c>
      <c r="C833">
        <v>9.3999999999999997E-4</v>
      </c>
      <c r="D833">
        <v>9.1600000000000004E-4</v>
      </c>
      <c r="E833">
        <v>9.1600000000000004E-4</v>
      </c>
      <c r="F833">
        <v>25741973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-1</v>
      </c>
      <c r="Q833">
        <f t="shared" si="1010"/>
        <v>-25741973</v>
      </c>
      <c r="R833">
        <f t="shared" si="1011"/>
        <v>-59919740.875493437</v>
      </c>
      <c r="S833">
        <f t="shared" si="1012"/>
        <v>-599.19740875493437</v>
      </c>
      <c r="T833">
        <f t="shared" si="1013"/>
        <v>-0.59919740875493432</v>
      </c>
    </row>
    <row r="834" spans="1:20" x14ac:dyDescent="0.25">
      <c r="A834" s="5">
        <v>43759</v>
      </c>
      <c r="B834">
        <v>9.3499999999999996E-4</v>
      </c>
      <c r="C834">
        <v>9.5600000000000004E-4</v>
      </c>
      <c r="D834">
        <v>9.2100000000000005E-4</v>
      </c>
      <c r="E834">
        <v>9.2500000000000004E-4</v>
      </c>
      <c r="F834">
        <v>31695892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-0.77142857142857191</v>
      </c>
      <c r="Q834">
        <f t="shared" si="1010"/>
        <v>-24451116.685714301</v>
      </c>
      <c r="R834">
        <f t="shared" si="1011"/>
        <v>-34177767.875493437</v>
      </c>
      <c r="S834">
        <f t="shared" si="1012"/>
        <v>-341.77767875493436</v>
      </c>
      <c r="T834">
        <f t="shared" si="1013"/>
        <v>-0.34177767875493437</v>
      </c>
    </row>
    <row r="835" spans="1:20" x14ac:dyDescent="0.25">
      <c r="A835" s="5">
        <v>43758</v>
      </c>
      <c r="B835">
        <v>8.8900000000000003E-4</v>
      </c>
      <c r="C835">
        <v>9.41E-4</v>
      </c>
      <c r="D835">
        <v>8.6799999999999996E-4</v>
      </c>
      <c r="E835">
        <v>9.3499999999999996E-4</v>
      </c>
      <c r="F835">
        <v>36623455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0.83561643835616339</v>
      </c>
      <c r="Q835">
        <f t="shared" si="1010"/>
        <v>30603161.027397223</v>
      </c>
      <c r="R835">
        <f t="shared" si="1011"/>
        <v>-9726651.1897791401</v>
      </c>
      <c r="S835">
        <f t="shared" si="1012"/>
        <v>-97.266511897791403</v>
      </c>
      <c r="T835">
        <f t="shared" si="1013"/>
        <v>-9.7266511897791397E-2</v>
      </c>
    </row>
    <row r="836" spans="1:20" x14ac:dyDescent="0.25">
      <c r="A836" s="5">
        <v>43757</v>
      </c>
      <c r="B836">
        <v>8.7200000000000005E-4</v>
      </c>
      <c r="C836">
        <v>9.1200000000000005E-4</v>
      </c>
      <c r="D836">
        <v>8.6700000000000004E-4</v>
      </c>
      <c r="E836">
        <v>8.8500000000000004E-4</v>
      </c>
      <c r="F836">
        <v>15036504</v>
      </c>
      <c r="G836">
        <v>0</v>
      </c>
      <c r="L836" t="s">
        <v>8</v>
      </c>
      <c r="M836" t="s">
        <v>7</v>
      </c>
      <c r="N836" t="s">
        <v>7</v>
      </c>
      <c r="P836">
        <f t="shared" si="1009"/>
        <v>-0.2</v>
      </c>
      <c r="Q836">
        <f t="shared" si="1010"/>
        <v>-3007300.8000000003</v>
      </c>
      <c r="R836">
        <f t="shared" si="1011"/>
        <v>-40329812.217176363</v>
      </c>
      <c r="S836">
        <f t="shared" si="1012"/>
        <v>-403.29812217176362</v>
      </c>
      <c r="T836">
        <f t="shared" si="1013"/>
        <v>-0.40329812217176364</v>
      </c>
    </row>
    <row r="837" spans="1:20" x14ac:dyDescent="0.25">
      <c r="A837" s="5">
        <v>43756</v>
      </c>
      <c r="B837">
        <v>9.0899999999999998E-4</v>
      </c>
      <c r="C837">
        <v>9.1699999999999995E-4</v>
      </c>
      <c r="D837">
        <v>8.61E-4</v>
      </c>
      <c r="E837">
        <v>8.7799999999999998E-4</v>
      </c>
      <c r="F837">
        <v>38798622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-0.39285714285714307</v>
      </c>
      <c r="Q837">
        <f t="shared" si="1010"/>
        <v>-15242315.785714295</v>
      </c>
      <c r="R837">
        <f t="shared" si="1011"/>
        <v>-37322511.417176366</v>
      </c>
      <c r="S837">
        <f t="shared" si="1012"/>
        <v>-373.22511417176366</v>
      </c>
      <c r="T837">
        <f t="shared" si="1013"/>
        <v>-0.37322511417176368</v>
      </c>
    </row>
    <row r="838" spans="1:20" x14ac:dyDescent="0.25">
      <c r="A838" s="5">
        <v>43755</v>
      </c>
      <c r="B838">
        <v>9.1600000000000004E-4</v>
      </c>
      <c r="C838">
        <v>9.4600000000000001E-4</v>
      </c>
      <c r="D838">
        <v>8.8999999999999995E-4</v>
      </c>
      <c r="E838">
        <v>9.1299999999999997E-4</v>
      </c>
      <c r="F838">
        <v>41638950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-0.17857142857142885</v>
      </c>
      <c r="Q838">
        <f t="shared" si="1010"/>
        <v>-7435526.7857142976</v>
      </c>
      <c r="R838">
        <f t="shared" si="1011"/>
        <v>-22080195.631462071</v>
      </c>
      <c r="S838">
        <f t="shared" si="1012"/>
        <v>-220.80195631462072</v>
      </c>
      <c r="T838">
        <f t="shared" si="1013"/>
        <v>-0.22080195631462071</v>
      </c>
    </row>
    <row r="839" spans="1:20" x14ac:dyDescent="0.25">
      <c r="A839" s="5">
        <v>43754</v>
      </c>
      <c r="B839">
        <v>9.7799999999999992E-4</v>
      </c>
      <c r="C839">
        <v>1.005E-3</v>
      </c>
      <c r="D839">
        <v>8.8699999999999998E-4</v>
      </c>
      <c r="E839">
        <v>9.1799999999999998E-4</v>
      </c>
      <c r="F839">
        <v>66156212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-0.47457627118644097</v>
      </c>
      <c r="Q839">
        <f t="shared" si="1010"/>
        <v>-31396168.40677968</v>
      </c>
      <c r="R839">
        <f t="shared" si="1011"/>
        <v>-14644668.845747773</v>
      </c>
      <c r="S839">
        <f t="shared" si="1012"/>
        <v>-146.44668845747773</v>
      </c>
      <c r="T839">
        <f t="shared" si="1013"/>
        <v>-0.14644668845747774</v>
      </c>
    </row>
    <row r="840" spans="1:20" x14ac:dyDescent="0.25">
      <c r="A840" s="5">
        <v>43753</v>
      </c>
      <c r="B840">
        <v>9.8499999999999998E-4</v>
      </c>
      <c r="C840">
        <v>1.0349999999999999E-3</v>
      </c>
      <c r="D840">
        <v>9.5299999999999996E-4</v>
      </c>
      <c r="E840">
        <v>9.77E-4</v>
      </c>
      <c r="F840">
        <v>89748269</v>
      </c>
      <c r="G840">
        <v>0</v>
      </c>
      <c r="L840" t="s">
        <v>8</v>
      </c>
      <c r="M840" t="s">
        <v>8</v>
      </c>
      <c r="N840" t="s">
        <v>7</v>
      </c>
      <c r="P840">
        <f t="shared" si="1009"/>
        <v>-0.41463414634146195</v>
      </c>
      <c r="Q840">
        <f t="shared" si="1010"/>
        <v>-37212696.902438894</v>
      </c>
      <c r="R840">
        <f t="shared" si="1011"/>
        <v>16751499.561031908</v>
      </c>
      <c r="S840">
        <f t="shared" si="1012"/>
        <v>167.51499561031909</v>
      </c>
      <c r="T840">
        <f t="shared" si="1013"/>
        <v>0.1675149956103191</v>
      </c>
    </row>
    <row r="841" spans="1:20" x14ac:dyDescent="0.25">
      <c r="A841" s="5">
        <v>43752</v>
      </c>
      <c r="B841">
        <v>9.6100000000000005E-4</v>
      </c>
      <c r="C841">
        <v>1.0039999999999999E-3</v>
      </c>
      <c r="D841">
        <v>9.4399999999999996E-4</v>
      </c>
      <c r="E841">
        <v>9.7199999999999999E-4</v>
      </c>
      <c r="F841">
        <v>67956884</v>
      </c>
      <c r="G841">
        <v>0</v>
      </c>
      <c r="L841" t="s">
        <v>8</v>
      </c>
      <c r="M841" t="s">
        <v>8</v>
      </c>
      <c r="N841" t="s">
        <v>7</v>
      </c>
      <c r="P841">
        <f t="shared" si="1009"/>
        <v>-6.6666666666664737E-2</v>
      </c>
      <c r="Q841">
        <f t="shared" si="1010"/>
        <v>-4530458.9333332023</v>
      </c>
      <c r="R841">
        <f t="shared" si="1011"/>
        <v>53964196.463470802</v>
      </c>
      <c r="S841">
        <f t="shared" si="1012"/>
        <v>539.64196463470796</v>
      </c>
      <c r="T841">
        <f t="shared" si="1013"/>
        <v>0.53964196463470793</v>
      </c>
    </row>
    <row r="842" spans="1:20" x14ac:dyDescent="0.25">
      <c r="A842" s="5">
        <v>43751</v>
      </c>
      <c r="B842">
        <v>9.4300000000000004E-4</v>
      </c>
      <c r="C842">
        <v>1E-3</v>
      </c>
      <c r="D842">
        <v>9.4200000000000002E-4</v>
      </c>
      <c r="E842">
        <v>9.7599999999999998E-4</v>
      </c>
      <c r="F842">
        <v>33404426</v>
      </c>
      <c r="G842">
        <v>0</v>
      </c>
      <c r="L842" t="s">
        <v>8</v>
      </c>
      <c r="M842" t="s">
        <v>8</v>
      </c>
      <c r="N842" t="s">
        <v>7</v>
      </c>
      <c r="P842">
        <f t="shared" si="1009"/>
        <v>0.17241379310344684</v>
      </c>
      <c r="Q842">
        <f t="shared" si="1010"/>
        <v>5759383.7931034006</v>
      </c>
      <c r="R842">
        <f t="shared" si="1011"/>
        <v>58494655.396804005</v>
      </c>
      <c r="S842">
        <f t="shared" si="1012"/>
        <v>584.94655396804001</v>
      </c>
      <c r="T842">
        <f t="shared" si="1013"/>
        <v>0.58494655396803996</v>
      </c>
    </row>
    <row r="843" spans="1:20" x14ac:dyDescent="0.25">
      <c r="A843" s="5">
        <v>43750</v>
      </c>
      <c r="B843">
        <v>9.5299999999999996E-4</v>
      </c>
      <c r="C843">
        <v>9.6100000000000005E-4</v>
      </c>
      <c r="D843">
        <v>9.3000000000000005E-4</v>
      </c>
      <c r="E843">
        <v>9.4200000000000002E-4</v>
      </c>
      <c r="F843">
        <v>16356424</v>
      </c>
      <c r="G843">
        <v>0</v>
      </c>
      <c r="L843" t="s">
        <v>8</v>
      </c>
      <c r="M843" t="s">
        <v>8</v>
      </c>
      <c r="N843" t="s">
        <v>7</v>
      </c>
      <c r="P843">
        <f t="shared" si="1009"/>
        <v>-0.22580645161290525</v>
      </c>
      <c r="Q843">
        <f t="shared" si="1010"/>
        <v>-3693386.064516162</v>
      </c>
      <c r="R843">
        <f t="shared" si="1011"/>
        <v>52735271.603700601</v>
      </c>
      <c r="S843">
        <f t="shared" si="1012"/>
        <v>527.35271603700596</v>
      </c>
      <c r="T843">
        <f t="shared" si="1013"/>
        <v>0.52735271603700595</v>
      </c>
    </row>
    <row r="844" spans="1:20" x14ac:dyDescent="0.25">
      <c r="A844" s="5">
        <v>43749</v>
      </c>
      <c r="B844">
        <v>9.5200000000000005E-4</v>
      </c>
      <c r="C844">
        <v>1.0070000000000001E-3</v>
      </c>
      <c r="D844">
        <v>8.9999999999999998E-4</v>
      </c>
      <c r="E844">
        <v>9.5200000000000005E-4</v>
      </c>
      <c r="F844">
        <v>12457286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-2.8037383177569732E-2</v>
      </c>
      <c r="Q844">
        <f t="shared" si="1010"/>
        <v>-349269.70093457494</v>
      </c>
      <c r="R844">
        <f t="shared" si="1011"/>
        <v>56428657.668216765</v>
      </c>
      <c r="S844">
        <f t="shared" si="1012"/>
        <v>564.28657668216761</v>
      </c>
      <c r="T844">
        <f t="shared" si="1013"/>
        <v>0.56428657668216764</v>
      </c>
    </row>
    <row r="845" spans="1:20" x14ac:dyDescent="0.25">
      <c r="A845" s="5">
        <v>43748</v>
      </c>
      <c r="B845">
        <v>9.7000000000000005E-4</v>
      </c>
      <c r="C845">
        <v>1.0250000000000001E-3</v>
      </c>
      <c r="D845">
        <v>9.1299999999999997E-4</v>
      </c>
      <c r="E845">
        <v>9.5299999999999996E-4</v>
      </c>
      <c r="F845">
        <v>43763767</v>
      </c>
      <c r="G845">
        <v>0</v>
      </c>
      <c r="L845" t="s">
        <v>8</v>
      </c>
      <c r="M845" t="s">
        <v>8</v>
      </c>
      <c r="N845" t="s">
        <v>7</v>
      </c>
      <c r="P845">
        <f t="shared" si="1009"/>
        <v>-0.28571428571428653</v>
      </c>
      <c r="Q845">
        <f t="shared" si="1010"/>
        <v>-12503933.428571464</v>
      </c>
      <c r="R845">
        <f t="shared" si="1011"/>
        <v>56777927.369151339</v>
      </c>
      <c r="S845">
        <f t="shared" si="1012"/>
        <v>567.77927369151337</v>
      </c>
      <c r="T845">
        <f t="shared" si="1013"/>
        <v>0.56777927369151338</v>
      </c>
    </row>
    <row r="846" spans="1:20" x14ac:dyDescent="0.25">
      <c r="A846" s="5">
        <v>43747</v>
      </c>
      <c r="B846">
        <v>9.7000000000000005E-4</v>
      </c>
      <c r="C846">
        <v>1.008E-3</v>
      </c>
      <c r="D846">
        <v>9.3899999999999995E-4</v>
      </c>
      <c r="E846">
        <v>9.5500000000000001E-4</v>
      </c>
      <c r="F846">
        <v>79049124</v>
      </c>
      <c r="G846">
        <v>0</v>
      </c>
      <c r="L846" t="s">
        <v>7</v>
      </c>
      <c r="M846" t="s">
        <v>8</v>
      </c>
      <c r="N846" t="s">
        <v>7</v>
      </c>
      <c r="P846">
        <f t="shared" si="1009"/>
        <v>-0.53623188405796951</v>
      </c>
      <c r="Q846">
        <f t="shared" si="1010"/>
        <v>-42388660.695652053</v>
      </c>
      <c r="R846">
        <f t="shared" si="1011"/>
        <v>69281860.797722802</v>
      </c>
      <c r="S846">
        <f t="shared" si="1012"/>
        <v>692.818607977228</v>
      </c>
      <c r="T846">
        <f t="shared" si="1013"/>
        <v>0.69281860797722805</v>
      </c>
    </row>
    <row r="847" spans="1:20" x14ac:dyDescent="0.25">
      <c r="A847" s="5">
        <v>43746</v>
      </c>
      <c r="B847">
        <v>9.1100000000000003E-4</v>
      </c>
      <c r="C847">
        <v>1.0399999999999999E-3</v>
      </c>
      <c r="D847">
        <v>9.0200000000000002E-4</v>
      </c>
      <c r="E847">
        <v>9.8200000000000002E-4</v>
      </c>
      <c r="F847">
        <v>61424846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0.15942028985507334</v>
      </c>
      <c r="Q847">
        <f t="shared" si="1010"/>
        <v>9792366.7536232416</v>
      </c>
      <c r="R847">
        <f t="shared" si="1011"/>
        <v>111670521.49337485</v>
      </c>
      <c r="S847">
        <f t="shared" si="1012"/>
        <v>1116.7052149337485</v>
      </c>
      <c r="T847">
        <f t="shared" si="1013"/>
        <v>1.1167052149337484</v>
      </c>
    </row>
    <row r="848" spans="1:20" x14ac:dyDescent="0.25">
      <c r="A848" s="5">
        <v>43745</v>
      </c>
      <c r="B848">
        <v>8.43E-4</v>
      </c>
      <c r="C848">
        <v>9.3499999999999996E-4</v>
      </c>
      <c r="D848">
        <v>8.3199999999999995E-4</v>
      </c>
      <c r="E848">
        <v>9.1799999999999998E-4</v>
      </c>
      <c r="F848">
        <v>43581763</v>
      </c>
      <c r="G848">
        <v>0</v>
      </c>
      <c r="L848" t="s">
        <v>8</v>
      </c>
      <c r="M848" t="s">
        <v>7</v>
      </c>
      <c r="N848" t="s">
        <v>7</v>
      </c>
      <c r="P848">
        <f t="shared" si="1009"/>
        <v>0.6699029126213597</v>
      </c>
      <c r="Q848">
        <f t="shared" si="1010"/>
        <v>29195549.970873807</v>
      </c>
      <c r="R848">
        <f t="shared" si="1011"/>
        <v>101878154.73975161</v>
      </c>
      <c r="S848">
        <f t="shared" si="1012"/>
        <v>1018.7815473975161</v>
      </c>
      <c r="T848">
        <f t="shared" si="1013"/>
        <v>1.0187815473975161</v>
      </c>
    </row>
    <row r="849" spans="1:20" x14ac:dyDescent="0.25">
      <c r="A849" s="5">
        <v>43744</v>
      </c>
      <c r="B849">
        <v>9.1399999999999999E-4</v>
      </c>
      <c r="C849">
        <v>9.77E-4</v>
      </c>
      <c r="D849">
        <v>8.3699999999999996E-4</v>
      </c>
      <c r="E849">
        <v>8.4099999999999995E-4</v>
      </c>
      <c r="F849">
        <v>33320767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-0.94285714285714306</v>
      </c>
      <c r="Q849">
        <f t="shared" si="1010"/>
        <v>-31416723.17142858</v>
      </c>
      <c r="R849">
        <f t="shared" si="1011"/>
        <v>72682604.768877804</v>
      </c>
      <c r="S849">
        <f t="shared" si="1012"/>
        <v>726.82604768877809</v>
      </c>
      <c r="T849">
        <f t="shared" si="1013"/>
        <v>0.72682604768877812</v>
      </c>
    </row>
    <row r="850" spans="1:20" x14ac:dyDescent="0.25">
      <c r="A850" s="5">
        <v>43743</v>
      </c>
      <c r="B850">
        <v>9.1699999999999995E-4</v>
      </c>
      <c r="C850">
        <v>9.2000000000000003E-4</v>
      </c>
      <c r="D850">
        <v>8.8599999999999996E-4</v>
      </c>
      <c r="E850">
        <v>9.1E-4</v>
      </c>
      <c r="F850">
        <v>24623479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0.41176470588235259</v>
      </c>
      <c r="Q850">
        <f t="shared" si="1010"/>
        <v>10139079.588235285</v>
      </c>
      <c r="R850">
        <f t="shared" si="1011"/>
        <v>104099327.94030638</v>
      </c>
      <c r="S850">
        <f t="shared" si="1012"/>
        <v>1040.9932794030638</v>
      </c>
      <c r="T850">
        <f t="shared" si="1013"/>
        <v>1.0409932794030639</v>
      </c>
    </row>
    <row r="851" spans="1:20" x14ac:dyDescent="0.25">
      <c r="A851" s="5">
        <v>43742</v>
      </c>
      <c r="B851">
        <v>9.0799999999999995E-4</v>
      </c>
      <c r="C851">
        <v>9.2500000000000004E-4</v>
      </c>
      <c r="D851">
        <v>8.61E-4</v>
      </c>
      <c r="E851">
        <v>9.2000000000000003E-4</v>
      </c>
      <c r="F851">
        <v>47516573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0.84374999999999967</v>
      </c>
      <c r="Q851">
        <f t="shared" si="1010"/>
        <v>40092108.468749985</v>
      </c>
      <c r="R851">
        <f t="shared" si="1011"/>
        <v>93960248.352071092</v>
      </c>
      <c r="S851">
        <f t="shared" si="1012"/>
        <v>939.60248352071096</v>
      </c>
      <c r="T851">
        <f t="shared" si="1013"/>
        <v>0.93960248352071096</v>
      </c>
    </row>
    <row r="852" spans="1:20" x14ac:dyDescent="0.25">
      <c r="A852" s="5">
        <v>43741</v>
      </c>
      <c r="B852">
        <v>8.83E-4</v>
      </c>
      <c r="C852">
        <v>9.5299999999999996E-4</v>
      </c>
      <c r="D852">
        <v>8.6899999999999998E-4</v>
      </c>
      <c r="E852">
        <v>9.2699999999999998E-4</v>
      </c>
      <c r="F852">
        <v>36875431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0.38095238095238126</v>
      </c>
      <c r="Q852">
        <f t="shared" si="1010"/>
        <v>14047783.23809525</v>
      </c>
      <c r="R852">
        <f t="shared" si="1011"/>
        <v>53868139.883321106</v>
      </c>
      <c r="S852">
        <f t="shared" si="1012"/>
        <v>538.68139883321112</v>
      </c>
      <c r="T852">
        <f t="shared" si="1013"/>
        <v>0.53868139883321109</v>
      </c>
    </row>
    <row r="853" spans="1:20" x14ac:dyDescent="0.25">
      <c r="A853" s="5">
        <v>43740</v>
      </c>
      <c r="B853">
        <v>8.4900000000000004E-4</v>
      </c>
      <c r="C853">
        <v>8.9999999999999998E-4</v>
      </c>
      <c r="D853">
        <v>8.1899999999999996E-4</v>
      </c>
      <c r="E853">
        <v>8.7699999999999996E-4</v>
      </c>
      <c r="F853">
        <v>17768662</v>
      </c>
      <c r="G853">
        <v>0</v>
      </c>
      <c r="L853" t="s">
        <v>7</v>
      </c>
      <c r="M853" t="s">
        <v>8</v>
      </c>
      <c r="N853" t="s">
        <v>7</v>
      </c>
      <c r="P853">
        <f t="shared" si="1009"/>
        <v>0.43209876543209846</v>
      </c>
      <c r="Q853">
        <f t="shared" si="1010"/>
        <v>7677816.9135802416</v>
      </c>
      <c r="R853">
        <f t="shared" si="1011"/>
        <v>39820356.64522586</v>
      </c>
      <c r="S853">
        <f t="shared" si="1012"/>
        <v>398.2035664522586</v>
      </c>
      <c r="T853">
        <f t="shared" si="1013"/>
        <v>0.39820356645225857</v>
      </c>
    </row>
    <row r="854" spans="1:20" x14ac:dyDescent="0.25">
      <c r="A854" s="5">
        <v>43739</v>
      </c>
      <c r="B854">
        <v>8.4000000000000003E-4</v>
      </c>
      <c r="C854">
        <v>8.8000000000000003E-4</v>
      </c>
      <c r="D854">
        <v>8.2299999999999995E-4</v>
      </c>
      <c r="E854">
        <v>8.4900000000000004E-4</v>
      </c>
      <c r="F854">
        <v>14602517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-8.771929824561224E-2</v>
      </c>
      <c r="Q854">
        <f t="shared" si="1010"/>
        <v>-1280922.5438596229</v>
      </c>
      <c r="R854">
        <f t="shared" si="1011"/>
        <v>32142539.731645621</v>
      </c>
      <c r="S854">
        <f t="shared" si="1012"/>
        <v>321.42539731645621</v>
      </c>
      <c r="T854">
        <f t="shared" si="1013"/>
        <v>0.3214253973164562</v>
      </c>
    </row>
    <row r="855" spans="1:20" x14ac:dyDescent="0.25">
      <c r="A855" s="5">
        <v>43738</v>
      </c>
      <c r="B855">
        <v>8.0599999999999997E-4</v>
      </c>
      <c r="C855">
        <v>8.5899999999999995E-4</v>
      </c>
      <c r="D855">
        <v>7.6499999999999995E-4</v>
      </c>
      <c r="E855">
        <v>8.34E-4</v>
      </c>
      <c r="F855">
        <v>19916741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0.46808510638297968</v>
      </c>
      <c r="Q855">
        <f t="shared" si="1010"/>
        <v>9322729.8297872525</v>
      </c>
      <c r="R855">
        <f t="shared" si="1011"/>
        <v>33423462.275505245</v>
      </c>
      <c r="S855">
        <f t="shared" si="1012"/>
        <v>334.23462275505244</v>
      </c>
      <c r="T855">
        <f t="shared" si="1013"/>
        <v>0.33423462275505245</v>
      </c>
    </row>
    <row r="856" spans="1:20" x14ac:dyDescent="0.25">
      <c r="A856" s="5">
        <v>43737</v>
      </c>
      <c r="B856">
        <v>8.3699999999999996E-4</v>
      </c>
      <c r="C856">
        <v>8.5499999999999997E-4</v>
      </c>
      <c r="D856">
        <v>7.8899999999999999E-4</v>
      </c>
      <c r="E856">
        <v>8.25E-4</v>
      </c>
      <c r="F856">
        <v>15111787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9.0909090909091508E-2</v>
      </c>
      <c r="Q856">
        <f t="shared" si="1010"/>
        <v>1373798.8181818272</v>
      </c>
      <c r="R856">
        <f t="shared" si="1011"/>
        <v>24100732.44571799</v>
      </c>
      <c r="S856">
        <f t="shared" si="1012"/>
        <v>241.00732445717989</v>
      </c>
      <c r="T856">
        <f t="shared" si="1013"/>
        <v>0.2410073244571799</v>
      </c>
    </row>
    <row r="857" spans="1:20" x14ac:dyDescent="0.25">
      <c r="A857" s="5">
        <v>43736</v>
      </c>
      <c r="B857">
        <v>8.2799999999999996E-4</v>
      </c>
      <c r="C857">
        <v>8.5800000000000004E-4</v>
      </c>
      <c r="D857">
        <v>8.0000000000000004E-4</v>
      </c>
      <c r="E857">
        <v>8.4000000000000003E-4</v>
      </c>
      <c r="F857">
        <v>15617531</v>
      </c>
      <c r="G857">
        <v>0</v>
      </c>
      <c r="L857" t="s">
        <v>7</v>
      </c>
      <c r="M857" t="s">
        <v>7</v>
      </c>
      <c r="N857" t="s">
        <v>7</v>
      </c>
      <c r="P857">
        <f t="shared" si="1009"/>
        <v>0.37931034482758608</v>
      </c>
      <c r="Q857">
        <f t="shared" si="1010"/>
        <v>5923891.0689655151</v>
      </c>
      <c r="R857">
        <f t="shared" si="1011"/>
        <v>22726933.627536163</v>
      </c>
      <c r="S857">
        <f t="shared" si="1012"/>
        <v>227.26933627536164</v>
      </c>
      <c r="T857">
        <f t="shared" si="1013"/>
        <v>0.22726933627536164</v>
      </c>
    </row>
    <row r="858" spans="1:20" x14ac:dyDescent="0.25">
      <c r="A858" s="5">
        <v>43735</v>
      </c>
      <c r="B858">
        <v>7.9799999999999999E-4</v>
      </c>
      <c r="C858">
        <v>8.3000000000000001E-4</v>
      </c>
      <c r="D858">
        <v>7.7099999999999998E-4</v>
      </c>
      <c r="E858">
        <v>8.2799999999999996E-4</v>
      </c>
      <c r="F858">
        <v>25552386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0.93220338983050688</v>
      </c>
      <c r="Q858">
        <f t="shared" si="1010"/>
        <v>23820020.847457588</v>
      </c>
      <c r="R858">
        <f t="shared" si="1011"/>
        <v>16803042.558570649</v>
      </c>
      <c r="S858">
        <f t="shared" si="1012"/>
        <v>168.0304255857065</v>
      </c>
      <c r="T858">
        <f t="shared" si="1013"/>
        <v>0.16803042558570649</v>
      </c>
    </row>
    <row r="859" spans="1:20" x14ac:dyDescent="0.25">
      <c r="A859" s="5">
        <v>43734</v>
      </c>
      <c r="B859">
        <v>8.2299999999999995E-4</v>
      </c>
      <c r="C859">
        <v>8.5999999999999998E-4</v>
      </c>
      <c r="D859">
        <v>7.4799999999999997E-4</v>
      </c>
      <c r="E859">
        <v>7.9500000000000003E-4</v>
      </c>
      <c r="F859">
        <v>47366682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-0.16071428571428475</v>
      </c>
      <c r="Q859">
        <f t="shared" si="1010"/>
        <v>-7612502.4642856689</v>
      </c>
      <c r="R859">
        <f t="shared" si="1011"/>
        <v>-7016978.2888869392</v>
      </c>
      <c r="S859">
        <f t="shared" si="1012"/>
        <v>-70.169782888869392</v>
      </c>
      <c r="T859">
        <f t="shared" si="1013"/>
        <v>-7.0169782888869395E-2</v>
      </c>
    </row>
    <row r="860" spans="1:20" x14ac:dyDescent="0.25">
      <c r="A860" s="5">
        <v>43733</v>
      </c>
      <c r="B860">
        <v>7.7800000000000005E-4</v>
      </c>
      <c r="C860">
        <v>8.2299999999999995E-4</v>
      </c>
      <c r="D860">
        <v>7.5000000000000002E-4</v>
      </c>
      <c r="E860">
        <v>8.0999999999999996E-4</v>
      </c>
      <c r="F860">
        <v>39339810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0.64383561643835607</v>
      </c>
      <c r="Q860">
        <f t="shared" si="1010"/>
        <v>25328370.821917806</v>
      </c>
      <c r="R860">
        <f t="shared" si="1011"/>
        <v>595524.17539872974</v>
      </c>
      <c r="S860">
        <f t="shared" si="1012"/>
        <v>5.9552417539872975</v>
      </c>
      <c r="T860">
        <f t="shared" si="1013"/>
        <v>5.9552417539872971E-3</v>
      </c>
    </row>
    <row r="861" spans="1:20" x14ac:dyDescent="0.25">
      <c r="A861" s="5">
        <v>43732</v>
      </c>
      <c r="B861">
        <v>1.0250000000000001E-3</v>
      </c>
      <c r="C861">
        <v>1.044E-3</v>
      </c>
      <c r="D861">
        <v>7.76E-4</v>
      </c>
      <c r="E861">
        <v>7.76E-4</v>
      </c>
      <c r="F861">
        <v>52724665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-1</v>
      </c>
      <c r="Q861">
        <f t="shared" si="1010"/>
        <v>-52724665</v>
      </c>
      <c r="R861">
        <f t="shared" si="1011"/>
        <v>-24732846.646519076</v>
      </c>
      <c r="S861">
        <f t="shared" si="1012"/>
        <v>-247.32846646519076</v>
      </c>
      <c r="T861">
        <f t="shared" si="1013"/>
        <v>-0.24732846646519074</v>
      </c>
    </row>
    <row r="862" spans="1:20" x14ac:dyDescent="0.25">
      <c r="A862" s="5">
        <v>43731</v>
      </c>
      <c r="B862">
        <v>1.1180000000000001E-3</v>
      </c>
      <c r="C862">
        <v>1.1640000000000001E-3</v>
      </c>
      <c r="D862">
        <v>1.026E-3</v>
      </c>
      <c r="E862">
        <v>1.0269999999999999E-3</v>
      </c>
      <c r="F862">
        <v>19531786</v>
      </c>
      <c r="G862">
        <v>0</v>
      </c>
      <c r="L862" t="s">
        <v>7</v>
      </c>
      <c r="M862" t="s">
        <v>7</v>
      </c>
      <c r="N862" t="s">
        <v>8</v>
      </c>
      <c r="P862">
        <f t="shared" si="1009"/>
        <v>-0.98550724637681286</v>
      </c>
      <c r="Q862">
        <f t="shared" si="1010"/>
        <v>-19248716.637681182</v>
      </c>
      <c r="R862">
        <f t="shared" si="1011"/>
        <v>27991818.353480924</v>
      </c>
      <c r="S862">
        <f t="shared" si="1012"/>
        <v>279.91818353480926</v>
      </c>
      <c r="T862">
        <f t="shared" si="1013"/>
        <v>0.27991818353480924</v>
      </c>
    </row>
    <row r="863" spans="1:20" x14ac:dyDescent="0.25">
      <c r="A863" s="5">
        <v>43730</v>
      </c>
      <c r="B863">
        <v>1.178E-3</v>
      </c>
      <c r="C863">
        <v>1.1969999999999999E-3</v>
      </c>
      <c r="D863">
        <v>1.075E-3</v>
      </c>
      <c r="E863">
        <v>1.114E-3</v>
      </c>
      <c r="F863">
        <v>29874931</v>
      </c>
      <c r="G863">
        <v>0</v>
      </c>
      <c r="L863" t="s">
        <v>7</v>
      </c>
      <c r="M863" t="s">
        <v>8</v>
      </c>
      <c r="N863" t="s">
        <v>8</v>
      </c>
      <c r="P863">
        <f t="shared" si="1009"/>
        <v>-0.3606557377049181</v>
      </c>
      <c r="Q863">
        <f t="shared" si="1010"/>
        <v>-10774565.278688526</v>
      </c>
      <c r="R863">
        <f t="shared" si="1011"/>
        <v>47240534.991162106</v>
      </c>
      <c r="S863">
        <f t="shared" si="1012"/>
        <v>472.40534991162104</v>
      </c>
      <c r="T863">
        <f t="shared" si="1013"/>
        <v>0.47240534991162103</v>
      </c>
    </row>
    <row r="864" spans="1:20" x14ac:dyDescent="0.25">
      <c r="A864" s="5">
        <v>43729</v>
      </c>
      <c r="B864">
        <v>1.189E-3</v>
      </c>
      <c r="C864">
        <v>1.1980000000000001E-3</v>
      </c>
      <c r="D864">
        <v>1.145E-3</v>
      </c>
      <c r="E864">
        <v>1.189E-3</v>
      </c>
      <c r="F864">
        <v>12062642</v>
      </c>
      <c r="G864">
        <v>0</v>
      </c>
      <c r="L864" t="s">
        <v>8</v>
      </c>
      <c r="M864" t="s">
        <v>8</v>
      </c>
      <c r="N864" t="s">
        <v>8</v>
      </c>
      <c r="P864">
        <f t="shared" si="1009"/>
        <v>0.66037735849056245</v>
      </c>
      <c r="Q864">
        <f t="shared" si="1010"/>
        <v>7965895.6603773152</v>
      </c>
      <c r="R864">
        <f t="shared" si="1011"/>
        <v>58015100.269850634</v>
      </c>
      <c r="S864">
        <f t="shared" si="1012"/>
        <v>580.15100269850632</v>
      </c>
      <c r="T864">
        <f t="shared" si="1013"/>
        <v>0.58015100269850628</v>
      </c>
    </row>
    <row r="865" spans="1:20" x14ac:dyDescent="0.25">
      <c r="A865" s="5">
        <v>43728</v>
      </c>
      <c r="B865">
        <v>1.1850000000000001E-3</v>
      </c>
      <c r="C865">
        <v>1.238E-3</v>
      </c>
      <c r="D865">
        <v>1.1280000000000001E-3</v>
      </c>
      <c r="E865">
        <v>1.189E-3</v>
      </c>
      <c r="F865">
        <v>39729423</v>
      </c>
      <c r="G865">
        <v>0</v>
      </c>
      <c r="L865" t="s">
        <v>8</v>
      </c>
      <c r="M865" t="s">
        <v>8</v>
      </c>
      <c r="N865" t="s">
        <v>8</v>
      </c>
      <c r="P865">
        <f t="shared" si="1009"/>
        <v>0.10909090909090795</v>
      </c>
      <c r="Q865">
        <f t="shared" si="1010"/>
        <v>4334118.8727272274</v>
      </c>
      <c r="R865">
        <f t="shared" si="1011"/>
        <v>50049204.609473318</v>
      </c>
      <c r="S865">
        <f t="shared" si="1012"/>
        <v>500.49204609473315</v>
      </c>
      <c r="T865">
        <f t="shared" si="1013"/>
        <v>0.50049204609473319</v>
      </c>
    </row>
    <row r="866" spans="1:20" x14ac:dyDescent="0.25">
      <c r="A866" s="5">
        <v>43727</v>
      </c>
      <c r="B866">
        <v>1.16E-3</v>
      </c>
      <c r="C866">
        <v>1.196E-3</v>
      </c>
      <c r="D866">
        <v>1.085E-3</v>
      </c>
      <c r="E866">
        <v>1.1950000000000001E-3</v>
      </c>
      <c r="F866">
        <v>16344251</v>
      </c>
      <c r="G866">
        <v>0</v>
      </c>
      <c r="L866" t="s">
        <v>7</v>
      </c>
      <c r="M866" t="s">
        <v>8</v>
      </c>
      <c r="N866" t="s">
        <v>8</v>
      </c>
      <c r="P866">
        <f t="shared" si="1009"/>
        <v>0.9819819819819835</v>
      </c>
      <c r="Q866">
        <f t="shared" si="1010"/>
        <v>16049759.990991015</v>
      </c>
      <c r="R866">
        <f t="shared" si="1011"/>
        <v>45715085.736746088</v>
      </c>
      <c r="S866">
        <f t="shared" si="1012"/>
        <v>457.1508573674609</v>
      </c>
      <c r="T866">
        <f t="shared" si="1013"/>
        <v>0.45715085736746092</v>
      </c>
    </row>
    <row r="867" spans="1:20" x14ac:dyDescent="0.25">
      <c r="A867" s="5">
        <v>43726</v>
      </c>
      <c r="B867">
        <v>1.1280000000000001E-3</v>
      </c>
      <c r="C867">
        <v>1.2229999999999999E-3</v>
      </c>
      <c r="D867">
        <v>1.1199999999999999E-3</v>
      </c>
      <c r="E867">
        <v>1.1720000000000001E-3</v>
      </c>
      <c r="F867">
        <v>33766059</v>
      </c>
      <c r="G867">
        <v>0</v>
      </c>
      <c r="L867" t="s">
        <v>8</v>
      </c>
      <c r="M867" t="s">
        <v>8</v>
      </c>
      <c r="N867" t="s">
        <v>8</v>
      </c>
      <c r="P867">
        <f t="shared" si="1009"/>
        <v>9.7087378640810622E-3</v>
      </c>
      <c r="Q867">
        <f t="shared" si="1010"/>
        <v>327825.81553409511</v>
      </c>
      <c r="R867">
        <f t="shared" si="1011"/>
        <v>29665325.745755073</v>
      </c>
      <c r="S867">
        <f t="shared" si="1012"/>
        <v>296.65325745755075</v>
      </c>
      <c r="T867">
        <f t="shared" si="1013"/>
        <v>0.29665325745755078</v>
      </c>
    </row>
    <row r="868" spans="1:20" x14ac:dyDescent="0.25">
      <c r="A868" s="5">
        <v>43725</v>
      </c>
      <c r="B868">
        <v>1.054E-3</v>
      </c>
      <c r="C868">
        <v>1.1640000000000001E-3</v>
      </c>
      <c r="D868">
        <v>1.0200000000000001E-3</v>
      </c>
      <c r="E868">
        <v>1.116E-3</v>
      </c>
      <c r="F868">
        <v>32482825</v>
      </c>
      <c r="G868">
        <v>0</v>
      </c>
      <c r="L868" t="s">
        <v>8</v>
      </c>
      <c r="M868" t="s">
        <v>7</v>
      </c>
      <c r="N868" t="s">
        <v>8</v>
      </c>
      <c r="P868">
        <f t="shared" si="1009"/>
        <v>0.33333333333333232</v>
      </c>
      <c r="Q868">
        <f t="shared" si="1010"/>
        <v>10827608.3333333</v>
      </c>
      <c r="R868">
        <f t="shared" si="1011"/>
        <v>29337499.930220976</v>
      </c>
      <c r="S868">
        <f t="shared" si="1012"/>
        <v>293.37499930220974</v>
      </c>
      <c r="T868">
        <f t="shared" si="1013"/>
        <v>0.29337499930220973</v>
      </c>
    </row>
    <row r="869" spans="1:20" x14ac:dyDescent="0.25">
      <c r="A869" s="5">
        <v>43724</v>
      </c>
      <c r="B869">
        <v>1.067E-3</v>
      </c>
      <c r="C869">
        <v>1.0809999999999999E-3</v>
      </c>
      <c r="D869">
        <v>1.0139999999999999E-3</v>
      </c>
      <c r="E869">
        <v>1.054E-3</v>
      </c>
      <c r="F869">
        <v>28798385</v>
      </c>
      <c r="G869">
        <v>0</v>
      </c>
      <c r="L869" t="s">
        <v>7</v>
      </c>
      <c r="M869" t="s">
        <v>7</v>
      </c>
      <c r="N869" t="s">
        <v>8</v>
      </c>
      <c r="P869">
        <f t="shared" si="1009"/>
        <v>0.19402985074627174</v>
      </c>
      <c r="Q869">
        <f t="shared" si="1010"/>
        <v>5587746.343283671</v>
      </c>
      <c r="R869">
        <f t="shared" si="1011"/>
        <v>18509891.596887678</v>
      </c>
      <c r="S869">
        <f t="shared" si="1012"/>
        <v>185.09891596887678</v>
      </c>
      <c r="T869">
        <f t="shared" si="1013"/>
        <v>0.18509891596887679</v>
      </c>
    </row>
    <row r="870" spans="1:20" x14ac:dyDescent="0.25">
      <c r="A870" s="5">
        <v>43723</v>
      </c>
      <c r="B870">
        <v>1.07E-3</v>
      </c>
      <c r="C870">
        <v>1.0950000000000001E-3</v>
      </c>
      <c r="D870">
        <v>1.042E-3</v>
      </c>
      <c r="E870">
        <v>1.059E-3</v>
      </c>
      <c r="F870">
        <v>4754900</v>
      </c>
      <c r="G870">
        <v>0</v>
      </c>
      <c r="L870" t="s">
        <v>8</v>
      </c>
      <c r="M870" t="s">
        <v>7</v>
      </c>
      <c r="N870" t="s">
        <v>8</v>
      </c>
      <c r="P870">
        <f t="shared" si="1009"/>
        <v>-0.35849056603773366</v>
      </c>
      <c r="Q870">
        <f t="shared" si="1010"/>
        <v>-1704586.7924528199</v>
      </c>
      <c r="R870">
        <f t="shared" si="1011"/>
        <v>12922145.253604006</v>
      </c>
      <c r="S870">
        <f t="shared" si="1012"/>
        <v>129.22145253604006</v>
      </c>
      <c r="T870">
        <f t="shared" si="1013"/>
        <v>0.12922145253604006</v>
      </c>
    </row>
    <row r="871" spans="1:20" x14ac:dyDescent="0.25">
      <c r="A871" s="5">
        <v>43722</v>
      </c>
      <c r="B871">
        <v>1.072E-3</v>
      </c>
      <c r="C871">
        <v>1.114E-3</v>
      </c>
      <c r="D871">
        <v>1.029E-3</v>
      </c>
      <c r="E871">
        <v>1.073E-3</v>
      </c>
      <c r="F871">
        <v>20003494</v>
      </c>
      <c r="G871">
        <v>0</v>
      </c>
      <c r="L871" t="s">
        <v>8</v>
      </c>
      <c r="M871" t="s">
        <v>7</v>
      </c>
      <c r="N871" t="s">
        <v>8</v>
      </c>
      <c r="P871">
        <f t="shared" si="1009"/>
        <v>3.5294117647058407E-2</v>
      </c>
      <c r="Q871">
        <f t="shared" si="1010"/>
        <v>706005.67058822699</v>
      </c>
      <c r="R871">
        <f t="shared" si="1011"/>
        <v>14626732.046056826</v>
      </c>
      <c r="S871">
        <f t="shared" si="1012"/>
        <v>146.26732046056824</v>
      </c>
      <c r="T871">
        <f t="shared" si="1013"/>
        <v>0.14626732046056826</v>
      </c>
    </row>
    <row r="872" spans="1:20" x14ac:dyDescent="0.25">
      <c r="A872" s="5">
        <v>43721</v>
      </c>
      <c r="B872">
        <v>1.059E-3</v>
      </c>
      <c r="C872">
        <v>1.073E-3</v>
      </c>
      <c r="D872">
        <v>1.0150000000000001E-3</v>
      </c>
      <c r="E872">
        <v>1.072E-3</v>
      </c>
      <c r="F872">
        <v>9806178</v>
      </c>
      <c r="G872">
        <v>0</v>
      </c>
      <c r="L872" t="s">
        <v>7</v>
      </c>
      <c r="M872" t="s">
        <v>7</v>
      </c>
      <c r="N872" t="s">
        <v>8</v>
      </c>
      <c r="P872">
        <f t="shared" si="1009"/>
        <v>0.96551724137931316</v>
      </c>
      <c r="Q872">
        <f t="shared" si="1010"/>
        <v>9468033.931034511</v>
      </c>
      <c r="R872">
        <f t="shared" si="1011"/>
        <v>13920726.375468599</v>
      </c>
      <c r="S872">
        <f t="shared" si="1012"/>
        <v>139.20726375468598</v>
      </c>
      <c r="T872">
        <f t="shared" si="1013"/>
        <v>0.13920726375468598</v>
      </c>
    </row>
    <row r="873" spans="1:20" x14ac:dyDescent="0.25">
      <c r="A873" s="5">
        <v>43720</v>
      </c>
      <c r="B873">
        <v>1.1100000000000001E-3</v>
      </c>
      <c r="C873">
        <v>1.119E-3</v>
      </c>
      <c r="D873">
        <v>1.0059999999999999E-3</v>
      </c>
      <c r="E873">
        <v>1.052E-3</v>
      </c>
      <c r="F873">
        <v>25925657</v>
      </c>
      <c r="G873">
        <v>0</v>
      </c>
      <c r="L873" t="s">
        <v>7</v>
      </c>
      <c r="M873" t="s">
        <v>7</v>
      </c>
      <c r="N873" t="s">
        <v>8</v>
      </c>
      <c r="P873">
        <f t="shared" si="1009"/>
        <v>-0.18584070796460142</v>
      </c>
      <c r="Q873">
        <f t="shared" si="1010"/>
        <v>-4818042.4513274245</v>
      </c>
      <c r="R873">
        <f t="shared" si="1011"/>
        <v>4452692.4444340877</v>
      </c>
      <c r="S873">
        <f t="shared" si="1012"/>
        <v>44.526924444340878</v>
      </c>
      <c r="T873">
        <f t="shared" si="1013"/>
        <v>4.4526924444340879E-2</v>
      </c>
    </row>
    <row r="874" spans="1:20" x14ac:dyDescent="0.25">
      <c r="A874" s="5">
        <v>43719</v>
      </c>
      <c r="B874">
        <v>1.217E-3</v>
      </c>
      <c r="C874">
        <v>1.2520000000000001E-3</v>
      </c>
      <c r="D874">
        <v>1.091E-3</v>
      </c>
      <c r="E874">
        <v>1.091E-3</v>
      </c>
      <c r="F874">
        <v>33307506</v>
      </c>
      <c r="G874">
        <v>0</v>
      </c>
      <c r="L874" t="s">
        <v>7</v>
      </c>
      <c r="M874" t="s">
        <v>8</v>
      </c>
      <c r="N874" t="s">
        <v>8</v>
      </c>
      <c r="P874">
        <f t="shared" si="1009"/>
        <v>-1</v>
      </c>
      <c r="Q874">
        <f t="shared" si="1010"/>
        <v>-33307506</v>
      </c>
      <c r="R874">
        <f t="shared" si="1011"/>
        <v>9270734.8957615122</v>
      </c>
      <c r="S874">
        <f t="shared" si="1012"/>
        <v>92.707348957615125</v>
      </c>
      <c r="T874">
        <f t="shared" si="1013"/>
        <v>9.2707348957615121E-2</v>
      </c>
    </row>
    <row r="875" spans="1:20" x14ac:dyDescent="0.25">
      <c r="A875" s="5">
        <v>43718</v>
      </c>
      <c r="B875">
        <v>1.168E-3</v>
      </c>
      <c r="C875">
        <v>1.2800000000000001E-3</v>
      </c>
      <c r="D875">
        <v>1.1349999999999999E-3</v>
      </c>
      <c r="E875">
        <v>1.2049999999999999E-3</v>
      </c>
      <c r="F875">
        <v>61821135</v>
      </c>
      <c r="G875">
        <v>0</v>
      </c>
      <c r="L875" t="s">
        <v>7</v>
      </c>
      <c r="M875" t="s">
        <v>8</v>
      </c>
      <c r="N875" t="s">
        <v>8</v>
      </c>
      <c r="P875">
        <f t="shared" si="1009"/>
        <v>-3.4482758620691202E-2</v>
      </c>
      <c r="Q875">
        <f t="shared" si="1010"/>
        <v>-2131763.2758621648</v>
      </c>
      <c r="R875">
        <f t="shared" si="1011"/>
        <v>42578240.895761512</v>
      </c>
      <c r="S875">
        <f t="shared" si="1012"/>
        <v>425.78240895761513</v>
      </c>
      <c r="T875">
        <f t="shared" si="1013"/>
        <v>0.42578240895761515</v>
      </c>
    </row>
    <row r="876" spans="1:20" x14ac:dyDescent="0.25">
      <c r="A876" s="5">
        <v>43717</v>
      </c>
      <c r="B876">
        <v>1.078E-3</v>
      </c>
      <c r="C876">
        <v>1.31E-3</v>
      </c>
      <c r="D876">
        <v>1.021E-3</v>
      </c>
      <c r="E876">
        <v>1.196E-3</v>
      </c>
      <c r="F876">
        <v>108691954</v>
      </c>
      <c r="G876">
        <v>0</v>
      </c>
      <c r="L876" t="s">
        <v>8</v>
      </c>
      <c r="M876" t="s">
        <v>8</v>
      </c>
      <c r="N876" t="s">
        <v>8</v>
      </c>
      <c r="P876">
        <f t="shared" si="1009"/>
        <v>0.21107266435986186</v>
      </c>
      <c r="Q876">
        <f t="shared" si="1010"/>
        <v>22941900.325259544</v>
      </c>
      <c r="R876">
        <f t="shared" si="1011"/>
        <v>44710004.171623677</v>
      </c>
      <c r="S876">
        <f t="shared" si="1012"/>
        <v>447.10004171623677</v>
      </c>
      <c r="T876">
        <f t="shared" si="1013"/>
        <v>0.4471000417162368</v>
      </c>
    </row>
    <row r="877" spans="1:20" x14ac:dyDescent="0.25">
      <c r="A877" s="5">
        <v>43716</v>
      </c>
      <c r="B877">
        <v>1.057E-3</v>
      </c>
      <c r="C877">
        <v>1.09E-3</v>
      </c>
      <c r="D877">
        <v>1.0399999999999999E-3</v>
      </c>
      <c r="E877">
        <v>1.07E-3</v>
      </c>
      <c r="F877">
        <v>16961693</v>
      </c>
      <c r="G877">
        <v>0</v>
      </c>
      <c r="L877" t="s">
        <v>8</v>
      </c>
      <c r="M877" t="s">
        <v>8</v>
      </c>
      <c r="N877" t="s">
        <v>7</v>
      </c>
      <c r="P877">
        <f t="shared" si="1009"/>
        <v>0.2</v>
      </c>
      <c r="Q877">
        <f t="shared" si="1010"/>
        <v>3392338.6</v>
      </c>
      <c r="R877">
        <f t="shared" si="1011"/>
        <v>21768103.846364137</v>
      </c>
      <c r="S877">
        <f t="shared" si="1012"/>
        <v>217.68103846364136</v>
      </c>
      <c r="T877">
        <f t="shared" si="1013"/>
        <v>0.21768103846364137</v>
      </c>
    </row>
    <row r="878" spans="1:20" x14ac:dyDescent="0.25">
      <c r="A878" s="5">
        <v>43715</v>
      </c>
      <c r="B878">
        <v>1.0219999999999999E-3</v>
      </c>
      <c r="C878">
        <v>1.054E-3</v>
      </c>
      <c r="D878">
        <v>9.9299999999999996E-4</v>
      </c>
      <c r="E878">
        <v>1.054E-3</v>
      </c>
      <c r="F878">
        <v>11756653</v>
      </c>
      <c r="G878">
        <v>0</v>
      </c>
      <c r="L878" t="s">
        <v>7</v>
      </c>
      <c r="M878" t="s">
        <v>8</v>
      </c>
      <c r="N878" t="s">
        <v>7</v>
      </c>
      <c r="P878">
        <f t="shared" si="1009"/>
        <v>1</v>
      </c>
      <c r="Q878">
        <f t="shared" si="1010"/>
        <v>11756653</v>
      </c>
      <c r="R878">
        <f t="shared" si="1011"/>
        <v>18375765.246364135</v>
      </c>
      <c r="S878">
        <f t="shared" si="1012"/>
        <v>183.75765246364136</v>
      </c>
      <c r="T878">
        <f t="shared" si="1013"/>
        <v>0.18375765246364137</v>
      </c>
    </row>
    <row r="879" spans="1:20" x14ac:dyDescent="0.25">
      <c r="A879" s="5">
        <v>43714</v>
      </c>
      <c r="B879">
        <v>1.0120000000000001E-3</v>
      </c>
      <c r="C879">
        <v>1.052E-3</v>
      </c>
      <c r="D879">
        <v>9.859999999999999E-4</v>
      </c>
      <c r="E879">
        <v>1.0219999999999999E-3</v>
      </c>
      <c r="F879">
        <v>15293952</v>
      </c>
      <c r="G879">
        <v>0</v>
      </c>
      <c r="L879" t="s">
        <v>7</v>
      </c>
      <c r="M879" t="s">
        <v>8</v>
      </c>
      <c r="N879" t="s">
        <v>7</v>
      </c>
      <c r="P879">
        <f t="shared" si="1009"/>
        <v>9.0909090909089718E-2</v>
      </c>
      <c r="Q879">
        <f t="shared" si="1010"/>
        <v>1390359.2727272545</v>
      </c>
      <c r="R879">
        <f t="shared" si="1011"/>
        <v>6619112.2463641362</v>
      </c>
      <c r="S879">
        <f t="shared" si="1012"/>
        <v>66.191122463641364</v>
      </c>
      <c r="T879">
        <f t="shared" si="1013"/>
        <v>6.6191122463641366E-2</v>
      </c>
    </row>
    <row r="880" spans="1:20" x14ac:dyDescent="0.25">
      <c r="A880" s="5">
        <v>43713</v>
      </c>
      <c r="B880">
        <v>1.049E-3</v>
      </c>
      <c r="C880">
        <v>1.0579999999999999E-3</v>
      </c>
      <c r="D880">
        <v>9.9200000000000004E-4</v>
      </c>
      <c r="E880">
        <v>1.011E-3</v>
      </c>
      <c r="F880">
        <v>14154269</v>
      </c>
      <c r="G880">
        <v>0</v>
      </c>
      <c r="L880" t="s">
        <v>7</v>
      </c>
      <c r="M880" t="s">
        <v>8</v>
      </c>
      <c r="N880" t="s">
        <v>7</v>
      </c>
      <c r="P880">
        <f t="shared" si="1009"/>
        <v>-0.42424242424242553</v>
      </c>
      <c r="Q880">
        <f t="shared" si="1010"/>
        <v>-6004841.3939394122</v>
      </c>
      <c r="R880">
        <f t="shared" si="1011"/>
        <v>5228752.9736368814</v>
      </c>
      <c r="S880">
        <f t="shared" si="1012"/>
        <v>52.287529736368818</v>
      </c>
      <c r="T880">
        <f t="shared" si="1013"/>
        <v>5.2287529736368819E-2</v>
      </c>
    </row>
    <row r="881" spans="1:20" x14ac:dyDescent="0.25">
      <c r="A881" s="5">
        <v>43712</v>
      </c>
      <c r="B881">
        <v>1.0549999999999999E-3</v>
      </c>
      <c r="C881">
        <v>1.0709999999999999E-3</v>
      </c>
      <c r="D881">
        <v>1.0200000000000001E-3</v>
      </c>
      <c r="E881">
        <v>1.031E-3</v>
      </c>
      <c r="F881">
        <v>5931918</v>
      </c>
      <c r="G881">
        <v>0</v>
      </c>
      <c r="L881" t="s">
        <v>7</v>
      </c>
      <c r="M881" t="s">
        <v>8</v>
      </c>
      <c r="N881" t="s">
        <v>7</v>
      </c>
      <c r="P881">
        <f t="shared" si="1009"/>
        <v>-0.56862745098039302</v>
      </c>
      <c r="Q881">
        <f t="shared" si="1010"/>
        <v>-3373051.4117647111</v>
      </c>
      <c r="R881">
        <f t="shared" si="1011"/>
        <v>11233594.367576294</v>
      </c>
      <c r="S881">
        <f t="shared" si="1012"/>
        <v>112.33594367576293</v>
      </c>
      <c r="T881">
        <f t="shared" si="1013"/>
        <v>0.11233594367576294</v>
      </c>
    </row>
    <row r="882" spans="1:20" x14ac:dyDescent="0.25">
      <c r="A882" s="5">
        <v>43711</v>
      </c>
      <c r="B882">
        <v>1.0189999999999999E-3</v>
      </c>
      <c r="C882">
        <v>1.1019999999999999E-3</v>
      </c>
      <c r="D882">
        <v>1E-3</v>
      </c>
      <c r="E882">
        <v>1.0549999999999999E-3</v>
      </c>
      <c r="F882">
        <v>40005589</v>
      </c>
      <c r="G882">
        <v>0</v>
      </c>
      <c r="L882" t="s">
        <v>8</v>
      </c>
      <c r="M882" t="s">
        <v>8</v>
      </c>
      <c r="N882" t="s">
        <v>7</v>
      </c>
      <c r="P882">
        <f t="shared" si="1009"/>
        <v>7.8431372549019482E-2</v>
      </c>
      <c r="Q882">
        <f t="shared" si="1010"/>
        <v>3137693.2549019558</v>
      </c>
      <c r="R882">
        <f t="shared" si="1011"/>
        <v>14606645.779341005</v>
      </c>
      <c r="S882">
        <f t="shared" si="1012"/>
        <v>146.06645779341005</v>
      </c>
      <c r="T882">
        <f t="shared" si="1013"/>
        <v>0.14606645779341004</v>
      </c>
    </row>
    <row r="883" spans="1:20" x14ac:dyDescent="0.25">
      <c r="A883" s="5">
        <v>43710</v>
      </c>
      <c r="B883">
        <v>1.0300000000000001E-3</v>
      </c>
      <c r="C883">
        <v>1.054E-3</v>
      </c>
      <c r="D883">
        <v>9.7599999999999998E-4</v>
      </c>
      <c r="E883">
        <v>1.0070000000000001E-3</v>
      </c>
      <c r="F883">
        <v>14526728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-0.20512820512820301</v>
      </c>
      <c r="Q883">
        <f t="shared" si="1010"/>
        <v>-2979841.6410256103</v>
      </c>
      <c r="R883">
        <f t="shared" si="1011"/>
        <v>11468952.524439048</v>
      </c>
      <c r="S883">
        <f t="shared" si="1012"/>
        <v>114.68952524439048</v>
      </c>
      <c r="T883">
        <f t="shared" si="1013"/>
        <v>0.11468952524439048</v>
      </c>
    </row>
    <row r="884" spans="1:20" x14ac:dyDescent="0.25">
      <c r="A884" s="5">
        <v>43709</v>
      </c>
      <c r="B884">
        <v>1.0399999999999999E-3</v>
      </c>
      <c r="C884">
        <v>1.0510000000000001E-3</v>
      </c>
      <c r="D884">
        <v>9.7499999999999996E-4</v>
      </c>
      <c r="E884">
        <v>1.0250000000000001E-3</v>
      </c>
      <c r="F884">
        <v>12303821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0.31578947368421201</v>
      </c>
      <c r="Q884">
        <f t="shared" si="1010"/>
        <v>3885417.1578947552</v>
      </c>
      <c r="R884">
        <f t="shared" si="1011"/>
        <v>14448794.165464658</v>
      </c>
      <c r="S884">
        <f t="shared" si="1012"/>
        <v>144.48794165464659</v>
      </c>
      <c r="T884">
        <f t="shared" si="1013"/>
        <v>0.1444879416546466</v>
      </c>
    </row>
    <row r="885" spans="1:20" x14ac:dyDescent="0.25">
      <c r="A885" s="5">
        <v>43708</v>
      </c>
      <c r="B885">
        <v>1.031E-3</v>
      </c>
      <c r="C885">
        <v>1.07E-3</v>
      </c>
      <c r="D885">
        <v>1.0020000000000001E-3</v>
      </c>
      <c r="E885">
        <v>1.0399999999999999E-3</v>
      </c>
      <c r="F885">
        <v>13414385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0.11764705882352604</v>
      </c>
      <c r="Q885">
        <f t="shared" si="1010"/>
        <v>1578162.9411764254</v>
      </c>
      <c r="R885">
        <f t="shared" si="1011"/>
        <v>10563377.007569904</v>
      </c>
      <c r="S885">
        <f t="shared" si="1012"/>
        <v>105.63377007569903</v>
      </c>
      <c r="T885">
        <f t="shared" si="1013"/>
        <v>0.10563377007569903</v>
      </c>
    </row>
    <row r="886" spans="1:20" x14ac:dyDescent="0.25">
      <c r="A886" s="5">
        <v>43707</v>
      </c>
      <c r="B886">
        <v>1.039E-3</v>
      </c>
      <c r="C886">
        <v>1.0690000000000001E-3</v>
      </c>
      <c r="D886">
        <v>9.1100000000000003E-4</v>
      </c>
      <c r="E886">
        <v>1.0399999999999999E-3</v>
      </c>
      <c r="F886">
        <v>20376733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0.63291139240506133</v>
      </c>
      <c r="Q886">
        <f t="shared" si="1010"/>
        <v>12896666.455696162</v>
      </c>
      <c r="R886">
        <f t="shared" si="1011"/>
        <v>8985214.0663934778</v>
      </c>
      <c r="S886">
        <f t="shared" si="1012"/>
        <v>89.852140663934776</v>
      </c>
      <c r="T886">
        <f t="shared" si="1013"/>
        <v>8.9852140663934779E-2</v>
      </c>
    </row>
    <row r="887" spans="1:20" x14ac:dyDescent="0.25">
      <c r="A887" s="5">
        <v>43706</v>
      </c>
      <c r="B887">
        <v>1.0889999999999999E-3</v>
      </c>
      <c r="C887">
        <v>1.0889999999999999E-3</v>
      </c>
      <c r="D887">
        <v>9.4799999999999995E-4</v>
      </c>
      <c r="E887">
        <v>1.0280000000000001E-3</v>
      </c>
      <c r="F887">
        <v>20405746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0.13475177304964717</v>
      </c>
      <c r="Q887">
        <f t="shared" si="1010"/>
        <v>2749710.4539007456</v>
      </c>
      <c r="R887">
        <f t="shared" si="1011"/>
        <v>-3911452.3893026835</v>
      </c>
      <c r="S887">
        <f t="shared" si="1012"/>
        <v>-39.114523893026835</v>
      </c>
      <c r="T887">
        <f t="shared" si="1013"/>
        <v>-3.9114523893026838E-2</v>
      </c>
    </row>
    <row r="888" spans="1:20" x14ac:dyDescent="0.25">
      <c r="A888" s="5">
        <v>43705</v>
      </c>
      <c r="B888">
        <v>1.191E-3</v>
      </c>
      <c r="C888">
        <v>1.2130000000000001E-3</v>
      </c>
      <c r="D888">
        <v>1.039E-3</v>
      </c>
      <c r="E888">
        <v>1.0889999999999999E-3</v>
      </c>
      <c r="F888">
        <v>14602306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-0.42528735632184045</v>
      </c>
      <c r="Q888">
        <f t="shared" si="1010"/>
        <v>-6210176.1149425488</v>
      </c>
      <c r="R888">
        <f t="shared" si="1011"/>
        <v>-6661162.8432034291</v>
      </c>
      <c r="S888">
        <f t="shared" si="1012"/>
        <v>-66.611628432034294</v>
      </c>
      <c r="T888">
        <f t="shared" si="1013"/>
        <v>-6.6611628432034289E-2</v>
      </c>
    </row>
    <row r="889" spans="1:20" x14ac:dyDescent="0.25">
      <c r="A889" s="5">
        <v>43704</v>
      </c>
      <c r="B889">
        <v>1.1999999999999999E-3</v>
      </c>
      <c r="C889">
        <v>1.284E-3</v>
      </c>
      <c r="D889">
        <v>1.1000000000000001E-3</v>
      </c>
      <c r="E889">
        <v>1.191E-3</v>
      </c>
      <c r="F889">
        <v>41490779</v>
      </c>
      <c r="G889">
        <v>0</v>
      </c>
      <c r="P889">
        <f t="shared" si="1009"/>
        <v>-1.0869565217391573E-2</v>
      </c>
      <c r="Q889">
        <f t="shared" si="1010"/>
        <v>-450986.72826088069</v>
      </c>
      <c r="R889">
        <f t="shared" si="1011"/>
        <v>-450986.72826088069</v>
      </c>
      <c r="S889">
        <f t="shared" si="1012"/>
        <v>-4.5098672826088064</v>
      </c>
      <c r="T889">
        <f t="shared" si="1013"/>
        <v>-4.509867282608806E-3</v>
      </c>
    </row>
    <row r="890" spans="1:20" x14ac:dyDescent="0.25">
      <c r="A890" s="5"/>
      <c r="C890" s="4"/>
      <c r="D890" s="4"/>
    </row>
    <row r="891" spans="1:20" x14ac:dyDescent="0.25">
      <c r="A891" s="5"/>
      <c r="C891" s="4"/>
      <c r="D891" s="4"/>
    </row>
    <row r="892" spans="1:20" x14ac:dyDescent="0.25">
      <c r="A892" s="5"/>
      <c r="C892" s="4"/>
      <c r="D892" s="4"/>
    </row>
    <row r="893" spans="1:20" x14ac:dyDescent="0.25">
      <c r="A893" s="5"/>
      <c r="C893" s="4"/>
      <c r="D893" s="4"/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TL849" sqref="TL84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$A$848</v>
      </c>
      <c r="D111" s="1" t="str">
        <f>ADDRESS(C121-1,D121,1,1)</f>
        <v>$TL$848</v>
      </c>
      <c r="E111"/>
    </row>
    <row r="112" spans="1:5" x14ac:dyDescent="0.25">
      <c r="A112" s="7">
        <v>12164.144957890772</v>
      </c>
      <c r="C112" s="1" t="str">
        <f>ADDRESS(C121,1,1,1)</f>
        <v>$A$849</v>
      </c>
      <c r="D112" s="1" t="str">
        <f>ADDRESS(C121,D121-1,1,1)</f>
        <v>$TK$849</v>
      </c>
      <c r="E112"/>
    </row>
    <row r="113" spans="1:5" x14ac:dyDescent="0.25">
      <c r="A113" s="7">
        <v>11925.63231165762</v>
      </c>
      <c r="C113" s="1" t="str">
        <f>ADDRESS(C121+1,1,1,1)</f>
        <v>$A$850</v>
      </c>
      <c r="D113" s="1" t="str">
        <f>ADDRESS(C121-1,D121+1,1,1)</f>
        <v>$TM$848</v>
      </c>
    </row>
    <row r="114" spans="1:5" x14ac:dyDescent="0.25">
      <c r="A114" s="7">
        <v>11691.796383978059</v>
      </c>
      <c r="C114" s="1" t="str">
        <f>ADDRESS(C121,D121,1,1)</f>
        <v>$TL$849</v>
      </c>
      <c r="D114" s="1" t="str">
        <f>ADDRESS(C121+1,D121+1,1,1)</f>
        <v>$TM$850</v>
      </c>
    </row>
    <row r="115" spans="1:5" x14ac:dyDescent="0.25">
      <c r="A115" s="7">
        <v>11462.545474488292</v>
      </c>
      <c r="C115" s="1" t="str">
        <f>ADDRESS(C121+1,D121,1,1)</f>
        <v>$TL$850</v>
      </c>
    </row>
    <row r="116" spans="1:5" x14ac:dyDescent="0.25">
      <c r="A116" s="7">
        <v>11237.789680870874</v>
      </c>
      <c r="C116" s="1">
        <f>C117-1</f>
        <v>848</v>
      </c>
    </row>
    <row r="117" spans="1:5" x14ac:dyDescent="0.25">
      <c r="A117" s="7">
        <v>11017.440863598895</v>
      </c>
      <c r="C117" s="1">
        <f>C121</f>
        <v>849</v>
      </c>
      <c r="D117" s="1">
        <f>D121</f>
        <v>532</v>
      </c>
    </row>
    <row r="118" spans="1:5" x14ac:dyDescent="0.25">
      <c r="A118" s="7">
        <v>10801.412611371465</v>
      </c>
      <c r="C118" s="1">
        <f>C117+1</f>
        <v>850</v>
      </c>
      <c r="D118" s="1">
        <f>D117+1</f>
        <v>533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849</v>
      </c>
      <c r="D121" s="19">
        <v>532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R849</v>
      </c>
      <c r="D123" s="1" t="str">
        <f>"C"&amp;D121</f>
        <v>C532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5.5815522983999367E-3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" x14ac:dyDescent="0.25">
      <c r="A737" s="7">
        <v>5.1283095966678877E-2</v>
      </c>
      <c r="B737"/>
      <c r="C737"/>
      <c r="D737"/>
      <c r="E737"/>
      <c r="F737" s="27" t="s">
        <v>7</v>
      </c>
    </row>
    <row r="738" spans="1:6" x14ac:dyDescent="0.25">
      <c r="A738" s="7">
        <v>5.0277545065371444E-2</v>
      </c>
      <c r="B738"/>
      <c r="C738"/>
      <c r="D738"/>
      <c r="E738"/>
      <c r="F738" s="27" t="s">
        <v>7</v>
      </c>
    </row>
    <row r="739" spans="1:6" x14ac:dyDescent="0.25">
      <c r="A739" s="7">
        <v>4.9291710848403378E-2</v>
      </c>
      <c r="B739"/>
      <c r="C739"/>
      <c r="D739"/>
      <c r="E739"/>
      <c r="F739" s="27" t="s">
        <v>7</v>
      </c>
    </row>
    <row r="740" spans="1:6" x14ac:dyDescent="0.25">
      <c r="A740" s="7">
        <v>4.8325206714120959E-2</v>
      </c>
      <c r="B740"/>
      <c r="C740"/>
      <c r="D740"/>
      <c r="E740"/>
      <c r="F740" s="27" t="s">
        <v>7</v>
      </c>
    </row>
    <row r="741" spans="1:6" x14ac:dyDescent="0.25">
      <c r="A741" s="7">
        <v>4.7377653641295057E-2</v>
      </c>
      <c r="B741"/>
      <c r="C741"/>
      <c r="D741"/>
      <c r="E741"/>
      <c r="F741" s="27" t="s">
        <v>7</v>
      </c>
    </row>
    <row r="742" spans="1:6" x14ac:dyDescent="0.25">
      <c r="A742" s="7">
        <v>4.644868004048535E-2</v>
      </c>
      <c r="B742"/>
      <c r="C742"/>
      <c r="D742"/>
      <c r="E742"/>
      <c r="F742" s="27" t="s">
        <v>7</v>
      </c>
    </row>
    <row r="743" spans="1:6" x14ac:dyDescent="0.25">
      <c r="A743" s="7">
        <v>4.5537921608318974E-2</v>
      </c>
      <c r="B743"/>
      <c r="C743"/>
      <c r="D743"/>
      <c r="E743"/>
      <c r="F743" s="27" t="s">
        <v>7</v>
      </c>
    </row>
    <row r="744" spans="1:6" x14ac:dyDescent="0.25">
      <c r="A744" s="7">
        <v>4.4645021184626446E-2</v>
      </c>
      <c r="B744"/>
      <c r="C744"/>
      <c r="D744"/>
      <c r="E744"/>
      <c r="F744" s="27" t="s">
        <v>7</v>
      </c>
    </row>
    <row r="745" spans="1:6" x14ac:dyDescent="0.25">
      <c r="A745" s="7">
        <v>4.3769628612378868E-2</v>
      </c>
      <c r="B745"/>
      <c r="C745"/>
      <c r="D745"/>
      <c r="E745"/>
      <c r="F745" s="27" t="s">
        <v>7</v>
      </c>
    </row>
    <row r="746" spans="1:6" x14ac:dyDescent="0.25">
      <c r="A746" s="7">
        <v>4.2911400600371442E-2</v>
      </c>
      <c r="B746"/>
      <c r="C746"/>
      <c r="D746"/>
      <c r="E746"/>
      <c r="F746" s="27" t="s">
        <v>7</v>
      </c>
    </row>
    <row r="747" spans="1:6" x14ac:dyDescent="0.25">
      <c r="A747" s="7">
        <v>4.2070000588599457E-2</v>
      </c>
      <c r="B747"/>
      <c r="C747"/>
      <c r="D747"/>
      <c r="E747"/>
      <c r="F747" s="27" t="s">
        <v>7</v>
      </c>
    </row>
    <row r="748" spans="1:6" x14ac:dyDescent="0.25">
      <c r="A748" s="7">
        <v>4.1245098616273977E-2</v>
      </c>
      <c r="B748"/>
      <c r="C748"/>
      <c r="D748"/>
      <c r="E748"/>
      <c r="F748" s="27" t="s">
        <v>7</v>
      </c>
    </row>
    <row r="749" spans="1:6" x14ac:dyDescent="0.25">
      <c r="A749" s="7">
        <v>4.043637119242547E-2</v>
      </c>
      <c r="B749"/>
      <c r="C749"/>
      <c r="D749"/>
      <c r="E749"/>
      <c r="F749" s="27" t="s">
        <v>7</v>
      </c>
    </row>
    <row r="750" spans="1:6" x14ac:dyDescent="0.25">
      <c r="A750" s="7">
        <v>3.9643501169044582E-2</v>
      </c>
      <c r="B750"/>
      <c r="C750"/>
      <c r="D750"/>
      <c r="E750"/>
      <c r="F750" s="27" t="s">
        <v>7</v>
      </c>
    </row>
    <row r="751" spans="1:6" x14ac:dyDescent="0.25">
      <c r="A751" s="7">
        <v>3.8866177616710372E-2</v>
      </c>
      <c r="B751"/>
      <c r="C751"/>
      <c r="D751"/>
      <c r="E751"/>
      <c r="F751" s="27" t="s">
        <v>7</v>
      </c>
    </row>
    <row r="752" spans="1:6" x14ac:dyDescent="0.25">
      <c r="A752" s="7">
        <v>3.8104095702657229E-2</v>
      </c>
      <c r="B752"/>
      <c r="C752"/>
      <c r="D752"/>
      <c r="E752"/>
      <c r="F752" s="27" t="s">
        <v>7</v>
      </c>
    </row>
    <row r="753" spans="1:386" x14ac:dyDescent="0.25">
      <c r="A753" s="7">
        <v>3.7356956571232579E-2</v>
      </c>
      <c r="B753"/>
      <c r="C753"/>
      <c r="D753"/>
      <c r="E753"/>
      <c r="F753" s="27" t="s">
        <v>7</v>
      </c>
    </row>
    <row r="754" spans="1:386" x14ac:dyDescent="0.25">
      <c r="A754" s="7">
        <v>3.6624467226698605E-2</v>
      </c>
      <c r="B754"/>
      <c r="C754"/>
      <c r="D754"/>
      <c r="E754"/>
      <c r="F754" s="27" t="s">
        <v>7</v>
      </c>
    </row>
    <row r="755" spans="1:386" x14ac:dyDescent="0.25">
      <c r="A755" s="7">
        <v>3.5906340418331961E-2</v>
      </c>
      <c r="B755"/>
      <c r="C755"/>
      <c r="D755"/>
      <c r="E755"/>
      <c r="F755" s="27" t="s">
        <v>7</v>
      </c>
    </row>
    <row r="756" spans="1:386" x14ac:dyDescent="0.25">
      <c r="A756" s="7">
        <v>3.5202294527776436E-2</v>
      </c>
      <c r="B756"/>
      <c r="C756"/>
      <c r="D756"/>
      <c r="E756"/>
      <c r="F756" s="27" t="s">
        <v>7</v>
      </c>
    </row>
    <row r="757" spans="1:386" x14ac:dyDescent="0.25">
      <c r="A757" s="7">
        <v>3.451205345860435E-2</v>
      </c>
      <c r="B757"/>
      <c r="C757"/>
      <c r="D757"/>
      <c r="E757"/>
      <c r="F757" s="27" t="s">
        <v>7</v>
      </c>
    </row>
    <row r="758" spans="1:386" x14ac:dyDescent="0.25">
      <c r="A758" s="7">
        <v>3.3835346528043479E-2</v>
      </c>
      <c r="B758"/>
      <c r="C758"/>
      <c r="D758"/>
      <c r="E758"/>
      <c r="F758" s="27" t="s">
        <v>7</v>
      </c>
      <c r="NM758" s="27" t="s">
        <v>8</v>
      </c>
    </row>
    <row r="759" spans="1:386" x14ac:dyDescent="0.25">
      <c r="A759" s="7">
        <v>3.3171908360826938E-2</v>
      </c>
      <c r="B759"/>
      <c r="C759"/>
      <c r="D759"/>
      <c r="E759"/>
      <c r="F759" s="27" t="s">
        <v>7</v>
      </c>
      <c r="NM759" s="27" t="s">
        <v>8</v>
      </c>
      <c r="NN759" s="27" t="s">
        <v>7</v>
      </c>
      <c r="NS759" s="27" t="s">
        <v>8</v>
      </c>
    </row>
    <row r="760" spans="1:386" x14ac:dyDescent="0.25">
      <c r="A760" s="7">
        <v>3.2521478785124451E-2</v>
      </c>
      <c r="B760"/>
      <c r="C760"/>
      <c r="D760"/>
      <c r="E760"/>
      <c r="F760" s="27" t="s">
        <v>7</v>
      </c>
      <c r="NM760" s="27" t="s">
        <v>8</v>
      </c>
      <c r="NN760" s="27" t="s">
        <v>7</v>
      </c>
      <c r="NS760" s="27" t="s">
        <v>8</v>
      </c>
      <c r="NT760" s="27" t="s">
        <v>7</v>
      </c>
    </row>
    <row r="761" spans="1:386" x14ac:dyDescent="0.25">
      <c r="A761" s="7">
        <v>3.1883802730514173E-2</v>
      </c>
      <c r="B761"/>
      <c r="C761"/>
      <c r="D761"/>
      <c r="E761"/>
      <c r="F761" s="27" t="s">
        <v>7</v>
      </c>
      <c r="NM761" s="27" t="s">
        <v>8</v>
      </c>
      <c r="NN761" s="27" t="s">
        <v>7</v>
      </c>
      <c r="NS761" s="27" t="s">
        <v>8</v>
      </c>
      <c r="NT761" s="27" t="s">
        <v>7</v>
      </c>
    </row>
    <row r="762" spans="1:386" x14ac:dyDescent="0.25">
      <c r="A762" s="7">
        <v>3.1258630127955073E-2</v>
      </c>
      <c r="B762"/>
      <c r="C762"/>
      <c r="D762"/>
      <c r="E762"/>
      <c r="F762" s="27" t="s">
        <v>7</v>
      </c>
      <c r="NM762" s="27" t="s">
        <v>8</v>
      </c>
      <c r="NN762" s="27" t="s">
        <v>7</v>
      </c>
      <c r="NS762" s="27" t="s">
        <v>8</v>
      </c>
      <c r="NT762" s="27" t="s">
        <v>7</v>
      </c>
      <c r="NU762" s="27" t="s">
        <v>8</v>
      </c>
    </row>
    <row r="763" spans="1:386" x14ac:dyDescent="0.25">
      <c r="A763" s="7">
        <v>3.064571581172066E-2</v>
      </c>
      <c r="B763"/>
      <c r="C763"/>
      <c r="D763"/>
      <c r="E763"/>
      <c r="F763" s="27" t="s">
        <v>7</v>
      </c>
      <c r="NM763" s="27" t="s">
        <v>8</v>
      </c>
      <c r="NN763" s="27" t="s">
        <v>7</v>
      </c>
      <c r="NS763" s="27" t="s">
        <v>8</v>
      </c>
      <c r="NT763" s="27" t="s">
        <v>7</v>
      </c>
      <c r="NU763" s="27" t="s">
        <v>8</v>
      </c>
      <c r="NV763" s="27" t="s">
        <v>7</v>
      </c>
    </row>
    <row r="764" spans="1:386" x14ac:dyDescent="0.25">
      <c r="A764" s="7">
        <v>3.0044819423255549E-2</v>
      </c>
      <c r="B764"/>
      <c r="C764"/>
      <c r="D764"/>
      <c r="E764"/>
      <c r="F764" s="27" t="s">
        <v>7</v>
      </c>
      <c r="NM764" s="27" t="s">
        <v>8</v>
      </c>
      <c r="NN764" s="27" t="s">
        <v>7</v>
      </c>
      <c r="NS764" s="27" t="s">
        <v>8</v>
      </c>
      <c r="NT764" s="27" t="s">
        <v>7</v>
      </c>
      <c r="NU764" s="27" t="s">
        <v>8</v>
      </c>
      <c r="NV764" s="27" t="s">
        <v>7</v>
      </c>
    </row>
    <row r="765" spans="1:386" x14ac:dyDescent="0.25">
      <c r="A765" s="7">
        <v>2.9455705316917203E-2</v>
      </c>
      <c r="B765"/>
      <c r="C765"/>
      <c r="D765"/>
      <c r="E765"/>
      <c r="F765" s="27" t="s">
        <v>7</v>
      </c>
      <c r="NM765" s="27" t="s">
        <v>8</v>
      </c>
      <c r="NN765" s="27" t="s">
        <v>7</v>
      </c>
      <c r="NS765" s="27" t="s">
        <v>8</v>
      </c>
      <c r="NT765" s="27" t="s">
        <v>7</v>
      </c>
      <c r="NU765" s="27" t="s">
        <v>8</v>
      </c>
      <c r="NV765" s="27" t="s">
        <v>7</v>
      </c>
    </row>
    <row r="766" spans="1:386" x14ac:dyDescent="0.25">
      <c r="A766" s="7">
        <v>2.8878142467565884E-2</v>
      </c>
      <c r="B766"/>
      <c r="C766"/>
      <c r="D766"/>
      <c r="E766"/>
      <c r="F766" s="27" t="s">
        <v>7</v>
      </c>
      <c r="NM766" s="27" t="s">
        <v>8</v>
      </c>
      <c r="NN766" s="27" t="s">
        <v>7</v>
      </c>
      <c r="NS766" s="27" t="s">
        <v>8</v>
      </c>
      <c r="NT766" s="27" t="s">
        <v>7</v>
      </c>
      <c r="NU766" s="27" t="s">
        <v>8</v>
      </c>
      <c r="NV766" s="27" t="s">
        <v>7</v>
      </c>
    </row>
    <row r="767" spans="1:386" x14ac:dyDescent="0.25">
      <c r="A767" s="7">
        <v>2.8311904379966554E-2</v>
      </c>
      <c r="B767"/>
      <c r="C767"/>
      <c r="D767"/>
      <c r="E767"/>
      <c r="F767" s="27" t="s">
        <v>7</v>
      </c>
      <c r="NM767" s="27" t="s">
        <v>8</v>
      </c>
      <c r="NN767" s="27" t="s">
        <v>7</v>
      </c>
      <c r="NS767" s="27" t="s">
        <v>8</v>
      </c>
      <c r="NT767" s="27" t="s">
        <v>7</v>
      </c>
      <c r="NU767" s="27" t="s">
        <v>8</v>
      </c>
      <c r="NV767" s="27" t="s">
        <v>7</v>
      </c>
    </row>
    <row r="768" spans="1:386" x14ac:dyDescent="0.25">
      <c r="A768" s="7">
        <v>2.7756768999967207E-2</v>
      </c>
      <c r="B768"/>
      <c r="C768"/>
      <c r="D768"/>
      <c r="E768"/>
      <c r="F768" s="27" t="s">
        <v>7</v>
      </c>
      <c r="NM768" s="27" t="s">
        <v>8</v>
      </c>
      <c r="NN768" s="27" t="s">
        <v>7</v>
      </c>
      <c r="NS768" s="27" t="s">
        <v>8</v>
      </c>
      <c r="NT768" s="27" t="s">
        <v>7</v>
      </c>
      <c r="NU768" s="27" t="s">
        <v>8</v>
      </c>
      <c r="NV768" s="27" t="s">
        <v>7</v>
      </c>
    </row>
    <row r="769" spans="1:402" x14ac:dyDescent="0.25">
      <c r="A769" s="7">
        <v>2.7212518627418834E-2</v>
      </c>
      <c r="B769"/>
      <c r="C769"/>
      <c r="D769"/>
      <c r="E769"/>
      <c r="F769" s="27" t="s">
        <v>7</v>
      </c>
      <c r="MU769" s="27" t="s">
        <v>8</v>
      </c>
      <c r="NM769" s="27" t="s">
        <v>8</v>
      </c>
      <c r="NN769" s="27" t="s">
        <v>7</v>
      </c>
      <c r="NS769" s="27" t="s">
        <v>8</v>
      </c>
      <c r="NT769" s="27" t="s">
        <v>7</v>
      </c>
      <c r="NU769" s="27" t="s">
        <v>8</v>
      </c>
      <c r="NV769" s="27" t="s">
        <v>7</v>
      </c>
    </row>
    <row r="770" spans="1:402" x14ac:dyDescent="0.25">
      <c r="A770" s="7">
        <v>2.6678939830802779E-2</v>
      </c>
      <c r="B770"/>
      <c r="C770"/>
      <c r="D770"/>
      <c r="E770"/>
      <c r="F770" s="27" t="s">
        <v>7</v>
      </c>
      <c r="MU770" s="27" t="s">
        <v>8</v>
      </c>
      <c r="MV770" s="27" t="s">
        <v>7</v>
      </c>
      <c r="NM770" s="27" t="s">
        <v>8</v>
      </c>
      <c r="NN770" s="27" t="s">
        <v>7</v>
      </c>
      <c r="NQ770" s="27" t="s">
        <v>8</v>
      </c>
      <c r="NS770" s="27" t="s">
        <v>8</v>
      </c>
      <c r="NT770" s="27" t="s">
        <v>7</v>
      </c>
      <c r="NU770" s="27" t="s">
        <v>8</v>
      </c>
      <c r="NV770" s="27" t="s">
        <v>7</v>
      </c>
    </row>
    <row r="771" spans="1:402" x14ac:dyDescent="0.25">
      <c r="A771" s="7">
        <v>2.615582336353214E-2</v>
      </c>
      <c r="B771"/>
      <c r="C771"/>
      <c r="D771"/>
      <c r="E771"/>
      <c r="F771" s="27" t="s">
        <v>7</v>
      </c>
      <c r="MU771" s="27" t="s">
        <v>8</v>
      </c>
      <c r="MV771" s="27" t="s">
        <v>7</v>
      </c>
      <c r="NM771" s="27" t="s">
        <v>8</v>
      </c>
      <c r="NN771" s="27" t="s">
        <v>7</v>
      </c>
      <c r="NQ771" s="27" t="s">
        <v>8</v>
      </c>
      <c r="NR771" s="27" t="s">
        <v>7</v>
      </c>
      <c r="NS771" s="27" t="s">
        <v>8</v>
      </c>
      <c r="NT771" s="27" t="s">
        <v>7</v>
      </c>
      <c r="NU771" s="27" t="s">
        <v>8</v>
      </c>
      <c r="NV771" s="27" t="s">
        <v>7</v>
      </c>
    </row>
    <row r="772" spans="1:402" x14ac:dyDescent="0.25">
      <c r="A772" s="7">
        <v>2.5642964081894253E-2</v>
      </c>
      <c r="B772"/>
      <c r="C772"/>
      <c r="D772"/>
      <c r="E772"/>
      <c r="F772" s="27" t="s">
        <v>7</v>
      </c>
      <c r="MU772" s="27" t="s">
        <v>8</v>
      </c>
      <c r="MV772" s="27" t="s">
        <v>7</v>
      </c>
      <c r="NM772" s="27" t="s">
        <v>8</v>
      </c>
      <c r="NN772" s="27" t="s">
        <v>7</v>
      </c>
      <c r="NQ772" s="27" t="s">
        <v>8</v>
      </c>
      <c r="NR772" s="27" t="s">
        <v>7</v>
      </c>
      <c r="NS772" s="27" t="s">
        <v>8</v>
      </c>
      <c r="NT772" s="27" t="s">
        <v>7</v>
      </c>
      <c r="NU772" s="27" t="s">
        <v>8</v>
      </c>
      <c r="NV772" s="27" t="s">
        <v>7</v>
      </c>
    </row>
    <row r="773" spans="1:402" x14ac:dyDescent="0.25">
      <c r="A773" s="7">
        <v>2.5140160864602207E-2</v>
      </c>
      <c r="B773"/>
      <c r="C773"/>
      <c r="D773"/>
      <c r="E773"/>
      <c r="F773" s="27" t="s">
        <v>7</v>
      </c>
      <c r="MU773" s="27" t="s">
        <v>8</v>
      </c>
      <c r="MV773" s="27" t="s">
        <v>7</v>
      </c>
      <c r="NM773" s="27" t="s">
        <v>8</v>
      </c>
      <c r="NN773" s="27" t="s">
        <v>7</v>
      </c>
      <c r="NQ773" s="27" t="s">
        <v>8</v>
      </c>
      <c r="NR773" s="27" t="s">
        <v>7</v>
      </c>
      <c r="NS773" s="27" t="s">
        <v>8</v>
      </c>
      <c r="NT773" s="27" t="s">
        <v>7</v>
      </c>
      <c r="NV773" s="27" t="s">
        <v>7</v>
      </c>
      <c r="NW773" s="27" t="s">
        <v>8</v>
      </c>
      <c r="OK773" s="27" t="s">
        <v>8</v>
      </c>
    </row>
    <row r="774" spans="1:402" x14ac:dyDescent="0.25">
      <c r="A774" s="7">
        <v>2.4647216533923735E-2</v>
      </c>
      <c r="B774"/>
      <c r="C774"/>
      <c r="D774"/>
      <c r="E774"/>
      <c r="F774" s="27" t="s">
        <v>7</v>
      </c>
      <c r="MU774" s="27" t="s">
        <v>8</v>
      </c>
      <c r="MV774" s="27" t="s">
        <v>7</v>
      </c>
      <c r="NM774" s="27" t="s">
        <v>8</v>
      </c>
      <c r="NN774" s="27" t="s">
        <v>7</v>
      </c>
      <c r="NQ774" s="27" t="s">
        <v>8</v>
      </c>
      <c r="NR774" s="27" t="s">
        <v>7</v>
      </c>
      <c r="NS774" s="27" t="s">
        <v>8</v>
      </c>
      <c r="NV774" s="27" t="s">
        <v>7</v>
      </c>
      <c r="NW774" s="27" t="s">
        <v>8</v>
      </c>
      <c r="NX774" s="27" t="s">
        <v>7</v>
      </c>
      <c r="OK774" s="27" t="s">
        <v>8</v>
      </c>
      <c r="OL774" s="27" t="s">
        <v>7</v>
      </c>
    </row>
    <row r="775" spans="1:402" x14ac:dyDescent="0.25">
      <c r="A775" s="7">
        <v>2.4163937778356601E-2</v>
      </c>
      <c r="B775"/>
      <c r="C775"/>
      <c r="D775"/>
      <c r="E775"/>
      <c r="F775" s="27" t="s">
        <v>7</v>
      </c>
      <c r="MU775" s="27" t="s">
        <v>8</v>
      </c>
      <c r="MV775" s="27" t="s">
        <v>7</v>
      </c>
      <c r="NM775" s="27" t="s">
        <v>8</v>
      </c>
      <c r="NN775" s="27" t="s">
        <v>7</v>
      </c>
      <c r="NQ775" s="27" t="s">
        <v>8</v>
      </c>
      <c r="NR775" s="27" t="s">
        <v>7</v>
      </c>
      <c r="NS775" s="27" t="s">
        <v>8</v>
      </c>
      <c r="NV775" s="27" t="s">
        <v>7</v>
      </c>
      <c r="NW775" s="27" t="s">
        <v>8</v>
      </c>
      <c r="NX775" s="27" t="s">
        <v>7</v>
      </c>
      <c r="NY775" s="27" t="s">
        <v>8</v>
      </c>
      <c r="OK775" s="27" t="s">
        <v>8</v>
      </c>
      <c r="OL775" s="27" t="s">
        <v>7</v>
      </c>
    </row>
    <row r="776" spans="1:402" x14ac:dyDescent="0.25">
      <c r="A776" s="7">
        <v>2.3690135076820197E-2</v>
      </c>
      <c r="B776"/>
      <c r="C776"/>
      <c r="D776"/>
      <c r="E776"/>
      <c r="F776" s="27" t="s">
        <v>7</v>
      </c>
      <c r="MU776" s="27" t="s">
        <v>8</v>
      </c>
      <c r="MV776" s="27" t="s">
        <v>7</v>
      </c>
      <c r="NM776" s="27" t="s">
        <v>8</v>
      </c>
      <c r="NN776" s="27" t="s">
        <v>7</v>
      </c>
      <c r="NO776" s="27" t="s">
        <v>8</v>
      </c>
      <c r="NQ776" s="27" t="s">
        <v>8</v>
      </c>
      <c r="NR776" s="27" t="s">
        <v>7</v>
      </c>
      <c r="NS776" s="27" t="s">
        <v>8</v>
      </c>
      <c r="NV776" s="27" t="s">
        <v>7</v>
      </c>
      <c r="NW776" s="27" t="s">
        <v>8</v>
      </c>
      <c r="NX776" s="27" t="s">
        <v>7</v>
      </c>
      <c r="NY776" s="27" t="s">
        <v>8</v>
      </c>
      <c r="NZ776" s="27" t="s">
        <v>7</v>
      </c>
      <c r="OK776" s="27" t="s">
        <v>8</v>
      </c>
      <c r="OL776" s="27" t="s">
        <v>7</v>
      </c>
    </row>
    <row r="777" spans="1:402" x14ac:dyDescent="0.25">
      <c r="A777" s="7">
        <v>2.3225622624333527E-2</v>
      </c>
      <c r="B777"/>
      <c r="C777"/>
      <c r="D777"/>
      <c r="E777"/>
      <c r="F777" s="27" t="s">
        <v>7</v>
      </c>
      <c r="MU777" s="27" t="s">
        <v>8</v>
      </c>
      <c r="MV777" s="27" t="s">
        <v>7</v>
      </c>
      <c r="NM777" s="27" t="s">
        <v>8</v>
      </c>
      <c r="NN777" s="27" t="s">
        <v>7</v>
      </c>
      <c r="NO777" s="27" t="s">
        <v>8</v>
      </c>
      <c r="NP777" s="27" t="s">
        <v>7</v>
      </c>
      <c r="NQ777" s="27" t="s">
        <v>8</v>
      </c>
      <c r="NR777" s="27" t="s">
        <v>7</v>
      </c>
      <c r="NS777" s="27" t="s">
        <v>8</v>
      </c>
      <c r="NV777" s="27" t="s">
        <v>7</v>
      </c>
      <c r="NW777" s="27" t="s">
        <v>8</v>
      </c>
      <c r="NX777" s="27" t="s">
        <v>7</v>
      </c>
      <c r="NY777" s="27" t="s">
        <v>8</v>
      </c>
      <c r="NZ777" s="27" t="s">
        <v>7</v>
      </c>
      <c r="OK777" s="27" t="s">
        <v>8</v>
      </c>
      <c r="OL777" s="27" t="s">
        <v>7</v>
      </c>
    </row>
    <row r="778" spans="1:402" x14ac:dyDescent="0.25">
      <c r="A778" s="7">
        <v>2.2770218259150519E-2</v>
      </c>
      <c r="B778"/>
      <c r="C778"/>
      <c r="D778"/>
      <c r="E778"/>
      <c r="F778" s="27" t="s">
        <v>7</v>
      </c>
      <c r="MU778" s="27" t="s">
        <v>8</v>
      </c>
      <c r="MV778" s="27" t="s">
        <v>7</v>
      </c>
      <c r="NM778" s="27" t="s">
        <v>8</v>
      </c>
      <c r="NN778" s="27" t="s">
        <v>7</v>
      </c>
      <c r="NO778" s="27" t="s">
        <v>8</v>
      </c>
      <c r="NP778" s="27" t="s">
        <v>7</v>
      </c>
      <c r="NQ778" s="27" t="s">
        <v>8</v>
      </c>
      <c r="NR778" s="27" t="s">
        <v>7</v>
      </c>
      <c r="NS778" s="27" t="s">
        <v>8</v>
      </c>
      <c r="NV778" s="27" t="s">
        <v>7</v>
      </c>
      <c r="NW778" s="27" t="s">
        <v>8</v>
      </c>
      <c r="NX778" s="27" t="s">
        <v>7</v>
      </c>
      <c r="NY778" s="27" t="s">
        <v>8</v>
      </c>
      <c r="NZ778" s="27" t="s">
        <v>7</v>
      </c>
      <c r="OK778" s="27" t="s">
        <v>8</v>
      </c>
      <c r="OL778" s="27" t="s">
        <v>7</v>
      </c>
    </row>
    <row r="779" spans="1:402" x14ac:dyDescent="0.25">
      <c r="A779" s="7">
        <v>2.2323743391324039E-2</v>
      </c>
      <c r="B779"/>
      <c r="C779"/>
      <c r="D779"/>
      <c r="E779"/>
      <c r="F779" s="27" t="s">
        <v>7</v>
      </c>
      <c r="MU779" s="27" t="s">
        <v>8</v>
      </c>
      <c r="MV779" s="27" t="s">
        <v>7</v>
      </c>
      <c r="MW779" s="27" t="s">
        <v>8</v>
      </c>
      <c r="NK779" s="27" t="s">
        <v>8</v>
      </c>
      <c r="NM779" s="27" t="s">
        <v>8</v>
      </c>
      <c r="NN779" s="27" t="s">
        <v>7</v>
      </c>
      <c r="NO779" s="27" t="s">
        <v>8</v>
      </c>
      <c r="NP779" s="27" t="s">
        <v>7</v>
      </c>
      <c r="NQ779" s="27" t="s">
        <v>8</v>
      </c>
      <c r="NR779" s="27" t="s">
        <v>7</v>
      </c>
      <c r="NV779" s="27" t="s">
        <v>7</v>
      </c>
      <c r="NW779" s="27" t="s">
        <v>8</v>
      </c>
      <c r="NX779" s="27" t="s">
        <v>7</v>
      </c>
      <c r="NY779" s="27" t="s">
        <v>8</v>
      </c>
      <c r="NZ779" s="27" t="s">
        <v>7</v>
      </c>
      <c r="OA779" s="27" t="s">
        <v>8</v>
      </c>
      <c r="OK779" s="27" t="s">
        <v>8</v>
      </c>
      <c r="OL779" s="27" t="s">
        <v>7</v>
      </c>
    </row>
    <row r="780" spans="1:402" x14ac:dyDescent="0.25">
      <c r="A780" s="7">
        <v>2.188602293267063E-2</v>
      </c>
      <c r="B780"/>
      <c r="C780"/>
      <c r="D780"/>
      <c r="E780"/>
      <c r="F780" s="27" t="s">
        <v>7</v>
      </c>
      <c r="MS780" s="27" t="s">
        <v>8</v>
      </c>
      <c r="MU780" s="27" t="s">
        <v>8</v>
      </c>
      <c r="MV780" s="27" t="s">
        <v>7</v>
      </c>
      <c r="MW780" s="27" t="s">
        <v>8</v>
      </c>
      <c r="MX780" s="27" t="s">
        <v>7</v>
      </c>
      <c r="NK780" s="27" t="s">
        <v>8</v>
      </c>
      <c r="NL780" s="27" t="s">
        <v>7</v>
      </c>
      <c r="NM780" s="27" t="s">
        <v>8</v>
      </c>
      <c r="NN780" s="27" t="s">
        <v>7</v>
      </c>
      <c r="NO780" s="27" t="s">
        <v>8</v>
      </c>
      <c r="NP780" s="27" t="s">
        <v>7</v>
      </c>
      <c r="NQ780" s="27" t="s">
        <v>8</v>
      </c>
      <c r="NV780" s="27" t="s">
        <v>7</v>
      </c>
      <c r="NW780" s="27" t="s">
        <v>8</v>
      </c>
      <c r="NX780" s="27" t="s">
        <v>7</v>
      </c>
      <c r="NY780" s="27" t="s">
        <v>8</v>
      </c>
      <c r="NZ780" s="27" t="s">
        <v>7</v>
      </c>
      <c r="OA780" s="27" t="s">
        <v>8</v>
      </c>
      <c r="OB780" s="27" t="s">
        <v>7</v>
      </c>
      <c r="OK780" s="27" t="s">
        <v>8</v>
      </c>
      <c r="OL780" s="27" t="s">
        <v>7</v>
      </c>
    </row>
    <row r="781" spans="1:402" x14ac:dyDescent="0.25">
      <c r="A781" s="7">
        <v>2.1456885228108461E-2</v>
      </c>
      <c r="B781"/>
      <c r="C781"/>
      <c r="D781"/>
      <c r="E781"/>
      <c r="F781" s="27" t="s">
        <v>7</v>
      </c>
      <c r="MS781" s="27" t="s">
        <v>8</v>
      </c>
      <c r="MT781" s="27" t="s">
        <v>7</v>
      </c>
      <c r="MU781" s="27" t="s">
        <v>8</v>
      </c>
      <c r="MV781" s="27" t="s">
        <v>7</v>
      </c>
      <c r="MW781" s="27" t="s">
        <v>8</v>
      </c>
      <c r="MX781" s="27" t="s">
        <v>7</v>
      </c>
      <c r="NK781" s="27" t="s">
        <v>8</v>
      </c>
      <c r="NL781" s="27" t="s">
        <v>7</v>
      </c>
      <c r="NM781" s="27" t="s">
        <v>8</v>
      </c>
      <c r="NN781" s="27" t="s">
        <v>7</v>
      </c>
      <c r="NO781" s="27" t="s">
        <v>8</v>
      </c>
      <c r="NP781" s="27" t="s">
        <v>7</v>
      </c>
      <c r="NV781" s="27" t="s">
        <v>7</v>
      </c>
      <c r="NW781" s="27" t="s">
        <v>8</v>
      </c>
      <c r="NX781" s="27" t="s">
        <v>7</v>
      </c>
      <c r="NY781" s="27" t="s">
        <v>8</v>
      </c>
      <c r="NZ781" s="27" t="s">
        <v>7</v>
      </c>
      <c r="OA781" s="27" t="s">
        <v>8</v>
      </c>
      <c r="OB781" s="27" t="s">
        <v>7</v>
      </c>
      <c r="OC781" s="27" t="s">
        <v>8</v>
      </c>
      <c r="OK781" s="27" t="s">
        <v>8</v>
      </c>
      <c r="OL781" s="27" t="s">
        <v>7</v>
      </c>
    </row>
    <row r="782" spans="1:402" x14ac:dyDescent="0.25">
      <c r="A782" s="7">
        <v>2.1036161988341632E-2</v>
      </c>
      <c r="B782"/>
      <c r="C782"/>
      <c r="D782"/>
      <c r="E782"/>
      <c r="F782" s="27" t="s">
        <v>7</v>
      </c>
      <c r="MS782" s="27" t="s">
        <v>8</v>
      </c>
      <c r="MT782" s="27" t="s">
        <v>7</v>
      </c>
      <c r="MU782" s="27" t="s">
        <v>8</v>
      </c>
      <c r="MV782" s="27" t="s">
        <v>7</v>
      </c>
      <c r="MW782" s="27" t="s">
        <v>8</v>
      </c>
      <c r="MX782" s="27" t="s">
        <v>7</v>
      </c>
      <c r="NK782" s="27" t="s">
        <v>8</v>
      </c>
      <c r="NL782" s="27" t="s">
        <v>7</v>
      </c>
      <c r="NM782" s="27" t="s">
        <v>8</v>
      </c>
      <c r="NN782" s="27" t="s">
        <v>7</v>
      </c>
      <c r="NO782" s="27" t="s">
        <v>8</v>
      </c>
      <c r="NV782" s="27" t="s">
        <v>7</v>
      </c>
      <c r="NW782" s="27" t="s">
        <v>8</v>
      </c>
      <c r="NX782" s="27" t="s">
        <v>7</v>
      </c>
      <c r="NY782" s="27" t="s">
        <v>8</v>
      </c>
      <c r="NZ782" s="27" t="s">
        <v>7</v>
      </c>
      <c r="OA782" s="27" t="s">
        <v>8</v>
      </c>
      <c r="OB782" s="27" t="s">
        <v>7</v>
      </c>
      <c r="OC782" s="27" t="s">
        <v>8</v>
      </c>
      <c r="OD782" s="27" t="s">
        <v>7</v>
      </c>
      <c r="OK782" s="27" t="s">
        <v>8</v>
      </c>
      <c r="OL782" s="27" t="s">
        <v>7</v>
      </c>
    </row>
    <row r="783" spans="1:402" x14ac:dyDescent="0.25">
      <c r="A783" s="7">
        <v>2.0623688223864345E-2</v>
      </c>
      <c r="B783"/>
      <c r="C783"/>
      <c r="D783"/>
      <c r="E783"/>
      <c r="F783" s="27" t="s">
        <v>7</v>
      </c>
      <c r="MS783" s="27" t="s">
        <v>8</v>
      </c>
      <c r="MT783" s="27" t="s">
        <v>7</v>
      </c>
      <c r="MU783" s="27" t="s">
        <v>8</v>
      </c>
      <c r="MV783" s="27" t="s">
        <v>7</v>
      </c>
      <c r="MW783" s="27" t="s">
        <v>8</v>
      </c>
      <c r="MX783" s="27" t="s">
        <v>7</v>
      </c>
      <c r="NK783" s="27" t="s">
        <v>8</v>
      </c>
      <c r="NL783" s="27" t="s">
        <v>7</v>
      </c>
      <c r="NM783" s="27" t="s">
        <v>8</v>
      </c>
      <c r="NN783" s="27" t="s">
        <v>7</v>
      </c>
      <c r="NO783" s="27" t="s">
        <v>8</v>
      </c>
      <c r="NV783" s="27" t="s">
        <v>7</v>
      </c>
      <c r="NW783" s="27" t="s">
        <v>8</v>
      </c>
      <c r="NX783" s="27" t="s">
        <v>7</v>
      </c>
      <c r="NZ783" s="27" t="s">
        <v>7</v>
      </c>
      <c r="OA783" s="27" t="s">
        <v>8</v>
      </c>
      <c r="OB783" s="27" t="s">
        <v>7</v>
      </c>
      <c r="OC783" s="27" t="s">
        <v>8</v>
      </c>
      <c r="OD783" s="27" t="s">
        <v>7</v>
      </c>
      <c r="OK783" s="27" t="s">
        <v>8</v>
      </c>
      <c r="OL783" s="27" t="s">
        <v>7</v>
      </c>
    </row>
    <row r="784" spans="1:402" x14ac:dyDescent="0.25">
      <c r="A784" s="7">
        <v>2.021930218025916E-2</v>
      </c>
      <c r="B784"/>
      <c r="C784"/>
      <c r="D784"/>
      <c r="E784"/>
      <c r="F784" s="27" t="s">
        <v>7</v>
      </c>
      <c r="MS784" s="27" t="s">
        <v>8</v>
      </c>
      <c r="MT784" s="27" t="s">
        <v>7</v>
      </c>
      <c r="MU784" s="27" t="s">
        <v>8</v>
      </c>
      <c r="MV784" s="27" t="s">
        <v>7</v>
      </c>
      <c r="MW784" s="27" t="s">
        <v>8</v>
      </c>
      <c r="MX784" s="27" t="s">
        <v>7</v>
      </c>
      <c r="NI784" s="27" t="s">
        <v>8</v>
      </c>
      <c r="NK784" s="27" t="s">
        <v>8</v>
      </c>
      <c r="NL784" s="27" t="s">
        <v>7</v>
      </c>
      <c r="NM784" s="27" t="s">
        <v>8</v>
      </c>
      <c r="NN784" s="27" t="s">
        <v>7</v>
      </c>
      <c r="NO784" s="27" t="s">
        <v>8</v>
      </c>
      <c r="NV784" s="27" t="s">
        <v>7</v>
      </c>
      <c r="NW784" s="27" t="s">
        <v>8</v>
      </c>
      <c r="NZ784" s="27" t="s">
        <v>7</v>
      </c>
      <c r="OA784" s="27" t="s">
        <v>8</v>
      </c>
      <c r="OB784" s="27" t="s">
        <v>7</v>
      </c>
      <c r="OC784" s="27" t="s">
        <v>8</v>
      </c>
      <c r="OD784" s="27" t="s">
        <v>7</v>
      </c>
      <c r="OK784" s="27" t="s">
        <v>8</v>
      </c>
      <c r="OL784" s="27" t="s">
        <v>7</v>
      </c>
    </row>
    <row r="785" spans="1:507" x14ac:dyDescent="0.25">
      <c r="A785" s="7">
        <v>1.9822845274763884E-2</v>
      </c>
      <c r="B785"/>
      <c r="C785"/>
      <c r="D785"/>
      <c r="E785"/>
      <c r="F785" s="27" t="s">
        <v>7</v>
      </c>
      <c r="MS785" s="27" t="s">
        <v>8</v>
      </c>
      <c r="MT785" s="27" t="s">
        <v>7</v>
      </c>
      <c r="MU785" s="27" t="s">
        <v>8</v>
      </c>
      <c r="MV785" s="27" t="s">
        <v>7</v>
      </c>
      <c r="MW785" s="27" t="s">
        <v>8</v>
      </c>
      <c r="MX785" s="27" t="s">
        <v>7</v>
      </c>
      <c r="NI785" s="27" t="s">
        <v>8</v>
      </c>
      <c r="NJ785" s="27" t="s">
        <v>7</v>
      </c>
      <c r="NK785" s="27" t="s">
        <v>8</v>
      </c>
      <c r="NL785" s="27" t="s">
        <v>7</v>
      </c>
      <c r="NM785" s="27" t="s">
        <v>8</v>
      </c>
      <c r="NN785" s="27" t="s">
        <v>7</v>
      </c>
      <c r="NO785" s="27" t="s">
        <v>8</v>
      </c>
      <c r="NV785" s="27" t="s">
        <v>7</v>
      </c>
      <c r="NW785" s="27" t="s">
        <v>8</v>
      </c>
      <c r="NZ785" s="27" t="s">
        <v>7</v>
      </c>
      <c r="OB785" s="27" t="s">
        <v>7</v>
      </c>
      <c r="OD785" s="27" t="s">
        <v>7</v>
      </c>
      <c r="OK785" s="27" t="s">
        <v>8</v>
      </c>
      <c r="OL785" s="27" t="s">
        <v>7</v>
      </c>
    </row>
    <row r="786" spans="1:507" x14ac:dyDescent="0.25">
      <c r="A786" s="7">
        <v>1.9434162034082238E-2</v>
      </c>
      <c r="B786"/>
      <c r="C786"/>
      <c r="D786"/>
      <c r="E786"/>
      <c r="F786" s="27" t="s">
        <v>7</v>
      </c>
      <c r="MM786" s="27" t="s">
        <v>8</v>
      </c>
      <c r="MS786" s="27" t="s">
        <v>8</v>
      </c>
      <c r="MT786" s="27" t="s">
        <v>7</v>
      </c>
      <c r="MU786" s="27" t="s">
        <v>8</v>
      </c>
      <c r="MV786" s="27" t="s">
        <v>7</v>
      </c>
      <c r="MW786" s="27" t="s">
        <v>8</v>
      </c>
      <c r="MX786" s="27" t="s">
        <v>7</v>
      </c>
      <c r="NI786" s="27" t="s">
        <v>8</v>
      </c>
      <c r="NJ786" s="27" t="s">
        <v>7</v>
      </c>
      <c r="NK786" s="27" t="s">
        <v>8</v>
      </c>
      <c r="NL786" s="27" t="s">
        <v>7</v>
      </c>
      <c r="NM786" s="27" t="s">
        <v>8</v>
      </c>
      <c r="NN786" s="27" t="s">
        <v>7</v>
      </c>
      <c r="NO786" s="27" t="s">
        <v>8</v>
      </c>
      <c r="NV786" s="27" t="s">
        <v>7</v>
      </c>
      <c r="NW786" s="27" t="s">
        <v>8</v>
      </c>
      <c r="OD786" s="27" t="s">
        <v>7</v>
      </c>
      <c r="OK786" s="27" t="s">
        <v>8</v>
      </c>
      <c r="OL786" s="27" t="s">
        <v>7</v>
      </c>
      <c r="PE786" s="27" t="s">
        <v>8</v>
      </c>
      <c r="RM786" s="27" t="s">
        <v>8</v>
      </c>
    </row>
    <row r="787" spans="1:507" x14ac:dyDescent="0.25">
      <c r="A787" s="7">
        <v>1.9053100033413959E-2</v>
      </c>
      <c r="B787"/>
      <c r="C787"/>
      <c r="D787"/>
      <c r="E787"/>
      <c r="F787" s="27" t="s">
        <v>7</v>
      </c>
      <c r="MM787" s="27" t="s">
        <v>8</v>
      </c>
      <c r="MN787" s="27" t="s">
        <v>7</v>
      </c>
      <c r="MS787" s="27" t="s">
        <v>8</v>
      </c>
      <c r="MT787" s="27" t="s">
        <v>7</v>
      </c>
      <c r="MU787" s="27" t="s">
        <v>8</v>
      </c>
      <c r="MV787" s="27" t="s">
        <v>7</v>
      </c>
      <c r="MX787" s="27" t="s">
        <v>7</v>
      </c>
      <c r="NI787" s="27" t="s">
        <v>8</v>
      </c>
      <c r="NJ787" s="27" t="s">
        <v>7</v>
      </c>
      <c r="NK787" s="27" t="s">
        <v>8</v>
      </c>
      <c r="NL787" s="27" t="s">
        <v>7</v>
      </c>
      <c r="NN787" s="27" t="s">
        <v>7</v>
      </c>
      <c r="NO787" s="27" t="s">
        <v>8</v>
      </c>
      <c r="NV787" s="27" t="s">
        <v>7</v>
      </c>
      <c r="NW787" s="27" t="s">
        <v>8</v>
      </c>
      <c r="OD787" s="27" t="s">
        <v>7</v>
      </c>
      <c r="OK787" s="27" t="s">
        <v>8</v>
      </c>
      <c r="OL787" s="27" t="s">
        <v>7</v>
      </c>
      <c r="PE787" s="27" t="s">
        <v>8</v>
      </c>
      <c r="PF787" s="27" t="s">
        <v>7</v>
      </c>
      <c r="RM787" s="27" t="s">
        <v>8</v>
      </c>
      <c r="RN787" s="27" t="s">
        <v>7</v>
      </c>
    </row>
    <row r="788" spans="1:507" x14ac:dyDescent="0.25">
      <c r="A788" s="7">
        <v>1.867950983668035E-2</v>
      </c>
      <c r="B788"/>
      <c r="C788"/>
      <c r="D788"/>
      <c r="E788"/>
      <c r="F788" s="27" t="s">
        <v>7</v>
      </c>
      <c r="MM788" s="27" t="s">
        <v>8</v>
      </c>
      <c r="MN788" s="27" t="s">
        <v>7</v>
      </c>
      <c r="MS788" s="27" t="s">
        <v>8</v>
      </c>
      <c r="MT788" s="27" t="s">
        <v>7</v>
      </c>
      <c r="MU788" s="27" t="s">
        <v>8</v>
      </c>
      <c r="MX788" s="27" t="s">
        <v>7</v>
      </c>
      <c r="NI788" s="27" t="s">
        <v>8</v>
      </c>
      <c r="NJ788" s="27" t="s">
        <v>7</v>
      </c>
      <c r="NK788" s="27" t="s">
        <v>8</v>
      </c>
      <c r="NN788" s="27" t="s">
        <v>7</v>
      </c>
      <c r="NO788" s="27" t="s">
        <v>8</v>
      </c>
      <c r="NV788" s="27" t="s">
        <v>7</v>
      </c>
      <c r="OD788" s="27" t="s">
        <v>7</v>
      </c>
      <c r="OK788" s="27" t="s">
        <v>8</v>
      </c>
      <c r="OL788" s="27" t="s">
        <v>7</v>
      </c>
      <c r="PE788" s="27" t="s">
        <v>8</v>
      </c>
      <c r="PF788" s="27" t="s">
        <v>7</v>
      </c>
      <c r="RM788" s="27" t="s">
        <v>8</v>
      </c>
      <c r="RN788" s="27" t="s">
        <v>7</v>
      </c>
    </row>
    <row r="789" spans="1:507" x14ac:dyDescent="0.25">
      <c r="A789" s="7">
        <v>1.8313244937921913E-2</v>
      </c>
      <c r="B789"/>
      <c r="C789"/>
      <c r="D789"/>
      <c r="E789"/>
      <c r="F789" s="27" t="s">
        <v>7</v>
      </c>
      <c r="MM789" s="27" t="s">
        <v>8</v>
      </c>
      <c r="MN789" s="27" t="s">
        <v>7</v>
      </c>
      <c r="MO789" s="27" t="s">
        <v>8</v>
      </c>
      <c r="MS789" s="27" t="s">
        <v>8</v>
      </c>
      <c r="MT789" s="27" t="s">
        <v>7</v>
      </c>
      <c r="MU789" s="27" t="s">
        <v>8</v>
      </c>
      <c r="MX789" s="27" t="s">
        <v>7</v>
      </c>
      <c r="NG789" s="27" t="s">
        <v>8</v>
      </c>
      <c r="NI789" s="27" t="s">
        <v>8</v>
      </c>
      <c r="NJ789" s="27" t="s">
        <v>7</v>
      </c>
      <c r="NK789" s="27" t="s">
        <v>8</v>
      </c>
      <c r="NN789" s="27" t="s">
        <v>7</v>
      </c>
      <c r="OD789" s="27" t="s">
        <v>7</v>
      </c>
      <c r="OG789" s="27" t="s">
        <v>8</v>
      </c>
      <c r="OK789" s="27" t="s">
        <v>8</v>
      </c>
      <c r="OL789" s="27" t="s">
        <v>7</v>
      </c>
      <c r="PE789" s="27" t="s">
        <v>8</v>
      </c>
      <c r="PF789" s="27" t="s">
        <v>7</v>
      </c>
      <c r="RM789" s="27" t="s">
        <v>8</v>
      </c>
      <c r="RN789" s="27" t="s">
        <v>7</v>
      </c>
    </row>
    <row r="790" spans="1:507" x14ac:dyDescent="0.25">
      <c r="A790" s="7">
        <v>1.7954161703845013E-2</v>
      </c>
      <c r="B790"/>
      <c r="C790"/>
      <c r="D790"/>
      <c r="E790"/>
      <c r="F790" s="27" t="s">
        <v>7</v>
      </c>
      <c r="MM790" s="27" t="s">
        <v>8</v>
      </c>
      <c r="MN790" s="27" t="s">
        <v>7</v>
      </c>
      <c r="MO790" s="27" t="s">
        <v>8</v>
      </c>
      <c r="MP790" s="27" t="s">
        <v>7</v>
      </c>
      <c r="MS790" s="27" t="s">
        <v>8</v>
      </c>
      <c r="MT790" s="27" t="s">
        <v>7</v>
      </c>
      <c r="MU790" s="27" t="s">
        <v>8</v>
      </c>
      <c r="MX790" s="27" t="s">
        <v>7</v>
      </c>
      <c r="NG790" s="27" t="s">
        <v>8</v>
      </c>
      <c r="NH790" s="27" t="s">
        <v>7</v>
      </c>
      <c r="NI790" s="27" t="s">
        <v>8</v>
      </c>
      <c r="NJ790" s="27" t="s">
        <v>7</v>
      </c>
      <c r="NK790" s="27" t="s">
        <v>8</v>
      </c>
      <c r="OD790" s="27" t="s">
        <v>7</v>
      </c>
      <c r="OE790" s="27" t="s">
        <v>8</v>
      </c>
      <c r="OG790" s="27" t="s">
        <v>8</v>
      </c>
      <c r="OH790" s="27" t="s">
        <v>7</v>
      </c>
      <c r="OI790" s="27" t="s">
        <v>8</v>
      </c>
      <c r="OK790" s="27" t="s">
        <v>8</v>
      </c>
      <c r="OL790" s="27" t="s">
        <v>7</v>
      </c>
      <c r="OM790" s="27" t="s">
        <v>8</v>
      </c>
      <c r="PE790" s="27" t="s">
        <v>8</v>
      </c>
      <c r="PF790" s="27" t="s">
        <v>7</v>
      </c>
      <c r="RM790" s="27" t="s">
        <v>8</v>
      </c>
      <c r="RN790" s="27" t="s">
        <v>7</v>
      </c>
    </row>
    <row r="791" spans="1:507" x14ac:dyDescent="0.25">
      <c r="A791" s="7">
        <v>1.7602119317495109E-2</v>
      </c>
      <c r="B791"/>
      <c r="C791"/>
      <c r="D791"/>
      <c r="E791"/>
      <c r="F791" s="27" t="s">
        <v>7</v>
      </c>
      <c r="MM791" s="27" t="s">
        <v>8</v>
      </c>
      <c r="MN791" s="27" t="s">
        <v>7</v>
      </c>
      <c r="MO791" s="27" t="s">
        <v>8</v>
      </c>
      <c r="MP791" s="27" t="s">
        <v>7</v>
      </c>
      <c r="MS791" s="27" t="s">
        <v>8</v>
      </c>
      <c r="MT791" s="27" t="s">
        <v>7</v>
      </c>
      <c r="MU791" s="27" t="s">
        <v>8</v>
      </c>
      <c r="MX791" s="27" t="s">
        <v>7</v>
      </c>
      <c r="NG791" s="27" t="s">
        <v>8</v>
      </c>
      <c r="NH791" s="27" t="s">
        <v>7</v>
      </c>
      <c r="NI791" s="27" t="s">
        <v>8</v>
      </c>
      <c r="NJ791" s="27" t="s">
        <v>7</v>
      </c>
      <c r="NK791" s="27" t="s">
        <v>8</v>
      </c>
      <c r="OD791" s="27" t="s">
        <v>7</v>
      </c>
      <c r="OE791" s="27" t="s">
        <v>8</v>
      </c>
      <c r="OF791" s="27" t="s">
        <v>7</v>
      </c>
      <c r="OG791" s="27" t="s">
        <v>8</v>
      </c>
      <c r="OH791" s="27" t="s">
        <v>7</v>
      </c>
      <c r="OI791" s="27" t="s">
        <v>8</v>
      </c>
      <c r="OJ791" s="27" t="s">
        <v>7</v>
      </c>
      <c r="OK791" s="27" t="s">
        <v>8</v>
      </c>
      <c r="OL791" s="27" t="s">
        <v>7</v>
      </c>
      <c r="OM791" s="27" t="s">
        <v>8</v>
      </c>
      <c r="ON791" s="27" t="s">
        <v>7</v>
      </c>
      <c r="PE791" s="27" t="s">
        <v>8</v>
      </c>
      <c r="PF791" s="27" t="s">
        <v>7</v>
      </c>
      <c r="RM791" s="27" t="s">
        <v>8</v>
      </c>
      <c r="RN791" s="27" t="s">
        <v>7</v>
      </c>
    </row>
    <row r="792" spans="1:507" x14ac:dyDescent="0.25">
      <c r="A792" s="7">
        <v>1.7256979723034419E-2</v>
      </c>
      <c r="B792"/>
      <c r="C792"/>
      <c r="D792"/>
      <c r="E792"/>
      <c r="F792" s="27" t="s">
        <v>7</v>
      </c>
      <c r="MM792" s="27" t="s">
        <v>8</v>
      </c>
      <c r="MN792" s="27" t="s">
        <v>7</v>
      </c>
      <c r="MO792" s="27" t="s">
        <v>8</v>
      </c>
      <c r="MP792" s="27" t="s">
        <v>7</v>
      </c>
      <c r="MS792" s="27" t="s">
        <v>8</v>
      </c>
      <c r="MT792" s="27" t="s">
        <v>7</v>
      </c>
      <c r="MU792" s="27" t="s">
        <v>8</v>
      </c>
      <c r="MX792" s="27" t="s">
        <v>7</v>
      </c>
      <c r="NG792" s="27" t="s">
        <v>8</v>
      </c>
      <c r="NH792" s="27" t="s">
        <v>7</v>
      </c>
      <c r="NI792" s="27" t="s">
        <v>8</v>
      </c>
      <c r="NJ792" s="27" t="s">
        <v>7</v>
      </c>
      <c r="NK792" s="27" t="s">
        <v>8</v>
      </c>
      <c r="OD792" s="27" t="s">
        <v>7</v>
      </c>
      <c r="OE792" s="27" t="s">
        <v>8</v>
      </c>
      <c r="OF792" s="27" t="s">
        <v>7</v>
      </c>
      <c r="OG792" s="27" t="s">
        <v>8</v>
      </c>
      <c r="OH792" s="27" t="s">
        <v>7</v>
      </c>
      <c r="OI792" s="27" t="s">
        <v>8</v>
      </c>
      <c r="OJ792" s="27" t="s">
        <v>7</v>
      </c>
      <c r="OK792" s="27" t="s">
        <v>8</v>
      </c>
      <c r="OL792" s="27" t="s">
        <v>7</v>
      </c>
      <c r="OM792" s="27" t="s">
        <v>8</v>
      </c>
      <c r="ON792" s="27" t="s">
        <v>7</v>
      </c>
      <c r="OQ792" s="27" t="s">
        <v>8</v>
      </c>
      <c r="PE792" s="27" t="s">
        <v>8</v>
      </c>
      <c r="PF792" s="27" t="s">
        <v>7</v>
      </c>
      <c r="RM792" s="27" t="s">
        <v>8</v>
      </c>
      <c r="RN792" s="27" t="s">
        <v>7</v>
      </c>
    </row>
    <row r="793" spans="1:507" x14ac:dyDescent="0.25">
      <c r="A793" s="7">
        <v>1.6918607571602372E-2</v>
      </c>
      <c r="B793"/>
      <c r="C793"/>
      <c r="D793"/>
      <c r="E793"/>
      <c r="F793" s="27" t="s">
        <v>7</v>
      </c>
      <c r="MM793" s="27" t="s">
        <v>8</v>
      </c>
      <c r="MN793" s="27" t="s">
        <v>7</v>
      </c>
      <c r="MO793" s="27" t="s">
        <v>8</v>
      </c>
      <c r="MP793" s="27" t="s">
        <v>7</v>
      </c>
      <c r="MQ793" s="27" t="s">
        <v>8</v>
      </c>
      <c r="MS793" s="27" t="s">
        <v>8</v>
      </c>
      <c r="MT793" s="27" t="s">
        <v>7</v>
      </c>
      <c r="MU793" s="27" t="s">
        <v>8</v>
      </c>
      <c r="MX793" s="27" t="s">
        <v>7</v>
      </c>
      <c r="NG793" s="27" t="s">
        <v>8</v>
      </c>
      <c r="NH793" s="27" t="s">
        <v>7</v>
      </c>
      <c r="NI793" s="27" t="s">
        <v>8</v>
      </c>
      <c r="NJ793" s="27" t="s">
        <v>7</v>
      </c>
      <c r="NK793" s="27" t="s">
        <v>8</v>
      </c>
      <c r="OD793" s="27" t="s">
        <v>7</v>
      </c>
      <c r="OE793" s="27" t="s">
        <v>8</v>
      </c>
      <c r="OF793" s="27" t="s">
        <v>7</v>
      </c>
      <c r="OG793" s="27" t="s">
        <v>8</v>
      </c>
      <c r="OH793" s="27" t="s">
        <v>7</v>
      </c>
      <c r="OI793" s="27" t="s">
        <v>8</v>
      </c>
      <c r="OJ793" s="27" t="s">
        <v>7</v>
      </c>
      <c r="OK793" s="27" t="s">
        <v>8</v>
      </c>
      <c r="OL793" s="27" t="s">
        <v>7</v>
      </c>
      <c r="OM793" s="27" t="s">
        <v>8</v>
      </c>
      <c r="ON793" s="27" t="s">
        <v>7</v>
      </c>
      <c r="OQ793" s="27" t="s">
        <v>8</v>
      </c>
      <c r="OR793" s="27" t="s">
        <v>7</v>
      </c>
      <c r="PE793" s="27" t="s">
        <v>8</v>
      </c>
      <c r="PF793" s="27" t="s">
        <v>7</v>
      </c>
      <c r="RM793" s="27" t="s">
        <v>8</v>
      </c>
      <c r="RN793" s="27" t="s">
        <v>7</v>
      </c>
    </row>
    <row r="794" spans="1:507" x14ac:dyDescent="0.25">
      <c r="A794" s="7">
        <v>1.6586870168237622E-2</v>
      </c>
      <c r="B794"/>
      <c r="C794"/>
      <c r="D794"/>
      <c r="E794"/>
      <c r="F794" s="27" t="s">
        <v>7</v>
      </c>
      <c r="MM794" s="27" t="s">
        <v>8</v>
      </c>
      <c r="MN794" s="27" t="s">
        <v>7</v>
      </c>
      <c r="MO794" s="27" t="s">
        <v>8</v>
      </c>
      <c r="MP794" s="27" t="s">
        <v>7</v>
      </c>
      <c r="MQ794" s="27" t="s">
        <v>8</v>
      </c>
      <c r="MR794" s="27" t="s">
        <v>7</v>
      </c>
      <c r="MS794" s="27" t="s">
        <v>8</v>
      </c>
      <c r="MT794" s="27" t="s">
        <v>7</v>
      </c>
      <c r="MU794" s="27" t="s">
        <v>8</v>
      </c>
      <c r="MX794" s="27" t="s">
        <v>7</v>
      </c>
      <c r="NG794" s="27" t="s">
        <v>8</v>
      </c>
      <c r="NH794" s="27" t="s">
        <v>7</v>
      </c>
      <c r="NI794" s="27" t="s">
        <v>8</v>
      </c>
      <c r="NJ794" s="27" t="s">
        <v>7</v>
      </c>
      <c r="NK794" s="27" t="s">
        <v>8</v>
      </c>
      <c r="OD794" s="27" t="s">
        <v>7</v>
      </c>
      <c r="OE794" s="27" t="s">
        <v>8</v>
      </c>
      <c r="OF794" s="27" t="s">
        <v>7</v>
      </c>
      <c r="OG794" s="27" t="s">
        <v>8</v>
      </c>
      <c r="OH794" s="27" t="s">
        <v>7</v>
      </c>
      <c r="OI794" s="27" t="s">
        <v>8</v>
      </c>
      <c r="OJ794" s="27" t="s">
        <v>7</v>
      </c>
      <c r="OL794" s="27" t="s">
        <v>7</v>
      </c>
      <c r="OM794" s="27" t="s">
        <v>8</v>
      </c>
      <c r="ON794" s="27" t="s">
        <v>7</v>
      </c>
      <c r="OO794" s="27" t="s">
        <v>8</v>
      </c>
      <c r="OQ794" s="27" t="s">
        <v>8</v>
      </c>
      <c r="OR794" s="27" t="s">
        <v>7</v>
      </c>
      <c r="PE794" s="27" t="s">
        <v>8</v>
      </c>
      <c r="PF794" s="27" t="s">
        <v>7</v>
      </c>
      <c r="RM794" s="27" t="s">
        <v>8</v>
      </c>
      <c r="RN794" s="27" t="s">
        <v>7</v>
      </c>
    </row>
    <row r="795" spans="1:507" x14ac:dyDescent="0.25">
      <c r="A795" s="7">
        <v>1.6261637419840807E-2</v>
      </c>
      <c r="B795"/>
      <c r="C795"/>
      <c r="D795"/>
      <c r="E795"/>
      <c r="F795" s="27" t="s">
        <v>7</v>
      </c>
      <c r="MM795" s="27" t="s">
        <v>8</v>
      </c>
      <c r="MN795" s="27" t="s">
        <v>7</v>
      </c>
      <c r="MO795" s="27" t="s">
        <v>8</v>
      </c>
      <c r="MP795" s="27" t="s">
        <v>7</v>
      </c>
      <c r="MQ795" s="27" t="s">
        <v>8</v>
      </c>
      <c r="MR795" s="27" t="s">
        <v>7</v>
      </c>
      <c r="MS795" s="27" t="s">
        <v>8</v>
      </c>
      <c r="MT795" s="27" t="s">
        <v>7</v>
      </c>
      <c r="MU795" s="27" t="s">
        <v>8</v>
      </c>
      <c r="MX795" s="27" t="s">
        <v>7</v>
      </c>
      <c r="MY795" s="27" t="s">
        <v>8</v>
      </c>
      <c r="NA795" s="27" t="s">
        <v>8</v>
      </c>
      <c r="NG795" s="27" t="s">
        <v>8</v>
      </c>
      <c r="NH795" s="27" t="s">
        <v>7</v>
      </c>
      <c r="NI795" s="27" t="s">
        <v>8</v>
      </c>
      <c r="NJ795" s="27" t="s">
        <v>7</v>
      </c>
      <c r="OD795" s="27" t="s">
        <v>7</v>
      </c>
      <c r="OE795" s="27" t="s">
        <v>8</v>
      </c>
      <c r="OF795" s="27" t="s">
        <v>7</v>
      </c>
      <c r="OG795" s="27" t="s">
        <v>8</v>
      </c>
      <c r="OH795" s="27" t="s">
        <v>7</v>
      </c>
      <c r="OI795" s="27" t="s">
        <v>8</v>
      </c>
      <c r="OL795" s="27" t="s">
        <v>7</v>
      </c>
      <c r="OM795" s="27" t="s">
        <v>8</v>
      </c>
      <c r="ON795" s="27" t="s">
        <v>7</v>
      </c>
      <c r="OO795" s="27" t="s">
        <v>8</v>
      </c>
      <c r="OP795" s="27" t="s">
        <v>7</v>
      </c>
      <c r="OQ795" s="27" t="s">
        <v>8</v>
      </c>
      <c r="OR795" s="27" t="s">
        <v>7</v>
      </c>
      <c r="PE795" s="27" t="s">
        <v>8</v>
      </c>
      <c r="PF795" s="27" t="s">
        <v>7</v>
      </c>
      <c r="RM795" s="27" t="s">
        <v>8</v>
      </c>
      <c r="RN795" s="27" t="s">
        <v>7</v>
      </c>
      <c r="SI795" s="27" t="s">
        <v>8</v>
      </c>
    </row>
    <row r="796" spans="1:507" x14ac:dyDescent="0.25">
      <c r="A796" s="7">
        <v>1.5942781784157655E-2</v>
      </c>
      <c r="B796"/>
      <c r="C796"/>
      <c r="D796"/>
      <c r="E796"/>
      <c r="F796" s="27" t="s">
        <v>7</v>
      </c>
      <c r="MM796" s="27" t="s">
        <v>8</v>
      </c>
      <c r="MN796" s="27" t="s">
        <v>7</v>
      </c>
      <c r="MO796" s="27" t="s">
        <v>8</v>
      </c>
      <c r="MP796" s="27" t="s">
        <v>7</v>
      </c>
      <c r="MR796" s="27" t="s">
        <v>7</v>
      </c>
      <c r="MS796" s="27" t="s">
        <v>8</v>
      </c>
      <c r="MT796" s="27" t="s">
        <v>7</v>
      </c>
      <c r="MU796" s="27" t="s">
        <v>8</v>
      </c>
      <c r="MX796" s="27" t="s">
        <v>7</v>
      </c>
      <c r="MY796" s="27" t="s">
        <v>8</v>
      </c>
      <c r="MZ796" s="27" t="s">
        <v>7</v>
      </c>
      <c r="NA796" s="27" t="s">
        <v>8</v>
      </c>
      <c r="NB796" s="27" t="s">
        <v>7</v>
      </c>
      <c r="NG796" s="27" t="s">
        <v>8</v>
      </c>
      <c r="NH796" s="27" t="s">
        <v>7</v>
      </c>
      <c r="NI796" s="27" t="s">
        <v>8</v>
      </c>
      <c r="OD796" s="27" t="s">
        <v>7</v>
      </c>
      <c r="OE796" s="27" t="s">
        <v>8</v>
      </c>
      <c r="OF796" s="27" t="s">
        <v>7</v>
      </c>
      <c r="OG796" s="27" t="s">
        <v>8</v>
      </c>
      <c r="OH796" s="27" t="s">
        <v>7</v>
      </c>
      <c r="OI796" s="27" t="s">
        <v>8</v>
      </c>
      <c r="OL796" s="27" t="s">
        <v>7</v>
      </c>
      <c r="OM796" s="27" t="s">
        <v>8</v>
      </c>
      <c r="ON796" s="27" t="s">
        <v>7</v>
      </c>
      <c r="OO796" s="27" t="s">
        <v>8</v>
      </c>
      <c r="OP796" s="27" t="s">
        <v>7</v>
      </c>
      <c r="OQ796" s="27" t="s">
        <v>8</v>
      </c>
      <c r="OR796" s="27" t="s">
        <v>7</v>
      </c>
      <c r="PE796" s="27" t="s">
        <v>8</v>
      </c>
      <c r="PF796" s="27" t="s">
        <v>7</v>
      </c>
      <c r="QU796" s="27" t="s">
        <v>8</v>
      </c>
      <c r="RM796" s="27" t="s">
        <v>8</v>
      </c>
      <c r="RN796" s="27" t="s">
        <v>7</v>
      </c>
      <c r="SI796" s="27" t="s">
        <v>8</v>
      </c>
      <c r="SJ796" s="27" t="s">
        <v>7</v>
      </c>
    </row>
    <row r="797" spans="1:507" x14ac:dyDescent="0.25">
      <c r="A797" s="7">
        <v>1.5630178219762408E-2</v>
      </c>
      <c r="B797"/>
      <c r="C797"/>
      <c r="D797"/>
      <c r="E797"/>
      <c r="F797" s="27" t="s">
        <v>7</v>
      </c>
      <c r="MM797" s="27" t="s">
        <v>8</v>
      </c>
      <c r="MN797" s="27" t="s">
        <v>7</v>
      </c>
      <c r="MO797" s="27" t="s">
        <v>8</v>
      </c>
      <c r="MR797" s="27" t="s">
        <v>7</v>
      </c>
      <c r="MS797" s="27" t="s">
        <v>8</v>
      </c>
      <c r="MT797" s="27" t="s">
        <v>7</v>
      </c>
      <c r="MU797" s="27" t="s">
        <v>8</v>
      </c>
      <c r="MX797" s="27" t="s">
        <v>7</v>
      </c>
      <c r="MY797" s="27" t="s">
        <v>8</v>
      </c>
      <c r="MZ797" s="27" t="s">
        <v>7</v>
      </c>
      <c r="NA797" s="27" t="s">
        <v>8</v>
      </c>
      <c r="NB797" s="27" t="s">
        <v>7</v>
      </c>
      <c r="NG797" s="27" t="s">
        <v>8</v>
      </c>
      <c r="NH797" s="27" t="s">
        <v>7</v>
      </c>
      <c r="NI797" s="27" t="s">
        <v>8</v>
      </c>
      <c r="OD797" s="27" t="s">
        <v>7</v>
      </c>
      <c r="OE797" s="27" t="s">
        <v>8</v>
      </c>
      <c r="OF797" s="27" t="s">
        <v>7</v>
      </c>
      <c r="OG797" s="27" t="s">
        <v>8</v>
      </c>
      <c r="OH797" s="27" t="s">
        <v>7</v>
      </c>
      <c r="OI797" s="27" t="s">
        <v>8</v>
      </c>
      <c r="OL797" s="27" t="s">
        <v>7</v>
      </c>
      <c r="ON797" s="27" t="s">
        <v>7</v>
      </c>
      <c r="OO797" s="27" t="s">
        <v>8</v>
      </c>
      <c r="OP797" s="27" t="s">
        <v>7</v>
      </c>
      <c r="OQ797" s="27" t="s">
        <v>8</v>
      </c>
      <c r="OR797" s="27" t="s">
        <v>7</v>
      </c>
      <c r="PE797" s="27" t="s">
        <v>8</v>
      </c>
      <c r="PF797" s="27" t="s">
        <v>7</v>
      </c>
      <c r="QU797" s="27" t="s">
        <v>8</v>
      </c>
      <c r="QV797" s="27" t="s">
        <v>7</v>
      </c>
      <c r="RM797" s="27" t="s">
        <v>8</v>
      </c>
      <c r="RN797" s="27" t="s">
        <v>7</v>
      </c>
      <c r="SI797" s="27" t="s">
        <v>8</v>
      </c>
      <c r="SJ797" s="27" t="s">
        <v>7</v>
      </c>
    </row>
    <row r="798" spans="1:507" x14ac:dyDescent="0.25">
      <c r="A798" s="7">
        <v>1.5323704137021967E-2</v>
      </c>
      <c r="B798"/>
      <c r="C798"/>
      <c r="D798"/>
      <c r="E798"/>
      <c r="F798" s="27" t="s">
        <v>7</v>
      </c>
      <c r="MM798" s="27" t="s">
        <v>8</v>
      </c>
      <c r="MN798" s="27" t="s">
        <v>7</v>
      </c>
      <c r="MO798" s="27" t="s">
        <v>8</v>
      </c>
      <c r="MR798" s="27" t="s">
        <v>7</v>
      </c>
      <c r="MS798" s="27" t="s">
        <v>8</v>
      </c>
      <c r="MT798" s="27" t="s">
        <v>7</v>
      </c>
      <c r="MU798" s="27" t="s">
        <v>8</v>
      </c>
      <c r="MX798" s="27" t="s">
        <v>7</v>
      </c>
      <c r="MY798" s="27" t="s">
        <v>8</v>
      </c>
      <c r="MZ798" s="27" t="s">
        <v>7</v>
      </c>
      <c r="NA798" s="27" t="s">
        <v>8</v>
      </c>
      <c r="NB798" s="27" t="s">
        <v>7</v>
      </c>
      <c r="NG798" s="27" t="s">
        <v>8</v>
      </c>
      <c r="NH798" s="27" t="s">
        <v>7</v>
      </c>
      <c r="NI798" s="27" t="s">
        <v>8</v>
      </c>
      <c r="OD798" s="27" t="s">
        <v>7</v>
      </c>
      <c r="OE798" s="27" t="s">
        <v>8</v>
      </c>
      <c r="OF798" s="27" t="s">
        <v>7</v>
      </c>
      <c r="OG798" s="27" t="s">
        <v>8</v>
      </c>
      <c r="OH798" s="27" t="s">
        <v>7</v>
      </c>
      <c r="ON798" s="27" t="s">
        <v>7</v>
      </c>
      <c r="OO798" s="27" t="s">
        <v>8</v>
      </c>
      <c r="OP798" s="27" t="s">
        <v>7</v>
      </c>
      <c r="OQ798" s="27" t="s">
        <v>8</v>
      </c>
      <c r="OR798" s="27" t="s">
        <v>7</v>
      </c>
      <c r="PE798" s="27" t="s">
        <v>8</v>
      </c>
      <c r="PF798" s="27" t="s">
        <v>7</v>
      </c>
      <c r="QU798" s="27" t="s">
        <v>8</v>
      </c>
      <c r="QV798" s="27" t="s">
        <v>7</v>
      </c>
      <c r="RM798" s="27" t="s">
        <v>8</v>
      </c>
      <c r="RN798" s="27" t="s">
        <v>7</v>
      </c>
      <c r="SG798" s="27" t="s">
        <v>8</v>
      </c>
      <c r="SI798" s="27" t="s">
        <v>8</v>
      </c>
      <c r="SJ798" s="27" t="s">
        <v>7</v>
      </c>
    </row>
    <row r="799" spans="1:507" x14ac:dyDescent="0.25">
      <c r="A799" s="7">
        <v>1.5023239350021535E-2</v>
      </c>
      <c r="B799"/>
      <c r="C799"/>
      <c r="D799"/>
      <c r="E799"/>
      <c r="F799" s="27" t="s">
        <v>7</v>
      </c>
      <c r="MM799" s="27" t="s">
        <v>8</v>
      </c>
      <c r="MN799" s="27" t="s">
        <v>7</v>
      </c>
      <c r="MR799" s="27" t="s">
        <v>7</v>
      </c>
      <c r="MS799" s="27" t="s">
        <v>8</v>
      </c>
      <c r="MT799" s="27" t="s">
        <v>7</v>
      </c>
      <c r="MU799" s="27" t="s">
        <v>8</v>
      </c>
      <c r="MX799" s="27" t="s">
        <v>7</v>
      </c>
      <c r="MY799" s="27" t="s">
        <v>8</v>
      </c>
      <c r="MZ799" s="27" t="s">
        <v>7</v>
      </c>
      <c r="NA799" s="27" t="s">
        <v>8</v>
      </c>
      <c r="NB799" s="27" t="s">
        <v>7</v>
      </c>
      <c r="NE799" s="27" t="s">
        <v>8</v>
      </c>
      <c r="NG799" s="27" t="s">
        <v>8</v>
      </c>
      <c r="NH799" s="27" t="s">
        <v>7</v>
      </c>
      <c r="OD799" s="27" t="s">
        <v>7</v>
      </c>
      <c r="OF799" s="27" t="s">
        <v>7</v>
      </c>
      <c r="OG799" s="27" t="s">
        <v>8</v>
      </c>
      <c r="ON799" s="27" t="s">
        <v>7</v>
      </c>
      <c r="OO799" s="27" t="s">
        <v>8</v>
      </c>
      <c r="OP799" s="27" t="s">
        <v>7</v>
      </c>
      <c r="OQ799" s="27" t="s">
        <v>8</v>
      </c>
      <c r="OR799" s="27" t="s">
        <v>7</v>
      </c>
      <c r="PE799" s="27" t="s">
        <v>8</v>
      </c>
      <c r="PF799" s="27" t="s">
        <v>7</v>
      </c>
      <c r="QU799" s="27" t="s">
        <v>8</v>
      </c>
      <c r="QV799" s="27" t="s">
        <v>7</v>
      </c>
      <c r="RM799" s="27" t="s">
        <v>8</v>
      </c>
      <c r="RN799" s="27" t="s">
        <v>7</v>
      </c>
      <c r="RO799" s="27" t="s">
        <v>8</v>
      </c>
      <c r="SE799" s="27" t="s">
        <v>8</v>
      </c>
      <c r="SG799" s="27" t="s">
        <v>8</v>
      </c>
      <c r="SH799" s="27" t="s">
        <v>7</v>
      </c>
      <c r="SI799" s="27" t="s">
        <v>8</v>
      </c>
      <c r="SJ799" s="27" t="s">
        <v>7</v>
      </c>
    </row>
    <row r="800" spans="1:507" x14ac:dyDescent="0.25">
      <c r="A800" s="7">
        <v>1.4728666029432878E-2</v>
      </c>
      <c r="B800"/>
      <c r="C800"/>
      <c r="D800"/>
      <c r="E800"/>
      <c r="F800" s="27" t="s">
        <v>7</v>
      </c>
      <c r="MM800" s="27" t="s">
        <v>8</v>
      </c>
      <c r="MR800" s="27" t="s">
        <v>7</v>
      </c>
      <c r="MS800" s="27" t="s">
        <v>8</v>
      </c>
      <c r="MT800" s="27" t="s">
        <v>7</v>
      </c>
      <c r="MU800" s="27" t="s">
        <v>8</v>
      </c>
      <c r="MX800" s="27" t="s">
        <v>7</v>
      </c>
      <c r="MY800" s="27" t="s">
        <v>8</v>
      </c>
      <c r="MZ800" s="27" t="s">
        <v>7</v>
      </c>
      <c r="NA800" s="27" t="s">
        <v>8</v>
      </c>
      <c r="NB800" s="27" t="s">
        <v>7</v>
      </c>
      <c r="NE800" s="27" t="s">
        <v>8</v>
      </c>
      <c r="NF800" s="27" t="s">
        <v>7</v>
      </c>
      <c r="NG800" s="27" t="s">
        <v>8</v>
      </c>
      <c r="OF800" s="27" t="s">
        <v>7</v>
      </c>
      <c r="OG800" s="27" t="s">
        <v>8</v>
      </c>
      <c r="ON800" s="27" t="s">
        <v>7</v>
      </c>
      <c r="OO800" s="27" t="s">
        <v>8</v>
      </c>
      <c r="OP800" s="27" t="s">
        <v>7</v>
      </c>
      <c r="OQ800" s="27" t="s">
        <v>8</v>
      </c>
      <c r="OR800" s="27" t="s">
        <v>7</v>
      </c>
      <c r="PE800" s="27" t="s">
        <v>8</v>
      </c>
      <c r="PF800" s="27" t="s">
        <v>7</v>
      </c>
      <c r="QU800" s="27" t="s">
        <v>8</v>
      </c>
      <c r="QV800" s="27" t="s">
        <v>7</v>
      </c>
      <c r="RM800" s="27" t="s">
        <v>8</v>
      </c>
      <c r="RN800" s="27" t="s">
        <v>7</v>
      </c>
      <c r="RO800" s="27" t="s">
        <v>8</v>
      </c>
      <c r="RP800" s="27" t="s">
        <v>7</v>
      </c>
      <c r="SE800" s="27" t="s">
        <v>8</v>
      </c>
      <c r="SF800" s="27" t="s">
        <v>7</v>
      </c>
      <c r="SG800" s="27" t="s">
        <v>8</v>
      </c>
      <c r="SH800" s="27" t="s">
        <v>7</v>
      </c>
      <c r="SI800" s="27" t="s">
        <v>8</v>
      </c>
      <c r="SJ800" s="27" t="s">
        <v>7</v>
      </c>
      <c r="SM800" s="27" t="s">
        <v>8</v>
      </c>
    </row>
    <row r="801" spans="1:522" x14ac:dyDescent="0.25">
      <c r="A801" s="7">
        <v>1.4439868656306743E-2</v>
      </c>
      <c r="B801"/>
      <c r="C801"/>
      <c r="D801"/>
      <c r="E801"/>
      <c r="F801" s="27" t="s">
        <v>7</v>
      </c>
      <c r="MM801" s="27" t="s">
        <v>8</v>
      </c>
      <c r="MR801" s="27" t="s">
        <v>7</v>
      </c>
      <c r="MS801" s="27" t="s">
        <v>8</v>
      </c>
      <c r="MT801" s="27" t="s">
        <v>7</v>
      </c>
      <c r="MX801" s="27" t="s">
        <v>7</v>
      </c>
      <c r="MY801" s="27" t="s">
        <v>8</v>
      </c>
      <c r="MZ801" s="27" t="s">
        <v>7</v>
      </c>
      <c r="NA801" s="27" t="s">
        <v>8</v>
      </c>
      <c r="NB801" s="27" t="s">
        <v>7</v>
      </c>
      <c r="NE801" s="27" t="s">
        <v>8</v>
      </c>
      <c r="NF801" s="27" t="s">
        <v>7</v>
      </c>
      <c r="NG801" s="27" t="s">
        <v>8</v>
      </c>
      <c r="OF801" s="27" t="s">
        <v>7</v>
      </c>
      <c r="OG801" s="27" t="s">
        <v>8</v>
      </c>
      <c r="ON801" s="27" t="s">
        <v>7</v>
      </c>
      <c r="OO801" s="27" t="s">
        <v>8</v>
      </c>
      <c r="OP801" s="27" t="s">
        <v>7</v>
      </c>
      <c r="OQ801" s="27" t="s">
        <v>8</v>
      </c>
      <c r="OR801" s="27" t="s">
        <v>7</v>
      </c>
      <c r="OS801" s="27" t="s">
        <v>8</v>
      </c>
      <c r="PE801" s="27" t="s">
        <v>8</v>
      </c>
      <c r="PF801" s="27" t="s">
        <v>7</v>
      </c>
      <c r="QU801" s="27" t="s">
        <v>8</v>
      </c>
      <c r="QV801" s="27" t="s">
        <v>7</v>
      </c>
      <c r="RM801" s="27" t="s">
        <v>8</v>
      </c>
      <c r="RN801" s="27" t="s">
        <v>7</v>
      </c>
      <c r="RO801" s="27" t="s">
        <v>8</v>
      </c>
      <c r="RP801" s="27" t="s">
        <v>7</v>
      </c>
      <c r="SE801" s="27" t="s">
        <v>8</v>
      </c>
      <c r="SF801" s="27" t="s">
        <v>7</v>
      </c>
      <c r="SG801" s="27" t="s">
        <v>8</v>
      </c>
      <c r="SH801" s="27" t="s">
        <v>7</v>
      </c>
      <c r="SI801" s="27" t="s">
        <v>8</v>
      </c>
      <c r="SJ801" s="27" t="s">
        <v>7</v>
      </c>
      <c r="SK801" s="27" t="s">
        <v>8</v>
      </c>
      <c r="SM801" s="27" t="s">
        <v>8</v>
      </c>
      <c r="SN801" s="27" t="s">
        <v>7</v>
      </c>
    </row>
    <row r="802" spans="1:522" x14ac:dyDescent="0.25">
      <c r="A802" s="7">
        <v>1.4156733976771318E-2</v>
      </c>
      <c r="B802"/>
      <c r="C802"/>
      <c r="D802"/>
      <c r="E802"/>
      <c r="F802" s="27" t="s">
        <v>7</v>
      </c>
      <c r="MM802" s="27" t="s">
        <v>8</v>
      </c>
      <c r="MR802" s="27" t="s">
        <v>7</v>
      </c>
      <c r="MS802" s="27" t="s">
        <v>8</v>
      </c>
      <c r="MX802" s="27" t="s">
        <v>7</v>
      </c>
      <c r="MY802" s="27" t="s">
        <v>8</v>
      </c>
      <c r="MZ802" s="27" t="s">
        <v>7</v>
      </c>
      <c r="NA802" s="27" t="s">
        <v>8</v>
      </c>
      <c r="NB802" s="27" t="s">
        <v>7</v>
      </c>
      <c r="NE802" s="27" t="s">
        <v>8</v>
      </c>
      <c r="NF802" s="27" t="s">
        <v>7</v>
      </c>
      <c r="NG802" s="27" t="s">
        <v>8</v>
      </c>
      <c r="OF802" s="27" t="s">
        <v>7</v>
      </c>
      <c r="OG802" s="27" t="s">
        <v>8</v>
      </c>
      <c r="ON802" s="27" t="s">
        <v>7</v>
      </c>
      <c r="OO802" s="27" t="s">
        <v>8</v>
      </c>
      <c r="OP802" s="27" t="s">
        <v>7</v>
      </c>
      <c r="OQ802" s="27" t="s">
        <v>8</v>
      </c>
      <c r="OR802" s="27" t="s">
        <v>7</v>
      </c>
      <c r="OS802" s="27" t="s">
        <v>8</v>
      </c>
      <c r="OT802" s="27" t="s">
        <v>7</v>
      </c>
      <c r="PE802" s="27" t="s">
        <v>8</v>
      </c>
      <c r="PF802" s="27" t="s">
        <v>7</v>
      </c>
      <c r="QU802" s="27" t="s">
        <v>8</v>
      </c>
      <c r="QV802" s="27" t="s">
        <v>7</v>
      </c>
      <c r="RM802" s="27" t="s">
        <v>8</v>
      </c>
      <c r="RN802" s="27" t="s">
        <v>7</v>
      </c>
      <c r="RO802" s="27" t="s">
        <v>8</v>
      </c>
      <c r="RP802" s="27" t="s">
        <v>7</v>
      </c>
      <c r="RS802" s="27" t="s">
        <v>8</v>
      </c>
      <c r="SE802" s="27" t="s">
        <v>8</v>
      </c>
      <c r="SF802" s="27" t="s">
        <v>7</v>
      </c>
      <c r="SG802" s="27" t="s">
        <v>8</v>
      </c>
      <c r="SH802" s="27" t="s">
        <v>7</v>
      </c>
      <c r="SI802" s="27" t="s">
        <v>8</v>
      </c>
      <c r="SJ802" s="27" t="s">
        <v>7</v>
      </c>
      <c r="SK802" s="27" t="s">
        <v>8</v>
      </c>
      <c r="SL802" s="27" t="s">
        <v>7</v>
      </c>
      <c r="SM802" s="27" t="s">
        <v>8</v>
      </c>
      <c r="SN802" s="27" t="s">
        <v>7</v>
      </c>
    </row>
    <row r="803" spans="1:522" x14ac:dyDescent="0.25">
      <c r="A803" s="7">
        <v>1.3879150957618939E-2</v>
      </c>
      <c r="B803"/>
      <c r="C803"/>
      <c r="D803"/>
      <c r="E803"/>
      <c r="F803" s="27" t="s">
        <v>7</v>
      </c>
      <c r="MM803" s="27" t="s">
        <v>8</v>
      </c>
      <c r="MR803" s="27" t="s">
        <v>7</v>
      </c>
      <c r="MS803" s="27" t="s">
        <v>8</v>
      </c>
      <c r="MX803" s="27" t="s">
        <v>7</v>
      </c>
      <c r="MY803" s="27" t="s">
        <v>8</v>
      </c>
      <c r="MZ803" s="27" t="s">
        <v>7</v>
      </c>
      <c r="NA803" s="27" t="s">
        <v>8</v>
      </c>
      <c r="NB803" s="27" t="s">
        <v>7</v>
      </c>
      <c r="NE803" s="27" t="s">
        <v>8</v>
      </c>
      <c r="NF803" s="27" t="s">
        <v>7</v>
      </c>
      <c r="NG803" s="27" t="s">
        <v>8</v>
      </c>
      <c r="OF803" s="27" t="s">
        <v>7</v>
      </c>
      <c r="OG803" s="27" t="s">
        <v>8</v>
      </c>
      <c r="ON803" s="27" t="s">
        <v>7</v>
      </c>
      <c r="OP803" s="27" t="s">
        <v>7</v>
      </c>
      <c r="OQ803" s="27" t="s">
        <v>8</v>
      </c>
      <c r="OR803" s="27" t="s">
        <v>7</v>
      </c>
      <c r="OS803" s="27" t="s">
        <v>8</v>
      </c>
      <c r="OT803" s="27" t="s">
        <v>7</v>
      </c>
      <c r="OU803" s="27" t="s">
        <v>8</v>
      </c>
      <c r="PE803" s="27" t="s">
        <v>8</v>
      </c>
      <c r="PF803" s="27" t="s">
        <v>7</v>
      </c>
      <c r="QG803" s="27" t="s">
        <v>8</v>
      </c>
      <c r="QO803" s="27" t="s">
        <v>8</v>
      </c>
      <c r="QU803" s="27" t="s">
        <v>8</v>
      </c>
      <c r="QV803" s="27" t="s">
        <v>7</v>
      </c>
      <c r="RM803" s="27" t="s">
        <v>8</v>
      </c>
      <c r="RN803" s="27" t="s">
        <v>7</v>
      </c>
      <c r="RO803" s="27" t="s">
        <v>8</v>
      </c>
      <c r="RP803" s="27" t="s">
        <v>7</v>
      </c>
      <c r="RS803" s="27" t="s">
        <v>8</v>
      </c>
      <c r="RT803" s="27" t="s">
        <v>7</v>
      </c>
      <c r="RU803" s="27" t="s">
        <v>8</v>
      </c>
      <c r="SA803" s="27" t="s">
        <v>8</v>
      </c>
      <c r="SE803" s="27" t="s">
        <v>8</v>
      </c>
      <c r="SF803" s="27" t="s">
        <v>7</v>
      </c>
      <c r="SG803" s="27" t="s">
        <v>8</v>
      </c>
      <c r="SH803" s="27" t="s">
        <v>7</v>
      </c>
      <c r="SI803" s="27" t="s">
        <v>8</v>
      </c>
      <c r="SJ803" s="27" t="s">
        <v>7</v>
      </c>
      <c r="SK803" s="27" t="s">
        <v>8</v>
      </c>
      <c r="SL803" s="27" t="s">
        <v>7</v>
      </c>
      <c r="SM803" s="27" t="s">
        <v>8</v>
      </c>
      <c r="SN803" s="27" t="s">
        <v>7</v>
      </c>
    </row>
    <row r="804" spans="1:522" x14ac:dyDescent="0.25">
      <c r="A804" s="7">
        <v>1.3607010742763666E-2</v>
      </c>
      <c r="B804"/>
      <c r="C804"/>
      <c r="D804"/>
      <c r="E804"/>
      <c r="F804" s="27" t="s">
        <v>7</v>
      </c>
      <c r="MK804" s="27" t="s">
        <v>8</v>
      </c>
      <c r="MM804" s="27" t="s">
        <v>8</v>
      </c>
      <c r="MR804" s="27" t="s">
        <v>7</v>
      </c>
      <c r="MS804" s="27" t="s">
        <v>8</v>
      </c>
      <c r="MX804" s="27" t="s">
        <v>7</v>
      </c>
      <c r="MY804" s="27" t="s">
        <v>8</v>
      </c>
      <c r="MZ804" s="27" t="s">
        <v>7</v>
      </c>
      <c r="NA804" s="27" t="s">
        <v>8</v>
      </c>
      <c r="NB804" s="27" t="s">
        <v>7</v>
      </c>
      <c r="NE804" s="27" t="s">
        <v>8</v>
      </c>
      <c r="NF804" s="27" t="s">
        <v>7</v>
      </c>
      <c r="NG804" s="27" t="s">
        <v>8</v>
      </c>
      <c r="OF804" s="27" t="s">
        <v>7</v>
      </c>
      <c r="OG804" s="27" t="s">
        <v>8</v>
      </c>
      <c r="OP804" s="27" t="s">
        <v>7</v>
      </c>
      <c r="OQ804" s="27" t="s">
        <v>8</v>
      </c>
      <c r="OR804" s="27" t="s">
        <v>7</v>
      </c>
      <c r="OS804" s="27" t="s">
        <v>8</v>
      </c>
      <c r="OT804" s="27" t="s">
        <v>7</v>
      </c>
      <c r="OU804" s="27" t="s">
        <v>8</v>
      </c>
      <c r="OV804" s="27" t="s">
        <v>7</v>
      </c>
      <c r="PE804" s="27" t="s">
        <v>8</v>
      </c>
      <c r="PF804" s="27" t="s">
        <v>7</v>
      </c>
      <c r="QG804" s="27" t="s">
        <v>8</v>
      </c>
      <c r="QH804" s="27" t="s">
        <v>7</v>
      </c>
      <c r="QO804" s="27" t="s">
        <v>8</v>
      </c>
      <c r="QP804" s="27" t="s">
        <v>7</v>
      </c>
      <c r="QU804" s="27" t="s">
        <v>8</v>
      </c>
      <c r="QV804" s="27" t="s">
        <v>7</v>
      </c>
      <c r="RM804" s="27" t="s">
        <v>8</v>
      </c>
      <c r="RN804" s="27" t="s">
        <v>7</v>
      </c>
      <c r="RO804" s="27" t="s">
        <v>8</v>
      </c>
      <c r="RP804" s="27" t="s">
        <v>7</v>
      </c>
      <c r="RS804" s="27" t="s">
        <v>8</v>
      </c>
      <c r="RT804" s="27" t="s">
        <v>7</v>
      </c>
      <c r="RU804" s="27" t="s">
        <v>8</v>
      </c>
      <c r="RV804" s="27" t="s">
        <v>7</v>
      </c>
      <c r="RW804" s="27" t="s">
        <v>8</v>
      </c>
      <c r="RY804" s="27" t="s">
        <v>8</v>
      </c>
      <c r="SA804" s="27" t="s">
        <v>8</v>
      </c>
      <c r="SB804" s="27" t="s">
        <v>7</v>
      </c>
      <c r="SE804" s="27" t="s">
        <v>8</v>
      </c>
      <c r="SF804" s="27" t="s">
        <v>7</v>
      </c>
      <c r="SG804" s="27" t="s">
        <v>8</v>
      </c>
      <c r="SH804" s="27" t="s">
        <v>7</v>
      </c>
      <c r="SI804" s="27" t="s">
        <v>8</v>
      </c>
      <c r="SJ804" s="27" t="s">
        <v>7</v>
      </c>
      <c r="SK804" s="27" t="s">
        <v>8</v>
      </c>
      <c r="SL804" s="27" t="s">
        <v>7</v>
      </c>
      <c r="SM804" s="27" t="s">
        <v>8</v>
      </c>
      <c r="SN804" s="27" t="s">
        <v>7</v>
      </c>
    </row>
    <row r="805" spans="1:522" x14ac:dyDescent="0.25">
      <c r="A805" s="7">
        <v>1.3340206610552614E-2</v>
      </c>
      <c r="B805"/>
      <c r="C805"/>
      <c r="D805"/>
      <c r="E805"/>
      <c r="F805" s="27" t="s">
        <v>7</v>
      </c>
      <c r="MK805" s="27" t="s">
        <v>8</v>
      </c>
      <c r="ML805" s="27" t="s">
        <v>7</v>
      </c>
      <c r="MM805" s="27" t="s">
        <v>8</v>
      </c>
      <c r="MR805" s="27" t="s">
        <v>7</v>
      </c>
      <c r="MX805" s="27" t="s">
        <v>7</v>
      </c>
      <c r="MY805" s="27" t="s">
        <v>8</v>
      </c>
      <c r="MZ805" s="27" t="s">
        <v>7</v>
      </c>
      <c r="NA805" s="27" t="s">
        <v>8</v>
      </c>
      <c r="NB805" s="27" t="s">
        <v>7</v>
      </c>
      <c r="NC805" s="27" t="s">
        <v>8</v>
      </c>
      <c r="NE805" s="27" t="s">
        <v>8</v>
      </c>
      <c r="NF805" s="27" t="s">
        <v>7</v>
      </c>
      <c r="OF805" s="27" t="s">
        <v>7</v>
      </c>
      <c r="OG805" s="27" t="s">
        <v>8</v>
      </c>
      <c r="OP805" s="27" t="s">
        <v>7</v>
      </c>
      <c r="OQ805" s="27" t="s">
        <v>8</v>
      </c>
      <c r="OR805" s="27" t="s">
        <v>7</v>
      </c>
      <c r="OS805" s="27" t="s">
        <v>8</v>
      </c>
      <c r="OT805" s="27" t="s">
        <v>7</v>
      </c>
      <c r="OU805" s="27" t="s">
        <v>8</v>
      </c>
      <c r="OV805" s="27" t="s">
        <v>7</v>
      </c>
      <c r="PE805" s="27" t="s">
        <v>8</v>
      </c>
      <c r="PF805" s="27" t="s">
        <v>7</v>
      </c>
      <c r="QG805" s="27" t="s">
        <v>8</v>
      </c>
      <c r="QH805" s="27" t="s">
        <v>7</v>
      </c>
      <c r="QO805" s="27" t="s">
        <v>8</v>
      </c>
      <c r="QP805" s="27" t="s">
        <v>7</v>
      </c>
      <c r="QU805" s="27" t="s">
        <v>8</v>
      </c>
      <c r="QV805" s="27" t="s">
        <v>7</v>
      </c>
      <c r="QW805" s="27" t="s">
        <v>8</v>
      </c>
      <c r="RK805" s="27" t="s">
        <v>8</v>
      </c>
      <c r="RM805" s="27" t="s">
        <v>8</v>
      </c>
      <c r="RN805" s="27" t="s">
        <v>7</v>
      </c>
      <c r="RO805" s="27" t="s">
        <v>8</v>
      </c>
      <c r="RP805" s="27" t="s">
        <v>7</v>
      </c>
      <c r="RQ805" s="27" t="s">
        <v>8</v>
      </c>
      <c r="RS805" s="27" t="s">
        <v>8</v>
      </c>
      <c r="RT805" s="27" t="s">
        <v>7</v>
      </c>
      <c r="RU805" s="27" t="s">
        <v>8</v>
      </c>
      <c r="RV805" s="27" t="s">
        <v>7</v>
      </c>
      <c r="RW805" s="27" t="s">
        <v>8</v>
      </c>
      <c r="RX805" s="27" t="s">
        <v>7</v>
      </c>
      <c r="RY805" s="27" t="s">
        <v>8</v>
      </c>
      <c r="RZ805" s="27" t="s">
        <v>7</v>
      </c>
      <c r="SA805" s="27" t="s">
        <v>8</v>
      </c>
      <c r="SB805" s="27" t="s">
        <v>7</v>
      </c>
      <c r="SE805" s="27" t="s">
        <v>8</v>
      </c>
      <c r="SF805" s="27" t="s">
        <v>7</v>
      </c>
      <c r="SG805" s="27" t="s">
        <v>8</v>
      </c>
      <c r="SH805" s="27" t="s">
        <v>7</v>
      </c>
      <c r="SI805" s="27" t="s">
        <v>8</v>
      </c>
      <c r="SJ805" s="27" t="s">
        <v>7</v>
      </c>
      <c r="SL805" s="27" t="s">
        <v>7</v>
      </c>
      <c r="SM805" s="27" t="s">
        <v>8</v>
      </c>
      <c r="SN805" s="27" t="s">
        <v>7</v>
      </c>
    </row>
    <row r="806" spans="1:522" x14ac:dyDescent="0.25">
      <c r="A806" s="7">
        <v>1.3078633931914328E-2</v>
      </c>
      <c r="B806"/>
      <c r="C806"/>
      <c r="D806"/>
      <c r="E806"/>
      <c r="F806" s="27" t="s">
        <v>7</v>
      </c>
      <c r="MK806" s="27" t="s">
        <v>8</v>
      </c>
      <c r="ML806" s="27" t="s">
        <v>7</v>
      </c>
      <c r="MM806" s="27" t="s">
        <v>8</v>
      </c>
      <c r="MX806" s="27" t="s">
        <v>7</v>
      </c>
      <c r="MY806" s="27" t="s">
        <v>8</v>
      </c>
      <c r="MZ806" s="27" t="s">
        <v>7</v>
      </c>
      <c r="NA806" s="27" t="s">
        <v>8</v>
      </c>
      <c r="NB806" s="27" t="s">
        <v>7</v>
      </c>
      <c r="NC806" s="27" t="s">
        <v>8</v>
      </c>
      <c r="ND806" s="27" t="s">
        <v>7</v>
      </c>
      <c r="NE806" s="27" t="s">
        <v>8</v>
      </c>
      <c r="OF806" s="27" t="s">
        <v>7</v>
      </c>
      <c r="OG806" s="27" t="s">
        <v>8</v>
      </c>
      <c r="OP806" s="27" t="s">
        <v>7</v>
      </c>
      <c r="OQ806" s="27" t="s">
        <v>8</v>
      </c>
      <c r="OR806" s="27" t="s">
        <v>7</v>
      </c>
      <c r="OS806" s="27" t="s">
        <v>8</v>
      </c>
      <c r="OT806" s="27" t="s">
        <v>7</v>
      </c>
      <c r="OU806" s="27" t="s">
        <v>8</v>
      </c>
      <c r="OV806" s="27" t="s">
        <v>7</v>
      </c>
      <c r="PE806" s="27" t="s">
        <v>8</v>
      </c>
      <c r="PF806" s="27" t="s">
        <v>7</v>
      </c>
      <c r="QG806" s="27" t="s">
        <v>8</v>
      </c>
      <c r="QH806" s="27" t="s">
        <v>7</v>
      </c>
      <c r="QI806" s="27" t="s">
        <v>8</v>
      </c>
      <c r="QO806" s="27" t="s">
        <v>8</v>
      </c>
      <c r="QP806" s="27" t="s">
        <v>7</v>
      </c>
      <c r="QS806" s="27" t="s">
        <v>8</v>
      </c>
      <c r="QU806" s="27" t="s">
        <v>8</v>
      </c>
      <c r="QV806" s="27" t="s">
        <v>7</v>
      </c>
      <c r="QW806" s="27" t="s">
        <v>8</v>
      </c>
      <c r="QX806" s="27" t="s">
        <v>7</v>
      </c>
      <c r="RA806" s="27" t="s">
        <v>8</v>
      </c>
      <c r="RK806" s="27" t="s">
        <v>8</v>
      </c>
      <c r="RL806" s="27" t="s">
        <v>7</v>
      </c>
      <c r="RM806" s="27" t="s">
        <v>8</v>
      </c>
      <c r="RN806" s="27" t="s">
        <v>7</v>
      </c>
      <c r="RO806" s="27" t="s">
        <v>8</v>
      </c>
      <c r="RP806" s="27" t="s">
        <v>7</v>
      </c>
      <c r="RQ806" s="27" t="s">
        <v>8</v>
      </c>
      <c r="RR806" s="27" t="s">
        <v>7</v>
      </c>
      <c r="RS806" s="27" t="s">
        <v>8</v>
      </c>
      <c r="RT806" s="27" t="s">
        <v>7</v>
      </c>
      <c r="RU806" s="27" t="s">
        <v>8</v>
      </c>
      <c r="RV806" s="27" t="s">
        <v>7</v>
      </c>
      <c r="RW806" s="27" t="s">
        <v>8</v>
      </c>
      <c r="RX806" s="27" t="s">
        <v>7</v>
      </c>
      <c r="RY806" s="27" t="s">
        <v>8</v>
      </c>
      <c r="RZ806" s="27" t="s">
        <v>7</v>
      </c>
      <c r="SA806" s="27" t="s">
        <v>8</v>
      </c>
      <c r="SB806" s="27" t="s">
        <v>7</v>
      </c>
      <c r="SE806" s="27" t="s">
        <v>8</v>
      </c>
      <c r="SF806" s="27" t="s">
        <v>7</v>
      </c>
      <c r="SG806" s="27" t="s">
        <v>8</v>
      </c>
      <c r="SH806" s="27" t="s">
        <v>7</v>
      </c>
      <c r="SI806" s="27" t="s">
        <v>8</v>
      </c>
      <c r="SL806" s="27" t="s">
        <v>7</v>
      </c>
      <c r="SM806" s="27" t="s">
        <v>8</v>
      </c>
      <c r="SN806" s="27" t="s">
        <v>7</v>
      </c>
    </row>
    <row r="807" spans="1:522" x14ac:dyDescent="0.25">
      <c r="A807" s="7">
        <v>1.2822190129327771E-2</v>
      </c>
      <c r="B807"/>
      <c r="C807"/>
      <c r="D807"/>
      <c r="E807"/>
      <c r="F807" s="27" t="s">
        <v>7</v>
      </c>
      <c r="MK807" s="27" t="s">
        <v>8</v>
      </c>
      <c r="ML807" s="27" t="s">
        <v>7</v>
      </c>
      <c r="MM807" s="27" t="s">
        <v>8</v>
      </c>
      <c r="MX807" s="27" t="s">
        <v>7</v>
      </c>
      <c r="MY807" s="27" t="s">
        <v>8</v>
      </c>
      <c r="MZ807" s="27" t="s">
        <v>7</v>
      </c>
      <c r="NA807" s="27" t="s">
        <v>8</v>
      </c>
      <c r="NB807" s="27" t="s">
        <v>7</v>
      </c>
      <c r="NC807" s="27" t="s">
        <v>8</v>
      </c>
      <c r="ND807" s="27" t="s">
        <v>7</v>
      </c>
      <c r="NE807" s="27" t="s">
        <v>8</v>
      </c>
      <c r="OF807" s="27" t="s">
        <v>7</v>
      </c>
      <c r="OG807" s="27" t="s">
        <v>8</v>
      </c>
      <c r="OP807" s="27" t="s">
        <v>7</v>
      </c>
      <c r="OQ807" s="27" t="s">
        <v>8</v>
      </c>
      <c r="OR807" s="27" t="s">
        <v>7</v>
      </c>
      <c r="OS807" s="27" t="s">
        <v>8</v>
      </c>
      <c r="OT807" s="27" t="s">
        <v>7</v>
      </c>
      <c r="OU807" s="27" t="s">
        <v>8</v>
      </c>
      <c r="OV807" s="27" t="s">
        <v>7</v>
      </c>
      <c r="PE807" s="27" t="s">
        <v>8</v>
      </c>
      <c r="PF807" s="27" t="s">
        <v>7</v>
      </c>
      <c r="QG807" s="27" t="s">
        <v>8</v>
      </c>
      <c r="QH807" s="27" t="s">
        <v>7</v>
      </c>
      <c r="QI807" s="27" t="s">
        <v>8</v>
      </c>
      <c r="QJ807" s="27" t="s">
        <v>7</v>
      </c>
      <c r="QK807" s="27" t="s">
        <v>8</v>
      </c>
      <c r="QM807" s="27" t="s">
        <v>8</v>
      </c>
      <c r="QO807" s="27" t="s">
        <v>8</v>
      </c>
      <c r="QP807" s="27" t="s">
        <v>7</v>
      </c>
      <c r="QS807" s="27" t="s">
        <v>8</v>
      </c>
      <c r="QT807" s="27" t="s">
        <v>7</v>
      </c>
      <c r="QU807" s="27" t="s">
        <v>8</v>
      </c>
      <c r="QV807" s="27" t="s">
        <v>7</v>
      </c>
      <c r="QW807" s="27" t="s">
        <v>8</v>
      </c>
      <c r="QX807" s="27" t="s">
        <v>7</v>
      </c>
      <c r="RA807" s="27" t="s">
        <v>8</v>
      </c>
      <c r="RB807" s="27" t="s">
        <v>7</v>
      </c>
      <c r="RK807" s="27" t="s">
        <v>8</v>
      </c>
      <c r="RL807" s="27" t="s">
        <v>7</v>
      </c>
      <c r="RM807" s="27" t="s">
        <v>8</v>
      </c>
      <c r="RN807" s="27" t="s">
        <v>7</v>
      </c>
      <c r="RO807" s="27" t="s">
        <v>8</v>
      </c>
      <c r="RP807" s="27" t="s">
        <v>7</v>
      </c>
      <c r="RQ807" s="27" t="s">
        <v>8</v>
      </c>
      <c r="RR807" s="27" t="s">
        <v>7</v>
      </c>
      <c r="RS807" s="27" t="s">
        <v>8</v>
      </c>
      <c r="RT807" s="27" t="s">
        <v>7</v>
      </c>
      <c r="RV807" s="27" t="s">
        <v>7</v>
      </c>
      <c r="RW807" s="27" t="s">
        <v>8</v>
      </c>
      <c r="RX807" s="27" t="s">
        <v>7</v>
      </c>
      <c r="RY807" s="27" t="s">
        <v>8</v>
      </c>
      <c r="RZ807" s="27" t="s">
        <v>7</v>
      </c>
      <c r="SA807" s="27" t="s">
        <v>8</v>
      </c>
      <c r="SB807" s="27" t="s">
        <v>7</v>
      </c>
      <c r="SC807" s="27" t="s">
        <v>8</v>
      </c>
      <c r="SE807" s="27" t="s">
        <v>8</v>
      </c>
      <c r="SF807" s="27" t="s">
        <v>7</v>
      </c>
      <c r="SG807" s="27" t="s">
        <v>8</v>
      </c>
      <c r="SH807" s="27" t="s">
        <v>7</v>
      </c>
      <c r="SL807" s="27" t="s">
        <v>7</v>
      </c>
      <c r="SN807" s="27" t="s">
        <v>7</v>
      </c>
    </row>
    <row r="808" spans="1:522" x14ac:dyDescent="0.25">
      <c r="A808" s="7">
        <v>1.2570774636595854E-2</v>
      </c>
      <c r="B808"/>
      <c r="C808"/>
      <c r="D808"/>
      <c r="E808"/>
      <c r="F808" s="27" t="s">
        <v>7</v>
      </c>
      <c r="MK808" s="27" t="s">
        <v>8</v>
      </c>
      <c r="ML808" s="27" t="s">
        <v>7</v>
      </c>
      <c r="MM808" s="27" t="s">
        <v>8</v>
      </c>
      <c r="MX808" s="27" t="s">
        <v>7</v>
      </c>
      <c r="MY808" s="27" t="s">
        <v>8</v>
      </c>
      <c r="MZ808" s="27" t="s">
        <v>7</v>
      </c>
      <c r="NA808" s="27" t="s">
        <v>8</v>
      </c>
      <c r="NB808" s="27" t="s">
        <v>7</v>
      </c>
      <c r="NC808" s="27" t="s">
        <v>8</v>
      </c>
      <c r="ND808" s="27" t="s">
        <v>7</v>
      </c>
      <c r="NE808" s="27" t="s">
        <v>8</v>
      </c>
      <c r="OF808" s="27" t="s">
        <v>7</v>
      </c>
      <c r="OG808" s="27" t="s">
        <v>8</v>
      </c>
      <c r="OP808" s="27" t="s">
        <v>7</v>
      </c>
      <c r="OQ808" s="27" t="s">
        <v>8</v>
      </c>
      <c r="OR808" s="27" t="s">
        <v>7</v>
      </c>
      <c r="OS808" s="27" t="s">
        <v>8</v>
      </c>
      <c r="OT808" s="27" t="s">
        <v>7</v>
      </c>
      <c r="OU808" s="27" t="s">
        <v>8</v>
      </c>
      <c r="OV808" s="27" t="s">
        <v>7</v>
      </c>
      <c r="PE808" s="27" t="s">
        <v>8</v>
      </c>
      <c r="PF808" s="27" t="s">
        <v>7</v>
      </c>
      <c r="QG808" s="27" t="s">
        <v>8</v>
      </c>
      <c r="QH808" s="27" t="s">
        <v>7</v>
      </c>
      <c r="QI808" s="27" t="s">
        <v>8</v>
      </c>
      <c r="QJ808" s="27" t="s">
        <v>7</v>
      </c>
      <c r="QK808" s="27" t="s">
        <v>8</v>
      </c>
      <c r="QL808" s="27" t="s">
        <v>7</v>
      </c>
      <c r="QM808" s="27" t="s">
        <v>8</v>
      </c>
      <c r="QN808" s="27" t="s">
        <v>7</v>
      </c>
      <c r="QO808" s="27" t="s">
        <v>8</v>
      </c>
      <c r="QP808" s="27" t="s">
        <v>7</v>
      </c>
      <c r="QS808" s="27" t="s">
        <v>8</v>
      </c>
      <c r="QT808" s="27" t="s">
        <v>7</v>
      </c>
      <c r="QU808" s="27" t="s">
        <v>8</v>
      </c>
      <c r="QV808" s="27" t="s">
        <v>7</v>
      </c>
      <c r="QW808" s="27" t="s">
        <v>8</v>
      </c>
      <c r="QX808" s="27" t="s">
        <v>7</v>
      </c>
      <c r="QY808" s="27" t="s">
        <v>8</v>
      </c>
      <c r="RA808" s="27" t="s">
        <v>8</v>
      </c>
      <c r="RB808" s="27" t="s">
        <v>7</v>
      </c>
      <c r="RK808" s="27" t="s">
        <v>8</v>
      </c>
      <c r="RL808" s="27" t="s">
        <v>7</v>
      </c>
      <c r="RM808" s="27" t="s">
        <v>8</v>
      </c>
      <c r="RN808" s="27" t="s">
        <v>7</v>
      </c>
      <c r="RO808" s="27" t="s">
        <v>8</v>
      </c>
      <c r="RP808" s="27" t="s">
        <v>7</v>
      </c>
      <c r="RR808" s="27" t="s">
        <v>7</v>
      </c>
      <c r="RS808" s="27" t="s">
        <v>8</v>
      </c>
      <c r="RV808" s="27" t="s">
        <v>7</v>
      </c>
      <c r="RW808" s="27" t="s">
        <v>8</v>
      </c>
      <c r="RX808" s="27" t="s">
        <v>7</v>
      </c>
      <c r="RY808" s="27" t="s">
        <v>8</v>
      </c>
      <c r="RZ808" s="27" t="s">
        <v>7</v>
      </c>
      <c r="SA808" s="27" t="s">
        <v>8</v>
      </c>
      <c r="SB808" s="27" t="s">
        <v>7</v>
      </c>
      <c r="SC808" s="27" t="s">
        <v>8</v>
      </c>
      <c r="SD808" s="27" t="s">
        <v>7</v>
      </c>
      <c r="SE808" s="27" t="s">
        <v>8</v>
      </c>
      <c r="SF808" s="27" t="s">
        <v>7</v>
      </c>
      <c r="SG808" s="27" t="s">
        <v>8</v>
      </c>
      <c r="SN808" s="27" t="s">
        <v>7</v>
      </c>
    </row>
    <row r="809" spans="1:522" x14ac:dyDescent="0.25">
      <c r="A809" s="7">
        <v>1.23242888594077E-2</v>
      </c>
      <c r="B809"/>
      <c r="C809"/>
      <c r="D809"/>
      <c r="E809"/>
      <c r="F809" s="27" t="s">
        <v>7</v>
      </c>
      <c r="MK809" s="27" t="s">
        <v>8</v>
      </c>
      <c r="ML809" s="27" t="s">
        <v>7</v>
      </c>
      <c r="MM809" s="27" t="s">
        <v>8</v>
      </c>
      <c r="MX809" s="27" t="s">
        <v>7</v>
      </c>
      <c r="MY809" s="27" t="s">
        <v>8</v>
      </c>
      <c r="MZ809" s="27" t="s">
        <v>7</v>
      </c>
      <c r="NA809" s="27" t="s">
        <v>8</v>
      </c>
      <c r="NB809" s="27" t="s">
        <v>7</v>
      </c>
      <c r="NC809" s="27" t="s">
        <v>8</v>
      </c>
      <c r="ND809" s="27" t="s">
        <v>7</v>
      </c>
      <c r="NE809" s="27" t="s">
        <v>8</v>
      </c>
      <c r="OF809" s="27" t="s">
        <v>7</v>
      </c>
      <c r="OG809" s="27" t="s">
        <v>8</v>
      </c>
      <c r="OP809" s="27" t="s">
        <v>7</v>
      </c>
      <c r="OQ809" s="27" t="s">
        <v>8</v>
      </c>
      <c r="OR809" s="27" t="s">
        <v>7</v>
      </c>
      <c r="OS809" s="27" t="s">
        <v>8</v>
      </c>
      <c r="OT809" s="27" t="s">
        <v>7</v>
      </c>
      <c r="OU809" s="27" t="s">
        <v>8</v>
      </c>
      <c r="OV809" s="27" t="s">
        <v>7</v>
      </c>
      <c r="PE809" s="27" t="s">
        <v>8</v>
      </c>
      <c r="PF809" s="27" t="s">
        <v>7</v>
      </c>
      <c r="QG809" s="27" t="s">
        <v>8</v>
      </c>
      <c r="QH809" s="27" t="s">
        <v>7</v>
      </c>
      <c r="QI809" s="27" t="s">
        <v>8</v>
      </c>
      <c r="QJ809" s="27" t="s">
        <v>7</v>
      </c>
      <c r="QK809" s="27" t="s">
        <v>8</v>
      </c>
      <c r="QL809" s="27" t="s">
        <v>7</v>
      </c>
      <c r="QM809" s="27" t="s">
        <v>8</v>
      </c>
      <c r="QN809" s="27" t="s">
        <v>7</v>
      </c>
      <c r="QO809" s="27" t="s">
        <v>8</v>
      </c>
      <c r="QP809" s="27" t="s">
        <v>7</v>
      </c>
      <c r="QQ809" s="27" t="s">
        <v>8</v>
      </c>
      <c r="QS809" s="27" t="s">
        <v>8</v>
      </c>
      <c r="QT809" s="27" t="s">
        <v>7</v>
      </c>
      <c r="QV809" s="27" t="s">
        <v>7</v>
      </c>
      <c r="QW809" s="27" t="s">
        <v>8</v>
      </c>
      <c r="QX809" s="27" t="s">
        <v>7</v>
      </c>
      <c r="QY809" s="27" t="s">
        <v>8</v>
      </c>
      <c r="QZ809" s="27" t="s">
        <v>7</v>
      </c>
      <c r="RA809" s="27" t="s">
        <v>8</v>
      </c>
      <c r="RB809" s="27" t="s">
        <v>7</v>
      </c>
      <c r="RK809" s="27" t="s">
        <v>8</v>
      </c>
      <c r="RL809" s="27" t="s">
        <v>7</v>
      </c>
      <c r="RM809" s="27" t="s">
        <v>8</v>
      </c>
      <c r="RN809" s="27" t="s">
        <v>7</v>
      </c>
      <c r="RO809" s="27" t="s">
        <v>8</v>
      </c>
      <c r="RR809" s="27" t="s">
        <v>7</v>
      </c>
      <c r="RS809" s="27" t="s">
        <v>8</v>
      </c>
      <c r="RV809" s="27" t="s">
        <v>7</v>
      </c>
      <c r="RW809" s="27" t="s">
        <v>8</v>
      </c>
      <c r="RX809" s="27" t="s">
        <v>7</v>
      </c>
      <c r="RY809" s="27" t="s">
        <v>8</v>
      </c>
      <c r="RZ809" s="27" t="s">
        <v>7</v>
      </c>
      <c r="SA809" s="27" t="s">
        <v>8</v>
      </c>
      <c r="SB809" s="27" t="s">
        <v>7</v>
      </c>
      <c r="SC809" s="27" t="s">
        <v>8</v>
      </c>
      <c r="SD809" s="27" t="s">
        <v>7</v>
      </c>
      <c r="SE809" s="27" t="s">
        <v>8</v>
      </c>
      <c r="SF809" s="27" t="s">
        <v>7</v>
      </c>
      <c r="SG809" s="27" t="s">
        <v>8</v>
      </c>
      <c r="SN809" s="27" t="s">
        <v>7</v>
      </c>
    </row>
    <row r="810" spans="1:522" x14ac:dyDescent="0.25">
      <c r="A810" s="7">
        <v>1.2082636136674216E-2</v>
      </c>
      <c r="B810"/>
      <c r="C810"/>
      <c r="D810"/>
      <c r="E810"/>
      <c r="F810" s="27" t="s">
        <v>7</v>
      </c>
      <c r="MK810" s="27" t="s">
        <v>8</v>
      </c>
      <c r="ML810" s="27" t="s">
        <v>7</v>
      </c>
      <c r="MM810" s="27" t="s">
        <v>8</v>
      </c>
      <c r="MX810" s="27" t="s">
        <v>7</v>
      </c>
      <c r="MY810" s="27" t="s">
        <v>8</v>
      </c>
      <c r="MZ810" s="27" t="s">
        <v>7</v>
      </c>
      <c r="NA810" s="27" t="s">
        <v>8</v>
      </c>
      <c r="NB810" s="27" t="s">
        <v>7</v>
      </c>
      <c r="NC810" s="27" t="s">
        <v>8</v>
      </c>
      <c r="ND810" s="27" t="s">
        <v>7</v>
      </c>
      <c r="OF810" s="27" t="s">
        <v>7</v>
      </c>
      <c r="OG810" s="27" t="s">
        <v>8</v>
      </c>
      <c r="OP810" s="27" t="s">
        <v>7</v>
      </c>
      <c r="OQ810" s="27" t="s">
        <v>8</v>
      </c>
      <c r="OR810" s="27" t="s">
        <v>7</v>
      </c>
      <c r="OS810" s="27" t="s">
        <v>8</v>
      </c>
      <c r="OT810" s="27" t="s">
        <v>7</v>
      </c>
      <c r="OU810" s="27" t="s">
        <v>8</v>
      </c>
      <c r="OV810" s="27" t="s">
        <v>7</v>
      </c>
      <c r="PE810" s="27" t="s">
        <v>8</v>
      </c>
      <c r="PF810" s="27" t="s">
        <v>7</v>
      </c>
      <c r="PG810" s="27" t="s">
        <v>8</v>
      </c>
      <c r="QG810" s="27" t="s">
        <v>8</v>
      </c>
      <c r="QH810" s="27" t="s">
        <v>7</v>
      </c>
      <c r="QI810" s="27" t="s">
        <v>8</v>
      </c>
      <c r="QJ810" s="27" t="s">
        <v>7</v>
      </c>
      <c r="QL810" s="27" t="s">
        <v>7</v>
      </c>
      <c r="QM810" s="27" t="s">
        <v>8</v>
      </c>
      <c r="QN810" s="27" t="s">
        <v>7</v>
      </c>
      <c r="QO810" s="27" t="s">
        <v>8</v>
      </c>
      <c r="QP810" s="27" t="s">
        <v>7</v>
      </c>
      <c r="QQ810" s="27" t="s">
        <v>8</v>
      </c>
      <c r="QR810" s="27" t="s">
        <v>7</v>
      </c>
      <c r="QS810" s="27" t="s">
        <v>8</v>
      </c>
      <c r="QV810" s="27" t="s">
        <v>7</v>
      </c>
      <c r="QW810" s="27" t="s">
        <v>8</v>
      </c>
      <c r="QX810" s="27" t="s">
        <v>7</v>
      </c>
      <c r="QY810" s="27" t="s">
        <v>8</v>
      </c>
      <c r="QZ810" s="27" t="s">
        <v>7</v>
      </c>
      <c r="RA810" s="27" t="s">
        <v>8</v>
      </c>
      <c r="RB810" s="27" t="s">
        <v>7</v>
      </c>
      <c r="RK810" s="27" t="s">
        <v>8</v>
      </c>
      <c r="RL810" s="27" t="s">
        <v>7</v>
      </c>
      <c r="RM810" s="27" t="s">
        <v>8</v>
      </c>
      <c r="RN810" s="27" t="s">
        <v>7</v>
      </c>
      <c r="RO810" s="27" t="s">
        <v>8</v>
      </c>
      <c r="RR810" s="27" t="s">
        <v>7</v>
      </c>
      <c r="RV810" s="27" t="s">
        <v>7</v>
      </c>
      <c r="RW810" s="27" t="s">
        <v>8</v>
      </c>
      <c r="RX810" s="27" t="s">
        <v>7</v>
      </c>
      <c r="RZ810" s="27" t="s">
        <v>7</v>
      </c>
      <c r="SA810" s="27" t="s">
        <v>8</v>
      </c>
      <c r="SB810" s="27" t="s">
        <v>7</v>
      </c>
      <c r="SD810" s="27" t="s">
        <v>7</v>
      </c>
      <c r="SE810" s="27" t="s">
        <v>8</v>
      </c>
      <c r="SF810" s="27" t="s">
        <v>7</v>
      </c>
      <c r="SG810" s="27" t="s">
        <v>8</v>
      </c>
      <c r="SN810" s="27" t="s">
        <v>7</v>
      </c>
    </row>
    <row r="811" spans="1:522" x14ac:dyDescent="0.25">
      <c r="A811" s="7">
        <v>1.184572170262178E-2</v>
      </c>
      <c r="B811"/>
      <c r="C811"/>
      <c r="D811"/>
      <c r="E811"/>
      <c r="F811" s="27" t="s">
        <v>7</v>
      </c>
      <c r="MK811" s="27" t="s">
        <v>8</v>
      </c>
      <c r="ML811" s="27" t="s">
        <v>7</v>
      </c>
      <c r="MM811" s="27" t="s">
        <v>8</v>
      </c>
      <c r="MX811" s="27" t="s">
        <v>7</v>
      </c>
      <c r="MY811" s="27" t="s">
        <v>8</v>
      </c>
      <c r="MZ811" s="27" t="s">
        <v>7</v>
      </c>
      <c r="NA811" s="27" t="s">
        <v>8</v>
      </c>
      <c r="NB811" s="27" t="s">
        <v>7</v>
      </c>
      <c r="NC811" s="27" t="s">
        <v>8</v>
      </c>
      <c r="OF811" s="27" t="s">
        <v>7</v>
      </c>
      <c r="OG811" s="27" t="s">
        <v>8</v>
      </c>
      <c r="OP811" s="27" t="s">
        <v>7</v>
      </c>
      <c r="OQ811" s="27" t="s">
        <v>8</v>
      </c>
      <c r="OR811" s="27" t="s">
        <v>7</v>
      </c>
      <c r="OS811" s="27" t="s">
        <v>8</v>
      </c>
      <c r="OT811" s="27" t="s">
        <v>7</v>
      </c>
      <c r="OU811" s="27" t="s">
        <v>8</v>
      </c>
      <c r="OV811" s="27" t="s">
        <v>7</v>
      </c>
      <c r="PE811" s="27" t="s">
        <v>8</v>
      </c>
      <c r="PF811" s="27" t="s">
        <v>7</v>
      </c>
      <c r="PG811" s="27" t="s">
        <v>8</v>
      </c>
      <c r="PH811" s="27" t="s">
        <v>7</v>
      </c>
      <c r="QG811" s="27" t="s">
        <v>8</v>
      </c>
      <c r="QH811" s="27" t="s">
        <v>7</v>
      </c>
      <c r="QI811" s="27" t="s">
        <v>8</v>
      </c>
      <c r="QL811" s="27" t="s">
        <v>7</v>
      </c>
      <c r="QN811" s="27" t="s">
        <v>7</v>
      </c>
      <c r="QO811" s="27" t="s">
        <v>8</v>
      </c>
      <c r="QP811" s="27" t="s">
        <v>7</v>
      </c>
      <c r="QQ811" s="27" t="s">
        <v>8</v>
      </c>
      <c r="QR811" s="27" t="s">
        <v>7</v>
      </c>
      <c r="QS811" s="27" t="s">
        <v>8</v>
      </c>
      <c r="QV811" s="27" t="s">
        <v>7</v>
      </c>
      <c r="QW811" s="27" t="s">
        <v>8</v>
      </c>
      <c r="QX811" s="27" t="s">
        <v>7</v>
      </c>
      <c r="QY811" s="27" t="s">
        <v>8</v>
      </c>
      <c r="QZ811" s="27" t="s">
        <v>7</v>
      </c>
      <c r="RA811" s="27" t="s">
        <v>8</v>
      </c>
      <c r="RB811" s="27" t="s">
        <v>7</v>
      </c>
      <c r="RK811" s="27" t="s">
        <v>8</v>
      </c>
      <c r="RL811" s="27" t="s">
        <v>7</v>
      </c>
      <c r="RM811" s="27" t="s">
        <v>8</v>
      </c>
      <c r="RN811" s="27" t="s">
        <v>7</v>
      </c>
      <c r="RV811" s="27" t="s">
        <v>7</v>
      </c>
      <c r="RW811" s="27" t="s">
        <v>8</v>
      </c>
      <c r="RZ811" s="27" t="s">
        <v>7</v>
      </c>
      <c r="SD811" s="27" t="s">
        <v>7</v>
      </c>
      <c r="SF811" s="27" t="s">
        <v>7</v>
      </c>
      <c r="SG811" s="27" t="s">
        <v>8</v>
      </c>
      <c r="SN811" s="27" t="s">
        <v>7</v>
      </c>
      <c r="TA811" s="27" t="s">
        <v>8</v>
      </c>
    </row>
    <row r="812" spans="1:522" x14ac:dyDescent="0.25">
      <c r="A812" s="7">
        <v>1.1613452649629196E-2</v>
      </c>
      <c r="B812"/>
      <c r="C812"/>
      <c r="D812"/>
      <c r="E812"/>
      <c r="F812" s="27" t="s">
        <v>7</v>
      </c>
      <c r="MK812" s="27" t="s">
        <v>8</v>
      </c>
      <c r="ML812" s="27" t="s">
        <v>7</v>
      </c>
      <c r="MM812" s="27" t="s">
        <v>8</v>
      </c>
      <c r="MX812" s="27" t="s">
        <v>7</v>
      </c>
      <c r="MY812" s="27" t="s">
        <v>8</v>
      </c>
      <c r="MZ812" s="27" t="s">
        <v>7</v>
      </c>
      <c r="NB812" s="27" t="s">
        <v>7</v>
      </c>
      <c r="NC812" s="27" t="s">
        <v>8</v>
      </c>
      <c r="OF812" s="27" t="s">
        <v>7</v>
      </c>
      <c r="OG812" s="27" t="s">
        <v>8</v>
      </c>
      <c r="OP812" s="27" t="s">
        <v>7</v>
      </c>
      <c r="OQ812" s="27" t="s">
        <v>8</v>
      </c>
      <c r="OR812" s="27" t="s">
        <v>7</v>
      </c>
      <c r="OT812" s="27" t="s">
        <v>7</v>
      </c>
      <c r="OU812" s="27" t="s">
        <v>8</v>
      </c>
      <c r="OV812" s="27" t="s">
        <v>7</v>
      </c>
      <c r="PE812" s="27" t="s">
        <v>8</v>
      </c>
      <c r="PF812" s="27" t="s">
        <v>7</v>
      </c>
      <c r="PG812" s="27" t="s">
        <v>8</v>
      </c>
      <c r="PH812" s="27" t="s">
        <v>7</v>
      </c>
      <c r="QG812" s="27" t="s">
        <v>8</v>
      </c>
      <c r="QH812" s="27" t="s">
        <v>7</v>
      </c>
      <c r="QI812" s="27" t="s">
        <v>8</v>
      </c>
      <c r="QN812" s="27" t="s">
        <v>7</v>
      </c>
      <c r="QO812" s="27" t="s">
        <v>8</v>
      </c>
      <c r="QP812" s="27" t="s">
        <v>7</v>
      </c>
      <c r="QQ812" s="27" t="s">
        <v>8</v>
      </c>
      <c r="QR812" s="27" t="s">
        <v>7</v>
      </c>
      <c r="QS812" s="27" t="s">
        <v>8</v>
      </c>
      <c r="QV812" s="27" t="s">
        <v>7</v>
      </c>
      <c r="QW812" s="27" t="s">
        <v>8</v>
      </c>
      <c r="QX812" s="27" t="s">
        <v>7</v>
      </c>
      <c r="QZ812" s="27" t="s">
        <v>7</v>
      </c>
      <c r="RB812" s="27" t="s">
        <v>7</v>
      </c>
      <c r="RK812" s="27" t="s">
        <v>8</v>
      </c>
      <c r="RL812" s="27" t="s">
        <v>7</v>
      </c>
      <c r="RM812" s="27" t="s">
        <v>8</v>
      </c>
      <c r="RV812" s="27" t="s">
        <v>7</v>
      </c>
      <c r="RW812" s="27" t="s">
        <v>8</v>
      </c>
      <c r="SF812" s="27" t="s">
        <v>7</v>
      </c>
      <c r="SG812" s="27" t="s">
        <v>8</v>
      </c>
      <c r="SN812" s="27" t="s">
        <v>7</v>
      </c>
      <c r="TA812" s="27" t="s">
        <v>8</v>
      </c>
      <c r="TB812" s="27" t="s">
        <v>7</v>
      </c>
    </row>
    <row r="813" spans="1:522" x14ac:dyDescent="0.25">
      <c r="A813" s="7">
        <v>1.138573789179333E-2</v>
      </c>
      <c r="B813"/>
      <c r="C813"/>
      <c r="D813"/>
      <c r="E813"/>
      <c r="F813" s="27" t="s">
        <v>7</v>
      </c>
      <c r="MK813" s="27" t="s">
        <v>8</v>
      </c>
      <c r="ML813" s="27" t="s">
        <v>7</v>
      </c>
      <c r="MM813" s="27" t="s">
        <v>8</v>
      </c>
      <c r="MX813" s="27" t="s">
        <v>7</v>
      </c>
      <c r="MY813" s="27" t="s">
        <v>8</v>
      </c>
      <c r="NB813" s="27" t="s">
        <v>7</v>
      </c>
      <c r="OF813" s="27" t="s">
        <v>7</v>
      </c>
      <c r="OG813" s="27" t="s">
        <v>8</v>
      </c>
      <c r="OP813" s="27" t="s">
        <v>7</v>
      </c>
      <c r="OQ813" s="27" t="s">
        <v>8</v>
      </c>
      <c r="OT813" s="27" t="s">
        <v>7</v>
      </c>
      <c r="OU813" s="27" t="s">
        <v>8</v>
      </c>
      <c r="OV813" s="27" t="s">
        <v>7</v>
      </c>
      <c r="PE813" s="27" t="s">
        <v>8</v>
      </c>
      <c r="PF813" s="27" t="s">
        <v>7</v>
      </c>
      <c r="PG813" s="27" t="s">
        <v>8</v>
      </c>
      <c r="PH813" s="27" t="s">
        <v>7</v>
      </c>
      <c r="QG813" s="27" t="s">
        <v>8</v>
      </c>
      <c r="QH813" s="27" t="s">
        <v>7</v>
      </c>
      <c r="QI813" s="27" t="s">
        <v>8</v>
      </c>
      <c r="QN813" s="27" t="s">
        <v>7</v>
      </c>
      <c r="QO813" s="27" t="s">
        <v>8</v>
      </c>
      <c r="QP813" s="27" t="s">
        <v>7</v>
      </c>
      <c r="QR813" s="27" t="s">
        <v>7</v>
      </c>
      <c r="QV813" s="27" t="s">
        <v>7</v>
      </c>
      <c r="QW813" s="27" t="s">
        <v>8</v>
      </c>
      <c r="RB813" s="27" t="s">
        <v>7</v>
      </c>
      <c r="RI813" s="27" t="s">
        <v>8</v>
      </c>
      <c r="RK813" s="27" t="s">
        <v>8</v>
      </c>
      <c r="RL813" s="27" t="s">
        <v>7</v>
      </c>
      <c r="RM813" s="27" t="s">
        <v>8</v>
      </c>
      <c r="RV813" s="27" t="s">
        <v>7</v>
      </c>
      <c r="RW813" s="27" t="s">
        <v>8</v>
      </c>
      <c r="SF813" s="27" t="s">
        <v>7</v>
      </c>
      <c r="SG813" s="27" t="s">
        <v>8</v>
      </c>
      <c r="SN813" s="27" t="s">
        <v>7</v>
      </c>
      <c r="TA813" s="27" t="s">
        <v>8</v>
      </c>
      <c r="TB813" s="27" t="s">
        <v>7</v>
      </c>
    </row>
    <row r="814" spans="1:522" x14ac:dyDescent="0.25">
      <c r="A814" s="7">
        <v>1.1162488129209149E-2</v>
      </c>
      <c r="B814"/>
      <c r="C814"/>
      <c r="D814"/>
      <c r="E814"/>
      <c r="F814" s="27" t="s">
        <v>7</v>
      </c>
      <c r="MK814" s="27" t="s">
        <v>8</v>
      </c>
      <c r="ML814" s="27" t="s">
        <v>7</v>
      </c>
      <c r="MM814" s="27" t="s">
        <v>8</v>
      </c>
      <c r="MX814" s="27" t="s">
        <v>7</v>
      </c>
      <c r="MY814" s="27" t="s">
        <v>8</v>
      </c>
      <c r="OF814" s="27" t="s">
        <v>7</v>
      </c>
      <c r="OG814" s="27" t="s">
        <v>8</v>
      </c>
      <c r="OP814" s="27" t="s">
        <v>7</v>
      </c>
      <c r="OQ814" s="27" t="s">
        <v>8</v>
      </c>
      <c r="OT814" s="27" t="s">
        <v>7</v>
      </c>
      <c r="OU814" s="27" t="s">
        <v>8</v>
      </c>
      <c r="OV814" s="27" t="s">
        <v>7</v>
      </c>
      <c r="PE814" s="27" t="s">
        <v>8</v>
      </c>
      <c r="PF814" s="27" t="s">
        <v>7</v>
      </c>
      <c r="PG814" s="27" t="s">
        <v>8</v>
      </c>
      <c r="PH814" s="27" t="s">
        <v>7</v>
      </c>
      <c r="QE814" s="27" t="s">
        <v>8</v>
      </c>
      <c r="QG814" s="27" t="s">
        <v>8</v>
      </c>
      <c r="QH814" s="27" t="s">
        <v>7</v>
      </c>
      <c r="QN814" s="27" t="s">
        <v>7</v>
      </c>
      <c r="QO814" s="27" t="s">
        <v>8</v>
      </c>
      <c r="QV814" s="27" t="s">
        <v>7</v>
      </c>
      <c r="QW814" s="27" t="s">
        <v>8</v>
      </c>
      <c r="RB814" s="27" t="s">
        <v>7</v>
      </c>
      <c r="RC814" s="27" t="s">
        <v>8</v>
      </c>
      <c r="RI814" s="27" t="s">
        <v>8</v>
      </c>
      <c r="RJ814" s="27" t="s">
        <v>7</v>
      </c>
      <c r="RK814" s="27" t="s">
        <v>8</v>
      </c>
      <c r="RL814" s="27" t="s">
        <v>7</v>
      </c>
      <c r="RV814" s="27" t="s">
        <v>7</v>
      </c>
      <c r="SF814" s="27" t="s">
        <v>7</v>
      </c>
      <c r="SN814" s="27" t="s">
        <v>7</v>
      </c>
      <c r="TA814" s="27" t="s">
        <v>8</v>
      </c>
      <c r="TB814" s="27" t="s">
        <v>7</v>
      </c>
    </row>
    <row r="815" spans="1:522" x14ac:dyDescent="0.25">
      <c r="A815" s="7">
        <v>1.0943615812950145E-2</v>
      </c>
      <c r="B815"/>
      <c r="C815"/>
      <c r="D815"/>
      <c r="E815"/>
      <c r="F815" s="27" t="s">
        <v>7</v>
      </c>
      <c r="MK815" s="27" t="s">
        <v>8</v>
      </c>
      <c r="ML815" s="27" t="s">
        <v>7</v>
      </c>
      <c r="MM815" s="27" t="s">
        <v>8</v>
      </c>
      <c r="MX815" s="27" t="s">
        <v>7</v>
      </c>
      <c r="MY815" s="27" t="s">
        <v>8</v>
      </c>
      <c r="OF815" s="27" t="s">
        <v>7</v>
      </c>
      <c r="OG815" s="27" t="s">
        <v>8</v>
      </c>
      <c r="OP815" s="27" t="s">
        <v>7</v>
      </c>
      <c r="OQ815" s="27" t="s">
        <v>8</v>
      </c>
      <c r="OT815" s="27" t="s">
        <v>7</v>
      </c>
      <c r="OU815" s="27" t="s">
        <v>8</v>
      </c>
      <c r="OV815" s="27" t="s">
        <v>7</v>
      </c>
      <c r="OY815" s="27" t="s">
        <v>8</v>
      </c>
      <c r="PE815" s="27" t="s">
        <v>8</v>
      </c>
      <c r="PF815" s="27" t="s">
        <v>7</v>
      </c>
      <c r="PG815" s="27" t="s">
        <v>8</v>
      </c>
      <c r="PH815" s="27" t="s">
        <v>7</v>
      </c>
      <c r="QE815" s="27" t="s">
        <v>8</v>
      </c>
      <c r="QF815" s="27" t="s">
        <v>7</v>
      </c>
      <c r="QG815" s="27" t="s">
        <v>8</v>
      </c>
      <c r="QN815" s="27" t="s">
        <v>7</v>
      </c>
      <c r="QV815" s="27" t="s">
        <v>7</v>
      </c>
      <c r="QW815" s="27" t="s">
        <v>8</v>
      </c>
      <c r="RB815" s="27" t="s">
        <v>7</v>
      </c>
      <c r="RC815" s="27" t="s">
        <v>8</v>
      </c>
      <c r="RD815" s="27" t="s">
        <v>7</v>
      </c>
      <c r="RI815" s="27" t="s">
        <v>8</v>
      </c>
      <c r="RJ815" s="27" t="s">
        <v>7</v>
      </c>
      <c r="RK815" s="27" t="s">
        <v>8</v>
      </c>
      <c r="SN815" s="27" t="s">
        <v>7</v>
      </c>
      <c r="TA815" s="27" t="s">
        <v>8</v>
      </c>
      <c r="TB815" s="27" t="s">
        <v>7</v>
      </c>
    </row>
    <row r="816" spans="1:522" x14ac:dyDescent="0.25">
      <c r="A816" s="7">
        <v>1.0729035110735436E-2</v>
      </c>
      <c r="B816"/>
      <c r="C816"/>
      <c r="D816"/>
      <c r="E816"/>
      <c r="F816" s="27" t="s">
        <v>7</v>
      </c>
      <c r="MK816" s="27" t="s">
        <v>8</v>
      </c>
      <c r="ML816" s="27" t="s">
        <v>7</v>
      </c>
      <c r="MM816" s="27" t="s">
        <v>8</v>
      </c>
      <c r="MX816" s="27" t="s">
        <v>7</v>
      </c>
      <c r="MY816" s="27" t="s">
        <v>8</v>
      </c>
      <c r="OF816" s="27" t="s">
        <v>7</v>
      </c>
      <c r="OG816" s="27" t="s">
        <v>8</v>
      </c>
      <c r="OP816" s="27" t="s">
        <v>7</v>
      </c>
      <c r="OQ816" s="27" t="s">
        <v>8</v>
      </c>
      <c r="OT816" s="27" t="s">
        <v>7</v>
      </c>
      <c r="OU816" s="27" t="s">
        <v>8</v>
      </c>
      <c r="OV816" s="27" t="s">
        <v>7</v>
      </c>
      <c r="OW816" s="27" t="s">
        <v>8</v>
      </c>
      <c r="OY816" s="27" t="s">
        <v>8</v>
      </c>
      <c r="OZ816" s="27" t="s">
        <v>7</v>
      </c>
      <c r="PE816" s="27" t="s">
        <v>8</v>
      </c>
      <c r="PF816" s="27" t="s">
        <v>7</v>
      </c>
      <c r="PG816" s="27" t="s">
        <v>8</v>
      </c>
      <c r="PH816" s="27" t="s">
        <v>7</v>
      </c>
      <c r="QE816" s="27" t="s">
        <v>8</v>
      </c>
      <c r="QF816" s="27" t="s">
        <v>7</v>
      </c>
      <c r="QG816" s="27" t="s">
        <v>8</v>
      </c>
      <c r="QV816" s="27" t="s">
        <v>7</v>
      </c>
      <c r="QW816" s="27" t="s">
        <v>8</v>
      </c>
      <c r="RB816" s="27" t="s">
        <v>7</v>
      </c>
      <c r="RC816" s="27" t="s">
        <v>8</v>
      </c>
      <c r="RD816" s="27" t="s">
        <v>7</v>
      </c>
      <c r="RI816" s="27" t="s">
        <v>8</v>
      </c>
      <c r="RJ816" s="27" t="s">
        <v>7</v>
      </c>
      <c r="RK816" s="27" t="s">
        <v>8</v>
      </c>
      <c r="SN816" s="27" t="s">
        <v>7</v>
      </c>
      <c r="TA816" s="27" t="s">
        <v>8</v>
      </c>
      <c r="TB816" s="27" t="s">
        <v>7</v>
      </c>
    </row>
    <row r="817" spans="1:528" x14ac:dyDescent="0.25">
      <c r="A817" s="7">
        <v>1.0518661873270036E-2</v>
      </c>
      <c r="B817"/>
      <c r="C817"/>
      <c r="D817"/>
      <c r="E817"/>
      <c r="F817" s="27" t="s">
        <v>7</v>
      </c>
      <c r="MK817" s="27" t="s">
        <v>8</v>
      </c>
      <c r="ML817" s="27" t="s">
        <v>7</v>
      </c>
      <c r="MM817" s="27" t="s">
        <v>8</v>
      </c>
      <c r="MX817" s="27" t="s">
        <v>7</v>
      </c>
      <c r="MY817" s="27" t="s">
        <v>8</v>
      </c>
      <c r="OF817" s="27" t="s">
        <v>7</v>
      </c>
      <c r="OG817" s="27" t="s">
        <v>8</v>
      </c>
      <c r="OP817" s="27" t="s">
        <v>7</v>
      </c>
      <c r="OQ817" s="27" t="s">
        <v>8</v>
      </c>
      <c r="OT817" s="27" t="s">
        <v>7</v>
      </c>
      <c r="OU817" s="27" t="s">
        <v>8</v>
      </c>
      <c r="OV817" s="27" t="s">
        <v>7</v>
      </c>
      <c r="OW817" s="27" t="s">
        <v>8</v>
      </c>
      <c r="OX817" s="27" t="s">
        <v>7</v>
      </c>
      <c r="OY817" s="27" t="s">
        <v>8</v>
      </c>
      <c r="OZ817" s="27" t="s">
        <v>7</v>
      </c>
      <c r="PC817" s="27" t="s">
        <v>8</v>
      </c>
      <c r="PE817" s="27" t="s">
        <v>8</v>
      </c>
      <c r="PF817" s="27" t="s">
        <v>7</v>
      </c>
      <c r="PG817" s="27" t="s">
        <v>8</v>
      </c>
      <c r="PH817" s="27" t="s">
        <v>7</v>
      </c>
      <c r="QE817" s="27" t="s">
        <v>8</v>
      </c>
      <c r="QF817" s="27" t="s">
        <v>7</v>
      </c>
      <c r="QG817" s="27" t="s">
        <v>8</v>
      </c>
      <c r="QV817" s="27" t="s">
        <v>7</v>
      </c>
      <c r="QW817" s="27" t="s">
        <v>8</v>
      </c>
      <c r="RB817" s="27" t="s">
        <v>7</v>
      </c>
      <c r="RC817" s="27" t="s">
        <v>8</v>
      </c>
      <c r="RD817" s="27" t="s">
        <v>7</v>
      </c>
      <c r="RI817" s="27" t="s">
        <v>8</v>
      </c>
      <c r="RJ817" s="27" t="s">
        <v>7</v>
      </c>
      <c r="RK817" s="27" t="s">
        <v>8</v>
      </c>
      <c r="SN817" s="27" t="s">
        <v>7</v>
      </c>
      <c r="SO817" s="27" t="s">
        <v>8</v>
      </c>
      <c r="SQ817" s="27" t="s">
        <v>8</v>
      </c>
      <c r="TA817" s="27" t="s">
        <v>8</v>
      </c>
      <c r="TB817" s="27" t="s">
        <v>7</v>
      </c>
    </row>
    <row r="818" spans="1:528" x14ac:dyDescent="0.25">
      <c r="A818" s="7">
        <v>1.0312413601245135E-2</v>
      </c>
      <c r="B818"/>
      <c r="C818"/>
      <c r="D818"/>
      <c r="E818"/>
      <c r="F818" s="27" t="s">
        <v>7</v>
      </c>
      <c r="MK818" s="27" t="s">
        <v>8</v>
      </c>
      <c r="ML818" s="27" t="s">
        <v>7</v>
      </c>
      <c r="MM818" s="27" t="s">
        <v>8</v>
      </c>
      <c r="MX818" s="27" t="s">
        <v>7</v>
      </c>
      <c r="MY818" s="27" t="s">
        <v>8</v>
      </c>
      <c r="OF818" s="27" t="s">
        <v>7</v>
      </c>
      <c r="OG818" s="27" t="s">
        <v>8</v>
      </c>
      <c r="OP818" s="27" t="s">
        <v>7</v>
      </c>
      <c r="OQ818" s="27" t="s">
        <v>8</v>
      </c>
      <c r="OT818" s="27" t="s">
        <v>7</v>
      </c>
      <c r="OU818" s="27" t="s">
        <v>8</v>
      </c>
      <c r="OV818" s="27" t="s">
        <v>7</v>
      </c>
      <c r="OW818" s="27" t="s">
        <v>8</v>
      </c>
      <c r="OX818" s="27" t="s">
        <v>7</v>
      </c>
      <c r="OY818" s="27" t="s">
        <v>8</v>
      </c>
      <c r="OZ818" s="27" t="s">
        <v>7</v>
      </c>
      <c r="PC818" s="27" t="s">
        <v>8</v>
      </c>
      <c r="PD818" s="27" t="s">
        <v>7</v>
      </c>
      <c r="PE818" s="27" t="s">
        <v>8</v>
      </c>
      <c r="PF818" s="27" t="s">
        <v>7</v>
      </c>
      <c r="PG818" s="27" t="s">
        <v>8</v>
      </c>
      <c r="PH818" s="27" t="s">
        <v>7</v>
      </c>
      <c r="QE818" s="27" t="s">
        <v>8</v>
      </c>
      <c r="QF818" s="27" t="s">
        <v>7</v>
      </c>
      <c r="QG818" s="27" t="s">
        <v>8</v>
      </c>
      <c r="QV818" s="27" t="s">
        <v>7</v>
      </c>
      <c r="QW818" s="27" t="s">
        <v>8</v>
      </c>
      <c r="RB818" s="27" t="s">
        <v>7</v>
      </c>
      <c r="RC818" s="27" t="s">
        <v>8</v>
      </c>
      <c r="RD818" s="27" t="s">
        <v>7</v>
      </c>
      <c r="RE818" s="27" t="s">
        <v>8</v>
      </c>
      <c r="RG818" s="27" t="s">
        <v>8</v>
      </c>
      <c r="RI818" s="27" t="s">
        <v>8</v>
      </c>
      <c r="RJ818" s="27" t="s">
        <v>7</v>
      </c>
      <c r="RK818" s="27" t="s">
        <v>8</v>
      </c>
      <c r="SN818" s="27" t="s">
        <v>7</v>
      </c>
      <c r="SO818" s="27" t="s">
        <v>8</v>
      </c>
      <c r="SP818" s="27" t="s">
        <v>7</v>
      </c>
      <c r="SQ818" s="27" t="s">
        <v>8</v>
      </c>
      <c r="SR818" s="27" t="s">
        <v>7</v>
      </c>
      <c r="TA818" s="27" t="s">
        <v>8</v>
      </c>
      <c r="TB818" s="27" t="s">
        <v>7</v>
      </c>
    </row>
    <row r="819" spans="1:528" x14ac:dyDescent="0.25">
      <c r="A819" s="7">
        <v>1.0110209412985426E-2</v>
      </c>
      <c r="B819"/>
      <c r="C819"/>
      <c r="D819"/>
      <c r="E819"/>
      <c r="F819" s="27" t="s">
        <v>7</v>
      </c>
      <c r="MK819" s="27" t="s">
        <v>8</v>
      </c>
      <c r="ML819" s="27" t="s">
        <v>7</v>
      </c>
      <c r="MM819" s="27" t="s">
        <v>8</v>
      </c>
      <c r="MX819" s="27" t="s">
        <v>7</v>
      </c>
      <c r="MY819" s="27" t="s">
        <v>8</v>
      </c>
      <c r="OF819" s="27" t="s">
        <v>7</v>
      </c>
      <c r="OG819" s="27" t="s">
        <v>8</v>
      </c>
      <c r="OP819" s="27" t="s">
        <v>7</v>
      </c>
      <c r="OT819" s="27" t="s">
        <v>7</v>
      </c>
      <c r="OU819" s="27" t="s">
        <v>8</v>
      </c>
      <c r="OV819" s="27" t="s">
        <v>7</v>
      </c>
      <c r="OW819" s="27" t="s">
        <v>8</v>
      </c>
      <c r="OX819" s="27" t="s">
        <v>7</v>
      </c>
      <c r="OY819" s="27" t="s">
        <v>8</v>
      </c>
      <c r="OZ819" s="27" t="s">
        <v>7</v>
      </c>
      <c r="PC819" s="27" t="s">
        <v>8</v>
      </c>
      <c r="PD819" s="27" t="s">
        <v>7</v>
      </c>
      <c r="PE819" s="27" t="s">
        <v>8</v>
      </c>
      <c r="PF819" s="27" t="s">
        <v>7</v>
      </c>
      <c r="PG819" s="27" t="s">
        <v>8</v>
      </c>
      <c r="PH819" s="27" t="s">
        <v>7</v>
      </c>
      <c r="QE819" s="27" t="s">
        <v>8</v>
      </c>
      <c r="QF819" s="27" t="s">
        <v>7</v>
      </c>
      <c r="QG819" s="27" t="s">
        <v>8</v>
      </c>
      <c r="QV819" s="27" t="s">
        <v>7</v>
      </c>
      <c r="QW819" s="27" t="s">
        <v>8</v>
      </c>
      <c r="RB819" s="27" t="s">
        <v>7</v>
      </c>
      <c r="RC819" s="27" t="s">
        <v>8</v>
      </c>
      <c r="RD819" s="27" t="s">
        <v>7</v>
      </c>
      <c r="RE819" s="27" t="s">
        <v>8</v>
      </c>
      <c r="RF819" s="27" t="s">
        <v>7</v>
      </c>
      <c r="RG819" s="27" t="s">
        <v>8</v>
      </c>
      <c r="RH819" s="27" t="s">
        <v>7</v>
      </c>
      <c r="RI819" s="27" t="s">
        <v>8</v>
      </c>
      <c r="RJ819" s="27" t="s">
        <v>7</v>
      </c>
      <c r="SN819" s="27" t="s">
        <v>7</v>
      </c>
      <c r="SO819" s="27" t="s">
        <v>8</v>
      </c>
      <c r="SP819" s="27" t="s">
        <v>7</v>
      </c>
      <c r="SQ819" s="27" t="s">
        <v>8</v>
      </c>
      <c r="SR819" s="27" t="s">
        <v>7</v>
      </c>
      <c r="TA819" s="27" t="s">
        <v>8</v>
      </c>
      <c r="TB819" s="27" t="s">
        <v>7</v>
      </c>
    </row>
    <row r="820" spans="1:528" x14ac:dyDescent="0.25">
      <c r="A820" s="7">
        <v>9.9119700127308103E-3</v>
      </c>
      <c r="B820"/>
      <c r="C820"/>
      <c r="D820"/>
      <c r="E820"/>
      <c r="F820" s="27" t="s">
        <v>7</v>
      </c>
      <c r="MK820" s="27" t="s">
        <v>8</v>
      </c>
      <c r="ML820" s="27" t="s">
        <v>7</v>
      </c>
      <c r="MM820" s="27" t="s">
        <v>8</v>
      </c>
      <c r="MX820" s="27" t="s">
        <v>7</v>
      </c>
      <c r="MY820" s="27" t="s">
        <v>8</v>
      </c>
      <c r="OF820" s="27" t="s">
        <v>7</v>
      </c>
      <c r="OG820" s="27" t="s">
        <v>8</v>
      </c>
      <c r="OT820" s="27" t="s">
        <v>7</v>
      </c>
      <c r="OU820" s="27" t="s">
        <v>8</v>
      </c>
      <c r="OV820" s="27" t="s">
        <v>7</v>
      </c>
      <c r="OW820" s="27" t="s">
        <v>8</v>
      </c>
      <c r="OX820" s="27" t="s">
        <v>7</v>
      </c>
      <c r="OY820" s="27" t="s">
        <v>8</v>
      </c>
      <c r="OZ820" s="27" t="s">
        <v>7</v>
      </c>
      <c r="PC820" s="27" t="s">
        <v>8</v>
      </c>
      <c r="PD820" s="27" t="s">
        <v>7</v>
      </c>
      <c r="PE820" s="27" t="s">
        <v>8</v>
      </c>
      <c r="PF820" s="27" t="s">
        <v>7</v>
      </c>
      <c r="PG820" s="27" t="s">
        <v>8</v>
      </c>
      <c r="PH820" s="27" t="s">
        <v>7</v>
      </c>
      <c r="QE820" s="27" t="s">
        <v>8</v>
      </c>
      <c r="QF820" s="27" t="s">
        <v>7</v>
      </c>
      <c r="QG820" s="27" t="s">
        <v>8</v>
      </c>
      <c r="QV820" s="27" t="s">
        <v>7</v>
      </c>
      <c r="QW820" s="27" t="s">
        <v>8</v>
      </c>
      <c r="RB820" s="27" t="s">
        <v>7</v>
      </c>
      <c r="RD820" s="27" t="s">
        <v>7</v>
      </c>
      <c r="RE820" s="27" t="s">
        <v>8</v>
      </c>
      <c r="RF820" s="27" t="s">
        <v>7</v>
      </c>
      <c r="RG820" s="27" t="s">
        <v>8</v>
      </c>
      <c r="RH820" s="27" t="s">
        <v>7</v>
      </c>
      <c r="RI820" s="27" t="s">
        <v>8</v>
      </c>
      <c r="SN820" s="27" t="s">
        <v>7</v>
      </c>
      <c r="SO820" s="27" t="s">
        <v>8</v>
      </c>
      <c r="SP820" s="27" t="s">
        <v>7</v>
      </c>
      <c r="SQ820" s="27" t="s">
        <v>8</v>
      </c>
      <c r="SR820" s="27" t="s">
        <v>7</v>
      </c>
      <c r="SS820" s="27" t="s">
        <v>8</v>
      </c>
      <c r="SY820" s="27" t="s">
        <v>8</v>
      </c>
      <c r="TA820" s="27" t="s">
        <v>8</v>
      </c>
      <c r="TB820" s="27" t="s">
        <v>7</v>
      </c>
    </row>
    <row r="821" spans="1:528" x14ac:dyDescent="0.25">
      <c r="A821" s="7">
        <v>9.717617659540009E-3</v>
      </c>
      <c r="B821"/>
      <c r="C821"/>
      <c r="D821"/>
      <c r="E821"/>
      <c r="F821" s="27" t="s">
        <v>7</v>
      </c>
      <c r="MK821" s="27" t="s">
        <v>8</v>
      </c>
      <c r="ML821" s="27" t="s">
        <v>7</v>
      </c>
      <c r="MM821" s="27" t="s">
        <v>8</v>
      </c>
      <c r="MX821" s="27" t="s">
        <v>7</v>
      </c>
      <c r="MY821" s="27" t="s">
        <v>8</v>
      </c>
      <c r="OF821" s="27" t="s">
        <v>7</v>
      </c>
      <c r="OT821" s="27" t="s">
        <v>7</v>
      </c>
      <c r="OU821" s="27" t="s">
        <v>8</v>
      </c>
      <c r="OV821" s="27" t="s">
        <v>7</v>
      </c>
      <c r="OW821" s="27" t="s">
        <v>8</v>
      </c>
      <c r="OX821" s="27" t="s">
        <v>7</v>
      </c>
      <c r="OZ821" s="27" t="s">
        <v>7</v>
      </c>
      <c r="PC821" s="27" t="s">
        <v>8</v>
      </c>
      <c r="PD821" s="27" t="s">
        <v>7</v>
      </c>
      <c r="PE821" s="27" t="s">
        <v>8</v>
      </c>
      <c r="PF821" s="27" t="s">
        <v>7</v>
      </c>
      <c r="PG821" s="27" t="s">
        <v>8</v>
      </c>
      <c r="PH821" s="27" t="s">
        <v>7</v>
      </c>
      <c r="PS821" s="27" t="s">
        <v>8</v>
      </c>
      <c r="QE821" s="27" t="s">
        <v>8</v>
      </c>
      <c r="QF821" s="27" t="s">
        <v>7</v>
      </c>
      <c r="QG821" s="27" t="s">
        <v>8</v>
      </c>
      <c r="QV821" s="27" t="s">
        <v>7</v>
      </c>
      <c r="QW821" s="27" t="s">
        <v>8</v>
      </c>
      <c r="RD821" s="27" t="s">
        <v>7</v>
      </c>
      <c r="RE821" s="27" t="s">
        <v>8</v>
      </c>
      <c r="RF821" s="27" t="s">
        <v>7</v>
      </c>
      <c r="RG821" s="27" t="s">
        <v>8</v>
      </c>
      <c r="RH821" s="27" t="s">
        <v>7</v>
      </c>
      <c r="RI821" s="27" t="s">
        <v>8</v>
      </c>
      <c r="SN821" s="27" t="s">
        <v>7</v>
      </c>
      <c r="SO821" s="27" t="s">
        <v>8</v>
      </c>
      <c r="SP821" s="27" t="s">
        <v>7</v>
      </c>
      <c r="SQ821" s="27" t="s">
        <v>8</v>
      </c>
      <c r="SR821" s="27" t="s">
        <v>7</v>
      </c>
      <c r="SS821" s="27" t="s">
        <v>8</v>
      </c>
      <c r="ST821" s="27" t="s">
        <v>7</v>
      </c>
      <c r="SY821" s="27" t="s">
        <v>8</v>
      </c>
      <c r="SZ821" s="27" t="s">
        <v>7</v>
      </c>
      <c r="TA821" s="27" t="s">
        <v>8</v>
      </c>
      <c r="TB821" s="27" t="s">
        <v>7</v>
      </c>
    </row>
    <row r="822" spans="1:528" x14ac:dyDescent="0.25">
      <c r="A822" s="7">
        <v>9.5270761368039299E-3</v>
      </c>
      <c r="B822"/>
      <c r="C822"/>
      <c r="D822"/>
      <c r="E822"/>
      <c r="F822" s="27" t="s">
        <v>7</v>
      </c>
      <c r="MK822" s="27" t="s">
        <v>8</v>
      </c>
      <c r="ML822" s="27" t="s">
        <v>7</v>
      </c>
      <c r="MM822" s="27" t="s">
        <v>8</v>
      </c>
      <c r="MX822" s="27" t="s">
        <v>7</v>
      </c>
      <c r="MY822" s="27" t="s">
        <v>8</v>
      </c>
      <c r="OT822" s="27" t="s">
        <v>7</v>
      </c>
      <c r="OU822" s="27" t="s">
        <v>8</v>
      </c>
      <c r="OV822" s="27" t="s">
        <v>7</v>
      </c>
      <c r="OW822" s="27" t="s">
        <v>8</v>
      </c>
      <c r="OZ822" s="27" t="s">
        <v>7</v>
      </c>
      <c r="PA822" s="27" t="s">
        <v>8</v>
      </c>
      <c r="PC822" s="27" t="s">
        <v>8</v>
      </c>
      <c r="PD822" s="27" t="s">
        <v>7</v>
      </c>
      <c r="PE822" s="27" t="s">
        <v>8</v>
      </c>
      <c r="PF822" s="27" t="s">
        <v>7</v>
      </c>
      <c r="PG822" s="27" t="s">
        <v>8</v>
      </c>
      <c r="PH822" s="27" t="s">
        <v>7</v>
      </c>
      <c r="PS822" s="27" t="s">
        <v>8</v>
      </c>
      <c r="PT822" s="27" t="s">
        <v>7</v>
      </c>
      <c r="QE822" s="27" t="s">
        <v>8</v>
      </c>
      <c r="QF822" s="27" t="s">
        <v>7</v>
      </c>
      <c r="QG822" s="27" t="s">
        <v>8</v>
      </c>
      <c r="QV822" s="27" t="s">
        <v>7</v>
      </c>
      <c r="QW822" s="27" t="s">
        <v>8</v>
      </c>
      <c r="RD822" s="27" t="s">
        <v>7</v>
      </c>
      <c r="RF822" s="27" t="s">
        <v>7</v>
      </c>
      <c r="RH822" s="27" t="s">
        <v>7</v>
      </c>
      <c r="RI822" s="27" t="s">
        <v>8</v>
      </c>
      <c r="SN822" s="27" t="s">
        <v>7</v>
      </c>
      <c r="SO822" s="27" t="s">
        <v>8</v>
      </c>
      <c r="SP822" s="27" t="s">
        <v>7</v>
      </c>
      <c r="SQ822" s="27" t="s">
        <v>8</v>
      </c>
      <c r="SR822" s="27" t="s">
        <v>7</v>
      </c>
      <c r="SS822" s="27" t="s">
        <v>8</v>
      </c>
      <c r="ST822" s="27" t="s">
        <v>7</v>
      </c>
      <c r="SY822" s="27" t="s">
        <v>8</v>
      </c>
      <c r="SZ822" s="27" t="s">
        <v>7</v>
      </c>
      <c r="TA822" s="27" t="s">
        <v>8</v>
      </c>
      <c r="TB822" s="27" t="s">
        <v>7</v>
      </c>
    </row>
    <row r="823" spans="1:528" x14ac:dyDescent="0.25">
      <c r="A823" s="7">
        <v>9.3402707223567936E-3</v>
      </c>
      <c r="B823"/>
      <c r="C823"/>
      <c r="D823"/>
      <c r="E823"/>
      <c r="F823" s="27" t="s">
        <v>7</v>
      </c>
      <c r="MK823" s="27" t="s">
        <v>8</v>
      </c>
      <c r="ML823" s="27" t="s">
        <v>7</v>
      </c>
      <c r="MX823" s="27" t="s">
        <v>7</v>
      </c>
      <c r="OT823" s="27" t="s">
        <v>7</v>
      </c>
      <c r="OU823" s="27" t="s">
        <v>8</v>
      </c>
      <c r="OV823" s="27" t="s">
        <v>7</v>
      </c>
      <c r="OW823" s="27" t="s">
        <v>8</v>
      </c>
      <c r="OZ823" s="27" t="s">
        <v>7</v>
      </c>
      <c r="PA823" s="27" t="s">
        <v>8</v>
      </c>
      <c r="PB823" s="27" t="s">
        <v>7</v>
      </c>
      <c r="PC823" s="27" t="s">
        <v>8</v>
      </c>
      <c r="PD823" s="27" t="s">
        <v>7</v>
      </c>
      <c r="PE823" s="27" t="s">
        <v>8</v>
      </c>
      <c r="PF823" s="27" t="s">
        <v>7</v>
      </c>
      <c r="PG823" s="27" t="s">
        <v>8</v>
      </c>
      <c r="PH823" s="27" t="s">
        <v>7</v>
      </c>
      <c r="PS823" s="27" t="s">
        <v>8</v>
      </c>
      <c r="PT823" s="27" t="s">
        <v>7</v>
      </c>
      <c r="QE823" s="27" t="s">
        <v>8</v>
      </c>
      <c r="QF823" s="27" t="s">
        <v>7</v>
      </c>
      <c r="QG823" s="27" t="s">
        <v>8</v>
      </c>
      <c r="QV823" s="27" t="s">
        <v>7</v>
      </c>
      <c r="QW823" s="27" t="s">
        <v>8</v>
      </c>
      <c r="RH823" s="27" t="s">
        <v>7</v>
      </c>
      <c r="RI823" s="27" t="s">
        <v>8</v>
      </c>
      <c r="SN823" s="27" t="s">
        <v>7</v>
      </c>
      <c r="SO823" s="27" t="s">
        <v>8</v>
      </c>
      <c r="SP823" s="27" t="s">
        <v>7</v>
      </c>
      <c r="SQ823" s="27" t="s">
        <v>8</v>
      </c>
      <c r="SR823" s="27" t="s">
        <v>7</v>
      </c>
      <c r="SS823" s="27" t="s">
        <v>8</v>
      </c>
      <c r="ST823" s="27" t="s">
        <v>7</v>
      </c>
      <c r="SY823" s="27" t="s">
        <v>8</v>
      </c>
      <c r="SZ823" s="27" t="s">
        <v>7</v>
      </c>
      <c r="TA823" s="27" t="s">
        <v>8</v>
      </c>
      <c r="TB823" s="27" t="s">
        <v>7</v>
      </c>
    </row>
    <row r="824" spans="1:528" x14ac:dyDescent="0.25">
      <c r="A824" s="7">
        <v>9.1571281591733261E-3</v>
      </c>
      <c r="B824"/>
      <c r="C824"/>
      <c r="D824"/>
      <c r="E824"/>
      <c r="F824" s="27" t="s">
        <v>7</v>
      </c>
      <c r="MK824" s="27" t="s">
        <v>8</v>
      </c>
      <c r="OT824" s="27" t="s">
        <v>7</v>
      </c>
      <c r="OU824" s="27" t="s">
        <v>8</v>
      </c>
      <c r="OV824" s="27" t="s">
        <v>7</v>
      </c>
      <c r="OW824" s="27" t="s">
        <v>8</v>
      </c>
      <c r="OZ824" s="27" t="s">
        <v>7</v>
      </c>
      <c r="PA824" s="27" t="s">
        <v>8</v>
      </c>
      <c r="PB824" s="27" t="s">
        <v>7</v>
      </c>
      <c r="PC824" s="27" t="s">
        <v>8</v>
      </c>
      <c r="PD824" s="27" t="s">
        <v>7</v>
      </c>
      <c r="PE824" s="27" t="s">
        <v>8</v>
      </c>
      <c r="PF824" s="27" t="s">
        <v>7</v>
      </c>
      <c r="PG824" s="27" t="s">
        <v>8</v>
      </c>
      <c r="PH824" s="27" t="s">
        <v>7</v>
      </c>
      <c r="PQ824" s="27" t="s">
        <v>8</v>
      </c>
      <c r="PS824" s="27" t="s">
        <v>8</v>
      </c>
      <c r="PT824" s="27" t="s">
        <v>7</v>
      </c>
      <c r="QC824" s="27" t="s">
        <v>8</v>
      </c>
      <c r="QE824" s="27" t="s">
        <v>8</v>
      </c>
      <c r="QF824" s="27" t="s">
        <v>7</v>
      </c>
      <c r="QG824" s="27" t="s">
        <v>8</v>
      </c>
      <c r="QV824" s="27" t="s">
        <v>7</v>
      </c>
      <c r="RH824" s="27" t="s">
        <v>7</v>
      </c>
      <c r="RI824" s="27" t="s">
        <v>8</v>
      </c>
      <c r="SN824" s="27" t="s">
        <v>7</v>
      </c>
      <c r="SO824" s="27" t="s">
        <v>8</v>
      </c>
      <c r="SP824" s="27" t="s">
        <v>7</v>
      </c>
      <c r="SQ824" s="27" t="s">
        <v>8</v>
      </c>
      <c r="SR824" s="27" t="s">
        <v>7</v>
      </c>
      <c r="SS824" s="27" t="s">
        <v>8</v>
      </c>
      <c r="ST824" s="27" t="s">
        <v>7</v>
      </c>
      <c r="SY824" s="27" t="s">
        <v>8</v>
      </c>
      <c r="SZ824" s="27" t="s">
        <v>7</v>
      </c>
      <c r="TA824" s="27" t="s">
        <v>8</v>
      </c>
      <c r="TB824" s="27" t="s">
        <v>7</v>
      </c>
    </row>
    <row r="825" spans="1:528" x14ac:dyDescent="0.25">
      <c r="A825" s="7">
        <v>8.9775766266405148E-3</v>
      </c>
      <c r="B825"/>
      <c r="C825"/>
      <c r="D825"/>
      <c r="E825"/>
      <c r="F825" s="27" t="s">
        <v>7</v>
      </c>
      <c r="MI825" s="27" t="s">
        <v>8</v>
      </c>
      <c r="MK825" s="27" t="s">
        <v>8</v>
      </c>
      <c r="OT825" s="27" t="s">
        <v>7</v>
      </c>
      <c r="OU825" s="27" t="s">
        <v>8</v>
      </c>
      <c r="OV825" s="27" t="s">
        <v>7</v>
      </c>
      <c r="OW825" s="27" t="s">
        <v>8</v>
      </c>
      <c r="OZ825" s="27" t="s">
        <v>7</v>
      </c>
      <c r="PA825" s="27" t="s">
        <v>8</v>
      </c>
      <c r="PB825" s="27" t="s">
        <v>7</v>
      </c>
      <c r="PD825" s="27" t="s">
        <v>7</v>
      </c>
      <c r="PF825" s="27" t="s">
        <v>7</v>
      </c>
      <c r="PG825" s="27" t="s">
        <v>8</v>
      </c>
      <c r="PH825" s="27" t="s">
        <v>7</v>
      </c>
      <c r="PI825" s="27" t="s">
        <v>8</v>
      </c>
      <c r="PQ825" s="27" t="s">
        <v>8</v>
      </c>
      <c r="PR825" s="27" t="s">
        <v>7</v>
      </c>
      <c r="PS825" s="27" t="s">
        <v>8</v>
      </c>
      <c r="PT825" s="27" t="s">
        <v>7</v>
      </c>
      <c r="QC825" s="27" t="s">
        <v>8</v>
      </c>
      <c r="QD825" s="27" t="s">
        <v>7</v>
      </c>
      <c r="QE825" s="27" t="s">
        <v>8</v>
      </c>
      <c r="QF825" s="27" t="s">
        <v>7</v>
      </c>
      <c r="RH825" s="27" t="s">
        <v>7</v>
      </c>
      <c r="SN825" s="27" t="s">
        <v>7</v>
      </c>
      <c r="SO825" s="27" t="s">
        <v>8</v>
      </c>
      <c r="SP825" s="27" t="s">
        <v>7</v>
      </c>
      <c r="SQ825" s="27" t="s">
        <v>8</v>
      </c>
      <c r="SR825" s="27" t="s">
        <v>7</v>
      </c>
      <c r="SS825" s="27" t="s">
        <v>8</v>
      </c>
      <c r="ST825" s="27" t="s">
        <v>7</v>
      </c>
      <c r="SU825" s="27" t="s">
        <v>8</v>
      </c>
      <c r="SW825" s="27" t="s">
        <v>8</v>
      </c>
      <c r="SY825" s="27" t="s">
        <v>8</v>
      </c>
      <c r="SZ825" s="27" t="s">
        <v>7</v>
      </c>
      <c r="TA825" s="27" t="s">
        <v>8</v>
      </c>
      <c r="TB825" s="27" t="s">
        <v>7</v>
      </c>
    </row>
    <row r="826" spans="1:528" x14ac:dyDescent="0.25">
      <c r="A826" s="7">
        <v>8.8015457123926614E-3</v>
      </c>
      <c r="B826"/>
      <c r="C826"/>
      <c r="D826"/>
      <c r="E826"/>
      <c r="F826" s="27" t="s">
        <v>7</v>
      </c>
      <c r="MI826" s="27" t="s">
        <v>8</v>
      </c>
      <c r="MJ826" s="27" t="s">
        <v>7</v>
      </c>
      <c r="MK826" s="27" t="s">
        <v>8</v>
      </c>
      <c r="OT826" s="27" t="s">
        <v>7</v>
      </c>
      <c r="OU826" s="27" t="s">
        <v>8</v>
      </c>
      <c r="OV826" s="27" t="s">
        <v>7</v>
      </c>
      <c r="OW826" s="27" t="s">
        <v>8</v>
      </c>
      <c r="OZ826" s="27" t="s">
        <v>7</v>
      </c>
      <c r="PA826" s="27" t="s">
        <v>8</v>
      </c>
      <c r="PF826" s="27" t="s">
        <v>7</v>
      </c>
      <c r="PG826" s="27" t="s">
        <v>8</v>
      </c>
      <c r="PH826" s="27" t="s">
        <v>7</v>
      </c>
      <c r="PI826" s="27" t="s">
        <v>8</v>
      </c>
      <c r="PJ826" s="27" t="s">
        <v>7</v>
      </c>
      <c r="PQ826" s="27" t="s">
        <v>8</v>
      </c>
      <c r="PR826" s="27" t="s">
        <v>7</v>
      </c>
      <c r="PS826" s="27" t="s">
        <v>8</v>
      </c>
      <c r="PT826" s="27" t="s">
        <v>7</v>
      </c>
      <c r="QC826" s="27" t="s">
        <v>8</v>
      </c>
      <c r="QD826" s="27" t="s">
        <v>7</v>
      </c>
      <c r="QE826" s="27" t="s">
        <v>8</v>
      </c>
      <c r="SN826" s="27" t="s">
        <v>7</v>
      </c>
      <c r="SO826" s="27" t="s">
        <v>8</v>
      </c>
      <c r="SP826" s="27" t="s">
        <v>7</v>
      </c>
      <c r="SQ826" s="27" t="s">
        <v>8</v>
      </c>
      <c r="SR826" s="27" t="s">
        <v>7</v>
      </c>
      <c r="ST826" s="27" t="s">
        <v>7</v>
      </c>
      <c r="SU826" s="27" t="s">
        <v>8</v>
      </c>
      <c r="SV826" s="27" t="s">
        <v>7</v>
      </c>
      <c r="SW826" s="27" t="s">
        <v>8</v>
      </c>
      <c r="SX826" s="27" t="s">
        <v>7</v>
      </c>
      <c r="SY826" s="27" t="s">
        <v>8</v>
      </c>
      <c r="SZ826" s="27" t="s">
        <v>7</v>
      </c>
      <c r="TA826" s="27" t="s">
        <v>8</v>
      </c>
      <c r="TB826" s="27" t="s">
        <v>7</v>
      </c>
      <c r="TE826" s="27" t="s">
        <v>8</v>
      </c>
    </row>
    <row r="827" spans="1:528" x14ac:dyDescent="0.25">
      <c r="A827" s="7">
        <v>8.6289663846986879E-3</v>
      </c>
      <c r="B827"/>
      <c r="C827"/>
      <c r="D827"/>
      <c r="E827"/>
      <c r="F827" s="27" t="s">
        <v>7</v>
      </c>
      <c r="MI827" s="27" t="s">
        <v>8</v>
      </c>
      <c r="MJ827" s="27" t="s">
        <v>7</v>
      </c>
      <c r="MK827" s="27" t="s">
        <v>8</v>
      </c>
      <c r="OT827" s="27" t="s">
        <v>7</v>
      </c>
      <c r="OU827" s="27" t="s">
        <v>8</v>
      </c>
      <c r="OV827" s="27" t="s">
        <v>7</v>
      </c>
      <c r="OW827" s="27" t="s">
        <v>8</v>
      </c>
      <c r="OZ827" s="27" t="s">
        <v>7</v>
      </c>
      <c r="PF827" s="27" t="s">
        <v>7</v>
      </c>
      <c r="PG827" s="27" t="s">
        <v>8</v>
      </c>
      <c r="PH827" s="27" t="s">
        <v>7</v>
      </c>
      <c r="PI827" s="27" t="s">
        <v>8</v>
      </c>
      <c r="PJ827" s="27" t="s">
        <v>7</v>
      </c>
      <c r="PK827" s="27" t="s">
        <v>8</v>
      </c>
      <c r="PQ827" s="27" t="s">
        <v>8</v>
      </c>
      <c r="PR827" s="27" t="s">
        <v>7</v>
      </c>
      <c r="PS827" s="27" t="s">
        <v>8</v>
      </c>
      <c r="PT827" s="27" t="s">
        <v>7</v>
      </c>
      <c r="PW827" s="27" t="s">
        <v>8</v>
      </c>
      <c r="QC827" s="27" t="s">
        <v>8</v>
      </c>
      <c r="QD827" s="27" t="s">
        <v>7</v>
      </c>
      <c r="QE827" s="27" t="s">
        <v>8</v>
      </c>
      <c r="SN827" s="27" t="s">
        <v>7</v>
      </c>
      <c r="SO827" s="27" t="s">
        <v>8</v>
      </c>
      <c r="SP827" s="27" t="s">
        <v>7</v>
      </c>
      <c r="SQ827" s="27" t="s">
        <v>8</v>
      </c>
      <c r="ST827" s="27" t="s">
        <v>7</v>
      </c>
      <c r="SU827" s="27" t="s">
        <v>8</v>
      </c>
      <c r="SV827" s="27" t="s">
        <v>7</v>
      </c>
      <c r="SW827" s="27" t="s">
        <v>8</v>
      </c>
      <c r="SX827" s="27" t="s">
        <v>7</v>
      </c>
      <c r="SY827" s="27" t="s">
        <v>8</v>
      </c>
      <c r="SZ827" s="27" t="s">
        <v>7</v>
      </c>
      <c r="TA827" s="27" t="s">
        <v>8</v>
      </c>
      <c r="TB827" s="27" t="s">
        <v>7</v>
      </c>
      <c r="TE827" s="27" t="s">
        <v>8</v>
      </c>
      <c r="TF827" s="27" t="s">
        <v>7</v>
      </c>
    </row>
    <row r="828" spans="1:528" x14ac:dyDescent="0.25">
      <c r="A828" s="7">
        <v>8.4597709653908715E-3</v>
      </c>
      <c r="B828"/>
      <c r="C828"/>
      <c r="D828"/>
      <c r="E828"/>
      <c r="F828" s="27" t="s">
        <v>7</v>
      </c>
      <c r="MI828" s="27" t="s">
        <v>8</v>
      </c>
      <c r="MJ828" s="27" t="s">
        <v>7</v>
      </c>
      <c r="MK828" s="27" t="s">
        <v>8</v>
      </c>
      <c r="OT828" s="27" t="s">
        <v>7</v>
      </c>
      <c r="OU828" s="27" t="s">
        <v>8</v>
      </c>
      <c r="OV828" s="27" t="s">
        <v>7</v>
      </c>
      <c r="OW828" s="27" t="s">
        <v>8</v>
      </c>
      <c r="PF828" s="27" t="s">
        <v>7</v>
      </c>
      <c r="PG828" s="27" t="s">
        <v>8</v>
      </c>
      <c r="PH828" s="27" t="s">
        <v>7</v>
      </c>
      <c r="PI828" s="27" t="s">
        <v>8</v>
      </c>
      <c r="PJ828" s="27" t="s">
        <v>7</v>
      </c>
      <c r="PK828" s="27" t="s">
        <v>8</v>
      </c>
      <c r="PL828" s="27" t="s">
        <v>7</v>
      </c>
      <c r="PQ828" s="27" t="s">
        <v>8</v>
      </c>
      <c r="PR828" s="27" t="s">
        <v>7</v>
      </c>
      <c r="PS828" s="27" t="s">
        <v>8</v>
      </c>
      <c r="PT828" s="27" t="s">
        <v>7</v>
      </c>
      <c r="PW828" s="27" t="s">
        <v>8</v>
      </c>
      <c r="PX828" s="27" t="s">
        <v>7</v>
      </c>
      <c r="PY828" s="18" t="s">
        <v>8</v>
      </c>
      <c r="QC828" s="27" t="s">
        <v>8</v>
      </c>
      <c r="QD828" s="27" t="s">
        <v>7</v>
      </c>
      <c r="QE828" s="27" t="s">
        <v>8</v>
      </c>
      <c r="SN828" s="27" t="s">
        <v>7</v>
      </c>
      <c r="SP828" s="27" t="s">
        <v>7</v>
      </c>
      <c r="ST828" s="27" t="s">
        <v>7</v>
      </c>
      <c r="SU828" s="27" t="s">
        <v>8</v>
      </c>
      <c r="SV828" s="27" t="s">
        <v>7</v>
      </c>
      <c r="SX828" s="27" t="s">
        <v>7</v>
      </c>
      <c r="SY828" s="27" t="s">
        <v>8</v>
      </c>
      <c r="SZ828" s="27" t="s">
        <v>7</v>
      </c>
      <c r="TA828" s="27" t="s">
        <v>8</v>
      </c>
      <c r="TB828" s="27" t="s">
        <v>7</v>
      </c>
      <c r="TE828" s="27" t="s">
        <v>8</v>
      </c>
      <c r="TF828" s="27" t="s">
        <v>7</v>
      </c>
    </row>
    <row r="829" spans="1:528" x14ac:dyDescent="0.25">
      <c r="A829" s="7">
        <v>8.2938931033243839E-3</v>
      </c>
      <c r="B829"/>
      <c r="C829"/>
      <c r="D829"/>
      <c r="E829"/>
      <c r="F829" s="27" t="s">
        <v>7</v>
      </c>
      <c r="MG829" s="27" t="s">
        <v>8</v>
      </c>
      <c r="MI829" s="27" t="s">
        <v>8</v>
      </c>
      <c r="MJ829" s="27" t="s">
        <v>7</v>
      </c>
      <c r="MK829" s="27" t="s">
        <v>8</v>
      </c>
      <c r="OT829" s="27" t="s">
        <v>7</v>
      </c>
      <c r="OU829" s="27" t="s">
        <v>8</v>
      </c>
      <c r="OV829" s="27" t="s">
        <v>7</v>
      </c>
      <c r="OW829" s="27" t="s">
        <v>8</v>
      </c>
      <c r="PF829" s="27" t="s">
        <v>7</v>
      </c>
      <c r="PG829" s="27" t="s">
        <v>8</v>
      </c>
      <c r="PH829" s="27" t="s">
        <v>7</v>
      </c>
      <c r="PI829" s="27" t="s">
        <v>8</v>
      </c>
      <c r="PJ829" s="27" t="s">
        <v>7</v>
      </c>
      <c r="PK829" s="27" t="s">
        <v>8</v>
      </c>
      <c r="PL829" s="27" t="s">
        <v>7</v>
      </c>
      <c r="PQ829" s="27" t="s">
        <v>8</v>
      </c>
      <c r="PR829" s="27" t="s">
        <v>7</v>
      </c>
      <c r="PS829" s="27" t="s">
        <v>8</v>
      </c>
      <c r="PT829" s="27" t="s">
        <v>7</v>
      </c>
      <c r="PU829" s="27" t="s">
        <v>8</v>
      </c>
      <c r="PW829" s="27" t="s">
        <v>8</v>
      </c>
      <c r="PX829" s="27" t="s">
        <v>7</v>
      </c>
      <c r="PY829" s="27" t="s">
        <v>8</v>
      </c>
      <c r="PZ829" s="27" t="s">
        <v>7</v>
      </c>
      <c r="QA829" s="27" t="s">
        <v>8</v>
      </c>
      <c r="QC829" s="27" t="s">
        <v>8</v>
      </c>
      <c r="QD829" s="27" t="s">
        <v>7</v>
      </c>
      <c r="QE829" s="27" t="s">
        <v>8</v>
      </c>
      <c r="ST829" s="27" t="s">
        <v>7</v>
      </c>
      <c r="SU829" s="27" t="s">
        <v>8</v>
      </c>
      <c r="SX829" s="27" t="s">
        <v>7</v>
      </c>
      <c r="SY829" s="27" t="s">
        <v>8</v>
      </c>
      <c r="SZ829" s="27" t="s">
        <v>7</v>
      </c>
      <c r="TB829" s="27" t="s">
        <v>7</v>
      </c>
      <c r="TE829" s="27" t="s">
        <v>8</v>
      </c>
      <c r="TF829" s="27" t="s">
        <v>7</v>
      </c>
      <c r="TG829" s="27" t="s">
        <v>8</v>
      </c>
    </row>
    <row r="830" spans="1:528" x14ac:dyDescent="0.25">
      <c r="A830" s="7">
        <v>8.1312677483572383E-3</v>
      </c>
      <c r="B830"/>
      <c r="C830"/>
      <c r="D830"/>
      <c r="E830"/>
      <c r="F830" s="27" t="s">
        <v>7</v>
      </c>
      <c r="MG830" s="27" t="s">
        <v>8</v>
      </c>
      <c r="MH830" s="27" t="s">
        <v>7</v>
      </c>
      <c r="MI830" s="27" t="s">
        <v>8</v>
      </c>
      <c r="MJ830" s="27" t="s">
        <v>7</v>
      </c>
      <c r="MK830" s="27" t="s">
        <v>8</v>
      </c>
      <c r="OT830" s="27" t="s">
        <v>7</v>
      </c>
      <c r="OU830" s="27" t="s">
        <v>8</v>
      </c>
      <c r="OV830" s="27" t="s">
        <v>7</v>
      </c>
      <c r="OW830" s="27" t="s">
        <v>8</v>
      </c>
      <c r="PF830" s="27" t="s">
        <v>7</v>
      </c>
      <c r="PG830" s="27" t="s">
        <v>8</v>
      </c>
      <c r="PH830" s="27" t="s">
        <v>7</v>
      </c>
      <c r="PI830" s="27" t="s">
        <v>8</v>
      </c>
      <c r="PJ830" s="27" t="s">
        <v>7</v>
      </c>
      <c r="PK830" s="27" t="s">
        <v>8</v>
      </c>
      <c r="PL830" s="27" t="s">
        <v>7</v>
      </c>
      <c r="PQ830" s="27" t="s">
        <v>8</v>
      </c>
      <c r="PR830" s="27" t="s">
        <v>7</v>
      </c>
      <c r="PS830" s="27" t="s">
        <v>8</v>
      </c>
      <c r="PT830" s="27" t="s">
        <v>7</v>
      </c>
      <c r="PU830" s="27" t="s">
        <v>8</v>
      </c>
      <c r="PV830" s="27" t="s">
        <v>7</v>
      </c>
      <c r="PW830" s="27" t="s">
        <v>8</v>
      </c>
      <c r="PX830" s="27" t="s">
        <v>7</v>
      </c>
      <c r="PY830" s="27" t="s">
        <v>8</v>
      </c>
      <c r="PZ830" s="27" t="s">
        <v>7</v>
      </c>
      <c r="QA830" s="27" t="s">
        <v>8</v>
      </c>
      <c r="QB830" s="27" t="s">
        <v>7</v>
      </c>
      <c r="QC830" s="27" t="s">
        <v>8</v>
      </c>
      <c r="QD830" s="27" t="s">
        <v>7</v>
      </c>
      <c r="ST830" s="27" t="s">
        <v>7</v>
      </c>
      <c r="SU830" s="27" t="s">
        <v>8</v>
      </c>
      <c r="SX830" s="27" t="s">
        <v>7</v>
      </c>
      <c r="TB830" s="27" t="s">
        <v>7</v>
      </c>
      <c r="TC830" s="27" t="s">
        <v>8</v>
      </c>
      <c r="TE830" s="27" t="s">
        <v>8</v>
      </c>
      <c r="TF830" s="27" t="s">
        <v>7</v>
      </c>
      <c r="TG830" s="27" t="s">
        <v>8</v>
      </c>
      <c r="TH830" s="27" t="s">
        <v>7</v>
      </c>
    </row>
    <row r="831" spans="1:528" x14ac:dyDescent="0.25">
      <c r="A831" s="7">
        <v>7.9718311258404305E-3</v>
      </c>
      <c r="B831"/>
      <c r="C831"/>
      <c r="D831"/>
      <c r="E831"/>
      <c r="F831" s="27" t="s">
        <v>7</v>
      </c>
      <c r="MG831" s="27" t="s">
        <v>8</v>
      </c>
      <c r="MH831" s="27" t="s">
        <v>7</v>
      </c>
      <c r="MI831" s="27" t="s">
        <v>8</v>
      </c>
      <c r="MJ831" s="27" t="s">
        <v>7</v>
      </c>
      <c r="MK831" s="27" t="s">
        <v>8</v>
      </c>
      <c r="OT831" s="27" t="s">
        <v>7</v>
      </c>
      <c r="OU831" s="27" t="s">
        <v>8</v>
      </c>
      <c r="OV831" s="27" t="s">
        <v>7</v>
      </c>
      <c r="OW831" s="27" t="s">
        <v>8</v>
      </c>
      <c r="PF831" s="27" t="s">
        <v>7</v>
      </c>
      <c r="PG831" s="27" t="s">
        <v>8</v>
      </c>
      <c r="PH831" s="27" t="s">
        <v>7</v>
      </c>
      <c r="PJ831" s="27" t="s">
        <v>7</v>
      </c>
      <c r="PK831" s="27" t="s">
        <v>8</v>
      </c>
      <c r="PL831" s="27" t="s">
        <v>7</v>
      </c>
      <c r="PQ831" s="27" t="s">
        <v>8</v>
      </c>
      <c r="PR831" s="27" t="s">
        <v>7</v>
      </c>
      <c r="PT831" s="27" t="s">
        <v>7</v>
      </c>
      <c r="PU831" s="27" t="s">
        <v>8</v>
      </c>
      <c r="PV831" s="27" t="s">
        <v>7</v>
      </c>
      <c r="PW831" s="27" t="s">
        <v>8</v>
      </c>
      <c r="PX831" s="27" t="s">
        <v>7</v>
      </c>
      <c r="PY831" s="27" t="s">
        <v>8</v>
      </c>
      <c r="PZ831" s="27" t="s">
        <v>7</v>
      </c>
      <c r="QA831" s="27" t="s">
        <v>8</v>
      </c>
      <c r="QB831" s="27" t="s">
        <v>7</v>
      </c>
      <c r="QC831" s="27" t="s">
        <v>8</v>
      </c>
      <c r="ST831" s="27" t="s">
        <v>7</v>
      </c>
      <c r="TB831" s="27" t="s">
        <v>7</v>
      </c>
      <c r="TC831" s="27" t="s">
        <v>8</v>
      </c>
      <c r="TD831" s="27" t="s">
        <v>7</v>
      </c>
      <c r="TE831" s="27" t="s">
        <v>8</v>
      </c>
      <c r="TF831" s="27" t="s">
        <v>7</v>
      </c>
      <c r="TG831" s="27" t="s">
        <v>8</v>
      </c>
      <c r="TH831" s="27" t="s">
        <v>7</v>
      </c>
    </row>
    <row r="832" spans="1:528" x14ac:dyDescent="0.25">
      <c r="A832" s="7">
        <v>7.8155207116082648E-3</v>
      </c>
      <c r="B832"/>
      <c r="C832"/>
      <c r="D832"/>
      <c r="E832"/>
      <c r="F832" s="27" t="s">
        <v>7</v>
      </c>
      <c r="MG832" s="27" t="s">
        <v>8</v>
      </c>
      <c r="MH832" s="27" t="s">
        <v>7</v>
      </c>
      <c r="MI832" s="27" t="s">
        <v>8</v>
      </c>
      <c r="MJ832" s="27" t="s">
        <v>7</v>
      </c>
      <c r="MK832" s="27" t="s">
        <v>8</v>
      </c>
      <c r="OT832" s="27" t="s">
        <v>7</v>
      </c>
      <c r="OU832" s="27" t="s">
        <v>8</v>
      </c>
      <c r="OV832" s="27" t="s">
        <v>7</v>
      </c>
      <c r="OW832" s="27" t="s">
        <v>8</v>
      </c>
      <c r="PF832" s="27" t="s">
        <v>7</v>
      </c>
      <c r="PJ832" s="27" t="s">
        <v>7</v>
      </c>
      <c r="PK832" s="27" t="s">
        <v>8</v>
      </c>
      <c r="PL832" s="27" t="s">
        <v>7</v>
      </c>
      <c r="PQ832" s="27" t="s">
        <v>8</v>
      </c>
      <c r="PT832" s="27" t="s">
        <v>7</v>
      </c>
      <c r="PU832" s="27" t="s">
        <v>8</v>
      </c>
      <c r="PV832" s="27" t="s">
        <v>7</v>
      </c>
      <c r="PW832" s="27" t="s">
        <v>8</v>
      </c>
      <c r="PX832" s="27" t="s">
        <v>7</v>
      </c>
      <c r="PY832" s="27" t="s">
        <v>8</v>
      </c>
      <c r="PZ832" s="27" t="s">
        <v>7</v>
      </c>
      <c r="QA832" s="27" t="s">
        <v>8</v>
      </c>
      <c r="QB832" s="27" t="s">
        <v>7</v>
      </c>
      <c r="QC832" s="27" t="s">
        <v>8</v>
      </c>
      <c r="TB832" s="27" t="s">
        <v>7</v>
      </c>
      <c r="TC832" s="27" t="s">
        <v>8</v>
      </c>
      <c r="TD832" s="27" t="s">
        <v>7</v>
      </c>
      <c r="TE832" s="27" t="s">
        <v>8</v>
      </c>
      <c r="TF832" s="27" t="s">
        <v>7</v>
      </c>
      <c r="TH832" s="27" t="s">
        <v>7</v>
      </c>
    </row>
    <row r="833" spans="1:532" x14ac:dyDescent="0.25">
      <c r="A833" s="7">
        <v>7.6622752074590825E-3</v>
      </c>
      <c r="B833"/>
      <c r="C833"/>
      <c r="D833"/>
      <c r="E833"/>
      <c r="F833" s="27" t="s">
        <v>7</v>
      </c>
      <c r="MG833" s="27" t="s">
        <v>8</v>
      </c>
      <c r="MH833" s="27" t="s">
        <v>7</v>
      </c>
      <c r="MI833" s="27" t="s">
        <v>8</v>
      </c>
      <c r="MJ833" s="27" t="s">
        <v>7</v>
      </c>
      <c r="MK833" s="27" t="s">
        <v>8</v>
      </c>
      <c r="OT833" s="27" t="s">
        <v>7</v>
      </c>
      <c r="OV833" s="27" t="s">
        <v>7</v>
      </c>
      <c r="PJ833" s="27" t="s">
        <v>7</v>
      </c>
      <c r="PL833" s="27" t="s">
        <v>7</v>
      </c>
      <c r="PQ833" s="27" t="s">
        <v>8</v>
      </c>
      <c r="PT833" s="27" t="s">
        <v>7</v>
      </c>
      <c r="PU833" s="27" t="s">
        <v>8</v>
      </c>
      <c r="PV833" s="27" t="s">
        <v>7</v>
      </c>
      <c r="PX833" s="27" t="s">
        <v>7</v>
      </c>
      <c r="PY833" s="27" t="s">
        <v>8</v>
      </c>
      <c r="PZ833" s="27" t="s">
        <v>7</v>
      </c>
      <c r="QA833" s="27" t="s">
        <v>8</v>
      </c>
      <c r="QB833" s="27" t="s">
        <v>7</v>
      </c>
      <c r="QC833" s="27" t="s">
        <v>8</v>
      </c>
      <c r="TB833" s="27" t="s">
        <v>7</v>
      </c>
      <c r="TD833" s="27" t="s">
        <v>7</v>
      </c>
      <c r="TE833" s="27" t="s">
        <v>8</v>
      </c>
      <c r="TH833" s="27" t="s">
        <v>7</v>
      </c>
    </row>
    <row r="834" spans="1:532" x14ac:dyDescent="0.25">
      <c r="A834" s="7">
        <v>7.5120345171167469E-3</v>
      </c>
      <c r="B834"/>
      <c r="C834"/>
      <c r="D834"/>
      <c r="E834"/>
      <c r="F834" s="27" t="s">
        <v>7</v>
      </c>
      <c r="MG834" s="27" t="s">
        <v>8</v>
      </c>
      <c r="MH834" s="27" t="s">
        <v>7</v>
      </c>
      <c r="MI834" s="27" t="s">
        <v>8</v>
      </c>
      <c r="MJ834" s="27" t="s">
        <v>7</v>
      </c>
      <c r="MK834" s="27" t="s">
        <v>8</v>
      </c>
      <c r="PL834" s="27" t="s">
        <v>7</v>
      </c>
      <c r="PO834" s="27" t="s">
        <v>8</v>
      </c>
      <c r="PQ834" s="27" t="s">
        <v>8</v>
      </c>
      <c r="PT834" s="27" t="s">
        <v>7</v>
      </c>
      <c r="PU834" s="27" t="s">
        <v>8</v>
      </c>
      <c r="PX834" s="27" t="s">
        <v>7</v>
      </c>
      <c r="PY834" s="27" t="s">
        <v>8</v>
      </c>
      <c r="PZ834" s="27" t="s">
        <v>7</v>
      </c>
      <c r="QA834" s="27" t="s">
        <v>8</v>
      </c>
      <c r="QB834" s="27" t="s">
        <v>7</v>
      </c>
      <c r="TD834" s="27" t="s">
        <v>7</v>
      </c>
      <c r="TH834" s="27" t="s">
        <v>7</v>
      </c>
    </row>
    <row r="835" spans="1:532" x14ac:dyDescent="0.25">
      <c r="A835" s="7">
        <v>7.3647397226634772E-3</v>
      </c>
      <c r="B835"/>
      <c r="C835"/>
      <c r="D835"/>
      <c r="E835"/>
      <c r="F835" s="27" t="s">
        <v>7</v>
      </c>
      <c r="MG835" s="27" t="s">
        <v>8</v>
      </c>
      <c r="MH835" s="27" t="s">
        <v>7</v>
      </c>
      <c r="MI835" s="27" t="s">
        <v>8</v>
      </c>
      <c r="MJ835" s="27" t="s">
        <v>7</v>
      </c>
      <c r="MK835" s="27" t="s">
        <v>8</v>
      </c>
      <c r="PL835" s="27" t="s">
        <v>7</v>
      </c>
      <c r="PO835" s="27" t="s">
        <v>8</v>
      </c>
      <c r="PP835" s="27" t="s">
        <v>7</v>
      </c>
      <c r="PQ835" s="27" t="s">
        <v>8</v>
      </c>
      <c r="PT835" s="27" t="s">
        <v>7</v>
      </c>
      <c r="PU835" s="27" t="s">
        <v>8</v>
      </c>
      <c r="PX835" s="27" t="s">
        <v>7</v>
      </c>
      <c r="PY835" s="27" t="s">
        <v>8</v>
      </c>
      <c r="PZ835" s="27" t="s">
        <v>7</v>
      </c>
      <c r="QA835" s="27" t="s">
        <v>8</v>
      </c>
      <c r="TH835" s="27" t="s">
        <v>7</v>
      </c>
    </row>
    <row r="836" spans="1:532" x14ac:dyDescent="0.25">
      <c r="A836" s="7">
        <v>7.2203330614347815E-3</v>
      </c>
      <c r="B836"/>
      <c r="C836"/>
      <c r="D836"/>
      <c r="E836"/>
      <c r="F836" s="27" t="s">
        <v>7</v>
      </c>
      <c r="MG836" s="27" t="s">
        <v>8</v>
      </c>
      <c r="MH836" s="27" t="s">
        <v>7</v>
      </c>
      <c r="MI836" s="27" t="s">
        <v>8</v>
      </c>
      <c r="MJ836" s="27" t="s">
        <v>7</v>
      </c>
      <c r="MK836" s="27" t="s">
        <v>8</v>
      </c>
      <c r="PL836" s="27" t="s">
        <v>7</v>
      </c>
      <c r="PO836" s="27" t="s">
        <v>8</v>
      </c>
      <c r="PP836" s="27" t="s">
        <v>7</v>
      </c>
      <c r="PQ836" s="27" t="s">
        <v>8</v>
      </c>
      <c r="PT836" s="27" t="s">
        <v>7</v>
      </c>
      <c r="PX836" s="27" t="s">
        <v>7</v>
      </c>
      <c r="PY836" s="27" t="s">
        <v>8</v>
      </c>
      <c r="PZ836" s="27" t="s">
        <v>7</v>
      </c>
      <c r="QA836" s="27" t="s">
        <v>8</v>
      </c>
      <c r="TH836" s="27" t="s">
        <v>7</v>
      </c>
    </row>
    <row r="837" spans="1:532" x14ac:dyDescent="0.25">
      <c r="A837" s="7">
        <v>7.0787579033674327E-3</v>
      </c>
      <c r="B837"/>
      <c r="C837"/>
      <c r="D837"/>
      <c r="E837"/>
      <c r="F837" s="27" t="s">
        <v>7</v>
      </c>
      <c r="MG837" s="27" t="s">
        <v>8</v>
      </c>
      <c r="MH837" s="27" t="s">
        <v>7</v>
      </c>
      <c r="MI837" s="27" t="s">
        <v>8</v>
      </c>
      <c r="MJ837" s="27" t="s">
        <v>7</v>
      </c>
      <c r="MK837" s="27" t="s">
        <v>8</v>
      </c>
      <c r="PL837" s="27" t="s">
        <v>7</v>
      </c>
      <c r="PO837" s="27" t="s">
        <v>8</v>
      </c>
      <c r="PP837" s="27" t="s">
        <v>7</v>
      </c>
      <c r="PQ837" s="27" t="s">
        <v>8</v>
      </c>
      <c r="PX837" s="27" t="s">
        <v>7</v>
      </c>
      <c r="PY837" s="27" t="s">
        <v>8</v>
      </c>
      <c r="PZ837" s="27" t="s">
        <v>7</v>
      </c>
      <c r="QA837" s="27" t="s">
        <v>8</v>
      </c>
      <c r="TH837" s="27" t="s">
        <v>7</v>
      </c>
    </row>
    <row r="838" spans="1:532" x14ac:dyDescent="0.25">
      <c r="A838" s="7">
        <v>6.9399587287916013E-3</v>
      </c>
      <c r="B838"/>
      <c r="C838"/>
      <c r="D838"/>
      <c r="E838"/>
      <c r="F838" s="27" t="s">
        <v>7</v>
      </c>
      <c r="MG838" s="27" t="s">
        <v>8</v>
      </c>
      <c r="MH838" s="27" t="s">
        <v>7</v>
      </c>
      <c r="MI838" s="27" t="s">
        <v>8</v>
      </c>
      <c r="MJ838" s="27" t="s">
        <v>7</v>
      </c>
      <c r="MK838" s="27" t="s">
        <v>8</v>
      </c>
      <c r="PL838" s="27" t="s">
        <v>7</v>
      </c>
      <c r="PO838" s="27" t="s">
        <v>8</v>
      </c>
      <c r="PP838" s="27" t="s">
        <v>7</v>
      </c>
      <c r="PQ838" s="27" t="s">
        <v>8</v>
      </c>
      <c r="PX838" s="27" t="s">
        <v>7</v>
      </c>
      <c r="PY838" s="27" t="s">
        <v>8</v>
      </c>
      <c r="PZ838" s="27" t="s">
        <v>7</v>
      </c>
      <c r="QA838" s="27" t="s">
        <v>8</v>
      </c>
      <c r="TH838" s="27" t="s">
        <v>7</v>
      </c>
    </row>
    <row r="839" spans="1:532" x14ac:dyDescent="0.25">
      <c r="A839" s="7">
        <v>6.8038811066584333E-3</v>
      </c>
      <c r="B839"/>
      <c r="C839"/>
      <c r="D839"/>
      <c r="E839"/>
      <c r="F839" s="27" t="s">
        <v>7</v>
      </c>
      <c r="MG839" s="27" t="s">
        <v>8</v>
      </c>
      <c r="MH839" s="27" t="s">
        <v>7</v>
      </c>
      <c r="MI839" s="27" t="s">
        <v>8</v>
      </c>
      <c r="MJ839" s="27" t="s">
        <v>7</v>
      </c>
      <c r="MK839" s="27" t="s">
        <v>8</v>
      </c>
      <c r="PL839" s="27" t="s">
        <v>7</v>
      </c>
      <c r="PO839" s="27" t="s">
        <v>8</v>
      </c>
      <c r="PP839" s="27" t="s">
        <v>7</v>
      </c>
      <c r="PQ839" s="27" t="s">
        <v>8</v>
      </c>
      <c r="PX839" s="27" t="s">
        <v>7</v>
      </c>
      <c r="PY839" s="27" t="s">
        <v>8</v>
      </c>
      <c r="PZ839" s="27" t="s">
        <v>7</v>
      </c>
      <c r="QA839" s="27" t="s">
        <v>8</v>
      </c>
      <c r="TH839" s="27" t="s">
        <v>7</v>
      </c>
    </row>
    <row r="840" spans="1:532" x14ac:dyDescent="0.25">
      <c r="A840" s="7">
        <v>6.6704716731945425E-3</v>
      </c>
      <c r="B840"/>
      <c r="C840"/>
      <c r="D840"/>
      <c r="E840"/>
      <c r="F840" s="27" t="s">
        <v>7</v>
      </c>
      <c r="MG840" s="27" t="s">
        <v>8</v>
      </c>
      <c r="MH840" s="27" t="s">
        <v>7</v>
      </c>
      <c r="MI840" s="27" t="s">
        <v>8</v>
      </c>
      <c r="MJ840" s="27" t="s">
        <v>7</v>
      </c>
      <c r="MK840" s="27" t="s">
        <v>8</v>
      </c>
      <c r="PL840" s="27" t="s">
        <v>7</v>
      </c>
      <c r="PO840" s="27" t="s">
        <v>8</v>
      </c>
      <c r="PP840" s="27" t="s">
        <v>7</v>
      </c>
      <c r="PX840" s="27" t="s">
        <v>7</v>
      </c>
      <c r="PZ840" s="27" t="s">
        <v>7</v>
      </c>
      <c r="QA840" s="27" t="s">
        <v>8</v>
      </c>
      <c r="TH840" s="27" t="s">
        <v>7</v>
      </c>
    </row>
    <row r="841" spans="1:532" x14ac:dyDescent="0.25">
      <c r="A841" s="7">
        <v>6.5396781109750427E-3</v>
      </c>
      <c r="B841"/>
      <c r="C841"/>
      <c r="D841"/>
      <c r="E841"/>
      <c r="F841" s="27" t="s">
        <v>7</v>
      </c>
      <c r="MG841" s="27" t="s">
        <v>8</v>
      </c>
      <c r="MH841" s="27" t="s">
        <v>7</v>
      </c>
      <c r="MI841" s="27" t="s">
        <v>8</v>
      </c>
      <c r="MJ841" s="27" t="s">
        <v>7</v>
      </c>
      <c r="MK841" s="27" t="s">
        <v>8</v>
      </c>
      <c r="PL841" s="27" t="s">
        <v>7</v>
      </c>
      <c r="PO841" s="27" t="s">
        <v>8</v>
      </c>
      <c r="PZ841" s="27" t="s">
        <v>7</v>
      </c>
      <c r="QA841" s="27" t="s">
        <v>8</v>
      </c>
      <c r="TH841" s="27" t="s">
        <v>7</v>
      </c>
    </row>
    <row r="842" spans="1:532" x14ac:dyDescent="0.25">
      <c r="A842" s="7">
        <v>6.4114491284069045E-3</v>
      </c>
      <c r="B842"/>
      <c r="C842"/>
      <c r="D842"/>
      <c r="E842"/>
      <c r="F842" s="27" t="s">
        <v>7</v>
      </c>
      <c r="MG842" s="27" t="s">
        <v>8</v>
      </c>
      <c r="MH842" s="27" t="s">
        <v>7</v>
      </c>
      <c r="MI842" s="27" t="s">
        <v>8</v>
      </c>
      <c r="MJ842" s="27" t="s">
        <v>7</v>
      </c>
      <c r="MK842" s="27" t="s">
        <v>8</v>
      </c>
      <c r="PL842" s="27" t="s">
        <v>7</v>
      </c>
      <c r="PM842" s="27" t="s">
        <v>8</v>
      </c>
      <c r="PO842" s="27" t="s">
        <v>8</v>
      </c>
      <c r="PZ842" s="27" t="s">
        <v>7</v>
      </c>
      <c r="QA842" s="27" t="s">
        <v>8</v>
      </c>
      <c r="TH842" s="27" t="s">
        <v>7</v>
      </c>
    </row>
    <row r="843" spans="1:532" x14ac:dyDescent="0.25">
      <c r="A843" s="7">
        <v>6.2857344396146115E-3</v>
      </c>
      <c r="B843"/>
      <c r="C843"/>
      <c r="D843"/>
      <c r="E843"/>
      <c r="F843" s="27" t="s">
        <v>7</v>
      </c>
      <c r="MG843" s="27" t="s">
        <v>8</v>
      </c>
      <c r="MH843" s="27" t="s">
        <v>7</v>
      </c>
      <c r="MI843" s="27" t="s">
        <v>8</v>
      </c>
      <c r="MJ843" s="27" t="s">
        <v>7</v>
      </c>
      <c r="PL843" s="27" t="s">
        <v>7</v>
      </c>
      <c r="PM843" s="27" t="s">
        <v>8</v>
      </c>
      <c r="PN843" s="27" t="s">
        <v>7</v>
      </c>
      <c r="PO843" s="27" t="s">
        <v>8</v>
      </c>
      <c r="PZ843" s="27" t="s">
        <v>7</v>
      </c>
      <c r="QA843" s="27" t="s">
        <v>8</v>
      </c>
      <c r="TH843" s="27" t="s">
        <v>7</v>
      </c>
    </row>
    <row r="844" spans="1:532" x14ac:dyDescent="0.25">
      <c r="A844" s="7">
        <v>6.1624847447202076E-3</v>
      </c>
      <c r="B844"/>
      <c r="C844"/>
      <c r="D844"/>
      <c r="E844"/>
      <c r="F844" s="27" t="s">
        <v>7</v>
      </c>
      <c r="MG844" s="27" t="s">
        <v>8</v>
      </c>
      <c r="MH844" s="27" t="s">
        <v>7</v>
      </c>
      <c r="MI844" s="27" t="s">
        <v>8</v>
      </c>
      <c r="PL844" s="27" t="s">
        <v>7</v>
      </c>
      <c r="PM844" s="27" t="s">
        <v>8</v>
      </c>
      <c r="PN844" s="27" t="s">
        <v>7</v>
      </c>
      <c r="PO844" s="27" t="s">
        <v>8</v>
      </c>
      <c r="PZ844" s="27" t="s">
        <v>7</v>
      </c>
      <c r="TH844" s="27" t="s">
        <v>7</v>
      </c>
      <c r="TK844" s="27" t="s">
        <v>8</v>
      </c>
    </row>
    <row r="845" spans="1:532" x14ac:dyDescent="0.25">
      <c r="A845" s="7">
        <v>6.0416517105100079E-3</v>
      </c>
      <c r="B845"/>
      <c r="C845"/>
      <c r="D845"/>
      <c r="E845"/>
      <c r="F845" s="27" t="s">
        <v>7</v>
      </c>
      <c r="MG845" s="27" t="s">
        <v>8</v>
      </c>
      <c r="MH845" s="27" t="s">
        <v>7</v>
      </c>
      <c r="MI845" s="27" t="s">
        <v>8</v>
      </c>
      <c r="PL845" s="27" t="s">
        <v>7</v>
      </c>
      <c r="PM845" s="27" t="s">
        <v>8</v>
      </c>
      <c r="PN845" s="27" t="s">
        <v>7</v>
      </c>
      <c r="PO845" s="27" t="s">
        <v>8</v>
      </c>
      <c r="TH845" s="27" t="s">
        <v>7</v>
      </c>
      <c r="TK845" s="27" t="s">
        <v>8</v>
      </c>
      <c r="TL845" s="27" t="s">
        <v>7</v>
      </c>
    </row>
    <row r="846" spans="1:532" x14ac:dyDescent="0.25">
      <c r="A846" s="7">
        <v>5.9231879514803996E-3</v>
      </c>
      <c r="B846"/>
      <c r="C846"/>
      <c r="D846"/>
      <c r="E846"/>
      <c r="F846" s="27" t="s">
        <v>7</v>
      </c>
      <c r="MG846" s="27" t="s">
        <v>8</v>
      </c>
      <c r="MH846" s="27" t="s">
        <v>7</v>
      </c>
      <c r="PL846" s="27" t="s">
        <v>7</v>
      </c>
      <c r="PM846" s="27" t="s">
        <v>8</v>
      </c>
      <c r="PN846" s="27" t="s">
        <v>7</v>
      </c>
      <c r="PO846" s="27" t="s">
        <v>8</v>
      </c>
      <c r="TH846" s="27" t="s">
        <v>7</v>
      </c>
      <c r="TK846" s="27" t="s">
        <v>8</v>
      </c>
      <c r="TL846" s="27" t="s">
        <v>7</v>
      </c>
    </row>
    <row r="847" spans="1:532" x14ac:dyDescent="0.25">
      <c r="A847" s="7">
        <v>5.8070470112552936E-3</v>
      </c>
      <c r="B847"/>
      <c r="C847"/>
      <c r="D847"/>
      <c r="E847"/>
      <c r="F847" s="27" t="s">
        <v>7</v>
      </c>
      <c r="MG847" s="27" t="s">
        <v>8</v>
      </c>
      <c r="PL847" s="27" t="s">
        <v>7</v>
      </c>
      <c r="PM847" s="27" t="s">
        <v>8</v>
      </c>
      <c r="PN847" s="27" t="s">
        <v>7</v>
      </c>
      <c r="PO847" s="27" t="s">
        <v>8</v>
      </c>
      <c r="TH847" s="27" t="s">
        <v>7</v>
      </c>
      <c r="TK847" s="27" t="s">
        <v>8</v>
      </c>
      <c r="TL847" s="27" t="s">
        <v>7</v>
      </c>
    </row>
    <row r="848" spans="1:532" x14ac:dyDescent="0.25">
      <c r="A848" s="7">
        <v>5.6931833443679353E-3</v>
      </c>
      <c r="B848"/>
      <c r="C848"/>
      <c r="D848"/>
      <c r="E848"/>
      <c r="F848" s="27" t="s">
        <v>7</v>
      </c>
      <c r="MG848" s="27" t="s">
        <v>8</v>
      </c>
      <c r="PL848" s="27" t="s">
        <v>7</v>
      </c>
      <c r="PM848" s="27" t="s">
        <v>8</v>
      </c>
      <c r="PN848" s="27" t="s">
        <v>7</v>
      </c>
      <c r="PO848" s="27" t="s">
        <v>8</v>
      </c>
      <c r="TH848" s="27" t="s">
        <v>7</v>
      </c>
      <c r="TK848" s="27" t="s">
        <v>8</v>
      </c>
      <c r="TL848" s="27" t="s">
        <v>7</v>
      </c>
    </row>
    <row r="849" spans="1:532" x14ac:dyDescent="0.25">
      <c r="A849" s="7">
        <v>5.5815522983999367E-3</v>
      </c>
      <c r="B849"/>
      <c r="C849"/>
      <c r="D849"/>
      <c r="E849"/>
      <c r="F849" s="27" t="s">
        <v>7</v>
      </c>
      <c r="MG849" s="27" t="s">
        <v>8</v>
      </c>
      <c r="PL849" s="27" t="s">
        <v>7</v>
      </c>
      <c r="PM849" s="27" t="s">
        <v>8</v>
      </c>
      <c r="PN849" s="27" t="s">
        <v>7</v>
      </c>
      <c r="PO849" s="27" t="s">
        <v>8</v>
      </c>
      <c r="TH849" s="27" t="s">
        <v>7</v>
      </c>
      <c r="TK849" s="27" t="s">
        <v>8</v>
      </c>
      <c r="TL849" s="27" t="s">
        <v>7</v>
      </c>
    </row>
    <row r="850" spans="1:532" x14ac:dyDescent="0.25">
      <c r="A850" s="7">
        <v>5.4721100964705257E-3</v>
      </c>
      <c r="B850"/>
      <c r="C850"/>
      <c r="D850"/>
      <c r="E850"/>
      <c r="F850" s="27" t="s">
        <v>7</v>
      </c>
      <c r="MC850" s="27" t="s">
        <v>8</v>
      </c>
      <c r="ME850" s="27" t="s">
        <v>8</v>
      </c>
      <c r="MG850" s="27" t="s">
        <v>8</v>
      </c>
      <c r="PL850" s="27" t="s">
        <v>7</v>
      </c>
      <c r="PM850" s="27" t="s">
        <v>8</v>
      </c>
      <c r="PN850" s="27" t="s">
        <v>7</v>
      </c>
      <c r="PO850" s="27" t="s">
        <v>8</v>
      </c>
      <c r="TH850" s="27" t="s">
        <v>7</v>
      </c>
      <c r="TI850" s="27" t="s">
        <v>8</v>
      </c>
      <c r="TK850" s="27" t="s">
        <v>8</v>
      </c>
    </row>
    <row r="851" spans="1:532" x14ac:dyDescent="0.25">
      <c r="A851" s="7">
        <v>5.3648138200691423E-3</v>
      </c>
      <c r="B851"/>
      <c r="C851"/>
      <c r="D851"/>
      <c r="E851"/>
      <c r="F851" s="27" t="s">
        <v>7</v>
      </c>
      <c r="MC851" s="27" t="s">
        <v>8</v>
      </c>
      <c r="MD851" s="27" t="s">
        <v>7</v>
      </c>
      <c r="ME851" s="27" t="s">
        <v>8</v>
      </c>
      <c r="MF851" s="27" t="s">
        <v>7</v>
      </c>
      <c r="MG851" s="27" t="s">
        <v>8</v>
      </c>
      <c r="PL851" s="27" t="s">
        <v>7</v>
      </c>
      <c r="PM851" s="27" t="s">
        <v>8</v>
      </c>
      <c r="PN851" s="27" t="s">
        <v>7</v>
      </c>
      <c r="PO851" s="27" t="s">
        <v>8</v>
      </c>
      <c r="TH851" s="27" t="s">
        <v>7</v>
      </c>
      <c r="TI851" s="27" t="s">
        <v>8</v>
      </c>
      <c r="TJ851" s="27" t="s">
        <v>7</v>
      </c>
      <c r="TK851" s="27" t="s">
        <v>8</v>
      </c>
    </row>
    <row r="852" spans="1:532" x14ac:dyDescent="0.25">
      <c r="A852" s="7">
        <v>5.2596213922246494E-3</v>
      </c>
      <c r="B852"/>
      <c r="C852"/>
      <c r="D852"/>
      <c r="E852"/>
      <c r="F852" s="27" t="s">
        <v>7</v>
      </c>
      <c r="MC852" s="27" t="s">
        <v>8</v>
      </c>
      <c r="MD852" s="27" t="s">
        <v>7</v>
      </c>
      <c r="ME852" s="27" t="s">
        <v>8</v>
      </c>
      <c r="MF852" s="27" t="s">
        <v>7</v>
      </c>
      <c r="MG852" s="27" t="s">
        <v>8</v>
      </c>
      <c r="PL852" s="27" t="s">
        <v>7</v>
      </c>
      <c r="PM852" s="27" t="s">
        <v>8</v>
      </c>
      <c r="PN852" s="27" t="s">
        <v>7</v>
      </c>
      <c r="TH852" s="27" t="s">
        <v>7</v>
      </c>
      <c r="TI852" s="27" t="s">
        <v>8</v>
      </c>
      <c r="TJ852" s="27" t="s">
        <v>7</v>
      </c>
      <c r="TK852" s="27" t="s">
        <v>8</v>
      </c>
    </row>
    <row r="853" spans="1:532" x14ac:dyDescent="0.25">
      <c r="A853" s="7">
        <v>5.1564915610045588E-3</v>
      </c>
      <c r="B853"/>
      <c r="C853"/>
      <c r="D853"/>
      <c r="E853"/>
      <c r="F853" s="27" t="s">
        <v>7</v>
      </c>
      <c r="MC853" s="27" t="s">
        <v>8</v>
      </c>
      <c r="MD853" s="27" t="s">
        <v>7</v>
      </c>
      <c r="ME853" s="27" t="s">
        <v>8</v>
      </c>
      <c r="MF853" s="27" t="s">
        <v>7</v>
      </c>
      <c r="MG853" s="27" t="s">
        <v>8</v>
      </c>
      <c r="PL853" s="27" t="s">
        <v>7</v>
      </c>
      <c r="PM853" s="27" t="s">
        <v>8</v>
      </c>
      <c r="TH853" s="27" t="s">
        <v>7</v>
      </c>
      <c r="TI853" s="27" t="s">
        <v>8</v>
      </c>
      <c r="TJ853" s="27" t="s">
        <v>7</v>
      </c>
      <c r="TK853" s="27" t="s">
        <v>8</v>
      </c>
    </row>
    <row r="854" spans="1:532" x14ac:dyDescent="0.25">
      <c r="A854" s="7">
        <v>5.0553838833378023E-3</v>
      </c>
      <c r="B854"/>
      <c r="C854"/>
      <c r="D854"/>
      <c r="E854"/>
      <c r="F854" s="27" t="s">
        <v>7</v>
      </c>
      <c r="MC854" s="27" t="s">
        <v>8</v>
      </c>
      <c r="MD854" s="27" t="s">
        <v>7</v>
      </c>
      <c r="ME854" s="27" t="s">
        <v>8</v>
      </c>
      <c r="MF854" s="27" t="s">
        <v>7</v>
      </c>
      <c r="MG854" s="27" t="s">
        <v>8</v>
      </c>
      <c r="PL854" s="27" t="s">
        <v>7</v>
      </c>
      <c r="PM854" s="27" t="s">
        <v>8</v>
      </c>
      <c r="TH854" s="27" t="s">
        <v>7</v>
      </c>
      <c r="TI854" s="27" t="s">
        <v>8</v>
      </c>
      <c r="TJ854" s="27" t="s">
        <v>7</v>
      </c>
      <c r="TK854" s="27" t="s">
        <v>8</v>
      </c>
    </row>
    <row r="855" spans="1:532" x14ac:dyDescent="0.25">
      <c r="A855" s="7">
        <v>4.9562587091547079E-3</v>
      </c>
      <c r="B855"/>
      <c r="C855"/>
      <c r="D855"/>
      <c r="E855"/>
      <c r="F855" s="27" t="s">
        <v>7</v>
      </c>
      <c r="MC855" s="27" t="s">
        <v>8</v>
      </c>
      <c r="MD855" s="27" t="s">
        <v>7</v>
      </c>
      <c r="ME855" s="27" t="s">
        <v>8</v>
      </c>
      <c r="MF855" s="27" t="s">
        <v>7</v>
      </c>
      <c r="MG855" s="27" t="s">
        <v>8</v>
      </c>
      <c r="PL855" s="27" t="s">
        <v>7</v>
      </c>
      <c r="PM855" s="27" t="s">
        <v>8</v>
      </c>
      <c r="TH855" s="27" t="s">
        <v>7</v>
      </c>
      <c r="TI855" s="27" t="s">
        <v>8</v>
      </c>
      <c r="TJ855" s="27" t="s">
        <v>7</v>
      </c>
      <c r="TK855" s="27" t="s">
        <v>8</v>
      </c>
    </row>
    <row r="856" spans="1:532" x14ac:dyDescent="0.25">
      <c r="A856" s="7">
        <v>4.8590771658379491E-3</v>
      </c>
      <c r="B856"/>
      <c r="C856"/>
      <c r="D856"/>
      <c r="E856"/>
      <c r="F856" s="27" t="s">
        <v>7</v>
      </c>
      <c r="MC856" s="27" t="s">
        <v>8</v>
      </c>
      <c r="MD856" s="27" t="s">
        <v>7</v>
      </c>
      <c r="ME856" s="27" t="s">
        <v>8</v>
      </c>
      <c r="MF856" s="27" t="s">
        <v>7</v>
      </c>
      <c r="MG856" s="27" t="s">
        <v>8</v>
      </c>
      <c r="PL856" s="27" t="s">
        <v>7</v>
      </c>
      <c r="PM856" s="27" t="s">
        <v>8</v>
      </c>
      <c r="TH856" s="27" t="s">
        <v>7</v>
      </c>
      <c r="TJ856" s="27" t="s">
        <v>7</v>
      </c>
      <c r="TK856" s="27" t="s">
        <v>8</v>
      </c>
    </row>
    <row r="857" spans="1:532" x14ac:dyDescent="0.25">
      <c r="A857" s="7">
        <v>4.7638011429783815E-3</v>
      </c>
      <c r="B857"/>
      <c r="C857"/>
      <c r="D857"/>
      <c r="E857"/>
      <c r="F857" s="27" t="s">
        <v>7</v>
      </c>
      <c r="MC857" s="27" t="s">
        <v>8</v>
      </c>
      <c r="MD857" s="27" t="s">
        <v>7</v>
      </c>
      <c r="ME857" s="27" t="s">
        <v>8</v>
      </c>
      <c r="MF857" s="27" t="s">
        <v>7</v>
      </c>
      <c r="MG857" s="27" t="s">
        <v>8</v>
      </c>
      <c r="PL857" s="27" t="s">
        <v>7</v>
      </c>
      <c r="PM857" s="27" t="s">
        <v>8</v>
      </c>
      <c r="TJ857" s="27" t="s">
        <v>7</v>
      </c>
      <c r="TK857" s="27" t="s">
        <v>8</v>
      </c>
    </row>
    <row r="858" spans="1:532" x14ac:dyDescent="0.25">
      <c r="A858" s="7">
        <v>4.6703932774297859E-3</v>
      </c>
      <c r="B858"/>
      <c r="C858"/>
      <c r="D858"/>
      <c r="E858"/>
      <c r="F858" s="27" t="s">
        <v>7</v>
      </c>
      <c r="MC858" s="27" t="s">
        <v>8</v>
      </c>
      <c r="MD858" s="27" t="s">
        <v>7</v>
      </c>
      <c r="ME858" s="27" t="s">
        <v>8</v>
      </c>
      <c r="MF858" s="27" t="s">
        <v>7</v>
      </c>
      <c r="MG858" s="27" t="s">
        <v>8</v>
      </c>
      <c r="PL858" s="27" t="s">
        <v>7</v>
      </c>
      <c r="PM858" s="27" t="s">
        <v>8</v>
      </c>
      <c r="TJ858" s="27" t="s">
        <v>7</v>
      </c>
    </row>
    <row r="859" spans="1:532" x14ac:dyDescent="0.25">
      <c r="A859" s="7">
        <v>4.5788169386566527E-3</v>
      </c>
      <c r="B859"/>
      <c r="C859"/>
      <c r="D859"/>
      <c r="E859"/>
      <c r="F859" s="27" t="s">
        <v>7</v>
      </c>
      <c r="MC859" s="27" t="s">
        <v>8</v>
      </c>
      <c r="MD859" s="27" t="s">
        <v>7</v>
      </c>
      <c r="ME859" s="27" t="s">
        <v>8</v>
      </c>
      <c r="MF859" s="27" t="s">
        <v>7</v>
      </c>
      <c r="MG859" s="27" t="s">
        <v>8</v>
      </c>
      <c r="PL859" s="27" t="s">
        <v>7</v>
      </c>
    </row>
    <row r="860" spans="1:532" x14ac:dyDescent="0.25">
      <c r="A860" s="7">
        <v>4.4890362143692672E-3</v>
      </c>
      <c r="B860"/>
      <c r="C860"/>
      <c r="D860"/>
      <c r="E860"/>
      <c r="F860" s="27" t="s">
        <v>7</v>
      </c>
      <c r="MC860" s="27" t="s">
        <v>8</v>
      </c>
      <c r="MD860" s="27" t="s">
        <v>7</v>
      </c>
      <c r="ME860" s="27" t="s">
        <v>8</v>
      </c>
      <c r="MF860" s="27" t="s">
        <v>7</v>
      </c>
      <c r="MG860" s="27" t="s">
        <v>8</v>
      </c>
    </row>
    <row r="861" spans="1:532" x14ac:dyDescent="0.25">
      <c r="A861" s="7">
        <v>4.4010158964404578E-3</v>
      </c>
      <c r="B861"/>
      <c r="C861"/>
      <c r="D861"/>
      <c r="E861"/>
      <c r="F861" s="27" t="s">
        <v>7</v>
      </c>
      <c r="MC861" s="27" t="s">
        <v>8</v>
      </c>
      <c r="MD861" s="27" t="s">
        <v>7</v>
      </c>
      <c r="ME861" s="27" t="s">
        <v>8</v>
      </c>
      <c r="MF861" s="27" t="s">
        <v>7</v>
      </c>
      <c r="MG861" s="27" t="s">
        <v>8</v>
      </c>
    </row>
    <row r="862" spans="1:532" x14ac:dyDescent="0.25">
      <c r="A862" s="7">
        <v>4.314721467098488E-3</v>
      </c>
      <c r="B862"/>
      <c r="C862"/>
      <c r="D862"/>
      <c r="E862"/>
      <c r="F862" s="27" t="s">
        <v>7</v>
      </c>
      <c r="JI862" s="27" t="s">
        <v>8</v>
      </c>
      <c r="MC862" s="27" t="s">
        <v>8</v>
      </c>
      <c r="MD862" s="27" t="s">
        <v>7</v>
      </c>
      <c r="ME862" s="27" t="s">
        <v>8</v>
      </c>
      <c r="MF862" s="27" t="s">
        <v>7</v>
      </c>
      <c r="MG862" s="27" t="s">
        <v>8</v>
      </c>
    </row>
    <row r="863" spans="1:532" x14ac:dyDescent="0.25">
      <c r="A863" s="7">
        <v>4.2301190853906746E-3</v>
      </c>
      <c r="B863"/>
      <c r="C863"/>
      <c r="D863"/>
      <c r="E863"/>
      <c r="F863" s="27" t="s">
        <v>7</v>
      </c>
      <c r="JI863" s="27" t="s">
        <v>8</v>
      </c>
      <c r="JJ863" s="27" t="s">
        <v>7</v>
      </c>
      <c r="JQ863" s="27" t="s">
        <v>8</v>
      </c>
      <c r="MC863" s="27" t="s">
        <v>8</v>
      </c>
      <c r="MD863" s="27" t="s">
        <v>7</v>
      </c>
      <c r="ME863" s="27" t="s">
        <v>8</v>
      </c>
      <c r="MF863" s="27" t="s">
        <v>7</v>
      </c>
      <c r="MG863" s="27" t="s">
        <v>8</v>
      </c>
    </row>
    <row r="864" spans="1:532" x14ac:dyDescent="0.25">
      <c r="A864" s="7">
        <v>4.1471755739124266E-3</v>
      </c>
      <c r="B864"/>
      <c r="C864"/>
      <c r="D864"/>
      <c r="E864"/>
      <c r="F864" s="27" t="s">
        <v>7</v>
      </c>
      <c r="JI864" s="27" t="s">
        <v>8</v>
      </c>
      <c r="JJ864" s="27" t="s">
        <v>7</v>
      </c>
      <c r="JQ864" s="27" t="s">
        <v>8</v>
      </c>
      <c r="JR864" s="27" t="s">
        <v>7</v>
      </c>
      <c r="MC864" s="27" t="s">
        <v>8</v>
      </c>
      <c r="MD864" s="27" t="s">
        <v>7</v>
      </c>
      <c r="ME864" s="27" t="s">
        <v>8</v>
      </c>
      <c r="MF864" s="27" t="s">
        <v>7</v>
      </c>
      <c r="MG864" s="27" t="s">
        <v>8</v>
      </c>
    </row>
    <row r="865" spans="1:344" x14ac:dyDescent="0.25">
      <c r="A865" s="7">
        <v>4.0658584057964966E-3</v>
      </c>
      <c r="B865"/>
      <c r="C865"/>
      <c r="D865"/>
      <c r="E865"/>
      <c r="F865" s="27" t="s">
        <v>7</v>
      </c>
      <c r="JI865" s="27" t="s">
        <v>8</v>
      </c>
      <c r="JJ865" s="27" t="s">
        <v>7</v>
      </c>
      <c r="JQ865" s="27" t="s">
        <v>8</v>
      </c>
      <c r="JR865" s="27" t="s">
        <v>7</v>
      </c>
      <c r="MA865" s="27" t="s">
        <v>8</v>
      </c>
      <c r="MC865" s="27" t="s">
        <v>8</v>
      </c>
      <c r="MD865" s="27" t="s">
        <v>7</v>
      </c>
      <c r="ME865" s="27" t="s">
        <v>8</v>
      </c>
      <c r="MF865" s="27" t="s">
        <v>7</v>
      </c>
    </row>
    <row r="866" spans="1:344" x14ac:dyDescent="0.25">
      <c r="A866" s="7">
        <v>3.9861356919573491E-3</v>
      </c>
      <c r="B866"/>
      <c r="C866"/>
      <c r="D866"/>
      <c r="E866"/>
      <c r="F866" s="27" t="s">
        <v>7</v>
      </c>
      <c r="JI866" s="27" t="s">
        <v>8</v>
      </c>
      <c r="JJ866" s="27" t="s">
        <v>7</v>
      </c>
      <c r="JQ866" s="27" t="s">
        <v>8</v>
      </c>
      <c r="JR866" s="27" t="s">
        <v>7</v>
      </c>
      <c r="MA866" s="27" t="s">
        <v>8</v>
      </c>
      <c r="MB866" s="27" t="s">
        <v>7</v>
      </c>
      <c r="MC866" s="27" t="s">
        <v>8</v>
      </c>
      <c r="MD866" s="27" t="s">
        <v>7</v>
      </c>
      <c r="ME866" s="27" t="s">
        <v>8</v>
      </c>
    </row>
    <row r="867" spans="1:344" x14ac:dyDescent="0.25">
      <c r="A867" s="7">
        <v>3.9079761685856364E-3</v>
      </c>
      <c r="B867"/>
      <c r="C867"/>
      <c r="D867"/>
      <c r="E867"/>
      <c r="F867" s="27" t="s">
        <v>7</v>
      </c>
      <c r="JI867" s="27" t="s">
        <v>8</v>
      </c>
      <c r="JJ867" s="27" t="s">
        <v>7</v>
      </c>
      <c r="JQ867" s="27" t="s">
        <v>8</v>
      </c>
      <c r="JR867" s="27" t="s">
        <v>7</v>
      </c>
      <c r="MA867" s="27" t="s">
        <v>8</v>
      </c>
      <c r="MB867" s="27" t="s">
        <v>7</v>
      </c>
      <c r="MC867" s="27" t="s">
        <v>8</v>
      </c>
      <c r="MD867" s="27" t="s">
        <v>7</v>
      </c>
      <c r="ME867" s="27" t="s">
        <v>8</v>
      </c>
    </row>
    <row r="868" spans="1:344" x14ac:dyDescent="0.25">
      <c r="A868" s="7">
        <v>3.8313491848878793E-3</v>
      </c>
      <c r="B868"/>
      <c r="C868"/>
      <c r="D868"/>
      <c r="E868"/>
      <c r="F868" s="27" t="s">
        <v>7</v>
      </c>
      <c r="JI868" s="27" t="s">
        <v>8</v>
      </c>
      <c r="JJ868" s="27" t="s">
        <v>7</v>
      </c>
      <c r="JQ868" s="27" t="s">
        <v>8</v>
      </c>
      <c r="JR868" s="27" t="s">
        <v>7</v>
      </c>
      <c r="MA868" s="27" t="s">
        <v>8</v>
      </c>
      <c r="MB868" s="27" t="s">
        <v>7</v>
      </c>
      <c r="MC868" s="27" t="s">
        <v>8</v>
      </c>
      <c r="MD868" s="27" t="s">
        <v>7</v>
      </c>
      <c r="ME868" s="27" t="s">
        <v>8</v>
      </c>
    </row>
    <row r="869" spans="1:344" x14ac:dyDescent="0.25">
      <c r="A869" s="7">
        <v>3.7562246910665485E-3</v>
      </c>
      <c r="B869"/>
      <c r="C869"/>
      <c r="D869"/>
      <c r="E869"/>
      <c r="F869" s="27" t="s">
        <v>7</v>
      </c>
      <c r="JI869" s="27" t="s">
        <v>8</v>
      </c>
      <c r="JJ869" s="27" t="s">
        <v>7</v>
      </c>
      <c r="JQ869" s="27" t="s">
        <v>8</v>
      </c>
      <c r="JR869" s="27" t="s">
        <v>7</v>
      </c>
      <c r="MA869" s="27" t="s">
        <v>8</v>
      </c>
      <c r="MB869" s="27" t="s">
        <v>7</v>
      </c>
      <c r="MC869" s="27" t="s">
        <v>8</v>
      </c>
      <c r="MD869" s="27" t="s">
        <v>7</v>
      </c>
      <c r="ME869" s="27" t="s">
        <v>8</v>
      </c>
    </row>
    <row r="870" spans="1:344" x14ac:dyDescent="0.25">
      <c r="A870" s="7">
        <v>3.6825732265358315E-3</v>
      </c>
      <c r="B870"/>
      <c r="C870"/>
      <c r="D870"/>
      <c r="E870"/>
      <c r="F870" s="27" t="s">
        <v>7</v>
      </c>
      <c r="JI870" s="27" t="s">
        <v>8</v>
      </c>
      <c r="JJ870" s="27" t="s">
        <v>7</v>
      </c>
      <c r="JQ870" s="27" t="s">
        <v>8</v>
      </c>
      <c r="JR870" s="27" t="s">
        <v>7</v>
      </c>
      <c r="MA870" s="27" t="s">
        <v>8</v>
      </c>
      <c r="MB870" s="27" t="s">
        <v>7</v>
      </c>
      <c r="MC870" s="27" t="s">
        <v>8</v>
      </c>
      <c r="MD870" s="27" t="s">
        <v>7</v>
      </c>
      <c r="ME870" s="27" t="s">
        <v>8</v>
      </c>
    </row>
    <row r="871" spans="1:344" x14ac:dyDescent="0.25">
      <c r="A871" s="7">
        <v>3.6103659083684624E-3</v>
      </c>
      <c r="B871"/>
      <c r="C871"/>
      <c r="D871"/>
      <c r="E871"/>
      <c r="F871" s="27" t="s">
        <v>7</v>
      </c>
      <c r="JI871" s="27" t="s">
        <v>8</v>
      </c>
      <c r="JJ871" s="27" t="s">
        <v>7</v>
      </c>
      <c r="JQ871" s="27" t="s">
        <v>8</v>
      </c>
      <c r="JR871" s="27" t="s">
        <v>7</v>
      </c>
      <c r="MA871" s="27" t="s">
        <v>8</v>
      </c>
      <c r="MB871" s="27" t="s">
        <v>7</v>
      </c>
      <c r="MC871" s="27" t="s">
        <v>8</v>
      </c>
      <c r="MD871" s="27" t="s">
        <v>7</v>
      </c>
      <c r="ME871" s="27" t="s">
        <v>8</v>
      </c>
    </row>
    <row r="872" spans="1:344" x14ac:dyDescent="0.25">
      <c r="A872" s="7">
        <v>3.539574419969081E-3</v>
      </c>
      <c r="B872"/>
      <c r="C872"/>
      <c r="D872"/>
      <c r="E872"/>
      <c r="F872" s="27" t="s">
        <v>7</v>
      </c>
      <c r="JI872" s="27" t="s">
        <v>8</v>
      </c>
      <c r="JJ872" s="27" t="s">
        <v>7</v>
      </c>
      <c r="JQ872" s="27" t="s">
        <v>8</v>
      </c>
      <c r="JR872" s="27" t="s">
        <v>7</v>
      </c>
      <c r="MA872" s="27" t="s">
        <v>8</v>
      </c>
      <c r="MB872" s="27" t="s">
        <v>7</v>
      </c>
      <c r="MC872" s="27" t="s">
        <v>8</v>
      </c>
      <c r="MD872" s="27" t="s">
        <v>7</v>
      </c>
      <c r="ME872" s="27" t="s">
        <v>8</v>
      </c>
    </row>
    <row r="873" spans="1:344" x14ac:dyDescent="0.25">
      <c r="A873" s="7">
        <v>3.4701709999696872E-3</v>
      </c>
      <c r="B873"/>
      <c r="C873"/>
      <c r="D873"/>
      <c r="E873"/>
      <c r="F873" s="27" t="s">
        <v>7</v>
      </c>
      <c r="JI873" s="27" t="s">
        <v>8</v>
      </c>
      <c r="JJ873" s="27" t="s">
        <v>7</v>
      </c>
      <c r="JQ873" s="27" t="s">
        <v>8</v>
      </c>
      <c r="JR873" s="27" t="s">
        <v>7</v>
      </c>
      <c r="MA873" s="27" t="s">
        <v>8</v>
      </c>
      <c r="MB873" s="27" t="s">
        <v>7</v>
      </c>
      <c r="MC873" s="27" t="s">
        <v>8</v>
      </c>
      <c r="MD873" s="27" t="s">
        <v>7</v>
      </c>
      <c r="ME873" s="27" t="s">
        <v>8</v>
      </c>
    </row>
    <row r="874" spans="1:344" x14ac:dyDescent="0.25">
      <c r="A874" s="7">
        <v>3.4021284313428307E-3</v>
      </c>
      <c r="B874"/>
      <c r="C874"/>
      <c r="D874"/>
      <c r="E874"/>
      <c r="F874" s="27" t="s">
        <v>7</v>
      </c>
      <c r="JI874" s="27" t="s">
        <v>8</v>
      </c>
      <c r="JJ874" s="27" t="s">
        <v>7</v>
      </c>
      <c r="JK874" s="27" t="s">
        <v>8</v>
      </c>
      <c r="JM874" s="27" t="s">
        <v>8</v>
      </c>
      <c r="JQ874" s="27" t="s">
        <v>8</v>
      </c>
      <c r="JR874" s="27" t="s">
        <v>7</v>
      </c>
      <c r="JS874" s="27" t="s">
        <v>8</v>
      </c>
      <c r="MA874" s="27" t="s">
        <v>8</v>
      </c>
      <c r="MB874" s="27" t="s">
        <v>7</v>
      </c>
      <c r="MC874" s="27" t="s">
        <v>8</v>
      </c>
      <c r="MD874" s="27" t="s">
        <v>7</v>
      </c>
      <c r="ME874" s="27" t="s">
        <v>8</v>
      </c>
    </row>
    <row r="875" spans="1:344" x14ac:dyDescent="0.25">
      <c r="A875" s="7">
        <v>3.3354200307282654E-3</v>
      </c>
      <c r="B875"/>
      <c r="C875"/>
      <c r="D875"/>
      <c r="E875"/>
      <c r="F875" s="27" t="s">
        <v>7</v>
      </c>
      <c r="JI875" s="27" t="s">
        <v>8</v>
      </c>
      <c r="JJ875" s="27" t="s">
        <v>7</v>
      </c>
      <c r="JK875" s="27" t="s">
        <v>8</v>
      </c>
      <c r="JL875" s="27" t="s">
        <v>7</v>
      </c>
      <c r="JM875" s="27" t="s">
        <v>8</v>
      </c>
      <c r="JN875" s="27" t="s">
        <v>7</v>
      </c>
      <c r="JQ875" s="27" t="s">
        <v>8</v>
      </c>
      <c r="JR875" s="27" t="s">
        <v>7</v>
      </c>
      <c r="JS875" s="27" t="s">
        <v>8</v>
      </c>
      <c r="JT875" s="27" t="s">
        <v>7</v>
      </c>
      <c r="MA875" s="27" t="s">
        <v>8</v>
      </c>
      <c r="MB875" s="27" t="s">
        <v>7</v>
      </c>
      <c r="MD875" s="27" t="s">
        <v>7</v>
      </c>
      <c r="ME875" s="27" t="s">
        <v>8</v>
      </c>
    </row>
    <row r="876" spans="1:344" x14ac:dyDescent="0.25">
      <c r="A876" s="7">
        <v>3.2700196379688881E-3</v>
      </c>
      <c r="B876"/>
      <c r="C876"/>
      <c r="D876"/>
      <c r="E876"/>
      <c r="F876" s="27" t="s">
        <v>7</v>
      </c>
      <c r="IW876" s="27" t="s">
        <v>8</v>
      </c>
      <c r="JI876" s="27" t="s">
        <v>8</v>
      </c>
      <c r="JJ876" s="27" t="s">
        <v>7</v>
      </c>
      <c r="JK876" s="27" t="s">
        <v>8</v>
      </c>
      <c r="JL876" s="27" t="s">
        <v>7</v>
      </c>
      <c r="JM876" s="27" t="s">
        <v>8</v>
      </c>
      <c r="JN876" s="27" t="s">
        <v>7</v>
      </c>
      <c r="JQ876" s="27" t="s">
        <v>8</v>
      </c>
      <c r="JR876" s="27" t="s">
        <v>7</v>
      </c>
      <c r="JS876" s="27" t="s">
        <v>8</v>
      </c>
      <c r="JT876" s="27" t="s">
        <v>7</v>
      </c>
      <c r="MA876" s="27" t="s">
        <v>8</v>
      </c>
      <c r="MD876" s="27" t="s">
        <v>7</v>
      </c>
      <c r="ME876" s="27" t="s">
        <v>8</v>
      </c>
    </row>
    <row r="877" spans="1:344" x14ac:dyDescent="0.25">
      <c r="A877" s="7">
        <v>3.205901605851851E-3</v>
      </c>
      <c r="B877"/>
      <c r="C877"/>
      <c r="D877"/>
      <c r="E877"/>
      <c r="F877" s="27" t="s">
        <v>7</v>
      </c>
      <c r="IW877" s="27" t="s">
        <v>8</v>
      </c>
      <c r="IX877" s="27" t="s">
        <v>7</v>
      </c>
      <c r="JI877" s="27" t="s">
        <v>8</v>
      </c>
      <c r="JJ877" s="27" t="s">
        <v>7</v>
      </c>
      <c r="JK877" s="27" t="s">
        <v>8</v>
      </c>
      <c r="JL877" s="27" t="s">
        <v>7</v>
      </c>
      <c r="JM877" s="27" t="s">
        <v>8</v>
      </c>
      <c r="JN877" s="27" t="s">
        <v>7</v>
      </c>
      <c r="JQ877" s="27" t="s">
        <v>8</v>
      </c>
      <c r="JR877" s="27" t="s">
        <v>7</v>
      </c>
      <c r="JS877" s="27" t="s">
        <v>8</v>
      </c>
      <c r="JT877" s="27" t="s">
        <v>7</v>
      </c>
      <c r="LY877" s="27" t="s">
        <v>8</v>
      </c>
      <c r="MA877" s="27" t="s">
        <v>8</v>
      </c>
      <c r="MD877" s="27" t="s">
        <v>7</v>
      </c>
      <c r="ME877" s="27" t="s">
        <v>8</v>
      </c>
    </row>
    <row r="878" spans="1:344" x14ac:dyDescent="0.25">
      <c r="A878" s="7">
        <v>3.1430407900508344E-3</v>
      </c>
      <c r="B878"/>
      <c r="C878"/>
      <c r="D878"/>
      <c r="E878"/>
      <c r="F878" s="27" t="s">
        <v>7</v>
      </c>
      <c r="IW878" s="27" t="s">
        <v>8</v>
      </c>
      <c r="IX878" s="27" t="s">
        <v>7</v>
      </c>
      <c r="JI878" s="27" t="s">
        <v>8</v>
      </c>
      <c r="JJ878" s="27" t="s">
        <v>7</v>
      </c>
      <c r="JK878" s="27" t="s">
        <v>8</v>
      </c>
      <c r="JL878" s="27" t="s">
        <v>7</v>
      </c>
      <c r="JM878" s="27" t="s">
        <v>8</v>
      </c>
      <c r="JN878" s="27" t="s">
        <v>7</v>
      </c>
      <c r="JO878" s="27" t="s">
        <v>8</v>
      </c>
      <c r="JQ878" s="27" t="s">
        <v>8</v>
      </c>
      <c r="JR878" s="27" t="s">
        <v>7</v>
      </c>
      <c r="JS878" s="27" t="s">
        <v>8</v>
      </c>
      <c r="JT878" s="27" t="s">
        <v>7</v>
      </c>
      <c r="LE878" s="27" t="s">
        <v>8</v>
      </c>
      <c r="LY878" s="27" t="s">
        <v>8</v>
      </c>
      <c r="LZ878" s="27" t="s">
        <v>7</v>
      </c>
      <c r="MA878" s="27" t="s">
        <v>8</v>
      </c>
      <c r="MD878" s="27" t="s">
        <v>7</v>
      </c>
      <c r="ME878" s="27" t="s">
        <v>8</v>
      </c>
    </row>
    <row r="879" spans="1:344" x14ac:dyDescent="0.25">
      <c r="A879" s="7">
        <v>3.0814125392655241E-3</v>
      </c>
      <c r="B879"/>
      <c r="C879"/>
      <c r="D879"/>
      <c r="E879"/>
      <c r="F879" s="27" t="s">
        <v>7</v>
      </c>
      <c r="IW879" s="27" t="s">
        <v>8</v>
      </c>
      <c r="IX879" s="27" t="s">
        <v>7</v>
      </c>
      <c r="JI879" s="27" t="s">
        <v>8</v>
      </c>
      <c r="JJ879" s="27" t="s">
        <v>7</v>
      </c>
      <c r="JK879" s="27" t="s">
        <v>8</v>
      </c>
      <c r="JL879" s="27" t="s">
        <v>7</v>
      </c>
      <c r="JM879" s="27" t="s">
        <v>8</v>
      </c>
      <c r="JN879" s="27" t="s">
        <v>7</v>
      </c>
      <c r="JO879" s="27" t="s">
        <v>8</v>
      </c>
      <c r="JP879" s="27" t="s">
        <v>7</v>
      </c>
      <c r="JQ879" s="27" t="s">
        <v>8</v>
      </c>
      <c r="JR879" s="27" t="s">
        <v>7</v>
      </c>
      <c r="JS879" s="27" t="s">
        <v>8</v>
      </c>
      <c r="JT879" s="27" t="s">
        <v>7</v>
      </c>
      <c r="KW879" s="27" t="s">
        <v>8</v>
      </c>
      <c r="LE879" s="27" t="s">
        <v>8</v>
      </c>
      <c r="LF879" s="27" t="s">
        <v>7</v>
      </c>
      <c r="LO879" s="27" t="s">
        <v>8</v>
      </c>
      <c r="LY879" s="27" t="s">
        <v>8</v>
      </c>
      <c r="LZ879" s="27" t="s">
        <v>7</v>
      </c>
      <c r="MA879" s="27" t="s">
        <v>8</v>
      </c>
      <c r="MD879" s="27" t="s">
        <v>7</v>
      </c>
    </row>
    <row r="880" spans="1:344" x14ac:dyDescent="0.25">
      <c r="A880" s="7">
        <v>3.0209926855544354E-3</v>
      </c>
      <c r="B880"/>
      <c r="C880"/>
      <c r="D880"/>
      <c r="E880"/>
      <c r="F880" s="27" t="s">
        <v>7</v>
      </c>
      <c r="IW880" s="27" t="s">
        <v>8</v>
      </c>
      <c r="IX880" s="27" t="s">
        <v>7</v>
      </c>
      <c r="JI880" s="27" t="s">
        <v>8</v>
      </c>
      <c r="JJ880" s="27" t="s">
        <v>7</v>
      </c>
      <c r="JK880" s="27" t="s">
        <v>8</v>
      </c>
      <c r="JL880" s="27" t="s">
        <v>7</v>
      </c>
      <c r="JM880" s="27" t="s">
        <v>8</v>
      </c>
      <c r="JN880" s="27" t="s">
        <v>7</v>
      </c>
      <c r="JO880" s="27" t="s">
        <v>8</v>
      </c>
      <c r="JP880" s="27" t="s">
        <v>7</v>
      </c>
      <c r="JQ880" s="27" t="s">
        <v>8</v>
      </c>
      <c r="JR880" s="27" t="s">
        <v>7</v>
      </c>
      <c r="JT880" s="27" t="s">
        <v>7</v>
      </c>
      <c r="KI880" s="27" t="s">
        <v>8</v>
      </c>
      <c r="KW880" s="27" t="s">
        <v>8</v>
      </c>
      <c r="KX880" s="27" t="s">
        <v>7</v>
      </c>
      <c r="LE880" s="27" t="s">
        <v>8</v>
      </c>
      <c r="LF880" s="27" t="s">
        <v>7</v>
      </c>
      <c r="LO880" s="27" t="s">
        <v>8</v>
      </c>
      <c r="LP880" s="27" t="s">
        <v>7</v>
      </c>
      <c r="LY880" s="27" t="s">
        <v>8</v>
      </c>
      <c r="LZ880" s="27" t="s">
        <v>7</v>
      </c>
      <c r="MA880" s="27" t="s">
        <v>8</v>
      </c>
    </row>
    <row r="881" spans="1:339" x14ac:dyDescent="0.25">
      <c r="A881" s="7">
        <v>2.9617575348572897E-3</v>
      </c>
      <c r="B881"/>
      <c r="C881"/>
      <c r="D881"/>
      <c r="E881"/>
      <c r="F881" s="27" t="s">
        <v>7</v>
      </c>
      <c r="IW881" s="27" t="s">
        <v>8</v>
      </c>
      <c r="IX881" s="27" t="s">
        <v>7</v>
      </c>
      <c r="JI881" s="27" t="s">
        <v>8</v>
      </c>
      <c r="JJ881" s="27" t="s">
        <v>7</v>
      </c>
      <c r="JL881" s="27" t="s">
        <v>7</v>
      </c>
      <c r="JN881" s="27" t="s">
        <v>7</v>
      </c>
      <c r="JO881" s="27" t="s">
        <v>8</v>
      </c>
      <c r="JP881" s="27" t="s">
        <v>7</v>
      </c>
      <c r="JQ881" s="27" t="s">
        <v>8</v>
      </c>
      <c r="JT881" s="27" t="s">
        <v>7</v>
      </c>
      <c r="KI881" s="27" t="s">
        <v>8</v>
      </c>
      <c r="KJ881" s="27" t="s">
        <v>7</v>
      </c>
      <c r="KW881" s="27" t="s">
        <v>8</v>
      </c>
      <c r="KX881" s="27" t="s">
        <v>7</v>
      </c>
      <c r="LE881" s="27" t="s">
        <v>8</v>
      </c>
      <c r="LF881" s="27" t="s">
        <v>7</v>
      </c>
      <c r="LO881" s="27" t="s">
        <v>8</v>
      </c>
      <c r="LP881" s="27" t="s">
        <v>7</v>
      </c>
      <c r="LW881" s="27" t="s">
        <v>8</v>
      </c>
      <c r="LY881" s="27" t="s">
        <v>8</v>
      </c>
      <c r="LZ881" s="27" t="s">
        <v>7</v>
      </c>
      <c r="MA881" s="27" t="s">
        <v>8</v>
      </c>
    </row>
    <row r="882" spans="1:339" x14ac:dyDescent="0.25">
      <c r="A882" s="7">
        <v>2.9036838577032251E-3</v>
      </c>
      <c r="B882"/>
      <c r="C882"/>
      <c r="D882"/>
      <c r="E882"/>
      <c r="F882" s="27" t="s">
        <v>7</v>
      </c>
      <c r="IW882" s="27" t="s">
        <v>8</v>
      </c>
      <c r="IX882" s="27" t="s">
        <v>7</v>
      </c>
      <c r="JI882" s="27" t="s">
        <v>8</v>
      </c>
      <c r="JN882" s="27" t="s">
        <v>7</v>
      </c>
      <c r="JO882" s="27" t="s">
        <v>8</v>
      </c>
      <c r="JP882" s="27" t="s">
        <v>7</v>
      </c>
      <c r="JQ882" s="27" t="s">
        <v>8</v>
      </c>
      <c r="JT882" s="27" t="s">
        <v>7</v>
      </c>
      <c r="KI882" s="27" t="s">
        <v>8</v>
      </c>
      <c r="KJ882" s="27" t="s">
        <v>7</v>
      </c>
      <c r="KW882" s="27" t="s">
        <v>8</v>
      </c>
      <c r="KX882" s="27" t="s">
        <v>7</v>
      </c>
      <c r="LE882" s="27" t="s">
        <v>8</v>
      </c>
      <c r="LF882" s="27" t="s">
        <v>7</v>
      </c>
      <c r="LO882" s="27" t="s">
        <v>8</v>
      </c>
      <c r="LP882" s="27" t="s">
        <v>7</v>
      </c>
      <c r="LW882" s="27" t="s">
        <v>8</v>
      </c>
      <c r="LX882" s="27" t="s">
        <v>7</v>
      </c>
      <c r="LY882" s="27" t="s">
        <v>8</v>
      </c>
      <c r="LZ882" s="27" t="s">
        <v>7</v>
      </c>
      <c r="MA882" s="27" t="s">
        <v>8</v>
      </c>
    </row>
    <row r="883" spans="1:339" x14ac:dyDescent="0.25">
      <c r="A883" s="7">
        <v>2.8467488801012012E-3</v>
      </c>
      <c r="B883"/>
      <c r="C883"/>
      <c r="D883"/>
      <c r="E883"/>
      <c r="F883" s="27" t="s">
        <v>7</v>
      </c>
      <c r="IW883" s="27" t="s">
        <v>8</v>
      </c>
      <c r="IX883" s="27" t="s">
        <v>7</v>
      </c>
      <c r="JI883" s="27" t="s">
        <v>8</v>
      </c>
      <c r="JN883" s="27" t="s">
        <v>7</v>
      </c>
      <c r="JO883" s="27" t="s">
        <v>8</v>
      </c>
      <c r="JP883" s="27" t="s">
        <v>7</v>
      </c>
      <c r="JT883" s="27" t="s">
        <v>7</v>
      </c>
      <c r="KI883" s="27" t="s">
        <v>8</v>
      </c>
      <c r="KJ883" s="27" t="s">
        <v>7</v>
      </c>
      <c r="KW883" s="27" t="s">
        <v>8</v>
      </c>
      <c r="KX883" s="27" t="s">
        <v>7</v>
      </c>
      <c r="LC883" s="27" t="s">
        <v>8</v>
      </c>
      <c r="LE883" s="27" t="s">
        <v>8</v>
      </c>
      <c r="LF883" s="27" t="s">
        <v>7</v>
      </c>
      <c r="LO883" s="27" t="s">
        <v>8</v>
      </c>
      <c r="LP883" s="27" t="s">
        <v>7</v>
      </c>
      <c r="LW883" s="27" t="s">
        <v>8</v>
      </c>
      <c r="LX883" s="27" t="s">
        <v>7</v>
      </c>
      <c r="LY883" s="27" t="s">
        <v>8</v>
      </c>
      <c r="LZ883" s="27" t="s">
        <v>7</v>
      </c>
      <c r="MA883" s="27" t="s">
        <v>8</v>
      </c>
    </row>
    <row r="884" spans="1:339" x14ac:dyDescent="0.25">
      <c r="A884" s="7">
        <v>2.7909302746090209E-3</v>
      </c>
      <c r="B884"/>
      <c r="C884"/>
      <c r="D884"/>
      <c r="E884"/>
      <c r="F884" s="27" t="s">
        <v>7</v>
      </c>
      <c r="IW884" s="27" t="s">
        <v>8</v>
      </c>
      <c r="IX884" s="27" t="s">
        <v>7</v>
      </c>
      <c r="JI884" s="27" t="s">
        <v>8</v>
      </c>
      <c r="JN884" s="27" t="s">
        <v>7</v>
      </c>
      <c r="JO884" s="27" t="s">
        <v>8</v>
      </c>
      <c r="JT884" s="27" t="s">
        <v>7</v>
      </c>
      <c r="KI884" s="27" t="s">
        <v>8</v>
      </c>
      <c r="KJ884" s="27" t="s">
        <v>7</v>
      </c>
      <c r="KW884" s="27" t="s">
        <v>8</v>
      </c>
      <c r="KX884" s="27" t="s">
        <v>7</v>
      </c>
      <c r="LC884" s="27" t="s">
        <v>8</v>
      </c>
      <c r="LD884" s="27" t="s">
        <v>7</v>
      </c>
      <c r="LE884" s="27" t="s">
        <v>8</v>
      </c>
      <c r="LF884" s="27" t="s">
        <v>7</v>
      </c>
      <c r="LI884" s="27" t="s">
        <v>8</v>
      </c>
      <c r="LO884" s="27" t="s">
        <v>8</v>
      </c>
      <c r="LP884" s="27" t="s">
        <v>7</v>
      </c>
      <c r="LW884" s="27" t="s">
        <v>8</v>
      </c>
      <c r="LX884" s="27" t="s">
        <v>7</v>
      </c>
      <c r="LY884" s="27" t="s">
        <v>8</v>
      </c>
      <c r="LZ884" s="27" t="s">
        <v>7</v>
      </c>
      <c r="MA884" s="27" t="s">
        <v>8</v>
      </c>
    </row>
    <row r="885" spans="1:339" x14ac:dyDescent="0.25">
      <c r="A885" s="7">
        <v>2.7362061515774716E-3</v>
      </c>
      <c r="B885"/>
      <c r="C885"/>
      <c r="D885"/>
      <c r="E885"/>
      <c r="F885" s="27" t="s">
        <v>7</v>
      </c>
      <c r="IW885" s="27" t="s">
        <v>8</v>
      </c>
      <c r="IX885" s="27" t="s">
        <v>7</v>
      </c>
      <c r="JI885" s="27" t="s">
        <v>8</v>
      </c>
      <c r="JN885" s="27" t="s">
        <v>7</v>
      </c>
      <c r="JO885" s="27" t="s">
        <v>8</v>
      </c>
      <c r="JT885" s="27" t="s">
        <v>7</v>
      </c>
      <c r="KI885" s="27" t="s">
        <v>8</v>
      </c>
      <c r="KJ885" s="27" t="s">
        <v>7</v>
      </c>
      <c r="KW885" s="27" t="s">
        <v>8</v>
      </c>
      <c r="KX885" s="27" t="s">
        <v>7</v>
      </c>
      <c r="LC885" s="27" t="s">
        <v>8</v>
      </c>
      <c r="LD885" s="27" t="s">
        <v>7</v>
      </c>
      <c r="LE885" s="27" t="s">
        <v>8</v>
      </c>
      <c r="LF885" s="27" t="s">
        <v>7</v>
      </c>
      <c r="LG885" s="27" t="s">
        <v>8</v>
      </c>
      <c r="LI885" s="27" t="s">
        <v>8</v>
      </c>
      <c r="LJ885" s="27" t="s">
        <v>7</v>
      </c>
      <c r="LO885" s="27" t="s">
        <v>8</v>
      </c>
      <c r="LP885" s="27" t="s">
        <v>7</v>
      </c>
      <c r="LW885" s="27" t="s">
        <v>8</v>
      </c>
      <c r="LX885" s="27" t="s">
        <v>7</v>
      </c>
      <c r="LY885" s="27" t="s">
        <v>8</v>
      </c>
      <c r="LZ885" s="27" t="s">
        <v>7</v>
      </c>
      <c r="MA885" s="27" t="s">
        <v>8</v>
      </c>
    </row>
    <row r="886" spans="1:339" x14ac:dyDescent="0.25">
      <c r="A886" s="7">
        <v>2.6825550505661486E-3</v>
      </c>
      <c r="B886"/>
      <c r="C886"/>
      <c r="D886"/>
      <c r="E886"/>
      <c r="F886" s="27" t="s">
        <v>7</v>
      </c>
      <c r="IW886" s="27" t="s">
        <v>8</v>
      </c>
      <c r="IX886" s="27" t="s">
        <v>7</v>
      </c>
      <c r="IY886" s="27" t="s">
        <v>8</v>
      </c>
      <c r="JI886" s="27" t="s">
        <v>8</v>
      </c>
      <c r="JN886" s="27" t="s">
        <v>7</v>
      </c>
      <c r="JT886" s="27" t="s">
        <v>7</v>
      </c>
      <c r="KI886" s="27" t="s">
        <v>8</v>
      </c>
      <c r="KJ886" s="27" t="s">
        <v>7</v>
      </c>
      <c r="KW886" s="27" t="s">
        <v>8</v>
      </c>
      <c r="KX886" s="27" t="s">
        <v>7</v>
      </c>
      <c r="LC886" s="27" t="s">
        <v>8</v>
      </c>
      <c r="LD886" s="27" t="s">
        <v>7</v>
      </c>
      <c r="LE886" s="27" t="s">
        <v>8</v>
      </c>
      <c r="LF886" s="27" t="s">
        <v>7</v>
      </c>
      <c r="LG886" s="27" t="s">
        <v>8</v>
      </c>
      <c r="LH886" s="27" t="s">
        <v>7</v>
      </c>
      <c r="LI886" s="27" t="s">
        <v>8</v>
      </c>
      <c r="LJ886" s="27" t="s">
        <v>7</v>
      </c>
      <c r="LO886" s="27" t="s">
        <v>8</v>
      </c>
      <c r="LP886" s="27" t="s">
        <v>7</v>
      </c>
      <c r="LW886" s="27" t="s">
        <v>8</v>
      </c>
      <c r="LX886" s="27" t="s">
        <v>7</v>
      </c>
      <c r="LY886" s="27" t="s">
        <v>8</v>
      </c>
      <c r="LZ886" s="27" t="s">
        <v>7</v>
      </c>
      <c r="MA886" s="27" t="s">
        <v>8</v>
      </c>
    </row>
    <row r="887" spans="1:339" x14ac:dyDescent="0.25">
      <c r="A887" s="7">
        <v>2.6299559319275965E-3</v>
      </c>
      <c r="B887"/>
      <c r="C887"/>
      <c r="D887"/>
      <c r="E887"/>
      <c r="F887" s="27" t="s">
        <v>7</v>
      </c>
      <c r="IW887" s="27" t="s">
        <v>8</v>
      </c>
      <c r="IX887" s="27" t="s">
        <v>7</v>
      </c>
      <c r="IY887" s="27" t="s">
        <v>8</v>
      </c>
      <c r="IZ887" s="27" t="s">
        <v>7</v>
      </c>
      <c r="JI887" s="27" t="s">
        <v>8</v>
      </c>
      <c r="JT887" s="27" t="s">
        <v>7</v>
      </c>
      <c r="KI887" s="27" t="s">
        <v>8</v>
      </c>
      <c r="KJ887" s="27" t="s">
        <v>7</v>
      </c>
      <c r="KW887" s="27" t="s">
        <v>8</v>
      </c>
      <c r="KX887" s="27" t="s">
        <v>7</v>
      </c>
      <c r="LC887" s="27" t="s">
        <v>8</v>
      </c>
      <c r="LD887" s="27" t="s">
        <v>7</v>
      </c>
      <c r="LE887" s="27" t="s">
        <v>8</v>
      </c>
      <c r="LF887" s="27" t="s">
        <v>7</v>
      </c>
      <c r="LG887" s="27" t="s">
        <v>8</v>
      </c>
      <c r="LH887" s="27" t="s">
        <v>7</v>
      </c>
      <c r="LI887" s="27" t="s">
        <v>8</v>
      </c>
      <c r="LJ887" s="27" t="s">
        <v>7</v>
      </c>
      <c r="LM887" s="27" t="s">
        <v>8</v>
      </c>
      <c r="LO887" s="27" t="s">
        <v>8</v>
      </c>
      <c r="LP887" s="27" t="s">
        <v>7</v>
      </c>
      <c r="LU887" s="27" t="s">
        <v>8</v>
      </c>
      <c r="LW887" s="27" t="s">
        <v>8</v>
      </c>
      <c r="LX887" s="27" t="s">
        <v>7</v>
      </c>
      <c r="LY887" s="27" t="s">
        <v>8</v>
      </c>
      <c r="LZ887" s="27" t="s">
        <v>7</v>
      </c>
      <c r="MA887" s="27" t="s">
        <v>8</v>
      </c>
    </row>
    <row r="888" spans="1:339" x14ac:dyDescent="0.25">
      <c r="A888" s="7">
        <v>2.578388168556467E-3</v>
      </c>
      <c r="B888"/>
      <c r="C888"/>
      <c r="D888"/>
      <c r="E888"/>
      <c r="F888" s="27" t="s">
        <v>7</v>
      </c>
      <c r="IW888" s="27" t="s">
        <v>8</v>
      </c>
      <c r="IX888" s="27" t="s">
        <v>7</v>
      </c>
      <c r="IY888" s="27" t="s">
        <v>8</v>
      </c>
      <c r="IZ888" s="27" t="s">
        <v>7</v>
      </c>
      <c r="JI888" s="27" t="s">
        <v>8</v>
      </c>
      <c r="JT888" s="27" t="s">
        <v>7</v>
      </c>
      <c r="KI888" s="27" t="s">
        <v>8</v>
      </c>
      <c r="KJ888" s="27" t="s">
        <v>7</v>
      </c>
      <c r="KW888" s="27" t="s">
        <v>8</v>
      </c>
      <c r="KX888" s="27" t="s">
        <v>7</v>
      </c>
      <c r="KY888" s="27" t="s">
        <v>8</v>
      </c>
      <c r="LC888" s="27" t="s">
        <v>8</v>
      </c>
      <c r="LD888" s="27" t="s">
        <v>7</v>
      </c>
      <c r="LE888" s="27" t="s">
        <v>8</v>
      </c>
      <c r="LF888" s="27" t="s">
        <v>7</v>
      </c>
      <c r="LG888" s="27" t="s">
        <v>8</v>
      </c>
      <c r="LH888" s="27" t="s">
        <v>7</v>
      </c>
      <c r="LI888" s="27" t="s">
        <v>8</v>
      </c>
      <c r="LJ888" s="27" t="s">
        <v>7</v>
      </c>
      <c r="LM888" s="27" t="s">
        <v>8</v>
      </c>
      <c r="LN888" s="27" t="s">
        <v>7</v>
      </c>
      <c r="LO888" s="27" t="s">
        <v>8</v>
      </c>
      <c r="LP888" s="27" t="s">
        <v>7</v>
      </c>
      <c r="LU888" s="27" t="s">
        <v>8</v>
      </c>
      <c r="LV888" s="27" t="s">
        <v>7</v>
      </c>
      <c r="LW888" s="27" t="s">
        <v>8</v>
      </c>
      <c r="LX888" s="27" t="s">
        <v>7</v>
      </c>
      <c r="LY888" s="27" t="s">
        <v>8</v>
      </c>
      <c r="LZ888" s="27" t="s">
        <v>7</v>
      </c>
      <c r="MA888" s="27" t="s">
        <v>8</v>
      </c>
    </row>
    <row r="889" spans="1:339" x14ac:dyDescent="0.25">
      <c r="A889" s="7">
        <v>2.5278315378004577E-3</v>
      </c>
      <c r="B889"/>
      <c r="C889"/>
      <c r="D889"/>
      <c r="E889"/>
      <c r="F889" s="27" t="s">
        <v>7</v>
      </c>
      <c r="IW889" s="27" t="s">
        <v>8</v>
      </c>
      <c r="IX889" s="27" t="s">
        <v>7</v>
      </c>
      <c r="IY889" s="27" t="s">
        <v>8</v>
      </c>
      <c r="IZ889" s="27" t="s">
        <v>7</v>
      </c>
      <c r="JI889" s="27" t="s">
        <v>8</v>
      </c>
      <c r="JT889" s="27" t="s">
        <v>7</v>
      </c>
      <c r="KI889" s="27" t="s">
        <v>8</v>
      </c>
      <c r="KJ889" s="27" t="s">
        <v>7</v>
      </c>
      <c r="KW889" s="27" t="s">
        <v>8</v>
      </c>
      <c r="KX889" s="27" t="s">
        <v>7</v>
      </c>
      <c r="KY889" s="27" t="s">
        <v>8</v>
      </c>
      <c r="KZ889" s="27" t="s">
        <v>7</v>
      </c>
      <c r="LA889" s="27" t="s">
        <v>8</v>
      </c>
      <c r="LC889" s="27" t="s">
        <v>8</v>
      </c>
      <c r="LD889" s="27" t="s">
        <v>7</v>
      </c>
      <c r="LE889" s="27" t="s">
        <v>8</v>
      </c>
      <c r="LF889" s="27" t="s">
        <v>7</v>
      </c>
      <c r="LG889" s="27" t="s">
        <v>8</v>
      </c>
      <c r="LH889" s="27" t="s">
        <v>7</v>
      </c>
      <c r="LI889" s="27" t="s">
        <v>8</v>
      </c>
      <c r="LJ889" s="27" t="s">
        <v>7</v>
      </c>
      <c r="LM889" s="27" t="s">
        <v>8</v>
      </c>
      <c r="LN889" s="27" t="s">
        <v>7</v>
      </c>
      <c r="LO889" s="27" t="s">
        <v>8</v>
      </c>
      <c r="LP889" s="27" t="s">
        <v>7</v>
      </c>
      <c r="LS889" s="27" t="s">
        <v>8</v>
      </c>
      <c r="LU889" s="27" t="s">
        <v>8</v>
      </c>
      <c r="LV889" s="27" t="s">
        <v>7</v>
      </c>
      <c r="LW889" s="27" t="s">
        <v>8</v>
      </c>
      <c r="LX889" s="27" t="s">
        <v>7</v>
      </c>
      <c r="LY889" s="27" t="s">
        <v>8</v>
      </c>
      <c r="LZ889" s="27" t="s">
        <v>7</v>
      </c>
      <c r="MA889" s="27" t="s">
        <v>8</v>
      </c>
    </row>
    <row r="890" spans="1:339" x14ac:dyDescent="0.25">
      <c r="A890" s="7">
        <v>2.4782662135298603E-3</v>
      </c>
      <c r="B890"/>
      <c r="C890"/>
      <c r="D890"/>
      <c r="E890"/>
      <c r="F890" s="27" t="s">
        <v>7</v>
      </c>
      <c r="IW890" s="27" t="s">
        <v>8</v>
      </c>
      <c r="IX890" s="27" t="s">
        <v>7</v>
      </c>
      <c r="IY890" s="27" t="s">
        <v>8</v>
      </c>
      <c r="IZ890" s="27" t="s">
        <v>7</v>
      </c>
      <c r="JI890" s="27" t="s">
        <v>8</v>
      </c>
      <c r="JT890" s="27" t="s">
        <v>7</v>
      </c>
      <c r="JW890" s="27" t="s">
        <v>8</v>
      </c>
      <c r="KI890" s="27" t="s">
        <v>8</v>
      </c>
      <c r="KJ890" s="27" t="s">
        <v>7</v>
      </c>
      <c r="KU890" s="27" t="s">
        <v>8</v>
      </c>
      <c r="KW890" s="27" t="s">
        <v>8</v>
      </c>
      <c r="KX890" s="27" t="s">
        <v>7</v>
      </c>
      <c r="KY890" s="27" t="s">
        <v>8</v>
      </c>
      <c r="KZ890" s="27" t="s">
        <v>7</v>
      </c>
      <c r="LA890" s="27" t="s">
        <v>8</v>
      </c>
      <c r="LB890" s="27" t="s">
        <v>7</v>
      </c>
      <c r="LC890" s="27" t="s">
        <v>8</v>
      </c>
      <c r="LD890" s="27" t="s">
        <v>7</v>
      </c>
      <c r="LE890" s="27" t="s">
        <v>8</v>
      </c>
      <c r="LF890" s="27" t="s">
        <v>7</v>
      </c>
      <c r="LG890" s="27" t="s">
        <v>8</v>
      </c>
      <c r="LH890" s="27" t="s">
        <v>7</v>
      </c>
      <c r="LI890" s="27" t="s">
        <v>8</v>
      </c>
      <c r="LJ890" s="27" t="s">
        <v>7</v>
      </c>
      <c r="LM890" s="27" t="s">
        <v>8</v>
      </c>
      <c r="LN890" s="27" t="s">
        <v>7</v>
      </c>
      <c r="LO890" s="27" t="s">
        <v>8</v>
      </c>
      <c r="LP890" s="27" t="s">
        <v>7</v>
      </c>
      <c r="LQ890" s="27" t="s">
        <v>8</v>
      </c>
      <c r="LS890" s="27" t="s">
        <v>8</v>
      </c>
      <c r="LT890" s="27" t="s">
        <v>7</v>
      </c>
      <c r="LU890" s="27" t="s">
        <v>8</v>
      </c>
      <c r="LV890" s="27" t="s">
        <v>7</v>
      </c>
      <c r="LW890" s="27" t="s">
        <v>8</v>
      </c>
      <c r="LX890" s="27" t="s">
        <v>7</v>
      </c>
      <c r="LY890" s="27" t="s">
        <v>8</v>
      </c>
      <c r="LZ890" s="27" t="s">
        <v>7</v>
      </c>
      <c r="MA890" s="27" t="s">
        <v>8</v>
      </c>
    </row>
    <row r="891" spans="1:339" x14ac:dyDescent="0.25">
      <c r="A891" s="7">
        <v>2.4296727583626083E-3</v>
      </c>
      <c r="B891"/>
      <c r="C891"/>
      <c r="D891"/>
      <c r="E891"/>
      <c r="F891" s="27" t="s">
        <v>7</v>
      </c>
      <c r="IW891" s="27" t="s">
        <v>8</v>
      </c>
      <c r="IX891" s="27" t="s">
        <v>7</v>
      </c>
      <c r="IY891" s="27" t="s">
        <v>8</v>
      </c>
      <c r="IZ891" s="27" t="s">
        <v>7</v>
      </c>
      <c r="JA891" s="27" t="s">
        <v>8</v>
      </c>
      <c r="JI891" s="27" t="s">
        <v>8</v>
      </c>
      <c r="JT891" s="27" t="s">
        <v>7</v>
      </c>
      <c r="JW891" s="27" t="s">
        <v>8</v>
      </c>
      <c r="JX891" s="27" t="s">
        <v>7</v>
      </c>
      <c r="KI891" s="27" t="s">
        <v>8</v>
      </c>
      <c r="KJ891" s="27" t="s">
        <v>7</v>
      </c>
      <c r="KU891" s="27" t="s">
        <v>8</v>
      </c>
      <c r="KV891" s="27" t="s">
        <v>7</v>
      </c>
      <c r="KW891" s="27" t="s">
        <v>8</v>
      </c>
      <c r="KX891" s="27" t="s">
        <v>7</v>
      </c>
      <c r="KY891" s="27" t="s">
        <v>8</v>
      </c>
      <c r="KZ891" s="27" t="s">
        <v>7</v>
      </c>
      <c r="LA891" s="27" t="s">
        <v>8</v>
      </c>
      <c r="LB891" s="27" t="s">
        <v>7</v>
      </c>
      <c r="LC891" s="27" t="s">
        <v>8</v>
      </c>
      <c r="LD891" s="27" t="s">
        <v>7</v>
      </c>
      <c r="LE891" s="27" t="s">
        <v>8</v>
      </c>
      <c r="LF891" s="27" t="s">
        <v>7</v>
      </c>
      <c r="LH891" s="27" t="s">
        <v>7</v>
      </c>
      <c r="LI891" s="27" t="s">
        <v>8</v>
      </c>
      <c r="LJ891" s="27" t="s">
        <v>7</v>
      </c>
      <c r="LM891" s="27" t="s">
        <v>8</v>
      </c>
      <c r="LN891" s="27" t="s">
        <v>7</v>
      </c>
      <c r="LO891" s="27" t="s">
        <v>8</v>
      </c>
      <c r="LP891" s="27" t="s">
        <v>7</v>
      </c>
      <c r="LQ891" s="27" t="s">
        <v>8</v>
      </c>
      <c r="LR891" s="27" t="s">
        <v>7</v>
      </c>
      <c r="LS891" s="27" t="s">
        <v>8</v>
      </c>
      <c r="LT891" s="27" t="s">
        <v>7</v>
      </c>
      <c r="LU891" s="27" t="s">
        <v>8</v>
      </c>
      <c r="LV891" s="27" t="s">
        <v>7</v>
      </c>
      <c r="LW891" s="27" t="s">
        <v>8</v>
      </c>
      <c r="LX891" s="27" t="s">
        <v>7</v>
      </c>
      <c r="LY891" s="27" t="s">
        <v>8</v>
      </c>
      <c r="LZ891" s="27" t="s">
        <v>7</v>
      </c>
      <c r="MA891" s="27" t="s">
        <v>8</v>
      </c>
    </row>
    <row r="892" spans="1:339" x14ac:dyDescent="0.25">
      <c r="A892" s="7">
        <v>2.3820321160417726E-3</v>
      </c>
      <c r="B892"/>
      <c r="C892"/>
      <c r="D892"/>
      <c r="E892"/>
      <c r="F892" s="27" t="s">
        <v>7</v>
      </c>
      <c r="IW892" s="27" t="s">
        <v>8</v>
      </c>
      <c r="IX892" s="27" t="s">
        <v>7</v>
      </c>
      <c r="IY892" s="27" t="s">
        <v>8</v>
      </c>
      <c r="IZ892" s="27" t="s">
        <v>7</v>
      </c>
      <c r="JA892" s="27" t="s">
        <v>8</v>
      </c>
      <c r="JB892" s="27" t="s">
        <v>7</v>
      </c>
      <c r="JI892" s="27" t="s">
        <v>8</v>
      </c>
      <c r="JT892" s="27" t="s">
        <v>7</v>
      </c>
      <c r="JW892" s="27" t="s">
        <v>8</v>
      </c>
      <c r="JX892" s="27" t="s">
        <v>7</v>
      </c>
      <c r="KI892" s="27" t="s">
        <v>8</v>
      </c>
      <c r="KJ892" s="27" t="s">
        <v>7</v>
      </c>
      <c r="KU892" s="27" t="s">
        <v>8</v>
      </c>
      <c r="KV892" s="27" t="s">
        <v>7</v>
      </c>
      <c r="KW892" s="27" t="s">
        <v>8</v>
      </c>
      <c r="KX892" s="27" t="s">
        <v>7</v>
      </c>
      <c r="KY892" s="27" t="s">
        <v>8</v>
      </c>
      <c r="KZ892" s="27" t="s">
        <v>7</v>
      </c>
      <c r="LA892" s="27" t="s">
        <v>8</v>
      </c>
      <c r="LB892" s="27" t="s">
        <v>7</v>
      </c>
      <c r="LC892" s="27" t="s">
        <v>8</v>
      </c>
      <c r="LD892" s="27" t="s">
        <v>7</v>
      </c>
      <c r="LE892" s="27" t="s">
        <v>8</v>
      </c>
      <c r="LH892" s="27" t="s">
        <v>7</v>
      </c>
      <c r="LI892" s="27" t="s">
        <v>8</v>
      </c>
      <c r="LJ892" s="27" t="s">
        <v>7</v>
      </c>
      <c r="LK892" s="27" t="s">
        <v>8</v>
      </c>
      <c r="LM892" s="27" t="s">
        <v>8</v>
      </c>
      <c r="LN892" s="27" t="s">
        <v>7</v>
      </c>
      <c r="LO892" s="27" t="s">
        <v>8</v>
      </c>
      <c r="LP892" s="27" t="s">
        <v>7</v>
      </c>
      <c r="LQ892" s="27" t="s">
        <v>8</v>
      </c>
      <c r="LR892" s="27" t="s">
        <v>7</v>
      </c>
      <c r="LS892" s="27" t="s">
        <v>8</v>
      </c>
      <c r="LT892" s="27" t="s">
        <v>7</v>
      </c>
      <c r="LU892" s="27" t="s">
        <v>8</v>
      </c>
      <c r="LV892" s="27" t="s">
        <v>7</v>
      </c>
      <c r="LX892" s="27" t="s">
        <v>7</v>
      </c>
      <c r="LY892" s="27" t="s">
        <v>8</v>
      </c>
      <c r="LZ892" s="27" t="s">
        <v>7</v>
      </c>
      <c r="MA892" s="27" t="s">
        <v>8</v>
      </c>
    </row>
    <row r="893" spans="1:339" x14ac:dyDescent="0.25">
      <c r="A893" s="7">
        <v>2.3353256039625224E-3</v>
      </c>
      <c r="B893"/>
      <c r="C893"/>
      <c r="D893"/>
      <c r="E893"/>
      <c r="F893" s="27" t="s">
        <v>7</v>
      </c>
      <c r="IW893" s="27" t="s">
        <v>8</v>
      </c>
      <c r="IX893" s="27" t="s">
        <v>7</v>
      </c>
      <c r="IY893" s="27" t="s">
        <v>8</v>
      </c>
      <c r="IZ893" s="27" t="s">
        <v>7</v>
      </c>
      <c r="JA893" s="27" t="s">
        <v>8</v>
      </c>
      <c r="JB893" s="27" t="s">
        <v>7</v>
      </c>
      <c r="JI893" s="27" t="s">
        <v>8</v>
      </c>
      <c r="JT893" s="27" t="s">
        <v>7</v>
      </c>
      <c r="JW893" s="27" t="s">
        <v>8</v>
      </c>
      <c r="JX893" s="27" t="s">
        <v>7</v>
      </c>
      <c r="JY893" s="27" t="s">
        <v>8</v>
      </c>
      <c r="KI893" s="27" t="s">
        <v>8</v>
      </c>
      <c r="KJ893" s="27" t="s">
        <v>7</v>
      </c>
      <c r="KU893" s="27" t="s">
        <v>8</v>
      </c>
      <c r="KV893" s="27" t="s">
        <v>7</v>
      </c>
      <c r="KW893" s="27" t="s">
        <v>8</v>
      </c>
      <c r="KX893" s="27" t="s">
        <v>7</v>
      </c>
      <c r="KY893" s="27" t="s">
        <v>8</v>
      </c>
      <c r="KZ893" s="27" t="s">
        <v>7</v>
      </c>
      <c r="LA893" s="27" t="s">
        <v>8</v>
      </c>
      <c r="LB893" s="27" t="s">
        <v>7</v>
      </c>
      <c r="LC893" s="27" t="s">
        <v>8</v>
      </c>
      <c r="LD893" s="27" t="s">
        <v>7</v>
      </c>
      <c r="LE893" s="27" t="s">
        <v>8</v>
      </c>
      <c r="LH893" s="27" t="s">
        <v>7</v>
      </c>
      <c r="LJ893" s="27" t="s">
        <v>7</v>
      </c>
      <c r="LK893" s="27" t="s">
        <v>8</v>
      </c>
      <c r="LL893" s="27" t="s">
        <v>7</v>
      </c>
      <c r="LM893" s="27" t="s">
        <v>8</v>
      </c>
      <c r="LN893" s="27" t="s">
        <v>7</v>
      </c>
      <c r="LP893" s="27" t="s">
        <v>7</v>
      </c>
      <c r="LQ893" s="27" t="s">
        <v>8</v>
      </c>
      <c r="LR893" s="27" t="s">
        <v>7</v>
      </c>
      <c r="LS893" s="27" t="s">
        <v>8</v>
      </c>
      <c r="LT893" s="27" t="s">
        <v>7</v>
      </c>
      <c r="LU893" s="27" t="s">
        <v>8</v>
      </c>
      <c r="LX893" s="27" t="s">
        <v>7</v>
      </c>
      <c r="LY893" s="27" t="s">
        <v>8</v>
      </c>
      <c r="LZ893" s="27" t="s">
        <v>7</v>
      </c>
    </row>
    <row r="894" spans="1:339" x14ac:dyDescent="0.25">
      <c r="A894" s="7">
        <v>2.2895349058456101E-3</v>
      </c>
      <c r="B894"/>
      <c r="C894"/>
      <c r="D894"/>
      <c r="E894"/>
      <c r="F894" s="27" t="s">
        <v>7</v>
      </c>
      <c r="IW894" s="27" t="s">
        <v>8</v>
      </c>
      <c r="IX894" s="27" t="s">
        <v>7</v>
      </c>
      <c r="IY894" s="27" t="s">
        <v>8</v>
      </c>
      <c r="IZ894" s="27" t="s">
        <v>7</v>
      </c>
      <c r="JA894" s="27" t="s">
        <v>8</v>
      </c>
      <c r="JB894" s="27" t="s">
        <v>7</v>
      </c>
      <c r="JI894" s="27" t="s">
        <v>8</v>
      </c>
      <c r="JT894" s="27" t="s">
        <v>7</v>
      </c>
      <c r="JW894" s="27" t="s">
        <v>8</v>
      </c>
      <c r="JX894" s="27" t="s">
        <v>7</v>
      </c>
      <c r="JY894" s="27" t="s">
        <v>8</v>
      </c>
      <c r="JZ894" s="27" t="s">
        <v>7</v>
      </c>
      <c r="KI894" s="27" t="s">
        <v>8</v>
      </c>
      <c r="KJ894" s="27" t="s">
        <v>7</v>
      </c>
      <c r="KU894" s="27" t="s">
        <v>8</v>
      </c>
      <c r="KV894" s="27" t="s">
        <v>7</v>
      </c>
      <c r="KW894" s="27" t="s">
        <v>8</v>
      </c>
      <c r="KX894" s="27" t="s">
        <v>7</v>
      </c>
      <c r="KY894" s="27" t="s">
        <v>8</v>
      </c>
      <c r="KZ894" s="27" t="s">
        <v>7</v>
      </c>
      <c r="LA894" s="27" t="s">
        <v>8</v>
      </c>
      <c r="LB894" s="27" t="s">
        <v>7</v>
      </c>
      <c r="LC894" s="27" t="s">
        <v>8</v>
      </c>
      <c r="LD894" s="27" t="s">
        <v>7</v>
      </c>
      <c r="LE894" s="27" t="s">
        <v>8</v>
      </c>
      <c r="LJ894" s="27" t="s">
        <v>7</v>
      </c>
      <c r="LK894" s="27" t="s">
        <v>8</v>
      </c>
      <c r="LL894" s="27" t="s">
        <v>7</v>
      </c>
      <c r="LM894" s="27" t="s">
        <v>8</v>
      </c>
      <c r="LP894" s="27" t="s">
        <v>7</v>
      </c>
      <c r="LQ894" s="27" t="s">
        <v>8</v>
      </c>
      <c r="LR894" s="27" t="s">
        <v>7</v>
      </c>
      <c r="LS894" s="27" t="s">
        <v>8</v>
      </c>
      <c r="LT894" s="27" t="s">
        <v>7</v>
      </c>
      <c r="LU894" s="27" t="s">
        <v>8</v>
      </c>
      <c r="LX894" s="27" t="s">
        <v>7</v>
      </c>
      <c r="LY894" s="27" t="s">
        <v>8</v>
      </c>
    </row>
    <row r="895" spans="1:339" x14ac:dyDescent="0.25">
      <c r="A895" s="7">
        <v>2.24464206455452E-3</v>
      </c>
      <c r="B895"/>
      <c r="C895"/>
      <c r="D895"/>
      <c r="E895"/>
      <c r="F895" s="27" t="s">
        <v>7</v>
      </c>
      <c r="IW895" s="27" t="s">
        <v>8</v>
      </c>
      <c r="IX895" s="27" t="s">
        <v>7</v>
      </c>
      <c r="IY895" s="27" t="s">
        <v>8</v>
      </c>
      <c r="IZ895" s="27" t="s">
        <v>7</v>
      </c>
      <c r="JA895" s="27" t="s">
        <v>8</v>
      </c>
      <c r="JB895" s="27" t="s">
        <v>7</v>
      </c>
      <c r="JI895" s="27" t="s">
        <v>8</v>
      </c>
      <c r="JT895" s="27" t="s">
        <v>7</v>
      </c>
      <c r="JW895" s="27" t="s">
        <v>8</v>
      </c>
      <c r="JX895" s="27" t="s">
        <v>7</v>
      </c>
      <c r="JY895" s="27" t="s">
        <v>8</v>
      </c>
      <c r="JZ895" s="27" t="s">
        <v>7</v>
      </c>
      <c r="KI895" s="27" t="s">
        <v>8</v>
      </c>
      <c r="KJ895" s="27" t="s">
        <v>7</v>
      </c>
      <c r="KQ895" s="27" t="s">
        <v>8</v>
      </c>
      <c r="KU895" s="27" t="s">
        <v>8</v>
      </c>
      <c r="KV895" s="27" t="s">
        <v>7</v>
      </c>
      <c r="KW895" s="27" t="s">
        <v>8</v>
      </c>
      <c r="KX895" s="27" t="s">
        <v>7</v>
      </c>
      <c r="KY895" s="27" t="s">
        <v>8</v>
      </c>
      <c r="KZ895" s="27" t="s">
        <v>7</v>
      </c>
      <c r="LA895" s="27" t="s">
        <v>8</v>
      </c>
      <c r="LB895" s="27" t="s">
        <v>7</v>
      </c>
      <c r="LD895" s="27" t="s">
        <v>7</v>
      </c>
      <c r="LE895" s="27" t="s">
        <v>8</v>
      </c>
      <c r="LJ895" s="27" t="s">
        <v>7</v>
      </c>
      <c r="LL895" s="27" t="s">
        <v>7</v>
      </c>
      <c r="LM895" s="27" t="s">
        <v>8</v>
      </c>
      <c r="LP895" s="27" t="s">
        <v>7</v>
      </c>
      <c r="LQ895" s="27" t="s">
        <v>8</v>
      </c>
      <c r="LR895" s="27" t="s">
        <v>7</v>
      </c>
      <c r="LS895" s="27" t="s">
        <v>8</v>
      </c>
      <c r="LT895" s="27" t="s">
        <v>7</v>
      </c>
      <c r="LX895" s="27" t="s">
        <v>7</v>
      </c>
    </row>
    <row r="896" spans="1:339" x14ac:dyDescent="0.25">
      <c r="A896" s="7">
        <v>2.200629475053451E-3</v>
      </c>
      <c r="B896"/>
      <c r="C896"/>
      <c r="D896"/>
      <c r="E896"/>
      <c r="F896" s="27" t="s">
        <v>7</v>
      </c>
      <c r="IW896" s="27" t="s">
        <v>8</v>
      </c>
      <c r="IX896" s="27" t="s">
        <v>7</v>
      </c>
      <c r="IY896" s="27" t="s">
        <v>8</v>
      </c>
      <c r="IZ896" s="27" t="s">
        <v>7</v>
      </c>
      <c r="JA896" s="27" t="s">
        <v>8</v>
      </c>
      <c r="JB896" s="27" t="s">
        <v>7</v>
      </c>
      <c r="JI896" s="27" t="s">
        <v>8</v>
      </c>
      <c r="JT896" s="27" t="s">
        <v>7</v>
      </c>
      <c r="JW896" s="27" t="s">
        <v>8</v>
      </c>
      <c r="JX896" s="27" t="s">
        <v>7</v>
      </c>
      <c r="JY896" s="27" t="s">
        <v>8</v>
      </c>
      <c r="JZ896" s="27" t="s">
        <v>7</v>
      </c>
      <c r="KA896" s="27" t="s">
        <v>8</v>
      </c>
      <c r="KI896" s="27" t="s">
        <v>8</v>
      </c>
      <c r="KJ896" s="27" t="s">
        <v>7</v>
      </c>
      <c r="KQ896" s="27" t="s">
        <v>8</v>
      </c>
      <c r="KR896" s="27" t="s">
        <v>7</v>
      </c>
      <c r="KU896" s="27" t="s">
        <v>8</v>
      </c>
      <c r="KV896" s="27" t="s">
        <v>7</v>
      </c>
      <c r="KW896" s="27" t="s">
        <v>8</v>
      </c>
      <c r="KX896" s="27" t="s">
        <v>7</v>
      </c>
      <c r="KY896" s="27" t="s">
        <v>8</v>
      </c>
      <c r="KZ896" s="27" t="s">
        <v>7</v>
      </c>
      <c r="LA896" s="27" t="s">
        <v>8</v>
      </c>
      <c r="LD896" s="27" t="s">
        <v>7</v>
      </c>
      <c r="LE896" s="27" t="s">
        <v>8</v>
      </c>
      <c r="LL896" s="27" t="s">
        <v>7</v>
      </c>
      <c r="LM896" s="27" t="s">
        <v>8</v>
      </c>
      <c r="LP896" s="27" t="s">
        <v>7</v>
      </c>
      <c r="LR896" s="27" t="s">
        <v>7</v>
      </c>
      <c r="LS896" s="27" t="s">
        <v>8</v>
      </c>
    </row>
    <row r="897" spans="1:331" x14ac:dyDescent="0.25">
      <c r="A897" s="7">
        <v>2.1574798775033832E-3</v>
      </c>
      <c r="B897"/>
      <c r="C897"/>
      <c r="D897"/>
      <c r="E897"/>
      <c r="F897" s="27" t="s">
        <v>7</v>
      </c>
      <c r="IW897" s="27" t="s">
        <v>8</v>
      </c>
      <c r="IX897" s="27" t="s">
        <v>7</v>
      </c>
      <c r="IY897" s="27" t="s">
        <v>8</v>
      </c>
      <c r="IZ897" s="27" t="s">
        <v>7</v>
      </c>
      <c r="JA897" s="27" t="s">
        <v>8</v>
      </c>
      <c r="JB897" s="27" t="s">
        <v>7</v>
      </c>
      <c r="JC897" s="27" t="s">
        <v>8</v>
      </c>
      <c r="JI897" s="27" t="s">
        <v>8</v>
      </c>
      <c r="JT897" s="27" t="s">
        <v>7</v>
      </c>
      <c r="JW897" s="27" t="s">
        <v>8</v>
      </c>
      <c r="JX897" s="27" t="s">
        <v>7</v>
      </c>
      <c r="JY897" s="27" t="s">
        <v>8</v>
      </c>
      <c r="JZ897" s="27" t="s">
        <v>7</v>
      </c>
      <c r="KA897" s="27" t="s">
        <v>8</v>
      </c>
      <c r="KB897" s="27" t="s">
        <v>7</v>
      </c>
      <c r="KI897" s="27" t="s">
        <v>8</v>
      </c>
      <c r="KJ897" s="27" t="s">
        <v>7</v>
      </c>
      <c r="KO897" s="27" t="s">
        <v>8</v>
      </c>
      <c r="KQ897" s="27" t="s">
        <v>8</v>
      </c>
      <c r="KR897" s="27" t="s">
        <v>7</v>
      </c>
      <c r="KU897" s="27" t="s">
        <v>8</v>
      </c>
      <c r="KV897" s="27" t="s">
        <v>7</v>
      </c>
      <c r="KW897" s="27" t="s">
        <v>8</v>
      </c>
      <c r="KX897" s="27" t="s">
        <v>7</v>
      </c>
      <c r="KY897" s="27" t="s">
        <v>8</v>
      </c>
      <c r="KZ897" s="27" t="s">
        <v>7</v>
      </c>
      <c r="LA897" s="27" t="s">
        <v>8</v>
      </c>
      <c r="LD897" s="27" t="s">
        <v>7</v>
      </c>
      <c r="LE897" s="27" t="s">
        <v>8</v>
      </c>
      <c r="LL897" s="27" t="s">
        <v>7</v>
      </c>
      <c r="LM897" s="27" t="s">
        <v>8</v>
      </c>
      <c r="LR897" s="27" t="s">
        <v>7</v>
      </c>
      <c r="LS897" s="27" t="s">
        <v>8</v>
      </c>
    </row>
    <row r="898" spans="1:331" x14ac:dyDescent="0.25">
      <c r="A898" s="7">
        <v>2.115176350493513E-3</v>
      </c>
      <c r="B898"/>
      <c r="C898"/>
      <c r="D898"/>
      <c r="E898"/>
      <c r="F898" s="27" t="s">
        <v>7</v>
      </c>
      <c r="IW898" s="27" t="s">
        <v>8</v>
      </c>
      <c r="IX898" s="27" t="s">
        <v>7</v>
      </c>
      <c r="IY898" s="27" t="s">
        <v>8</v>
      </c>
      <c r="IZ898" s="27" t="s">
        <v>7</v>
      </c>
      <c r="JA898" s="27" t="s">
        <v>8</v>
      </c>
      <c r="JB898" s="27" t="s">
        <v>7</v>
      </c>
      <c r="JC898" s="27" t="s">
        <v>8</v>
      </c>
      <c r="JD898" s="27" t="s">
        <v>7</v>
      </c>
      <c r="JE898" s="27" t="s">
        <v>8</v>
      </c>
      <c r="JI898" s="27" t="s">
        <v>8</v>
      </c>
      <c r="JT898" s="27" t="s">
        <v>7</v>
      </c>
      <c r="JW898" s="27" t="s">
        <v>8</v>
      </c>
      <c r="JX898" s="27" t="s">
        <v>7</v>
      </c>
      <c r="JY898" s="27" t="s">
        <v>8</v>
      </c>
      <c r="JZ898" s="27" t="s">
        <v>7</v>
      </c>
      <c r="KA898" s="27" t="s">
        <v>8</v>
      </c>
      <c r="KB898" s="27" t="s">
        <v>7</v>
      </c>
      <c r="KI898" s="27" t="s">
        <v>8</v>
      </c>
      <c r="KJ898" s="27" t="s">
        <v>7</v>
      </c>
      <c r="KM898" s="27" t="s">
        <v>8</v>
      </c>
      <c r="KO898" s="27" t="s">
        <v>8</v>
      </c>
      <c r="KP898" s="27" t="s">
        <v>7</v>
      </c>
      <c r="KQ898" s="27" t="s">
        <v>8</v>
      </c>
      <c r="KR898" s="27" t="s">
        <v>7</v>
      </c>
      <c r="KU898" s="27" t="s">
        <v>8</v>
      </c>
      <c r="KV898" s="27" t="s">
        <v>7</v>
      </c>
      <c r="KW898" s="27" t="s">
        <v>8</v>
      </c>
      <c r="KX898" s="27" t="s">
        <v>7</v>
      </c>
      <c r="KZ898" s="27" t="s">
        <v>7</v>
      </c>
      <c r="LA898" s="27" t="s">
        <v>8</v>
      </c>
      <c r="LD898" s="27" t="s">
        <v>7</v>
      </c>
      <c r="LE898" s="27" t="s">
        <v>8</v>
      </c>
      <c r="LL898" s="27" t="s">
        <v>7</v>
      </c>
      <c r="LR898" s="27" t="s">
        <v>7</v>
      </c>
      <c r="LS898" s="27" t="s">
        <v>8</v>
      </c>
    </row>
    <row r="899" spans="1:331" x14ac:dyDescent="0.25">
      <c r="A899" s="7">
        <v>2.0737023044054047E-3</v>
      </c>
      <c r="B899"/>
      <c r="C899"/>
      <c r="D899"/>
      <c r="E899"/>
      <c r="F899" s="27" t="s">
        <v>7</v>
      </c>
      <c r="IW899" s="27" t="s">
        <v>8</v>
      </c>
      <c r="IX899" s="27" t="s">
        <v>7</v>
      </c>
      <c r="IZ899" s="27" t="s">
        <v>7</v>
      </c>
      <c r="JB899" s="27" t="s">
        <v>7</v>
      </c>
      <c r="JC899" s="27" t="s">
        <v>8</v>
      </c>
      <c r="JD899" s="27" t="s">
        <v>7</v>
      </c>
      <c r="JE899" s="27" t="s">
        <v>8</v>
      </c>
      <c r="JF899" s="27" t="s">
        <v>7</v>
      </c>
      <c r="JI899" s="27" t="s">
        <v>8</v>
      </c>
      <c r="JT899" s="27" t="s">
        <v>7</v>
      </c>
      <c r="JW899" s="27" t="s">
        <v>8</v>
      </c>
      <c r="JX899" s="27" t="s">
        <v>7</v>
      </c>
      <c r="JY899" s="27" t="s">
        <v>8</v>
      </c>
      <c r="JZ899" s="27" t="s">
        <v>7</v>
      </c>
      <c r="KA899" s="27" t="s">
        <v>8</v>
      </c>
      <c r="KB899" s="27" t="s">
        <v>7</v>
      </c>
      <c r="KI899" s="27" t="s">
        <v>8</v>
      </c>
      <c r="KJ899" s="27" t="s">
        <v>7</v>
      </c>
      <c r="KM899" s="27" t="s">
        <v>8</v>
      </c>
      <c r="KN899" s="27" t="s">
        <v>7</v>
      </c>
      <c r="KO899" s="27" t="s">
        <v>8</v>
      </c>
      <c r="KP899" s="27" t="s">
        <v>7</v>
      </c>
      <c r="KQ899" s="27" t="s">
        <v>8</v>
      </c>
      <c r="KR899" s="27" t="s">
        <v>7</v>
      </c>
      <c r="KU899" s="27" t="s">
        <v>8</v>
      </c>
      <c r="KV899" s="27" t="s">
        <v>7</v>
      </c>
      <c r="KW899" s="27" t="s">
        <v>8</v>
      </c>
      <c r="KZ899" s="27" t="s">
        <v>7</v>
      </c>
      <c r="LA899" s="27" t="s">
        <v>8</v>
      </c>
      <c r="LD899" s="27" t="s">
        <v>7</v>
      </c>
      <c r="LE899" s="27" t="s">
        <v>8</v>
      </c>
      <c r="LR899" s="27" t="s">
        <v>7</v>
      </c>
      <c r="LS899" s="27" t="s">
        <v>8</v>
      </c>
    </row>
    <row r="900" spans="1:331" x14ac:dyDescent="0.25">
      <c r="A900" s="7">
        <v>2.0330414749072595E-3</v>
      </c>
      <c r="B900"/>
      <c r="C900"/>
      <c r="D900"/>
      <c r="E900"/>
      <c r="F900" s="27" t="s">
        <v>7</v>
      </c>
      <c r="IW900" s="27" t="s">
        <v>8</v>
      </c>
      <c r="JB900" s="27" t="s">
        <v>7</v>
      </c>
      <c r="JC900" s="27" t="s">
        <v>8</v>
      </c>
      <c r="JD900" s="27" t="s">
        <v>7</v>
      </c>
      <c r="JE900" s="27" t="s">
        <v>8</v>
      </c>
      <c r="JF900" s="27" t="s">
        <v>7</v>
      </c>
      <c r="JI900" s="27" t="s">
        <v>8</v>
      </c>
      <c r="JT900" s="27" t="s">
        <v>7</v>
      </c>
      <c r="JW900" s="27" t="s">
        <v>8</v>
      </c>
      <c r="JX900" s="27" t="s">
        <v>7</v>
      </c>
      <c r="JY900" s="27" t="s">
        <v>8</v>
      </c>
      <c r="JZ900" s="27" t="s">
        <v>7</v>
      </c>
      <c r="KA900" s="27" t="s">
        <v>8</v>
      </c>
      <c r="KB900" s="27" t="s">
        <v>7</v>
      </c>
      <c r="KI900" s="27" t="s">
        <v>8</v>
      </c>
      <c r="KJ900" s="27" t="s">
        <v>7</v>
      </c>
      <c r="KM900" s="27" t="s">
        <v>8</v>
      </c>
      <c r="KN900" s="27" t="s">
        <v>7</v>
      </c>
      <c r="KO900" s="27" t="s">
        <v>8</v>
      </c>
      <c r="KP900" s="27" t="s">
        <v>7</v>
      </c>
      <c r="KQ900" s="27" t="s">
        <v>8</v>
      </c>
      <c r="KR900" s="27" t="s">
        <v>7</v>
      </c>
      <c r="KU900" s="27" t="s">
        <v>8</v>
      </c>
      <c r="KV900" s="27" t="s">
        <v>7</v>
      </c>
      <c r="KW900" s="27" t="s">
        <v>8</v>
      </c>
      <c r="KZ900" s="27" t="s">
        <v>7</v>
      </c>
      <c r="LA900" s="27" t="s">
        <v>8</v>
      </c>
      <c r="LD900" s="27" t="s">
        <v>7</v>
      </c>
      <c r="LR900" s="27" t="s">
        <v>7</v>
      </c>
    </row>
    <row r="901" spans="1:331" x14ac:dyDescent="0.25">
      <c r="A901" s="7">
        <v>1.9931779165757446E-3</v>
      </c>
      <c r="B901"/>
      <c r="C901"/>
      <c r="D901"/>
      <c r="E901"/>
      <c r="F901" s="27" t="s">
        <v>7</v>
      </c>
      <c r="IW901" s="27" t="s">
        <v>8</v>
      </c>
      <c r="JB901" s="27" t="s">
        <v>7</v>
      </c>
      <c r="JC901" s="27" t="s">
        <v>8</v>
      </c>
      <c r="JD901" s="27" t="s">
        <v>7</v>
      </c>
      <c r="JE901" s="27" t="s">
        <v>8</v>
      </c>
      <c r="JF901" s="27" t="s">
        <v>7</v>
      </c>
      <c r="JG901" s="27" t="s">
        <v>8</v>
      </c>
      <c r="JI901" s="27" t="s">
        <v>8</v>
      </c>
      <c r="JT901" s="27" t="s">
        <v>7</v>
      </c>
      <c r="JU901" s="27" t="s">
        <v>8</v>
      </c>
      <c r="JW901" s="27" t="s">
        <v>8</v>
      </c>
      <c r="JX901" s="27" t="s">
        <v>7</v>
      </c>
      <c r="JZ901" s="27" t="s">
        <v>7</v>
      </c>
      <c r="KB901" s="27" t="s">
        <v>7</v>
      </c>
      <c r="KI901" s="27" t="s">
        <v>8</v>
      </c>
      <c r="KJ901" s="27" t="s">
        <v>7</v>
      </c>
      <c r="KM901" s="27" t="s">
        <v>8</v>
      </c>
      <c r="KN901" s="27" t="s">
        <v>7</v>
      </c>
      <c r="KO901" s="27" t="s">
        <v>8</v>
      </c>
      <c r="KP901" s="27" t="s">
        <v>7</v>
      </c>
      <c r="KQ901" s="27" t="s">
        <v>8</v>
      </c>
      <c r="KR901" s="27" t="s">
        <v>7</v>
      </c>
      <c r="KU901" s="27" t="s">
        <v>8</v>
      </c>
      <c r="KV901" s="27" t="s">
        <v>7</v>
      </c>
      <c r="KW901" s="27" t="s">
        <v>8</v>
      </c>
      <c r="KZ901" s="27" t="s">
        <v>7</v>
      </c>
    </row>
    <row r="902" spans="1:331" x14ac:dyDescent="0.25">
      <c r="A902" s="7">
        <v>1.954095996642887E-3</v>
      </c>
      <c r="B902"/>
      <c r="C902"/>
      <c r="D902"/>
      <c r="E902"/>
      <c r="F902" s="27" t="s">
        <v>7</v>
      </c>
      <c r="IW902" s="27" t="s">
        <v>8</v>
      </c>
      <c r="JB902" s="27" t="s">
        <v>7</v>
      </c>
      <c r="JC902" s="27" t="s">
        <v>8</v>
      </c>
      <c r="JD902" s="27" t="s">
        <v>7</v>
      </c>
      <c r="JE902" s="27" t="s">
        <v>8</v>
      </c>
      <c r="JF902" s="27" t="s">
        <v>7</v>
      </c>
      <c r="JG902" s="27" t="s">
        <v>8</v>
      </c>
      <c r="JH902" s="27" t="s">
        <v>7</v>
      </c>
      <c r="JI902" s="27" t="s">
        <v>8</v>
      </c>
      <c r="JT902" s="27" t="s">
        <v>7</v>
      </c>
      <c r="JU902" s="27" t="s">
        <v>8</v>
      </c>
      <c r="JV902" s="27" t="s">
        <v>7</v>
      </c>
      <c r="JW902" s="27" t="s">
        <v>8</v>
      </c>
      <c r="KB902" s="27" t="s">
        <v>7</v>
      </c>
      <c r="KI902" s="27" t="s">
        <v>8</v>
      </c>
      <c r="KJ902" s="27" t="s">
        <v>7</v>
      </c>
      <c r="KK902" s="27" t="s">
        <v>8</v>
      </c>
      <c r="KM902" s="27" t="s">
        <v>8</v>
      </c>
      <c r="KN902" s="27" t="s">
        <v>7</v>
      </c>
      <c r="KO902" s="27" t="s">
        <v>8</v>
      </c>
      <c r="KP902" s="27" t="s">
        <v>7</v>
      </c>
      <c r="KQ902" s="27" t="s">
        <v>8</v>
      </c>
      <c r="KR902" s="27" t="s">
        <v>7</v>
      </c>
      <c r="KU902" s="27" t="s">
        <v>8</v>
      </c>
      <c r="KV902" s="27" t="s">
        <v>7</v>
      </c>
    </row>
    <row r="903" spans="1:331" x14ac:dyDescent="0.25">
      <c r="A903" s="7">
        <v>1.9157803888655755E-3</v>
      </c>
      <c r="B903"/>
      <c r="C903"/>
      <c r="D903"/>
      <c r="E903"/>
      <c r="F903" s="27" t="s">
        <v>7</v>
      </c>
      <c r="IW903" s="27" t="s">
        <v>8</v>
      </c>
      <c r="JB903" s="27" t="s">
        <v>7</v>
      </c>
      <c r="JC903" s="27" t="s">
        <v>8</v>
      </c>
      <c r="JD903" s="27" t="s">
        <v>7</v>
      </c>
      <c r="JE903" s="27" t="s">
        <v>8</v>
      </c>
      <c r="JF903" s="27" t="s">
        <v>7</v>
      </c>
      <c r="JG903" s="27" t="s">
        <v>8</v>
      </c>
      <c r="JH903" s="27" t="s">
        <v>7</v>
      </c>
      <c r="JI903" s="27" t="s">
        <v>8</v>
      </c>
      <c r="JT903" s="27" t="s">
        <v>7</v>
      </c>
      <c r="JU903" s="27" t="s">
        <v>8</v>
      </c>
      <c r="JV903" s="27" t="s">
        <v>7</v>
      </c>
      <c r="JW903" s="27" t="s">
        <v>8</v>
      </c>
      <c r="KB903" s="27" t="s">
        <v>7</v>
      </c>
      <c r="KI903" s="27" t="s">
        <v>8</v>
      </c>
      <c r="KJ903" s="27" t="s">
        <v>7</v>
      </c>
      <c r="KK903" s="27" t="s">
        <v>8</v>
      </c>
      <c r="KL903" s="27" t="s">
        <v>7</v>
      </c>
      <c r="KM903" s="27" t="s">
        <v>8</v>
      </c>
      <c r="KN903" s="27" t="s">
        <v>7</v>
      </c>
      <c r="KO903" s="27" t="s">
        <v>8</v>
      </c>
      <c r="KP903" s="27" t="s">
        <v>7</v>
      </c>
      <c r="KQ903" s="27" t="s">
        <v>8</v>
      </c>
      <c r="KR903" s="27" t="s">
        <v>7</v>
      </c>
      <c r="KU903" s="27" t="s">
        <v>8</v>
      </c>
    </row>
    <row r="904" spans="1:331" x14ac:dyDescent="0.25">
      <c r="A904" s="7">
        <v>1.8782160675152703E-3</v>
      </c>
      <c r="B904"/>
      <c r="C904"/>
      <c r="D904"/>
      <c r="E904"/>
      <c r="F904" s="27" t="s">
        <v>7</v>
      </c>
      <c r="IW904" s="27" t="s">
        <v>8</v>
      </c>
      <c r="JB904" s="27" t="s">
        <v>7</v>
      </c>
      <c r="JC904" s="27" t="s">
        <v>8</v>
      </c>
      <c r="JD904" s="27" t="s">
        <v>7</v>
      </c>
      <c r="JE904" s="27" t="s">
        <v>8</v>
      </c>
      <c r="JF904" s="27" t="s">
        <v>7</v>
      </c>
      <c r="JG904" s="27" t="s">
        <v>8</v>
      </c>
      <c r="JH904" s="27" t="s">
        <v>7</v>
      </c>
      <c r="JI904" s="27" t="s">
        <v>8</v>
      </c>
      <c r="JT904" s="27" t="s">
        <v>7</v>
      </c>
      <c r="JU904" s="27" t="s">
        <v>8</v>
      </c>
      <c r="JV904" s="27" t="s">
        <v>7</v>
      </c>
      <c r="JW904" s="27" t="s">
        <v>8</v>
      </c>
      <c r="KB904" s="27" t="s">
        <v>7</v>
      </c>
      <c r="KI904" s="27" t="s">
        <v>8</v>
      </c>
      <c r="KJ904" s="27" t="s">
        <v>7</v>
      </c>
      <c r="KK904" s="27" t="s">
        <v>8</v>
      </c>
      <c r="KL904" s="27" t="s">
        <v>7</v>
      </c>
      <c r="KM904" s="27" t="s">
        <v>8</v>
      </c>
      <c r="KN904" s="27" t="s">
        <v>7</v>
      </c>
      <c r="KO904" s="27" t="s">
        <v>8</v>
      </c>
      <c r="KP904" s="27" t="s">
        <v>7</v>
      </c>
      <c r="KR904" s="27" t="s">
        <v>7</v>
      </c>
      <c r="KS904" s="27" t="s">
        <v>8</v>
      </c>
      <c r="KU904" s="27" t="s">
        <v>8</v>
      </c>
    </row>
    <row r="905" spans="1:331" x14ac:dyDescent="0.25">
      <c r="A905" s="7">
        <v>1.8413883014855592E-3</v>
      </c>
      <c r="B905"/>
      <c r="C905"/>
      <c r="D905"/>
      <c r="E905"/>
      <c r="F905" s="27" t="s">
        <v>7</v>
      </c>
      <c r="IW905" s="27" t="s">
        <v>8</v>
      </c>
      <c r="JB905" s="27" t="s">
        <v>7</v>
      </c>
      <c r="JC905" s="27" t="s">
        <v>8</v>
      </c>
      <c r="JD905" s="27" t="s">
        <v>7</v>
      </c>
      <c r="JE905" s="27" t="s">
        <v>8</v>
      </c>
      <c r="JF905" s="27" t="s">
        <v>7</v>
      </c>
      <c r="JG905" s="27" t="s">
        <v>8</v>
      </c>
      <c r="JH905" s="27" t="s">
        <v>7</v>
      </c>
      <c r="JI905" s="27" t="s">
        <v>8</v>
      </c>
      <c r="JT905" s="27" t="s">
        <v>7</v>
      </c>
      <c r="JU905" s="27" t="s">
        <v>8</v>
      </c>
      <c r="JV905" s="27" t="s">
        <v>7</v>
      </c>
      <c r="JW905" s="27" t="s">
        <v>8</v>
      </c>
      <c r="KB905" s="27" t="s">
        <v>7</v>
      </c>
      <c r="KI905" s="27" t="s">
        <v>8</v>
      </c>
      <c r="KJ905" s="27" t="s">
        <v>7</v>
      </c>
      <c r="KK905" s="27" t="s">
        <v>8</v>
      </c>
      <c r="KL905" s="27" t="s">
        <v>7</v>
      </c>
      <c r="KM905" s="27" t="s">
        <v>8</v>
      </c>
      <c r="KN905" s="27" t="s">
        <v>7</v>
      </c>
      <c r="KO905" s="27" t="s">
        <v>8</v>
      </c>
      <c r="KR905" s="27" t="s">
        <v>7</v>
      </c>
      <c r="KS905" s="27" t="s">
        <v>8</v>
      </c>
      <c r="KT905" s="27" t="s">
        <v>7</v>
      </c>
      <c r="KU905" s="27" t="s">
        <v>8</v>
      </c>
    </row>
    <row r="906" spans="1:331" x14ac:dyDescent="0.25">
      <c r="A906" s="7">
        <v>1.8052826485152542E-3</v>
      </c>
      <c r="B906"/>
      <c r="C906"/>
      <c r="D906"/>
      <c r="E906"/>
      <c r="F906" s="27" t="s">
        <v>7</v>
      </c>
      <c r="IW906" s="27" t="s">
        <v>8</v>
      </c>
      <c r="JB906" s="27" t="s">
        <v>7</v>
      </c>
      <c r="JD906" s="27" t="s">
        <v>7</v>
      </c>
      <c r="JF906" s="27" t="s">
        <v>7</v>
      </c>
      <c r="JG906" s="27" t="s">
        <v>8</v>
      </c>
      <c r="JH906" s="27" t="s">
        <v>7</v>
      </c>
      <c r="JT906" s="27" t="s">
        <v>7</v>
      </c>
      <c r="JU906" s="27" t="s">
        <v>8</v>
      </c>
      <c r="JV906" s="27" t="s">
        <v>7</v>
      </c>
      <c r="KB906" s="27" t="s">
        <v>7</v>
      </c>
      <c r="KI906" s="27" t="s">
        <v>8</v>
      </c>
      <c r="KJ906" s="27" t="s">
        <v>7</v>
      </c>
      <c r="KL906" s="27" t="s">
        <v>7</v>
      </c>
      <c r="KM906" s="27" t="s">
        <v>8</v>
      </c>
      <c r="KN906" s="27" t="s">
        <v>7</v>
      </c>
      <c r="KO906" s="27" t="s">
        <v>8</v>
      </c>
      <c r="KR906" s="27" t="s">
        <v>7</v>
      </c>
      <c r="KS906" s="27" t="s">
        <v>8</v>
      </c>
      <c r="KT906" s="27" t="s">
        <v>7</v>
      </c>
      <c r="KU906" s="27" t="s">
        <v>8</v>
      </c>
    </row>
    <row r="907" spans="1:331" x14ac:dyDescent="0.25">
      <c r="A907" s="7">
        <v>1.7698849495247592E-3</v>
      </c>
      <c r="B907"/>
      <c r="C907"/>
      <c r="D907"/>
      <c r="E907"/>
      <c r="F907" s="27" t="s">
        <v>7</v>
      </c>
      <c r="IW907" s="27" t="s">
        <v>8</v>
      </c>
      <c r="JF907" s="27" t="s">
        <v>7</v>
      </c>
      <c r="JT907" s="27" t="s">
        <v>7</v>
      </c>
      <c r="JU907" s="27" t="s">
        <v>8</v>
      </c>
      <c r="KB907" s="27" t="s">
        <v>7</v>
      </c>
      <c r="KI907" s="27" t="s">
        <v>8</v>
      </c>
      <c r="KL907" s="27" t="s">
        <v>7</v>
      </c>
      <c r="KM907" s="27" t="s">
        <v>8</v>
      </c>
      <c r="KN907" s="27" t="s">
        <v>7</v>
      </c>
      <c r="KR907" s="27" t="s">
        <v>7</v>
      </c>
      <c r="KS907" s="27" t="s">
        <v>8</v>
      </c>
      <c r="KT907" s="27" t="s">
        <v>7</v>
      </c>
      <c r="KU907" s="27" t="s">
        <v>8</v>
      </c>
    </row>
    <row r="908" spans="1:331" x14ac:dyDescent="0.25">
      <c r="A908" s="7">
        <v>1.7351813230634893E-3</v>
      </c>
      <c r="B908"/>
      <c r="C908"/>
      <c r="D908"/>
      <c r="E908"/>
      <c r="F908" s="27" t="s">
        <v>7</v>
      </c>
      <c r="IW908" s="27" t="s">
        <v>8</v>
      </c>
      <c r="JT908" s="27" t="s">
        <v>7</v>
      </c>
      <c r="JU908" s="27" t="s">
        <v>8</v>
      </c>
      <c r="KB908" s="27" t="s">
        <v>7</v>
      </c>
      <c r="KE908" s="27" t="s">
        <v>8</v>
      </c>
      <c r="KI908" s="27" t="s">
        <v>8</v>
      </c>
      <c r="KL908" s="27" t="s">
        <v>7</v>
      </c>
      <c r="KM908" s="27" t="s">
        <v>8</v>
      </c>
      <c r="KR908" s="27" t="s">
        <v>7</v>
      </c>
      <c r="KT908" s="27" t="s">
        <v>7</v>
      </c>
      <c r="KU908" s="27" t="s">
        <v>8</v>
      </c>
    </row>
    <row r="909" spans="1:331" x14ac:dyDescent="0.25">
      <c r="A909" s="7">
        <v>1.701158159866166E-3</v>
      </c>
      <c r="B909"/>
      <c r="C909"/>
      <c r="D909"/>
      <c r="E909"/>
      <c r="F909" s="27" t="s">
        <v>7</v>
      </c>
      <c r="IW909" s="27" t="s">
        <v>8</v>
      </c>
      <c r="JT909" s="27" t="s">
        <v>7</v>
      </c>
      <c r="JU909" s="27" t="s">
        <v>8</v>
      </c>
      <c r="KB909" s="27" t="s">
        <v>7</v>
      </c>
      <c r="KE909" s="27" t="s">
        <v>8</v>
      </c>
      <c r="KF909" s="27" t="s">
        <v>7</v>
      </c>
      <c r="KI909" s="27" t="s">
        <v>8</v>
      </c>
      <c r="KL909" s="27" t="s">
        <v>7</v>
      </c>
      <c r="KM909" s="27" t="s">
        <v>8</v>
      </c>
      <c r="KT909" s="27" t="s">
        <v>7</v>
      </c>
      <c r="KU909" s="27" t="s">
        <v>8</v>
      </c>
    </row>
    <row r="910" spans="1:331" x14ac:dyDescent="0.25">
      <c r="A910" s="7">
        <v>1.6678021175158492E-3</v>
      </c>
      <c r="B910"/>
      <c r="C910"/>
      <c r="D910"/>
      <c r="E910"/>
      <c r="F910" s="27" t="s">
        <v>7</v>
      </c>
      <c r="IU910" s="27" t="s">
        <v>8</v>
      </c>
      <c r="IW910" s="27" t="s">
        <v>8</v>
      </c>
      <c r="JT910" s="27" t="s">
        <v>7</v>
      </c>
      <c r="JU910" s="27" t="s">
        <v>8</v>
      </c>
      <c r="KB910" s="27" t="s">
        <v>7</v>
      </c>
      <c r="KE910" s="27" t="s">
        <v>8</v>
      </c>
      <c r="KF910" s="27" t="s">
        <v>7</v>
      </c>
      <c r="KI910" s="27" t="s">
        <v>8</v>
      </c>
      <c r="KL910" s="27" t="s">
        <v>7</v>
      </c>
      <c r="KM910" s="27" t="s">
        <v>8</v>
      </c>
      <c r="KT910" s="27" t="s">
        <v>7</v>
      </c>
      <c r="KU910" s="27" t="s">
        <v>8</v>
      </c>
    </row>
    <row r="911" spans="1:331" x14ac:dyDescent="0.25">
      <c r="A911" s="7">
        <v>1.6351001152116167E-3</v>
      </c>
      <c r="B911"/>
      <c r="C911"/>
      <c r="D911"/>
      <c r="E911"/>
      <c r="F911" s="27" t="s">
        <v>7</v>
      </c>
      <c r="IU911" s="27" t="s">
        <v>8</v>
      </c>
      <c r="IV911" s="27" t="s">
        <v>7</v>
      </c>
      <c r="IW911" s="27" t="s">
        <v>8</v>
      </c>
      <c r="JT911" s="27" t="s">
        <v>7</v>
      </c>
      <c r="KB911" s="27" t="s">
        <v>7</v>
      </c>
      <c r="KC911" s="27" t="s">
        <v>8</v>
      </c>
      <c r="KE911" s="27" t="s">
        <v>8</v>
      </c>
      <c r="KF911" s="27" t="s">
        <v>7</v>
      </c>
      <c r="KI911" s="27" t="s">
        <v>8</v>
      </c>
      <c r="KL911" s="27" t="s">
        <v>7</v>
      </c>
      <c r="KT911" s="27" t="s">
        <v>7</v>
      </c>
      <c r="KU911" s="27" t="s">
        <v>8</v>
      </c>
    </row>
    <row r="912" spans="1:331" x14ac:dyDescent="0.25">
      <c r="A912" s="7">
        <v>1.60303932863884E-3</v>
      </c>
      <c r="B912"/>
      <c r="C912"/>
      <c r="D912"/>
      <c r="E912"/>
      <c r="F912" s="27" t="s">
        <v>7</v>
      </c>
      <c r="IU912" s="27" t="s">
        <v>8</v>
      </c>
      <c r="IV912" s="27" t="s">
        <v>7</v>
      </c>
      <c r="IW912" s="27" t="s">
        <v>8</v>
      </c>
      <c r="KB912" s="27" t="s">
        <v>7</v>
      </c>
      <c r="KC912" s="27" t="s">
        <v>8</v>
      </c>
      <c r="KD912" s="27" t="s">
        <v>7</v>
      </c>
      <c r="KE912" s="27" t="s">
        <v>8</v>
      </c>
      <c r="KF912" s="27" t="s">
        <v>7</v>
      </c>
      <c r="KG912" s="27" t="s">
        <v>8</v>
      </c>
      <c r="KI912" s="27" t="s">
        <v>8</v>
      </c>
      <c r="KT912" s="27" t="s">
        <v>7</v>
      </c>
      <c r="KU912" s="27" t="s">
        <v>8</v>
      </c>
    </row>
    <row r="913" spans="1:306" x14ac:dyDescent="0.25">
      <c r="A913" s="7">
        <v>1.5716071849400392E-3</v>
      </c>
      <c r="B913"/>
      <c r="C913"/>
      <c r="D913"/>
      <c r="E913"/>
      <c r="F913" s="27" t="s">
        <v>7</v>
      </c>
      <c r="IU913" s="27" t="s">
        <v>8</v>
      </c>
      <c r="IV913" s="27" t="s">
        <v>7</v>
      </c>
      <c r="IW913" s="27" t="s">
        <v>8</v>
      </c>
      <c r="KB913" s="27" t="s">
        <v>7</v>
      </c>
      <c r="KC913" s="27" t="s">
        <v>8</v>
      </c>
      <c r="KD913" s="27" t="s">
        <v>7</v>
      </c>
      <c r="KE913" s="27" t="s">
        <v>8</v>
      </c>
      <c r="KF913" s="27" t="s">
        <v>7</v>
      </c>
      <c r="KG913" s="27" t="s">
        <v>8</v>
      </c>
      <c r="KH913" s="27" t="s">
        <v>7</v>
      </c>
      <c r="KI913" s="27" t="s">
        <v>8</v>
      </c>
      <c r="KT913" s="27" t="s">
        <v>7</v>
      </c>
    </row>
    <row r="914" spans="1:306" x14ac:dyDescent="0.25">
      <c r="A914" s="7">
        <v>1.5407913577843522E-3</v>
      </c>
      <c r="B914"/>
      <c r="C914"/>
      <c r="D914"/>
      <c r="E914"/>
      <c r="F914" s="27" t="s">
        <v>7</v>
      </c>
      <c r="IU914" s="27" t="s">
        <v>8</v>
      </c>
      <c r="IV914" s="27" t="s">
        <v>7</v>
      </c>
      <c r="IW914" s="27" t="s">
        <v>8</v>
      </c>
      <c r="KB914" s="27" t="s">
        <v>7</v>
      </c>
      <c r="KC914" s="27" t="s">
        <v>8</v>
      </c>
      <c r="KD914" s="27" t="s">
        <v>7</v>
      </c>
      <c r="KE914" s="27" t="s">
        <v>8</v>
      </c>
      <c r="KF914" s="27" t="s">
        <v>7</v>
      </c>
      <c r="KG914" s="27" t="s">
        <v>8</v>
      </c>
      <c r="KH914" s="27" t="s">
        <v>7</v>
      </c>
      <c r="KI914" s="27" t="s">
        <v>8</v>
      </c>
    </row>
    <row r="915" spans="1:306" x14ac:dyDescent="0.25">
      <c r="A915" s="7">
        <v>1.5105797625336785E-3</v>
      </c>
      <c r="B915"/>
      <c r="C915"/>
      <c r="D915"/>
      <c r="E915"/>
      <c r="F915" s="27" t="s">
        <v>7</v>
      </c>
      <c r="IU915" s="27" t="s">
        <v>8</v>
      </c>
      <c r="IV915" s="27" t="s">
        <v>7</v>
      </c>
      <c r="IW915" s="27" t="s">
        <v>8</v>
      </c>
      <c r="KB915" s="27" t="s">
        <v>7</v>
      </c>
      <c r="KC915" s="27" t="s">
        <v>8</v>
      </c>
      <c r="KD915" s="27" t="s">
        <v>7</v>
      </c>
      <c r="KE915" s="27" t="s">
        <v>8</v>
      </c>
      <c r="KF915" s="27" t="s">
        <v>7</v>
      </c>
      <c r="KG915" s="27" t="s">
        <v>8</v>
      </c>
      <c r="KH915" s="27" t="s">
        <v>7</v>
      </c>
      <c r="KI915" s="27" t="s">
        <v>8</v>
      </c>
    </row>
    <row r="916" spans="1:306" x14ac:dyDescent="0.25">
      <c r="A916" s="7">
        <v>1.4809605515036064E-3</v>
      </c>
      <c r="B916"/>
      <c r="C916"/>
      <c r="D916"/>
      <c r="E916"/>
      <c r="F916" s="27" t="s">
        <v>7</v>
      </c>
      <c r="BC916" s="27" t="s">
        <v>8</v>
      </c>
      <c r="IU916" s="27" t="s">
        <v>8</v>
      </c>
      <c r="IV916" s="27" t="s">
        <v>7</v>
      </c>
      <c r="IW916" s="27" t="s">
        <v>8</v>
      </c>
      <c r="KB916" s="27" t="s">
        <v>7</v>
      </c>
      <c r="KD916" s="27" t="s">
        <v>7</v>
      </c>
      <c r="KF916" s="27" t="s">
        <v>7</v>
      </c>
      <c r="KH916" s="27" t="s">
        <v>7</v>
      </c>
      <c r="KI916" s="27" t="s">
        <v>8</v>
      </c>
    </row>
    <row r="917" spans="1:306" x14ac:dyDescent="0.25">
      <c r="A917" s="7">
        <v>1.4519221093172612E-3</v>
      </c>
      <c r="B917"/>
      <c r="C917"/>
      <c r="D917"/>
      <c r="E917"/>
      <c r="F917" s="27" t="s">
        <v>7</v>
      </c>
      <c r="BC917" s="27" t="s">
        <v>8</v>
      </c>
      <c r="BD917" s="27" t="s">
        <v>7</v>
      </c>
      <c r="IU917" s="27" t="s">
        <v>8</v>
      </c>
      <c r="IV917" s="27" t="s">
        <v>7</v>
      </c>
      <c r="IW917" s="27" t="s">
        <v>8</v>
      </c>
      <c r="KH917" s="27" t="s">
        <v>7</v>
      </c>
      <c r="KI917" s="27" t="s">
        <v>8</v>
      </c>
    </row>
    <row r="918" spans="1:306" x14ac:dyDescent="0.25">
      <c r="A918" s="7">
        <v>1.423453048350256E-3</v>
      </c>
      <c r="B918"/>
      <c r="C918"/>
      <c r="D918"/>
      <c r="E918"/>
      <c r="F918" s="27" t="s">
        <v>7</v>
      </c>
      <c r="BC918" s="27" t="s">
        <v>8</v>
      </c>
      <c r="BD918" s="27" t="s">
        <v>7</v>
      </c>
      <c r="BE918" s="27" t="s">
        <v>8</v>
      </c>
      <c r="IU918" s="27" t="s">
        <v>8</v>
      </c>
      <c r="IV918" s="27" t="s">
        <v>7</v>
      </c>
      <c r="IW918" s="27" t="s">
        <v>8</v>
      </c>
      <c r="KH918" s="27" t="s">
        <v>7</v>
      </c>
      <c r="KI918" s="27" t="s">
        <v>8</v>
      </c>
    </row>
    <row r="919" spans="1:306" x14ac:dyDescent="0.25">
      <c r="A919" s="7">
        <v>1.3955422042649568E-3</v>
      </c>
      <c r="B919"/>
      <c r="C919"/>
      <c r="D919"/>
      <c r="E919"/>
      <c r="F919" s="27" t="s">
        <v>7</v>
      </c>
      <c r="BC919" s="27" t="s">
        <v>8</v>
      </c>
      <c r="BD919" s="27" t="s">
        <v>7</v>
      </c>
      <c r="BE919" s="27" t="s">
        <v>8</v>
      </c>
      <c r="BF919" s="27" t="s">
        <v>7</v>
      </c>
      <c r="IU919" s="27" t="s">
        <v>8</v>
      </c>
      <c r="IV919" s="27" t="s">
        <v>7</v>
      </c>
      <c r="IW919" s="27" t="s">
        <v>8</v>
      </c>
      <c r="KH919" s="27" t="s">
        <v>7</v>
      </c>
    </row>
    <row r="920" spans="1:306" x14ac:dyDescent="0.25">
      <c r="A920" s="7">
        <v>1.3681786316323105E-3</v>
      </c>
      <c r="B920"/>
      <c r="C920"/>
      <c r="D920"/>
      <c r="E920"/>
      <c r="F920" s="27" t="s">
        <v>7</v>
      </c>
      <c r="BC920" s="27" t="s">
        <v>8</v>
      </c>
      <c r="BD920" s="27" t="s">
        <v>7</v>
      </c>
      <c r="BE920" s="27" t="s">
        <v>8</v>
      </c>
      <c r="BF920" s="27" t="s">
        <v>7</v>
      </c>
      <c r="IU920" s="27" t="s">
        <v>8</v>
      </c>
      <c r="IV920" s="27" t="s">
        <v>7</v>
      </c>
    </row>
    <row r="921" spans="1:306" x14ac:dyDescent="0.25">
      <c r="A921" s="7">
        <v>1.3413515996395203E-3</v>
      </c>
      <c r="B921"/>
      <c r="C921"/>
      <c r="D921"/>
      <c r="E921"/>
      <c r="F921" s="27" t="s">
        <v>7</v>
      </c>
      <c r="BC921" s="27" t="s">
        <v>8</v>
      </c>
      <c r="BD921" s="27" t="s">
        <v>7</v>
      </c>
      <c r="BE921" s="27" t="s">
        <v>8</v>
      </c>
      <c r="BF921" s="27" t="s">
        <v>7</v>
      </c>
      <c r="IU921" s="27" t="s">
        <v>8</v>
      </c>
    </row>
    <row r="922" spans="1:306" x14ac:dyDescent="0.25">
      <c r="A922" s="7">
        <v>1.3150505878818826E-3</v>
      </c>
      <c r="B922"/>
      <c r="C922"/>
      <c r="D922"/>
      <c r="E922"/>
      <c r="F922" s="27" t="s">
        <v>7</v>
      </c>
      <c r="BC922" s="27" t="s">
        <v>8</v>
      </c>
      <c r="BD922" s="27" t="s">
        <v>7</v>
      </c>
      <c r="BE922" s="27" t="s">
        <v>8</v>
      </c>
      <c r="BF922" s="27" t="s">
        <v>7</v>
      </c>
      <c r="BG922" s="27" t="s">
        <v>8</v>
      </c>
      <c r="DU922" s="27" t="s">
        <v>8</v>
      </c>
      <c r="IU922" s="27" t="s">
        <v>8</v>
      </c>
    </row>
    <row r="923" spans="1:306" x14ac:dyDescent="0.25">
      <c r="A923" s="7">
        <v>1.2892652822371396E-3</v>
      </c>
      <c r="B923"/>
      <c r="C923"/>
      <c r="D923"/>
      <c r="E923"/>
      <c r="F923" s="27" t="s">
        <v>7</v>
      </c>
      <c r="K923" s="27" t="s">
        <v>8</v>
      </c>
      <c r="AW923" s="27" t="s">
        <v>8</v>
      </c>
      <c r="BC923" s="27" t="s">
        <v>8</v>
      </c>
      <c r="BD923" s="27" t="s">
        <v>7</v>
      </c>
      <c r="BE923" s="27" t="s">
        <v>8</v>
      </c>
      <c r="BF923" s="27" t="s">
        <v>7</v>
      </c>
      <c r="BG923" s="27" t="s">
        <v>8</v>
      </c>
      <c r="BH923" s="27" t="s">
        <v>7</v>
      </c>
      <c r="DU923" s="27" t="s">
        <v>8</v>
      </c>
      <c r="DV923" s="27" t="s">
        <v>7</v>
      </c>
      <c r="IU923" s="27" t="s">
        <v>8</v>
      </c>
    </row>
    <row r="924" spans="1:306" x14ac:dyDescent="0.25">
      <c r="A924" s="7">
        <v>1.2639855708207251E-3</v>
      </c>
      <c r="B924"/>
      <c r="C924"/>
      <c r="D924"/>
      <c r="E924"/>
      <c r="F924" s="27" t="s">
        <v>7</v>
      </c>
      <c r="K924" s="27" t="s">
        <v>8</v>
      </c>
      <c r="L924" s="27" t="s">
        <v>7</v>
      </c>
      <c r="AW924" s="27" t="s">
        <v>8</v>
      </c>
      <c r="AX924" s="27" t="s">
        <v>7</v>
      </c>
      <c r="BC924" s="27" t="s">
        <v>8</v>
      </c>
      <c r="BD924" s="27" t="s">
        <v>7</v>
      </c>
      <c r="BE924" s="27" t="s">
        <v>8</v>
      </c>
      <c r="BF924" s="27" t="s">
        <v>7</v>
      </c>
      <c r="BG924" s="27" t="s">
        <v>8</v>
      </c>
      <c r="BH924" s="27" t="s">
        <v>7</v>
      </c>
      <c r="DU924" s="27" t="s">
        <v>8</v>
      </c>
      <c r="DV924" s="27" t="s">
        <v>7</v>
      </c>
      <c r="EG924" s="27" t="s">
        <v>8</v>
      </c>
      <c r="IU924" s="27" t="s">
        <v>8</v>
      </c>
    </row>
    <row r="925" spans="1:306" x14ac:dyDescent="0.25">
      <c r="A925" s="7">
        <v>1.2392015400203187E-3</v>
      </c>
      <c r="B925"/>
      <c r="C925"/>
      <c r="D925"/>
      <c r="E925"/>
      <c r="F925" s="27" t="s">
        <v>7</v>
      </c>
      <c r="K925" s="27" t="s">
        <v>8</v>
      </c>
      <c r="L925" s="27" t="s">
        <v>7</v>
      </c>
      <c r="AW925" s="27" t="s">
        <v>8</v>
      </c>
      <c r="AX925" s="27" t="s">
        <v>7</v>
      </c>
      <c r="BC925" s="27" t="s">
        <v>8</v>
      </c>
      <c r="BD925" s="27" t="s">
        <v>7</v>
      </c>
      <c r="BE925" s="27" t="s">
        <v>8</v>
      </c>
      <c r="BF925" s="27" t="s">
        <v>7</v>
      </c>
      <c r="BG925" s="27" t="s">
        <v>8</v>
      </c>
      <c r="BH925" s="27" t="s">
        <v>7</v>
      </c>
      <c r="DU925" s="27" t="s">
        <v>8</v>
      </c>
      <c r="DV925" s="27" t="s">
        <v>7</v>
      </c>
      <c r="EG925" s="27" t="s">
        <v>8</v>
      </c>
      <c r="EH925" s="27" t="s">
        <v>7</v>
      </c>
      <c r="IA925" s="27" t="s">
        <v>8</v>
      </c>
      <c r="IU925" s="27" t="s">
        <v>8</v>
      </c>
    </row>
    <row r="926" spans="1:306" x14ac:dyDescent="0.25">
      <c r="A926" s="7">
        <v>1.2149034706081556E-3</v>
      </c>
      <c r="B926"/>
      <c r="C926"/>
      <c r="D926"/>
      <c r="E926"/>
      <c r="F926" s="27" t="s">
        <v>7</v>
      </c>
      <c r="K926" s="27" t="s">
        <v>8</v>
      </c>
      <c r="L926" s="27" t="s">
        <v>7</v>
      </c>
      <c r="O926" s="27" t="s">
        <v>8</v>
      </c>
      <c r="Q926" s="27" t="s">
        <v>8</v>
      </c>
      <c r="AW926" s="27" t="s">
        <v>8</v>
      </c>
      <c r="AX926" s="27" t="s">
        <v>7</v>
      </c>
      <c r="BC926" s="27" t="s">
        <v>8</v>
      </c>
      <c r="BD926" s="27" t="s">
        <v>7</v>
      </c>
      <c r="BE926" s="27" t="s">
        <v>8</v>
      </c>
      <c r="BF926" s="27" t="s">
        <v>7</v>
      </c>
      <c r="BG926" s="27" t="s">
        <v>8</v>
      </c>
      <c r="BH926" s="27" t="s">
        <v>7</v>
      </c>
      <c r="DU926" s="27" t="s">
        <v>8</v>
      </c>
      <c r="DV926" s="27" t="s">
        <v>7</v>
      </c>
      <c r="EG926" s="27" t="s">
        <v>8</v>
      </c>
      <c r="EH926" s="27" t="s">
        <v>7</v>
      </c>
      <c r="IA926" s="27" t="s">
        <v>8</v>
      </c>
      <c r="IB926" s="27" t="s">
        <v>7</v>
      </c>
      <c r="IU926" s="27" t="s">
        <v>8</v>
      </c>
    </row>
    <row r="927" spans="1:306" x14ac:dyDescent="0.25">
      <c r="A927" s="7">
        <v>1.1910818339295644E-3</v>
      </c>
      <c r="B927"/>
      <c r="C927"/>
      <c r="D927"/>
      <c r="E927"/>
      <c r="F927" s="27" t="s">
        <v>7</v>
      </c>
      <c r="K927" s="27" t="s">
        <v>8</v>
      </c>
      <c r="L927" s="27" t="s">
        <v>7</v>
      </c>
      <c r="O927" s="27" t="s">
        <v>8</v>
      </c>
      <c r="P927" s="27" t="s">
        <v>7</v>
      </c>
      <c r="Q927" s="27" t="s">
        <v>8</v>
      </c>
      <c r="R927" s="27" t="s">
        <v>7</v>
      </c>
      <c r="AW927" s="27" t="s">
        <v>8</v>
      </c>
      <c r="AX927" s="27" t="s">
        <v>7</v>
      </c>
      <c r="BC927" s="27" t="s">
        <v>8</v>
      </c>
      <c r="BD927" s="27" t="s">
        <v>7</v>
      </c>
      <c r="BE927" s="27" t="s">
        <v>8</v>
      </c>
      <c r="BF927" s="27" t="s">
        <v>7</v>
      </c>
      <c r="BG927" s="27" t="s">
        <v>8</v>
      </c>
      <c r="BH927" s="27" t="s">
        <v>7</v>
      </c>
      <c r="BK927" s="27" t="s">
        <v>8</v>
      </c>
      <c r="DU927" s="27" t="s">
        <v>8</v>
      </c>
      <c r="DV927" s="27" t="s">
        <v>7</v>
      </c>
      <c r="EG927" s="27" t="s">
        <v>8</v>
      </c>
      <c r="EH927" s="27" t="s">
        <v>7</v>
      </c>
      <c r="IA927" s="27" t="s">
        <v>8</v>
      </c>
      <c r="IB927" s="27" t="s">
        <v>7</v>
      </c>
      <c r="IC927" s="27" t="s">
        <v>8</v>
      </c>
      <c r="IU927" s="27" t="s">
        <v>8</v>
      </c>
    </row>
    <row r="928" spans="1:306" x14ac:dyDescent="0.25">
      <c r="A928" s="7">
        <v>1.1677272881662395E-3</v>
      </c>
      <c r="B928"/>
      <c r="C928"/>
      <c r="D928"/>
      <c r="E928"/>
      <c r="F928" s="27" t="s">
        <v>7</v>
      </c>
      <c r="K928" s="27" t="s">
        <v>8</v>
      </c>
      <c r="L928" s="27" t="s">
        <v>7</v>
      </c>
      <c r="O928" s="27" t="s">
        <v>8</v>
      </c>
      <c r="P928" s="27" t="s">
        <v>7</v>
      </c>
      <c r="Q928" s="27" t="s">
        <v>8</v>
      </c>
      <c r="R928" s="27" t="s">
        <v>7</v>
      </c>
      <c r="AW928" s="27" t="s">
        <v>8</v>
      </c>
      <c r="AX928" s="27" t="s">
        <v>7</v>
      </c>
      <c r="BC928" s="27" t="s">
        <v>8</v>
      </c>
      <c r="BD928" s="27" t="s">
        <v>7</v>
      </c>
      <c r="BE928" s="27" t="s">
        <v>8</v>
      </c>
      <c r="BF928" s="27" t="s">
        <v>7</v>
      </c>
      <c r="BG928" s="27" t="s">
        <v>8</v>
      </c>
      <c r="BH928" s="27" t="s">
        <v>7</v>
      </c>
      <c r="BK928" s="27" t="s">
        <v>8</v>
      </c>
      <c r="BL928" s="27" t="s">
        <v>7</v>
      </c>
      <c r="DU928" s="27" t="s">
        <v>8</v>
      </c>
      <c r="DV928" s="27" t="s">
        <v>7</v>
      </c>
      <c r="EG928" s="27" t="s">
        <v>8</v>
      </c>
      <c r="EH928" s="27" t="s">
        <v>7</v>
      </c>
      <c r="IA928" s="27" t="s">
        <v>8</v>
      </c>
      <c r="IB928" s="27" t="s">
        <v>7</v>
      </c>
      <c r="IC928" s="27" t="s">
        <v>8</v>
      </c>
      <c r="ID928" s="27" t="s">
        <v>7</v>
      </c>
      <c r="IE928" s="27" t="s">
        <v>8</v>
      </c>
      <c r="IU928" s="27" t="s">
        <v>8</v>
      </c>
    </row>
    <row r="929" spans="1:255" x14ac:dyDescent="0.25">
      <c r="A929" s="7">
        <v>1.1448306746727837E-3</v>
      </c>
      <c r="B929"/>
      <c r="C929"/>
      <c r="D929"/>
      <c r="E929"/>
      <c r="F929" s="27" t="s">
        <v>7</v>
      </c>
      <c r="K929" s="27" t="s">
        <v>8</v>
      </c>
      <c r="L929" s="27" t="s">
        <v>7</v>
      </c>
      <c r="O929" s="27" t="s">
        <v>8</v>
      </c>
      <c r="P929" s="27" t="s">
        <v>7</v>
      </c>
      <c r="Q929" s="27" t="s">
        <v>8</v>
      </c>
      <c r="R929" s="27" t="s">
        <v>7</v>
      </c>
      <c r="AW929" s="27" t="s">
        <v>8</v>
      </c>
      <c r="AX929" s="27" t="s">
        <v>7</v>
      </c>
      <c r="AY929" s="27" t="s">
        <v>8</v>
      </c>
      <c r="BA929" s="27" t="s">
        <v>8</v>
      </c>
      <c r="BC929" s="27" t="s">
        <v>8</v>
      </c>
      <c r="BD929" s="27" t="s">
        <v>7</v>
      </c>
      <c r="BE929" s="27" t="s">
        <v>8</v>
      </c>
      <c r="BF929" s="27" t="s">
        <v>7</v>
      </c>
      <c r="BG929" s="27" t="s">
        <v>8</v>
      </c>
      <c r="BH929" s="27" t="s">
        <v>7</v>
      </c>
      <c r="BI929" s="27" t="s">
        <v>8</v>
      </c>
      <c r="BK929" s="27" t="s">
        <v>8</v>
      </c>
      <c r="BL929" s="27" t="s">
        <v>7</v>
      </c>
      <c r="DU929" s="27" t="s">
        <v>8</v>
      </c>
      <c r="DV929" s="27" t="s">
        <v>7</v>
      </c>
      <c r="DY929" s="27" t="s">
        <v>8</v>
      </c>
      <c r="EG929" s="27" t="s">
        <v>8</v>
      </c>
      <c r="EH929" s="27" t="s">
        <v>7</v>
      </c>
      <c r="IA929" s="27" t="s">
        <v>8</v>
      </c>
      <c r="IB929" s="27" t="s">
        <v>7</v>
      </c>
      <c r="IC929" s="27" t="s">
        <v>8</v>
      </c>
      <c r="ID929" s="27" t="s">
        <v>7</v>
      </c>
      <c r="IE929" s="27" t="s">
        <v>8</v>
      </c>
      <c r="IF929" s="27" t="s">
        <v>7</v>
      </c>
      <c r="IU929" s="27" t="s">
        <v>8</v>
      </c>
    </row>
    <row r="930" spans="1:255" x14ac:dyDescent="0.25">
      <c r="A930" s="7">
        <v>1.1223830143850821E-3</v>
      </c>
      <c r="B930"/>
      <c r="C930"/>
      <c r="D930"/>
      <c r="E930"/>
      <c r="F930" s="27" t="s">
        <v>7</v>
      </c>
      <c r="K930" s="27" t="s">
        <v>8</v>
      </c>
      <c r="L930" s="27" t="s">
        <v>7</v>
      </c>
      <c r="O930" s="27" t="s">
        <v>8</v>
      </c>
      <c r="P930" s="27" t="s">
        <v>7</v>
      </c>
      <c r="Q930" s="27" t="s">
        <v>8</v>
      </c>
      <c r="R930" s="27" t="s">
        <v>7</v>
      </c>
      <c r="AW930" s="27" t="s">
        <v>8</v>
      </c>
      <c r="AX930" s="27" t="s">
        <v>7</v>
      </c>
      <c r="AY930" s="27" t="s">
        <v>8</v>
      </c>
      <c r="AZ930" s="27" t="s">
        <v>7</v>
      </c>
      <c r="BA930" s="27" t="s">
        <v>8</v>
      </c>
      <c r="BB930" s="27" t="s">
        <v>7</v>
      </c>
      <c r="BC930" s="27" t="s">
        <v>8</v>
      </c>
      <c r="BD930" s="27" t="s">
        <v>7</v>
      </c>
      <c r="BF930" s="27" t="s">
        <v>7</v>
      </c>
      <c r="BG930" s="27" t="s">
        <v>8</v>
      </c>
      <c r="BH930" s="27" t="s">
        <v>7</v>
      </c>
      <c r="BI930" s="27" t="s">
        <v>8</v>
      </c>
      <c r="BJ930" s="27" t="s">
        <v>7</v>
      </c>
      <c r="BK930" s="27" t="s">
        <v>8</v>
      </c>
      <c r="BL930" s="27" t="s">
        <v>7</v>
      </c>
      <c r="DU930" s="27" t="s">
        <v>8</v>
      </c>
      <c r="DV930" s="27" t="s">
        <v>7</v>
      </c>
      <c r="DW930" s="27" t="s">
        <v>8</v>
      </c>
      <c r="DY930" s="27" t="s">
        <v>8</v>
      </c>
      <c r="DZ930" s="27" t="s">
        <v>7</v>
      </c>
      <c r="EG930" s="27" t="s">
        <v>8</v>
      </c>
      <c r="EH930" s="27" t="s">
        <v>7</v>
      </c>
      <c r="IA930" s="27" t="s">
        <v>8</v>
      </c>
      <c r="IB930" s="27" t="s">
        <v>7</v>
      </c>
      <c r="IC930" s="27" t="s">
        <v>8</v>
      </c>
      <c r="ID930" s="27" t="s">
        <v>7</v>
      </c>
      <c r="IE930" s="27" t="s">
        <v>8</v>
      </c>
      <c r="IF930" s="27" t="s">
        <v>7</v>
      </c>
      <c r="IU930" s="27" t="s">
        <v>8</v>
      </c>
    </row>
    <row r="931" spans="1:255" x14ac:dyDescent="0.25">
      <c r="A931" s="7">
        <v>1.1003755042991001E-3</v>
      </c>
      <c r="B931"/>
      <c r="C931"/>
      <c r="D931"/>
      <c r="E931"/>
      <c r="F931" s="27" t="s">
        <v>7</v>
      </c>
      <c r="I931" s="27" t="s">
        <v>8</v>
      </c>
      <c r="K931" s="27" t="s">
        <v>8</v>
      </c>
      <c r="L931" s="27" t="s">
        <v>7</v>
      </c>
      <c r="M931" s="27" t="s">
        <v>8</v>
      </c>
      <c r="O931" s="27" t="s">
        <v>8</v>
      </c>
      <c r="P931" s="27" t="s">
        <v>7</v>
      </c>
      <c r="R931" s="27" t="s">
        <v>7</v>
      </c>
      <c r="AW931" s="27" t="s">
        <v>8</v>
      </c>
      <c r="AX931" s="27" t="s">
        <v>7</v>
      </c>
      <c r="AY931" s="27" t="s">
        <v>8</v>
      </c>
      <c r="AZ931" s="27" t="s">
        <v>7</v>
      </c>
      <c r="BA931" s="27" t="s">
        <v>8</v>
      </c>
      <c r="BB931" s="27" t="s">
        <v>7</v>
      </c>
      <c r="BC931" s="27" t="s">
        <v>8</v>
      </c>
      <c r="BF931" s="27" t="s">
        <v>7</v>
      </c>
      <c r="BG931" s="27" t="s">
        <v>8</v>
      </c>
      <c r="BH931" s="27" t="s">
        <v>7</v>
      </c>
      <c r="BI931" s="27" t="s">
        <v>8</v>
      </c>
      <c r="BJ931" s="27" t="s">
        <v>7</v>
      </c>
      <c r="BK931" s="27" t="s">
        <v>8</v>
      </c>
      <c r="BL931" s="27" t="s">
        <v>7</v>
      </c>
      <c r="DO931" s="27" t="s">
        <v>8</v>
      </c>
      <c r="DU931" s="27" t="s">
        <v>8</v>
      </c>
      <c r="DV931" s="27" t="s">
        <v>7</v>
      </c>
      <c r="DW931" s="27" t="s">
        <v>8</v>
      </c>
      <c r="DX931" s="27" t="s">
        <v>7</v>
      </c>
      <c r="DY931" s="27" t="s">
        <v>8</v>
      </c>
      <c r="DZ931" s="27" t="s">
        <v>7</v>
      </c>
      <c r="EG931" s="27" t="s">
        <v>8</v>
      </c>
      <c r="EH931" s="27" t="s">
        <v>7</v>
      </c>
      <c r="IA931" s="27" t="s">
        <v>8</v>
      </c>
      <c r="IB931" s="27" t="s">
        <v>7</v>
      </c>
      <c r="IC931" s="27" t="s">
        <v>8</v>
      </c>
      <c r="ID931" s="27" t="s">
        <v>7</v>
      </c>
      <c r="IE931" s="27" t="s">
        <v>8</v>
      </c>
      <c r="IF931" s="27" t="s">
        <v>7</v>
      </c>
      <c r="IU931" s="27" t="s">
        <v>8</v>
      </c>
    </row>
    <row r="932" spans="1:255" x14ac:dyDescent="0.25">
      <c r="A932" s="7">
        <v>1.0787995140187257E-3</v>
      </c>
      <c r="B932"/>
      <c r="C932"/>
      <c r="D932"/>
      <c r="E932"/>
      <c r="F932" s="27" t="s">
        <v>7</v>
      </c>
      <c r="I932" s="27" t="s">
        <v>8</v>
      </c>
      <c r="J932" s="27" t="s">
        <v>7</v>
      </c>
      <c r="K932" s="27" t="s">
        <v>8</v>
      </c>
      <c r="L932" s="27" t="s">
        <v>7</v>
      </c>
      <c r="M932" s="27" t="s">
        <v>8</v>
      </c>
      <c r="N932" s="27" t="s">
        <v>7</v>
      </c>
      <c r="O932" s="27" t="s">
        <v>8</v>
      </c>
      <c r="R932" s="27" t="s">
        <v>7</v>
      </c>
      <c r="AW932" s="27" t="s">
        <v>8</v>
      </c>
      <c r="AX932" s="27" t="s">
        <v>7</v>
      </c>
      <c r="AY932" s="27" t="s">
        <v>8</v>
      </c>
      <c r="AZ932" s="27" t="s">
        <v>7</v>
      </c>
      <c r="BA932" s="27" t="s">
        <v>8</v>
      </c>
      <c r="BB932" s="27" t="s">
        <v>7</v>
      </c>
      <c r="BC932" s="27" t="s">
        <v>8</v>
      </c>
      <c r="BF932" s="27" t="s">
        <v>7</v>
      </c>
      <c r="BG932" s="27" t="s">
        <v>8</v>
      </c>
      <c r="BH932" s="27" t="s">
        <v>7</v>
      </c>
      <c r="BI932" s="27" t="s">
        <v>8</v>
      </c>
      <c r="BJ932" s="27" t="s">
        <v>7</v>
      </c>
      <c r="BK932" s="27" t="s">
        <v>8</v>
      </c>
      <c r="BL932" s="27" t="s">
        <v>7</v>
      </c>
      <c r="BM932" s="27" t="s">
        <v>8</v>
      </c>
      <c r="DO932" s="27" t="s">
        <v>8</v>
      </c>
      <c r="DP932" s="27" t="s">
        <v>7</v>
      </c>
      <c r="DS932" s="27" t="s">
        <v>8</v>
      </c>
      <c r="DU932" s="27" t="s">
        <v>8</v>
      </c>
      <c r="DV932" s="27" t="s">
        <v>7</v>
      </c>
      <c r="DW932" s="27" t="s">
        <v>8</v>
      </c>
      <c r="DX932" s="27" t="s">
        <v>7</v>
      </c>
      <c r="DY932" s="27" t="s">
        <v>8</v>
      </c>
      <c r="DZ932" s="27" t="s">
        <v>7</v>
      </c>
      <c r="EG932" s="27" t="s">
        <v>8</v>
      </c>
      <c r="EH932" s="27" t="s">
        <v>7</v>
      </c>
      <c r="IA932" s="27" t="s">
        <v>8</v>
      </c>
      <c r="IB932" s="27" t="s">
        <v>7</v>
      </c>
      <c r="IC932" s="27" t="s">
        <v>8</v>
      </c>
      <c r="ID932" s="27" t="s">
        <v>7</v>
      </c>
      <c r="IF932" s="27" t="s">
        <v>7</v>
      </c>
      <c r="IU932" s="27" t="s">
        <v>8</v>
      </c>
    </row>
    <row r="933" spans="1:255" x14ac:dyDescent="0.25">
      <c r="A933" s="7">
        <v>1.0576465823712996E-3</v>
      </c>
      <c r="B933"/>
      <c r="C933"/>
      <c r="D933"/>
      <c r="E933"/>
      <c r="F933" s="27" t="s">
        <v>7</v>
      </c>
      <c r="G933" s="27" t="s">
        <v>8</v>
      </c>
      <c r="I933" s="27" t="s">
        <v>8</v>
      </c>
      <c r="J933" s="27" t="s">
        <v>7</v>
      </c>
      <c r="K933" s="27" t="s">
        <v>8</v>
      </c>
      <c r="L933" s="27" t="s">
        <v>7</v>
      </c>
      <c r="M933" s="27" t="s">
        <v>8</v>
      </c>
      <c r="N933" s="27" t="s">
        <v>7</v>
      </c>
      <c r="O933" s="27" t="s">
        <v>8</v>
      </c>
      <c r="R933" s="27" t="s">
        <v>7</v>
      </c>
      <c r="AW933" s="27" t="s">
        <v>8</v>
      </c>
      <c r="AX933" s="27" t="s">
        <v>7</v>
      </c>
      <c r="AY933" s="27" t="s">
        <v>8</v>
      </c>
      <c r="AZ933" s="27" t="s">
        <v>7</v>
      </c>
      <c r="BA933" s="27" t="s">
        <v>8</v>
      </c>
      <c r="BB933" s="27" t="s">
        <v>7</v>
      </c>
      <c r="BF933" s="27" t="s">
        <v>7</v>
      </c>
      <c r="BG933" s="27" t="s">
        <v>8</v>
      </c>
      <c r="BH933" s="27" t="s">
        <v>7</v>
      </c>
      <c r="BJ933" s="27" t="s">
        <v>7</v>
      </c>
      <c r="BK933" s="27" t="s">
        <v>8</v>
      </c>
      <c r="BL933" s="27" t="s">
        <v>7</v>
      </c>
      <c r="BM933" s="27" t="s">
        <v>8</v>
      </c>
      <c r="BN933" s="27" t="s">
        <v>7</v>
      </c>
      <c r="DO933" s="27" t="s">
        <v>8</v>
      </c>
      <c r="DP933" s="27" t="s">
        <v>7</v>
      </c>
      <c r="DQ933" s="27" t="s">
        <v>8</v>
      </c>
      <c r="DS933" s="27" t="s">
        <v>8</v>
      </c>
      <c r="DT933" s="27" t="s">
        <v>7</v>
      </c>
      <c r="DU933" s="27" t="s">
        <v>8</v>
      </c>
      <c r="DV933" s="27" t="s">
        <v>7</v>
      </c>
      <c r="DW933" s="27" t="s">
        <v>8</v>
      </c>
      <c r="DX933" s="27" t="s">
        <v>7</v>
      </c>
      <c r="DY933" s="27" t="s">
        <v>8</v>
      </c>
      <c r="DZ933" s="27" t="s">
        <v>7</v>
      </c>
      <c r="EG933" s="27" t="s">
        <v>8</v>
      </c>
      <c r="EH933" s="27" t="s">
        <v>7</v>
      </c>
      <c r="IA933" s="27" t="s">
        <v>8</v>
      </c>
      <c r="IB933" s="27" t="s">
        <v>7</v>
      </c>
      <c r="IC933" s="27" t="s">
        <v>8</v>
      </c>
      <c r="IF933" s="27" t="s">
        <v>7</v>
      </c>
      <c r="IU933" s="27" t="s">
        <v>8</v>
      </c>
    </row>
    <row r="934" spans="1:255" x14ac:dyDescent="0.25">
      <c r="A934" s="7">
        <v>1.0369084140895094E-3</v>
      </c>
      <c r="B934"/>
      <c r="C934"/>
      <c r="D934"/>
      <c r="E934"/>
      <c r="F934" s="27" t="s">
        <v>7</v>
      </c>
      <c r="G934" s="27" t="s">
        <v>8</v>
      </c>
      <c r="H934" s="27" t="s">
        <v>7</v>
      </c>
      <c r="I934" s="27" t="s">
        <v>8</v>
      </c>
      <c r="J934" s="27" t="s">
        <v>7</v>
      </c>
      <c r="K934" s="27" t="s">
        <v>8</v>
      </c>
      <c r="L934" s="27" t="s">
        <v>7</v>
      </c>
      <c r="M934" s="27" t="s">
        <v>8</v>
      </c>
      <c r="N934" s="27" t="s">
        <v>7</v>
      </c>
      <c r="O934" s="27" t="s">
        <v>8</v>
      </c>
      <c r="R934" s="27" t="s">
        <v>7</v>
      </c>
      <c r="AE934" s="27" t="s">
        <v>8</v>
      </c>
      <c r="AW934" s="27" t="s">
        <v>8</v>
      </c>
      <c r="AX934" s="27" t="s">
        <v>7</v>
      </c>
      <c r="AY934" s="27" t="s">
        <v>8</v>
      </c>
      <c r="AZ934" s="27" t="s">
        <v>7</v>
      </c>
      <c r="BF934" s="27" t="s">
        <v>7</v>
      </c>
      <c r="BG934" s="27" t="s">
        <v>8</v>
      </c>
      <c r="BJ934" s="27" t="s">
        <v>7</v>
      </c>
      <c r="BK934" s="27" t="s">
        <v>8</v>
      </c>
      <c r="BL934" s="27" t="s">
        <v>7</v>
      </c>
      <c r="BM934" s="27" t="s">
        <v>8</v>
      </c>
      <c r="BN934" s="27" t="s">
        <v>7</v>
      </c>
      <c r="DO934" s="27" t="s">
        <v>8</v>
      </c>
      <c r="DP934" s="27" t="s">
        <v>7</v>
      </c>
      <c r="DQ934" s="27" t="s">
        <v>8</v>
      </c>
      <c r="DR934" s="27" t="s">
        <v>7</v>
      </c>
      <c r="DS934" s="27" t="s">
        <v>8</v>
      </c>
      <c r="DT934" s="27" t="s">
        <v>7</v>
      </c>
      <c r="DU934" s="27" t="s">
        <v>8</v>
      </c>
      <c r="DV934" s="27" t="s">
        <v>7</v>
      </c>
      <c r="DX934" s="27" t="s">
        <v>7</v>
      </c>
      <c r="DY934" s="27" t="s">
        <v>8</v>
      </c>
      <c r="DZ934" s="27" t="s">
        <v>7</v>
      </c>
      <c r="EG934" s="27" t="s">
        <v>8</v>
      </c>
      <c r="EH934" s="27" t="s">
        <v>7</v>
      </c>
      <c r="IA934" s="27" t="s">
        <v>8</v>
      </c>
      <c r="IB934" s="27" t="s">
        <v>7</v>
      </c>
      <c r="IC934" s="27" t="s">
        <v>8</v>
      </c>
      <c r="IF934" s="27" t="s">
        <v>7</v>
      </c>
      <c r="IU934" s="27" t="s">
        <v>8</v>
      </c>
    </row>
    <row r="935" spans="1:255" x14ac:dyDescent="0.25">
      <c r="A935" s="7">
        <v>1.0165768765583426E-3</v>
      </c>
      <c r="B935"/>
      <c r="C935"/>
      <c r="D935"/>
      <c r="E935"/>
      <c r="F935" s="27" t="s">
        <v>7</v>
      </c>
      <c r="G935" s="27" t="s">
        <v>8</v>
      </c>
      <c r="H935" s="27" t="s">
        <v>7</v>
      </c>
      <c r="I935" s="27" t="s">
        <v>8</v>
      </c>
      <c r="J935" s="27" t="s">
        <v>7</v>
      </c>
      <c r="K935" s="27" t="s">
        <v>8</v>
      </c>
      <c r="L935" s="27" t="s">
        <v>7</v>
      </c>
      <c r="N935" s="27" t="s">
        <v>7</v>
      </c>
      <c r="R935" s="27" t="s">
        <v>7</v>
      </c>
      <c r="AE935" s="27" t="s">
        <v>8</v>
      </c>
      <c r="AF935" s="27" t="s">
        <v>7</v>
      </c>
      <c r="AG935" s="27" t="s">
        <v>8</v>
      </c>
      <c r="AI935" s="27" t="s">
        <v>8</v>
      </c>
      <c r="AS935" s="27" t="s">
        <v>8</v>
      </c>
      <c r="AU935" s="27" t="s">
        <v>8</v>
      </c>
      <c r="AW935" s="27" t="s">
        <v>8</v>
      </c>
      <c r="AX935" s="27" t="s">
        <v>7</v>
      </c>
      <c r="BF935" s="27" t="s">
        <v>7</v>
      </c>
      <c r="BG935" s="27" t="s">
        <v>8</v>
      </c>
      <c r="BJ935" s="27" t="s">
        <v>7</v>
      </c>
      <c r="BK935" s="27" t="s">
        <v>8</v>
      </c>
      <c r="BL935" s="27" t="s">
        <v>7</v>
      </c>
      <c r="BM935" s="27" t="s">
        <v>8</v>
      </c>
      <c r="BN935" s="27" t="s">
        <v>7</v>
      </c>
      <c r="DO935" s="27" t="s">
        <v>8</v>
      </c>
      <c r="DP935" s="27" t="s">
        <v>7</v>
      </c>
      <c r="DQ935" s="27" t="s">
        <v>8</v>
      </c>
      <c r="DR935" s="27" t="s">
        <v>7</v>
      </c>
      <c r="DS935" s="27" t="s">
        <v>8</v>
      </c>
      <c r="DT935" s="27" t="s">
        <v>7</v>
      </c>
      <c r="DX935" s="27" t="s">
        <v>7</v>
      </c>
      <c r="DZ935" s="27" t="s">
        <v>7</v>
      </c>
      <c r="EG935" s="27" t="s">
        <v>8</v>
      </c>
      <c r="EH935" s="27" t="s">
        <v>7</v>
      </c>
      <c r="IA935" s="27" t="s">
        <v>8</v>
      </c>
      <c r="IB935" s="27" t="s">
        <v>7</v>
      </c>
      <c r="IC935" s="27" t="s">
        <v>8</v>
      </c>
      <c r="IF935" s="27" t="s">
        <v>7</v>
      </c>
      <c r="IG935" s="27" t="s">
        <v>8</v>
      </c>
      <c r="IU935" s="27" t="s">
        <v>8</v>
      </c>
    </row>
    <row r="936" spans="1:255" x14ac:dyDescent="0.25">
      <c r="A936" s="7">
        <v>9.966439966258261E-4</v>
      </c>
      <c r="B936"/>
      <c r="C936"/>
      <c r="D936"/>
      <c r="E936"/>
      <c r="F936" s="27" t="s">
        <v>7</v>
      </c>
      <c r="G936" s="27" t="s">
        <v>8</v>
      </c>
      <c r="H936" s="27" t="s">
        <v>7</v>
      </c>
      <c r="I936" s="27" t="s">
        <v>8</v>
      </c>
      <c r="J936" s="27" t="s">
        <v>7</v>
      </c>
      <c r="R936" s="27" t="s">
        <v>7</v>
      </c>
      <c r="S936" s="27" t="s">
        <v>8</v>
      </c>
      <c r="U936" s="27" t="s">
        <v>8</v>
      </c>
      <c r="W936" s="27" t="s">
        <v>8</v>
      </c>
      <c r="Y936" s="27" t="s">
        <v>8</v>
      </c>
      <c r="AA936" s="27" t="s">
        <v>8</v>
      </c>
      <c r="AC936" s="27" t="s">
        <v>8</v>
      </c>
      <c r="AE936" s="27" t="s">
        <v>8</v>
      </c>
      <c r="AF936" s="27" t="s">
        <v>7</v>
      </c>
      <c r="AG936" s="27" t="s">
        <v>8</v>
      </c>
      <c r="AH936" s="27" t="s">
        <v>7</v>
      </c>
      <c r="AI936" s="27" t="s">
        <v>8</v>
      </c>
      <c r="AJ936" s="27" t="s">
        <v>7</v>
      </c>
      <c r="AK936" s="27" t="s">
        <v>8</v>
      </c>
      <c r="AM936" s="27" t="s">
        <v>8</v>
      </c>
      <c r="AO936" s="27" t="s">
        <v>8</v>
      </c>
      <c r="AQ936" s="27" t="s">
        <v>8</v>
      </c>
      <c r="AS936" s="27" t="s">
        <v>8</v>
      </c>
      <c r="AT936" s="27" t="s">
        <v>7</v>
      </c>
      <c r="AU936" s="27" t="s">
        <v>8</v>
      </c>
      <c r="AV936" s="27" t="s">
        <v>7</v>
      </c>
      <c r="AW936" s="27" t="s">
        <v>8</v>
      </c>
      <c r="BF936" s="27" t="s">
        <v>7</v>
      </c>
      <c r="BG936" s="27" t="s">
        <v>8</v>
      </c>
      <c r="BJ936" s="27" t="s">
        <v>7</v>
      </c>
      <c r="BK936" s="27" t="s">
        <v>8</v>
      </c>
      <c r="BL936" s="27" t="s">
        <v>7</v>
      </c>
      <c r="BM936" s="27" t="s">
        <v>8</v>
      </c>
      <c r="BN936" s="27" t="s">
        <v>7</v>
      </c>
      <c r="BO936" s="27" t="s">
        <v>8</v>
      </c>
      <c r="BQ936" s="27" t="s">
        <v>8</v>
      </c>
      <c r="BS936" s="27" t="s">
        <v>8</v>
      </c>
      <c r="BU936" s="27" t="s">
        <v>8</v>
      </c>
      <c r="BW936" s="27" t="s">
        <v>8</v>
      </c>
      <c r="BY936" s="27" t="s">
        <v>8</v>
      </c>
      <c r="CA936" s="27" t="s">
        <v>8</v>
      </c>
      <c r="CC936" s="27" t="s">
        <v>8</v>
      </c>
      <c r="CE936" s="27" t="s">
        <v>8</v>
      </c>
      <c r="CG936" s="27" t="s">
        <v>8</v>
      </c>
      <c r="CI936" s="27" t="s">
        <v>8</v>
      </c>
      <c r="CK936" s="27" t="s">
        <v>8</v>
      </c>
      <c r="CM936" s="27" t="s">
        <v>8</v>
      </c>
      <c r="CO936" s="27" t="s">
        <v>8</v>
      </c>
      <c r="CQ936" s="27" t="s">
        <v>8</v>
      </c>
      <c r="CS936" s="27" t="s">
        <v>8</v>
      </c>
      <c r="CU936" s="27" t="s">
        <v>8</v>
      </c>
      <c r="CW936" s="27" t="s">
        <v>8</v>
      </c>
      <c r="CY936" s="27" t="s">
        <v>8</v>
      </c>
      <c r="DA936" s="27" t="s">
        <v>8</v>
      </c>
      <c r="DC936" s="27" t="s">
        <v>8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P936" s="27" t="s">
        <v>7</v>
      </c>
      <c r="DQ936" s="27" t="s">
        <v>8</v>
      </c>
      <c r="DR936" s="27" t="s">
        <v>7</v>
      </c>
      <c r="DS936" s="27" t="s">
        <v>8</v>
      </c>
      <c r="DZ936" s="27" t="s">
        <v>7</v>
      </c>
      <c r="EA936" s="27" t="s">
        <v>8</v>
      </c>
      <c r="EC936" s="27" t="s">
        <v>8</v>
      </c>
      <c r="EE936" s="27" t="s">
        <v>8</v>
      </c>
      <c r="EG936" s="27" t="s">
        <v>8</v>
      </c>
      <c r="EH936" s="27" t="s">
        <v>7</v>
      </c>
      <c r="EI936" s="27" t="s">
        <v>8</v>
      </c>
      <c r="EK936" s="27" t="s">
        <v>8</v>
      </c>
      <c r="EM936" s="27" t="s">
        <v>8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FA936" s="27" t="s">
        <v>8</v>
      </c>
      <c r="FC936" s="27" t="s">
        <v>8</v>
      </c>
      <c r="FE936" s="27" t="s">
        <v>8</v>
      </c>
      <c r="FG936" s="27" t="s">
        <v>8</v>
      </c>
      <c r="FI936" s="27" t="s">
        <v>8</v>
      </c>
      <c r="FK936" s="27" t="s">
        <v>8</v>
      </c>
      <c r="FM936" s="27" t="s">
        <v>8</v>
      </c>
      <c r="FO936" s="27" t="s">
        <v>8</v>
      </c>
      <c r="FQ936" s="27" t="s">
        <v>8</v>
      </c>
      <c r="FS936" s="27" t="s">
        <v>8</v>
      </c>
      <c r="FU936" s="27" t="s">
        <v>8</v>
      </c>
      <c r="FW936" s="27" t="s">
        <v>8</v>
      </c>
      <c r="FY936" s="27" t="s">
        <v>8</v>
      </c>
      <c r="GA936" s="27" t="s">
        <v>8</v>
      </c>
      <c r="GC936" s="27" t="s">
        <v>8</v>
      </c>
      <c r="GE936" s="27" t="s">
        <v>8</v>
      </c>
      <c r="GG936" s="27" t="s">
        <v>8</v>
      </c>
      <c r="GI936" s="27" t="s">
        <v>8</v>
      </c>
      <c r="GK936" s="27" t="s">
        <v>8</v>
      </c>
      <c r="GM936" s="27" t="s">
        <v>8</v>
      </c>
      <c r="GO936" s="27" t="s">
        <v>8</v>
      </c>
      <c r="GQ936" s="27" t="s">
        <v>8</v>
      </c>
      <c r="GS936" s="27" t="s">
        <v>8</v>
      </c>
      <c r="GU936" s="27" t="s">
        <v>8</v>
      </c>
      <c r="GW936" s="27" t="s">
        <v>8</v>
      </c>
      <c r="GY936" s="27" t="s">
        <v>8</v>
      </c>
      <c r="HA936" s="27" t="s">
        <v>8</v>
      </c>
      <c r="HC936" s="27" t="s">
        <v>8</v>
      </c>
      <c r="HE936" s="27" t="s">
        <v>8</v>
      </c>
      <c r="HG936" s="27" t="s">
        <v>8</v>
      </c>
      <c r="HI936" s="27" t="s">
        <v>8</v>
      </c>
      <c r="HK936" s="27" t="s">
        <v>8</v>
      </c>
      <c r="HM936" s="27" t="s">
        <v>8</v>
      </c>
      <c r="HO936" s="27" t="s">
        <v>8</v>
      </c>
      <c r="HQ936" s="27" t="s">
        <v>8</v>
      </c>
      <c r="HS936" s="27" t="s">
        <v>8</v>
      </c>
      <c r="HU936" s="27" t="s">
        <v>8</v>
      </c>
      <c r="HW936" s="27" t="s">
        <v>8</v>
      </c>
      <c r="HY936" s="27" t="s">
        <v>8</v>
      </c>
      <c r="IA936" s="27" t="s">
        <v>8</v>
      </c>
      <c r="IB936" s="27" t="s">
        <v>7</v>
      </c>
      <c r="IC936" s="27" t="s">
        <v>8</v>
      </c>
      <c r="IF936" s="27" t="s">
        <v>7</v>
      </c>
      <c r="IG936" s="27" t="s">
        <v>8</v>
      </c>
      <c r="IH936" s="27" t="s">
        <v>7</v>
      </c>
      <c r="II936" s="27" t="s">
        <v>8</v>
      </c>
      <c r="IK936" s="27" t="s">
        <v>8</v>
      </c>
      <c r="IM936" s="27" t="s">
        <v>8</v>
      </c>
      <c r="IO936" s="27" t="s">
        <v>8</v>
      </c>
      <c r="IQ936" s="27" t="s">
        <v>8</v>
      </c>
      <c r="IS936" s="27" t="s">
        <v>8</v>
      </c>
      <c r="IU936" s="27" t="s">
        <v>8</v>
      </c>
    </row>
    <row r="937" spans="1:255" x14ac:dyDescent="0.25">
      <c r="F937" s="27" t="s">
        <v>7</v>
      </c>
      <c r="H937" s="27" t="s">
        <v>7</v>
      </c>
      <c r="R937" s="27" t="s">
        <v>7</v>
      </c>
      <c r="T937" s="27" t="s">
        <v>7</v>
      </c>
      <c r="V937" s="27" t="s">
        <v>7</v>
      </c>
      <c r="X937" s="27" t="s">
        <v>7</v>
      </c>
      <c r="Z937" s="27" t="s">
        <v>7</v>
      </c>
      <c r="AB937" s="27" t="s">
        <v>7</v>
      </c>
      <c r="AD937" s="27" t="s">
        <v>7</v>
      </c>
      <c r="AF937" s="27" t="s">
        <v>7</v>
      </c>
      <c r="AH937" s="27" t="s">
        <v>7</v>
      </c>
      <c r="AJ937" s="27" t="s">
        <v>7</v>
      </c>
      <c r="AL937" s="27" t="s">
        <v>7</v>
      </c>
      <c r="AN937" s="27" t="s">
        <v>7</v>
      </c>
      <c r="AP937" s="27" t="s">
        <v>7</v>
      </c>
      <c r="AR937" s="27" t="s">
        <v>7</v>
      </c>
      <c r="AT937" s="27" t="s">
        <v>7</v>
      </c>
      <c r="AV937" s="27" t="s">
        <v>7</v>
      </c>
      <c r="BF937" s="27" t="s">
        <v>7</v>
      </c>
      <c r="BJ937" s="27" t="s">
        <v>7</v>
      </c>
      <c r="BL937" s="27" t="s">
        <v>7</v>
      </c>
      <c r="BN937" s="27" t="s">
        <v>7</v>
      </c>
      <c r="BP937" s="27" t="s">
        <v>7</v>
      </c>
      <c r="BR937" s="27" t="s">
        <v>7</v>
      </c>
      <c r="BT937" s="27" t="s">
        <v>7</v>
      </c>
      <c r="BV937" s="27" t="s">
        <v>7</v>
      </c>
      <c r="BX937" s="27" t="s">
        <v>7</v>
      </c>
      <c r="BZ937" s="27" t="s">
        <v>7</v>
      </c>
      <c r="CB937" s="27" t="s">
        <v>7</v>
      </c>
      <c r="CD937" s="27" t="s">
        <v>7</v>
      </c>
      <c r="CF937" s="27" t="s">
        <v>7</v>
      </c>
      <c r="CH937" s="27" t="s">
        <v>7</v>
      </c>
      <c r="CJ937" s="27" t="s">
        <v>7</v>
      </c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J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  <c r="FH937" s="27" t="s">
        <v>7</v>
      </c>
      <c r="FJ937" s="27" t="s">
        <v>7</v>
      </c>
      <c r="FL937" s="27" t="s">
        <v>7</v>
      </c>
      <c r="FN937" s="27" t="s">
        <v>7</v>
      </c>
      <c r="FP937" s="27" t="s">
        <v>7</v>
      </c>
      <c r="FR937" s="27" t="s">
        <v>7</v>
      </c>
      <c r="FT937" s="27" t="s">
        <v>7</v>
      </c>
      <c r="FV937" s="27" t="s">
        <v>7</v>
      </c>
      <c r="FX937" s="27" t="s">
        <v>7</v>
      </c>
      <c r="FZ937" s="27" t="s">
        <v>7</v>
      </c>
      <c r="GB937" s="27" t="s">
        <v>7</v>
      </c>
      <c r="GD937" s="27" t="s">
        <v>7</v>
      </c>
      <c r="GF937" s="27" t="s">
        <v>7</v>
      </c>
      <c r="GH937" s="27" t="s">
        <v>7</v>
      </c>
      <c r="GJ937" s="27" t="s">
        <v>7</v>
      </c>
      <c r="GL937" s="27" t="s">
        <v>7</v>
      </c>
      <c r="GN937" s="27" t="s">
        <v>7</v>
      </c>
      <c r="GP937" s="27" t="s">
        <v>7</v>
      </c>
      <c r="GR937" s="27" t="s">
        <v>7</v>
      </c>
      <c r="GT937" s="27" t="s">
        <v>7</v>
      </c>
      <c r="GV937" s="27" t="s">
        <v>7</v>
      </c>
      <c r="GX937" s="27" t="s">
        <v>7</v>
      </c>
      <c r="GZ937" s="27" t="s">
        <v>7</v>
      </c>
      <c r="HB937" s="27" t="s">
        <v>7</v>
      </c>
      <c r="HD937" s="27" t="s">
        <v>7</v>
      </c>
      <c r="HF937" s="27" t="s">
        <v>7</v>
      </c>
      <c r="HH937" s="27" t="s">
        <v>7</v>
      </c>
      <c r="HJ937" s="27" t="s">
        <v>7</v>
      </c>
      <c r="HL937" s="27" t="s">
        <v>7</v>
      </c>
      <c r="HN937" s="27" t="s">
        <v>7</v>
      </c>
      <c r="HP937" s="27" t="s">
        <v>7</v>
      </c>
      <c r="HR937" s="27" t="s">
        <v>7</v>
      </c>
      <c r="HT937" s="27" t="s">
        <v>7</v>
      </c>
      <c r="HV937" s="27" t="s">
        <v>7</v>
      </c>
      <c r="HX937" s="27" t="s">
        <v>7</v>
      </c>
      <c r="HZ937" s="27" t="s">
        <v>7</v>
      </c>
      <c r="IB937" s="27" t="s">
        <v>7</v>
      </c>
      <c r="IF937" s="27" t="s">
        <v>7</v>
      </c>
      <c r="IH937" s="27" t="s">
        <v>7</v>
      </c>
      <c r="IJ937" s="27" t="s">
        <v>7</v>
      </c>
      <c r="IL937" s="27" t="s">
        <v>7</v>
      </c>
      <c r="IN937" s="27" t="s">
        <v>7</v>
      </c>
      <c r="IP937" s="27" t="s">
        <v>7</v>
      </c>
      <c r="IR937" s="27" t="s">
        <v>7</v>
      </c>
      <c r="IT937" s="27" t="s">
        <v>7</v>
      </c>
    </row>
  </sheetData>
  <conditionalFormatting sqref="C27">
    <cfRule type="cellIs" dxfId="90" priority="1290" operator="equal">
      <formula>$U$1</formula>
    </cfRule>
    <cfRule type="cellIs" dxfId="89" priority="1291" operator="equal">
      <formula>$S$1</formula>
    </cfRule>
  </conditionalFormatting>
  <conditionalFormatting sqref="D27">
    <cfRule type="cellIs" dxfId="88" priority="1288" operator="equal">
      <formula>$S$1</formula>
    </cfRule>
    <cfRule type="cellIs" dxfId="87" priority="1289" operator="equal">
      <formula>$U$1</formula>
    </cfRule>
  </conditionalFormatting>
  <conditionalFormatting sqref="C164">
    <cfRule type="cellIs" dxfId="86" priority="1286" operator="equal">
      <formula>$U$1</formula>
    </cfRule>
    <cfRule type="cellIs" dxfId="85" priority="1287" operator="equal">
      <formula>$S$1</formula>
    </cfRule>
  </conditionalFormatting>
  <conditionalFormatting sqref="D164">
    <cfRule type="cellIs" dxfId="84" priority="1284" operator="equal">
      <formula>$S$1</formula>
    </cfRule>
    <cfRule type="cellIs" dxfId="83" priority="1285" operator="equal">
      <formula>$U$1</formula>
    </cfRule>
  </conditionalFormatting>
  <conditionalFormatting sqref="C55">
    <cfRule type="cellIs" dxfId="82" priority="1282" operator="equal">
      <formula>$U$1</formula>
    </cfRule>
    <cfRule type="cellIs" dxfId="81" priority="1283" operator="equal">
      <formula>$S$1</formula>
    </cfRule>
  </conditionalFormatting>
  <conditionalFormatting sqref="D55">
    <cfRule type="cellIs" dxfId="80" priority="1280" operator="equal">
      <formula>$S$1</formula>
    </cfRule>
    <cfRule type="cellIs" dxfId="79" priority="1281" operator="equal">
      <formula>$U$1</formula>
    </cfRule>
  </conditionalFormatting>
  <conditionalFormatting sqref="C89">
    <cfRule type="cellIs" dxfId="78" priority="1278" operator="equal">
      <formula>$U$1</formula>
    </cfRule>
    <cfRule type="cellIs" dxfId="77" priority="1279" operator="equal">
      <formula>$S$1</formula>
    </cfRule>
  </conditionalFormatting>
  <conditionalFormatting sqref="D89">
    <cfRule type="cellIs" dxfId="76" priority="1276" operator="equal">
      <formula>$S$1</formula>
    </cfRule>
    <cfRule type="cellIs" dxfId="75" priority="1277" operator="equal">
      <formula>$U$1</formula>
    </cfRule>
  </conditionalFormatting>
  <conditionalFormatting sqref="C136">
    <cfRule type="cellIs" dxfId="74" priority="1274" operator="equal">
      <formula>$U$1</formula>
    </cfRule>
    <cfRule type="cellIs" dxfId="73" priority="1275" operator="equal">
      <formula>$S$1</formula>
    </cfRule>
  </conditionalFormatting>
  <conditionalFormatting sqref="D136">
    <cfRule type="cellIs" dxfId="72" priority="1272" operator="equal">
      <formula>$S$1</formula>
    </cfRule>
    <cfRule type="cellIs" dxfId="71" priority="1273" operator="equal">
      <formula>$U$1</formula>
    </cfRule>
  </conditionalFormatting>
  <conditionalFormatting sqref="C1">
    <cfRule type="cellIs" dxfId="70" priority="12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16" zoomScale="90" zoomScaleNormal="90" workbookViewId="0">
      <pane xSplit="4" topLeftCell="EK1" activePane="topRight" state="frozen"/>
      <selection activeCell="A109" sqref="A109"/>
      <selection pane="topRight" activeCell="GW345" sqref="GW34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$A$344</v>
      </c>
      <c r="D111" s="1" t="str">
        <f>ADDRESS(C121-1,D121,1,1)</f>
        <v>$GW$344</v>
      </c>
      <c r="E111"/>
    </row>
    <row r="112" spans="1:5" x14ac:dyDescent="0.25">
      <c r="A112" s="30">
        <v>515.50191262726139</v>
      </c>
      <c r="C112" s="1" t="str">
        <f>ADDRESS(C121,1,1,1)</f>
        <v>$A$345</v>
      </c>
      <c r="D112" s="1" t="str">
        <f>ADDRESS(C121,D121-1,1,1)</f>
        <v>$GV$345</v>
      </c>
      <c r="E112"/>
    </row>
    <row r="113" spans="1:5" x14ac:dyDescent="0.25">
      <c r="A113" s="30">
        <v>490.95420250215363</v>
      </c>
      <c r="C113" s="1" t="str">
        <f>ADDRESS(C121+1,1,1,1)</f>
        <v>$A$346</v>
      </c>
      <c r="D113" s="1" t="str">
        <f>ADDRESS(C121-1,D121+1,1,1)</f>
        <v>$GX$344</v>
      </c>
    </row>
    <row r="114" spans="1:5" x14ac:dyDescent="0.25">
      <c r="A114" s="30">
        <v>467.57543095443202</v>
      </c>
      <c r="C114" s="1" t="str">
        <f>ADDRESS(C121,D121,1,1)</f>
        <v>$GW$345</v>
      </c>
      <c r="D114" s="1" t="str">
        <f>ADDRESS(C121+1,D121+1,1,1)</f>
        <v>$GX$346</v>
      </c>
    </row>
    <row r="115" spans="1:5" x14ac:dyDescent="0.25">
      <c r="A115" s="30">
        <v>445.30993424231622</v>
      </c>
      <c r="C115" s="1" t="str">
        <f>ADDRESS(C121+1,D121,1,1)</f>
        <v>$GW$346</v>
      </c>
    </row>
    <row r="116" spans="1:5" x14ac:dyDescent="0.25">
      <c r="A116" s="30">
        <v>424.10469927839637</v>
      </c>
      <c r="C116" s="1">
        <f>C117-1</f>
        <v>344</v>
      </c>
    </row>
    <row r="117" spans="1:5" x14ac:dyDescent="0.25">
      <c r="A117" s="30">
        <v>403.9092374079965</v>
      </c>
      <c r="C117" s="1">
        <f>C121</f>
        <v>345</v>
      </c>
      <c r="D117" s="1">
        <f>D121</f>
        <v>205</v>
      </c>
    </row>
    <row r="118" spans="1:5" x14ac:dyDescent="0.25">
      <c r="A118" s="30">
        <v>384.6754641980919</v>
      </c>
      <c r="C118" s="1">
        <f>C117+1</f>
        <v>346</v>
      </c>
      <c r="D118" s="1">
        <f>D117+1</f>
        <v>206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345</v>
      </c>
      <c r="D121" s="19">
        <v>205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R345</v>
      </c>
      <c r="D123" s="1" t="str">
        <f>"C"&amp;D121</f>
        <v>C205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5.9583168959813212E-3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140" x14ac:dyDescent="0.25">
      <c r="A305" s="30">
        <v>4.1946483690970725E-2</v>
      </c>
      <c r="B305"/>
      <c r="C305"/>
      <c r="D305"/>
      <c r="E305"/>
      <c r="F305" s="27" t="s">
        <v>7</v>
      </c>
    </row>
    <row r="306" spans="1:140" x14ac:dyDescent="0.25">
      <c r="A306" s="30">
        <v>3.9949032086638768E-2</v>
      </c>
      <c r="B306"/>
      <c r="C306"/>
      <c r="D306"/>
      <c r="E306"/>
      <c r="F306" s="27" t="s">
        <v>7</v>
      </c>
    </row>
    <row r="307" spans="1:140" x14ac:dyDescent="0.25">
      <c r="A307" s="30">
        <v>3.8046697225370241E-2</v>
      </c>
      <c r="B307"/>
      <c r="C307"/>
      <c r="D307"/>
      <c r="E307"/>
      <c r="F307" s="27" t="s">
        <v>7</v>
      </c>
    </row>
    <row r="308" spans="1:140" x14ac:dyDescent="0.25">
      <c r="A308" s="30">
        <v>3.6234949738447833E-2</v>
      </c>
      <c r="B308"/>
      <c r="C308"/>
      <c r="D308"/>
      <c r="E308"/>
      <c r="F308" s="27" t="s">
        <v>7</v>
      </c>
    </row>
    <row r="309" spans="1:140" x14ac:dyDescent="0.25">
      <c r="A309" s="30">
        <v>3.4509475941378875E-2</v>
      </c>
      <c r="B309"/>
      <c r="C309"/>
      <c r="D309"/>
      <c r="E309"/>
      <c r="F309" s="27" t="s">
        <v>7</v>
      </c>
    </row>
    <row r="310" spans="1:140" x14ac:dyDescent="0.25">
      <c r="A310" s="30">
        <v>3.286616756321796E-2</v>
      </c>
      <c r="B310"/>
      <c r="C310"/>
      <c r="D310"/>
      <c r="E310"/>
      <c r="F310" s="27" t="s">
        <v>7</v>
      </c>
      <c r="DU310" s="27" t="s">
        <v>8</v>
      </c>
      <c r="DY310" s="27" t="s">
        <v>8</v>
      </c>
    </row>
    <row r="311" spans="1:140" x14ac:dyDescent="0.25">
      <c r="A311" s="30">
        <v>3.1301111964969472E-2</v>
      </c>
      <c r="B311"/>
      <c r="C311"/>
      <c r="D311"/>
      <c r="E311"/>
      <c r="F311" s="27" t="s">
        <v>7</v>
      </c>
      <c r="DU311" s="27" t="s">
        <v>8</v>
      </c>
      <c r="DV311" s="27" t="s">
        <v>7</v>
      </c>
      <c r="DY311" s="27" t="s">
        <v>8</v>
      </c>
      <c r="DZ311" s="27" t="s">
        <v>7</v>
      </c>
      <c r="EA311" s="27" t="s">
        <v>8</v>
      </c>
    </row>
    <row r="312" spans="1:140" x14ac:dyDescent="0.25">
      <c r="A312" s="30">
        <v>2.9810582823780438E-2</v>
      </c>
      <c r="B312"/>
      <c r="C312"/>
      <c r="D312"/>
      <c r="E312"/>
      <c r="F312" s="27" t="s">
        <v>7</v>
      </c>
      <c r="DU312" s="27" t="s">
        <v>8</v>
      </c>
      <c r="DV312" s="27" t="s">
        <v>7</v>
      </c>
      <c r="DY312" s="27" t="s">
        <v>8</v>
      </c>
      <c r="DZ312" s="27" t="s">
        <v>7</v>
      </c>
      <c r="EA312" s="27" t="s">
        <v>8</v>
      </c>
      <c r="EB312" s="27" t="s">
        <v>7</v>
      </c>
    </row>
    <row r="313" spans="1:140" x14ac:dyDescent="0.25">
      <c r="A313" s="30">
        <v>2.8391031260743264E-2</v>
      </c>
      <c r="B313"/>
      <c r="C313"/>
      <c r="D313"/>
      <c r="E313"/>
      <c r="F313" s="27" t="s">
        <v>7</v>
      </c>
      <c r="DU313" s="27" t="s">
        <v>8</v>
      </c>
      <c r="DV313" s="27" t="s">
        <v>7</v>
      </c>
      <c r="DY313" s="27" t="s">
        <v>8</v>
      </c>
      <c r="DZ313" s="27" t="s">
        <v>7</v>
      </c>
      <c r="EA313" s="27" t="s">
        <v>8</v>
      </c>
      <c r="EB313" s="27" t="s">
        <v>7</v>
      </c>
    </row>
    <row r="314" spans="1:140" x14ac:dyDescent="0.25">
      <c r="A314" s="30">
        <v>2.7039077391184052E-2</v>
      </c>
      <c r="B314"/>
      <c r="C314"/>
      <c r="D314"/>
      <c r="E314"/>
      <c r="F314" s="27" t="s">
        <v>7</v>
      </c>
      <c r="DI314" s="27" t="s">
        <v>8</v>
      </c>
      <c r="DU314" s="27" t="s">
        <v>8</v>
      </c>
      <c r="DV314" s="27" t="s">
        <v>7</v>
      </c>
      <c r="DY314" s="27" t="s">
        <v>8</v>
      </c>
      <c r="DZ314" s="27" t="s">
        <v>7</v>
      </c>
      <c r="EA314" s="27" t="s">
        <v>8</v>
      </c>
      <c r="EB314" s="27" t="s">
        <v>7</v>
      </c>
    </row>
    <row r="315" spans="1:140" x14ac:dyDescent="0.25">
      <c r="A315" s="30">
        <v>2.5751502277318133E-2</v>
      </c>
      <c r="B315"/>
      <c r="C315"/>
      <c r="D315"/>
      <c r="E315"/>
      <c r="F315" s="27" t="s">
        <v>7</v>
      </c>
      <c r="DI315" s="27" t="s">
        <v>8</v>
      </c>
      <c r="DJ315" s="27" t="s">
        <v>7</v>
      </c>
      <c r="DU315" s="27" t="s">
        <v>8</v>
      </c>
      <c r="DV315" s="27" t="s">
        <v>7</v>
      </c>
      <c r="DW315" s="27" t="s">
        <v>8</v>
      </c>
      <c r="DY315" s="27" t="s">
        <v>8</v>
      </c>
      <c r="DZ315" s="27" t="s">
        <v>7</v>
      </c>
      <c r="EB315" s="27" t="s">
        <v>7</v>
      </c>
    </row>
    <row r="316" spans="1:140" x14ac:dyDescent="0.25">
      <c r="A316" s="30">
        <v>2.4525240264112496E-2</v>
      </c>
      <c r="B316"/>
      <c r="C316"/>
      <c r="D316"/>
      <c r="E316"/>
      <c r="F316" s="27" t="s">
        <v>7</v>
      </c>
      <c r="DI316" s="27" t="s">
        <v>8</v>
      </c>
      <c r="DJ316" s="27" t="s">
        <v>7</v>
      </c>
      <c r="DU316" s="27" t="s">
        <v>8</v>
      </c>
      <c r="DV316" s="27" t="s">
        <v>7</v>
      </c>
      <c r="DW316" s="27" t="s">
        <v>8</v>
      </c>
      <c r="DX316" s="27" t="s">
        <v>7</v>
      </c>
      <c r="DY316" s="27" t="s">
        <v>8</v>
      </c>
      <c r="EB316" s="27" t="s">
        <v>7</v>
      </c>
      <c r="EC316" s="27" t="s">
        <v>8</v>
      </c>
      <c r="EI316" s="27" t="s">
        <v>8</v>
      </c>
    </row>
    <row r="317" spans="1:140" x14ac:dyDescent="0.25">
      <c r="A317" s="30">
        <v>2.3357371680107129E-2</v>
      </c>
      <c r="B317"/>
      <c r="C317"/>
      <c r="D317"/>
      <c r="E317"/>
      <c r="F317" s="27" t="s">
        <v>7</v>
      </c>
      <c r="DI317" s="27" t="s">
        <v>8</v>
      </c>
      <c r="DJ317" s="27" t="s">
        <v>7</v>
      </c>
      <c r="DU317" s="27" t="s">
        <v>8</v>
      </c>
      <c r="DV317" s="27" t="s">
        <v>7</v>
      </c>
      <c r="DW317" s="27" t="s">
        <v>8</v>
      </c>
      <c r="DX317" s="27" t="s">
        <v>7</v>
      </c>
      <c r="DY317" s="27" t="s">
        <v>8</v>
      </c>
      <c r="EB317" s="27" t="s">
        <v>7</v>
      </c>
      <c r="EC317" s="27" t="s">
        <v>8</v>
      </c>
      <c r="ED317" s="27" t="s">
        <v>7</v>
      </c>
      <c r="EI317" s="27" t="s">
        <v>8</v>
      </c>
      <c r="EJ317" s="27" t="s">
        <v>7</v>
      </c>
    </row>
    <row r="318" spans="1:140" x14ac:dyDescent="0.25">
      <c r="A318" s="30">
        <v>2.2245115885816305E-2</v>
      </c>
      <c r="B318"/>
      <c r="C318"/>
      <c r="D318"/>
      <c r="E318"/>
      <c r="F318" s="27" t="s">
        <v>7</v>
      </c>
      <c r="DG318" s="27" t="s">
        <v>8</v>
      </c>
      <c r="DI318" s="27" t="s">
        <v>8</v>
      </c>
      <c r="DJ318" s="27" t="s">
        <v>7</v>
      </c>
      <c r="DS318" s="27" t="s">
        <v>8</v>
      </c>
      <c r="DU318" s="27" t="s">
        <v>8</v>
      </c>
      <c r="DV318" s="27" t="s">
        <v>7</v>
      </c>
      <c r="DW318" s="27" t="s">
        <v>8</v>
      </c>
      <c r="DX318" s="27" t="s">
        <v>7</v>
      </c>
      <c r="EB318" s="27" t="s">
        <v>7</v>
      </c>
      <c r="EC318" s="27" t="s">
        <v>8</v>
      </c>
      <c r="ED318" s="27" t="s">
        <v>7</v>
      </c>
      <c r="EI318" s="27" t="s">
        <v>8</v>
      </c>
      <c r="EJ318" s="27" t="s">
        <v>7</v>
      </c>
    </row>
    <row r="319" spans="1:140" x14ac:dyDescent="0.25">
      <c r="A319" s="30">
        <v>2.1185824653158377E-2</v>
      </c>
      <c r="B319"/>
      <c r="C319"/>
      <c r="D319"/>
      <c r="E319"/>
      <c r="F319" s="27" t="s">
        <v>7</v>
      </c>
      <c r="DG319" s="27" t="s">
        <v>8</v>
      </c>
      <c r="DH319" s="27" t="s">
        <v>7</v>
      </c>
      <c r="DI319" s="27" t="s">
        <v>8</v>
      </c>
      <c r="DJ319" s="27" t="s">
        <v>7</v>
      </c>
      <c r="DS319" s="27" t="s">
        <v>8</v>
      </c>
      <c r="DT319" s="27" t="s">
        <v>7</v>
      </c>
      <c r="DU319" s="27" t="s">
        <v>8</v>
      </c>
      <c r="DV319" s="27" t="s">
        <v>7</v>
      </c>
      <c r="DW319" s="27" t="s">
        <v>8</v>
      </c>
      <c r="EB319" s="27" t="s">
        <v>7</v>
      </c>
      <c r="EC319" s="27" t="s">
        <v>8</v>
      </c>
      <c r="ED319" s="27" t="s">
        <v>7</v>
      </c>
      <c r="EI319" s="27" t="s">
        <v>8</v>
      </c>
      <c r="EJ319" s="27" t="s">
        <v>7</v>
      </c>
    </row>
    <row r="320" spans="1:140" x14ac:dyDescent="0.25">
      <c r="A320" s="30">
        <v>2.0176975860150829E-2</v>
      </c>
      <c r="B320"/>
      <c r="C320"/>
      <c r="D320"/>
      <c r="E320"/>
      <c r="F320" s="27" t="s">
        <v>7</v>
      </c>
      <c r="DG320" s="27" t="s">
        <v>8</v>
      </c>
      <c r="DH320" s="27" t="s">
        <v>7</v>
      </c>
      <c r="DI320" s="27" t="s">
        <v>8</v>
      </c>
      <c r="DJ320" s="27" t="s">
        <v>7</v>
      </c>
      <c r="DQ320" s="27" t="s">
        <v>8</v>
      </c>
      <c r="DS320" s="27" t="s">
        <v>8</v>
      </c>
      <c r="DT320" s="27" t="s">
        <v>7</v>
      </c>
      <c r="DU320" s="27" t="s">
        <v>8</v>
      </c>
      <c r="DV320" s="27" t="s">
        <v>7</v>
      </c>
      <c r="DW320" s="27" t="s">
        <v>8</v>
      </c>
      <c r="EB320" s="27" t="s">
        <v>7</v>
      </c>
      <c r="EC320" s="27" t="s">
        <v>8</v>
      </c>
      <c r="ED320" s="27" t="s">
        <v>7</v>
      </c>
      <c r="EI320" s="27" t="s">
        <v>8</v>
      </c>
      <c r="EJ320" s="27" t="s">
        <v>7</v>
      </c>
    </row>
    <row r="321" spans="1:202" x14ac:dyDescent="0.25">
      <c r="A321" s="30">
        <v>1.9216167485857926E-2</v>
      </c>
      <c r="B321"/>
      <c r="C321"/>
      <c r="D321"/>
      <c r="E321"/>
      <c r="F321" s="27" t="s">
        <v>7</v>
      </c>
      <c r="DC321" s="27" t="s">
        <v>8</v>
      </c>
      <c r="DG321" s="27" t="s">
        <v>8</v>
      </c>
      <c r="DH321" s="27" t="s">
        <v>7</v>
      </c>
      <c r="DI321" s="27" t="s">
        <v>8</v>
      </c>
      <c r="DJ321" s="27" t="s">
        <v>7</v>
      </c>
      <c r="DQ321" s="27" t="s">
        <v>8</v>
      </c>
      <c r="DR321" s="27" t="s">
        <v>7</v>
      </c>
      <c r="DS321" s="27" t="s">
        <v>8</v>
      </c>
      <c r="DT321" s="27" t="s">
        <v>7</v>
      </c>
      <c r="DV321" s="27" t="s">
        <v>7</v>
      </c>
      <c r="DW321" s="27" t="s">
        <v>8</v>
      </c>
      <c r="EB321" s="27" t="s">
        <v>7</v>
      </c>
      <c r="ED321" s="27" t="s">
        <v>7</v>
      </c>
      <c r="EI321" s="27" t="s">
        <v>8</v>
      </c>
      <c r="EJ321" s="27" t="s">
        <v>7</v>
      </c>
      <c r="EU321" s="31" t="s">
        <v>8</v>
      </c>
      <c r="GA321" s="27" t="s">
        <v>8</v>
      </c>
    </row>
    <row r="322" spans="1:202" x14ac:dyDescent="0.25">
      <c r="A322" s="30">
        <v>1.8301111891293256E-2</v>
      </c>
      <c r="B322"/>
      <c r="C322"/>
      <c r="D322"/>
      <c r="E322"/>
      <c r="F322" s="27" t="s">
        <v>7</v>
      </c>
      <c r="DC322" s="27" t="s">
        <v>8</v>
      </c>
      <c r="DD322" s="27" t="s">
        <v>7</v>
      </c>
      <c r="DE322" s="27" t="s">
        <v>8</v>
      </c>
      <c r="DG322" s="27" t="s">
        <v>8</v>
      </c>
      <c r="DH322" s="27" t="s">
        <v>7</v>
      </c>
      <c r="DI322" s="27" t="s">
        <v>8</v>
      </c>
      <c r="DJ322" s="27" t="s">
        <v>7</v>
      </c>
      <c r="DO322" s="27" t="s">
        <v>8</v>
      </c>
      <c r="DQ322" s="27" t="s">
        <v>8</v>
      </c>
      <c r="DR322" s="27" t="s">
        <v>7</v>
      </c>
      <c r="DS322" s="27" t="s">
        <v>8</v>
      </c>
      <c r="DV322" s="27" t="s">
        <v>7</v>
      </c>
      <c r="ED322" s="27" t="s">
        <v>7</v>
      </c>
      <c r="EG322" s="27" t="s">
        <v>8</v>
      </c>
      <c r="EI322" s="27" t="s">
        <v>8</v>
      </c>
      <c r="EJ322" s="27" t="s">
        <v>7</v>
      </c>
      <c r="EU322" s="27" t="s">
        <v>8</v>
      </c>
      <c r="EV322" s="31" t="s">
        <v>7</v>
      </c>
      <c r="GA322" s="27" t="s">
        <v>8</v>
      </c>
      <c r="GB322" s="27" t="s">
        <v>7</v>
      </c>
    </row>
    <row r="323" spans="1:202" x14ac:dyDescent="0.25">
      <c r="A323" s="30">
        <v>1.7429630372660238E-2</v>
      </c>
      <c r="B323"/>
      <c r="C323"/>
      <c r="D323"/>
      <c r="E323"/>
      <c r="F323" s="27" t="s">
        <v>7</v>
      </c>
      <c r="DC323" s="27" t="s">
        <v>8</v>
      </c>
      <c r="DD323" s="27" t="s">
        <v>7</v>
      </c>
      <c r="DE323" s="27" t="s">
        <v>8</v>
      </c>
      <c r="DF323" s="27" t="s">
        <v>7</v>
      </c>
      <c r="DG323" s="27" t="s">
        <v>8</v>
      </c>
      <c r="DH323" s="27" t="s">
        <v>7</v>
      </c>
      <c r="DI323" s="27" t="s">
        <v>8</v>
      </c>
      <c r="DJ323" s="27" t="s">
        <v>7</v>
      </c>
      <c r="DO323" s="27" t="s">
        <v>8</v>
      </c>
      <c r="DP323" s="27" t="s">
        <v>7</v>
      </c>
      <c r="DQ323" s="27" t="s">
        <v>8</v>
      </c>
      <c r="DR323" s="27" t="s">
        <v>7</v>
      </c>
      <c r="DS323" s="27" t="s">
        <v>8</v>
      </c>
      <c r="ED323" s="27" t="s">
        <v>7</v>
      </c>
      <c r="EE323" s="27" t="s">
        <v>8</v>
      </c>
      <c r="EG323" s="27" t="s">
        <v>8</v>
      </c>
      <c r="EH323" s="27" t="s">
        <v>7</v>
      </c>
      <c r="EI323" s="27" t="s">
        <v>8</v>
      </c>
      <c r="EJ323" s="27" t="s">
        <v>7</v>
      </c>
      <c r="EU323" s="27" t="s">
        <v>8</v>
      </c>
      <c r="EV323" s="27" t="s">
        <v>7</v>
      </c>
      <c r="EW323" s="31"/>
      <c r="GA323" s="27" t="s">
        <v>8</v>
      </c>
      <c r="GB323" s="27" t="s">
        <v>7</v>
      </c>
    </row>
    <row r="324" spans="1:202" x14ac:dyDescent="0.25">
      <c r="A324" s="30">
        <v>1.6599647973962125E-2</v>
      </c>
      <c r="B324"/>
      <c r="C324"/>
      <c r="D324"/>
      <c r="E324"/>
      <c r="F324" s="27" t="s">
        <v>7</v>
      </c>
      <c r="DC324" s="27" t="s">
        <v>8</v>
      </c>
      <c r="DD324" s="27" t="s">
        <v>7</v>
      </c>
      <c r="DE324" s="27" t="s">
        <v>8</v>
      </c>
      <c r="DF324" s="27" t="s">
        <v>7</v>
      </c>
      <c r="DG324" s="27" t="s">
        <v>8</v>
      </c>
      <c r="DH324" s="27" t="s">
        <v>7</v>
      </c>
      <c r="DI324" s="27" t="s">
        <v>8</v>
      </c>
      <c r="DJ324" s="27" t="s">
        <v>7</v>
      </c>
      <c r="DO324" s="27" t="s">
        <v>8</v>
      </c>
      <c r="DP324" s="27" t="s">
        <v>7</v>
      </c>
      <c r="DQ324" s="27" t="s">
        <v>8</v>
      </c>
      <c r="DR324" s="27" t="s">
        <v>7</v>
      </c>
      <c r="ED324" s="27" t="s">
        <v>7</v>
      </c>
      <c r="EE324" s="27" t="s">
        <v>8</v>
      </c>
      <c r="EF324" s="27" t="s">
        <v>7</v>
      </c>
      <c r="EG324" s="27" t="s">
        <v>8</v>
      </c>
      <c r="EH324" s="27" t="s">
        <v>7</v>
      </c>
      <c r="EI324" s="27" t="s">
        <v>8</v>
      </c>
      <c r="EJ324" s="27" t="s">
        <v>7</v>
      </c>
      <c r="EK324" s="32" t="s">
        <v>8</v>
      </c>
      <c r="EM324" s="32" t="s">
        <v>8</v>
      </c>
      <c r="EU324" s="27" t="s">
        <v>8</v>
      </c>
      <c r="EV324" s="27" t="s">
        <v>7</v>
      </c>
      <c r="EX324" s="31"/>
      <c r="GA324" s="27" t="s">
        <v>8</v>
      </c>
      <c r="GB324" s="27" t="s">
        <v>7</v>
      </c>
    </row>
    <row r="325" spans="1:202" x14ac:dyDescent="0.25">
      <c r="A325" s="30">
        <v>1.580918854663059E-2</v>
      </c>
      <c r="B325"/>
      <c r="C325"/>
      <c r="D325"/>
      <c r="E325"/>
      <c r="F325" s="27" t="s">
        <v>7</v>
      </c>
      <c r="DC325" s="27" t="s">
        <v>8</v>
      </c>
      <c r="DD325" s="27" t="s">
        <v>7</v>
      </c>
      <c r="DE325" s="27" t="s">
        <v>8</v>
      </c>
      <c r="DF325" s="27" t="s">
        <v>7</v>
      </c>
      <c r="DG325" s="27" t="s">
        <v>8</v>
      </c>
      <c r="DH325" s="27" t="s">
        <v>7</v>
      </c>
      <c r="DI325" s="27" t="s">
        <v>8</v>
      </c>
      <c r="DJ325" s="27" t="s">
        <v>7</v>
      </c>
      <c r="DK325" s="27" t="s">
        <v>8</v>
      </c>
      <c r="DM325" s="27" t="s">
        <v>8</v>
      </c>
      <c r="DO325" s="27" t="s">
        <v>8</v>
      </c>
      <c r="DP325" s="27" t="s">
        <v>7</v>
      </c>
      <c r="DQ325" s="27" t="s">
        <v>8</v>
      </c>
      <c r="ED325" s="27" t="s">
        <v>7</v>
      </c>
      <c r="EE325" s="27" t="s">
        <v>8</v>
      </c>
      <c r="EF325" s="27" t="s">
        <v>7</v>
      </c>
      <c r="EG325" s="27" t="s">
        <v>8</v>
      </c>
      <c r="EH325" s="27" t="s">
        <v>7</v>
      </c>
      <c r="EJ325" s="27" t="s">
        <v>7</v>
      </c>
      <c r="EK325" s="27" t="s">
        <v>8</v>
      </c>
      <c r="EL325" s="27" t="s">
        <v>7</v>
      </c>
      <c r="EM325" s="27" t="s">
        <v>8</v>
      </c>
      <c r="EN325" s="27" t="s">
        <v>7</v>
      </c>
      <c r="EU325" s="27" t="s">
        <v>8</v>
      </c>
      <c r="EV325" s="27" t="s">
        <v>7</v>
      </c>
      <c r="EY325" s="31"/>
      <c r="FQ325" s="27" t="s">
        <v>8</v>
      </c>
      <c r="GA325" s="27" t="s">
        <v>8</v>
      </c>
      <c r="GB325" s="27" t="s">
        <v>7</v>
      </c>
      <c r="GK325" s="27" t="s">
        <v>8</v>
      </c>
    </row>
    <row r="326" spans="1:202" x14ac:dyDescent="0.25">
      <c r="A326" s="30">
        <v>1.5056370044410079E-2</v>
      </c>
      <c r="B326"/>
      <c r="C326"/>
      <c r="D326"/>
      <c r="E326"/>
      <c r="F326" s="27" t="s">
        <v>7</v>
      </c>
      <c r="DC326" s="27" t="s">
        <v>8</v>
      </c>
      <c r="DD326" s="27" t="s">
        <v>7</v>
      </c>
      <c r="DF326" s="27" t="s">
        <v>7</v>
      </c>
      <c r="DG326" s="27" t="s">
        <v>8</v>
      </c>
      <c r="DH326" s="27" t="s">
        <v>7</v>
      </c>
      <c r="DJ326" s="27" t="s">
        <v>7</v>
      </c>
      <c r="DK326" s="27" t="s">
        <v>8</v>
      </c>
      <c r="DL326" s="27" t="s">
        <v>7</v>
      </c>
      <c r="DM326" s="27" t="s">
        <v>8</v>
      </c>
      <c r="DN326" s="27" t="s">
        <v>7</v>
      </c>
      <c r="DO326" s="27" t="s">
        <v>8</v>
      </c>
      <c r="DP326" s="27" t="s">
        <v>7</v>
      </c>
      <c r="ED326" s="27" t="s">
        <v>7</v>
      </c>
      <c r="EF326" s="27" t="s">
        <v>7</v>
      </c>
      <c r="EG326" s="27" t="s">
        <v>8</v>
      </c>
      <c r="EJ326" s="27" t="s">
        <v>7</v>
      </c>
      <c r="EK326" s="27" t="s">
        <v>8</v>
      </c>
      <c r="EL326" s="27" t="s">
        <v>7</v>
      </c>
      <c r="EM326" s="27" t="s">
        <v>8</v>
      </c>
      <c r="EN326" s="27" t="s">
        <v>7</v>
      </c>
      <c r="EU326" s="27" t="s">
        <v>8</v>
      </c>
      <c r="EV326" s="27" t="s">
        <v>7</v>
      </c>
      <c r="EZ326" s="31"/>
      <c r="FQ326" s="27" t="s">
        <v>8</v>
      </c>
      <c r="FR326" s="27" t="s">
        <v>7</v>
      </c>
      <c r="GA326" s="27" t="s">
        <v>8</v>
      </c>
      <c r="GB326" s="27" t="s">
        <v>7</v>
      </c>
      <c r="GC326" s="27" t="s">
        <v>8</v>
      </c>
      <c r="GG326" s="27" t="s">
        <v>8</v>
      </c>
      <c r="GI326" s="27" t="s">
        <v>8</v>
      </c>
      <c r="GK326" s="27" t="s">
        <v>8</v>
      </c>
      <c r="GL326" s="27" t="s">
        <v>7</v>
      </c>
    </row>
    <row r="327" spans="1:202" x14ac:dyDescent="0.25">
      <c r="A327" s="30">
        <v>1.4339400042295308E-2</v>
      </c>
      <c r="B327"/>
      <c r="C327"/>
      <c r="D327"/>
      <c r="E327"/>
      <c r="F327" s="27" t="s">
        <v>7</v>
      </c>
      <c r="DC327" s="27" t="s">
        <v>8</v>
      </c>
      <c r="DF327" s="27" t="s">
        <v>7</v>
      </c>
      <c r="DG327" s="27" t="s">
        <v>8</v>
      </c>
      <c r="DJ327" s="27" t="s">
        <v>7</v>
      </c>
      <c r="DK327" s="27" t="s">
        <v>8</v>
      </c>
      <c r="DL327" s="27" t="s">
        <v>7</v>
      </c>
      <c r="DM327" s="27" t="s">
        <v>8</v>
      </c>
      <c r="DN327" s="27" t="s">
        <v>7</v>
      </c>
      <c r="DO327" s="27" t="s">
        <v>8</v>
      </c>
      <c r="EF327" s="27" t="s">
        <v>7</v>
      </c>
      <c r="EG327" s="27" t="s">
        <v>8</v>
      </c>
      <c r="EJ327" s="27" t="s">
        <v>7</v>
      </c>
      <c r="EK327" s="27" t="s">
        <v>8</v>
      </c>
      <c r="EL327" s="27" t="s">
        <v>7</v>
      </c>
      <c r="EM327" s="27" t="s">
        <v>8</v>
      </c>
      <c r="EN327" s="27" t="s">
        <v>7</v>
      </c>
      <c r="EO327" s="27" t="s">
        <v>8</v>
      </c>
      <c r="EU327" s="27" t="s">
        <v>8</v>
      </c>
      <c r="EV327" s="27" t="s">
        <v>7</v>
      </c>
      <c r="EY327" s="27" t="s">
        <v>8</v>
      </c>
      <c r="FA327" s="31"/>
      <c r="FQ327" s="27" t="s">
        <v>8</v>
      </c>
      <c r="FR327" s="27" t="s">
        <v>7</v>
      </c>
      <c r="GA327" s="27" t="s">
        <v>8</v>
      </c>
      <c r="GB327" s="27" t="s">
        <v>7</v>
      </c>
      <c r="GC327" s="27" t="s">
        <v>8</v>
      </c>
      <c r="GD327" s="27" t="s">
        <v>7</v>
      </c>
      <c r="GG327" s="27" t="s">
        <v>8</v>
      </c>
      <c r="GH327" s="27" t="s">
        <v>7</v>
      </c>
      <c r="GI327" s="27" t="s">
        <v>8</v>
      </c>
      <c r="GJ327" s="27" t="s">
        <v>7</v>
      </c>
      <c r="GK327" s="27" t="s">
        <v>8</v>
      </c>
      <c r="GL327" s="27" t="s">
        <v>7</v>
      </c>
    </row>
    <row r="328" spans="1:202" x14ac:dyDescent="0.25">
      <c r="A328" s="30">
        <v>1.365657146885267E-2</v>
      </c>
      <c r="B328"/>
      <c r="C328"/>
      <c r="D328"/>
      <c r="E328"/>
      <c r="F328" s="27" t="s">
        <v>7</v>
      </c>
      <c r="DA328" s="27" t="s">
        <v>8</v>
      </c>
      <c r="DC328" s="27" t="s">
        <v>8</v>
      </c>
      <c r="DF328" s="27" t="s">
        <v>7</v>
      </c>
      <c r="DJ328" s="27" t="s">
        <v>7</v>
      </c>
      <c r="DK328" s="27" t="s">
        <v>8</v>
      </c>
      <c r="DL328" s="27" t="s">
        <v>7</v>
      </c>
      <c r="DM328" s="27" t="s">
        <v>8</v>
      </c>
      <c r="DN328" s="27" t="s">
        <v>7</v>
      </c>
      <c r="DO328" s="27" t="s">
        <v>8</v>
      </c>
      <c r="EF328" s="27" t="s">
        <v>7</v>
      </c>
      <c r="EG328" s="27" t="s">
        <v>8</v>
      </c>
      <c r="EJ328" s="27" t="s">
        <v>7</v>
      </c>
      <c r="EL328" s="27" t="s">
        <v>7</v>
      </c>
      <c r="EM328" s="27" t="s">
        <v>8</v>
      </c>
      <c r="EN328" s="27" t="s">
        <v>7</v>
      </c>
      <c r="EO328" s="27" t="s">
        <v>8</v>
      </c>
      <c r="EP328" s="27" t="s">
        <v>7</v>
      </c>
      <c r="EQ328" s="27" t="s">
        <v>8</v>
      </c>
      <c r="EU328" s="27" t="s">
        <v>8</v>
      </c>
      <c r="EV328" s="27" t="s">
        <v>7</v>
      </c>
      <c r="EY328" s="27" t="s">
        <v>8</v>
      </c>
      <c r="EZ328" s="27" t="s">
        <v>7</v>
      </c>
      <c r="FB328" s="31"/>
      <c r="FK328" s="27" t="s">
        <v>8</v>
      </c>
      <c r="FO328" s="27" t="s">
        <v>8</v>
      </c>
      <c r="FQ328" s="27" t="s">
        <v>8</v>
      </c>
      <c r="FR328" s="27" t="s">
        <v>7</v>
      </c>
      <c r="GA328" s="27" t="s">
        <v>8</v>
      </c>
      <c r="GB328" s="27" t="s">
        <v>7</v>
      </c>
      <c r="GC328" s="27" t="s">
        <v>8</v>
      </c>
      <c r="GD328" s="27" t="s">
        <v>7</v>
      </c>
      <c r="GE328" s="27" t="s">
        <v>8</v>
      </c>
      <c r="GG328" s="27" t="s">
        <v>8</v>
      </c>
      <c r="GH328" s="27" t="s">
        <v>7</v>
      </c>
      <c r="GI328" s="27" t="s">
        <v>8</v>
      </c>
      <c r="GJ328" s="27" t="s">
        <v>7</v>
      </c>
      <c r="GK328" s="27" t="s">
        <v>8</v>
      </c>
      <c r="GL328" s="27" t="s">
        <v>7</v>
      </c>
    </row>
    <row r="329" spans="1:202" x14ac:dyDescent="0.25">
      <c r="A329" s="30">
        <v>1.3006258541764442E-2</v>
      </c>
      <c r="B329"/>
      <c r="C329"/>
      <c r="D329"/>
      <c r="E329"/>
      <c r="F329" s="27" t="s">
        <v>7</v>
      </c>
      <c r="DA329" s="27" t="s">
        <v>8</v>
      </c>
      <c r="DB329" s="27" t="s">
        <v>7</v>
      </c>
      <c r="DC329" s="27" t="s">
        <v>8</v>
      </c>
      <c r="DJ329" s="27" t="s">
        <v>7</v>
      </c>
      <c r="DK329" s="27" t="s">
        <v>8</v>
      </c>
      <c r="DL329" s="27" t="s">
        <v>7</v>
      </c>
      <c r="DM329" s="27" t="s">
        <v>8</v>
      </c>
      <c r="DN329" s="27" t="s">
        <v>7</v>
      </c>
      <c r="DO329" s="27" t="s">
        <v>8</v>
      </c>
      <c r="EF329" s="27" t="s">
        <v>7</v>
      </c>
      <c r="EG329" s="27" t="s">
        <v>8</v>
      </c>
      <c r="EL329" s="27" t="s">
        <v>7</v>
      </c>
      <c r="EM329" s="27" t="s">
        <v>8</v>
      </c>
      <c r="EN329" s="27" t="s">
        <v>7</v>
      </c>
      <c r="EO329" s="27" t="s">
        <v>8</v>
      </c>
      <c r="EP329" s="27" t="s">
        <v>7</v>
      </c>
      <c r="EQ329" s="27" t="s">
        <v>8</v>
      </c>
      <c r="ER329" s="27" t="s">
        <v>7</v>
      </c>
      <c r="EU329" s="27" t="s">
        <v>8</v>
      </c>
      <c r="EV329" s="27" t="s">
        <v>7</v>
      </c>
      <c r="EY329" s="27" t="s">
        <v>8</v>
      </c>
      <c r="EZ329" s="27" t="s">
        <v>7</v>
      </c>
      <c r="FC329" s="31"/>
      <c r="FK329" s="27" t="s">
        <v>8</v>
      </c>
      <c r="FL329" s="27" t="s">
        <v>7</v>
      </c>
      <c r="FM329" s="27" t="s">
        <v>8</v>
      </c>
      <c r="FO329" s="27" t="s">
        <v>8</v>
      </c>
      <c r="FP329" s="27" t="s">
        <v>7</v>
      </c>
      <c r="FQ329" s="27" t="s">
        <v>8</v>
      </c>
      <c r="FR329" s="27" t="s">
        <v>7</v>
      </c>
      <c r="FS329" s="27" t="s">
        <v>8</v>
      </c>
      <c r="FU329" s="27" t="s">
        <v>8</v>
      </c>
      <c r="FY329" s="27" t="s">
        <v>8</v>
      </c>
      <c r="GA329" s="27" t="s">
        <v>8</v>
      </c>
      <c r="GB329" s="27" t="s">
        <v>7</v>
      </c>
      <c r="GC329" s="27" t="s">
        <v>8</v>
      </c>
      <c r="GD329" s="27" t="s">
        <v>7</v>
      </c>
      <c r="GE329" s="27" t="s">
        <v>8</v>
      </c>
      <c r="GF329" s="27" t="s">
        <v>7</v>
      </c>
      <c r="GG329" s="27" t="s">
        <v>8</v>
      </c>
      <c r="GH329" s="27" t="s">
        <v>7</v>
      </c>
      <c r="GI329" s="27" t="s">
        <v>8</v>
      </c>
      <c r="GJ329" s="27" t="s">
        <v>7</v>
      </c>
      <c r="GL329" s="27" t="s">
        <v>7</v>
      </c>
    </row>
    <row r="330" spans="1:202" x14ac:dyDescent="0.25">
      <c r="A330" s="30">
        <v>1.2386912896918512E-2</v>
      </c>
      <c r="B330"/>
      <c r="C330"/>
      <c r="D330"/>
      <c r="E330"/>
      <c r="F330" s="27" t="s">
        <v>7</v>
      </c>
      <c r="DA330" s="27" t="s">
        <v>8</v>
      </c>
      <c r="DB330" s="27" t="s">
        <v>7</v>
      </c>
      <c r="DC330" s="27" t="s">
        <v>8</v>
      </c>
      <c r="DJ330" s="27" t="s">
        <v>7</v>
      </c>
      <c r="DK330" s="27" t="s">
        <v>8</v>
      </c>
      <c r="DL330" s="27" t="s">
        <v>7</v>
      </c>
      <c r="DM330" s="27" t="s">
        <v>8</v>
      </c>
      <c r="DN330" s="27" t="s">
        <v>7</v>
      </c>
      <c r="DO330" s="27" t="s">
        <v>8</v>
      </c>
      <c r="EF330" s="27" t="s">
        <v>7</v>
      </c>
      <c r="EG330" s="27" t="s">
        <v>8</v>
      </c>
      <c r="EL330" s="27" t="s">
        <v>7</v>
      </c>
      <c r="EM330" s="27" t="s">
        <v>8</v>
      </c>
      <c r="EN330" s="27" t="s">
        <v>7</v>
      </c>
      <c r="EO330" s="27" t="s">
        <v>8</v>
      </c>
      <c r="EP330" s="27" t="s">
        <v>7</v>
      </c>
      <c r="EQ330" s="27" t="s">
        <v>8</v>
      </c>
      <c r="ER330" s="27" t="s">
        <v>7</v>
      </c>
      <c r="EU330" s="27" t="s">
        <v>8</v>
      </c>
      <c r="EV330" s="27" t="s">
        <v>7</v>
      </c>
      <c r="EY330" s="33" t="s">
        <v>8</v>
      </c>
      <c r="EZ330" s="27" t="s">
        <v>7</v>
      </c>
      <c r="FD330" s="31"/>
      <c r="FK330" s="27" t="s">
        <v>8</v>
      </c>
      <c r="FL330" s="27" t="s">
        <v>7</v>
      </c>
      <c r="FM330" s="27" t="s">
        <v>8</v>
      </c>
      <c r="FN330" s="27" t="s">
        <v>7</v>
      </c>
      <c r="FO330" s="27" t="s">
        <v>8</v>
      </c>
      <c r="FP330" s="27" t="s">
        <v>7</v>
      </c>
      <c r="FQ330" s="27" t="s">
        <v>8</v>
      </c>
      <c r="FR330" s="27" t="s">
        <v>7</v>
      </c>
      <c r="FS330" s="27" t="s">
        <v>8</v>
      </c>
      <c r="FT330" s="27" t="s">
        <v>7</v>
      </c>
      <c r="FU330" s="27" t="s">
        <v>8</v>
      </c>
      <c r="FV330" s="27" t="s">
        <v>7</v>
      </c>
      <c r="FW330" s="27" t="s">
        <v>8</v>
      </c>
      <c r="FY330" s="27" t="s">
        <v>8</v>
      </c>
      <c r="FZ330" s="27" t="s">
        <v>7</v>
      </c>
      <c r="GA330" s="27" t="s">
        <v>8</v>
      </c>
      <c r="GB330" s="27" t="s">
        <v>7</v>
      </c>
      <c r="GC330" s="27" t="s">
        <v>8</v>
      </c>
      <c r="GD330" s="27" t="s">
        <v>7</v>
      </c>
      <c r="GE330" s="27" t="s">
        <v>8</v>
      </c>
      <c r="GF330" s="27" t="s">
        <v>7</v>
      </c>
      <c r="GG330" s="27" t="s">
        <v>8</v>
      </c>
      <c r="GH330" s="27" t="s">
        <v>7</v>
      </c>
      <c r="GI330" s="27" t="s">
        <v>8</v>
      </c>
      <c r="GL330" s="27" t="s">
        <v>7</v>
      </c>
    </row>
    <row r="331" spans="1:202" x14ac:dyDescent="0.25">
      <c r="A331" s="30">
        <v>1.179705990182715E-2</v>
      </c>
      <c r="B331"/>
      <c r="C331"/>
      <c r="D331"/>
      <c r="E331"/>
      <c r="F331" s="27" t="s">
        <v>7</v>
      </c>
      <c r="DA331" s="27" t="s">
        <v>8</v>
      </c>
      <c r="DB331" s="27" t="s">
        <v>7</v>
      </c>
      <c r="DC331" s="27" t="s">
        <v>8</v>
      </c>
      <c r="DJ331" s="27" t="s">
        <v>7</v>
      </c>
      <c r="DK331" s="27" t="s">
        <v>8</v>
      </c>
      <c r="DL331" s="27" t="s">
        <v>7</v>
      </c>
      <c r="DN331" s="27" t="s">
        <v>7</v>
      </c>
      <c r="EF331" s="27" t="s">
        <v>7</v>
      </c>
      <c r="EG331" s="27" t="s">
        <v>8</v>
      </c>
      <c r="EL331" s="27" t="s">
        <v>7</v>
      </c>
      <c r="EM331" s="27" t="s">
        <v>8</v>
      </c>
      <c r="EN331" s="27" t="s">
        <v>7</v>
      </c>
      <c r="EP331" s="27" t="s">
        <v>7</v>
      </c>
      <c r="EQ331" s="27" t="s">
        <v>8</v>
      </c>
      <c r="ER331" s="27" t="s">
        <v>7</v>
      </c>
      <c r="EU331" s="27" t="s">
        <v>8</v>
      </c>
      <c r="EV331" s="27" t="s">
        <v>7</v>
      </c>
      <c r="EW331" s="27" t="s">
        <v>8</v>
      </c>
      <c r="EY331" s="27" t="s">
        <v>8</v>
      </c>
      <c r="EZ331" s="27" t="s">
        <v>7</v>
      </c>
      <c r="FE331" s="31"/>
      <c r="FK331" s="27" t="s">
        <v>8</v>
      </c>
      <c r="FL331" s="27" t="s">
        <v>7</v>
      </c>
      <c r="FM331" s="27" t="s">
        <v>8</v>
      </c>
      <c r="FN331" s="27" t="s">
        <v>7</v>
      </c>
      <c r="FO331" s="27" t="s">
        <v>8</v>
      </c>
      <c r="FP331" s="27" t="s">
        <v>7</v>
      </c>
      <c r="FQ331" s="27" t="s">
        <v>8</v>
      </c>
      <c r="FR331" s="27" t="s">
        <v>7</v>
      </c>
      <c r="FS331" s="27" t="s">
        <v>8</v>
      </c>
      <c r="FT331" s="27" t="s">
        <v>7</v>
      </c>
      <c r="FU331" s="27" t="s">
        <v>8</v>
      </c>
      <c r="FV331" s="27" t="s">
        <v>7</v>
      </c>
      <c r="FW331" s="27" t="s">
        <v>8</v>
      </c>
      <c r="FX331" s="27" t="s">
        <v>7</v>
      </c>
      <c r="FY331" s="27" t="s">
        <v>8</v>
      </c>
      <c r="FZ331" s="27" t="s">
        <v>7</v>
      </c>
      <c r="GA331" s="27" t="s">
        <v>8</v>
      </c>
      <c r="GB331" s="27" t="s">
        <v>7</v>
      </c>
      <c r="GD331" s="27" t="s">
        <v>7</v>
      </c>
      <c r="GE331" s="27" t="s">
        <v>8</v>
      </c>
      <c r="GF331" s="27" t="s">
        <v>7</v>
      </c>
      <c r="GH331" s="27" t="s">
        <v>7</v>
      </c>
      <c r="GI331" s="27" t="s">
        <v>8</v>
      </c>
      <c r="GL331" s="27" t="s">
        <v>7</v>
      </c>
      <c r="GS331" s="27" t="s">
        <v>8</v>
      </c>
    </row>
    <row r="332" spans="1:202" x14ac:dyDescent="0.25">
      <c r="A332" s="30">
        <v>1.1235295144597281E-2</v>
      </c>
      <c r="B332"/>
      <c r="C332"/>
      <c r="D332"/>
      <c r="E332"/>
      <c r="F332" s="27" t="s">
        <v>7</v>
      </c>
      <c r="DA332" s="27" t="s">
        <v>8</v>
      </c>
      <c r="DB332" s="27" t="s">
        <v>7</v>
      </c>
      <c r="DC332" s="27" t="s">
        <v>8</v>
      </c>
      <c r="DJ332" s="27" t="s">
        <v>7</v>
      </c>
      <c r="DK332" s="27" t="s">
        <v>8</v>
      </c>
      <c r="EF332" s="27" t="s">
        <v>7</v>
      </c>
      <c r="EG332" s="27" t="s">
        <v>8</v>
      </c>
      <c r="EL332" s="27" t="s">
        <v>7</v>
      </c>
      <c r="EM332" s="27" t="s">
        <v>8</v>
      </c>
      <c r="EP332" s="27" t="s">
        <v>7</v>
      </c>
      <c r="EQ332" s="27" t="s">
        <v>8</v>
      </c>
      <c r="ER332" s="27" t="s">
        <v>7</v>
      </c>
      <c r="EU332" s="33" t="s">
        <v>8</v>
      </c>
      <c r="EV332" s="27" t="s">
        <v>7</v>
      </c>
      <c r="EW332" s="27" t="s">
        <v>8</v>
      </c>
      <c r="EX332" s="27" t="s">
        <v>7</v>
      </c>
      <c r="EY332" s="27" t="s">
        <v>8</v>
      </c>
      <c r="EZ332" s="27" t="s">
        <v>7</v>
      </c>
      <c r="FF332" s="31"/>
      <c r="FK332" s="27" t="s">
        <v>8</v>
      </c>
      <c r="FL332" s="27" t="s">
        <v>7</v>
      </c>
      <c r="FN332" s="27" t="s">
        <v>7</v>
      </c>
      <c r="FP332" s="27" t="s">
        <v>7</v>
      </c>
      <c r="FR332" s="27" t="s">
        <v>7</v>
      </c>
      <c r="FS332" s="27" t="s">
        <v>8</v>
      </c>
      <c r="FT332" s="27" t="s">
        <v>7</v>
      </c>
      <c r="FV332" s="27" t="s">
        <v>7</v>
      </c>
      <c r="FW332" s="27" t="s">
        <v>8</v>
      </c>
      <c r="FX332" s="27" t="s">
        <v>7</v>
      </c>
      <c r="FY332" s="27" t="s">
        <v>8</v>
      </c>
      <c r="FZ332" s="27" t="s">
        <v>7</v>
      </c>
      <c r="GD332" s="27" t="s">
        <v>7</v>
      </c>
      <c r="GH332" s="27" t="s">
        <v>7</v>
      </c>
      <c r="GL332" s="27" t="s">
        <v>7</v>
      </c>
      <c r="GS332" s="27" t="s">
        <v>8</v>
      </c>
      <c r="GT332" s="27" t="s">
        <v>7</v>
      </c>
    </row>
    <row r="333" spans="1:202" x14ac:dyDescent="0.25">
      <c r="A333" s="30">
        <v>1.0700281090092644E-2</v>
      </c>
      <c r="B333"/>
      <c r="C333"/>
      <c r="D333"/>
      <c r="E333"/>
      <c r="F333" s="27" t="s">
        <v>7</v>
      </c>
      <c r="DA333" s="27" t="s">
        <v>8</v>
      </c>
      <c r="DB333" s="27" t="s">
        <v>7</v>
      </c>
      <c r="DC333" s="27" t="s">
        <v>8</v>
      </c>
      <c r="DJ333" s="27" t="s">
        <v>7</v>
      </c>
      <c r="DK333" s="27" t="s">
        <v>8</v>
      </c>
      <c r="EF333" s="27" t="s">
        <v>7</v>
      </c>
      <c r="EG333" s="27" t="s">
        <v>8</v>
      </c>
      <c r="EL333" s="27" t="s">
        <v>7</v>
      </c>
      <c r="EM333" s="27" t="s">
        <v>8</v>
      </c>
      <c r="EP333" s="27" t="s">
        <v>7</v>
      </c>
      <c r="EQ333" s="27" t="s">
        <v>8</v>
      </c>
      <c r="ER333" s="27" t="s">
        <v>7</v>
      </c>
      <c r="ES333" s="27" t="s">
        <v>8</v>
      </c>
      <c r="EU333" s="27" t="s">
        <v>8</v>
      </c>
      <c r="EV333" s="27" t="s">
        <v>7</v>
      </c>
      <c r="EW333" s="27" t="s">
        <v>8</v>
      </c>
      <c r="EX333" s="27" t="s">
        <v>7</v>
      </c>
      <c r="EY333" s="27" t="s">
        <v>8</v>
      </c>
      <c r="EZ333" s="27" t="s">
        <v>7</v>
      </c>
      <c r="FG333" s="31"/>
      <c r="FI333" s="27" t="s">
        <v>8</v>
      </c>
      <c r="FK333" s="27" t="s">
        <v>8</v>
      </c>
      <c r="FR333" s="27" t="s">
        <v>7</v>
      </c>
      <c r="FS333" s="27" t="s">
        <v>8</v>
      </c>
      <c r="FV333" s="27" t="s">
        <v>7</v>
      </c>
      <c r="FW333" s="27" t="s">
        <v>8</v>
      </c>
      <c r="FX333" s="27" t="s">
        <v>7</v>
      </c>
      <c r="FY333" s="27" t="s">
        <v>8</v>
      </c>
      <c r="GL333" s="27" t="s">
        <v>7</v>
      </c>
      <c r="GS333" s="27" t="s">
        <v>8</v>
      </c>
      <c r="GT333" s="27" t="s">
        <v>7</v>
      </c>
    </row>
    <row r="334" spans="1:202" x14ac:dyDescent="0.25">
      <c r="A334" s="30">
        <v>1.0190743895326324E-2</v>
      </c>
      <c r="B334"/>
      <c r="C334"/>
      <c r="D334"/>
      <c r="E334"/>
      <c r="F334" s="27" t="s">
        <v>7</v>
      </c>
      <c r="DA334" s="27" t="s">
        <v>8</v>
      </c>
      <c r="DB334" s="27" t="s">
        <v>7</v>
      </c>
      <c r="DC334" s="27" t="s">
        <v>8</v>
      </c>
      <c r="DJ334" s="27" t="s">
        <v>7</v>
      </c>
      <c r="DK334" s="27" t="s">
        <v>8</v>
      </c>
      <c r="EF334" s="27" t="s">
        <v>7</v>
      </c>
      <c r="EG334" s="27" t="s">
        <v>8</v>
      </c>
      <c r="EL334" s="27" t="s">
        <v>7</v>
      </c>
      <c r="EP334" s="27" t="s">
        <v>7</v>
      </c>
      <c r="EQ334" s="27" t="s">
        <v>8</v>
      </c>
      <c r="ER334" s="27" t="s">
        <v>7</v>
      </c>
      <c r="ES334" s="27" t="s">
        <v>8</v>
      </c>
      <c r="ET334" s="27" t="s">
        <v>7</v>
      </c>
      <c r="EU334" s="27" t="s">
        <v>8</v>
      </c>
      <c r="EV334" s="27" t="s">
        <v>7</v>
      </c>
      <c r="EW334" s="27" t="s">
        <v>8</v>
      </c>
      <c r="EX334" s="27" t="s">
        <v>7</v>
      </c>
      <c r="EY334" s="27" t="s">
        <v>8</v>
      </c>
      <c r="EZ334" s="27" t="s">
        <v>7</v>
      </c>
      <c r="FH334" s="31"/>
      <c r="FI334" s="27" t="s">
        <v>8</v>
      </c>
      <c r="FJ334" s="27" t="s">
        <v>7</v>
      </c>
      <c r="FK334" s="27" t="s">
        <v>8</v>
      </c>
      <c r="FR334" s="27" t="s">
        <v>7</v>
      </c>
      <c r="FS334" s="27" t="s">
        <v>8</v>
      </c>
      <c r="FV334" s="27" t="s">
        <v>7</v>
      </c>
      <c r="FX334" s="27" t="s">
        <v>7</v>
      </c>
      <c r="FY334" s="27" t="s">
        <v>8</v>
      </c>
      <c r="GL334" s="27" t="s">
        <v>7</v>
      </c>
      <c r="GM334" s="27" t="s">
        <v>8</v>
      </c>
      <c r="GO334" s="27" t="s">
        <v>8</v>
      </c>
      <c r="GS334" s="27" t="s">
        <v>8</v>
      </c>
      <c r="GT334" s="27" t="s">
        <v>7</v>
      </c>
    </row>
    <row r="335" spans="1:202" x14ac:dyDescent="0.25">
      <c r="A335" s="30">
        <v>9.7054703765012563E-3</v>
      </c>
      <c r="B335"/>
      <c r="C335"/>
      <c r="D335"/>
      <c r="E335"/>
      <c r="F335" s="27" t="s">
        <v>7</v>
      </c>
      <c r="DA335" s="27" t="s">
        <v>8</v>
      </c>
      <c r="DB335" s="27" t="s">
        <v>7</v>
      </c>
      <c r="DC335" s="27" t="s">
        <v>8</v>
      </c>
      <c r="DJ335" s="27" t="s">
        <v>7</v>
      </c>
      <c r="EF335" s="27" t="s">
        <v>7</v>
      </c>
      <c r="EP335" s="27" t="s">
        <v>7</v>
      </c>
      <c r="EQ335" s="27" t="s">
        <v>8</v>
      </c>
      <c r="ER335" s="27" t="s">
        <v>7</v>
      </c>
      <c r="ES335" s="27" t="s">
        <v>8</v>
      </c>
      <c r="ET335" s="27" t="s">
        <v>7</v>
      </c>
      <c r="EU335" s="27" t="s">
        <v>8</v>
      </c>
      <c r="EV335" s="27" t="s">
        <v>7</v>
      </c>
      <c r="EW335" s="27" t="s">
        <v>8</v>
      </c>
      <c r="EX335" s="27" t="s">
        <v>7</v>
      </c>
      <c r="EY335" s="27" t="s">
        <v>8</v>
      </c>
      <c r="EZ335" s="27" t="s">
        <v>7</v>
      </c>
      <c r="FC335" s="27" t="s">
        <v>8</v>
      </c>
      <c r="FI335" s="31" t="s">
        <v>8</v>
      </c>
      <c r="FJ335" s="27" t="s">
        <v>7</v>
      </c>
      <c r="FK335" s="27" t="s">
        <v>8</v>
      </c>
      <c r="FR335" s="27" t="s">
        <v>7</v>
      </c>
      <c r="FS335" s="27" t="s">
        <v>8</v>
      </c>
      <c r="FX335" s="27" t="s">
        <v>7</v>
      </c>
      <c r="FY335" s="27" t="s">
        <v>8</v>
      </c>
      <c r="GL335" s="27" t="s">
        <v>7</v>
      </c>
      <c r="GM335" s="27" t="s">
        <v>8</v>
      </c>
      <c r="GN335" s="27" t="s">
        <v>7</v>
      </c>
      <c r="GO335" s="27" t="s">
        <v>8</v>
      </c>
      <c r="GP335" s="27" t="s">
        <v>7</v>
      </c>
      <c r="GQ335" s="27" t="s">
        <v>8</v>
      </c>
      <c r="GS335" s="27" t="s">
        <v>8</v>
      </c>
      <c r="GT335" s="27" t="s">
        <v>7</v>
      </c>
    </row>
    <row r="336" spans="1:202" x14ac:dyDescent="0.25">
      <c r="A336" s="30">
        <v>9.2433051204773835E-3</v>
      </c>
      <c r="B336"/>
      <c r="C336"/>
      <c r="D336"/>
      <c r="E336"/>
      <c r="F336" s="27" t="s">
        <v>7</v>
      </c>
      <c r="DA336" s="27" t="s">
        <v>8</v>
      </c>
      <c r="DB336" s="27" t="s">
        <v>7</v>
      </c>
      <c r="EP336" s="27" t="s">
        <v>7</v>
      </c>
      <c r="EQ336" s="27" t="s">
        <v>8</v>
      </c>
      <c r="ER336" s="27" t="s">
        <v>7</v>
      </c>
      <c r="ES336" s="27" t="s">
        <v>8</v>
      </c>
      <c r="ET336" s="27" t="s">
        <v>7</v>
      </c>
      <c r="EU336" s="27" t="s">
        <v>8</v>
      </c>
      <c r="EV336" s="27" t="s">
        <v>7</v>
      </c>
      <c r="EW336" s="27" t="s">
        <v>8</v>
      </c>
      <c r="EX336" s="27" t="s">
        <v>7</v>
      </c>
      <c r="EY336" s="27" t="s">
        <v>8</v>
      </c>
      <c r="EZ336" s="27" t="s">
        <v>7</v>
      </c>
      <c r="FC336" s="27" t="s">
        <v>8</v>
      </c>
      <c r="FD336" s="27" t="s">
        <v>7</v>
      </c>
      <c r="FI336" s="27" t="s">
        <v>8</v>
      </c>
      <c r="FJ336" s="27" t="s">
        <v>7</v>
      </c>
      <c r="FR336" s="27" t="s">
        <v>7</v>
      </c>
      <c r="FX336" s="27" t="s">
        <v>7</v>
      </c>
      <c r="GL336" s="27" t="s">
        <v>7</v>
      </c>
      <c r="GM336" s="27" t="s">
        <v>8</v>
      </c>
      <c r="GN336" s="27" t="s">
        <v>7</v>
      </c>
      <c r="GO336" s="27" t="s">
        <v>8</v>
      </c>
      <c r="GP336" s="27" t="s">
        <v>7</v>
      </c>
      <c r="GQ336" s="27" t="s">
        <v>8</v>
      </c>
      <c r="GR336" s="27" t="s">
        <v>7</v>
      </c>
      <c r="GS336" s="27" t="s">
        <v>8</v>
      </c>
      <c r="GT336" s="27" t="s">
        <v>7</v>
      </c>
    </row>
    <row r="337" spans="1:205" x14ac:dyDescent="0.25">
      <c r="A337" s="30">
        <v>8.8031477337879808E-3</v>
      </c>
      <c r="B337"/>
      <c r="C337"/>
      <c r="D337"/>
      <c r="E337"/>
      <c r="F337" s="27" t="s">
        <v>7</v>
      </c>
      <c r="CY337" s="27" t="s">
        <v>8</v>
      </c>
      <c r="DA337" s="27" t="s">
        <v>8</v>
      </c>
      <c r="EP337" s="27" t="s">
        <v>7</v>
      </c>
      <c r="EQ337" s="27" t="s">
        <v>8</v>
      </c>
      <c r="ER337" s="27" t="s">
        <v>7</v>
      </c>
      <c r="ES337" s="27" t="s">
        <v>8</v>
      </c>
      <c r="ET337" s="27" t="s">
        <v>7</v>
      </c>
      <c r="EV337" s="27" t="s">
        <v>7</v>
      </c>
      <c r="EW337" s="27" t="s">
        <v>8</v>
      </c>
      <c r="EX337" s="27" t="s">
        <v>7</v>
      </c>
      <c r="EY337" s="27" t="s">
        <v>8</v>
      </c>
      <c r="EZ337" s="27" t="s">
        <v>7</v>
      </c>
      <c r="FC337" s="27" t="s">
        <v>8</v>
      </c>
      <c r="FD337" s="27" t="s">
        <v>7</v>
      </c>
      <c r="FI337" s="33" t="s">
        <v>8</v>
      </c>
      <c r="GL337" s="27" t="s">
        <v>7</v>
      </c>
      <c r="GM337" s="27" t="s">
        <v>8</v>
      </c>
      <c r="GN337" s="27" t="s">
        <v>7</v>
      </c>
      <c r="GP337" s="27" t="s">
        <v>7</v>
      </c>
      <c r="GQ337" s="27" t="s">
        <v>8</v>
      </c>
      <c r="GR337" s="27" t="s">
        <v>7</v>
      </c>
      <c r="GS337" s="27" t="s">
        <v>8</v>
      </c>
      <c r="GT337" s="27" t="s">
        <v>7</v>
      </c>
      <c r="GU337" s="27" t="s">
        <v>8</v>
      </c>
    </row>
    <row r="338" spans="1:205" x14ac:dyDescent="0.25">
      <c r="A338" s="30">
        <v>8.3839502226552166E-3</v>
      </c>
      <c r="B338"/>
      <c r="C338"/>
      <c r="D338"/>
      <c r="E338"/>
      <c r="F338" s="27" t="s">
        <v>7</v>
      </c>
      <c r="CW338" s="27" t="s">
        <v>8</v>
      </c>
      <c r="CY338" s="27" t="s">
        <v>8</v>
      </c>
      <c r="CZ338" s="27" t="s">
        <v>7</v>
      </c>
      <c r="DA338" s="27" t="s">
        <v>8</v>
      </c>
      <c r="EP338" s="27" t="s">
        <v>7</v>
      </c>
      <c r="EQ338" s="27" t="s">
        <v>8</v>
      </c>
      <c r="ER338" s="27" t="s">
        <v>7</v>
      </c>
      <c r="ES338" s="27" t="s">
        <v>8</v>
      </c>
      <c r="EV338" s="34" t="s">
        <v>7</v>
      </c>
      <c r="EW338" s="27" t="s">
        <v>8</v>
      </c>
      <c r="EX338" s="27" t="s">
        <v>7</v>
      </c>
      <c r="EY338" s="27" t="s">
        <v>8</v>
      </c>
      <c r="EZ338" s="27" t="s">
        <v>7</v>
      </c>
      <c r="FC338" s="27" t="s">
        <v>8</v>
      </c>
      <c r="FD338" s="27" t="s">
        <v>7</v>
      </c>
      <c r="FE338" s="27" t="s">
        <v>8</v>
      </c>
      <c r="FG338" s="18" t="s">
        <v>8</v>
      </c>
      <c r="FI338" s="27" t="s">
        <v>8</v>
      </c>
      <c r="GL338" s="27" t="s">
        <v>7</v>
      </c>
      <c r="GP338" s="27" t="s">
        <v>7</v>
      </c>
      <c r="GQ338" s="27" t="s">
        <v>8</v>
      </c>
      <c r="GR338" s="27" t="s">
        <v>7</v>
      </c>
      <c r="GT338" s="27" t="s">
        <v>7</v>
      </c>
      <c r="GU338" s="27" t="s">
        <v>8</v>
      </c>
      <c r="GV338" s="27" t="s">
        <v>7</v>
      </c>
    </row>
    <row r="339" spans="1:205" x14ac:dyDescent="0.25">
      <c r="A339" s="30">
        <v>7.9847144977668698E-3</v>
      </c>
      <c r="B339"/>
      <c r="C339"/>
      <c r="D339"/>
      <c r="E339"/>
      <c r="F339" s="27" t="s">
        <v>7</v>
      </c>
      <c r="CW339" s="27" t="s">
        <v>8</v>
      </c>
      <c r="CX339" s="27" t="s">
        <v>7</v>
      </c>
      <c r="CY339" s="27" t="s">
        <v>8</v>
      </c>
      <c r="CZ339" s="27" t="s">
        <v>7</v>
      </c>
      <c r="DA339" s="27" t="s">
        <v>8</v>
      </c>
      <c r="EP339" s="27" t="s">
        <v>7</v>
      </c>
      <c r="EQ339" s="27" t="s">
        <v>8</v>
      </c>
      <c r="ER339" s="27" t="s">
        <v>7</v>
      </c>
      <c r="ES339" s="27" t="s">
        <v>8</v>
      </c>
      <c r="EV339" s="32" t="s">
        <v>7</v>
      </c>
      <c r="EX339" s="32" t="s">
        <v>7</v>
      </c>
      <c r="EZ339" s="27" t="s">
        <v>7</v>
      </c>
      <c r="FC339" s="27" t="s">
        <v>8</v>
      </c>
      <c r="FD339" s="27" t="s">
        <v>7</v>
      </c>
      <c r="FE339" s="27" t="s">
        <v>8</v>
      </c>
      <c r="FF339" s="27" t="s">
        <v>7</v>
      </c>
      <c r="FG339" s="27" t="s">
        <v>8</v>
      </c>
      <c r="FH339" s="27" t="s">
        <v>7</v>
      </c>
      <c r="FI339" s="27" t="s">
        <v>8</v>
      </c>
      <c r="GP339" s="27" t="s">
        <v>7</v>
      </c>
      <c r="GT339" s="27" t="s">
        <v>7</v>
      </c>
      <c r="GU339" s="27" t="s">
        <v>8</v>
      </c>
      <c r="GV339" s="27" t="s">
        <v>7</v>
      </c>
    </row>
    <row r="340" spans="1:205" x14ac:dyDescent="0.25">
      <c r="A340" s="30">
        <v>7.6044899978732058E-3</v>
      </c>
      <c r="B340"/>
      <c r="C340"/>
      <c r="D340"/>
      <c r="E340"/>
      <c r="F340" s="27" t="s">
        <v>7</v>
      </c>
      <c r="CW340" s="27" t="s">
        <v>8</v>
      </c>
      <c r="CX340" s="27" t="s">
        <v>7</v>
      </c>
      <c r="CY340" s="27" t="s">
        <v>8</v>
      </c>
      <c r="CZ340" s="27" t="s">
        <v>7</v>
      </c>
      <c r="DA340" s="27" t="s">
        <v>8</v>
      </c>
      <c r="EP340" s="32" t="s">
        <v>7</v>
      </c>
      <c r="ER340" s="32" t="s">
        <v>7</v>
      </c>
      <c r="EZ340" s="34" t="s">
        <v>7</v>
      </c>
      <c r="FC340" s="27" t="s">
        <v>8</v>
      </c>
      <c r="FD340" s="27" t="s">
        <v>7</v>
      </c>
      <c r="FE340" s="27" t="s">
        <v>8</v>
      </c>
      <c r="FF340" s="27" t="s">
        <v>7</v>
      </c>
      <c r="FG340" s="27" t="s">
        <v>8</v>
      </c>
      <c r="FH340" s="27" t="s">
        <v>7</v>
      </c>
      <c r="FI340" s="27" t="s">
        <v>8</v>
      </c>
      <c r="FL340" s="31"/>
      <c r="GT340" s="27" t="s">
        <v>7</v>
      </c>
      <c r="GV340" s="27" t="s">
        <v>7</v>
      </c>
    </row>
    <row r="341" spans="1:205" x14ac:dyDescent="0.25">
      <c r="A341" s="30">
        <v>7.2423714265459072E-3</v>
      </c>
      <c r="B341"/>
      <c r="C341"/>
      <c r="D341"/>
      <c r="E341"/>
      <c r="F341" s="27" t="s">
        <v>7</v>
      </c>
      <c r="CW341" s="27" t="s">
        <v>8</v>
      </c>
      <c r="CX341" s="27" t="s">
        <v>7</v>
      </c>
      <c r="CY341" s="27" t="s">
        <v>8</v>
      </c>
      <c r="CZ341" s="27" t="s">
        <v>7</v>
      </c>
      <c r="DA341" s="27" t="s">
        <v>8</v>
      </c>
      <c r="EZ341" s="27" t="s">
        <v>7</v>
      </c>
      <c r="FC341" s="27" t="s">
        <v>8</v>
      </c>
      <c r="FD341" s="27" t="s">
        <v>7</v>
      </c>
      <c r="FF341" s="27" t="s">
        <v>7</v>
      </c>
      <c r="FG341" s="27" t="s">
        <v>8</v>
      </c>
      <c r="FH341" s="27" t="s">
        <v>7</v>
      </c>
      <c r="FI341" s="27" t="s">
        <v>8</v>
      </c>
      <c r="FK341" s="31"/>
      <c r="GV341" s="27" t="s">
        <v>7</v>
      </c>
    </row>
    <row r="342" spans="1:205" x14ac:dyDescent="0.25">
      <c r="A342" s="30">
        <v>6.8974965967103846E-3</v>
      </c>
      <c r="B342"/>
      <c r="C342"/>
      <c r="D342"/>
      <c r="E342"/>
      <c r="F342" s="27" t="s">
        <v>7</v>
      </c>
      <c r="CW342" s="27" t="s">
        <v>8</v>
      </c>
      <c r="CX342" s="27" t="s">
        <v>7</v>
      </c>
      <c r="CY342" s="27" t="s">
        <v>8</v>
      </c>
      <c r="CZ342" s="27" t="s">
        <v>7</v>
      </c>
      <c r="DA342" s="27" t="s">
        <v>8</v>
      </c>
      <c r="EZ342" s="27" t="s">
        <v>7</v>
      </c>
      <c r="FC342" s="27" t="s">
        <v>8</v>
      </c>
      <c r="FF342" s="34" t="s">
        <v>7</v>
      </c>
      <c r="FG342" s="27" t="s">
        <v>8</v>
      </c>
      <c r="FH342" s="31" t="s">
        <v>7</v>
      </c>
      <c r="FI342" s="27" t="s">
        <v>8</v>
      </c>
      <c r="FJ342" s="31"/>
      <c r="GV342" s="27" t="s">
        <v>7</v>
      </c>
    </row>
    <row r="343" spans="1:205" x14ac:dyDescent="0.25">
      <c r="A343" s="30">
        <v>6.5690443778194116E-3</v>
      </c>
      <c r="B343"/>
      <c r="C343"/>
      <c r="D343"/>
      <c r="E343"/>
      <c r="F343" s="27" t="s">
        <v>7</v>
      </c>
      <c r="CW343" s="27" t="s">
        <v>8</v>
      </c>
      <c r="CX343" s="27" t="s">
        <v>7</v>
      </c>
      <c r="CY343" s="27" t="s">
        <v>8</v>
      </c>
      <c r="CZ343" s="27" t="s">
        <v>7</v>
      </c>
      <c r="DA343" s="27" t="s">
        <v>8</v>
      </c>
      <c r="EZ343" s="27" t="s">
        <v>7</v>
      </c>
      <c r="FC343" s="33" t="s">
        <v>8</v>
      </c>
      <c r="FF343" s="27" t="s">
        <v>7</v>
      </c>
      <c r="FG343" s="31"/>
      <c r="FH343" s="27" t="s">
        <v>7</v>
      </c>
      <c r="FI343" s="31" t="s">
        <v>8</v>
      </c>
      <c r="GV343" s="27" t="s">
        <v>7</v>
      </c>
    </row>
    <row r="344" spans="1:205" x14ac:dyDescent="0.25">
      <c r="A344" s="30">
        <v>6.2562327407803897E-3</v>
      </c>
      <c r="B344"/>
      <c r="C344"/>
      <c r="D344"/>
      <c r="E344"/>
      <c r="F344" s="27" t="s">
        <v>7</v>
      </c>
      <c r="CW344" s="27" t="s">
        <v>8</v>
      </c>
      <c r="CX344" s="27" t="s">
        <v>7</v>
      </c>
      <c r="CY344" s="27" t="s">
        <v>8</v>
      </c>
      <c r="CZ344" s="27" t="s">
        <v>7</v>
      </c>
      <c r="EZ344" s="27" t="s">
        <v>7</v>
      </c>
      <c r="FA344" s="27" t="s">
        <v>8</v>
      </c>
      <c r="FC344" s="27" t="s">
        <v>8</v>
      </c>
      <c r="FF344" s="31"/>
      <c r="FH344" s="27" t="s">
        <v>7</v>
      </c>
      <c r="GV344" s="27" t="s">
        <v>7</v>
      </c>
    </row>
    <row r="345" spans="1:205" x14ac:dyDescent="0.25">
      <c r="A345" s="30">
        <v>5.9583168959813212E-3</v>
      </c>
      <c r="B345"/>
      <c r="C345"/>
      <c r="D345"/>
      <c r="E345"/>
      <c r="F345" s="27" t="s">
        <v>7</v>
      </c>
      <c r="CW345" s="27" t="s">
        <v>8</v>
      </c>
      <c r="CX345" s="27" t="s">
        <v>7</v>
      </c>
      <c r="EZ345" s="27" t="s">
        <v>7</v>
      </c>
      <c r="FA345" s="27" t="s">
        <v>8</v>
      </c>
      <c r="FB345" s="27" t="s">
        <v>7</v>
      </c>
      <c r="FC345" s="27" t="s">
        <v>8</v>
      </c>
      <c r="FE345" s="31"/>
      <c r="GV345" s="27" t="s">
        <v>7</v>
      </c>
      <c r="GW345" s="27" t="s">
        <v>8</v>
      </c>
    </row>
    <row r="346" spans="1:205" x14ac:dyDescent="0.25">
      <c r="A346" s="30">
        <v>5.6745875199822084E-3</v>
      </c>
      <c r="B346"/>
      <c r="C346"/>
      <c r="D346"/>
      <c r="E346"/>
      <c r="F346" s="27" t="s">
        <v>7</v>
      </c>
      <c r="CW346" s="27" t="s">
        <v>8</v>
      </c>
      <c r="EZ346" s="27" t="s">
        <v>7</v>
      </c>
      <c r="FA346" s="27" t="s">
        <v>8</v>
      </c>
      <c r="FB346" s="27" t="s">
        <v>7</v>
      </c>
      <c r="FC346" s="27" t="s">
        <v>8</v>
      </c>
      <c r="FD346" s="31"/>
      <c r="GV346" s="27" t="s">
        <v>7</v>
      </c>
      <c r="GW346" s="27" t="s">
        <v>8</v>
      </c>
    </row>
    <row r="347" spans="1:205" x14ac:dyDescent="0.25">
      <c r="A347" s="30">
        <v>5.4043690666497205E-3</v>
      </c>
      <c r="B347"/>
      <c r="C347"/>
      <c r="D347"/>
      <c r="E347"/>
      <c r="F347" s="27" t="s">
        <v>7</v>
      </c>
      <c r="CS347" s="27" t="s">
        <v>8</v>
      </c>
      <c r="CU347" s="27" t="s">
        <v>8</v>
      </c>
      <c r="CW347" s="27" t="s">
        <v>8</v>
      </c>
      <c r="EZ347" s="27" t="s">
        <v>7</v>
      </c>
      <c r="FA347" s="27" t="s">
        <v>8</v>
      </c>
      <c r="FB347" s="27" t="s">
        <v>7</v>
      </c>
      <c r="FC347" s="31"/>
      <c r="GV347" s="27" t="s">
        <v>7</v>
      </c>
      <c r="GW347" s="27" t="s">
        <v>8</v>
      </c>
    </row>
    <row r="348" spans="1:205" x14ac:dyDescent="0.25">
      <c r="A348" s="30">
        <v>5.1470181587140174E-3</v>
      </c>
      <c r="B348"/>
      <c r="C348"/>
      <c r="D348"/>
      <c r="E348"/>
      <c r="F348" s="27" t="s">
        <v>7</v>
      </c>
      <c r="CS348" s="27" t="s">
        <v>8</v>
      </c>
      <c r="CT348" s="27" t="s">
        <v>7</v>
      </c>
      <c r="CU348" s="27" t="s">
        <v>8</v>
      </c>
      <c r="CV348" s="27" t="s">
        <v>7</v>
      </c>
      <c r="CW348" s="27" t="s">
        <v>8</v>
      </c>
      <c r="EZ348" s="27" t="s">
        <v>7</v>
      </c>
      <c r="FA348" s="27" t="s">
        <v>8</v>
      </c>
      <c r="FB348" s="31"/>
      <c r="GV348" s="27" t="s">
        <v>7</v>
      </c>
      <c r="GW348" s="27" t="s">
        <v>8</v>
      </c>
    </row>
    <row r="349" spans="1:205" x14ac:dyDescent="0.25">
      <c r="A349" s="30">
        <v>4.9019220559181099E-3</v>
      </c>
      <c r="B349"/>
      <c r="C349"/>
      <c r="D349"/>
      <c r="E349"/>
      <c r="F349" s="27" t="s">
        <v>7</v>
      </c>
      <c r="CS349" s="27" t="s">
        <v>8</v>
      </c>
      <c r="CT349" s="27" t="s">
        <v>7</v>
      </c>
      <c r="CU349" s="27" t="s">
        <v>8</v>
      </c>
      <c r="CV349" s="27" t="s">
        <v>7</v>
      </c>
      <c r="CW349" s="27" t="s">
        <v>8</v>
      </c>
      <c r="EZ349" s="27" t="s">
        <v>7</v>
      </c>
      <c r="FA349" s="31" t="s">
        <v>8</v>
      </c>
      <c r="GV349" s="27" t="s">
        <v>7</v>
      </c>
      <c r="GW349" s="27" t="s">
        <v>8</v>
      </c>
    </row>
    <row r="350" spans="1:205" x14ac:dyDescent="0.25">
      <c r="A350" s="30">
        <v>4.6684971961124836E-3</v>
      </c>
      <c r="B350"/>
      <c r="C350"/>
      <c r="D350"/>
      <c r="E350"/>
      <c r="F350" s="27" t="s">
        <v>7</v>
      </c>
      <c r="CS350" s="27" t="s">
        <v>8</v>
      </c>
      <c r="CT350" s="27" t="s">
        <v>7</v>
      </c>
      <c r="CU350" s="27" t="s">
        <v>8</v>
      </c>
      <c r="CV350" s="27" t="s">
        <v>7</v>
      </c>
      <c r="CW350" s="27" t="s">
        <v>8</v>
      </c>
      <c r="EZ350" s="31" t="s">
        <v>7</v>
      </c>
      <c r="GV350" s="27" t="s">
        <v>7</v>
      </c>
    </row>
    <row r="351" spans="1:205" x14ac:dyDescent="0.25">
      <c r="A351" s="30">
        <v>4.4461878058214112E-3</v>
      </c>
      <c r="B351"/>
      <c r="C351"/>
      <c r="D351"/>
      <c r="E351"/>
      <c r="F351" s="27" t="s">
        <v>7</v>
      </c>
      <c r="CS351" s="27" t="s">
        <v>8</v>
      </c>
      <c r="CT351" s="27" t="s">
        <v>7</v>
      </c>
      <c r="CU351" s="27" t="s">
        <v>8</v>
      </c>
      <c r="CV351" s="27" t="s">
        <v>7</v>
      </c>
      <c r="CW351" s="27" t="s">
        <v>8</v>
      </c>
    </row>
    <row r="352" spans="1:205" x14ac:dyDescent="0.25">
      <c r="A352" s="30">
        <v>4.2344645769727711E-3</v>
      </c>
      <c r="B352"/>
      <c r="C352"/>
      <c r="D352"/>
      <c r="E352"/>
      <c r="F352" s="27" t="s">
        <v>7</v>
      </c>
      <c r="BI352" s="27" t="s">
        <v>8</v>
      </c>
      <c r="BK352" s="27" t="s">
        <v>8</v>
      </c>
      <c r="CS352" s="27" t="s">
        <v>8</v>
      </c>
      <c r="CT352" s="27" t="s">
        <v>7</v>
      </c>
      <c r="CU352" s="27" t="s">
        <v>8</v>
      </c>
      <c r="CV352" s="27" t="s">
        <v>7</v>
      </c>
      <c r="CW352" s="27" t="s">
        <v>8</v>
      </c>
    </row>
    <row r="353" spans="1:100" x14ac:dyDescent="0.25">
      <c r="A353" s="30">
        <v>4.0328234066407329E-3</v>
      </c>
      <c r="B353"/>
      <c r="C353"/>
      <c r="D353"/>
      <c r="E353"/>
      <c r="F353" s="27" t="s">
        <v>7</v>
      </c>
      <c r="BI353" s="27" t="s">
        <v>8</v>
      </c>
      <c r="BJ353" s="27" t="s">
        <v>7</v>
      </c>
      <c r="BK353" s="27" t="s">
        <v>8</v>
      </c>
      <c r="BL353" s="27" t="s">
        <v>7</v>
      </c>
      <c r="CQ353" s="27" t="s">
        <v>8</v>
      </c>
      <c r="CS353" s="27" t="s">
        <v>8</v>
      </c>
      <c r="CT353" s="27" t="s">
        <v>7</v>
      </c>
      <c r="CU353" s="27" t="s">
        <v>8</v>
      </c>
      <c r="CV353" s="27" t="s">
        <v>7</v>
      </c>
    </row>
    <row r="354" spans="1:100" x14ac:dyDescent="0.25">
      <c r="A354" s="30">
        <v>3.8407841968006963E-3</v>
      </c>
      <c r="B354"/>
      <c r="C354"/>
      <c r="D354"/>
      <c r="E354"/>
      <c r="F354" s="27" t="s">
        <v>7</v>
      </c>
      <c r="BI354" s="27" t="s">
        <v>8</v>
      </c>
      <c r="BJ354" s="27" t="s">
        <v>7</v>
      </c>
      <c r="BK354" s="27" t="s">
        <v>8</v>
      </c>
      <c r="BL354" s="27" t="s">
        <v>7</v>
      </c>
      <c r="CQ354" s="27" t="s">
        <v>8</v>
      </c>
      <c r="CR354" s="27" t="s">
        <v>7</v>
      </c>
      <c r="CS354" s="27" t="s">
        <v>8</v>
      </c>
      <c r="CT354" s="27" t="s">
        <v>7</v>
      </c>
      <c r="CU354" s="27" t="s">
        <v>8</v>
      </c>
    </row>
    <row r="355" spans="1:100" x14ac:dyDescent="0.25">
      <c r="A355" s="30">
        <v>3.6578897112387568E-3</v>
      </c>
      <c r="B355"/>
      <c r="C355"/>
      <c r="D355"/>
      <c r="E355"/>
      <c r="F355" s="27" t="s">
        <v>7</v>
      </c>
      <c r="BI355" s="27" t="s">
        <v>8</v>
      </c>
      <c r="BJ355" s="27" t="s">
        <v>7</v>
      </c>
      <c r="BK355" s="27" t="s">
        <v>8</v>
      </c>
      <c r="BL355" s="27" t="s">
        <v>7</v>
      </c>
      <c r="CQ355" s="27" t="s">
        <v>8</v>
      </c>
      <c r="CR355" s="27" t="s">
        <v>7</v>
      </c>
      <c r="CS355" s="27" t="s">
        <v>8</v>
      </c>
      <c r="CT355" s="27" t="s">
        <v>7</v>
      </c>
      <c r="CU355" s="27" t="s">
        <v>8</v>
      </c>
    </row>
    <row r="356" spans="1:100" x14ac:dyDescent="0.25">
      <c r="A356" s="30">
        <v>3.4837044868940526E-3</v>
      </c>
      <c r="B356"/>
      <c r="C356"/>
      <c r="D356"/>
      <c r="E356"/>
      <c r="F356" s="27" t="s">
        <v>7</v>
      </c>
      <c r="BI356" s="27" t="s">
        <v>8</v>
      </c>
      <c r="BJ356" s="27" t="s">
        <v>7</v>
      </c>
      <c r="BK356" s="27" t="s">
        <v>8</v>
      </c>
      <c r="BL356" s="27" t="s">
        <v>7</v>
      </c>
      <c r="CQ356" s="27" t="s">
        <v>8</v>
      </c>
      <c r="CR356" s="27" t="s">
        <v>7</v>
      </c>
      <c r="CS356" s="27" t="s">
        <v>8</v>
      </c>
      <c r="CT356" s="27" t="s">
        <v>7</v>
      </c>
      <c r="CU356" s="27" t="s">
        <v>8</v>
      </c>
    </row>
    <row r="357" spans="1:100" x14ac:dyDescent="0.25">
      <c r="A357" s="30">
        <v>3.3178137970419535E-3</v>
      </c>
      <c r="B357"/>
      <c r="C357"/>
      <c r="D357"/>
      <c r="E357"/>
      <c r="F357" s="27" t="s">
        <v>7</v>
      </c>
      <c r="BI357" s="27" t="s">
        <v>8</v>
      </c>
      <c r="BJ357" s="27" t="s">
        <v>7</v>
      </c>
      <c r="BK357" s="27" t="s">
        <v>8</v>
      </c>
      <c r="BL357" s="27" t="s">
        <v>7</v>
      </c>
      <c r="CQ357" s="27" t="s">
        <v>8</v>
      </c>
      <c r="CR357" s="27" t="s">
        <v>7</v>
      </c>
      <c r="CT357" s="27" t="s">
        <v>7</v>
      </c>
      <c r="CU357" s="27" t="s">
        <v>8</v>
      </c>
    </row>
    <row r="358" spans="1:100" x14ac:dyDescent="0.25">
      <c r="A358" s="30">
        <v>3.1598226638494781E-3</v>
      </c>
      <c r="B358"/>
      <c r="C358"/>
      <c r="D358"/>
      <c r="E358"/>
      <c r="F358" s="27" t="s">
        <v>7</v>
      </c>
      <c r="BA358" s="27" t="s">
        <v>8</v>
      </c>
      <c r="BI358" s="27" t="s">
        <v>8</v>
      </c>
      <c r="BJ358" s="27" t="s">
        <v>7</v>
      </c>
      <c r="BK358" s="27" t="s">
        <v>8</v>
      </c>
      <c r="BL358" s="27" t="s">
        <v>7</v>
      </c>
      <c r="CG358" s="27" t="s">
        <v>8</v>
      </c>
      <c r="CO358" s="27" t="s">
        <v>8</v>
      </c>
      <c r="CQ358" s="27" t="s">
        <v>8</v>
      </c>
      <c r="CT358" s="27" t="s">
        <v>7</v>
      </c>
    </row>
    <row r="359" spans="1:100" x14ac:dyDescent="0.25">
      <c r="A359" s="30">
        <v>3.0093549179518826E-3</v>
      </c>
      <c r="B359"/>
      <c r="C359"/>
      <c r="D359"/>
      <c r="E359"/>
      <c r="F359" s="27" t="s">
        <v>7</v>
      </c>
      <c r="BA359" s="27" t="s">
        <v>8</v>
      </c>
      <c r="BB359" s="27" t="s">
        <v>7</v>
      </c>
      <c r="BI359" s="27" t="s">
        <v>8</v>
      </c>
      <c r="BJ359" s="27" t="s">
        <v>7</v>
      </c>
      <c r="BK359" s="27" t="s">
        <v>8</v>
      </c>
      <c r="BL359" s="27" t="s">
        <v>7</v>
      </c>
      <c r="BS359" s="27" t="s">
        <v>8</v>
      </c>
      <c r="CA359" s="27" t="s">
        <v>8</v>
      </c>
      <c r="CG359" s="27" t="s">
        <v>8</v>
      </c>
      <c r="CH359" s="27" t="s">
        <v>7</v>
      </c>
      <c r="CK359" s="27" t="s">
        <v>8</v>
      </c>
      <c r="CO359" s="27" t="s">
        <v>8</v>
      </c>
      <c r="CP359" s="27" t="s">
        <v>7</v>
      </c>
      <c r="CQ359" s="27" t="s">
        <v>8</v>
      </c>
    </row>
    <row r="360" spans="1:100" x14ac:dyDescent="0.25">
      <c r="A360" s="30">
        <v>2.8660523028113155E-3</v>
      </c>
      <c r="B360"/>
      <c r="C360"/>
      <c r="D360"/>
      <c r="E360"/>
      <c r="F360" s="27" t="s">
        <v>7</v>
      </c>
      <c r="BA360" s="27" t="s">
        <v>8</v>
      </c>
      <c r="BB360" s="27" t="s">
        <v>7</v>
      </c>
      <c r="BI360" s="27" t="s">
        <v>8</v>
      </c>
      <c r="BJ360" s="27" t="s">
        <v>7</v>
      </c>
      <c r="BK360" s="27" t="s">
        <v>8</v>
      </c>
      <c r="BL360" s="27" t="s">
        <v>7</v>
      </c>
      <c r="BS360" s="27" t="s">
        <v>8</v>
      </c>
      <c r="BT360" s="27" t="s">
        <v>7</v>
      </c>
      <c r="CA360" s="27" t="s">
        <v>8</v>
      </c>
      <c r="CB360" s="27" t="s">
        <v>7</v>
      </c>
      <c r="CE360" s="27" t="s">
        <v>8</v>
      </c>
      <c r="CG360" s="27" t="s">
        <v>8</v>
      </c>
      <c r="CH360" s="27" t="s">
        <v>7</v>
      </c>
      <c r="CK360" s="27" t="s">
        <v>8</v>
      </c>
      <c r="CL360" s="27" t="s">
        <v>7</v>
      </c>
      <c r="CM360" s="27" t="s">
        <v>8</v>
      </c>
      <c r="CO360" s="27" t="s">
        <v>8</v>
      </c>
      <c r="CP360" s="27" t="s">
        <v>7</v>
      </c>
      <c r="CQ360" s="27" t="s">
        <v>8</v>
      </c>
    </row>
    <row r="361" spans="1:100" x14ac:dyDescent="0.25">
      <c r="A361" s="30">
        <v>2.7295736217250611E-3</v>
      </c>
      <c r="B361"/>
      <c r="C361"/>
      <c r="D361"/>
      <c r="E361"/>
      <c r="F361" s="27" t="s">
        <v>7</v>
      </c>
      <c r="BA361" s="27" t="s">
        <v>8</v>
      </c>
      <c r="BB361" s="27" t="s">
        <v>7</v>
      </c>
      <c r="BC361" s="27" t="s">
        <v>8</v>
      </c>
      <c r="BI361" s="27" t="s">
        <v>8</v>
      </c>
      <c r="BJ361" s="27" t="s">
        <v>7</v>
      </c>
      <c r="BL361" s="27" t="s">
        <v>7</v>
      </c>
      <c r="BS361" s="27" t="s">
        <v>8</v>
      </c>
      <c r="BT361" s="27" t="s">
        <v>7</v>
      </c>
      <c r="CA361" s="27" t="s">
        <v>8</v>
      </c>
      <c r="CB361" s="27" t="s">
        <v>7</v>
      </c>
      <c r="CE361" s="27" t="s">
        <v>8</v>
      </c>
      <c r="CF361" s="27" t="s">
        <v>7</v>
      </c>
      <c r="CG361" s="27" t="s">
        <v>8</v>
      </c>
      <c r="CH361" s="27" t="s">
        <v>7</v>
      </c>
      <c r="CI361" s="27" t="s">
        <v>8</v>
      </c>
      <c r="CK361" s="27" t="s">
        <v>8</v>
      </c>
      <c r="CL361" s="27" t="s">
        <v>7</v>
      </c>
      <c r="CM361" s="27" t="s">
        <v>8</v>
      </c>
      <c r="CN361" s="27" t="s">
        <v>7</v>
      </c>
      <c r="CO361" s="27" t="s">
        <v>8</v>
      </c>
      <c r="CP361" s="27" t="s">
        <v>7</v>
      </c>
      <c r="CQ361" s="27" t="s">
        <v>8</v>
      </c>
    </row>
    <row r="362" spans="1:100" x14ac:dyDescent="0.25">
      <c r="A362" s="30">
        <v>2.5995939254524381E-3</v>
      </c>
      <c r="B362"/>
      <c r="C362"/>
      <c r="D362"/>
      <c r="E362"/>
      <c r="F362" s="27" t="s">
        <v>7</v>
      </c>
      <c r="BA362" s="27" t="s">
        <v>8</v>
      </c>
      <c r="BB362" s="27" t="s">
        <v>7</v>
      </c>
      <c r="BC362" s="27" t="s">
        <v>8</v>
      </c>
      <c r="BD362" s="27" t="s">
        <v>7</v>
      </c>
      <c r="BI362" s="27" t="s">
        <v>8</v>
      </c>
      <c r="BL362" s="27" t="s">
        <v>7</v>
      </c>
      <c r="BS362" s="27" t="s">
        <v>8</v>
      </c>
      <c r="BT362" s="27" t="s">
        <v>7</v>
      </c>
      <c r="CA362" s="27" t="s">
        <v>8</v>
      </c>
      <c r="CB362" s="27" t="s">
        <v>7</v>
      </c>
      <c r="CE362" s="27" t="s">
        <v>8</v>
      </c>
      <c r="CF362" s="27" t="s">
        <v>7</v>
      </c>
      <c r="CG362" s="27" t="s">
        <v>8</v>
      </c>
      <c r="CH362" s="27" t="s">
        <v>7</v>
      </c>
      <c r="CI362" s="27" t="s">
        <v>8</v>
      </c>
      <c r="CJ362" s="27" t="s">
        <v>7</v>
      </c>
      <c r="CK362" s="27" t="s">
        <v>8</v>
      </c>
      <c r="CL362" s="27" t="s">
        <v>7</v>
      </c>
      <c r="CM362" s="27" t="s">
        <v>8</v>
      </c>
      <c r="CN362" s="27" t="s">
        <v>7</v>
      </c>
      <c r="CO362" s="27" t="s">
        <v>8</v>
      </c>
      <c r="CP362" s="27" t="s">
        <v>7</v>
      </c>
      <c r="CQ362" s="27" t="s">
        <v>8</v>
      </c>
    </row>
    <row r="363" spans="1:100" x14ac:dyDescent="0.25">
      <c r="A363" s="30">
        <v>2.4758037385261304E-3</v>
      </c>
      <c r="B363"/>
      <c r="C363"/>
      <c r="D363"/>
      <c r="E363"/>
      <c r="F363" s="27" t="s">
        <v>7</v>
      </c>
      <c r="BA363" s="27" t="s">
        <v>8</v>
      </c>
      <c r="BB363" s="27" t="s">
        <v>7</v>
      </c>
      <c r="BC363" s="27" t="s">
        <v>8</v>
      </c>
      <c r="BD363" s="27" t="s">
        <v>7</v>
      </c>
      <c r="BI363" s="27" t="s">
        <v>8</v>
      </c>
      <c r="BL363" s="27" t="s">
        <v>7</v>
      </c>
      <c r="BO363" s="27" t="s">
        <v>8</v>
      </c>
      <c r="BS363" s="27" t="s">
        <v>8</v>
      </c>
      <c r="BT363" s="27" t="s">
        <v>7</v>
      </c>
      <c r="BY363" s="27" t="s">
        <v>8</v>
      </c>
      <c r="CA363" s="27" t="s">
        <v>8</v>
      </c>
      <c r="CB363" s="27" t="s">
        <v>7</v>
      </c>
      <c r="CC363" s="27" t="s">
        <v>8</v>
      </c>
      <c r="CE363" s="27" t="s">
        <v>8</v>
      </c>
      <c r="CF363" s="27" t="s">
        <v>7</v>
      </c>
      <c r="CG363" s="27" t="s">
        <v>8</v>
      </c>
      <c r="CH363" s="27" t="s">
        <v>7</v>
      </c>
      <c r="CI363" s="27" t="s">
        <v>8</v>
      </c>
      <c r="CJ363" s="27" t="s">
        <v>7</v>
      </c>
      <c r="CK363" s="27" t="s">
        <v>8</v>
      </c>
      <c r="CL363" s="27" t="s">
        <v>7</v>
      </c>
      <c r="CM363" s="27" t="s">
        <v>8</v>
      </c>
      <c r="CN363" s="27" t="s">
        <v>7</v>
      </c>
      <c r="CO363" s="27" t="s">
        <v>8</v>
      </c>
      <c r="CP363" s="27" t="s">
        <v>7</v>
      </c>
      <c r="CQ363" s="27" t="s">
        <v>8</v>
      </c>
    </row>
    <row r="364" spans="1:100" x14ac:dyDescent="0.25">
      <c r="A364" s="30">
        <v>2.3579083224058374E-3</v>
      </c>
      <c r="B364"/>
      <c r="C364"/>
      <c r="D364"/>
      <c r="E364"/>
      <c r="F364" s="27" t="s">
        <v>7</v>
      </c>
      <c r="BA364" s="27" t="s">
        <v>8</v>
      </c>
      <c r="BB364" s="27" t="s">
        <v>7</v>
      </c>
      <c r="BC364" s="27" t="s">
        <v>8</v>
      </c>
      <c r="BD364" s="27" t="s">
        <v>7</v>
      </c>
      <c r="BI364" s="27" t="s">
        <v>8</v>
      </c>
      <c r="BL364" s="27" t="s">
        <v>7</v>
      </c>
      <c r="BO364" s="27" t="s">
        <v>8</v>
      </c>
      <c r="BP364" s="27" t="s">
        <v>7</v>
      </c>
      <c r="BS364" s="27" t="s">
        <v>8</v>
      </c>
      <c r="BT364" s="27" t="s">
        <v>7</v>
      </c>
      <c r="BW364" s="27" t="s">
        <v>8</v>
      </c>
      <c r="BY364" s="27" t="s">
        <v>8</v>
      </c>
      <c r="BZ364" s="27" t="s">
        <v>7</v>
      </c>
      <c r="CA364" s="27" t="s">
        <v>8</v>
      </c>
      <c r="CB364" s="27" t="s">
        <v>7</v>
      </c>
      <c r="CC364" s="27" t="s">
        <v>8</v>
      </c>
      <c r="CD364" s="27" t="s">
        <v>7</v>
      </c>
      <c r="CE364" s="27" t="s">
        <v>8</v>
      </c>
      <c r="CF364" s="27" t="s">
        <v>7</v>
      </c>
      <c r="CG364" s="27" t="s">
        <v>8</v>
      </c>
      <c r="CH364" s="27" t="s">
        <v>7</v>
      </c>
      <c r="CJ364" s="27" t="s">
        <v>7</v>
      </c>
      <c r="CK364" s="27" t="s">
        <v>8</v>
      </c>
      <c r="CL364" s="27" t="s">
        <v>7</v>
      </c>
      <c r="CM364" s="27" t="s">
        <v>8</v>
      </c>
      <c r="CN364" s="27" t="s">
        <v>7</v>
      </c>
      <c r="CO364" s="27" t="s">
        <v>8</v>
      </c>
      <c r="CP364" s="27" t="s">
        <v>7</v>
      </c>
    </row>
    <row r="365" spans="1:100" x14ac:dyDescent="0.25">
      <c r="A365" s="30">
        <v>2.245626973719844E-3</v>
      </c>
      <c r="B365"/>
      <c r="C365"/>
      <c r="D365"/>
      <c r="E365"/>
      <c r="F365" s="27" t="s">
        <v>7</v>
      </c>
      <c r="BA365" s="27" t="s">
        <v>8</v>
      </c>
      <c r="BB365" s="27" t="s">
        <v>7</v>
      </c>
      <c r="BC365" s="27" t="s">
        <v>8</v>
      </c>
      <c r="BD365" s="27" t="s">
        <v>7</v>
      </c>
      <c r="BI365" s="27" t="s">
        <v>8</v>
      </c>
      <c r="BL365" s="27" t="s">
        <v>7</v>
      </c>
      <c r="BO365" s="27" t="s">
        <v>8</v>
      </c>
      <c r="BP365" s="27" t="s">
        <v>7</v>
      </c>
      <c r="BQ365" s="27" t="s">
        <v>8</v>
      </c>
      <c r="BS365" s="27" t="s">
        <v>8</v>
      </c>
      <c r="BT365" s="27" t="s">
        <v>7</v>
      </c>
      <c r="BW365" s="27" t="s">
        <v>8</v>
      </c>
      <c r="BX365" s="27" t="s">
        <v>7</v>
      </c>
      <c r="BY365" s="27" t="s">
        <v>8</v>
      </c>
      <c r="BZ365" s="27" t="s">
        <v>7</v>
      </c>
      <c r="CA365" s="27" t="s">
        <v>8</v>
      </c>
      <c r="CB365" s="27" t="s">
        <v>7</v>
      </c>
      <c r="CC365" s="27" t="s">
        <v>8</v>
      </c>
      <c r="CD365" s="27" t="s">
        <v>7</v>
      </c>
      <c r="CE365" s="27" t="s">
        <v>8</v>
      </c>
      <c r="CF365" s="27" t="s">
        <v>7</v>
      </c>
      <c r="CG365" s="27" t="s">
        <v>8</v>
      </c>
      <c r="CJ365" s="27" t="s">
        <v>7</v>
      </c>
      <c r="CK365" s="27" t="s">
        <v>8</v>
      </c>
      <c r="CL365" s="27" t="s">
        <v>7</v>
      </c>
      <c r="CM365" s="27" t="s">
        <v>8</v>
      </c>
      <c r="CN365" s="27" t="s">
        <v>7</v>
      </c>
    </row>
    <row r="366" spans="1:100" x14ac:dyDescent="0.25">
      <c r="A366" s="30">
        <v>2.1386923559236601E-3</v>
      </c>
      <c r="B366"/>
      <c r="C366"/>
      <c r="D366"/>
      <c r="E366"/>
      <c r="F366" s="27" t="s">
        <v>7</v>
      </c>
      <c r="BA366" s="27" t="s">
        <v>8</v>
      </c>
      <c r="BB366" s="27" t="s">
        <v>7</v>
      </c>
      <c r="BC366" s="27" t="s">
        <v>8</v>
      </c>
      <c r="BD366" s="27" t="s">
        <v>7</v>
      </c>
      <c r="BE366" s="27" t="s">
        <v>8</v>
      </c>
      <c r="BG366" s="27" t="s">
        <v>8</v>
      </c>
      <c r="BI366" s="27" t="s">
        <v>8</v>
      </c>
      <c r="BL366" s="27" t="s">
        <v>7</v>
      </c>
      <c r="BM366" s="27" t="s">
        <v>8</v>
      </c>
      <c r="BO366" s="27" t="s">
        <v>8</v>
      </c>
      <c r="BP366" s="27" t="s">
        <v>7</v>
      </c>
      <c r="BQ366" s="27" t="s">
        <v>8</v>
      </c>
      <c r="BR366" s="27" t="s">
        <v>7</v>
      </c>
      <c r="BS366" s="27" t="s">
        <v>8</v>
      </c>
      <c r="BT366" s="27" t="s">
        <v>7</v>
      </c>
      <c r="BU366" s="27" t="s">
        <v>8</v>
      </c>
      <c r="BW366" s="27" t="s">
        <v>8</v>
      </c>
      <c r="BX366" s="27" t="s">
        <v>7</v>
      </c>
      <c r="BY366" s="27" t="s">
        <v>8</v>
      </c>
      <c r="BZ366" s="27" t="s">
        <v>7</v>
      </c>
      <c r="CA366" s="27" t="s">
        <v>8</v>
      </c>
      <c r="CB366" s="27" t="s">
        <v>7</v>
      </c>
      <c r="CD366" s="27" t="s">
        <v>7</v>
      </c>
      <c r="CE366" s="27" t="s">
        <v>8</v>
      </c>
      <c r="CF366" s="27" t="s">
        <v>7</v>
      </c>
      <c r="CG366" s="27" t="s">
        <v>8</v>
      </c>
      <c r="CJ366" s="27" t="s">
        <v>7</v>
      </c>
      <c r="CL366" s="27" t="s">
        <v>7</v>
      </c>
      <c r="CM366" s="27" t="s">
        <v>8</v>
      </c>
    </row>
    <row r="367" spans="1:100" x14ac:dyDescent="0.25">
      <c r="A367" s="30">
        <v>2.0368498627844375E-3</v>
      </c>
      <c r="B367"/>
      <c r="C367"/>
      <c r="D367"/>
      <c r="E367"/>
      <c r="F367" s="27" t="s">
        <v>7</v>
      </c>
      <c r="BA367" s="27" t="s">
        <v>8</v>
      </c>
      <c r="BB367" s="27" t="s">
        <v>7</v>
      </c>
      <c r="BD367" s="27" t="s">
        <v>7</v>
      </c>
      <c r="BE367" s="27" t="s">
        <v>8</v>
      </c>
      <c r="BF367" s="27" t="s">
        <v>7</v>
      </c>
      <c r="BG367" s="27" t="s">
        <v>8</v>
      </c>
      <c r="BH367" s="27" t="s">
        <v>7</v>
      </c>
      <c r="BI367" s="27" t="s">
        <v>8</v>
      </c>
      <c r="BL367" s="27" t="s">
        <v>7</v>
      </c>
      <c r="BM367" s="27" t="s">
        <v>8</v>
      </c>
      <c r="BN367" s="27" t="s">
        <v>7</v>
      </c>
      <c r="BO367" s="27" t="s">
        <v>8</v>
      </c>
      <c r="BP367" s="27" t="s">
        <v>7</v>
      </c>
      <c r="BQ367" s="27" t="s">
        <v>8</v>
      </c>
      <c r="BR367" s="27" t="s">
        <v>7</v>
      </c>
      <c r="BS367" s="27" t="s">
        <v>8</v>
      </c>
      <c r="BT367" s="27" t="s">
        <v>7</v>
      </c>
      <c r="BU367" s="27" t="s">
        <v>8</v>
      </c>
      <c r="BV367" s="27" t="s">
        <v>7</v>
      </c>
      <c r="BW367" s="27" t="s">
        <v>8</v>
      </c>
      <c r="BX367" s="27" t="s">
        <v>7</v>
      </c>
      <c r="BY367" s="27" t="s">
        <v>8</v>
      </c>
      <c r="BZ367" s="27" t="s">
        <v>7</v>
      </c>
      <c r="CA367" s="27" t="s">
        <v>8</v>
      </c>
      <c r="CD367" s="27" t="s">
        <v>7</v>
      </c>
      <c r="CF367" s="27" t="s">
        <v>7</v>
      </c>
      <c r="CL367" s="27" t="s">
        <v>7</v>
      </c>
    </row>
    <row r="368" spans="1:100" x14ac:dyDescent="0.25">
      <c r="A368" s="30">
        <v>1.9398570121756541E-3</v>
      </c>
      <c r="B368"/>
      <c r="C368"/>
      <c r="D368"/>
      <c r="E368"/>
      <c r="F368" s="27" t="s">
        <v>7</v>
      </c>
      <c r="BA368" s="27" t="s">
        <v>8</v>
      </c>
      <c r="BD368" s="27" t="s">
        <v>7</v>
      </c>
      <c r="BE368" s="27" t="s">
        <v>8</v>
      </c>
      <c r="BF368" s="27" t="s">
        <v>7</v>
      </c>
      <c r="BG368" s="27" t="s">
        <v>8</v>
      </c>
      <c r="BH368" s="27" t="s">
        <v>7</v>
      </c>
      <c r="BI368" s="27" t="s">
        <v>8</v>
      </c>
      <c r="BL368" s="27" t="s">
        <v>7</v>
      </c>
      <c r="BM368" s="27" t="s">
        <v>8</v>
      </c>
      <c r="BN368" s="27" t="s">
        <v>7</v>
      </c>
      <c r="BO368" s="27" t="s">
        <v>8</v>
      </c>
      <c r="BP368" s="27" t="s">
        <v>7</v>
      </c>
      <c r="BQ368" s="27" t="s">
        <v>8</v>
      </c>
      <c r="BR368" s="27" t="s">
        <v>7</v>
      </c>
      <c r="BS368" s="27" t="s">
        <v>8</v>
      </c>
      <c r="BT368" s="27" t="s">
        <v>7</v>
      </c>
      <c r="BU368" s="27" t="s">
        <v>8</v>
      </c>
      <c r="BV368" s="27" t="s">
        <v>7</v>
      </c>
      <c r="BW368" s="27" t="s">
        <v>8</v>
      </c>
      <c r="BX368" s="27" t="s">
        <v>7</v>
      </c>
      <c r="BY368" s="27" t="s">
        <v>8</v>
      </c>
      <c r="BZ368" s="27" t="s">
        <v>7</v>
      </c>
    </row>
    <row r="369" spans="1:77" x14ac:dyDescent="0.25">
      <c r="A369" s="30">
        <v>1.8474828687387174E-3</v>
      </c>
      <c r="B369"/>
      <c r="C369"/>
      <c r="D369"/>
      <c r="E369"/>
      <c r="F369" s="27" t="s">
        <v>7</v>
      </c>
      <c r="BA369" s="27" t="s">
        <v>8</v>
      </c>
      <c r="BD369" s="27" t="s">
        <v>7</v>
      </c>
      <c r="BF369" s="27" t="s">
        <v>7</v>
      </c>
      <c r="BH369" s="27" t="s">
        <v>7</v>
      </c>
      <c r="BI369" s="27" t="s">
        <v>8</v>
      </c>
      <c r="BL369" s="27" t="s">
        <v>7</v>
      </c>
      <c r="BN369" s="27" t="s">
        <v>7</v>
      </c>
      <c r="BO369" s="27" t="s">
        <v>8</v>
      </c>
      <c r="BP369" s="27" t="s">
        <v>7</v>
      </c>
      <c r="BR369" s="27" t="s">
        <v>7</v>
      </c>
      <c r="BS369" s="27" t="s">
        <v>8</v>
      </c>
      <c r="BT369" s="27" t="s">
        <v>7</v>
      </c>
      <c r="BU369" s="27" t="s">
        <v>8</v>
      </c>
      <c r="BV369" s="27" t="s">
        <v>7</v>
      </c>
      <c r="BX369" s="27" t="s">
        <v>7</v>
      </c>
      <c r="BY369" s="27" t="s">
        <v>8</v>
      </c>
    </row>
    <row r="370" spans="1:77" x14ac:dyDescent="0.25">
      <c r="A370" s="30">
        <v>1.759507494036873E-3</v>
      </c>
      <c r="B370"/>
      <c r="C370"/>
      <c r="D370"/>
      <c r="E370"/>
      <c r="F370" s="27" t="s">
        <v>7</v>
      </c>
      <c r="BA370" s="27" t="s">
        <v>8</v>
      </c>
      <c r="BH370" s="27" t="s">
        <v>7</v>
      </c>
      <c r="BN370" s="27" t="s">
        <v>7</v>
      </c>
      <c r="BO370" s="27" t="s">
        <v>8</v>
      </c>
      <c r="BR370" s="27" t="s">
        <v>7</v>
      </c>
      <c r="BS370" s="27" t="s">
        <v>8</v>
      </c>
      <c r="BT370" s="27" t="s">
        <v>7</v>
      </c>
      <c r="BU370" s="27" t="s">
        <v>8</v>
      </c>
      <c r="BX370" s="27" t="s">
        <v>7</v>
      </c>
      <c r="BY370" s="27" t="s">
        <v>8</v>
      </c>
    </row>
    <row r="371" spans="1:77" x14ac:dyDescent="0.25">
      <c r="A371" s="30">
        <v>1.6757214228922594E-3</v>
      </c>
      <c r="B371"/>
      <c r="C371"/>
      <c r="D371"/>
      <c r="E371"/>
      <c r="F371" s="27" t="s">
        <v>7</v>
      </c>
      <c r="AY371" s="27" t="s">
        <v>8</v>
      </c>
      <c r="BA371" s="27" t="s">
        <v>8</v>
      </c>
      <c r="BN371" s="27" t="s">
        <v>7</v>
      </c>
      <c r="BR371" s="27" t="s">
        <v>7</v>
      </c>
      <c r="BS371" s="27" t="s">
        <v>8</v>
      </c>
      <c r="BT371" s="27" t="s">
        <v>7</v>
      </c>
      <c r="BX371" s="27" t="s">
        <v>7</v>
      </c>
      <c r="BY371" s="27" t="s">
        <v>8</v>
      </c>
    </row>
    <row r="372" spans="1:77" x14ac:dyDescent="0.25">
      <c r="A372" s="30">
        <v>1.595925164659294E-3</v>
      </c>
      <c r="B372"/>
      <c r="C372"/>
      <c r="D372"/>
      <c r="E372"/>
      <c r="F372" s="27" t="s">
        <v>7</v>
      </c>
      <c r="AY372" s="27" t="s">
        <v>8</v>
      </c>
      <c r="AZ372" s="27" t="s">
        <v>7</v>
      </c>
      <c r="BA372" s="27" t="s">
        <v>8</v>
      </c>
      <c r="BR372" s="27" t="s">
        <v>7</v>
      </c>
      <c r="BS372" s="27" t="s">
        <v>8</v>
      </c>
      <c r="BX372" s="27" t="s">
        <v>7</v>
      </c>
    </row>
    <row r="373" spans="1:77" x14ac:dyDescent="0.25">
      <c r="A373" s="30">
        <v>1.5199287282469461E-3</v>
      </c>
      <c r="B373"/>
      <c r="C373"/>
      <c r="D373"/>
      <c r="E373"/>
      <c r="F373" s="27" t="s">
        <v>7</v>
      </c>
      <c r="AY373" s="27" t="s">
        <v>8</v>
      </c>
      <c r="AZ373" s="27" t="s">
        <v>7</v>
      </c>
      <c r="BA373" s="27" t="s">
        <v>8</v>
      </c>
      <c r="BR373" s="27" t="s">
        <v>7</v>
      </c>
      <c r="BS373" s="27" t="s">
        <v>8</v>
      </c>
    </row>
    <row r="374" spans="1:77" x14ac:dyDescent="0.25">
      <c r="A374" s="30">
        <v>1.4475511697589958E-3</v>
      </c>
      <c r="B374"/>
      <c r="C374"/>
      <c r="D374"/>
      <c r="E374"/>
      <c r="F374" s="27" t="s">
        <v>7</v>
      </c>
      <c r="S374" s="27" t="s">
        <v>8</v>
      </c>
      <c r="AY374" s="27" t="s">
        <v>8</v>
      </c>
      <c r="AZ374" s="27" t="s">
        <v>7</v>
      </c>
      <c r="BA374" s="27" t="s">
        <v>8</v>
      </c>
      <c r="BR374" s="27" t="s">
        <v>7</v>
      </c>
    </row>
    <row r="375" spans="1:77" x14ac:dyDescent="0.25">
      <c r="A375" s="30">
        <v>1.3786201616752334E-3</v>
      </c>
      <c r="B375"/>
      <c r="C375"/>
      <c r="D375"/>
      <c r="E375"/>
      <c r="F375" s="27" t="s">
        <v>7</v>
      </c>
      <c r="S375" s="27" t="s">
        <v>8</v>
      </c>
      <c r="T375" s="27" t="s">
        <v>7</v>
      </c>
      <c r="U375" s="27" t="s">
        <v>8</v>
      </c>
      <c r="AY375" s="27" t="s">
        <v>8</v>
      </c>
      <c r="AZ375" s="27" t="s">
        <v>7</v>
      </c>
    </row>
    <row r="376" spans="1:77" x14ac:dyDescent="0.25">
      <c r="A376" s="30">
        <v>1.3129715825478407E-3</v>
      </c>
      <c r="B376"/>
      <c r="C376"/>
      <c r="D376"/>
      <c r="E376"/>
      <c r="F376" s="27" t="s">
        <v>7</v>
      </c>
      <c r="O376" s="27" t="s">
        <v>8</v>
      </c>
      <c r="S376" s="27" t="s">
        <v>8</v>
      </c>
      <c r="T376" s="27" t="s">
        <v>7</v>
      </c>
      <c r="U376" s="27" t="s">
        <v>8</v>
      </c>
      <c r="V376" s="27" t="s">
        <v>7</v>
      </c>
      <c r="W376" s="27" t="s">
        <v>8</v>
      </c>
      <c r="AE376" s="27" t="s">
        <v>8</v>
      </c>
      <c r="AY376" s="27" t="s">
        <v>8</v>
      </c>
    </row>
    <row r="377" spans="1:77" x14ac:dyDescent="0.25">
      <c r="A377" s="30">
        <v>1.2504491262360382E-3</v>
      </c>
      <c r="B377"/>
      <c r="C377"/>
      <c r="D377"/>
      <c r="E377"/>
      <c r="F377" s="27" t="s">
        <v>7</v>
      </c>
      <c r="G377" s="27" t="s">
        <v>8</v>
      </c>
      <c r="O377" s="27" t="s">
        <v>8</v>
      </c>
      <c r="P377" s="27" t="s">
        <v>7</v>
      </c>
      <c r="S377" s="27" t="s">
        <v>8</v>
      </c>
      <c r="T377" s="27" t="s">
        <v>7</v>
      </c>
      <c r="U377" s="27" t="s">
        <v>8</v>
      </c>
      <c r="V377" s="27" t="s">
        <v>7</v>
      </c>
      <c r="W377" s="27" t="s">
        <v>8</v>
      </c>
      <c r="X377" s="27" t="s">
        <v>7</v>
      </c>
      <c r="AE377" s="27" t="s">
        <v>8</v>
      </c>
      <c r="AF377" s="27" t="s">
        <v>7</v>
      </c>
      <c r="AG377" s="27" t="s">
        <v>8</v>
      </c>
      <c r="AY377" s="27" t="s">
        <v>8</v>
      </c>
    </row>
    <row r="378" spans="1:77" x14ac:dyDescent="0.25">
      <c r="A378" s="30">
        <v>1.1909039297486072E-3</v>
      </c>
      <c r="B378"/>
      <c r="C378"/>
      <c r="D378"/>
      <c r="E378"/>
      <c r="F378" s="27" t="s">
        <v>7</v>
      </c>
      <c r="G378" s="27" t="s">
        <v>8</v>
      </c>
      <c r="H378" s="27" t="s">
        <v>7</v>
      </c>
      <c r="I378" s="27" t="s">
        <v>8</v>
      </c>
      <c r="O378" s="27" t="s">
        <v>8</v>
      </c>
      <c r="P378" s="27" t="s">
        <v>7</v>
      </c>
      <c r="Q378" s="27" t="s">
        <v>8</v>
      </c>
      <c r="S378" s="27" t="s">
        <v>8</v>
      </c>
      <c r="T378" s="27" t="s">
        <v>7</v>
      </c>
      <c r="U378" s="27" t="s">
        <v>8</v>
      </c>
      <c r="V378" s="27" t="s">
        <v>7</v>
      </c>
      <c r="W378" s="27" t="s">
        <v>8</v>
      </c>
      <c r="X378" s="27" t="s">
        <v>7</v>
      </c>
      <c r="Y378" s="27" t="s">
        <v>8</v>
      </c>
      <c r="AE378" s="27" t="s">
        <v>8</v>
      </c>
      <c r="AF378" s="27" t="s">
        <v>7</v>
      </c>
      <c r="AG378" s="27" t="s">
        <v>8</v>
      </c>
      <c r="AH378" s="27" t="s">
        <v>7</v>
      </c>
      <c r="AU378" s="27" t="s">
        <v>8</v>
      </c>
      <c r="AW378" s="27" t="s">
        <v>8</v>
      </c>
      <c r="AY378" s="27" t="s">
        <v>8</v>
      </c>
    </row>
    <row r="379" spans="1:77" x14ac:dyDescent="0.25">
      <c r="A379" s="30">
        <v>1.1341942188081969E-3</v>
      </c>
      <c r="B379"/>
      <c r="C379"/>
      <c r="D379"/>
      <c r="E379"/>
      <c r="F379" s="27" t="s">
        <v>7</v>
      </c>
      <c r="G379" s="27" t="s">
        <v>8</v>
      </c>
      <c r="H379" s="27" t="s">
        <v>7</v>
      </c>
      <c r="I379" s="27" t="s">
        <v>8</v>
      </c>
      <c r="J379" s="27" t="s">
        <v>7</v>
      </c>
      <c r="O379" s="27" t="s">
        <v>8</v>
      </c>
      <c r="P379" s="27" t="s">
        <v>7</v>
      </c>
      <c r="Q379" s="27" t="s">
        <v>8</v>
      </c>
      <c r="R379" s="27" t="s">
        <v>7</v>
      </c>
      <c r="S379" s="27" t="s">
        <v>8</v>
      </c>
      <c r="T379" s="27" t="s">
        <v>7</v>
      </c>
      <c r="V379" s="27" t="s">
        <v>7</v>
      </c>
      <c r="W379" s="27" t="s">
        <v>8</v>
      </c>
      <c r="X379" s="27" t="s">
        <v>7</v>
      </c>
      <c r="Y379" s="27" t="s">
        <v>8</v>
      </c>
      <c r="Z379" s="27" t="s">
        <v>7</v>
      </c>
      <c r="AE379" s="27" t="s">
        <v>8</v>
      </c>
      <c r="AF379" s="27" t="s">
        <v>7</v>
      </c>
      <c r="AG379" s="27" t="s">
        <v>8</v>
      </c>
      <c r="AH379" s="27" t="s">
        <v>7</v>
      </c>
      <c r="AU379" s="27" t="s">
        <v>8</v>
      </c>
      <c r="AV379" s="27" t="s">
        <v>7</v>
      </c>
      <c r="AW379" s="27" t="s">
        <v>8</v>
      </c>
      <c r="AX379" s="27" t="s">
        <v>7</v>
      </c>
      <c r="AY379" s="27" t="s">
        <v>8</v>
      </c>
    </row>
    <row r="380" spans="1:77" x14ac:dyDescent="0.25">
      <c r="A380" s="30">
        <v>1.0801849702935203E-3</v>
      </c>
      <c r="B380"/>
      <c r="C380"/>
      <c r="D380"/>
      <c r="E380"/>
      <c r="F380" s="27" t="s">
        <v>7</v>
      </c>
      <c r="G380" s="27" t="s">
        <v>8</v>
      </c>
      <c r="H380" s="27" t="s">
        <v>7</v>
      </c>
      <c r="I380" s="27" t="s">
        <v>8</v>
      </c>
      <c r="J380" s="27" t="s">
        <v>7</v>
      </c>
      <c r="O380" s="27" t="s">
        <v>8</v>
      </c>
      <c r="P380" s="27" t="s">
        <v>7</v>
      </c>
      <c r="Q380" s="27" t="s">
        <v>8</v>
      </c>
      <c r="R380" s="27" t="s">
        <v>7</v>
      </c>
      <c r="S380" s="27" t="s">
        <v>8</v>
      </c>
      <c r="V380" s="27" t="s">
        <v>7</v>
      </c>
      <c r="W380" s="27" t="s">
        <v>8</v>
      </c>
      <c r="X380" s="27" t="s">
        <v>7</v>
      </c>
      <c r="Y380" s="27" t="s">
        <v>8</v>
      </c>
      <c r="Z380" s="27" t="s">
        <v>7</v>
      </c>
      <c r="AE380" s="27" t="s">
        <v>8</v>
      </c>
      <c r="AF380" s="27" t="s">
        <v>7</v>
      </c>
      <c r="AG380" s="27" t="s">
        <v>8</v>
      </c>
      <c r="AH380" s="27" t="s">
        <v>7</v>
      </c>
      <c r="AU380" s="27" t="s">
        <v>8</v>
      </c>
      <c r="AV380" s="27" t="s">
        <v>7</v>
      </c>
      <c r="AW380" s="27" t="s">
        <v>8</v>
      </c>
      <c r="AX380" s="27" t="s">
        <v>7</v>
      </c>
      <c r="AY380" s="27" t="s">
        <v>8</v>
      </c>
    </row>
    <row r="381" spans="1:77" x14ac:dyDescent="0.25">
      <c r="A381" s="30">
        <v>1.0287475907557332E-3</v>
      </c>
      <c r="B381"/>
      <c r="C381"/>
      <c r="D381"/>
      <c r="E381"/>
      <c r="F381" s="27" t="s">
        <v>7</v>
      </c>
      <c r="G381" s="27" t="s">
        <v>8</v>
      </c>
      <c r="H381" s="27" t="s">
        <v>7</v>
      </c>
      <c r="J381" s="27" t="s">
        <v>7</v>
      </c>
      <c r="M381" s="27" t="s">
        <v>8</v>
      </c>
      <c r="O381" s="27" t="s">
        <v>8</v>
      </c>
      <c r="P381" s="27" t="s">
        <v>7</v>
      </c>
      <c r="R381" s="27" t="s">
        <v>7</v>
      </c>
      <c r="V381" s="27" t="s">
        <v>7</v>
      </c>
      <c r="W381" s="27" t="s">
        <v>8</v>
      </c>
      <c r="X381" s="27" t="s">
        <v>7</v>
      </c>
      <c r="Y381" s="27" t="s">
        <v>8</v>
      </c>
      <c r="Z381" s="27" t="s">
        <v>7</v>
      </c>
      <c r="AE381" s="27" t="s">
        <v>8</v>
      </c>
      <c r="AF381" s="27" t="s">
        <v>7</v>
      </c>
      <c r="AG381" s="27" t="s">
        <v>8</v>
      </c>
      <c r="AH381" s="27" t="s">
        <v>7</v>
      </c>
      <c r="AU381" s="27" t="s">
        <v>8</v>
      </c>
      <c r="AV381" s="27" t="s">
        <v>7</v>
      </c>
      <c r="AW381" s="27" t="s">
        <v>8</v>
      </c>
      <c r="AX381" s="27" t="s">
        <v>7</v>
      </c>
      <c r="AY381" s="27" t="s">
        <v>8</v>
      </c>
    </row>
    <row r="382" spans="1:77" x14ac:dyDescent="0.25">
      <c r="A382" s="30">
        <v>9.7731021121794646E-4</v>
      </c>
      <c r="F382" s="27" t="s">
        <v>7</v>
      </c>
      <c r="G382" s="27" t="s">
        <v>8</v>
      </c>
      <c r="J382" s="27" t="s">
        <v>7</v>
      </c>
      <c r="K382" s="27" t="s">
        <v>8</v>
      </c>
      <c r="M382" s="27" t="s">
        <v>8</v>
      </c>
      <c r="N382" s="27" t="s">
        <v>7</v>
      </c>
      <c r="O382" s="27" t="s">
        <v>8</v>
      </c>
      <c r="V382" s="27" t="s">
        <v>7</v>
      </c>
      <c r="X382" s="27" t="s">
        <v>7</v>
      </c>
      <c r="Z382" s="27" t="s">
        <v>7</v>
      </c>
      <c r="AA382" s="27" t="s">
        <v>8</v>
      </c>
      <c r="AC382" s="27" t="s">
        <v>8</v>
      </c>
      <c r="AE382" s="27" t="s">
        <v>8</v>
      </c>
      <c r="AF382" s="27" t="s">
        <v>7</v>
      </c>
      <c r="AG382" s="27" t="s">
        <v>8</v>
      </c>
      <c r="AH382" s="27" t="s">
        <v>7</v>
      </c>
      <c r="AU382" s="27" t="s">
        <v>8</v>
      </c>
      <c r="AV382" s="27" t="s">
        <v>7</v>
      </c>
      <c r="AW382" s="27" t="s">
        <v>8</v>
      </c>
      <c r="AX382" s="27" t="s">
        <v>7</v>
      </c>
      <c r="AY382" s="27" t="s">
        <v>8</v>
      </c>
    </row>
    <row r="383" spans="1:77" x14ac:dyDescent="0.25">
      <c r="A383" s="30">
        <v>9.2844470065704904E-4</v>
      </c>
      <c r="F383" s="27" t="s">
        <v>7</v>
      </c>
      <c r="J383" s="27" t="s">
        <v>7</v>
      </c>
      <c r="K383" s="27" t="s">
        <v>8</v>
      </c>
      <c r="L383" s="27" t="s">
        <v>7</v>
      </c>
      <c r="M383" s="27" t="s">
        <v>8</v>
      </c>
      <c r="N383" s="27" t="s">
        <v>7</v>
      </c>
      <c r="O383" s="27" t="s">
        <v>8</v>
      </c>
      <c r="Z383" s="27" t="s">
        <v>7</v>
      </c>
      <c r="AA383" s="27" t="s">
        <v>8</v>
      </c>
      <c r="AB383" s="27" t="s">
        <v>7</v>
      </c>
      <c r="AC383" s="27" t="s">
        <v>8</v>
      </c>
      <c r="AD383" s="27" t="s">
        <v>7</v>
      </c>
      <c r="AE383" s="27" t="s">
        <v>8</v>
      </c>
      <c r="AF383" s="27" t="s">
        <v>7</v>
      </c>
      <c r="AG383" s="27" t="s">
        <v>8</v>
      </c>
      <c r="AH383" s="27" t="s">
        <v>7</v>
      </c>
      <c r="AU383" s="27" t="s">
        <v>8</v>
      </c>
      <c r="AV383" s="27" t="s">
        <v>7</v>
      </c>
      <c r="AW383" s="27" t="s">
        <v>8</v>
      </c>
      <c r="AX383" s="27" t="s">
        <v>7</v>
      </c>
      <c r="AY383" s="27" t="s">
        <v>8</v>
      </c>
    </row>
    <row r="384" spans="1:77" x14ac:dyDescent="0.25">
      <c r="A384" s="30">
        <v>8.8202246562419653E-4</v>
      </c>
      <c r="J384" s="27" t="s">
        <v>7</v>
      </c>
      <c r="K384" s="27" t="s">
        <v>8</v>
      </c>
      <c r="L384" s="27" t="s">
        <v>7</v>
      </c>
      <c r="M384" s="27" t="s">
        <v>8</v>
      </c>
      <c r="N384" s="27" t="s">
        <v>7</v>
      </c>
      <c r="O384" s="27" t="s">
        <v>8</v>
      </c>
      <c r="Z384" s="27" t="s">
        <v>7</v>
      </c>
      <c r="AA384" s="27" t="s">
        <v>8</v>
      </c>
      <c r="AB384" s="27" t="s">
        <v>7</v>
      </c>
      <c r="AC384" s="27" t="s">
        <v>8</v>
      </c>
      <c r="AD384" s="27" t="s">
        <v>7</v>
      </c>
      <c r="AE384" s="27" t="s">
        <v>8</v>
      </c>
      <c r="AF384" s="27" t="s">
        <v>7</v>
      </c>
      <c r="AG384" s="27" t="s">
        <v>8</v>
      </c>
      <c r="AH384" s="27" t="s">
        <v>7</v>
      </c>
      <c r="AS384" s="27" t="s">
        <v>8</v>
      </c>
      <c r="AU384" s="27" t="s">
        <v>8</v>
      </c>
      <c r="AV384" s="27" t="s">
        <v>7</v>
      </c>
      <c r="AX384" s="27" t="s">
        <v>7</v>
      </c>
      <c r="AY384" s="27" t="s">
        <v>8</v>
      </c>
    </row>
    <row r="385" spans="1:50" x14ac:dyDescent="0.25">
      <c r="A385" s="30">
        <v>8.3792134234298668E-4</v>
      </c>
      <c r="J385" s="27" t="s">
        <v>7</v>
      </c>
      <c r="K385" s="27" t="s">
        <v>8</v>
      </c>
      <c r="L385" s="27" t="s">
        <v>7</v>
      </c>
      <c r="N385" s="27" t="s">
        <v>7</v>
      </c>
      <c r="O385" s="27" t="s">
        <v>8</v>
      </c>
      <c r="Z385" s="27" t="s">
        <v>7</v>
      </c>
      <c r="AA385" s="27" t="s">
        <v>8</v>
      </c>
      <c r="AB385" s="27" t="s">
        <v>7</v>
      </c>
      <c r="AD385" s="27" t="s">
        <v>7</v>
      </c>
      <c r="AE385" s="27" t="s">
        <v>8</v>
      </c>
      <c r="AF385" s="27" t="s">
        <v>7</v>
      </c>
      <c r="AG385" s="27" t="s">
        <v>8</v>
      </c>
      <c r="AH385" s="27" t="s">
        <v>7</v>
      </c>
      <c r="AQ385" s="27" t="s">
        <v>8</v>
      </c>
      <c r="AS385" s="27" t="s">
        <v>8</v>
      </c>
      <c r="AT385" s="27" t="s">
        <v>7</v>
      </c>
      <c r="AU385" s="27" t="s">
        <v>8</v>
      </c>
      <c r="AX385" s="27" t="s">
        <v>7</v>
      </c>
    </row>
    <row r="386" spans="1:50" x14ac:dyDescent="0.25">
      <c r="A386" s="30">
        <v>7.9602527522583736E-4</v>
      </c>
      <c r="J386" s="27" t="s">
        <v>7</v>
      </c>
      <c r="K386" s="27" t="s">
        <v>8</v>
      </c>
      <c r="N386" s="27" t="s">
        <v>7</v>
      </c>
      <c r="Z386" s="27" t="s">
        <v>7</v>
      </c>
      <c r="AD386" s="27" t="s">
        <v>7</v>
      </c>
      <c r="AE386" s="27" t="s">
        <v>8</v>
      </c>
      <c r="AF386" s="27" t="s">
        <v>7</v>
      </c>
      <c r="AH386" s="27" t="s">
        <v>7</v>
      </c>
      <c r="AQ386" s="27" t="s">
        <v>8</v>
      </c>
      <c r="AR386" s="27" t="s">
        <v>7</v>
      </c>
      <c r="AS386" s="27" t="s">
        <v>8</v>
      </c>
      <c r="AT386" s="27" t="s">
        <v>7</v>
      </c>
      <c r="AU386" s="27" t="s">
        <v>8</v>
      </c>
    </row>
    <row r="387" spans="1:50" x14ac:dyDescent="0.25">
      <c r="A387" s="30">
        <v>7.5622401146454546E-4</v>
      </c>
      <c r="J387" s="27" t="s">
        <v>7</v>
      </c>
      <c r="AD387" s="27" t="s">
        <v>7</v>
      </c>
      <c r="AH387" s="27" t="s">
        <v>7</v>
      </c>
      <c r="AO387" s="27" t="s">
        <v>8</v>
      </c>
      <c r="AQ387" s="27" t="s">
        <v>8</v>
      </c>
      <c r="AR387" s="27" t="s">
        <v>7</v>
      </c>
      <c r="AS387" s="27" t="s">
        <v>8</v>
      </c>
      <c r="AT387" s="27" t="s">
        <v>7</v>
      </c>
      <c r="AU387" s="27" t="s">
        <v>8</v>
      </c>
    </row>
    <row r="388" spans="1:50" x14ac:dyDescent="0.25">
      <c r="A388" s="30">
        <v>7.1841281089131816E-4</v>
      </c>
      <c r="AH388" s="27" t="s">
        <v>7</v>
      </c>
      <c r="AI388" s="27" t="s">
        <v>8</v>
      </c>
      <c r="AM388" s="27" t="s">
        <v>8</v>
      </c>
      <c r="AO388" s="27" t="s">
        <v>8</v>
      </c>
      <c r="AP388" s="27" t="s">
        <v>7</v>
      </c>
      <c r="AQ388" s="27" t="s">
        <v>8</v>
      </c>
      <c r="AR388" s="27" t="s">
        <v>7</v>
      </c>
      <c r="AS388" s="27" t="s">
        <v>8</v>
      </c>
      <c r="AT388" s="27" t="s">
        <v>7</v>
      </c>
    </row>
    <row r="389" spans="1:50" x14ac:dyDescent="0.25">
      <c r="A389" s="30">
        <v>6.8249217034675226E-4</v>
      </c>
      <c r="AH389" s="27" t="s">
        <v>7</v>
      </c>
      <c r="AI389" s="27" t="s">
        <v>8</v>
      </c>
      <c r="AJ389" s="27" t="s">
        <v>7</v>
      </c>
      <c r="AK389" s="27" t="s">
        <v>8</v>
      </c>
      <c r="AM389" s="27" t="s">
        <v>8</v>
      </c>
      <c r="AN389" s="27" t="s">
        <v>7</v>
      </c>
      <c r="AO389" s="27" t="s">
        <v>8</v>
      </c>
      <c r="AP389" s="27" t="s">
        <v>7</v>
      </c>
      <c r="AQ389" s="27" t="s">
        <v>8</v>
      </c>
      <c r="AR389" s="27" t="s">
        <v>7</v>
      </c>
    </row>
    <row r="390" spans="1:50" x14ac:dyDescent="0.25">
      <c r="A390" s="30">
        <v>6.4836756182941465E-4</v>
      </c>
      <c r="AH390" s="27" t="s">
        <v>7</v>
      </c>
      <c r="AI390" s="27" t="s">
        <v>8</v>
      </c>
      <c r="AJ390" s="27" t="s">
        <v>7</v>
      </c>
      <c r="AK390" s="27" t="s">
        <v>8</v>
      </c>
      <c r="AL390" s="27" t="s">
        <v>7</v>
      </c>
      <c r="AM390" s="27" t="s">
        <v>8</v>
      </c>
      <c r="AN390" s="27" t="s">
        <v>7</v>
      </c>
      <c r="AO390" s="27" t="s">
        <v>8</v>
      </c>
      <c r="AP390" s="27" t="s">
        <v>7</v>
      </c>
      <c r="AQ390" s="27" t="s">
        <v>8</v>
      </c>
    </row>
    <row r="391" spans="1:50" x14ac:dyDescent="0.25">
      <c r="A391" s="30">
        <v>6.1594918373794388E-4</v>
      </c>
      <c r="AH391" s="27" t="s">
        <v>7</v>
      </c>
      <c r="AI391" s="27" t="s">
        <v>8</v>
      </c>
      <c r="AJ391" s="27" t="s">
        <v>7</v>
      </c>
      <c r="AK391" s="27" t="s">
        <v>8</v>
      </c>
      <c r="AL391" s="27" t="s">
        <v>7</v>
      </c>
      <c r="AM391" s="27" t="s">
        <v>8</v>
      </c>
      <c r="AN391" s="27" t="s">
        <v>7</v>
      </c>
      <c r="AO391" s="27" t="s">
        <v>8</v>
      </c>
      <c r="AP391" s="27" t="s">
        <v>7</v>
      </c>
      <c r="AQ391" s="27" t="s">
        <v>8</v>
      </c>
    </row>
    <row r="392" spans="1:50" x14ac:dyDescent="0.25">
      <c r="A392" s="30">
        <v>5.8515172455104666E-4</v>
      </c>
      <c r="AH392" s="27" t="s">
        <v>7</v>
      </c>
      <c r="AI392" s="27" t="s">
        <v>8</v>
      </c>
      <c r="AJ392" s="27" t="s">
        <v>7</v>
      </c>
      <c r="AK392" s="27" t="s">
        <v>8</v>
      </c>
      <c r="AL392" s="27" t="s">
        <v>7</v>
      </c>
      <c r="AN392" s="27" t="s">
        <v>7</v>
      </c>
      <c r="AO392" s="27" t="s">
        <v>8</v>
      </c>
      <c r="AP392" s="27" t="s">
        <v>7</v>
      </c>
      <c r="AQ392" s="27" t="s">
        <v>8</v>
      </c>
    </row>
    <row r="393" spans="1:50" x14ac:dyDescent="0.25">
      <c r="A393" s="30">
        <v>5.5589413832349429E-4</v>
      </c>
      <c r="AH393" s="27" t="s">
        <v>7</v>
      </c>
      <c r="AI393" s="27" t="s">
        <v>8</v>
      </c>
      <c r="AJ393" s="27" t="s">
        <v>7</v>
      </c>
      <c r="AK393" s="27" t="s">
        <v>8</v>
      </c>
      <c r="AN393" s="27" t="s">
        <v>7</v>
      </c>
      <c r="AO393" s="27" t="s">
        <v>8</v>
      </c>
      <c r="AP393" s="27" t="s">
        <v>7</v>
      </c>
      <c r="AQ393" s="27" t="s">
        <v>8</v>
      </c>
    </row>
    <row r="394" spans="1:50" x14ac:dyDescent="0.25">
      <c r="A394" s="30">
        <v>5.2809943140731956E-4</v>
      </c>
      <c r="AH394" s="27" t="s">
        <v>7</v>
      </c>
      <c r="AI394" s="27" t="s">
        <v>8</v>
      </c>
      <c r="AJ394" s="27" t="s">
        <v>7</v>
      </c>
      <c r="AK394" s="27" t="s">
        <v>8</v>
      </c>
      <c r="AN394" s="27" t="s">
        <v>7</v>
      </c>
      <c r="AO394" s="27" t="s">
        <v>8</v>
      </c>
      <c r="AP394" s="27" t="s">
        <v>7</v>
      </c>
      <c r="AQ394" s="27" t="s">
        <v>8</v>
      </c>
    </row>
    <row r="395" spans="1:50" x14ac:dyDescent="0.25">
      <c r="A395" s="30">
        <v>5.0169445983695357E-4</v>
      </c>
      <c r="AH395" s="27" t="s">
        <v>7</v>
      </c>
      <c r="AI395" s="27" t="s">
        <v>8</v>
      </c>
      <c r="AJ395" s="27" t="s">
        <v>7</v>
      </c>
      <c r="AK395" s="27" t="s">
        <v>8</v>
      </c>
      <c r="AN395" s="27" t="s">
        <v>7</v>
      </c>
      <c r="AO395" s="27" t="s">
        <v>8</v>
      </c>
      <c r="AP395" s="27" t="s">
        <v>7</v>
      </c>
    </row>
    <row r="396" spans="1:50" x14ac:dyDescent="0.25">
      <c r="A396" s="30">
        <v>4.7660973684510589E-4</v>
      </c>
      <c r="AH396" s="27" t="s">
        <v>7</v>
      </c>
      <c r="AI396" s="27" t="s">
        <v>8</v>
      </c>
      <c r="AJ396" s="27" t="s">
        <v>7</v>
      </c>
      <c r="AK396" s="27" t="s">
        <v>8</v>
      </c>
      <c r="AN396" s="27" t="s">
        <v>7</v>
      </c>
      <c r="AO396" s="27" t="s">
        <v>8</v>
      </c>
    </row>
    <row r="397" spans="1:50" x14ac:dyDescent="0.25">
      <c r="A397" s="30">
        <v>4.5277925000285056E-4</v>
      </c>
      <c r="AH397" s="27" t="s">
        <v>7</v>
      </c>
      <c r="AI397" s="27" t="s">
        <v>8</v>
      </c>
      <c r="AJ397" s="27" t="s">
        <v>7</v>
      </c>
      <c r="AN397" s="27" t="s">
        <v>7</v>
      </c>
      <c r="AO397" s="27" t="s">
        <v>8</v>
      </c>
    </row>
    <row r="398" spans="1:50" x14ac:dyDescent="0.25">
      <c r="A398" s="30">
        <v>4.3014028750270803E-4</v>
      </c>
      <c r="AH398" s="27" t="s">
        <v>7</v>
      </c>
      <c r="AI398" s="27" t="s">
        <v>8</v>
      </c>
      <c r="AN398" s="27" t="s">
        <v>7</v>
      </c>
      <c r="AO398" s="27" t="s">
        <v>8</v>
      </c>
    </row>
    <row r="399" spans="1:50" x14ac:dyDescent="0.25">
      <c r="A399" s="30">
        <v>4.0863327312757263E-4</v>
      </c>
      <c r="AH399" s="27" t="s">
        <v>7</v>
      </c>
      <c r="AI399" s="27" t="s">
        <v>8</v>
      </c>
      <c r="AN399" s="27" t="s">
        <v>7</v>
      </c>
    </row>
    <row r="400" spans="1:50" x14ac:dyDescent="0.25">
      <c r="A400" s="30">
        <v>3.8820160947119396E-4</v>
      </c>
      <c r="AH400" s="27" t="s">
        <v>7</v>
      </c>
      <c r="AI400" s="27" t="s">
        <v>8</v>
      </c>
    </row>
    <row r="401" spans="1:35" x14ac:dyDescent="0.25">
      <c r="A401" s="30">
        <v>3.6879152899763426E-4</v>
      </c>
      <c r="AH401" s="27" t="s">
        <v>7</v>
      </c>
      <c r="AI401" s="27" t="s">
        <v>8</v>
      </c>
    </row>
    <row r="402" spans="1:35" x14ac:dyDescent="0.25">
      <c r="A402" s="30">
        <v>3.5035195254775253E-4</v>
      </c>
      <c r="AH402" s="27" t="s">
        <v>7</v>
      </c>
    </row>
    <row r="403" spans="1:35" x14ac:dyDescent="0.25">
      <c r="A403" s="30">
        <v>3.3283435492036491E-4</v>
      </c>
    </row>
    <row r="404" spans="1:35" x14ac:dyDescent="0.25">
      <c r="A404" s="30">
        <v>3.1619263717434668E-4</v>
      </c>
    </row>
    <row r="405" spans="1:35" x14ac:dyDescent="0.25">
      <c r="A405" s="30">
        <v>3.0038300531562933E-4</v>
      </c>
    </row>
    <row r="406" spans="1:35" x14ac:dyDescent="0.25">
      <c r="A406" s="30">
        <v>2.8536385504984783E-4</v>
      </c>
    </row>
    <row r="407" spans="1:35" x14ac:dyDescent="0.25">
      <c r="A407" s="30">
        <v>2.7109566229735542E-4</v>
      </c>
    </row>
    <row r="408" spans="1:35" x14ac:dyDescent="0.25">
      <c r="A408" s="30">
        <v>2.5754087918248761E-4</v>
      </c>
    </row>
    <row r="409" spans="1:35" x14ac:dyDescent="0.25">
      <c r="A409" s="30">
        <v>2.4466383522336323E-4</v>
      </c>
    </row>
    <row r="410" spans="1:35" x14ac:dyDescent="0.25">
      <c r="A410" s="30">
        <v>2.3243064346219506E-4</v>
      </c>
    </row>
    <row r="411" spans="1:35" x14ac:dyDescent="0.25">
      <c r="A411" s="30">
        <v>2.2080911128908529E-4</v>
      </c>
    </row>
    <row r="412" spans="1:35" x14ac:dyDescent="0.25">
      <c r="A412" s="30">
        <v>2.0976865572463102E-4</v>
      </c>
    </row>
    <row r="413" spans="1:35" x14ac:dyDescent="0.25">
      <c r="A413" s="30">
        <v>1.9928022293839946E-4</v>
      </c>
    </row>
    <row r="414" spans="1:35" x14ac:dyDescent="0.25">
      <c r="A414" s="30">
        <v>1.8931621179147948E-4</v>
      </c>
    </row>
    <row r="415" spans="1:35" x14ac:dyDescent="0.25">
      <c r="A415" s="30">
        <v>1.798504012019055E-4</v>
      </c>
    </row>
    <row r="416" spans="1:35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5" operator="equal">
      <formula>$U$1</formula>
    </cfRule>
    <cfRule type="cellIs" dxfId="67" priority="1306" operator="equal">
      <formula>$S$1</formula>
    </cfRule>
  </conditionalFormatting>
  <conditionalFormatting sqref="D136">
    <cfRule type="cellIs" dxfId="66" priority="1303" operator="equal">
      <formula>$S$1</formula>
    </cfRule>
    <cfRule type="cellIs" dxfId="65" priority="1304" operator="equal">
      <formula>$U$1</formula>
    </cfRule>
  </conditionalFormatting>
  <conditionalFormatting sqref="C162">
    <cfRule type="cellIs" dxfId="64" priority="1301" operator="equal">
      <formula>$U$1</formula>
    </cfRule>
    <cfRule type="cellIs" dxfId="63" priority="1302" operator="equal">
      <formula>$S$1</formula>
    </cfRule>
  </conditionalFormatting>
  <conditionalFormatting sqref="D162">
    <cfRule type="cellIs" dxfId="62" priority="1299" operator="equal">
      <formula>$S$1</formula>
    </cfRule>
    <cfRule type="cellIs" dxfId="61" priority="1300" operator="equal">
      <formula>$U$1</formula>
    </cfRule>
  </conditionalFormatting>
  <conditionalFormatting sqref="C187">
    <cfRule type="cellIs" dxfId="60" priority="1297" operator="equal">
      <formula>$U$1</formula>
    </cfRule>
    <cfRule type="cellIs" dxfId="59" priority="1298" operator="equal">
      <formula>$S$1</formula>
    </cfRule>
  </conditionalFormatting>
  <conditionalFormatting sqref="D187">
    <cfRule type="cellIs" dxfId="58" priority="1295" operator="equal">
      <formula>$S$1</formula>
    </cfRule>
    <cfRule type="cellIs" dxfId="57" priority="1296" operator="equal">
      <formula>$U$1</formula>
    </cfRule>
  </conditionalFormatting>
  <conditionalFormatting sqref="C212">
    <cfRule type="cellIs" dxfId="56" priority="1293" operator="equal">
      <formula>$U$1</formula>
    </cfRule>
    <cfRule type="cellIs" dxfId="55" priority="1294" operator="equal">
      <formula>$S$1</formula>
    </cfRule>
  </conditionalFormatting>
  <conditionalFormatting sqref="D212">
    <cfRule type="cellIs" dxfId="54" priority="1291" operator="equal">
      <formula>$S$1</formula>
    </cfRule>
    <cfRule type="cellIs" dxfId="53" priority="1292" operator="equal">
      <formula>$U$1</formula>
    </cfRule>
  </conditionalFormatting>
  <conditionalFormatting sqref="C237">
    <cfRule type="cellIs" dxfId="52" priority="1289" operator="equal">
      <formula>$U$1</formula>
    </cfRule>
    <cfRule type="cellIs" dxfId="51" priority="1290" operator="equal">
      <formula>$S$1</formula>
    </cfRule>
  </conditionalFormatting>
  <conditionalFormatting sqref="D237">
    <cfRule type="cellIs" dxfId="50" priority="1287" operator="equal">
      <formula>$S$1</formula>
    </cfRule>
    <cfRule type="cellIs" dxfId="49" priority="1288" operator="equal">
      <formula>$U$1</formula>
    </cfRule>
  </conditionalFormatting>
  <conditionalFormatting sqref="C106">
    <cfRule type="cellIs" dxfId="48" priority="1285" operator="equal">
      <formula>$U$1</formula>
    </cfRule>
    <cfRule type="cellIs" dxfId="47" priority="1286" operator="equal">
      <formula>$S$1</formula>
    </cfRule>
  </conditionalFormatting>
  <conditionalFormatting sqref="D106">
    <cfRule type="cellIs" dxfId="46" priority="1283" operator="equal">
      <formula>$S$1</formula>
    </cfRule>
    <cfRule type="cellIs" dxfId="45" priority="1284" operator="equal">
      <formula>$U$1</formula>
    </cfRule>
  </conditionalFormatting>
  <conditionalFormatting sqref="C81">
    <cfRule type="cellIs" dxfId="44" priority="1281" operator="equal">
      <formula>$U$1</formula>
    </cfRule>
    <cfRule type="cellIs" dxfId="43" priority="1282" operator="equal">
      <formula>$S$1</formula>
    </cfRule>
  </conditionalFormatting>
  <conditionalFormatting sqref="D81">
    <cfRule type="cellIs" dxfId="42" priority="1279" operator="equal">
      <formula>$S$1</formula>
    </cfRule>
    <cfRule type="cellIs" dxfId="41" priority="1280" operator="equal">
      <formula>$U$1</formula>
    </cfRule>
  </conditionalFormatting>
  <conditionalFormatting sqref="C56">
    <cfRule type="cellIs" dxfId="40" priority="1277" operator="equal">
      <formula>$U$1</formula>
    </cfRule>
    <cfRule type="cellIs" dxfId="39" priority="1278" operator="equal">
      <formula>$S$1</formula>
    </cfRule>
  </conditionalFormatting>
  <conditionalFormatting sqref="D56">
    <cfRule type="cellIs" dxfId="38" priority="1275" operator="equal">
      <formula>$S$1</formula>
    </cfRule>
    <cfRule type="cellIs" dxfId="37" priority="1276" operator="equal">
      <formula>$U$1</formula>
    </cfRule>
  </conditionalFormatting>
  <conditionalFormatting sqref="C31">
    <cfRule type="cellIs" dxfId="36" priority="1273" operator="equal">
      <formula>$U$1</formula>
    </cfRule>
    <cfRule type="cellIs" dxfId="35" priority="1274" operator="equal">
      <formula>$S$1</formula>
    </cfRule>
  </conditionalFormatting>
  <conditionalFormatting sqref="D31">
    <cfRule type="cellIs" dxfId="34" priority="1271" operator="equal">
      <formula>$S$1</formula>
    </cfRule>
    <cfRule type="cellIs" dxfId="33" priority="12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52" zoomScale="90" zoomScaleNormal="90" workbookViewId="0">
      <pane xSplit="4" topLeftCell="AD1" activePane="topRight" state="frozen"/>
      <selection activeCell="A109" sqref="A109"/>
      <selection pane="topRight" activeCell="CH177" sqref="CH17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$A$176</v>
      </c>
      <c r="D111" s="1" t="str">
        <f>ADDRESS(C121-1,D121,1,1)</f>
        <v>$CH$176</v>
      </c>
      <c r="E111"/>
    </row>
    <row r="112" spans="1:5" x14ac:dyDescent="0.25">
      <c r="A112" s="30">
        <v>2.3579476910000019</v>
      </c>
      <c r="C112" s="1" t="str">
        <f>ADDRESS(C121,1,1,1)</f>
        <v>$A$177</v>
      </c>
      <c r="D112" s="1" t="str">
        <f>ADDRESS(C121,D121-1,1,1)</f>
        <v>$CG$177</v>
      </c>
      <c r="E112"/>
    </row>
    <row r="113" spans="1:6" x14ac:dyDescent="0.25">
      <c r="A113" s="30">
        <v>2.1435888100000016</v>
      </c>
      <c r="C113" s="1" t="str">
        <f>ADDRESS(C121+1,1,1,1)</f>
        <v>$A$178</v>
      </c>
      <c r="D113" s="1" t="str">
        <f>ADDRESS(C121-1,D121+1,1,1)</f>
        <v>$CI$176</v>
      </c>
    </row>
    <row r="114" spans="1:6" x14ac:dyDescent="0.25">
      <c r="A114" s="30">
        <v>1.9487171000000014</v>
      </c>
      <c r="C114" s="1" t="str">
        <f>ADDRESS(C121,D121,1,1)</f>
        <v>$CH$177</v>
      </c>
      <c r="D114" s="1" t="str">
        <f>ADDRESS(C121+1,D121+1,1,1)</f>
        <v>$CI$178</v>
      </c>
    </row>
    <row r="115" spans="1:6" x14ac:dyDescent="0.25">
      <c r="A115" s="30">
        <v>1.7715610000000011</v>
      </c>
      <c r="C115" s="1" t="str">
        <f>ADDRESS(C121+1,D121,1,1)</f>
        <v>$CH$178</v>
      </c>
    </row>
    <row r="116" spans="1:6" x14ac:dyDescent="0.25">
      <c r="A116" s="30">
        <v>1.6105100000000008</v>
      </c>
      <c r="C116" s="1">
        <f>C117-1</f>
        <v>176</v>
      </c>
    </row>
    <row r="117" spans="1:6" x14ac:dyDescent="0.25">
      <c r="A117" s="30">
        <v>1.4641000000000006</v>
      </c>
      <c r="C117" s="1">
        <f>C121</f>
        <v>177</v>
      </c>
      <c r="D117" s="1">
        <f>D121</f>
        <v>86</v>
      </c>
    </row>
    <row r="118" spans="1:6" x14ac:dyDescent="0.25">
      <c r="A118" s="30">
        <v>1.3310000000000004</v>
      </c>
      <c r="C118" s="1">
        <f>C117+1</f>
        <v>178</v>
      </c>
      <c r="D118" s="1">
        <f>D117+1</f>
        <v>87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177</v>
      </c>
      <c r="D121" s="19">
        <v>86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R177</v>
      </c>
      <c r="D123" s="1" t="str">
        <f>"C"&amp;D121</f>
        <v>C86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4.8085001191043222E-3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64" x14ac:dyDescent="0.25">
      <c r="A145" s="30">
        <v>0.10152559799477026</v>
      </c>
      <c r="B145"/>
      <c r="C145"/>
      <c r="D145"/>
      <c r="E145"/>
      <c r="F145" s="27" t="s">
        <v>7</v>
      </c>
    </row>
    <row r="146" spans="1:64" x14ac:dyDescent="0.25">
      <c r="A146" s="30">
        <v>9.2295998177063854E-2</v>
      </c>
      <c r="B146"/>
      <c r="C146"/>
      <c r="D146"/>
      <c r="E146"/>
      <c r="F146" s="27" t="s">
        <v>7</v>
      </c>
    </row>
    <row r="147" spans="1:64" x14ac:dyDescent="0.25">
      <c r="A147" s="30">
        <v>8.3905452888239848E-2</v>
      </c>
      <c r="B147"/>
      <c r="C147"/>
      <c r="D147"/>
      <c r="E147"/>
      <c r="F147" s="27" t="s">
        <v>7</v>
      </c>
    </row>
    <row r="148" spans="1:64" x14ac:dyDescent="0.25">
      <c r="A148" s="30">
        <v>7.6277684443854396E-2</v>
      </c>
      <c r="B148"/>
      <c r="C148"/>
      <c r="D148"/>
      <c r="E148"/>
      <c r="F148" s="27" t="s">
        <v>7</v>
      </c>
    </row>
    <row r="149" spans="1:64" x14ac:dyDescent="0.25">
      <c r="A149" s="30">
        <v>6.9343349494413078E-2</v>
      </c>
      <c r="B149"/>
      <c r="C149"/>
      <c r="D149"/>
      <c r="E149"/>
      <c r="F149" s="27" t="s">
        <v>7</v>
      </c>
    </row>
    <row r="150" spans="1:64" x14ac:dyDescent="0.25">
      <c r="A150" s="30">
        <v>6.3039408631284613E-2</v>
      </c>
      <c r="B150"/>
      <c r="C150"/>
      <c r="D150"/>
      <c r="E150"/>
      <c r="F150" s="27" t="s">
        <v>7</v>
      </c>
    </row>
    <row r="151" spans="1:64" x14ac:dyDescent="0.25">
      <c r="A151" s="30">
        <v>5.7308553301167818E-2</v>
      </c>
      <c r="B151"/>
      <c r="C151"/>
      <c r="D151"/>
      <c r="E151"/>
      <c r="F151" s="27" t="s">
        <v>7</v>
      </c>
    </row>
    <row r="152" spans="1:64" x14ac:dyDescent="0.25">
      <c r="A152" s="30">
        <v>5.2098684819243464E-2</v>
      </c>
      <c r="B152"/>
      <c r="C152"/>
      <c r="D152"/>
      <c r="E152"/>
      <c r="F152" s="27" t="s">
        <v>7</v>
      </c>
    </row>
    <row r="153" spans="1:64" x14ac:dyDescent="0.25">
      <c r="A153" s="30">
        <v>4.7362440744766775E-2</v>
      </c>
      <c r="B153"/>
      <c r="C153"/>
      <c r="D153"/>
      <c r="E153"/>
      <c r="F153" s="27" t="s">
        <v>7</v>
      </c>
    </row>
    <row r="154" spans="1:64" x14ac:dyDescent="0.25">
      <c r="A154" s="30">
        <v>4.3056764313424332E-2</v>
      </c>
      <c r="B154"/>
      <c r="C154"/>
      <c r="D154"/>
      <c r="E154"/>
      <c r="F154" s="27" t="s">
        <v>7</v>
      </c>
    </row>
    <row r="155" spans="1:64" x14ac:dyDescent="0.25">
      <c r="A155" s="30">
        <v>3.9142513012203929E-2</v>
      </c>
      <c r="B155"/>
      <c r="C155"/>
      <c r="D155"/>
      <c r="E155"/>
      <c r="F155" s="27" t="s">
        <v>7</v>
      </c>
    </row>
    <row r="156" spans="1:64" x14ac:dyDescent="0.25">
      <c r="A156" s="30">
        <v>3.55841027383672E-2</v>
      </c>
      <c r="B156"/>
      <c r="C156"/>
      <c r="D156"/>
      <c r="E156"/>
      <c r="F156" s="27" t="s">
        <v>7</v>
      </c>
    </row>
    <row r="157" spans="1:64" x14ac:dyDescent="0.25">
      <c r="A157" s="30">
        <v>3.2349184307606541E-2</v>
      </c>
      <c r="B157"/>
      <c r="C157"/>
      <c r="D157"/>
      <c r="E157"/>
      <c r="F157" s="27" t="s">
        <v>7</v>
      </c>
      <c r="BG157" s="32" t="s">
        <v>8</v>
      </c>
      <c r="BI157" s="32" t="s">
        <v>8</v>
      </c>
    </row>
    <row r="158" spans="1:64" x14ac:dyDescent="0.25">
      <c r="A158" s="30">
        <v>2.9408349370551395E-2</v>
      </c>
      <c r="B158"/>
      <c r="C158"/>
      <c r="D158"/>
      <c r="E158"/>
      <c r="F158" s="27" t="s">
        <v>7</v>
      </c>
      <c r="BG158" s="27" t="s">
        <v>8</v>
      </c>
      <c r="BH158" s="27" t="s">
        <v>7</v>
      </c>
      <c r="BI158" s="27" t="s">
        <v>8</v>
      </c>
      <c r="BJ158" s="31" t="s">
        <v>7</v>
      </c>
    </row>
    <row r="159" spans="1:64" x14ac:dyDescent="0.25">
      <c r="A159" s="30">
        <v>2.6734863064137627E-2</v>
      </c>
      <c r="B159"/>
      <c r="C159"/>
      <c r="D159"/>
      <c r="E159"/>
      <c r="F159" s="27" t="s">
        <v>7</v>
      </c>
      <c r="BC159" s="27" t="s">
        <v>8</v>
      </c>
      <c r="BG159" s="27" t="s">
        <v>8</v>
      </c>
      <c r="BH159" s="27" t="s">
        <v>7</v>
      </c>
      <c r="BI159" s="27" t="s">
        <v>8</v>
      </c>
      <c r="BJ159" s="27" t="s">
        <v>7</v>
      </c>
      <c r="BK159" s="31"/>
    </row>
    <row r="160" spans="1:64" x14ac:dyDescent="0.25">
      <c r="A160" s="30">
        <v>2.4304420967397839E-2</v>
      </c>
      <c r="B160"/>
      <c r="C160"/>
      <c r="D160"/>
      <c r="E160"/>
      <c r="F160" s="27" t="s">
        <v>7</v>
      </c>
      <c r="BC160" s="27" t="s">
        <v>8</v>
      </c>
      <c r="BD160" s="27" t="s">
        <v>7</v>
      </c>
      <c r="BG160" s="27" t="s">
        <v>8</v>
      </c>
      <c r="BH160" s="27" t="s">
        <v>7</v>
      </c>
      <c r="BI160" s="27" t="s">
        <v>8</v>
      </c>
      <c r="BJ160" s="27" t="s">
        <v>7</v>
      </c>
      <c r="BK160" s="27" t="s">
        <v>8</v>
      </c>
      <c r="BL160" s="31"/>
    </row>
    <row r="161" spans="1:86" x14ac:dyDescent="0.25">
      <c r="A161" s="30">
        <v>2.2094928152179852E-2</v>
      </c>
      <c r="B161"/>
      <c r="C161"/>
      <c r="D161"/>
      <c r="E161"/>
      <c r="F161" s="27" t="s">
        <v>7</v>
      </c>
      <c r="BA161" s="27" t="s">
        <v>8</v>
      </c>
      <c r="BC161" s="27" t="s">
        <v>8</v>
      </c>
      <c r="BD161" s="27" t="s">
        <v>7</v>
      </c>
      <c r="BG161" s="27" t="s">
        <v>8</v>
      </c>
      <c r="BH161" s="27" t="s">
        <v>7</v>
      </c>
      <c r="BI161" s="27" t="s">
        <v>8</v>
      </c>
      <c r="BJ161" s="27" t="s">
        <v>7</v>
      </c>
      <c r="BK161" s="27" t="s">
        <v>8</v>
      </c>
      <c r="BL161" s="27" t="s">
        <v>7</v>
      </c>
      <c r="BM161" s="31"/>
    </row>
    <row r="162" spans="1:86" x14ac:dyDescent="0.25">
      <c r="A162" s="30">
        <v>2.0086298320163499E-2</v>
      </c>
      <c r="B162"/>
      <c r="C162"/>
      <c r="D162"/>
      <c r="E162"/>
      <c r="F162" s="27" t="s">
        <v>7</v>
      </c>
      <c r="BA162" s="27" t="s">
        <v>8</v>
      </c>
      <c r="BB162" s="27" t="s">
        <v>7</v>
      </c>
      <c r="BC162" s="27" t="s">
        <v>8</v>
      </c>
      <c r="BD162" s="27" t="s">
        <v>7</v>
      </c>
      <c r="BG162" s="27" t="s">
        <v>8</v>
      </c>
      <c r="BH162" s="27" t="s">
        <v>7</v>
      </c>
      <c r="BJ162" s="27" t="s">
        <v>7</v>
      </c>
      <c r="BK162" s="27" t="s">
        <v>8</v>
      </c>
      <c r="BL162" s="27" t="s">
        <v>7</v>
      </c>
      <c r="BN162" s="31"/>
    </row>
    <row r="163" spans="1:86" x14ac:dyDescent="0.25">
      <c r="A163" s="30">
        <v>1.8260271200148632E-2</v>
      </c>
      <c r="B163"/>
      <c r="C163"/>
      <c r="D163"/>
      <c r="E163"/>
      <c r="F163" s="27" t="s">
        <v>7</v>
      </c>
      <c r="AY163" s="27" t="s">
        <v>8</v>
      </c>
      <c r="BA163" s="27" t="s">
        <v>8</v>
      </c>
      <c r="BB163" s="27" t="s">
        <v>7</v>
      </c>
      <c r="BC163" s="27" t="s">
        <v>8</v>
      </c>
      <c r="BD163" s="27" t="s">
        <v>7</v>
      </c>
      <c r="BG163" s="27" t="s">
        <v>8</v>
      </c>
      <c r="BJ163" s="34" t="s">
        <v>7</v>
      </c>
      <c r="BK163" s="27" t="s">
        <v>8</v>
      </c>
      <c r="BL163" s="27" t="s">
        <v>7</v>
      </c>
      <c r="BO163" s="31"/>
      <c r="BQ163" s="27" t="s">
        <v>8</v>
      </c>
      <c r="CA163" s="27" t="s">
        <v>8</v>
      </c>
    </row>
    <row r="164" spans="1:86" x14ac:dyDescent="0.25">
      <c r="A164" s="30">
        <v>1.6600246545589663E-2</v>
      </c>
      <c r="B164"/>
      <c r="C164"/>
      <c r="D164"/>
      <c r="E164"/>
      <c r="F164" s="27" t="s">
        <v>7</v>
      </c>
      <c r="AY164" s="27" t="s">
        <v>8</v>
      </c>
      <c r="AZ164" s="27" t="s">
        <v>7</v>
      </c>
      <c r="BA164" s="27" t="s">
        <v>8</v>
      </c>
      <c r="BB164" s="27" t="s">
        <v>7</v>
      </c>
      <c r="BC164" s="27" t="s">
        <v>8</v>
      </c>
      <c r="BD164" s="27" t="s">
        <v>7</v>
      </c>
      <c r="BG164" s="33" t="s">
        <v>8</v>
      </c>
      <c r="BJ164" s="27" t="s">
        <v>7</v>
      </c>
      <c r="BK164" s="27" t="s">
        <v>8</v>
      </c>
      <c r="BL164" s="27" t="s">
        <v>7</v>
      </c>
      <c r="BM164" s="27" t="s">
        <v>8</v>
      </c>
      <c r="BP164" s="31"/>
      <c r="BQ164" s="27" t="s">
        <v>8</v>
      </c>
      <c r="BR164" s="31" t="s">
        <v>7</v>
      </c>
      <c r="CA164" s="27" t="s">
        <v>8</v>
      </c>
      <c r="CB164" s="27" t="s">
        <v>7</v>
      </c>
    </row>
    <row r="165" spans="1:86" x14ac:dyDescent="0.25">
      <c r="A165" s="30">
        <v>1.5091133223263328E-2</v>
      </c>
      <c r="B165"/>
      <c r="C165"/>
      <c r="D165"/>
      <c r="E165"/>
      <c r="F165" s="27" t="s">
        <v>7</v>
      </c>
      <c r="AY165" s="27" t="s">
        <v>8</v>
      </c>
      <c r="AZ165" s="27" t="s">
        <v>7</v>
      </c>
      <c r="BA165" s="27" t="s">
        <v>8</v>
      </c>
      <c r="BB165" s="27" t="s">
        <v>7</v>
      </c>
      <c r="BD165" s="27" t="s">
        <v>7</v>
      </c>
      <c r="BE165" s="27" t="s">
        <v>8</v>
      </c>
      <c r="BG165" s="27" t="s">
        <v>8</v>
      </c>
      <c r="BJ165" s="27" t="s">
        <v>7</v>
      </c>
      <c r="BK165" s="27" t="s">
        <v>8</v>
      </c>
      <c r="BL165" s="27" t="s">
        <v>7</v>
      </c>
      <c r="BM165" s="27" t="s">
        <v>8</v>
      </c>
      <c r="BN165" s="27" t="s">
        <v>7</v>
      </c>
      <c r="BQ165" s="33" t="s">
        <v>8</v>
      </c>
      <c r="BR165" s="27" t="s">
        <v>7</v>
      </c>
      <c r="BS165" s="31"/>
      <c r="BW165" s="27" t="s">
        <v>8</v>
      </c>
      <c r="CA165" s="27" t="s">
        <v>8</v>
      </c>
      <c r="CB165" s="27" t="s">
        <v>7</v>
      </c>
      <c r="CC165" s="27" t="s">
        <v>8</v>
      </c>
      <c r="CE165" s="27" t="s">
        <v>8</v>
      </c>
    </row>
    <row r="166" spans="1:86" x14ac:dyDescent="0.25">
      <c r="A166" s="30">
        <v>1.3719212021148477E-2</v>
      </c>
      <c r="B166"/>
      <c r="C166"/>
      <c r="D166"/>
      <c r="E166"/>
      <c r="F166" s="27" t="s">
        <v>7</v>
      </c>
      <c r="AW166" s="27" t="s">
        <v>8</v>
      </c>
      <c r="AY166" s="27" t="s">
        <v>8</v>
      </c>
      <c r="AZ166" s="27" t="s">
        <v>7</v>
      </c>
      <c r="BD166" s="34" t="s">
        <v>7</v>
      </c>
      <c r="BE166" s="27" t="s">
        <v>8</v>
      </c>
      <c r="BF166" s="27" t="s">
        <v>7</v>
      </c>
      <c r="BG166" s="27" t="s">
        <v>8</v>
      </c>
      <c r="BJ166" s="27" t="s">
        <v>7</v>
      </c>
      <c r="BK166" s="27" t="s">
        <v>8</v>
      </c>
      <c r="BL166" s="27" t="s">
        <v>7</v>
      </c>
      <c r="BM166" s="27" t="s">
        <v>8</v>
      </c>
      <c r="BN166" s="27" t="s">
        <v>7</v>
      </c>
      <c r="BO166" s="27" t="s">
        <v>8</v>
      </c>
      <c r="BQ166" s="27" t="s">
        <v>8</v>
      </c>
      <c r="BR166" s="27" t="s">
        <v>7</v>
      </c>
      <c r="BT166" s="31"/>
      <c r="BW166" s="27" t="s">
        <v>8</v>
      </c>
      <c r="BX166" s="27" t="s">
        <v>7</v>
      </c>
      <c r="CA166" s="27" t="s">
        <v>8</v>
      </c>
      <c r="CB166" s="27" t="s">
        <v>7</v>
      </c>
      <c r="CC166" s="27" t="s">
        <v>8</v>
      </c>
      <c r="CD166" s="27" t="s">
        <v>7</v>
      </c>
      <c r="CE166" s="27" t="s">
        <v>8</v>
      </c>
      <c r="CF166" s="27" t="s">
        <v>7</v>
      </c>
    </row>
    <row r="167" spans="1:86" x14ac:dyDescent="0.25">
      <c r="A167" s="30">
        <v>1.2472010928316795E-2</v>
      </c>
      <c r="B167"/>
      <c r="C167"/>
      <c r="D167"/>
      <c r="E167"/>
      <c r="F167" s="27" t="s">
        <v>7</v>
      </c>
      <c r="AW167" s="27" t="s">
        <v>8</v>
      </c>
      <c r="AX167" s="27" t="s">
        <v>7</v>
      </c>
      <c r="AY167" s="27" t="s">
        <v>8</v>
      </c>
      <c r="BD167" s="27" t="s">
        <v>7</v>
      </c>
      <c r="BE167" s="27" t="s">
        <v>8</v>
      </c>
      <c r="BF167" s="27" t="s">
        <v>7</v>
      </c>
      <c r="BG167" s="27" t="s">
        <v>8</v>
      </c>
      <c r="BJ167" s="27" t="s">
        <v>7</v>
      </c>
      <c r="BK167" s="27" t="s">
        <v>8</v>
      </c>
      <c r="BL167" s="27" t="s">
        <v>7</v>
      </c>
      <c r="BM167" s="27" t="s">
        <v>8</v>
      </c>
      <c r="BN167" s="27" t="s">
        <v>7</v>
      </c>
      <c r="BO167" s="27" t="s">
        <v>8</v>
      </c>
      <c r="BP167" s="27" t="s">
        <v>7</v>
      </c>
      <c r="BQ167" s="27" t="s">
        <v>8</v>
      </c>
      <c r="BR167" s="27" t="s">
        <v>7</v>
      </c>
      <c r="BU167" s="31"/>
      <c r="BW167" s="27" t="s">
        <v>8</v>
      </c>
      <c r="BX167" s="27" t="s">
        <v>7</v>
      </c>
      <c r="BY167" s="27" t="s">
        <v>8</v>
      </c>
      <c r="CA167" s="27" t="s">
        <v>8</v>
      </c>
      <c r="CB167" s="27" t="s">
        <v>7</v>
      </c>
      <c r="CC167" s="27" t="s">
        <v>8</v>
      </c>
      <c r="CD167" s="27" t="s">
        <v>7</v>
      </c>
      <c r="CE167" s="27" t="s">
        <v>8</v>
      </c>
      <c r="CF167" s="27" t="s">
        <v>7</v>
      </c>
    </row>
    <row r="168" spans="1:86" x14ac:dyDescent="0.25">
      <c r="A168" s="30">
        <v>1.1338191753015267E-2</v>
      </c>
      <c r="B168"/>
      <c r="C168"/>
      <c r="D168"/>
      <c r="E168"/>
      <c r="F168" s="27" t="s">
        <v>7</v>
      </c>
      <c r="AW168" s="27" t="s">
        <v>8</v>
      </c>
      <c r="AX168" s="27" t="s">
        <v>7</v>
      </c>
      <c r="AY168" s="27" t="s">
        <v>8</v>
      </c>
      <c r="BD168" s="27" t="s">
        <v>7</v>
      </c>
      <c r="BE168" s="27" t="s">
        <v>8</v>
      </c>
      <c r="BF168" s="27" t="s">
        <v>7</v>
      </c>
      <c r="BJ168" s="31" t="s">
        <v>7</v>
      </c>
      <c r="BK168" s="27" t="s">
        <v>8</v>
      </c>
      <c r="BL168" s="27" t="s">
        <v>7</v>
      </c>
      <c r="BM168" s="27" t="s">
        <v>8</v>
      </c>
      <c r="BN168" s="27" t="s">
        <v>7</v>
      </c>
      <c r="BO168" s="27" t="s">
        <v>8</v>
      </c>
      <c r="BP168" s="27" t="s">
        <v>7</v>
      </c>
      <c r="BQ168" s="27" t="s">
        <v>8</v>
      </c>
      <c r="BR168" s="27" t="s">
        <v>7</v>
      </c>
      <c r="BS168" s="27" t="s">
        <v>8</v>
      </c>
      <c r="BV168" s="31"/>
      <c r="BW168" s="27" t="s">
        <v>8</v>
      </c>
      <c r="BX168" s="27" t="s">
        <v>7</v>
      </c>
      <c r="BY168" s="27" t="s">
        <v>8</v>
      </c>
      <c r="BZ168" s="27" t="s">
        <v>7</v>
      </c>
      <c r="CA168" s="27" t="s">
        <v>8</v>
      </c>
      <c r="CB168" s="27" t="s">
        <v>7</v>
      </c>
      <c r="CD168" s="27" t="s">
        <v>7</v>
      </c>
      <c r="CF168" s="27" t="s">
        <v>7</v>
      </c>
      <c r="CG168" s="27" t="s">
        <v>8</v>
      </c>
    </row>
    <row r="169" spans="1:86" x14ac:dyDescent="0.25">
      <c r="A169" s="30">
        <v>1.0307447048195697E-2</v>
      </c>
      <c r="B169"/>
      <c r="C169"/>
      <c r="D169"/>
      <c r="E169"/>
      <c r="F169" s="27" t="s">
        <v>7</v>
      </c>
      <c r="AW169" s="27" t="s">
        <v>8</v>
      </c>
      <c r="AX169" s="27" t="s">
        <v>7</v>
      </c>
      <c r="AY169" s="27" t="s">
        <v>8</v>
      </c>
      <c r="BD169" s="27" t="s">
        <v>7</v>
      </c>
      <c r="BE169" s="27" t="s">
        <v>8</v>
      </c>
      <c r="BI169" s="31"/>
      <c r="BJ169" s="32" t="s">
        <v>7</v>
      </c>
      <c r="BL169" s="32" t="s">
        <v>7</v>
      </c>
      <c r="BN169" s="27" t="s">
        <v>7</v>
      </c>
      <c r="BO169" s="27" t="s">
        <v>8</v>
      </c>
      <c r="BP169" s="27" t="s">
        <v>7</v>
      </c>
      <c r="BQ169" s="27" t="s">
        <v>8</v>
      </c>
      <c r="BR169" s="27" t="s">
        <v>7</v>
      </c>
      <c r="BS169" s="27" t="s">
        <v>8</v>
      </c>
      <c r="BT169" s="27" t="s">
        <v>7</v>
      </c>
      <c r="BW169" s="33" t="s">
        <v>8</v>
      </c>
      <c r="BX169" s="27" t="s">
        <v>7</v>
      </c>
      <c r="BY169" s="27" t="s">
        <v>8</v>
      </c>
      <c r="BZ169" s="27" t="s">
        <v>7</v>
      </c>
      <c r="CA169" s="27" t="s">
        <v>8</v>
      </c>
      <c r="CF169" s="27" t="s">
        <v>7</v>
      </c>
      <c r="CG169" s="27" t="s">
        <v>8</v>
      </c>
      <c r="CH169" s="27" t="s">
        <v>7</v>
      </c>
    </row>
    <row r="170" spans="1:86" x14ac:dyDescent="0.25">
      <c r="A170" s="30">
        <v>9.3704064074506318E-3</v>
      </c>
      <c r="B170"/>
      <c r="C170"/>
      <c r="D170"/>
      <c r="E170"/>
      <c r="F170" s="27" t="s">
        <v>7</v>
      </c>
      <c r="AW170" s="27" t="s">
        <v>8</v>
      </c>
      <c r="AX170" s="27" t="s">
        <v>7</v>
      </c>
      <c r="BD170" s="27" t="s">
        <v>7</v>
      </c>
      <c r="BH170" s="31"/>
      <c r="BN170" s="27" t="s">
        <v>7</v>
      </c>
      <c r="BO170" s="27" t="s">
        <v>8</v>
      </c>
      <c r="BP170" s="27" t="s">
        <v>7</v>
      </c>
      <c r="BQ170" s="27" t="s">
        <v>8</v>
      </c>
      <c r="BR170" s="27" t="s">
        <v>7</v>
      </c>
      <c r="BS170" s="27" t="s">
        <v>8</v>
      </c>
      <c r="BT170" s="27" t="s">
        <v>7</v>
      </c>
      <c r="BU170" s="27" t="s">
        <v>8</v>
      </c>
      <c r="BW170" s="27" t="s">
        <v>8</v>
      </c>
      <c r="BX170" s="27" t="s">
        <v>7</v>
      </c>
      <c r="BZ170" s="27" t="s">
        <v>7</v>
      </c>
      <c r="CF170" s="27" t="s">
        <v>7</v>
      </c>
      <c r="CG170" s="27" t="s">
        <v>8</v>
      </c>
      <c r="CH170" s="27" t="s">
        <v>7</v>
      </c>
    </row>
    <row r="171" spans="1:86" x14ac:dyDescent="0.25">
      <c r="A171" s="30">
        <v>8.5185512795005747E-3</v>
      </c>
      <c r="F171" s="27" t="s">
        <v>7</v>
      </c>
      <c r="AU171" s="27" t="s">
        <v>8</v>
      </c>
      <c r="AW171" s="27" t="s">
        <v>8</v>
      </c>
      <c r="BG171" s="31"/>
      <c r="BN171" s="27" t="s">
        <v>7</v>
      </c>
      <c r="BO171" s="27" t="s">
        <v>8</v>
      </c>
      <c r="BP171" s="27" t="s">
        <v>7</v>
      </c>
      <c r="BQ171" s="27" t="s">
        <v>8</v>
      </c>
      <c r="BR171" s="27" t="s">
        <v>7</v>
      </c>
      <c r="BS171" s="27" t="s">
        <v>8</v>
      </c>
      <c r="BT171" s="27" t="s">
        <v>7</v>
      </c>
      <c r="BU171" s="27" t="s">
        <v>8</v>
      </c>
      <c r="BV171" s="27" t="s">
        <v>7</v>
      </c>
      <c r="BW171" s="27" t="s">
        <v>8</v>
      </c>
      <c r="CF171" s="27" t="s">
        <v>7</v>
      </c>
      <c r="CH171" s="27" t="s">
        <v>7</v>
      </c>
    </row>
    <row r="172" spans="1:86" x14ac:dyDescent="0.25">
      <c r="A172" s="30">
        <v>7.744137526818704E-3</v>
      </c>
      <c r="F172" s="27" t="s">
        <v>7</v>
      </c>
      <c r="AU172" s="27" t="s">
        <v>8</v>
      </c>
      <c r="AV172" s="27" t="s">
        <v>7</v>
      </c>
      <c r="AW172" s="27" t="s">
        <v>8</v>
      </c>
      <c r="BF172" s="31"/>
      <c r="BN172" s="27" t="s">
        <v>7</v>
      </c>
      <c r="BO172" s="27" t="s">
        <v>8</v>
      </c>
      <c r="BP172" s="32" t="s">
        <v>7</v>
      </c>
      <c r="BR172" s="32" t="s">
        <v>7</v>
      </c>
      <c r="BT172" s="27" t="s">
        <v>7</v>
      </c>
      <c r="BU172" s="27" t="s">
        <v>8</v>
      </c>
      <c r="BV172" s="27" t="s">
        <v>7</v>
      </c>
      <c r="BW172" s="27" t="s">
        <v>8</v>
      </c>
      <c r="CH172" s="27" t="s">
        <v>7</v>
      </c>
    </row>
    <row r="173" spans="1:86" x14ac:dyDescent="0.25">
      <c r="A173" s="30">
        <v>7.0401250243806394E-3</v>
      </c>
      <c r="F173" s="27" t="s">
        <v>7</v>
      </c>
      <c r="AU173" s="27" t="s">
        <v>8</v>
      </c>
      <c r="AV173" s="27" t="s">
        <v>7</v>
      </c>
      <c r="AW173" s="27" t="s">
        <v>8</v>
      </c>
      <c r="BE173" s="31"/>
      <c r="BN173" s="27" t="s">
        <v>7</v>
      </c>
      <c r="BT173" s="34" t="s">
        <v>7</v>
      </c>
      <c r="BU173" s="27" t="s">
        <v>8</v>
      </c>
      <c r="BV173" s="18" t="s">
        <v>7</v>
      </c>
      <c r="BW173" s="27" t="s">
        <v>8</v>
      </c>
      <c r="BX173" s="31"/>
      <c r="CH173" s="27" t="s">
        <v>7</v>
      </c>
    </row>
    <row r="174" spans="1:86" x14ac:dyDescent="0.25">
      <c r="A174" s="30">
        <v>6.4001136585278536E-3</v>
      </c>
      <c r="F174" s="27" t="s">
        <v>7</v>
      </c>
      <c r="AU174" s="27" t="s">
        <v>8</v>
      </c>
      <c r="AV174" s="27" t="s">
        <v>7</v>
      </c>
      <c r="BD174" s="31"/>
      <c r="BT174" s="27" t="s">
        <v>7</v>
      </c>
      <c r="BU174" s="27" t="s">
        <v>8</v>
      </c>
      <c r="BV174" s="27" t="s">
        <v>7</v>
      </c>
      <c r="BW174" s="31"/>
      <c r="CH174" s="27" t="s">
        <v>7</v>
      </c>
    </row>
    <row r="175" spans="1:86" x14ac:dyDescent="0.25">
      <c r="A175" s="30">
        <v>5.8182851441162305E-3</v>
      </c>
      <c r="F175" s="27" t="s">
        <v>7</v>
      </c>
      <c r="AU175" s="27" t="s">
        <v>8</v>
      </c>
      <c r="BC175" s="31"/>
      <c r="BT175" s="27" t="s">
        <v>7</v>
      </c>
      <c r="BU175" s="27" t="s">
        <v>8</v>
      </c>
      <c r="BV175" s="31"/>
      <c r="CH175" s="27" t="s">
        <v>7</v>
      </c>
    </row>
    <row r="176" spans="1:86" x14ac:dyDescent="0.25">
      <c r="A176" s="30">
        <v>5.2893501310147546E-3</v>
      </c>
      <c r="F176" s="27" t="s">
        <v>7</v>
      </c>
      <c r="AS176" s="27" t="s">
        <v>8</v>
      </c>
      <c r="AU176" s="27" t="s">
        <v>8</v>
      </c>
      <c r="BB176" s="31"/>
      <c r="BT176" s="27" t="s">
        <v>7</v>
      </c>
      <c r="BU176" s="31" t="s">
        <v>8</v>
      </c>
      <c r="CH176" s="27" t="s">
        <v>7</v>
      </c>
    </row>
    <row r="177" spans="1:86" x14ac:dyDescent="0.25">
      <c r="A177" s="30">
        <v>4.8085001191043222E-3</v>
      </c>
      <c r="F177" s="27" t="s">
        <v>7</v>
      </c>
      <c r="AS177" s="27" t="s">
        <v>8</v>
      </c>
      <c r="AT177" s="27" t="s">
        <v>7</v>
      </c>
      <c r="AU177" s="27" t="s">
        <v>8</v>
      </c>
      <c r="BA177" s="31"/>
      <c r="BT177" s="31" t="s">
        <v>7</v>
      </c>
      <c r="CH177" s="27" t="s">
        <v>7</v>
      </c>
    </row>
    <row r="178" spans="1:86" x14ac:dyDescent="0.25">
      <c r="A178" s="30">
        <v>4.3713637446402926E-3</v>
      </c>
      <c r="F178" s="27" t="s">
        <v>7</v>
      </c>
      <c r="AS178" s="27" t="s">
        <v>8</v>
      </c>
      <c r="AT178" s="27" t="s">
        <v>7</v>
      </c>
      <c r="AU178" s="27" t="s">
        <v>8</v>
      </c>
      <c r="AZ178" s="31"/>
    </row>
    <row r="179" spans="1:86" x14ac:dyDescent="0.25">
      <c r="A179" s="30">
        <v>3.9739670405820838E-3</v>
      </c>
      <c r="F179" s="27" t="s">
        <v>7</v>
      </c>
      <c r="AA179" s="27" t="s">
        <v>8</v>
      </c>
      <c r="AC179" s="27" t="s">
        <v>8</v>
      </c>
      <c r="AS179" s="27" t="s">
        <v>8</v>
      </c>
      <c r="AT179" s="27" t="s">
        <v>7</v>
      </c>
      <c r="AU179" s="27" t="s">
        <v>8</v>
      </c>
      <c r="AY179" s="31"/>
    </row>
    <row r="180" spans="1:86" x14ac:dyDescent="0.25">
      <c r="A180" s="30">
        <v>3.6126973096200759E-3</v>
      </c>
      <c r="F180" s="27" t="s">
        <v>7</v>
      </c>
      <c r="AA180" s="27" t="s">
        <v>8</v>
      </c>
      <c r="AB180" s="27" t="s">
        <v>7</v>
      </c>
      <c r="AC180" s="27" t="s">
        <v>8</v>
      </c>
      <c r="AD180" s="27" t="s">
        <v>7</v>
      </c>
      <c r="AS180" s="27" t="s">
        <v>8</v>
      </c>
      <c r="AT180" s="27" t="s">
        <v>7</v>
      </c>
      <c r="AU180" s="27" t="s">
        <v>8</v>
      </c>
      <c r="AX180" s="31"/>
    </row>
    <row r="181" spans="1:86" x14ac:dyDescent="0.25">
      <c r="A181" s="30">
        <v>3.2842702814727962E-3</v>
      </c>
      <c r="F181" s="27" t="s">
        <v>7</v>
      </c>
      <c r="AA181" s="27" t="s">
        <v>8</v>
      </c>
      <c r="AB181" s="27" t="s">
        <v>7</v>
      </c>
      <c r="AC181" s="27" t="s">
        <v>8</v>
      </c>
      <c r="AD181" s="27" t="s">
        <v>7</v>
      </c>
      <c r="AS181" s="33" t="s">
        <v>8</v>
      </c>
      <c r="AT181" s="27" t="s">
        <v>7</v>
      </c>
      <c r="AW181" s="31"/>
    </row>
    <row r="182" spans="1:86" x14ac:dyDescent="0.25">
      <c r="A182" s="30">
        <v>2.9857002558843601E-3</v>
      </c>
      <c r="F182" s="27" t="s">
        <v>7</v>
      </c>
      <c r="W182" s="27" t="s">
        <v>8</v>
      </c>
      <c r="AA182" s="27" t="s">
        <v>8</v>
      </c>
      <c r="AB182" s="27" t="s">
        <v>7</v>
      </c>
      <c r="AC182" s="27" t="s">
        <v>8</v>
      </c>
      <c r="AD182" s="27" t="s">
        <v>7</v>
      </c>
      <c r="AG182" s="27" t="s">
        <v>8</v>
      </c>
      <c r="AK182" s="27" t="s">
        <v>8</v>
      </c>
      <c r="AO182" s="32" t="s">
        <v>8</v>
      </c>
      <c r="AQ182" s="32" t="s">
        <v>8</v>
      </c>
      <c r="AS182" s="27" t="s">
        <v>8</v>
      </c>
      <c r="AV182" s="31"/>
    </row>
    <row r="183" spans="1:86" x14ac:dyDescent="0.25">
      <c r="A183" s="30">
        <v>2.7142729598948726E-3</v>
      </c>
      <c r="F183" s="27" t="s">
        <v>7</v>
      </c>
      <c r="W183" s="27" t="s">
        <v>8</v>
      </c>
      <c r="X183" s="27" t="s">
        <v>7</v>
      </c>
      <c r="Y183" s="27" t="s">
        <v>8</v>
      </c>
      <c r="AA183" s="27" t="s">
        <v>8</v>
      </c>
      <c r="AB183" s="27" t="s">
        <v>7</v>
      </c>
      <c r="AD183" s="27" t="s">
        <v>7</v>
      </c>
      <c r="AG183" s="27" t="s">
        <v>8</v>
      </c>
      <c r="AH183" s="27" t="s">
        <v>7</v>
      </c>
      <c r="AK183" s="27" t="s">
        <v>8</v>
      </c>
      <c r="AL183" s="27" t="s">
        <v>7</v>
      </c>
      <c r="AM183" s="27" t="s">
        <v>8</v>
      </c>
      <c r="AO183" s="27" t="s">
        <v>8</v>
      </c>
      <c r="AP183" s="27" t="s">
        <v>7</v>
      </c>
      <c r="AQ183" s="27" t="s">
        <v>8</v>
      </c>
      <c r="AR183" s="27" t="s">
        <v>7</v>
      </c>
      <c r="AS183" s="27" t="s">
        <v>8</v>
      </c>
      <c r="AU183" s="31"/>
    </row>
    <row r="184" spans="1:86" x14ac:dyDescent="0.25">
      <c r="A184" s="30">
        <v>2.4675208726317021E-3</v>
      </c>
      <c r="F184" s="27" t="s">
        <v>7</v>
      </c>
      <c r="W184" s="27" t="s">
        <v>8</v>
      </c>
      <c r="X184" s="27" t="s">
        <v>7</v>
      </c>
      <c r="Y184" s="27" t="s">
        <v>8</v>
      </c>
      <c r="Z184" s="27" t="s">
        <v>7</v>
      </c>
      <c r="AA184" s="27" t="s">
        <v>8</v>
      </c>
      <c r="AD184" s="27" t="s">
        <v>7</v>
      </c>
      <c r="AE184" s="27" t="s">
        <v>8</v>
      </c>
      <c r="AG184" s="27" t="s">
        <v>8</v>
      </c>
      <c r="AH184" s="27" t="s">
        <v>7</v>
      </c>
      <c r="AK184" s="33" t="s">
        <v>8</v>
      </c>
      <c r="AL184" s="27" t="s">
        <v>7</v>
      </c>
      <c r="AM184" s="27" t="s">
        <v>8</v>
      </c>
      <c r="AN184" s="27" t="s">
        <v>7</v>
      </c>
      <c r="AO184" s="27" t="s">
        <v>8</v>
      </c>
      <c r="AP184" s="27" t="s">
        <v>7</v>
      </c>
      <c r="AQ184" s="27" t="s">
        <v>8</v>
      </c>
      <c r="AR184" s="27" t="s">
        <v>7</v>
      </c>
      <c r="AS184" s="27" t="s">
        <v>8</v>
      </c>
      <c r="AT184" s="31"/>
    </row>
    <row r="185" spans="1:86" x14ac:dyDescent="0.25">
      <c r="A185" s="30">
        <v>2.2432007933015472E-3</v>
      </c>
      <c r="F185" s="27" t="s">
        <v>7</v>
      </c>
      <c r="W185" s="27" t="s">
        <v>8</v>
      </c>
      <c r="X185" s="27" t="s">
        <v>7</v>
      </c>
      <c r="Y185" s="27" t="s">
        <v>8</v>
      </c>
      <c r="Z185" s="27" t="s">
        <v>7</v>
      </c>
      <c r="AA185" s="27" t="s">
        <v>8</v>
      </c>
      <c r="AD185" s="27" t="s">
        <v>7</v>
      </c>
      <c r="AE185" s="27" t="s">
        <v>8</v>
      </c>
      <c r="AF185" s="27" t="s">
        <v>7</v>
      </c>
      <c r="AG185" s="27" t="s">
        <v>8</v>
      </c>
      <c r="AH185" s="27" t="s">
        <v>7</v>
      </c>
      <c r="AI185" s="27" t="s">
        <v>8</v>
      </c>
      <c r="AK185" s="27" t="s">
        <v>8</v>
      </c>
      <c r="AL185" s="27" t="s">
        <v>7</v>
      </c>
      <c r="AM185" s="27" t="s">
        <v>8</v>
      </c>
      <c r="AN185" s="27" t="s">
        <v>7</v>
      </c>
      <c r="AO185" s="27" t="s">
        <v>8</v>
      </c>
      <c r="AP185" s="27" t="s">
        <v>7</v>
      </c>
      <c r="AR185" s="27" t="s">
        <v>7</v>
      </c>
      <c r="AS185" s="31" t="s">
        <v>8</v>
      </c>
    </row>
    <row r="186" spans="1:86" x14ac:dyDescent="0.25">
      <c r="A186" s="30">
        <v>2.0392734484559519E-3</v>
      </c>
      <c r="F186" s="27" t="s">
        <v>7</v>
      </c>
      <c r="W186" s="27" t="s">
        <v>8</v>
      </c>
      <c r="X186" s="27" t="s">
        <v>7</v>
      </c>
      <c r="Z186" s="27" t="s">
        <v>7</v>
      </c>
      <c r="AA186" s="27" t="s">
        <v>8</v>
      </c>
      <c r="AD186" s="27" t="s">
        <v>7</v>
      </c>
      <c r="AE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  <c r="AJ186" s="27" t="s">
        <v>7</v>
      </c>
      <c r="AK186" s="27" t="s">
        <v>8</v>
      </c>
      <c r="AL186" s="32" t="s">
        <v>7</v>
      </c>
      <c r="AN186" s="32" t="s">
        <v>7</v>
      </c>
      <c r="AR186" s="34" t="s">
        <v>7</v>
      </c>
    </row>
    <row r="187" spans="1:86" x14ac:dyDescent="0.25">
      <c r="A187" s="30">
        <v>1.8538849531417744E-3</v>
      </c>
      <c r="F187" s="27" t="s">
        <v>7</v>
      </c>
      <c r="W187" s="27" t="s">
        <v>8</v>
      </c>
      <c r="Z187" s="27" t="s">
        <v>7</v>
      </c>
      <c r="AD187" s="27" t="s">
        <v>7</v>
      </c>
      <c r="AE187" s="27" t="s">
        <v>8</v>
      </c>
      <c r="AF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  <c r="AK187" s="27" t="s">
        <v>8</v>
      </c>
    </row>
    <row r="188" spans="1:86" x14ac:dyDescent="0.25">
      <c r="A188" s="30">
        <v>1.6853499574016129E-3</v>
      </c>
      <c r="F188" s="27" t="s">
        <v>7</v>
      </c>
      <c r="W188" s="27" t="s">
        <v>8</v>
      </c>
      <c r="AD188" s="27" t="s">
        <v>7</v>
      </c>
      <c r="AF188" s="27" t="s">
        <v>7</v>
      </c>
      <c r="AG188" s="27" t="s">
        <v>8</v>
      </c>
      <c r="AH188" s="32" t="s">
        <v>7</v>
      </c>
      <c r="AJ188" s="32" t="s">
        <v>7</v>
      </c>
    </row>
    <row r="189" spans="1:86" x14ac:dyDescent="0.25">
      <c r="A189" s="30">
        <v>1.5321363249105571E-3</v>
      </c>
      <c r="F189" s="27" t="s">
        <v>7</v>
      </c>
      <c r="W189" s="27" t="s">
        <v>8</v>
      </c>
      <c r="AF189" s="27" t="s">
        <v>7</v>
      </c>
      <c r="AG189" s="27" t="s">
        <v>8</v>
      </c>
    </row>
    <row r="190" spans="1:86" x14ac:dyDescent="0.25">
      <c r="A190" s="30">
        <v>1.3928512044641427E-3</v>
      </c>
      <c r="F190" s="27" t="s">
        <v>7</v>
      </c>
      <c r="I190" s="27" t="s">
        <v>8</v>
      </c>
      <c r="W190" s="27" t="s">
        <v>8</v>
      </c>
      <c r="AF190" s="27" t="s">
        <v>7</v>
      </c>
    </row>
    <row r="191" spans="1:86" x14ac:dyDescent="0.25">
      <c r="A191" s="30">
        <v>1.2662283676946752E-3</v>
      </c>
      <c r="F191" s="27" t="s">
        <v>7</v>
      </c>
      <c r="G191" s="27" t="s">
        <v>8</v>
      </c>
      <c r="I191" s="27" t="s">
        <v>8</v>
      </c>
      <c r="J191" s="27" t="s">
        <v>7</v>
      </c>
      <c r="K191" s="27" t="s">
        <v>8</v>
      </c>
      <c r="M191" s="27" t="s">
        <v>8</v>
      </c>
      <c r="W191" s="27" t="s">
        <v>8</v>
      </c>
    </row>
    <row r="192" spans="1:86" x14ac:dyDescent="0.25">
      <c r="A192" s="30">
        <v>1.15111669790425E-3</v>
      </c>
      <c r="F192" s="27" t="s">
        <v>7</v>
      </c>
      <c r="G192" s="27" t="s">
        <v>8</v>
      </c>
      <c r="H192" s="27" t="s">
        <v>7</v>
      </c>
      <c r="I192" s="27" t="s">
        <v>8</v>
      </c>
      <c r="J192" s="27" t="s">
        <v>7</v>
      </c>
      <c r="K192" s="27" t="s">
        <v>8</v>
      </c>
      <c r="L192" s="27" t="s">
        <v>7</v>
      </c>
      <c r="M192" s="27" t="s">
        <v>8</v>
      </c>
      <c r="N192" s="27" t="s">
        <v>7</v>
      </c>
      <c r="U192" s="27" t="s">
        <v>8</v>
      </c>
      <c r="W192" s="27" t="s">
        <v>8</v>
      </c>
    </row>
    <row r="193" spans="1:23" x14ac:dyDescent="0.25">
      <c r="A193" s="30">
        <v>1.0464697253675E-3</v>
      </c>
      <c r="F193" s="27" t="s">
        <v>7</v>
      </c>
      <c r="G193" s="27" t="s">
        <v>8</v>
      </c>
      <c r="H193" s="27" t="s">
        <v>7</v>
      </c>
      <c r="I193" s="27" t="s">
        <v>8</v>
      </c>
      <c r="J193" s="27" t="s">
        <v>7</v>
      </c>
      <c r="K193" s="27" t="s">
        <v>8</v>
      </c>
      <c r="L193" s="27" t="s">
        <v>7</v>
      </c>
      <c r="M193" s="27" t="s">
        <v>8</v>
      </c>
      <c r="N193" s="27" t="s">
        <v>7</v>
      </c>
      <c r="U193" s="27" t="s">
        <v>8</v>
      </c>
      <c r="V193" s="27" t="s">
        <v>7</v>
      </c>
      <c r="W193" s="27" t="s">
        <v>8</v>
      </c>
    </row>
    <row r="194" spans="1:23" x14ac:dyDescent="0.25">
      <c r="A194" s="30">
        <v>9.5133611397045449E-4</v>
      </c>
      <c r="F194" s="27" t="s">
        <v>7</v>
      </c>
      <c r="H194" s="27" t="s">
        <v>7</v>
      </c>
      <c r="I194" s="27" t="s">
        <v>8</v>
      </c>
      <c r="J194" s="27" t="s">
        <v>7</v>
      </c>
      <c r="K194" s="27" t="s">
        <v>8</v>
      </c>
      <c r="L194" s="27" t="s">
        <v>7</v>
      </c>
      <c r="M194" s="27" t="s">
        <v>8</v>
      </c>
      <c r="N194" s="27" t="s">
        <v>7</v>
      </c>
      <c r="U194" s="27" t="s">
        <v>8</v>
      </c>
      <c r="V194" s="27" t="s">
        <v>7</v>
      </c>
      <c r="W194" s="27" t="s">
        <v>8</v>
      </c>
    </row>
    <row r="195" spans="1:23" x14ac:dyDescent="0.25">
      <c r="A195" s="30">
        <v>8.6485101270041313E-4</v>
      </c>
      <c r="H195" s="27" t="s">
        <v>7</v>
      </c>
      <c r="I195" s="27" t="s">
        <v>8</v>
      </c>
      <c r="J195" s="27" t="s">
        <v>7</v>
      </c>
      <c r="K195" s="27" t="s">
        <v>8</v>
      </c>
      <c r="L195" s="27" t="s">
        <v>7</v>
      </c>
      <c r="N195" s="27" t="s">
        <v>7</v>
      </c>
      <c r="U195" s="27" t="s">
        <v>8</v>
      </c>
      <c r="V195" s="27" t="s">
        <v>7</v>
      </c>
    </row>
    <row r="196" spans="1:23" x14ac:dyDescent="0.25">
      <c r="A196" s="30">
        <v>7.862281933640119E-4</v>
      </c>
      <c r="H196" s="27" t="s">
        <v>7</v>
      </c>
      <c r="J196" s="27" t="s">
        <v>7</v>
      </c>
      <c r="N196" s="27" t="s">
        <v>7</v>
      </c>
      <c r="U196" s="27" t="s">
        <v>8</v>
      </c>
    </row>
    <row r="197" spans="1:23" x14ac:dyDescent="0.25">
      <c r="A197" s="30">
        <v>7.0760537402761068E-4</v>
      </c>
      <c r="N197" s="27" t="s">
        <v>7</v>
      </c>
      <c r="O197" s="27" t="s">
        <v>8</v>
      </c>
      <c r="Q197" s="27" t="s">
        <v>8</v>
      </c>
      <c r="S197" s="27" t="s">
        <v>8</v>
      </c>
      <c r="U197" s="27" t="s">
        <v>8</v>
      </c>
    </row>
    <row r="198" spans="1:23" x14ac:dyDescent="0.25">
      <c r="A198" s="30">
        <v>6.368448366248496E-4</v>
      </c>
      <c r="N198" s="27" t="s">
        <v>7</v>
      </c>
      <c r="O198" s="27" t="s">
        <v>8</v>
      </c>
      <c r="P198" s="27" t="s">
        <v>7</v>
      </c>
      <c r="Q198" s="27" t="s">
        <v>8</v>
      </c>
      <c r="R198" s="27" t="s">
        <v>7</v>
      </c>
      <c r="S198" s="27" t="s">
        <v>8</v>
      </c>
      <c r="T198" s="27" t="s">
        <v>7</v>
      </c>
      <c r="U198" s="27" t="s">
        <v>8</v>
      </c>
    </row>
    <row r="199" spans="1:23" x14ac:dyDescent="0.25">
      <c r="A199" s="30">
        <v>5.7316035296236471E-4</v>
      </c>
      <c r="N199" s="27" t="s">
        <v>7</v>
      </c>
      <c r="O199" s="27" t="s">
        <v>8</v>
      </c>
      <c r="P199" s="27" t="s">
        <v>7</v>
      </c>
      <c r="Q199" s="27" t="s">
        <v>8</v>
      </c>
      <c r="R199" s="27" t="s">
        <v>7</v>
      </c>
      <c r="S199" s="27" t="s">
        <v>8</v>
      </c>
      <c r="T199" s="27" t="s">
        <v>7</v>
      </c>
      <c r="U199" s="27" t="s">
        <v>8</v>
      </c>
    </row>
    <row r="200" spans="1:23" x14ac:dyDescent="0.25">
      <c r="A200" s="30">
        <v>5.1584431766612821E-4</v>
      </c>
      <c r="N200" s="27" t="s">
        <v>7</v>
      </c>
      <c r="O200" s="27" t="s">
        <v>8</v>
      </c>
      <c r="P200" s="27" t="s">
        <v>7</v>
      </c>
      <c r="Q200" s="27" t="s">
        <v>8</v>
      </c>
      <c r="R200" s="27" t="s">
        <v>7</v>
      </c>
      <c r="S200" s="27" t="s">
        <v>8</v>
      </c>
      <c r="T200" s="27" t="s">
        <v>7</v>
      </c>
    </row>
    <row r="201" spans="1:23" x14ac:dyDescent="0.25">
      <c r="A201" s="30">
        <v>4.6425988589951538E-4</v>
      </c>
      <c r="N201" s="27" t="s">
        <v>7</v>
      </c>
      <c r="O201" s="27" t="s">
        <v>8</v>
      </c>
      <c r="P201" s="27" t="s">
        <v>7</v>
      </c>
      <c r="R201" s="27" t="s">
        <v>7</v>
      </c>
      <c r="S201" s="27" t="s">
        <v>8</v>
      </c>
    </row>
    <row r="202" spans="1:23" x14ac:dyDescent="0.25">
      <c r="A202" s="30">
        <v>4.1783389730956383E-4</v>
      </c>
      <c r="N202" s="27" t="s">
        <v>7</v>
      </c>
      <c r="O202" s="27" t="s">
        <v>8</v>
      </c>
      <c r="R202" s="27" t="s">
        <v>7</v>
      </c>
    </row>
    <row r="203" spans="1:23" x14ac:dyDescent="0.25">
      <c r="A203" s="30">
        <v>3.7605050757860746E-4</v>
      </c>
      <c r="N203" s="27" t="s">
        <v>7</v>
      </c>
    </row>
    <row r="204" spans="1:23" x14ac:dyDescent="0.25">
      <c r="A204" s="30">
        <v>3.3844545682074675E-4</v>
      </c>
    </row>
    <row r="205" spans="1:23" x14ac:dyDescent="0.25">
      <c r="A205" s="30">
        <v>3.0460091113867208E-4</v>
      </c>
    </row>
    <row r="206" spans="1:23" x14ac:dyDescent="0.25">
      <c r="A206" s="30">
        <v>2.7414082002480487E-4</v>
      </c>
    </row>
    <row r="207" spans="1:23" x14ac:dyDescent="0.25">
      <c r="A207" s="30">
        <v>2.4672673802232442E-4</v>
      </c>
    </row>
    <row r="208" spans="1:23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89" operator="equal">
      <formula>$U$1</formula>
    </cfRule>
    <cfRule type="cellIs" dxfId="30" priority="1290" operator="equal">
      <formula>$S$1</formula>
    </cfRule>
  </conditionalFormatting>
  <conditionalFormatting sqref="D136">
    <cfRule type="cellIs" dxfId="29" priority="1287" operator="equal">
      <formula>$S$1</formula>
    </cfRule>
    <cfRule type="cellIs" dxfId="28" priority="1288" operator="equal">
      <formula>$U$1</formula>
    </cfRule>
  </conditionalFormatting>
  <conditionalFormatting sqref="C102">
    <cfRule type="cellIs" dxfId="27" priority="1285" operator="equal">
      <formula>$U$1</formula>
    </cfRule>
    <cfRule type="cellIs" dxfId="26" priority="1286" operator="equal">
      <formula>$S$1</formula>
    </cfRule>
  </conditionalFormatting>
  <conditionalFormatting sqref="D102">
    <cfRule type="cellIs" dxfId="25" priority="1283" operator="equal">
      <formula>$S$1</formula>
    </cfRule>
    <cfRule type="cellIs" dxfId="24" priority="1284" operator="equal">
      <formula>$U$1</formula>
    </cfRule>
  </conditionalFormatting>
  <conditionalFormatting sqref="C77">
    <cfRule type="cellIs" dxfId="23" priority="1281" operator="equal">
      <formula>$U$1</formula>
    </cfRule>
    <cfRule type="cellIs" dxfId="22" priority="1282" operator="equal">
      <formula>$S$1</formula>
    </cfRule>
  </conditionalFormatting>
  <conditionalFormatting sqref="D77">
    <cfRule type="cellIs" dxfId="21" priority="1279" operator="equal">
      <formula>$S$1</formula>
    </cfRule>
    <cfRule type="cellIs" dxfId="20" priority="1280" operator="equal">
      <formula>$U$1</formula>
    </cfRule>
  </conditionalFormatting>
  <conditionalFormatting sqref="C52">
    <cfRule type="cellIs" dxfId="19" priority="1277" operator="equal">
      <formula>$U$1</formula>
    </cfRule>
    <cfRule type="cellIs" dxfId="18" priority="1278" operator="equal">
      <formula>$S$1</formula>
    </cfRule>
  </conditionalFormatting>
  <conditionalFormatting sqref="D52">
    <cfRule type="cellIs" dxfId="17" priority="1275" operator="equal">
      <formula>$S$1</formula>
    </cfRule>
    <cfRule type="cellIs" dxfId="16" priority="1276" operator="equal">
      <formula>$U$1</formula>
    </cfRule>
  </conditionalFormatting>
  <conditionalFormatting sqref="C26">
    <cfRule type="cellIs" dxfId="15" priority="1273" operator="equal">
      <formula>$U$1</formula>
    </cfRule>
    <cfRule type="cellIs" dxfId="14" priority="1274" operator="equal">
      <formula>$S$1</formula>
    </cfRule>
  </conditionalFormatting>
  <conditionalFormatting sqref="D26">
    <cfRule type="cellIs" dxfId="13" priority="1271" operator="equal">
      <formula>$S$1</formula>
    </cfRule>
    <cfRule type="cellIs" dxfId="12" priority="12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2022-01-28T01:18:59Z</dcterms:modified>
</cp:coreProperties>
</file>