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3BB629BE-55E6-4FDE-8343-633BB3E06294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89" i="1"/>
  <c r="Q789" i="1" s="1"/>
  <c r="R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89" i="1"/>
  <c r="T789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D136" i="5" s="1"/>
  <c r="C122" i="4"/>
  <c r="C133" i="4" s="1"/>
  <c r="D136" i="4" s="1"/>
  <c r="R788" i="1"/>
  <c r="S788" i="1" s="1"/>
  <c r="T788" i="1" s="1"/>
  <c r="C118" i="4"/>
  <c r="C122" i="3"/>
  <c r="C133" i="3" s="1"/>
  <c r="C136" i="3" s="1"/>
  <c r="C116" i="3"/>
  <c r="C118" i="3"/>
  <c r="R787" i="1" l="1"/>
  <c r="C136" i="5"/>
  <c r="C138" i="5" s="1"/>
  <c r="C136" i="4"/>
  <c r="C138" i="4" s="1"/>
  <c r="D136" i="3"/>
  <c r="C138" i="3" s="1"/>
  <c r="R786" i="1"/>
  <c r="S787" i="1"/>
  <c r="T787" i="1" s="1"/>
  <c r="S786" i="1" l="1"/>
  <c r="T786" i="1" s="1"/>
  <c r="R785" i="1"/>
  <c r="R784" i="1" l="1"/>
  <c r="S785" i="1"/>
  <c r="T785" i="1" s="1"/>
  <c r="R783" i="1" l="1"/>
  <c r="S784" i="1"/>
  <c r="T784" i="1" s="1"/>
  <c r="S783" i="1" l="1"/>
  <c r="T783" i="1" s="1"/>
  <c r="R782" i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S774" i="1" l="1"/>
  <c r="T774" i="1" s="1"/>
  <c r="R773" i="1"/>
  <c r="S773" i="1" l="1"/>
  <c r="T773" i="1" s="1"/>
  <c r="R772" i="1"/>
  <c r="R771" i="1" l="1"/>
  <c r="S772" i="1"/>
  <c r="T772" i="1" s="1"/>
  <c r="R770" i="1" l="1"/>
  <c r="S771" i="1"/>
  <c r="T771" i="1" s="1"/>
  <c r="S770" i="1" l="1"/>
  <c r="T770" i="1" s="1"/>
  <c r="R769" i="1"/>
  <c r="S769" i="1" l="1"/>
  <c r="T769" i="1" s="1"/>
  <c r="R768" i="1"/>
  <c r="S768" i="1" l="1"/>
  <c r="T768" i="1" s="1"/>
  <c r="R767" i="1"/>
  <c r="R766" i="1" l="1"/>
  <c r="S767" i="1"/>
  <c r="T767" i="1" s="1"/>
  <c r="R765" i="1" l="1"/>
  <c r="S766" i="1"/>
  <c r="T766" i="1" s="1"/>
  <c r="S765" i="1" l="1"/>
  <c r="T765" i="1" s="1"/>
  <c r="R764" i="1"/>
  <c r="S764" i="1" l="1"/>
  <c r="T764" i="1" s="1"/>
  <c r="R763" i="1"/>
  <c r="R762" i="1" l="1"/>
  <c r="S763" i="1"/>
  <c r="T763" i="1" s="1"/>
  <c r="R761" i="1" l="1"/>
  <c r="S762" i="1"/>
  <c r="T762" i="1" s="1"/>
  <c r="S761" i="1" l="1"/>
  <c r="T761" i="1" s="1"/>
  <c r="R760" i="1"/>
  <c r="S760" i="1" l="1"/>
  <c r="T760" i="1" s="1"/>
  <c r="R759" i="1"/>
  <c r="R758" i="1" l="1"/>
  <c r="S759" i="1"/>
  <c r="T759" i="1" s="1"/>
  <c r="S758" i="1" l="1"/>
  <c r="T758" i="1" s="1"/>
  <c r="R757" i="1"/>
  <c r="R756" i="1" l="1"/>
  <c r="S757" i="1"/>
  <c r="T757" i="1" s="1"/>
  <c r="R755" i="1" l="1"/>
  <c r="S756" i="1"/>
  <c r="T756" i="1" s="1"/>
  <c r="S755" i="1" l="1"/>
  <c r="T755" i="1" s="1"/>
  <c r="R754" i="1"/>
  <c r="S754" i="1" l="1"/>
  <c r="T754" i="1" s="1"/>
  <c r="R753" i="1"/>
  <c r="S753" i="1" l="1"/>
  <c r="T753" i="1" s="1"/>
  <c r="R752" i="1"/>
  <c r="R751" i="1" l="1"/>
  <c r="S752" i="1"/>
  <c r="T752" i="1" s="1"/>
  <c r="R750" i="1" l="1"/>
  <c r="S751" i="1"/>
  <c r="T751" i="1" s="1"/>
  <c r="S750" i="1" l="1"/>
  <c r="T750" i="1" s="1"/>
  <c r="R749" i="1"/>
  <c r="S749" i="1" l="1"/>
  <c r="T749" i="1" s="1"/>
  <c r="R748" i="1"/>
  <c r="R747" i="1" l="1"/>
  <c r="S748" i="1"/>
  <c r="T748" i="1" s="1"/>
  <c r="R746" i="1" l="1"/>
  <c r="S747" i="1"/>
  <c r="T747" i="1" s="1"/>
  <c r="S746" i="1" l="1"/>
  <c r="T746" i="1" s="1"/>
  <c r="R745" i="1"/>
  <c r="S745" i="1" l="1"/>
  <c r="T745" i="1" s="1"/>
  <c r="R744" i="1"/>
  <c r="R743" i="1" l="1"/>
  <c r="S744" i="1"/>
  <c r="T744" i="1" s="1"/>
  <c r="R742" i="1" l="1"/>
  <c r="S743" i="1"/>
  <c r="T743" i="1" s="1"/>
  <c r="S742" i="1" l="1"/>
  <c r="T742" i="1" s="1"/>
  <c r="R741" i="1"/>
  <c r="R740" i="1" l="1"/>
  <c r="S741" i="1"/>
  <c r="T741" i="1" s="1"/>
  <c r="R739" i="1" l="1"/>
  <c r="S740" i="1"/>
  <c r="T740" i="1" s="1"/>
  <c r="S739" i="1" l="1"/>
  <c r="T739" i="1" s="1"/>
  <c r="R738" i="1"/>
  <c r="R737" i="1" l="1"/>
  <c r="S738" i="1"/>
  <c r="T738" i="1" s="1"/>
  <c r="R736" i="1" l="1"/>
  <c r="S737" i="1"/>
  <c r="T737" i="1" s="1"/>
  <c r="S736" i="1" l="1"/>
  <c r="T736" i="1" s="1"/>
  <c r="R735" i="1"/>
  <c r="S735" i="1" l="1"/>
  <c r="T735" i="1" s="1"/>
  <c r="R734" i="1"/>
  <c r="R733" i="1" l="1"/>
  <c r="S734" i="1"/>
  <c r="T734" i="1" s="1"/>
  <c r="R732" i="1" l="1"/>
  <c r="S733" i="1"/>
  <c r="T733" i="1" s="1"/>
  <c r="R731" i="1" l="1"/>
  <c r="S732" i="1"/>
  <c r="T732" i="1" s="1"/>
  <c r="S731" i="1" l="1"/>
  <c r="T731" i="1" s="1"/>
  <c r="R730" i="1"/>
  <c r="S730" i="1" l="1"/>
  <c r="T730" i="1" s="1"/>
  <c r="R729" i="1"/>
  <c r="R728" i="1" l="1"/>
  <c r="S729" i="1"/>
  <c r="T729" i="1" s="1"/>
  <c r="R727" i="1" l="1"/>
  <c r="S728" i="1"/>
  <c r="T728" i="1" s="1"/>
  <c r="S727" i="1" l="1"/>
  <c r="T727" i="1" s="1"/>
  <c r="R726" i="1"/>
  <c r="R725" i="1" l="1"/>
  <c r="S726" i="1"/>
  <c r="T726" i="1" s="1"/>
  <c r="R724" i="1" l="1"/>
  <c r="S725" i="1"/>
  <c r="T725" i="1" s="1"/>
  <c r="S724" i="1" l="1"/>
  <c r="T724" i="1" s="1"/>
  <c r="R723" i="1"/>
  <c r="S723" i="1" l="1"/>
  <c r="T723" i="1" s="1"/>
  <c r="R722" i="1"/>
  <c r="R721" i="1" l="1"/>
  <c r="S722" i="1"/>
  <c r="T722" i="1" s="1"/>
  <c r="R720" i="1" l="1"/>
  <c r="S721" i="1"/>
  <c r="T721" i="1" s="1"/>
  <c r="S720" i="1" l="1"/>
  <c r="T720" i="1" s="1"/>
  <c r="R719" i="1"/>
  <c r="R718" i="1" l="1"/>
  <c r="S719" i="1"/>
  <c r="T719" i="1" s="1"/>
  <c r="R717" i="1" l="1"/>
  <c r="S718" i="1"/>
  <c r="T718" i="1" s="1"/>
  <c r="R716" i="1" l="1"/>
  <c r="S717" i="1"/>
  <c r="T717" i="1" s="1"/>
  <c r="S716" i="1" l="1"/>
  <c r="T716" i="1" s="1"/>
  <c r="R715" i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S711" i="1" l="1"/>
  <c r="T711" i="1" s="1"/>
  <c r="R710" i="1"/>
  <c r="R709" i="1" l="1"/>
  <c r="S710" i="1"/>
  <c r="T710" i="1" s="1"/>
  <c r="R708" i="1" l="1"/>
  <c r="S709" i="1"/>
  <c r="T709" i="1" s="1"/>
  <c r="S708" i="1" l="1"/>
  <c r="T708" i="1" s="1"/>
  <c r="R707" i="1"/>
  <c r="R706" i="1" l="1"/>
  <c r="S707" i="1"/>
  <c r="T707" i="1" s="1"/>
  <c r="R705" i="1" l="1"/>
  <c r="S706" i="1"/>
  <c r="T706" i="1" s="1"/>
  <c r="S705" i="1" l="1"/>
  <c r="T705" i="1" s="1"/>
  <c r="R704" i="1"/>
  <c r="S704" i="1" l="1"/>
  <c r="T704" i="1" s="1"/>
  <c r="R703" i="1"/>
  <c r="R702" i="1" l="1"/>
  <c r="S703" i="1"/>
  <c r="T703" i="1" s="1"/>
  <c r="S702" i="1" l="1"/>
  <c r="T702" i="1" s="1"/>
  <c r="R701" i="1"/>
  <c r="R700" i="1" l="1"/>
  <c r="S701" i="1"/>
  <c r="T701" i="1" s="1"/>
  <c r="R699" i="1" l="1"/>
  <c r="S700" i="1"/>
  <c r="T700" i="1" s="1"/>
  <c r="S699" i="1" l="1"/>
  <c r="T699" i="1" s="1"/>
  <c r="R698" i="1"/>
  <c r="S698" i="1" l="1"/>
  <c r="T698" i="1" s="1"/>
  <c r="R697" i="1"/>
  <c r="R696" i="1" l="1"/>
  <c r="S697" i="1"/>
  <c r="T697" i="1" s="1"/>
  <c r="R695" i="1" l="1"/>
  <c r="S696" i="1"/>
  <c r="T696" i="1" s="1"/>
  <c r="S695" i="1" l="1"/>
  <c r="T695" i="1" s="1"/>
  <c r="R694" i="1"/>
  <c r="S694" i="1" l="1"/>
  <c r="T694" i="1" s="1"/>
  <c r="R693" i="1"/>
  <c r="S693" i="1" l="1"/>
  <c r="T693" i="1" s="1"/>
  <c r="R692" i="1"/>
  <c r="R691" i="1" l="1"/>
  <c r="S692" i="1"/>
  <c r="T692" i="1" s="1"/>
  <c r="R690" i="1" l="1"/>
  <c r="S691" i="1"/>
  <c r="T691" i="1" s="1"/>
  <c r="S690" i="1" l="1"/>
  <c r="T690" i="1" s="1"/>
  <c r="R689" i="1"/>
  <c r="S689" i="1" l="1"/>
  <c r="T689" i="1" s="1"/>
  <c r="R688" i="1"/>
  <c r="R687" i="1" l="1"/>
  <c r="S688" i="1"/>
  <c r="T688" i="1" s="1"/>
  <c r="R686" i="1" l="1"/>
  <c r="S687" i="1"/>
  <c r="T687" i="1" s="1"/>
  <c r="S686" i="1" l="1"/>
  <c r="T686" i="1" s="1"/>
  <c r="R685" i="1"/>
  <c r="S685" i="1" l="1"/>
  <c r="T685" i="1" s="1"/>
  <c r="R684" i="1"/>
  <c r="R683" i="1" l="1"/>
  <c r="S684" i="1"/>
  <c r="T684" i="1" s="1"/>
  <c r="R682" i="1" l="1"/>
  <c r="S683" i="1"/>
  <c r="T683" i="1" s="1"/>
  <c r="S682" i="1" l="1"/>
  <c r="T682" i="1" s="1"/>
  <c r="R681" i="1"/>
  <c r="S681" i="1" l="1"/>
  <c r="T681" i="1" s="1"/>
  <c r="R680" i="1"/>
  <c r="R679" i="1" l="1"/>
  <c r="S680" i="1"/>
  <c r="T680" i="1" s="1"/>
  <c r="S679" i="1" l="1"/>
  <c r="T679" i="1" s="1"/>
  <c r="R678" i="1"/>
  <c r="S678" i="1" l="1"/>
  <c r="T678" i="1" s="1"/>
  <c r="R677" i="1"/>
  <c r="R676" i="1" l="1"/>
  <c r="S677" i="1"/>
  <c r="T677" i="1" s="1"/>
  <c r="R675" i="1" l="1"/>
  <c r="S676" i="1"/>
  <c r="T676" i="1" s="1"/>
  <c r="S675" i="1" l="1"/>
  <c r="T675" i="1" s="1"/>
  <c r="R674" i="1"/>
  <c r="S674" i="1" l="1"/>
  <c r="T674" i="1" s="1"/>
  <c r="R673" i="1"/>
  <c r="R672" i="1" l="1"/>
  <c r="S673" i="1"/>
  <c r="T673" i="1" s="1"/>
  <c r="R671" i="1" l="1"/>
  <c r="S672" i="1"/>
  <c r="T672" i="1" s="1"/>
  <c r="S671" i="1" l="1"/>
  <c r="T671" i="1" s="1"/>
  <c r="R670" i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S661" i="1" l="1"/>
  <c r="T661" i="1" s="1"/>
  <c r="R660" i="1"/>
  <c r="R659" i="1" l="1"/>
  <c r="S660" i="1"/>
  <c r="T660" i="1" s="1"/>
  <c r="R658" i="1" l="1"/>
  <c r="S659" i="1"/>
  <c r="T659" i="1" s="1"/>
  <c r="R657" i="1" l="1"/>
  <c r="S658" i="1"/>
  <c r="T658" i="1" s="1"/>
  <c r="S657" i="1" l="1"/>
  <c r="T657" i="1" s="1"/>
  <c r="R656" i="1"/>
  <c r="S656" i="1" l="1"/>
  <c r="T656" i="1" s="1"/>
  <c r="R655" i="1"/>
  <c r="R654" i="1" l="1"/>
  <c r="S655" i="1"/>
  <c r="T655" i="1" s="1"/>
  <c r="R653" i="1" l="1"/>
  <c r="S654" i="1"/>
  <c r="T654" i="1" s="1"/>
  <c r="S653" i="1" l="1"/>
  <c r="T653" i="1" s="1"/>
  <c r="R652" i="1"/>
  <c r="R651" i="1" l="1"/>
  <c r="S652" i="1"/>
  <c r="T652" i="1" s="1"/>
  <c r="R650" i="1" l="1"/>
  <c r="S651" i="1"/>
  <c r="T651" i="1" s="1"/>
  <c r="S650" i="1" l="1"/>
  <c r="T650" i="1" s="1"/>
  <c r="R649" i="1"/>
  <c r="S649" i="1" l="1"/>
  <c r="T649" i="1" s="1"/>
  <c r="R648" i="1"/>
  <c r="S648" i="1" l="1"/>
  <c r="T648" i="1" s="1"/>
  <c r="R647" i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S642" i="1" l="1"/>
  <c r="T642" i="1" s="1"/>
  <c r="R641" i="1"/>
  <c r="S641" i="1" l="1"/>
  <c r="T641" i="1" s="1"/>
  <c r="R640" i="1"/>
  <c r="R639" i="1" l="1"/>
  <c r="S640" i="1"/>
  <c r="T640" i="1" s="1"/>
  <c r="R638" i="1" l="1"/>
  <c r="S639" i="1"/>
  <c r="T639" i="1" s="1"/>
  <c r="S638" i="1" l="1"/>
  <c r="T638" i="1" s="1"/>
  <c r="R637" i="1"/>
  <c r="S637" i="1" l="1"/>
  <c r="T637" i="1" s="1"/>
  <c r="R636" i="1"/>
  <c r="R635" i="1" l="1"/>
  <c r="S636" i="1"/>
  <c r="T636" i="1" s="1"/>
  <c r="R634" i="1" l="1"/>
  <c r="S635" i="1"/>
  <c r="T635" i="1" s="1"/>
  <c r="R633" i="1" l="1"/>
  <c r="S634" i="1"/>
  <c r="T634" i="1" s="1"/>
  <c r="S633" i="1" l="1"/>
  <c r="T633" i="1" s="1"/>
  <c r="R632" i="1"/>
  <c r="S632" i="1" l="1"/>
  <c r="T632" i="1" s="1"/>
  <c r="R631" i="1"/>
  <c r="R630" i="1" l="1"/>
  <c r="S631" i="1"/>
  <c r="T631" i="1" s="1"/>
  <c r="R629" i="1" l="1"/>
  <c r="S630" i="1"/>
  <c r="T630" i="1" s="1"/>
  <c r="S629" i="1" l="1"/>
  <c r="T629" i="1" s="1"/>
  <c r="R628" i="1"/>
  <c r="S628" i="1" l="1"/>
  <c r="T628" i="1" s="1"/>
  <c r="R627" i="1"/>
  <c r="R626" i="1" l="1"/>
  <c r="S627" i="1"/>
  <c r="T627" i="1" s="1"/>
  <c r="S626" i="1" l="1"/>
  <c r="T626" i="1" s="1"/>
  <c r="R625" i="1"/>
  <c r="S625" i="1" l="1"/>
  <c r="T625" i="1" s="1"/>
  <c r="R624" i="1"/>
  <c r="R623" i="1" l="1"/>
  <c r="S624" i="1"/>
  <c r="T624" i="1" s="1"/>
  <c r="R622" i="1" l="1"/>
  <c r="S623" i="1"/>
  <c r="T623" i="1" s="1"/>
  <c r="S622" i="1" l="1"/>
  <c r="T622" i="1" s="1"/>
  <c r="R621" i="1"/>
  <c r="S621" i="1" l="1"/>
  <c r="T621" i="1" s="1"/>
  <c r="R620" i="1"/>
  <c r="R619" i="1" l="1"/>
  <c r="S620" i="1"/>
  <c r="T620" i="1" s="1"/>
  <c r="S619" i="1" l="1"/>
  <c r="T619" i="1" s="1"/>
  <c r="R618" i="1"/>
  <c r="S618" i="1" l="1"/>
  <c r="T618" i="1" s="1"/>
  <c r="R617" i="1"/>
  <c r="S617" i="1" l="1"/>
  <c r="T617" i="1" s="1"/>
  <c r="R616" i="1"/>
  <c r="R615" i="1" l="1"/>
  <c r="S616" i="1"/>
  <c r="T616" i="1" s="1"/>
  <c r="R614" i="1" l="1"/>
  <c r="S615" i="1"/>
  <c r="T615" i="1" s="1"/>
  <c r="S614" i="1" l="1"/>
  <c r="T614" i="1" s="1"/>
  <c r="R613" i="1"/>
  <c r="S613" i="1" l="1"/>
  <c r="T613" i="1" s="1"/>
  <c r="R612" i="1"/>
  <c r="R611" i="1" l="1"/>
  <c r="S612" i="1"/>
  <c r="T612" i="1" s="1"/>
  <c r="S611" i="1" l="1"/>
  <c r="T611" i="1" s="1"/>
  <c r="R610" i="1"/>
  <c r="S610" i="1" l="1"/>
  <c r="T610" i="1" s="1"/>
  <c r="R609" i="1"/>
  <c r="S609" i="1" l="1"/>
  <c r="T609" i="1" s="1"/>
  <c r="R608" i="1"/>
  <c r="R607" i="1" l="1"/>
  <c r="S608" i="1"/>
  <c r="T608" i="1" s="1"/>
  <c r="R606" i="1" l="1"/>
  <c r="S607" i="1"/>
  <c r="T607" i="1" s="1"/>
  <c r="S606" i="1" l="1"/>
  <c r="T606" i="1" s="1"/>
  <c r="R605" i="1"/>
  <c r="S605" i="1" l="1"/>
  <c r="T605" i="1" s="1"/>
  <c r="R604" i="1"/>
  <c r="S604" i="1" l="1"/>
  <c r="T604" i="1" s="1"/>
  <c r="R603" i="1"/>
  <c r="S603" i="1" l="1"/>
  <c r="T603" i="1" s="1"/>
  <c r="R602" i="1"/>
  <c r="R601" i="1" l="1"/>
  <c r="S602" i="1"/>
  <c r="T602" i="1" s="1"/>
  <c r="R600" i="1" l="1"/>
  <c r="S601" i="1"/>
  <c r="T601" i="1" s="1"/>
  <c r="R599" i="1" l="1"/>
  <c r="S600" i="1"/>
  <c r="T600" i="1" s="1"/>
  <c r="S599" i="1" l="1"/>
  <c r="T599" i="1" s="1"/>
  <c r="R598" i="1"/>
  <c r="S598" i="1" l="1"/>
  <c r="T598" i="1" s="1"/>
  <c r="R597" i="1"/>
  <c r="S597" i="1" l="1"/>
  <c r="T597" i="1" s="1"/>
  <c r="R596" i="1"/>
  <c r="R595" i="1" l="1"/>
  <c r="S596" i="1"/>
  <c r="T596" i="1" s="1"/>
  <c r="R594" i="1" l="1"/>
  <c r="S595" i="1"/>
  <c r="T595" i="1" s="1"/>
  <c r="S594" i="1" l="1"/>
  <c r="T594" i="1" s="1"/>
  <c r="R593" i="1"/>
  <c r="S593" i="1" l="1"/>
  <c r="T593" i="1" s="1"/>
  <c r="R592" i="1"/>
  <c r="S592" i="1" l="1"/>
  <c r="T592" i="1" s="1"/>
  <c r="R591" i="1"/>
  <c r="R590" i="1" l="1"/>
  <c r="S591" i="1"/>
  <c r="T591" i="1" s="1"/>
  <c r="R589" i="1" l="1"/>
  <c r="S590" i="1"/>
  <c r="T590" i="1" s="1"/>
  <c r="S589" i="1" l="1"/>
  <c r="T589" i="1" s="1"/>
  <c r="R588" i="1"/>
  <c r="R587" i="1" l="1"/>
  <c r="S588" i="1"/>
  <c r="T588" i="1" s="1"/>
  <c r="R586" i="1" l="1"/>
  <c r="S587" i="1"/>
  <c r="T587" i="1" s="1"/>
  <c r="S586" i="1" l="1"/>
  <c r="T586" i="1" s="1"/>
  <c r="R585" i="1"/>
  <c r="S585" i="1" l="1"/>
  <c r="T585" i="1" s="1"/>
  <c r="R584" i="1"/>
  <c r="R583" i="1" l="1"/>
  <c r="S584" i="1"/>
  <c r="T584" i="1" s="1"/>
  <c r="R582" i="1" l="1"/>
  <c r="S583" i="1"/>
  <c r="T583" i="1" s="1"/>
  <c r="S582" i="1" l="1"/>
  <c r="T582" i="1" s="1"/>
  <c r="R581" i="1"/>
  <c r="S581" i="1" l="1"/>
  <c r="T581" i="1" s="1"/>
  <c r="R580" i="1"/>
  <c r="S580" i="1" l="1"/>
  <c r="T580" i="1" s="1"/>
  <c r="R579" i="1"/>
  <c r="R578" i="1" l="1"/>
  <c r="S579" i="1"/>
  <c r="T579" i="1" s="1"/>
  <c r="R577" i="1" l="1"/>
  <c r="S578" i="1"/>
  <c r="T578" i="1" s="1"/>
  <c r="R576" i="1" l="1"/>
  <c r="S577" i="1"/>
  <c r="T577" i="1" s="1"/>
  <c r="S576" i="1" l="1"/>
  <c r="T576" i="1" s="1"/>
  <c r="R575" i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S569" i="1" l="1"/>
  <c r="T569" i="1" s="1"/>
  <c r="R568" i="1"/>
  <c r="S568" i="1" l="1"/>
  <c r="T568" i="1" s="1"/>
  <c r="R567" i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S560" i="1" l="1"/>
  <c r="T560" i="1" s="1"/>
  <c r="R559" i="1"/>
  <c r="R558" i="1" l="1"/>
  <c r="S559" i="1"/>
  <c r="T559" i="1" s="1"/>
  <c r="R557" i="1" l="1"/>
  <c r="S558" i="1"/>
  <c r="T558" i="1" s="1"/>
  <c r="R556" i="1" l="1"/>
  <c r="S557" i="1"/>
  <c r="T557" i="1" s="1"/>
  <c r="S556" i="1" l="1"/>
  <c r="T556" i="1" s="1"/>
  <c r="R555" i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S543" i="1" l="1"/>
  <c r="T543" i="1" s="1"/>
  <c r="R542" i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S538" i="1" l="1"/>
  <c r="T538" i="1" s="1"/>
  <c r="R537" i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S533" i="1" l="1"/>
  <c r="T533" i="1" s="1"/>
  <c r="R532" i="1"/>
  <c r="S532" i="1" l="1"/>
  <c r="T532" i="1" s="1"/>
  <c r="R531" i="1"/>
  <c r="R530" i="1" l="1"/>
  <c r="S531" i="1"/>
  <c r="T531" i="1" s="1"/>
  <c r="R529" i="1" l="1"/>
  <c r="S530" i="1"/>
  <c r="T530" i="1" s="1"/>
  <c r="S529" i="1" l="1"/>
  <c r="T529" i="1" s="1"/>
  <c r="R528" i="1"/>
  <c r="R527" i="1" l="1"/>
  <c r="S528" i="1"/>
  <c r="T528" i="1" s="1"/>
  <c r="S527" i="1" l="1"/>
  <c r="T527" i="1" s="1"/>
  <c r="R526" i="1"/>
  <c r="S526" i="1" l="1"/>
  <c r="T526" i="1" s="1"/>
  <c r="R525" i="1"/>
  <c r="R524" i="1" l="1"/>
  <c r="S525" i="1"/>
  <c r="T525" i="1" s="1"/>
  <c r="R523" i="1" l="1"/>
  <c r="S524" i="1"/>
  <c r="T524" i="1" s="1"/>
  <c r="R522" i="1" l="1"/>
  <c r="S523" i="1"/>
  <c r="T523" i="1" s="1"/>
  <c r="S522" i="1" l="1"/>
  <c r="T522" i="1" s="1"/>
  <c r="R521" i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S517" i="1" l="1"/>
  <c r="T517" i="1" s="1"/>
  <c r="R516" i="1"/>
  <c r="S516" i="1" l="1"/>
  <c r="T516" i="1" s="1"/>
  <c r="R515" i="1"/>
  <c r="R514" i="1" l="1"/>
  <c r="S515" i="1"/>
  <c r="T515" i="1" s="1"/>
  <c r="R513" i="1" l="1"/>
  <c r="S514" i="1"/>
  <c r="T514" i="1" s="1"/>
  <c r="S513" i="1" l="1"/>
  <c r="T513" i="1" s="1"/>
  <c r="R512" i="1"/>
  <c r="S512" i="1" l="1"/>
  <c r="T512" i="1" s="1"/>
  <c r="R511" i="1"/>
  <c r="R510" i="1" l="1"/>
  <c r="S511" i="1"/>
  <c r="T511" i="1" s="1"/>
  <c r="R509" i="1" l="1"/>
  <c r="S510" i="1"/>
  <c r="T510" i="1" s="1"/>
  <c r="S509" i="1" l="1"/>
  <c r="T509" i="1" s="1"/>
  <c r="R508" i="1"/>
  <c r="S508" i="1" l="1"/>
  <c r="T508" i="1" s="1"/>
  <c r="R507" i="1"/>
  <c r="S507" i="1" l="1"/>
  <c r="T507" i="1" s="1"/>
  <c r="R506" i="1"/>
  <c r="R505" i="1" l="1"/>
  <c r="S506" i="1"/>
  <c r="T506" i="1" s="1"/>
  <c r="R504" i="1" l="1"/>
  <c r="S505" i="1"/>
  <c r="T505" i="1" s="1"/>
  <c r="S504" i="1" l="1"/>
  <c r="T504" i="1" s="1"/>
  <c r="R503" i="1"/>
  <c r="S503" i="1" l="1"/>
  <c r="T503" i="1" s="1"/>
  <c r="R502" i="1"/>
  <c r="R501" i="1" l="1"/>
  <c r="S502" i="1"/>
  <c r="T502" i="1" s="1"/>
  <c r="S501" i="1" l="1"/>
  <c r="T501" i="1" s="1"/>
  <c r="R500" i="1"/>
  <c r="R499" i="1" l="1"/>
  <c r="S500" i="1"/>
  <c r="T500" i="1" s="1"/>
  <c r="S499" i="1" l="1"/>
  <c r="T499" i="1" s="1"/>
  <c r="R498" i="1"/>
  <c r="R497" i="1" l="1"/>
  <c r="S498" i="1"/>
  <c r="T498" i="1" s="1"/>
  <c r="R496" i="1" l="1"/>
  <c r="S497" i="1"/>
  <c r="T497" i="1" s="1"/>
  <c r="S496" i="1" l="1"/>
  <c r="T496" i="1" s="1"/>
  <c r="R495" i="1"/>
  <c r="S495" i="1" l="1"/>
  <c r="T495" i="1" s="1"/>
  <c r="R494" i="1"/>
  <c r="R493" i="1" l="1"/>
  <c r="S494" i="1"/>
  <c r="T494" i="1" s="1"/>
  <c r="R492" i="1" l="1"/>
  <c r="S493" i="1"/>
  <c r="T493" i="1" s="1"/>
  <c r="S492" i="1" l="1"/>
  <c r="T492" i="1" s="1"/>
  <c r="R491" i="1"/>
  <c r="S491" i="1" l="1"/>
  <c r="T491" i="1" s="1"/>
  <c r="R490" i="1"/>
  <c r="R489" i="1" l="1"/>
  <c r="S490" i="1"/>
  <c r="T490" i="1" s="1"/>
  <c r="S489" i="1" l="1"/>
  <c r="T489" i="1" s="1"/>
  <c r="R488" i="1"/>
  <c r="S488" i="1" l="1"/>
  <c r="T488" i="1" s="1"/>
  <c r="R487" i="1"/>
  <c r="R486" i="1" l="1"/>
  <c r="S487" i="1"/>
  <c r="T487" i="1" s="1"/>
  <c r="R485" i="1" l="1"/>
  <c r="S486" i="1"/>
  <c r="T486" i="1" s="1"/>
  <c r="R484" i="1" l="1"/>
  <c r="S485" i="1"/>
  <c r="T485" i="1" s="1"/>
  <c r="S484" i="1" l="1"/>
  <c r="T484" i="1" s="1"/>
  <c r="R483" i="1"/>
  <c r="S483" i="1" l="1"/>
  <c r="T483" i="1" s="1"/>
  <c r="R482" i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S477" i="1" l="1"/>
  <c r="T477" i="1" s="1"/>
  <c r="R476" i="1"/>
  <c r="S476" i="1" l="1"/>
  <c r="T476" i="1" s="1"/>
  <c r="R475" i="1"/>
  <c r="S475" i="1" l="1"/>
  <c r="T475" i="1" s="1"/>
  <c r="R474" i="1"/>
  <c r="R473" i="1" l="1"/>
  <c r="S474" i="1"/>
  <c r="T474" i="1" s="1"/>
  <c r="S473" i="1" l="1"/>
  <c r="T473" i="1" s="1"/>
  <c r="R472" i="1"/>
  <c r="S472" i="1" l="1"/>
  <c r="T472" i="1" s="1"/>
  <c r="R471" i="1"/>
  <c r="R470" i="1" l="1"/>
  <c r="S471" i="1"/>
  <c r="T471" i="1" s="1"/>
  <c r="R469" i="1" l="1"/>
  <c r="S470" i="1"/>
  <c r="T470" i="1" s="1"/>
  <c r="S469" i="1" l="1"/>
  <c r="T469" i="1" s="1"/>
  <c r="R468" i="1"/>
  <c r="S468" i="1" l="1"/>
  <c r="T468" i="1" s="1"/>
  <c r="R467" i="1"/>
  <c r="S467" i="1" l="1"/>
  <c r="T467" i="1" s="1"/>
  <c r="R466" i="1"/>
  <c r="S466" i="1" l="1"/>
  <c r="T466" i="1" s="1"/>
  <c r="R465" i="1"/>
  <c r="R464" i="1" l="1"/>
  <c r="S465" i="1"/>
  <c r="T465" i="1" s="1"/>
  <c r="R463" i="1" l="1"/>
  <c r="S464" i="1"/>
  <c r="T464" i="1" s="1"/>
  <c r="S463" i="1" l="1"/>
  <c r="T463" i="1" s="1"/>
  <c r="R462" i="1"/>
  <c r="S462" i="1" l="1"/>
  <c r="T462" i="1" s="1"/>
  <c r="R461" i="1"/>
  <c r="R460" i="1" l="1"/>
  <c r="S461" i="1"/>
  <c r="T461" i="1" s="1"/>
  <c r="R459" i="1" l="1"/>
  <c r="S460" i="1"/>
  <c r="T460" i="1" s="1"/>
  <c r="R458" i="1" l="1"/>
  <c r="S459" i="1"/>
  <c r="T459" i="1" s="1"/>
  <c r="S458" i="1" l="1"/>
  <c r="T458" i="1" s="1"/>
  <c r="R457" i="1"/>
  <c r="R456" i="1" l="1"/>
  <c r="S457" i="1"/>
  <c r="T457" i="1" s="1"/>
  <c r="R455" i="1" l="1"/>
  <c r="S456" i="1"/>
  <c r="T456" i="1" s="1"/>
  <c r="S455" i="1" l="1"/>
  <c r="T455" i="1" s="1"/>
  <c r="R454" i="1"/>
  <c r="S454" i="1" l="1"/>
  <c r="T454" i="1" s="1"/>
  <c r="R453" i="1"/>
  <c r="S453" i="1" l="1"/>
  <c r="T453" i="1" s="1"/>
  <c r="R452" i="1"/>
  <c r="R451" i="1" l="1"/>
  <c r="S452" i="1"/>
  <c r="T452" i="1" s="1"/>
  <c r="S451" i="1" l="1"/>
  <c r="T451" i="1" s="1"/>
  <c r="R450" i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S440" i="1" l="1"/>
  <c r="T440" i="1" s="1"/>
  <c r="R439" i="1"/>
  <c r="R438" i="1" l="1"/>
  <c r="S439" i="1"/>
  <c r="T439" i="1" s="1"/>
  <c r="R437" i="1" l="1"/>
  <c r="S438" i="1"/>
  <c r="T438" i="1" s="1"/>
  <c r="R436" i="1" l="1"/>
  <c r="S437" i="1"/>
  <c r="T437" i="1" s="1"/>
  <c r="S436" i="1" l="1"/>
  <c r="T436" i="1" s="1"/>
  <c r="R435" i="1"/>
  <c r="S435" i="1" l="1"/>
  <c r="T435" i="1" s="1"/>
  <c r="R434" i="1"/>
  <c r="R433" i="1" l="1"/>
  <c r="S434" i="1"/>
  <c r="T434" i="1" s="1"/>
  <c r="R432" i="1" l="1"/>
  <c r="S433" i="1"/>
  <c r="T433" i="1" s="1"/>
  <c r="R431" i="1" l="1"/>
  <c r="S432" i="1"/>
  <c r="T432" i="1" s="1"/>
  <c r="S431" i="1" l="1"/>
  <c r="T431" i="1" s="1"/>
  <c r="R430" i="1"/>
  <c r="S430" i="1" l="1"/>
  <c r="T430" i="1" s="1"/>
  <c r="R429" i="1"/>
  <c r="R428" i="1" l="1"/>
  <c r="S429" i="1"/>
  <c r="T429" i="1" s="1"/>
  <c r="R427" i="1" l="1"/>
  <c r="S428" i="1"/>
  <c r="T428" i="1" s="1"/>
  <c r="S427" i="1" l="1"/>
  <c r="T427" i="1" s="1"/>
  <c r="R426" i="1"/>
  <c r="S426" i="1" l="1"/>
  <c r="T426" i="1" s="1"/>
  <c r="R425" i="1"/>
  <c r="R424" i="1" l="1"/>
  <c r="S425" i="1"/>
  <c r="T425" i="1" s="1"/>
  <c r="R423" i="1" l="1"/>
  <c r="S424" i="1"/>
  <c r="T424" i="1" s="1"/>
  <c r="S423" i="1" l="1"/>
  <c r="T423" i="1" s="1"/>
  <c r="R422" i="1"/>
  <c r="S422" i="1" l="1"/>
  <c r="T422" i="1" s="1"/>
  <c r="R421" i="1"/>
  <c r="S421" i="1" l="1"/>
  <c r="T421" i="1" s="1"/>
  <c r="R420" i="1"/>
  <c r="R419" i="1" l="1"/>
  <c r="S420" i="1"/>
  <c r="T420" i="1" s="1"/>
  <c r="R418" i="1" l="1"/>
  <c r="S419" i="1"/>
  <c r="T419" i="1" s="1"/>
  <c r="R417" i="1" l="1"/>
  <c r="S418" i="1"/>
  <c r="T418" i="1" s="1"/>
  <c r="S417" i="1" l="1"/>
  <c r="T417" i="1" s="1"/>
  <c r="R416" i="1"/>
  <c r="S416" i="1" l="1"/>
  <c r="T416" i="1" s="1"/>
  <c r="R415" i="1"/>
  <c r="S415" i="1" l="1"/>
  <c r="T415" i="1" s="1"/>
  <c r="R414" i="1"/>
  <c r="R413" i="1" l="1"/>
  <c r="S414" i="1"/>
  <c r="T414" i="1" s="1"/>
  <c r="S413" i="1" l="1"/>
  <c r="T413" i="1" s="1"/>
  <c r="R412" i="1"/>
  <c r="S412" i="1" l="1"/>
  <c r="T412" i="1" s="1"/>
  <c r="R411" i="1"/>
  <c r="S411" i="1" l="1"/>
  <c r="T411" i="1" s="1"/>
  <c r="R410" i="1"/>
  <c r="S410" i="1" l="1"/>
  <c r="T410" i="1" s="1"/>
  <c r="R409" i="1"/>
  <c r="R408" i="1" l="1"/>
  <c r="S409" i="1"/>
  <c r="T409" i="1" s="1"/>
  <c r="R407" i="1" l="1"/>
  <c r="S408" i="1"/>
  <c r="T408" i="1" s="1"/>
  <c r="S407" i="1" l="1"/>
  <c r="T407" i="1" s="1"/>
  <c r="R406" i="1"/>
  <c r="S406" i="1" l="1"/>
  <c r="T406" i="1" s="1"/>
  <c r="R405" i="1"/>
  <c r="S405" i="1" l="1"/>
  <c r="T405" i="1" s="1"/>
  <c r="R404" i="1"/>
  <c r="R403" i="1" l="1"/>
  <c r="S404" i="1"/>
  <c r="T404" i="1" s="1"/>
  <c r="R402" i="1" l="1"/>
  <c r="S403" i="1"/>
  <c r="T403" i="1" s="1"/>
  <c r="R401" i="1" l="1"/>
  <c r="S402" i="1"/>
  <c r="T402" i="1" s="1"/>
  <c r="S401" i="1" l="1"/>
  <c r="T401" i="1" s="1"/>
  <c r="R400" i="1"/>
  <c r="S400" i="1" l="1"/>
  <c r="T400" i="1" s="1"/>
  <c r="R399" i="1"/>
  <c r="R398" i="1" l="1"/>
  <c r="S399" i="1"/>
  <c r="T399" i="1" s="1"/>
  <c r="R397" i="1" l="1"/>
  <c r="S398" i="1"/>
  <c r="T398" i="1" s="1"/>
  <c r="S397" i="1" l="1"/>
  <c r="T397" i="1" s="1"/>
  <c r="R396" i="1"/>
  <c r="S396" i="1" l="1"/>
  <c r="T396" i="1" s="1"/>
  <c r="R395" i="1"/>
  <c r="R394" i="1" l="1"/>
  <c r="S395" i="1"/>
  <c r="T395" i="1" s="1"/>
  <c r="R393" i="1" l="1"/>
  <c r="S394" i="1"/>
  <c r="T394" i="1" s="1"/>
  <c r="S393" i="1" l="1"/>
  <c r="T393" i="1" s="1"/>
  <c r="R392" i="1"/>
  <c r="S392" i="1" l="1"/>
  <c r="T392" i="1" s="1"/>
  <c r="R391" i="1"/>
  <c r="R390" i="1" l="1"/>
  <c r="S391" i="1"/>
  <c r="T391" i="1" s="1"/>
  <c r="R389" i="1" l="1"/>
  <c r="S390" i="1"/>
  <c r="T390" i="1" s="1"/>
  <c r="S389" i="1" l="1"/>
  <c r="T389" i="1" s="1"/>
  <c r="R388" i="1"/>
  <c r="S388" i="1" l="1"/>
  <c r="T388" i="1" s="1"/>
  <c r="R387" i="1"/>
  <c r="R386" i="1" l="1"/>
  <c r="S387" i="1"/>
  <c r="T387" i="1" s="1"/>
  <c r="R385" i="1" l="1"/>
  <c r="S386" i="1"/>
  <c r="T386" i="1" s="1"/>
  <c r="S385" i="1" l="1"/>
  <c r="T385" i="1" s="1"/>
  <c r="R384" i="1"/>
  <c r="S384" i="1" l="1"/>
  <c r="T384" i="1" s="1"/>
  <c r="R383" i="1"/>
  <c r="R382" i="1" l="1"/>
  <c r="S383" i="1"/>
  <c r="T383" i="1" s="1"/>
  <c r="R381" i="1" l="1"/>
  <c r="S382" i="1"/>
  <c r="T382" i="1" s="1"/>
  <c r="R380" i="1" l="1"/>
  <c r="S381" i="1"/>
  <c r="T381" i="1" s="1"/>
  <c r="S380" i="1" l="1"/>
  <c r="T380" i="1" s="1"/>
  <c r="R379" i="1"/>
  <c r="R378" i="1" l="1"/>
  <c r="S379" i="1"/>
  <c r="T379" i="1" s="1"/>
  <c r="R377" i="1" l="1"/>
  <c r="S378" i="1"/>
  <c r="T378" i="1" s="1"/>
  <c r="S377" i="1" l="1"/>
  <c r="T377" i="1" s="1"/>
  <c r="R376" i="1"/>
  <c r="R375" i="1" l="1"/>
  <c r="S376" i="1"/>
  <c r="T376" i="1" s="1"/>
  <c r="S375" i="1" l="1"/>
  <c r="T375" i="1" s="1"/>
  <c r="R374" i="1"/>
  <c r="S374" i="1" l="1"/>
  <c r="T374" i="1" s="1"/>
  <c r="R373" i="1"/>
  <c r="S373" i="1" l="1"/>
  <c r="T373" i="1" s="1"/>
  <c r="R372" i="1"/>
  <c r="R371" i="1" l="1"/>
  <c r="S372" i="1"/>
  <c r="T372" i="1" s="1"/>
  <c r="S371" i="1" l="1"/>
  <c r="T371" i="1" s="1"/>
  <c r="R370" i="1"/>
  <c r="S370" i="1" l="1"/>
  <c r="T370" i="1" s="1"/>
  <c r="R369" i="1"/>
  <c r="R368" i="1" l="1"/>
  <c r="S369" i="1"/>
  <c r="T369" i="1" s="1"/>
  <c r="R367" i="1" l="1"/>
  <c r="S368" i="1"/>
  <c r="T368" i="1" s="1"/>
  <c r="R366" i="1" l="1"/>
  <c r="S367" i="1"/>
  <c r="T367" i="1" s="1"/>
  <c r="S366" i="1" l="1"/>
  <c r="T366" i="1" s="1"/>
  <c r="R365" i="1"/>
  <c r="S365" i="1" l="1"/>
  <c r="T365" i="1" s="1"/>
  <c r="R364" i="1"/>
  <c r="R363" i="1" l="1"/>
  <c r="S364" i="1"/>
  <c r="T364" i="1" s="1"/>
  <c r="R362" i="1" l="1"/>
  <c r="S363" i="1"/>
  <c r="T363" i="1" s="1"/>
  <c r="S362" i="1" l="1"/>
  <c r="T362" i="1" s="1"/>
  <c r="R361" i="1"/>
  <c r="S361" i="1" l="1"/>
  <c r="T361" i="1" s="1"/>
  <c r="R360" i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S355" i="1" l="1"/>
  <c r="T355" i="1" s="1"/>
  <c r="R354" i="1"/>
  <c r="R353" i="1" l="1"/>
  <c r="S354" i="1"/>
  <c r="T354" i="1" s="1"/>
  <c r="R352" i="1" l="1"/>
  <c r="S353" i="1"/>
  <c r="T353" i="1" s="1"/>
  <c r="S352" i="1" l="1"/>
  <c r="T352" i="1" s="1"/>
  <c r="R351" i="1"/>
  <c r="S351" i="1" l="1"/>
  <c r="T351" i="1" s="1"/>
  <c r="R350" i="1"/>
  <c r="S350" i="1" l="1"/>
  <c r="T350" i="1" s="1"/>
  <c r="R349" i="1"/>
  <c r="R348" i="1" l="1"/>
  <c r="S349" i="1"/>
  <c r="T349" i="1" s="1"/>
  <c r="R347" i="1" l="1"/>
  <c r="S348" i="1"/>
  <c r="T348" i="1" s="1"/>
  <c r="S347" i="1" l="1"/>
  <c r="T347" i="1" s="1"/>
  <c r="R346" i="1"/>
  <c r="S346" i="1" l="1"/>
  <c r="T346" i="1" s="1"/>
  <c r="R345" i="1"/>
  <c r="R344" i="1" l="1"/>
  <c r="S345" i="1"/>
  <c r="T345" i="1" s="1"/>
  <c r="R343" i="1" l="1"/>
  <c r="S344" i="1"/>
  <c r="T344" i="1" s="1"/>
  <c r="R342" i="1" l="1"/>
  <c r="S343" i="1"/>
  <c r="T343" i="1" s="1"/>
  <c r="S342" i="1" l="1"/>
  <c r="T342" i="1" s="1"/>
  <c r="R341" i="1"/>
  <c r="S341" i="1" l="1"/>
  <c r="T341" i="1" s="1"/>
  <c r="R340" i="1"/>
  <c r="S340" i="1" l="1"/>
  <c r="T340" i="1" s="1"/>
  <c r="R339" i="1"/>
  <c r="R338" i="1" l="1"/>
  <c r="S339" i="1"/>
  <c r="T339" i="1" s="1"/>
  <c r="R337" i="1" l="1"/>
  <c r="S338" i="1"/>
  <c r="T338" i="1" s="1"/>
  <c r="S337" i="1" l="1"/>
  <c r="T337" i="1" s="1"/>
  <c r="R336" i="1"/>
  <c r="S336" i="1" l="1"/>
  <c r="T336" i="1" s="1"/>
  <c r="R335" i="1"/>
  <c r="R334" i="1" l="1"/>
  <c r="S335" i="1"/>
  <c r="T335" i="1" s="1"/>
  <c r="R333" i="1" l="1"/>
  <c r="S334" i="1"/>
  <c r="T334" i="1" s="1"/>
  <c r="S333" i="1" l="1"/>
  <c r="T333" i="1" s="1"/>
  <c r="R332" i="1"/>
  <c r="R331" i="1" l="1"/>
  <c r="S332" i="1"/>
  <c r="T332" i="1" s="1"/>
  <c r="R330" i="1" l="1"/>
  <c r="S331" i="1"/>
  <c r="T331" i="1" s="1"/>
  <c r="S330" i="1" l="1"/>
  <c r="T330" i="1" s="1"/>
  <c r="R329" i="1"/>
  <c r="S329" i="1" l="1"/>
  <c r="T329" i="1" s="1"/>
  <c r="R328" i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S320" i="1" l="1"/>
  <c r="T320" i="1" s="1"/>
  <c r="R319" i="1"/>
  <c r="S319" i="1" l="1"/>
  <c r="T319" i="1" s="1"/>
  <c r="R318" i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S314" i="1" l="1"/>
  <c r="T314" i="1" s="1"/>
  <c r="R313" i="1"/>
  <c r="S313" i="1" l="1"/>
  <c r="T313" i="1" s="1"/>
  <c r="R312" i="1"/>
  <c r="R311" i="1" l="1"/>
  <c r="S312" i="1"/>
  <c r="T312" i="1" s="1"/>
  <c r="R310" i="1" l="1"/>
  <c r="S311" i="1"/>
  <c r="T311" i="1" s="1"/>
  <c r="R309" i="1" l="1"/>
  <c r="S310" i="1"/>
  <c r="T310" i="1" s="1"/>
  <c r="S309" i="1" l="1"/>
  <c r="T309" i="1" s="1"/>
  <c r="R308" i="1"/>
  <c r="S308" i="1" l="1"/>
  <c r="T308" i="1" s="1"/>
  <c r="R307" i="1"/>
  <c r="R306" i="1" l="1"/>
  <c r="S307" i="1"/>
  <c r="T307" i="1" s="1"/>
  <c r="R305" i="1" l="1"/>
  <c r="S306" i="1"/>
  <c r="T306" i="1" s="1"/>
  <c r="S305" i="1" l="1"/>
  <c r="T305" i="1" s="1"/>
  <c r="R304" i="1"/>
  <c r="S304" i="1" l="1"/>
  <c r="T304" i="1" s="1"/>
  <c r="R303" i="1"/>
  <c r="S303" i="1" l="1"/>
  <c r="T303" i="1" s="1"/>
  <c r="R302" i="1"/>
  <c r="R301" i="1" l="1"/>
  <c r="S302" i="1"/>
  <c r="T302" i="1" s="1"/>
  <c r="R300" i="1" l="1"/>
  <c r="S301" i="1"/>
  <c r="T301" i="1" s="1"/>
  <c r="R299" i="1" l="1"/>
  <c r="S300" i="1"/>
  <c r="T300" i="1" s="1"/>
  <c r="S299" i="1" l="1"/>
  <c r="T299" i="1" s="1"/>
  <c r="R298" i="1"/>
  <c r="S298" i="1" l="1"/>
  <c r="T298" i="1" s="1"/>
  <c r="R297" i="1"/>
  <c r="R296" i="1" l="1"/>
  <c r="S297" i="1"/>
  <c r="T297" i="1" s="1"/>
  <c r="R295" i="1" l="1"/>
  <c r="S296" i="1"/>
  <c r="T296" i="1" s="1"/>
  <c r="S295" i="1" l="1"/>
  <c r="T295" i="1" s="1"/>
  <c r="R294" i="1"/>
  <c r="S294" i="1" l="1"/>
  <c r="T294" i="1" s="1"/>
  <c r="R293" i="1"/>
  <c r="R292" i="1" l="1"/>
  <c r="S293" i="1"/>
  <c r="T293" i="1" s="1"/>
  <c r="R291" i="1" l="1"/>
  <c r="S292" i="1"/>
  <c r="T292" i="1" s="1"/>
  <c r="R290" i="1" l="1"/>
  <c r="S291" i="1"/>
  <c r="T291" i="1" s="1"/>
  <c r="S290" i="1" l="1"/>
  <c r="T290" i="1" s="1"/>
  <c r="R289" i="1"/>
  <c r="S289" i="1" l="1"/>
  <c r="T289" i="1" s="1"/>
  <c r="R288" i="1"/>
  <c r="S288" i="1" l="1"/>
  <c r="T288" i="1" s="1"/>
  <c r="R287" i="1"/>
  <c r="R286" i="1" l="1"/>
  <c r="S287" i="1"/>
  <c r="T287" i="1" s="1"/>
  <c r="R285" i="1" l="1"/>
  <c r="S286" i="1"/>
  <c r="T286" i="1" s="1"/>
  <c r="S285" i="1" l="1"/>
  <c r="T285" i="1" s="1"/>
  <c r="R284" i="1"/>
  <c r="S284" i="1" l="1"/>
  <c r="T284" i="1" s="1"/>
  <c r="R283" i="1"/>
  <c r="R282" i="1" l="1"/>
  <c r="S283" i="1"/>
  <c r="T283" i="1" s="1"/>
  <c r="R281" i="1" l="1"/>
  <c r="S282" i="1"/>
  <c r="T282" i="1" s="1"/>
  <c r="S281" i="1" l="1"/>
  <c r="T281" i="1" s="1"/>
  <c r="R280" i="1"/>
  <c r="S280" i="1" l="1"/>
  <c r="T280" i="1" s="1"/>
  <c r="R279" i="1"/>
  <c r="R278" i="1" l="1"/>
  <c r="S279" i="1"/>
  <c r="T279" i="1" s="1"/>
  <c r="R277" i="1" l="1"/>
  <c r="S278" i="1"/>
  <c r="T278" i="1" s="1"/>
  <c r="R276" i="1" l="1"/>
  <c r="S277" i="1"/>
  <c r="T277" i="1" s="1"/>
  <c r="S276" i="1" l="1"/>
  <c r="T276" i="1" s="1"/>
  <c r="R275" i="1"/>
  <c r="S275" i="1" l="1"/>
  <c r="T275" i="1" s="1"/>
  <c r="R274" i="1"/>
  <c r="R273" i="1" l="1"/>
  <c r="S274" i="1"/>
  <c r="T274" i="1" s="1"/>
  <c r="R272" i="1" l="1"/>
  <c r="S273" i="1"/>
  <c r="T273" i="1" s="1"/>
  <c r="S272" i="1" l="1"/>
  <c r="T272" i="1" s="1"/>
  <c r="R271" i="1"/>
  <c r="S271" i="1" l="1"/>
  <c r="T271" i="1" s="1"/>
  <c r="R270" i="1"/>
  <c r="R269" i="1" l="1"/>
  <c r="S270" i="1"/>
  <c r="T270" i="1" s="1"/>
  <c r="R268" i="1" l="1"/>
  <c r="S269" i="1"/>
  <c r="T269" i="1" s="1"/>
  <c r="R267" i="1" l="1"/>
  <c r="S268" i="1"/>
  <c r="T268" i="1" s="1"/>
  <c r="S267" i="1" l="1"/>
  <c r="T267" i="1" s="1"/>
  <c r="R266" i="1"/>
  <c r="S266" i="1" l="1"/>
  <c r="T266" i="1" s="1"/>
  <c r="R265" i="1"/>
  <c r="R264" i="1" l="1"/>
  <c r="S265" i="1"/>
  <c r="T265" i="1" s="1"/>
  <c r="S264" i="1" l="1"/>
  <c r="T264" i="1" s="1"/>
  <c r="R263" i="1"/>
  <c r="S263" i="1" l="1"/>
  <c r="T263" i="1" s="1"/>
  <c r="R262" i="1"/>
  <c r="R261" i="1" l="1"/>
  <c r="S262" i="1"/>
  <c r="T262" i="1" s="1"/>
  <c r="S261" i="1" l="1"/>
  <c r="T261" i="1" s="1"/>
  <c r="R260" i="1"/>
  <c r="S260" i="1" l="1"/>
  <c r="T260" i="1" s="1"/>
  <c r="R259" i="1"/>
  <c r="S259" i="1" l="1"/>
  <c r="T259" i="1" s="1"/>
  <c r="R258" i="1"/>
  <c r="S258" i="1" l="1"/>
  <c r="T258" i="1" s="1"/>
  <c r="R257" i="1"/>
  <c r="R256" i="1" l="1"/>
  <c r="S257" i="1"/>
  <c r="T257" i="1" s="1"/>
  <c r="R255" i="1" l="1"/>
  <c r="S256" i="1"/>
  <c r="T256" i="1" s="1"/>
  <c r="R254" i="1" l="1"/>
  <c r="S255" i="1"/>
  <c r="T255" i="1" s="1"/>
  <c r="S254" i="1" l="1"/>
  <c r="T254" i="1" s="1"/>
  <c r="R253" i="1"/>
  <c r="R252" i="1" l="1"/>
  <c r="S253" i="1"/>
  <c r="T253" i="1" s="1"/>
  <c r="R251" i="1" l="1"/>
  <c r="S252" i="1"/>
  <c r="T252" i="1" s="1"/>
  <c r="S251" i="1" l="1"/>
  <c r="T251" i="1" s="1"/>
  <c r="R250" i="1"/>
  <c r="R249" i="1" l="1"/>
  <c r="S250" i="1"/>
  <c r="T250" i="1" s="1"/>
  <c r="R248" i="1" l="1"/>
  <c r="S249" i="1"/>
  <c r="T249" i="1" s="1"/>
  <c r="S248" i="1" l="1"/>
  <c r="T248" i="1" s="1"/>
  <c r="R247" i="1"/>
  <c r="S247" i="1" l="1"/>
  <c r="T247" i="1" s="1"/>
  <c r="R246" i="1"/>
  <c r="R245" i="1" l="1"/>
  <c r="S246" i="1"/>
  <c r="T246" i="1" s="1"/>
  <c r="S245" i="1" l="1"/>
  <c r="T245" i="1" s="1"/>
  <c r="R244" i="1"/>
  <c r="S244" i="1" l="1"/>
  <c r="T244" i="1" s="1"/>
  <c r="R243" i="1"/>
  <c r="R242" i="1" l="1"/>
  <c r="S243" i="1"/>
  <c r="T243" i="1" s="1"/>
  <c r="S242" i="1" l="1"/>
  <c r="T242" i="1" s="1"/>
  <c r="R241" i="1"/>
  <c r="R240" i="1" l="1"/>
  <c r="S241" i="1"/>
  <c r="T241" i="1" s="1"/>
  <c r="R239" i="1" l="1"/>
  <c r="S240" i="1"/>
  <c r="T240" i="1" s="1"/>
  <c r="S239" i="1" l="1"/>
  <c r="T239" i="1" s="1"/>
  <c r="R238" i="1"/>
  <c r="S238" i="1" l="1"/>
  <c r="T238" i="1" s="1"/>
  <c r="R237" i="1"/>
  <c r="S237" i="1" l="1"/>
  <c r="T237" i="1" s="1"/>
  <c r="R236" i="1"/>
  <c r="R235" i="1" l="1"/>
  <c r="S236" i="1"/>
  <c r="T236" i="1" s="1"/>
  <c r="S235" i="1" l="1"/>
  <c r="T235" i="1" s="1"/>
  <c r="R234" i="1"/>
  <c r="S234" i="1" l="1"/>
  <c r="T234" i="1" s="1"/>
  <c r="R233" i="1"/>
  <c r="S233" i="1" l="1"/>
  <c r="T233" i="1" s="1"/>
  <c r="R232" i="1"/>
  <c r="R231" i="1" l="1"/>
  <c r="S232" i="1"/>
  <c r="T232" i="1" s="1"/>
  <c r="R230" i="1" l="1"/>
  <c r="S231" i="1"/>
  <c r="T231" i="1" s="1"/>
  <c r="R229" i="1" l="1"/>
  <c r="S230" i="1"/>
  <c r="T230" i="1" s="1"/>
  <c r="S229" i="1" l="1"/>
  <c r="T229" i="1" s="1"/>
  <c r="R228" i="1"/>
  <c r="R227" i="1" l="1"/>
  <c r="S228" i="1"/>
  <c r="T228" i="1" s="1"/>
  <c r="R226" i="1" l="1"/>
  <c r="S227" i="1"/>
  <c r="T227" i="1" s="1"/>
  <c r="S226" i="1" l="1"/>
  <c r="T226" i="1" s="1"/>
  <c r="R225" i="1"/>
  <c r="S225" i="1" l="1"/>
  <c r="T225" i="1" s="1"/>
  <c r="R224" i="1"/>
  <c r="S224" i="1" l="1"/>
  <c r="T224" i="1" s="1"/>
  <c r="R223" i="1"/>
  <c r="S223" i="1" l="1"/>
  <c r="T223" i="1" s="1"/>
  <c r="R222" i="1"/>
  <c r="S222" i="1" l="1"/>
  <c r="T222" i="1" s="1"/>
  <c r="R221" i="1"/>
  <c r="R220" i="1" l="1"/>
  <c r="S221" i="1"/>
  <c r="T221" i="1" s="1"/>
  <c r="R219" i="1" l="1"/>
  <c r="S220" i="1"/>
  <c r="T220" i="1" s="1"/>
  <c r="S219" i="1" l="1"/>
  <c r="T219" i="1" s="1"/>
  <c r="R218" i="1"/>
  <c r="S218" i="1" l="1"/>
  <c r="T218" i="1" s="1"/>
  <c r="R217" i="1"/>
  <c r="S217" i="1" l="1"/>
  <c r="T217" i="1" s="1"/>
  <c r="R216" i="1"/>
  <c r="R215" i="1" l="1"/>
  <c r="S216" i="1"/>
  <c r="T216" i="1" s="1"/>
  <c r="R214" i="1" l="1"/>
  <c r="S215" i="1"/>
  <c r="T215" i="1" s="1"/>
  <c r="S214" i="1" l="1"/>
  <c r="T214" i="1" s="1"/>
  <c r="R213" i="1"/>
  <c r="S213" i="1" l="1"/>
  <c r="T213" i="1" s="1"/>
  <c r="R212" i="1"/>
  <c r="R211" i="1" l="1"/>
  <c r="S212" i="1"/>
  <c r="T212" i="1" s="1"/>
  <c r="R210" i="1" l="1"/>
  <c r="S211" i="1"/>
  <c r="T211" i="1" s="1"/>
  <c r="S210" i="1" l="1"/>
  <c r="T210" i="1" s="1"/>
  <c r="R209" i="1"/>
  <c r="S209" i="1" l="1"/>
  <c r="T209" i="1" s="1"/>
  <c r="R208" i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S201" i="1" l="1"/>
  <c r="T201" i="1" s="1"/>
  <c r="R200" i="1"/>
  <c r="R199" i="1" l="1"/>
  <c r="S200" i="1"/>
  <c r="T200" i="1" s="1"/>
  <c r="R198" i="1" l="1"/>
  <c r="S199" i="1"/>
  <c r="T199" i="1" s="1"/>
  <c r="S198" i="1" l="1"/>
  <c r="T198" i="1" s="1"/>
  <c r="R197" i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S193" i="1" l="1"/>
  <c r="T193" i="1" s="1"/>
  <c r="R192" i="1"/>
  <c r="R191" i="1" l="1"/>
  <c r="S192" i="1"/>
  <c r="T192" i="1" s="1"/>
  <c r="S191" i="1" l="1"/>
  <c r="T191" i="1" s="1"/>
  <c r="R190" i="1"/>
  <c r="S190" i="1" l="1"/>
  <c r="T190" i="1" s="1"/>
  <c r="R189" i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S185" i="1" l="1"/>
  <c r="T185" i="1" s="1"/>
  <c r="R184" i="1"/>
  <c r="S184" i="1" l="1"/>
  <c r="T184" i="1" s="1"/>
  <c r="R183" i="1"/>
  <c r="R182" i="1" l="1"/>
  <c r="S183" i="1"/>
  <c r="T183" i="1" s="1"/>
  <c r="S182" i="1" l="1"/>
  <c r="T182" i="1" s="1"/>
  <c r="R181" i="1"/>
  <c r="S181" i="1" l="1"/>
  <c r="T181" i="1" s="1"/>
  <c r="R180" i="1"/>
  <c r="R179" i="1" l="1"/>
  <c r="S180" i="1"/>
  <c r="T180" i="1" s="1"/>
  <c r="R178" i="1" l="1"/>
  <c r="S179" i="1"/>
  <c r="T179" i="1" s="1"/>
  <c r="R177" i="1" l="1"/>
  <c r="S178" i="1"/>
  <c r="T178" i="1" s="1"/>
  <c r="S177" i="1" l="1"/>
  <c r="T177" i="1" s="1"/>
  <c r="R176" i="1"/>
  <c r="S176" i="1" l="1"/>
  <c r="T176" i="1" s="1"/>
  <c r="R175" i="1"/>
  <c r="S175" i="1" l="1"/>
  <c r="T175" i="1" s="1"/>
  <c r="R174" i="1"/>
  <c r="S174" i="1" l="1"/>
  <c r="T174" i="1" s="1"/>
  <c r="R173" i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S165" i="1" l="1"/>
  <c r="T165" i="1" s="1"/>
  <c r="R164" i="1"/>
  <c r="S164" i="1" l="1"/>
  <c r="T164" i="1" s="1"/>
  <c r="R163" i="1"/>
  <c r="S163" i="1" l="1"/>
  <c r="T163" i="1" s="1"/>
  <c r="R162" i="1"/>
  <c r="S162" i="1" l="1"/>
  <c r="T162" i="1" s="1"/>
  <c r="R161" i="1"/>
  <c r="R160" i="1" l="1"/>
  <c r="S161" i="1"/>
  <c r="T161" i="1" s="1"/>
  <c r="R159" i="1" l="1"/>
  <c r="S160" i="1"/>
  <c r="T160" i="1" s="1"/>
  <c r="R158" i="1" l="1"/>
  <c r="S159" i="1"/>
  <c r="T159" i="1" s="1"/>
  <c r="S158" i="1" l="1"/>
  <c r="T158" i="1" s="1"/>
  <c r="R157" i="1"/>
  <c r="S157" i="1" l="1"/>
  <c r="T157" i="1" s="1"/>
  <c r="R156" i="1"/>
  <c r="R155" i="1" l="1"/>
  <c r="S156" i="1"/>
  <c r="T156" i="1" s="1"/>
  <c r="S155" i="1" l="1"/>
  <c r="T155" i="1" s="1"/>
  <c r="R154" i="1"/>
  <c r="R153" i="1" l="1"/>
  <c r="S154" i="1"/>
  <c r="T154" i="1" s="1"/>
  <c r="R152" i="1" l="1"/>
  <c r="S153" i="1"/>
  <c r="T153" i="1" s="1"/>
  <c r="S152" i="1" l="1"/>
  <c r="T152" i="1" s="1"/>
  <c r="R151" i="1"/>
  <c r="R150" i="1" l="1"/>
  <c r="S151" i="1"/>
  <c r="T151" i="1" s="1"/>
  <c r="S150" i="1" l="1"/>
  <c r="T150" i="1" s="1"/>
  <c r="R149" i="1"/>
  <c r="S149" i="1" l="1"/>
  <c r="T149" i="1" s="1"/>
  <c r="R148" i="1"/>
  <c r="R147" i="1" l="1"/>
  <c r="S148" i="1"/>
  <c r="T148" i="1" s="1"/>
  <c r="S147" i="1" l="1"/>
  <c r="T147" i="1" s="1"/>
  <c r="R146" i="1"/>
  <c r="R145" i="1" l="1"/>
  <c r="S146" i="1"/>
  <c r="T146" i="1" s="1"/>
  <c r="R144" i="1" l="1"/>
  <c r="S145" i="1"/>
  <c r="T145" i="1" s="1"/>
  <c r="S144" i="1" l="1"/>
  <c r="T144" i="1" s="1"/>
  <c r="R143" i="1"/>
  <c r="R142" i="1" l="1"/>
  <c r="S143" i="1"/>
  <c r="T143" i="1" s="1"/>
  <c r="R141" i="1" l="1"/>
  <c r="S142" i="1"/>
  <c r="T142" i="1" s="1"/>
  <c r="S141" i="1" l="1"/>
  <c r="T141" i="1" s="1"/>
  <c r="R140" i="1"/>
  <c r="S140" i="1" l="1"/>
  <c r="T140" i="1" s="1"/>
  <c r="R139" i="1"/>
  <c r="S139" i="1" l="1"/>
  <c r="T139" i="1" s="1"/>
  <c r="R138" i="1"/>
  <c r="S138" i="1" l="1"/>
  <c r="T138" i="1" s="1"/>
  <c r="R137" i="1"/>
  <c r="R136" i="1" l="1"/>
  <c r="S137" i="1"/>
  <c r="T137" i="1" s="1"/>
  <c r="R135" i="1" l="1"/>
  <c r="S136" i="1"/>
  <c r="T136" i="1" s="1"/>
  <c r="R134" i="1" l="1"/>
  <c r="S135" i="1"/>
  <c r="T135" i="1" s="1"/>
  <c r="S134" i="1" l="1"/>
  <c r="T134" i="1" s="1"/>
  <c r="R133" i="1"/>
  <c r="S133" i="1" l="1"/>
  <c r="T133" i="1" s="1"/>
  <c r="R132" i="1"/>
  <c r="R131" i="1" l="1"/>
  <c r="S132" i="1"/>
  <c r="T132" i="1" s="1"/>
  <c r="R130" i="1" l="1"/>
  <c r="S131" i="1"/>
  <c r="T131" i="1" s="1"/>
  <c r="R129" i="1" l="1"/>
  <c r="S130" i="1"/>
  <c r="T130" i="1" s="1"/>
  <c r="S129" i="1" l="1"/>
  <c r="T129" i="1" s="1"/>
  <c r="R128" i="1"/>
  <c r="S128" i="1" l="1"/>
  <c r="T128" i="1" s="1"/>
  <c r="R127" i="1"/>
  <c r="S127" i="1" l="1"/>
  <c r="T127" i="1" s="1"/>
  <c r="R126" i="1"/>
  <c r="S126" i="1" l="1"/>
  <c r="T126" i="1" s="1"/>
  <c r="R125" i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S120" i="1" l="1"/>
  <c r="T120" i="1" s="1"/>
  <c r="R119" i="1"/>
  <c r="S119" i="1" l="1"/>
  <c r="T119" i="1" s="1"/>
  <c r="R118" i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S112" i="1" l="1"/>
  <c r="T112" i="1" s="1"/>
  <c r="R111" i="1"/>
  <c r="R110" i="1" l="1"/>
  <c r="S111" i="1"/>
  <c r="T111" i="1" s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S104" i="1" l="1"/>
  <c r="T104" i="1" s="1"/>
  <c r="R103" i="1"/>
  <c r="R102" i="1" l="1"/>
  <c r="S103" i="1"/>
  <c r="T103" i="1" s="1"/>
  <c r="S102" i="1" l="1"/>
  <c r="T102" i="1" s="1"/>
  <c r="R101" i="1"/>
  <c r="R100" i="1" l="1"/>
  <c r="S101" i="1"/>
  <c r="T101" i="1" s="1"/>
  <c r="R99" i="1" l="1"/>
  <c r="S100" i="1"/>
  <c r="T100" i="1" s="1"/>
  <c r="S99" i="1" l="1"/>
  <c r="T99" i="1" s="1"/>
  <c r="R98" i="1"/>
  <c r="S98" i="1" l="1"/>
  <c r="T98" i="1" s="1"/>
  <c r="R97" i="1"/>
  <c r="S97" i="1" l="1"/>
  <c r="T97" i="1" s="1"/>
  <c r="R96" i="1"/>
  <c r="S96" i="1" l="1"/>
  <c r="T96" i="1" s="1"/>
  <c r="R95" i="1"/>
  <c r="R94" i="1" l="1"/>
  <c r="S95" i="1"/>
  <c r="T95" i="1" s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S90" i="1" l="1"/>
  <c r="T90" i="1" s="1"/>
  <c r="R89" i="1"/>
  <c r="S89" i="1" l="1"/>
  <c r="T89" i="1" s="1"/>
  <c r="R88" i="1"/>
  <c r="R87" i="1" l="1"/>
  <c r="S88" i="1"/>
  <c r="T88" i="1" s="1"/>
  <c r="S87" i="1" l="1"/>
  <c r="T87" i="1" s="1"/>
  <c r="R86" i="1"/>
  <c r="S86" i="1" l="1"/>
  <c r="T86" i="1" s="1"/>
  <c r="R85" i="1"/>
  <c r="R84" i="1" l="1"/>
  <c r="S85" i="1"/>
  <c r="T85" i="1" s="1"/>
  <c r="R83" i="1" l="1"/>
  <c r="S84" i="1"/>
  <c r="T84" i="1" s="1"/>
  <c r="S83" i="1" l="1"/>
  <c r="T83" i="1" s="1"/>
  <c r="R82" i="1"/>
  <c r="R81" i="1" l="1"/>
  <c r="S82" i="1"/>
  <c r="T82" i="1" s="1"/>
  <c r="R80" i="1" l="1"/>
  <c r="S81" i="1"/>
  <c r="T81" i="1" s="1"/>
  <c r="S80" i="1" l="1"/>
  <c r="T80" i="1" s="1"/>
  <c r="R79" i="1"/>
  <c r="R78" i="1" l="1"/>
  <c r="S79" i="1"/>
  <c r="T79" i="1" s="1"/>
  <c r="R77" i="1" l="1"/>
  <c r="S78" i="1"/>
  <c r="T78" i="1" s="1"/>
  <c r="R76" i="1" l="1"/>
  <c r="S77" i="1"/>
  <c r="T77" i="1" s="1"/>
  <c r="S76" i="1" l="1"/>
  <c r="T76" i="1" s="1"/>
  <c r="R75" i="1"/>
  <c r="R74" i="1" l="1"/>
  <c r="S75" i="1"/>
  <c r="T75" i="1" s="1"/>
  <c r="S74" i="1" l="1"/>
  <c r="T74" i="1" s="1"/>
  <c r="R73" i="1"/>
  <c r="S73" i="1" l="1"/>
  <c r="T73" i="1" s="1"/>
  <c r="R72" i="1"/>
  <c r="S72" i="1" l="1"/>
  <c r="T72" i="1" s="1"/>
  <c r="R71" i="1"/>
  <c r="S71" i="1" l="1"/>
  <c r="T71" i="1" s="1"/>
  <c r="R70" i="1"/>
  <c r="R69" i="1" l="1"/>
  <c r="S70" i="1"/>
  <c r="T70" i="1" s="1"/>
  <c r="R68" i="1" l="1"/>
  <c r="S69" i="1"/>
  <c r="T69" i="1" s="1"/>
  <c r="S68" i="1" l="1"/>
  <c r="T68" i="1" s="1"/>
  <c r="R67" i="1"/>
  <c r="R66" i="1" l="1"/>
  <c r="S67" i="1"/>
  <c r="T67" i="1" s="1"/>
  <c r="S66" i="1" l="1"/>
  <c r="T66" i="1" s="1"/>
  <c r="R65" i="1"/>
  <c r="R64" i="1" l="1"/>
  <c r="S65" i="1"/>
  <c r="T65" i="1" s="1"/>
  <c r="S64" i="1" l="1"/>
  <c r="T64" i="1" s="1"/>
  <c r="R63" i="1"/>
  <c r="R62" i="1" l="1"/>
  <c r="S63" i="1"/>
  <c r="T63" i="1" s="1"/>
  <c r="R61" i="1" l="1"/>
  <c r="S62" i="1"/>
  <c r="T62" i="1" s="1"/>
  <c r="R60" i="1" l="1"/>
  <c r="S61" i="1"/>
  <c r="T61" i="1" s="1"/>
  <c r="S60" i="1" l="1"/>
  <c r="T60" i="1" s="1"/>
  <c r="R59" i="1"/>
  <c r="S59" i="1" l="1"/>
  <c r="T59" i="1" s="1"/>
  <c r="R58" i="1"/>
  <c r="R57" i="1" l="1"/>
  <c r="S58" i="1"/>
  <c r="T58" i="1" s="1"/>
  <c r="R56" i="1" l="1"/>
  <c r="S57" i="1"/>
  <c r="T57" i="1" s="1"/>
  <c r="S56" i="1" l="1"/>
  <c r="T56" i="1" s="1"/>
  <c r="R55" i="1"/>
  <c r="R54" i="1" l="1"/>
  <c r="S55" i="1"/>
  <c r="T55" i="1" s="1"/>
  <c r="S54" i="1" l="1"/>
  <c r="T54" i="1" s="1"/>
  <c r="R53" i="1"/>
  <c r="S53" i="1" l="1"/>
  <c r="T53" i="1" s="1"/>
  <c r="R52" i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S46" i="1" l="1"/>
  <c r="T46" i="1" s="1"/>
  <c r="R45" i="1"/>
  <c r="S45" i="1" l="1"/>
  <c r="T45" i="1" s="1"/>
  <c r="R44" i="1"/>
  <c r="R43" i="1" l="1"/>
  <c r="S44" i="1"/>
  <c r="T44" i="1" s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S34" i="1" l="1"/>
  <c r="T34" i="1" s="1"/>
  <c r="R33" i="1"/>
  <c r="S33" i="1" l="1"/>
  <c r="T33" i="1" s="1"/>
  <c r="R32" i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R27" i="1" l="1"/>
  <c r="S28" i="1"/>
  <c r="T28" i="1" s="1"/>
  <c r="R26" i="1" l="1"/>
  <c r="S27" i="1"/>
  <c r="T27" i="1" s="1"/>
  <c r="S26" i="1" l="1"/>
  <c r="T26" i="1" s="1"/>
  <c r="R25" i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<sst xmlns="http://schemas.openxmlformats.org/spreadsheetml/2006/main" count="8922" uniqueCount="34">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</sst>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3" fillId="9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5.8609999999999999E-3</c:v>
                </c:pt>
                <c:pt idx="1">
                  <c:v>6.0679999999999996E-3</c:v>
                </c:pt>
                <c:pt idx="2">
                  <c:v>6.084E-3</c:v>
                </c:pt>
                <c:pt idx="3">
                  <c:v>6.1729999999999997E-3</c:v>
                </c:pt>
                <c:pt idx="4">
                  <c:v>6.3949999999999996E-3</c:v>
                </c:pt>
                <c:pt idx="5">
                  <c:v>5.9699999999999996E-3</c:v>
                </c:pt>
                <c:pt idx="6">
                  <c:v>6.5909999999999996E-3</c:v>
                </c:pt>
                <c:pt idx="7">
                  <c:v>8.0929999999999995E-3</c:v>
                </c:pt>
                <c:pt idx="8">
                  <c:v>8.3000000000000001E-3</c:v>
                </c:pt>
                <c:pt idx="9">
                  <c:v>8.6809999999999995E-3</c:v>
                </c:pt>
                <c:pt idx="10">
                  <c:v>8.652E-3</c:v>
                </c:pt>
                <c:pt idx="11">
                  <c:v>9.4190000000000003E-3</c:v>
                </c:pt>
                <c:pt idx="12">
                  <c:v>1.0194999999999999E-2</c:v>
                </c:pt>
                <c:pt idx="13">
                  <c:v>8.5369999999999994E-3</c:v>
                </c:pt>
                <c:pt idx="14">
                  <c:v>8.3510000000000008E-3</c:v>
                </c:pt>
                <c:pt idx="15">
                  <c:v>8.7840000000000001E-3</c:v>
                </c:pt>
                <c:pt idx="16">
                  <c:v>8.633E-3</c:v>
                </c:pt>
                <c:pt idx="17">
                  <c:v>8.0219999999999996E-3</c:v>
                </c:pt>
                <c:pt idx="18">
                  <c:v>8.7489999999999998E-3</c:v>
                </c:pt>
                <c:pt idx="19">
                  <c:v>8.6309999999999998E-3</c:v>
                </c:pt>
                <c:pt idx="20">
                  <c:v>9.0910000000000001E-3</c:v>
                </c:pt>
                <c:pt idx="21">
                  <c:v>9.8790000000000006E-3</c:v>
                </c:pt>
                <c:pt idx="22">
                  <c:v>1.0023000000000001E-2</c:v>
                </c:pt>
                <c:pt idx="23">
                  <c:v>1.0671999999999999E-2</c:v>
                </c:pt>
                <c:pt idx="24">
                  <c:v>1.0580000000000001E-2</c:v>
                </c:pt>
                <c:pt idx="25">
                  <c:v>1.0839E-2</c:v>
                </c:pt>
                <c:pt idx="26">
                  <c:v>1.0880000000000001E-2</c:v>
                </c:pt>
                <c:pt idx="27">
                  <c:v>1.0593999999999999E-2</c:v>
                </c:pt>
                <c:pt idx="28">
                  <c:v>1.0718E-2</c:v>
                </c:pt>
                <c:pt idx="29">
                  <c:v>1.064E-2</c:v>
                </c:pt>
                <c:pt idx="30">
                  <c:v>1.0506E-2</c:v>
                </c:pt>
                <c:pt idx="31">
                  <c:v>1.1174999999999999E-2</c:v>
                </c:pt>
                <c:pt idx="32">
                  <c:v>1.1004E-2</c:v>
                </c:pt>
                <c:pt idx="33">
                  <c:v>1.0938E-2</c:v>
                </c:pt>
                <c:pt idx="34">
                  <c:v>1.0799E-2</c:v>
                </c:pt>
                <c:pt idx="35">
                  <c:v>1.0777E-2</c:v>
                </c:pt>
                <c:pt idx="36">
                  <c:v>1.0451E-2</c:v>
                </c:pt>
                <c:pt idx="37">
                  <c:v>1.0390999999999999E-2</c:v>
                </c:pt>
                <c:pt idx="38">
                  <c:v>1.0088E-2</c:v>
                </c:pt>
                <c:pt idx="39">
                  <c:v>1.0701E-2</c:v>
                </c:pt>
                <c:pt idx="40">
                  <c:v>1.0407E-2</c:v>
                </c:pt>
                <c:pt idx="41">
                  <c:v>1.0364999999999999E-2</c:v>
                </c:pt>
                <c:pt idx="42">
                  <c:v>1.0593E-2</c:v>
                </c:pt>
                <c:pt idx="43">
                  <c:v>1.0886E-2</c:v>
                </c:pt>
                <c:pt idx="44">
                  <c:v>1.0508999999999999E-2</c:v>
                </c:pt>
                <c:pt idx="45">
                  <c:v>1.076E-2</c:v>
                </c:pt>
                <c:pt idx="46">
                  <c:v>1.1779E-2</c:v>
                </c:pt>
                <c:pt idx="47">
                  <c:v>1.0824E-2</c:v>
                </c:pt>
                <c:pt idx="48">
                  <c:v>1.0689000000000001E-2</c:v>
                </c:pt>
                <c:pt idx="49">
                  <c:v>1.1507E-2</c:v>
                </c:pt>
                <c:pt idx="50">
                  <c:v>1.2865E-2</c:v>
                </c:pt>
                <c:pt idx="51">
                  <c:v>1.3050000000000001E-2</c:v>
                </c:pt>
                <c:pt idx="52">
                  <c:v>1.2789999999999999E-2</c:v>
                </c:pt>
                <c:pt idx="53">
                  <c:v>1.3254999999999999E-2</c:v>
                </c:pt>
                <c:pt idx="54">
                  <c:v>1.2839E-2</c:v>
                </c:pt>
                <c:pt idx="55">
                  <c:v>1.4781000000000001E-2</c:v>
                </c:pt>
                <c:pt idx="56">
                  <c:v>1.2942E-2</c:v>
                </c:pt>
                <c:pt idx="57">
                  <c:v>1.2844E-2</c:v>
                </c:pt>
                <c:pt idx="58">
                  <c:v>1.2939000000000001E-2</c:v>
                </c:pt>
                <c:pt idx="59">
                  <c:v>1.3096E-2</c:v>
                </c:pt>
                <c:pt idx="60">
                  <c:v>1.3164E-2</c:v>
                </c:pt>
                <c:pt idx="61">
                  <c:v>1.3391999999999999E-2</c:v>
                </c:pt>
                <c:pt idx="62">
                  <c:v>1.2657E-2</c:v>
                </c:pt>
                <c:pt idx="63">
                  <c:v>1.374E-2</c:v>
                </c:pt>
                <c:pt idx="64">
                  <c:v>1.3942E-2</c:v>
                </c:pt>
                <c:pt idx="65">
                  <c:v>1.3918E-2</c:v>
                </c:pt>
                <c:pt idx="66">
                  <c:v>1.3750999999999999E-2</c:v>
                </c:pt>
                <c:pt idx="67">
                  <c:v>1.4352E-2</c:v>
                </c:pt>
                <c:pt idx="68">
                  <c:v>1.4896E-2</c:v>
                </c:pt>
                <c:pt idx="69">
                  <c:v>1.336E-2</c:v>
                </c:pt>
                <c:pt idx="70">
                  <c:v>1.2749999999999999E-2</c:v>
                </c:pt>
                <c:pt idx="71">
                  <c:v>1.3627999999999999E-2</c:v>
                </c:pt>
                <c:pt idx="72">
                  <c:v>1.3011999999999999E-2</c:v>
                </c:pt>
                <c:pt idx="73">
                  <c:v>1.4798E-2</c:v>
                </c:pt>
                <c:pt idx="74">
                  <c:v>1.4853999999999999E-2</c:v>
                </c:pt>
                <c:pt idx="75">
                  <c:v>1.5199000000000001E-2</c:v>
                </c:pt>
                <c:pt idx="76">
                  <c:v>1.4466E-2</c:v>
                </c:pt>
                <c:pt idx="77">
                  <c:v>1.4707E-2</c:v>
                </c:pt>
                <c:pt idx="78">
                  <c:v>1.4201E-2</c:v>
                </c:pt>
                <c:pt idx="79">
                  <c:v>1.5100000000000001E-2</c:v>
                </c:pt>
                <c:pt idx="80">
                  <c:v>1.5337E-2</c:v>
                </c:pt>
                <c:pt idx="81">
                  <c:v>1.5521999999999999E-2</c:v>
                </c:pt>
                <c:pt idx="82">
                  <c:v>1.694E-2</c:v>
                </c:pt>
                <c:pt idx="83">
                  <c:v>1.5041000000000001E-2</c:v>
                </c:pt>
                <c:pt idx="84">
                  <c:v>1.4853999999999999E-2</c:v>
                </c:pt>
                <c:pt idx="85">
                  <c:v>1.5018E-2</c:v>
                </c:pt>
                <c:pt idx="86">
                  <c:v>1.5737000000000001E-2</c:v>
                </c:pt>
                <c:pt idx="87">
                  <c:v>1.5268E-2</c:v>
                </c:pt>
                <c:pt idx="88">
                  <c:v>1.4978999999999999E-2</c:v>
                </c:pt>
                <c:pt idx="89">
                  <c:v>1.5247E-2</c:v>
                </c:pt>
                <c:pt idx="90">
                  <c:v>1.635E-2</c:v>
                </c:pt>
                <c:pt idx="91">
                  <c:v>1.417E-2</c:v>
                </c:pt>
                <c:pt idx="92">
                  <c:v>1.427E-2</c:v>
                </c:pt>
                <c:pt idx="93">
                  <c:v>1.6933E-2</c:v>
                </c:pt>
                <c:pt idx="94">
                  <c:v>1.7346E-2</c:v>
                </c:pt>
                <c:pt idx="95">
                  <c:v>1.7041000000000001E-2</c:v>
                </c:pt>
                <c:pt idx="96">
                  <c:v>1.7913999999999999E-2</c:v>
                </c:pt>
                <c:pt idx="97">
                  <c:v>1.8154E-2</c:v>
                </c:pt>
                <c:pt idx="98">
                  <c:v>1.8391999999999999E-2</c:v>
                </c:pt>
                <c:pt idx="99">
                  <c:v>1.8998999999999999E-2</c:v>
                </c:pt>
                <c:pt idx="100">
                  <c:v>1.8598E-2</c:v>
                </c:pt>
                <c:pt idx="101">
                  <c:v>1.8832999999999999E-2</c:v>
                </c:pt>
                <c:pt idx="102">
                  <c:v>1.9126000000000001E-2</c:v>
                </c:pt>
                <c:pt idx="103">
                  <c:v>1.9791E-2</c:v>
                </c:pt>
                <c:pt idx="104">
                  <c:v>1.9557000000000001E-2</c:v>
                </c:pt>
                <c:pt idx="105">
                  <c:v>1.7944000000000002E-2</c:v>
                </c:pt>
                <c:pt idx="106">
                  <c:v>1.7144E-2</c:v>
                </c:pt>
                <c:pt idx="107">
                  <c:v>1.8162999999999999E-2</c:v>
                </c:pt>
                <c:pt idx="108">
                  <c:v>1.8499000000000002E-2</c:v>
                </c:pt>
                <c:pt idx="109">
                  <c:v>1.9244000000000001E-2</c:v>
                </c:pt>
                <c:pt idx="110">
                  <c:v>1.9296000000000001E-2</c:v>
                </c:pt>
                <c:pt idx="111">
                  <c:v>2.0497000000000001E-2</c:v>
                </c:pt>
                <c:pt idx="112">
                  <c:v>1.8377999999999999E-2</c:v>
                </c:pt>
                <c:pt idx="113">
                  <c:v>1.5204000000000001E-2</c:v>
                </c:pt>
                <c:pt idx="114">
                  <c:v>1.3951E-2</c:v>
                </c:pt>
                <c:pt idx="115">
                  <c:v>1.4211E-2</c:v>
                </c:pt>
                <c:pt idx="116">
                  <c:v>1.5769999999999999E-2</c:v>
                </c:pt>
                <c:pt idx="117">
                  <c:v>1.2695E-2</c:v>
                </c:pt>
                <c:pt idx="118">
                  <c:v>1.2348E-2</c:v>
                </c:pt>
                <c:pt idx="119">
                  <c:v>1.1945000000000001E-2</c:v>
                </c:pt>
                <c:pt idx="120">
                  <c:v>1.1875999999999999E-2</c:v>
                </c:pt>
                <c:pt idx="121">
                  <c:v>1.2711E-2</c:v>
                </c:pt>
                <c:pt idx="122">
                  <c:v>1.2158E-2</c:v>
                </c:pt>
                <c:pt idx="123">
                  <c:v>1.1198E-2</c:v>
                </c:pt>
                <c:pt idx="124">
                  <c:v>9.4669999999999997E-3</c:v>
                </c:pt>
                <c:pt idx="125">
                  <c:v>1.0153000000000001E-2</c:v>
                </c:pt>
                <c:pt idx="126">
                  <c:v>1.1469999999999999E-2</c:v>
                </c:pt>
                <c:pt idx="127">
                  <c:v>1.154E-2</c:v>
                </c:pt>
                <c:pt idx="128">
                  <c:v>1.1205E-2</c:v>
                </c:pt>
                <c:pt idx="129">
                  <c:v>1.7995000000000001E-2</c:v>
                </c:pt>
                <c:pt idx="130">
                  <c:v>9.4269999999999996E-3</c:v>
                </c:pt>
                <c:pt idx="131">
                  <c:v>8.3999999999999995E-3</c:v>
                </c:pt>
                <c:pt idx="132">
                  <c:v>8.0770000000000008E-3</c:v>
                </c:pt>
                <c:pt idx="133">
                  <c:v>8.2389999999999998E-3</c:v>
                </c:pt>
                <c:pt idx="134">
                  <c:v>8.4919999999999995E-3</c:v>
                </c:pt>
                <c:pt idx="135">
                  <c:v>8.4180000000000001E-3</c:v>
                </c:pt>
                <c:pt idx="136">
                  <c:v>8.0529999999999994E-3</c:v>
                </c:pt>
                <c:pt idx="137">
                  <c:v>8.711E-3</c:v>
                </c:pt>
                <c:pt idx="138">
                  <c:v>8.4799999999999997E-3</c:v>
                </c:pt>
                <c:pt idx="139">
                  <c:v>7.9170000000000004E-3</c:v>
                </c:pt>
                <c:pt idx="140">
                  <c:v>8.6189999999999999E-3</c:v>
                </c:pt>
                <c:pt idx="141">
                  <c:v>8.6730000000000002E-3</c:v>
                </c:pt>
                <c:pt idx="142">
                  <c:v>8.3510000000000008E-3</c:v>
                </c:pt>
                <c:pt idx="143">
                  <c:v>1.0703000000000001E-2</c:v>
                </c:pt>
                <c:pt idx="144">
                  <c:v>1.0800000000000001E-2</c:v>
                </c:pt>
                <c:pt idx="145">
                  <c:v>1.0267999999999999E-2</c:v>
                </c:pt>
                <c:pt idx="146">
                  <c:v>1.027E-2</c:v>
                </c:pt>
                <c:pt idx="147">
                  <c:v>1.0095E-2</c:v>
                </c:pt>
                <c:pt idx="148">
                  <c:v>1.0264000000000001E-2</c:v>
                </c:pt>
                <c:pt idx="149">
                  <c:v>1.0155000000000001E-2</c:v>
                </c:pt>
                <c:pt idx="150">
                  <c:v>9.6509999999999999E-3</c:v>
                </c:pt>
                <c:pt idx="151">
                  <c:v>9.606E-3</c:v>
                </c:pt>
                <c:pt idx="152">
                  <c:v>9.5949999999999994E-3</c:v>
                </c:pt>
                <c:pt idx="153">
                  <c:v>1.0192E-2</c:v>
                </c:pt>
                <c:pt idx="154">
                  <c:v>9.3130000000000001E-3</c:v>
                </c:pt>
                <c:pt idx="155">
                  <c:v>9.9830000000000006E-3</c:v>
                </c:pt>
                <c:pt idx="156">
                  <c:v>9.6880000000000004E-3</c:v>
                </c:pt>
                <c:pt idx="157">
                  <c:v>1.0918000000000001E-2</c:v>
                </c:pt>
                <c:pt idx="158">
                  <c:v>9.4909999999999994E-3</c:v>
                </c:pt>
                <c:pt idx="159">
                  <c:v>9.3469999999999994E-3</c:v>
                </c:pt>
                <c:pt idx="160">
                  <c:v>9.7579999999999993E-3</c:v>
                </c:pt>
                <c:pt idx="161">
                  <c:v>9.443E-3</c:v>
                </c:pt>
                <c:pt idx="162">
                  <c:v>8.9569999999999997E-3</c:v>
                </c:pt>
                <c:pt idx="163">
                  <c:v>8.992E-3</c:v>
                </c:pt>
                <c:pt idx="164">
                  <c:v>9.8580000000000004E-3</c:v>
                </c:pt>
                <c:pt idx="165">
                  <c:v>1.0222999999999999E-2</c:v>
                </c:pt>
                <c:pt idx="166">
                  <c:v>9.8630000000000002E-3</c:v>
                </c:pt>
                <c:pt idx="167">
                  <c:v>9.2849999999999999E-3</c:v>
                </c:pt>
                <c:pt idx="168">
                  <c:v>8.3999999999999995E-3</c:v>
                </c:pt>
                <c:pt idx="169">
                  <c:v>8.5570000000000004E-3</c:v>
                </c:pt>
                <c:pt idx="170">
                  <c:v>8.3119999999999999E-3</c:v>
                </c:pt>
                <c:pt idx="171">
                  <c:v>8.5730000000000008E-3</c:v>
                </c:pt>
                <c:pt idx="172">
                  <c:v>7.5500000000000003E-3</c:v>
                </c:pt>
                <c:pt idx="173">
                  <c:v>7.4060000000000003E-3</c:v>
                </c:pt>
                <c:pt idx="174">
                  <c:v>7.3239999999999998E-3</c:v>
                </c:pt>
                <c:pt idx="175">
                  <c:v>7.2420000000000002E-3</c:v>
                </c:pt>
                <c:pt idx="176">
                  <c:v>7.1289999999999999E-3</c:v>
                </c:pt>
                <c:pt idx="177">
                  <c:v>7.0569999999999999E-3</c:v>
                </c:pt>
                <c:pt idx="178">
                  <c:v>7.7489999999999998E-3</c:v>
                </c:pt>
                <c:pt idx="179">
                  <c:v>8.5159999999999993E-3</c:v>
                </c:pt>
                <c:pt idx="180">
                  <c:v>8.3079999999999994E-3</c:v>
                </c:pt>
                <c:pt idx="181">
                  <c:v>8.4419999999999999E-3</c:v>
                </c:pt>
                <c:pt idx="182">
                  <c:v>7.9299999999999995E-3</c:v>
                </c:pt>
                <c:pt idx="183">
                  <c:v>7.6369999999999997E-3</c:v>
                </c:pt>
                <c:pt idx="184">
                  <c:v>7.5770000000000004E-3</c:v>
                </c:pt>
                <c:pt idx="185">
                  <c:v>7.3850000000000001E-3</c:v>
                </c:pt>
                <c:pt idx="186">
                  <c:v>7.1919999999999996E-3</c:v>
                </c:pt>
                <c:pt idx="187">
                  <c:v>6.9940000000000002E-3</c:v>
                </c:pt>
                <c:pt idx="188">
                  <c:v>6.7590000000000003E-3</c:v>
                </c:pt>
                <c:pt idx="189">
                  <c:v>6.6480000000000003E-3</c:v>
                </c:pt>
                <c:pt idx="190">
                  <c:v>6.581E-3</c:v>
                </c:pt>
                <c:pt idx="191">
                  <c:v>5.8710000000000004E-3</c:v>
                </c:pt>
                <c:pt idx="192">
                  <c:v>6.3049999999999998E-3</c:v>
                </c:pt>
                <c:pt idx="193">
                  <c:v>7.1089999999999999E-3</c:v>
                </c:pt>
                <c:pt idx="194">
                  <c:v>7.0169999999999998E-3</c:v>
                </c:pt>
                <c:pt idx="195">
                  <c:v>7.2500000000000004E-3</c:v>
                </c:pt>
                <c:pt idx="196">
                  <c:v>7.1970000000000003E-3</c:v>
                </c:pt>
                <c:pt idx="197">
                  <c:v>7.4390000000000003E-3</c:v>
                </c:pt>
                <c:pt idx="198">
                  <c:v>7.1890000000000001E-3</c:v>
                </c:pt>
                <c:pt idx="199">
                  <c:v>7.6340000000000002E-3</c:v>
                </c:pt>
                <c:pt idx="200">
                  <c:v>7.9760000000000005E-3</c:v>
                </c:pt>
                <c:pt idx="201">
                  <c:v>7.8220000000000008E-3</c:v>
                </c:pt>
                <c:pt idx="202">
                  <c:v>7.9799999999999992E-3</c:v>
                </c:pt>
                <c:pt idx="203">
                  <c:v>7.7250000000000001E-3</c:v>
                </c:pt>
                <c:pt idx="204">
                  <c:v>8.6510000000000007E-3</c:v>
                </c:pt>
                <c:pt idx="205">
                  <c:v>8.2430000000000003E-3</c:v>
                </c:pt>
                <c:pt idx="206">
                  <c:v>8.0490000000000006E-3</c:v>
                </c:pt>
                <c:pt idx="207">
                  <c:v>8.6040000000000005E-3</c:v>
                </c:pt>
                <c:pt idx="208">
                  <c:v>8.5660000000000007E-3</c:v>
                </c:pt>
                <c:pt idx="209">
                  <c:v>8.0669999999999995E-3</c:v>
                </c:pt>
                <c:pt idx="210">
                  <c:v>7.9959999999999996E-3</c:v>
                </c:pt>
                <c:pt idx="211">
                  <c:v>8.6499999999999997E-3</c:v>
                </c:pt>
                <c:pt idx="212">
                  <c:v>8.4279999999999997E-3</c:v>
                </c:pt>
                <c:pt idx="213">
                  <c:v>7.9109999999999996E-3</c:v>
                </c:pt>
                <c:pt idx="214">
                  <c:v>7.404E-3</c:v>
                </c:pt>
                <c:pt idx="215">
                  <c:v>6.9550000000000002E-3</c:v>
                </c:pt>
                <c:pt idx="216">
                  <c:v>7.0759999999999998E-3</c:v>
                </c:pt>
                <c:pt idx="217">
                  <c:v>7.9070000000000008E-3</c:v>
                </c:pt>
                <c:pt idx="218">
                  <c:v>7.3709999999999999E-3</c:v>
                </c:pt>
                <c:pt idx="219">
                  <c:v>6.6660000000000001E-3</c:v>
                </c:pt>
                <c:pt idx="220">
                  <c:v>7.3039999999999997E-3</c:v>
                </c:pt>
                <c:pt idx="221">
                  <c:v>8.9339999999999992E-3</c:v>
                </c:pt>
                <c:pt idx="222">
                  <c:v>8.9549999999999994E-3</c:v>
                </c:pt>
                <c:pt idx="223">
                  <c:v>9.2619999999999994E-3</c:v>
                </c:pt>
                <c:pt idx="224">
                  <c:v>9.8180000000000003E-3</c:v>
                </c:pt>
                <c:pt idx="225">
                  <c:v>1.0166E-2</c:v>
                </c:pt>
                <c:pt idx="226">
                  <c:v>1.0342E-2</c:v>
                </c:pt>
                <c:pt idx="227">
                  <c:v>1.115E-2</c:v>
                </c:pt>
                <c:pt idx="228">
                  <c:v>1.0371999999999999E-2</c:v>
                </c:pt>
                <c:pt idx="229">
                  <c:v>9.9249999999999998E-3</c:v>
                </c:pt>
                <c:pt idx="230">
                  <c:v>1.0293999999999999E-2</c:v>
                </c:pt>
                <c:pt idx="231">
                  <c:v>1.1155999999999999E-2</c:v>
                </c:pt>
                <c:pt idx="232">
                  <c:v>1.1093E-2</c:v>
                </c:pt>
                <c:pt idx="233">
                  <c:v>1.0462000000000001E-2</c:v>
                </c:pt>
                <c:pt idx="234">
                  <c:v>9.2320000000000006E-3</c:v>
                </c:pt>
                <c:pt idx="235">
                  <c:v>1.0931E-2</c:v>
                </c:pt>
                <c:pt idx="236">
                  <c:v>8.5649999999999997E-3</c:v>
                </c:pt>
                <c:pt idx="237">
                  <c:v>8.9969999999999998E-3</c:v>
                </c:pt>
                <c:pt idx="238">
                  <c:v>9.9480000000000002E-3</c:v>
                </c:pt>
                <c:pt idx="239">
                  <c:v>9.3030000000000005E-3</c:v>
                </c:pt>
                <c:pt idx="240">
                  <c:v>8.6309999999999998E-3</c:v>
                </c:pt>
                <c:pt idx="241">
                  <c:v>9.1680000000000008E-3</c:v>
                </c:pt>
                <c:pt idx="242">
                  <c:v>8.6599999999999993E-3</c:v>
                </c:pt>
                <c:pt idx="243">
                  <c:v>8.1519999999999995E-3</c:v>
                </c:pt>
                <c:pt idx="244">
                  <c:v>9.1050000000000002E-3</c:v>
                </c:pt>
                <c:pt idx="245">
                  <c:v>1.0299000000000001E-2</c:v>
                </c:pt>
                <c:pt idx="246">
                  <c:v>1.09E-2</c:v>
                </c:pt>
                <c:pt idx="247">
                  <c:v>1.0331E-2</c:v>
                </c:pt>
                <c:pt idx="248">
                  <c:v>9.5589999999999998E-3</c:v>
                </c:pt>
                <c:pt idx="249">
                  <c:v>7.9399999999999991E-3</c:v>
                </c:pt>
                <c:pt idx="250">
                  <c:v>9.9039999999999996E-3</c:v>
                </c:pt>
                <c:pt idx="251">
                  <c:v>1.0361E-2</c:v>
                </c:pt>
                <c:pt idx="252">
                  <c:v>1.2859000000000001E-2</c:v>
                </c:pt>
                <c:pt idx="253">
                  <c:v>1.1042E-2</c:v>
                </c:pt>
                <c:pt idx="254">
                  <c:v>1.7491E-2</c:v>
                </c:pt>
                <c:pt idx="255">
                  <c:v>1.5474999999999999E-2</c:v>
                </c:pt>
                <c:pt idx="256">
                  <c:v>1.6794E-2</c:v>
                </c:pt>
                <c:pt idx="257">
                  <c:v>1.7595E-2</c:v>
                </c:pt>
                <c:pt idx="258">
                  <c:v>1.8932999999999998E-2</c:v>
                </c:pt>
                <c:pt idx="259">
                  <c:v>1.7042999999999999E-2</c:v>
                </c:pt>
                <c:pt idx="260">
                  <c:v>1.6892000000000001E-2</c:v>
                </c:pt>
                <c:pt idx="261">
                  <c:v>2.0524000000000001E-2</c:v>
                </c:pt>
                <c:pt idx="262">
                  <c:v>1.9761999999999998E-2</c:v>
                </c:pt>
                <c:pt idx="263">
                  <c:v>2.1524999999999999E-2</c:v>
                </c:pt>
                <c:pt idx="264">
                  <c:v>2.2030999999999999E-2</c:v>
                </c:pt>
                <c:pt idx="265">
                  <c:v>2.2831000000000001E-2</c:v>
                </c:pt>
                <c:pt idx="266">
                  <c:v>2.2998999999999999E-2</c:v>
                </c:pt>
                <c:pt idx="267">
                  <c:v>2.2171E-2</c:v>
                </c:pt>
                <c:pt idx="268">
                  <c:v>1.9685999999999999E-2</c:v>
                </c:pt>
                <c:pt idx="269">
                  <c:v>2.2967000000000001E-2</c:v>
                </c:pt>
                <c:pt idx="270">
                  <c:v>2.3148999999999999E-2</c:v>
                </c:pt>
                <c:pt idx="271">
                  <c:v>2.3125E-2</c:v>
                </c:pt>
                <c:pt idx="272">
                  <c:v>2.3236E-2</c:v>
                </c:pt>
                <c:pt idx="273">
                  <c:v>2.1308000000000001E-2</c:v>
                </c:pt>
                <c:pt idx="274">
                  <c:v>2.1829999999999999E-2</c:v>
                </c:pt>
                <c:pt idx="275">
                  <c:v>2.3229E-2</c:v>
                </c:pt>
                <c:pt idx="276">
                  <c:v>2.0674000000000001E-2</c:v>
                </c:pt>
                <c:pt idx="277">
                  <c:v>1.7349E-2</c:v>
                </c:pt>
                <c:pt idx="278">
                  <c:v>1.8101200000000001E-2</c:v>
                </c:pt>
                <c:pt idx="279">
                  <c:v>1.81189E-2</c:v>
                </c:pt>
                <c:pt idx="280">
                  <c:v>1.8974600000000001E-2</c:v>
                </c:pt>
                <c:pt idx="281">
                  <c:v>2.2096899999999999E-2</c:v>
                </c:pt>
                <c:pt idx="282">
                  <c:v>2.4247700000000001E-2</c:v>
                </c:pt>
                <c:pt idx="283">
                  <c:v>2.5254700000000001E-2</c:v>
                </c:pt>
                <c:pt idx="284">
                  <c:v>2.74556E-2</c:v>
                </c:pt>
                <c:pt idx="285">
                  <c:v>3.0760099999999999E-2</c:v>
                </c:pt>
                <c:pt idx="286">
                  <c:v>2.9602199999999999E-2</c:v>
                </c:pt>
                <c:pt idx="287">
                  <c:v>2.7009499999999999E-2</c:v>
                </c:pt>
                <c:pt idx="288">
                  <c:v>2.6421E-2</c:v>
                </c:pt>
                <c:pt idx="289">
                  <c:v>2.4550099999999998E-2</c:v>
                </c:pt>
                <c:pt idx="290">
                  <c:v>2.4826500000000001E-2</c:v>
                </c:pt>
                <c:pt idx="291">
                  <c:v>2.7336599999999999E-2</c:v>
                </c:pt>
                <c:pt idx="292">
                  <c:v>2.8033300000000001E-2</c:v>
                </c:pt>
                <c:pt idx="293">
                  <c:v>2.88887E-2</c:v>
                </c:pt>
                <c:pt idx="294">
                  <c:v>2.8528999999999999E-2</c:v>
                </c:pt>
                <c:pt idx="295">
                  <c:v>2.6571500000000001E-2</c:v>
                </c:pt>
                <c:pt idx="296">
                  <c:v>2.9799800000000001E-2</c:v>
                </c:pt>
                <c:pt idx="297">
                  <c:v>2.90155E-2</c:v>
                </c:pt>
                <c:pt idx="298">
                  <c:v>2.6200000000000001E-2</c:v>
                </c:pt>
                <c:pt idx="299">
                  <c:v>2.3796500000000002E-2</c:v>
                </c:pt>
                <c:pt idx="300">
                  <c:v>2.6366799999999999E-2</c:v>
                </c:pt>
                <c:pt idx="301">
                  <c:v>2.7847E-2</c:v>
                </c:pt>
                <c:pt idx="302">
                  <c:v>2.6289900000000001E-2</c:v>
                </c:pt>
                <c:pt idx="303">
                  <c:v>2.4471799999999998E-2</c:v>
                </c:pt>
                <c:pt idx="304">
                  <c:v>2.3790100000000002E-2</c:v>
                </c:pt>
                <c:pt idx="305">
                  <c:v>2.4067999999999999E-2</c:v>
                </c:pt>
                <c:pt idx="306">
                  <c:v>2.3552199999999999E-2</c:v>
                </c:pt>
                <c:pt idx="307">
                  <c:v>2.2641000000000001E-2</c:v>
                </c:pt>
                <c:pt idx="308">
                  <c:v>1.9945000000000001E-2</c:v>
                </c:pt>
                <c:pt idx="309">
                  <c:v>2.1746399999999999E-2</c:v>
                </c:pt>
                <c:pt idx="310">
                  <c:v>2.26278E-2</c:v>
                </c:pt>
                <c:pt idx="311">
                  <c:v>2.32348E-2</c:v>
                </c:pt>
                <c:pt idx="312">
                  <c:v>2.4106200000000001E-2</c:v>
                </c:pt>
                <c:pt idx="313">
                  <c:v>2.2173999999999999E-2</c:v>
                </c:pt>
                <c:pt idx="314">
                  <c:v>2.3052699999999999E-2</c:v>
                </c:pt>
                <c:pt idx="315">
                  <c:v>1.94399E-2</c:v>
                </c:pt>
                <c:pt idx="316">
                  <c:v>1.9896199999999999E-2</c:v>
                </c:pt>
                <c:pt idx="317">
                  <c:v>2.02881E-2</c:v>
                </c:pt>
                <c:pt idx="318">
                  <c:v>2.14232E-2</c:v>
                </c:pt>
                <c:pt idx="319">
                  <c:v>1.5766800000000001E-2</c:v>
                </c:pt>
                <c:pt idx="320">
                  <c:v>1.6637300000000001E-2</c:v>
                </c:pt>
                <c:pt idx="321">
                  <c:v>1.5101E-2</c:v>
                </c:pt>
                <c:pt idx="322">
                  <c:v>1.17675E-2</c:v>
                </c:pt>
                <c:pt idx="323">
                  <c:v>1.26114E-2</c:v>
                </c:pt>
                <c:pt idx="324">
                  <c:v>1.04107E-2</c:v>
                </c:pt>
                <c:pt idx="325">
                  <c:v>9.0857000000000004E-3</c:v>
                </c:pt>
                <c:pt idx="326">
                  <c:v>8.9373999999999999E-3</c:v>
                </c:pt>
                <c:pt idx="327">
                  <c:v>9.3364999999999993E-3</c:v>
                </c:pt>
                <c:pt idx="328">
                  <c:v>8.7833000000000008E-3</c:v>
                </c:pt>
                <c:pt idx="329">
                  <c:v>7.4019999999999997E-3</c:v>
                </c:pt>
                <c:pt idx="330">
                  <c:v>7.6350000000000003E-3</c:v>
                </c:pt>
                <c:pt idx="331">
                  <c:v>7.1199999999999996E-3</c:v>
                </c:pt>
                <c:pt idx="332">
                  <c:v>7.4136000000000002E-3</c:v>
                </c:pt>
                <c:pt idx="333">
                  <c:v>7.0742000000000001E-3</c:v>
                </c:pt>
                <c:pt idx="334">
                  <c:v>7.2151000000000003E-3</c:v>
                </c:pt>
                <c:pt idx="335">
                  <c:v>6.8224000000000002E-3</c:v>
                </c:pt>
                <c:pt idx="336">
                  <c:v>7.1773999999999996E-3</c:v>
                </c:pt>
                <c:pt idx="337">
                  <c:v>7.3010999999999996E-3</c:v>
                </c:pt>
                <c:pt idx="338">
                  <c:v>6.5167000000000003E-3</c:v>
                </c:pt>
                <c:pt idx="339">
                  <c:v>8.1058999999999992E-3</c:v>
                </c:pt>
                <c:pt idx="340">
                  <c:v>9.1760000000000001E-3</c:v>
                </c:pt>
                <c:pt idx="341">
                  <c:v>9.1623999999999994E-3</c:v>
                </c:pt>
                <c:pt idx="342">
                  <c:v>8.9864000000000003E-3</c:v>
                </c:pt>
                <c:pt idx="343">
                  <c:v>9.1864000000000008E-3</c:v>
                </c:pt>
                <c:pt idx="344">
                  <c:v>8.5050000000000004E-3</c:v>
                </c:pt>
                <c:pt idx="345">
                  <c:v>8.3821999999999994E-3</c:v>
                </c:pt>
                <c:pt idx="346">
                  <c:v>8.1825000000000005E-3</c:v>
                </c:pt>
                <c:pt idx="347">
                  <c:v>9.3676999999999996E-3</c:v>
                </c:pt>
                <c:pt idx="348">
                  <c:v>9.8648999999999994E-3</c:v>
                </c:pt>
                <c:pt idx="349">
                  <c:v>8.5083999999999993E-3</c:v>
                </c:pt>
                <c:pt idx="350">
                  <c:v>7.4951999999999996E-3</c:v>
                </c:pt>
                <c:pt idx="351">
                  <c:v>7.1088000000000002E-3</c:v>
                </c:pt>
                <c:pt idx="352">
                  <c:v>7.4460000000000004E-3</c:v>
                </c:pt>
                <c:pt idx="353">
                  <c:v>5.6468000000000004E-3</c:v>
                </c:pt>
                <c:pt idx="354">
                  <c:v>5.1815999999999997E-3</c:v>
                </c:pt>
                <c:pt idx="355">
                  <c:v>5.2741000000000003E-3</c:v>
                </c:pt>
                <c:pt idx="356">
                  <c:v>5.8999999999999999E-3</c:v>
                </c:pt>
                <c:pt idx="357">
                  <c:v>5.6860000000000001E-3</c:v>
                </c:pt>
                <c:pt idx="358">
                  <c:v>5.7060000000000001E-3</c:v>
                </c:pt>
                <c:pt idx="359">
                  <c:v>4.9099E-3</c:v>
                </c:pt>
                <c:pt idx="360">
                  <c:v>4.4615999999999996E-3</c:v>
                </c:pt>
                <c:pt idx="361">
                  <c:v>4.2344000000000001E-3</c:v>
                </c:pt>
                <c:pt idx="362">
                  <c:v>4.1685000000000003E-3</c:v>
                </c:pt>
                <c:pt idx="363">
                  <c:v>4.0813000000000004E-3</c:v>
                </c:pt>
                <c:pt idx="364">
                  <c:v>3.8696999999999998E-3</c:v>
                </c:pt>
                <c:pt idx="365">
                  <c:v>3.4328000000000002E-3</c:v>
                </c:pt>
                <c:pt idx="366">
                  <c:v>3.7196999999999998E-3</c:v>
                </c:pt>
                <c:pt idx="367">
                  <c:v>3.7523000000000001E-3</c:v>
                </c:pt>
                <c:pt idx="368">
                  <c:v>3.8861999999999998E-3</c:v>
                </c:pt>
                <c:pt idx="369">
                  <c:v>3.9306000000000002E-3</c:v>
                </c:pt>
                <c:pt idx="370">
                  <c:v>3.7588000000000001E-3</c:v>
                </c:pt>
                <c:pt idx="371">
                  <c:v>3.7073000000000002E-3</c:v>
                </c:pt>
                <c:pt idx="372">
                  <c:v>3.7864999999999999E-3</c:v>
                </c:pt>
                <c:pt idx="373">
                  <c:v>3.7044000000000001E-3</c:v>
                </c:pt>
                <c:pt idx="374">
                  <c:v>3.9290000000000002E-3</c:v>
                </c:pt>
                <c:pt idx="375">
                  <c:v>3.8598999999999999E-3</c:v>
                </c:pt>
                <c:pt idx="376">
                  <c:v>3.8503999999999999E-3</c:v>
                </c:pt>
                <c:pt idx="377">
                  <c:v>3.3972999999999998E-3</c:v>
                </c:pt>
                <c:pt idx="378">
                  <c:v>3.5820000000000001E-3</c:v>
                </c:pt>
                <c:pt idx="379">
                  <c:v>3.3912E-3</c:v>
                </c:pt>
                <c:pt idx="380">
                  <c:v>3.2666000000000001E-3</c:v>
                </c:pt>
                <c:pt idx="381">
                  <c:v>3.7448E-3</c:v>
                </c:pt>
                <c:pt idx="382">
                  <c:v>3.3400000000000001E-3</c:v>
                </c:pt>
                <c:pt idx="383">
                  <c:v>3.3219E-3</c:v>
                </c:pt>
                <c:pt idx="384">
                  <c:v>3.3682E-3</c:v>
                </c:pt>
                <c:pt idx="385">
                  <c:v>2.9878000000000001E-3</c:v>
                </c:pt>
                <c:pt idx="386">
                  <c:v>2.8203999999999998E-3</c:v>
                </c:pt>
                <c:pt idx="387">
                  <c:v>2.8048000000000001E-3</c:v>
                </c:pt>
                <c:pt idx="388">
                  <c:v>2.7290999999999999E-3</c:v>
                </c:pt>
                <c:pt idx="389">
                  <c:v>2.7455000000000001E-3</c:v>
                </c:pt>
                <c:pt idx="390">
                  <c:v>2.5837999999999998E-3</c:v>
                </c:pt>
                <c:pt idx="391">
                  <c:v>2.4837000000000001E-3</c:v>
                </c:pt>
                <c:pt idx="392">
                  <c:v>2.3335999999999999E-3</c:v>
                </c:pt>
                <c:pt idx="393">
                  <c:v>2.3739999999999998E-3</c:v>
                </c:pt>
                <c:pt idx="394">
                  <c:v>2.4616999999999998E-3</c:v>
                </c:pt>
                <c:pt idx="395">
                  <c:v>2.7306000000000001E-3</c:v>
                </c:pt>
                <c:pt idx="396">
                  <c:v>2.7409000000000001E-3</c:v>
                </c:pt>
                <c:pt idx="397">
                  <c:v>2.7268000000000001E-3</c:v>
                </c:pt>
                <c:pt idx="398">
                  <c:v>2.5926999999999999E-3</c:v>
                </c:pt>
                <c:pt idx="399">
                  <c:v>2.6678000000000001E-3</c:v>
                </c:pt>
                <c:pt idx="400">
                  <c:v>2.4591000000000001E-3</c:v>
                </c:pt>
                <c:pt idx="401">
                  <c:v>3.2823000000000001E-3</c:v>
                </c:pt>
                <c:pt idx="402">
                  <c:v>2.9240999999999998E-3</c:v>
                </c:pt>
                <c:pt idx="403">
                  <c:v>3.1606E-3</c:v>
                </c:pt>
                <c:pt idx="404">
                  <c:v>2.9694000000000001E-3</c:v>
                </c:pt>
                <c:pt idx="405">
                  <c:v>3.0466E-3</c:v>
                </c:pt>
                <c:pt idx="406">
                  <c:v>2.9093999999999999E-3</c:v>
                </c:pt>
                <c:pt idx="407">
                  <c:v>3.0100000000000001E-3</c:v>
                </c:pt>
                <c:pt idx="408">
                  <c:v>2.8046999999999998E-3</c:v>
                </c:pt>
                <c:pt idx="409">
                  <c:v>2.7198000000000001E-3</c:v>
                </c:pt>
                <c:pt idx="410">
                  <c:v>2.7410999999999998E-3</c:v>
                </c:pt>
                <c:pt idx="411">
                  <c:v>2.7466000000000001E-3</c:v>
                </c:pt>
                <c:pt idx="412">
                  <c:v>2.5998000000000002E-3</c:v>
                </c:pt>
                <c:pt idx="413">
                  <c:v>2.7314000000000001E-3</c:v>
                </c:pt>
                <c:pt idx="414">
                  <c:v>2.8798999999999999E-3</c:v>
                </c:pt>
                <c:pt idx="415">
                  <c:v>2.8676999999999999E-3</c:v>
                </c:pt>
                <c:pt idx="416">
                  <c:v>2.895E-3</c:v>
                </c:pt>
                <c:pt idx="417">
                  <c:v>2.9099999999999998E-3</c:v>
                </c:pt>
                <c:pt idx="418">
                  <c:v>2.9382000000000002E-3</c:v>
                </c:pt>
                <c:pt idx="419">
                  <c:v>2.8332000000000001E-3</c:v>
                </c:pt>
                <c:pt idx="420">
                  <c:v>3.0159000000000002E-3</c:v>
                </c:pt>
                <c:pt idx="421">
                  <c:v>2.9382000000000002E-3</c:v>
                </c:pt>
                <c:pt idx="422">
                  <c:v>2.8495E-3</c:v>
                </c:pt>
                <c:pt idx="423">
                  <c:v>3.0336E-3</c:v>
                </c:pt>
                <c:pt idx="424">
                  <c:v>2.7886999999999999E-3</c:v>
                </c:pt>
                <c:pt idx="425">
                  <c:v>2.8714999999999999E-3</c:v>
                </c:pt>
                <c:pt idx="426">
                  <c:v>2.8283000000000002E-3</c:v>
                </c:pt>
                <c:pt idx="427">
                  <c:v>2.8400000000000001E-3</c:v>
                </c:pt>
                <c:pt idx="428">
                  <c:v>3.2728000000000002E-3</c:v>
                </c:pt>
                <c:pt idx="429">
                  <c:v>3.2601000000000002E-3</c:v>
                </c:pt>
                <c:pt idx="430">
                  <c:v>3.0121000000000002E-3</c:v>
                </c:pt>
                <c:pt idx="431">
                  <c:v>2.8111E-3</c:v>
                </c:pt>
                <c:pt idx="432">
                  <c:v>2.9003000000000002E-3</c:v>
                </c:pt>
                <c:pt idx="433">
                  <c:v>2.6909999999999998E-3</c:v>
                </c:pt>
                <c:pt idx="434">
                  <c:v>2.6962000000000002E-3</c:v>
                </c:pt>
                <c:pt idx="435">
                  <c:v>2.7548999999999998E-3</c:v>
                </c:pt>
                <c:pt idx="436">
                  <c:v>2.7019000000000001E-3</c:v>
                </c:pt>
                <c:pt idx="437">
                  <c:v>2.8297000000000001E-3</c:v>
                </c:pt>
                <c:pt idx="438">
                  <c:v>2.7526999999999999E-3</c:v>
                </c:pt>
                <c:pt idx="439">
                  <c:v>2.7881E-3</c:v>
                </c:pt>
                <c:pt idx="440">
                  <c:v>2.8573000000000001E-3</c:v>
                </c:pt>
                <c:pt idx="441">
                  <c:v>2.7005000000000002E-3</c:v>
                </c:pt>
                <c:pt idx="442">
                  <c:v>2.9932000000000001E-3</c:v>
                </c:pt>
                <c:pt idx="443">
                  <c:v>2.96E-3</c:v>
                </c:pt>
                <c:pt idx="444">
                  <c:v>2.7810000000000001E-3</c:v>
                </c:pt>
                <c:pt idx="445">
                  <c:v>2.7951E-3</c:v>
                </c:pt>
                <c:pt idx="446">
                  <c:v>2.6805000000000002E-3</c:v>
                </c:pt>
                <c:pt idx="447">
                  <c:v>2.9954999999999999E-3</c:v>
                </c:pt>
                <c:pt idx="448">
                  <c:v>2.6432000000000001E-3</c:v>
                </c:pt>
                <c:pt idx="449">
                  <c:v>2.4112000000000001E-3</c:v>
                </c:pt>
                <c:pt idx="450">
                  <c:v>2.4072E-3</c:v>
                </c:pt>
                <c:pt idx="451">
                  <c:v>2.5934999999999999E-3</c:v>
                </c:pt>
                <c:pt idx="452">
                  <c:v>2.6286E-3</c:v>
                </c:pt>
                <c:pt idx="453">
                  <c:v>2.6928E-3</c:v>
                </c:pt>
                <c:pt idx="454">
                  <c:v>2.6094E-3</c:v>
                </c:pt>
                <c:pt idx="455">
                  <c:v>2.5617000000000001E-3</c:v>
                </c:pt>
                <c:pt idx="456">
                  <c:v>2.5866999999999999E-3</c:v>
                </c:pt>
                <c:pt idx="457">
                  <c:v>2.7637E-3</c:v>
                </c:pt>
                <c:pt idx="458">
                  <c:v>2.7095999999999999E-3</c:v>
                </c:pt>
                <c:pt idx="459">
                  <c:v>2.8497000000000001E-3</c:v>
                </c:pt>
                <c:pt idx="460">
                  <c:v>2.9738E-3</c:v>
                </c:pt>
                <c:pt idx="461">
                  <c:v>2.9856000000000001E-3</c:v>
                </c:pt>
                <c:pt idx="462">
                  <c:v>2.9838E-3</c:v>
                </c:pt>
                <c:pt idx="463">
                  <c:v>2.9548E-3</c:v>
                </c:pt>
                <c:pt idx="464">
                  <c:v>2.9899000000000002E-3</c:v>
                </c:pt>
                <c:pt idx="465">
                  <c:v>3.1056999999999999E-3</c:v>
                </c:pt>
                <c:pt idx="466">
                  <c:v>3.1148999999999999E-3</c:v>
                </c:pt>
                <c:pt idx="467">
                  <c:v>3.0986999999999998E-3</c:v>
                </c:pt>
                <c:pt idx="468">
                  <c:v>3.0929999999999998E-3</c:v>
                </c:pt>
                <c:pt idx="469">
                  <c:v>3.1806E-3</c:v>
                </c:pt>
                <c:pt idx="470">
                  <c:v>3.4083E-3</c:v>
                </c:pt>
                <c:pt idx="471">
                  <c:v>3.2701000000000002E-3</c:v>
                </c:pt>
                <c:pt idx="472">
                  <c:v>3.2528000000000001E-3</c:v>
                </c:pt>
                <c:pt idx="473">
                  <c:v>3.2031E-3</c:v>
                </c:pt>
                <c:pt idx="474">
                  <c:v>3.1687E-3</c:v>
                </c:pt>
                <c:pt idx="475">
                  <c:v>3.2220999999999999E-3</c:v>
                </c:pt>
                <c:pt idx="476">
                  <c:v>2.9618999999999999E-3</c:v>
                </c:pt>
                <c:pt idx="477">
                  <c:v>2.8777E-3</c:v>
                </c:pt>
                <c:pt idx="478">
                  <c:v>2.8023000000000002E-3</c:v>
                </c:pt>
                <c:pt idx="479">
                  <c:v>2.9209000000000001E-3</c:v>
                </c:pt>
                <c:pt idx="480">
                  <c:v>2.9443999999999998E-3</c:v>
                </c:pt>
                <c:pt idx="481">
                  <c:v>2.9889999999999999E-3</c:v>
                </c:pt>
                <c:pt idx="482">
                  <c:v>2.9600999999999998E-3</c:v>
                </c:pt>
                <c:pt idx="483">
                  <c:v>3.2390000000000001E-3</c:v>
                </c:pt>
                <c:pt idx="484">
                  <c:v>3.3E-3</c:v>
                </c:pt>
                <c:pt idx="485">
                  <c:v>3.3649000000000001E-3</c:v>
                </c:pt>
                <c:pt idx="486">
                  <c:v>3.1220000000000002E-3</c:v>
                </c:pt>
                <c:pt idx="487">
                  <c:v>3.0921999999999998E-3</c:v>
                </c:pt>
                <c:pt idx="488">
                  <c:v>3.0363E-3</c:v>
                </c:pt>
                <c:pt idx="489">
                  <c:v>3.0482999999999999E-3</c:v>
                </c:pt>
                <c:pt idx="490">
                  <c:v>2.9199E-3</c:v>
                </c:pt>
                <c:pt idx="491">
                  <c:v>2.6576E-3</c:v>
                </c:pt>
                <c:pt idx="492">
                  <c:v>2.8547999999999998E-3</c:v>
                </c:pt>
                <c:pt idx="493">
                  <c:v>2.8690999999999999E-3</c:v>
                </c:pt>
                <c:pt idx="494">
                  <c:v>3.5138000000000001E-3</c:v>
                </c:pt>
                <c:pt idx="495">
                  <c:v>3.6200999999999998E-3</c:v>
                </c:pt>
                <c:pt idx="496">
                  <c:v>3.5328999999999998E-3</c:v>
                </c:pt>
                <c:pt idx="497">
                  <c:v>3.5999000000000001E-3</c:v>
                </c:pt>
                <c:pt idx="498">
                  <c:v>3.5454000000000002E-3</c:v>
                </c:pt>
                <c:pt idx="499">
                  <c:v>3.6640000000000002E-3</c:v>
                </c:pt>
                <c:pt idx="500">
                  <c:v>3.9316999999999998E-3</c:v>
                </c:pt>
                <c:pt idx="501">
                  <c:v>3.9306999999999996E-3</c:v>
                </c:pt>
                <c:pt idx="502">
                  <c:v>4.3749000000000001E-3</c:v>
                </c:pt>
                <c:pt idx="503">
                  <c:v>4.0511999999999996E-3</c:v>
                </c:pt>
                <c:pt idx="504">
                  <c:v>4.1784999999999999E-3</c:v>
                </c:pt>
                <c:pt idx="505">
                  <c:v>3.9816000000000001E-3</c:v>
                </c:pt>
                <c:pt idx="506">
                  <c:v>3.8337000000000002E-3</c:v>
                </c:pt>
                <c:pt idx="507">
                  <c:v>3.9337E-3</c:v>
                </c:pt>
                <c:pt idx="508">
                  <c:v>3.8671999999999999E-3</c:v>
                </c:pt>
                <c:pt idx="509">
                  <c:v>3.7775999999999999E-3</c:v>
                </c:pt>
                <c:pt idx="510">
                  <c:v>4.5256999999999997E-3</c:v>
                </c:pt>
                <c:pt idx="511">
                  <c:v>4.4716000000000001E-3</c:v>
                </c:pt>
                <c:pt idx="512">
                  <c:v>5.94E-3</c:v>
                </c:pt>
                <c:pt idx="513">
                  <c:v>6.3658999999999999E-3</c:v>
                </c:pt>
                <c:pt idx="514">
                  <c:v>6.8690000000000001E-3</c:v>
                </c:pt>
                <c:pt idx="515">
                  <c:v>6.9143E-3</c:v>
                </c:pt>
                <c:pt idx="516">
                  <c:v>6.9753999999999997E-3</c:v>
                </c:pt>
                <c:pt idx="517">
                  <c:v>6.9249000000000003E-3</c:v>
                </c:pt>
                <c:pt idx="518">
                  <c:v>6.5735999999999998E-3</c:v>
                </c:pt>
                <c:pt idx="519">
                  <c:v>6.6616999999999996E-3</c:v>
                </c:pt>
                <c:pt idx="520">
                  <c:v>6.8174999999999998E-3</c:v>
                </c:pt>
                <c:pt idx="521">
                  <c:v>7.5107999999999998E-3</c:v>
                </c:pt>
                <c:pt idx="522">
                  <c:v>6.9143E-3</c:v>
                </c:pt>
                <c:pt idx="523">
                  <c:v>7.1244000000000004E-3</c:v>
                </c:pt>
                <c:pt idx="524">
                  <c:v>6.8127999999999999E-3</c:v>
                </c:pt>
                <c:pt idx="525">
                  <c:v>7.9681000000000005E-3</c:v>
                </c:pt>
                <c:pt idx="526">
                  <c:v>7.4557E-3</c:v>
                </c:pt>
                <c:pt idx="527">
                  <c:v>7.6972000000000004E-3</c:v>
                </c:pt>
                <c:pt idx="528">
                  <c:v>8.3399000000000008E-3</c:v>
                </c:pt>
                <c:pt idx="529">
                  <c:v>8.2175000000000008E-3</c:v>
                </c:pt>
                <c:pt idx="530">
                  <c:v>8.2482000000000007E-3</c:v>
                </c:pt>
                <c:pt idx="531">
                  <c:v>8.5488000000000005E-3</c:v>
                </c:pt>
                <c:pt idx="532">
                  <c:v>7.6135999999999999E-3</c:v>
                </c:pt>
                <c:pt idx="533">
                  <c:v>7.8111999999999999E-3</c:v>
                </c:pt>
                <c:pt idx="534">
                  <c:v>8.0701000000000002E-3</c:v>
                </c:pt>
                <c:pt idx="535">
                  <c:v>8.8555000000000005E-3</c:v>
                </c:pt>
                <c:pt idx="536">
                  <c:v>6.8500000000000002E-3</c:v>
                </c:pt>
                <c:pt idx="537">
                  <c:v>6.3512999999999998E-3</c:v>
                </c:pt>
                <c:pt idx="538">
                  <c:v>6.5294999999999997E-3</c:v>
                </c:pt>
                <c:pt idx="539">
                  <c:v>6.8047000000000003E-3</c:v>
                </c:pt>
                <c:pt idx="540">
                  <c:v>6.4672999999999996E-3</c:v>
                </c:pt>
                <c:pt idx="541">
                  <c:v>6.0267000000000003E-3</c:v>
                </c:pt>
                <c:pt idx="542">
                  <c:v>5.6962999999999996E-3</c:v>
                </c:pt>
                <c:pt idx="543">
                  <c:v>5.5573999999999997E-3</c:v>
                </c:pt>
                <c:pt idx="544">
                  <c:v>5.9756000000000002E-3</c:v>
                </c:pt>
                <c:pt idx="545">
                  <c:v>6.0705999999999998E-3</c:v>
                </c:pt>
                <c:pt idx="546">
                  <c:v>6.6425E-3</c:v>
                </c:pt>
                <c:pt idx="547">
                  <c:v>6.3261000000000003E-3</c:v>
                </c:pt>
                <c:pt idx="548">
                  <c:v>6.7464999999999999E-3</c:v>
                </c:pt>
                <c:pt idx="549">
                  <c:v>7.0999000000000001E-3</c:v>
                </c:pt>
                <c:pt idx="550">
                  <c:v>6.2807999999999996E-3</c:v>
                </c:pt>
                <c:pt idx="551">
                  <c:v>6.2055000000000001E-3</c:v>
                </c:pt>
                <c:pt idx="552">
                  <c:v>6.6089E-3</c:v>
                </c:pt>
                <c:pt idx="553">
                  <c:v>5.934E-3</c:v>
                </c:pt>
                <c:pt idx="554">
                  <c:v>5.5450999999999999E-3</c:v>
                </c:pt>
                <c:pt idx="555">
                  <c:v>5.5874999999999996E-3</c:v>
                </c:pt>
                <c:pt idx="556">
                  <c:v>4.9107999999999999E-3</c:v>
                </c:pt>
                <c:pt idx="557">
                  <c:v>4.8998999999999996E-3</c:v>
                </c:pt>
                <c:pt idx="558">
                  <c:v>4.7812999999999996E-3</c:v>
                </c:pt>
                <c:pt idx="559">
                  <c:v>4.5500000000000002E-3</c:v>
                </c:pt>
                <c:pt idx="560">
                  <c:v>4.509E-3</c:v>
                </c:pt>
                <c:pt idx="561">
                  <c:v>4.3369999999999997E-3</c:v>
                </c:pt>
                <c:pt idx="562">
                  <c:v>3.7858000000000002E-3</c:v>
                </c:pt>
                <c:pt idx="563">
                  <c:v>3.6789000000000001E-3</c:v>
                </c:pt>
                <c:pt idx="564">
                  <c:v>3.8149E-3</c:v>
                </c:pt>
                <c:pt idx="565">
                  <c:v>4.0499999999999998E-3</c:v>
                </c:pt>
                <c:pt idx="566">
                  <c:v>3.8999999999999998E-3</c:v>
                </c:pt>
                <c:pt idx="567">
                  <c:v>3.7200000000000002E-3</c:v>
                </c:pt>
                <c:pt idx="568">
                  <c:v>3.6411E-3</c:v>
                </c:pt>
                <c:pt idx="569">
                  <c:v>3.6396000000000002E-3</c:v>
                </c:pt>
                <c:pt idx="570">
                  <c:v>3.5569E-3</c:v>
                </c:pt>
                <c:pt idx="571">
                  <c:v>3.4134E-3</c:v>
                </c:pt>
                <c:pt idx="572">
                  <c:v>3.6335E-3</c:v>
                </c:pt>
                <c:pt idx="573">
                  <c:v>3.6993999999999998E-3</c:v>
                </c:pt>
                <c:pt idx="574">
                  <c:v>3.5775999999999998E-3</c:v>
                </c:pt>
                <c:pt idx="575">
                  <c:v>3.6096000000000001E-3</c:v>
                </c:pt>
                <c:pt idx="576">
                  <c:v>3.4952E-3</c:v>
                </c:pt>
                <c:pt idx="577">
                  <c:v>3.2152999999999999E-3</c:v>
                </c:pt>
                <c:pt idx="578">
                  <c:v>3.2683E-3</c:v>
                </c:pt>
                <c:pt idx="579">
                  <c:v>3.0744000000000001E-3</c:v>
                </c:pt>
                <c:pt idx="580">
                  <c:v>3.3251999999999999E-3</c:v>
                </c:pt>
                <c:pt idx="581">
                  <c:v>3.5430000000000001E-3</c:v>
                </c:pt>
                <c:pt idx="582">
                  <c:v>3.6318000000000001E-3</c:v>
                </c:pt>
                <c:pt idx="583">
                  <c:v>3.8532000000000002E-3</c:v>
                </c:pt>
                <c:pt idx="584">
                  <c:v>3.8747999999999999E-3</c:v>
                </c:pt>
                <c:pt idx="585">
                  <c:v>3.9166000000000001E-3</c:v>
                </c:pt>
                <c:pt idx="586">
                  <c:v>4.2227999999999996E-3</c:v>
                </c:pt>
                <c:pt idx="587">
                  <c:v>4.3340999999999996E-3</c:v>
                </c:pt>
                <c:pt idx="588">
                  <c:v>3.9836000000000003E-3</c:v>
                </c:pt>
                <c:pt idx="589">
                  <c:v>3.6422999999999998E-3</c:v>
                </c:pt>
                <c:pt idx="590">
                  <c:v>3.8769999999999998E-3</c:v>
                </c:pt>
                <c:pt idx="591">
                  <c:v>3.5676000000000002E-3</c:v>
                </c:pt>
                <c:pt idx="592">
                  <c:v>3.6034999999999999E-3</c:v>
                </c:pt>
                <c:pt idx="593">
                  <c:v>3.8141999999999998E-3</c:v>
                </c:pt>
                <c:pt idx="594">
                  <c:v>3.5766000000000001E-3</c:v>
                </c:pt>
                <c:pt idx="595">
                  <c:v>3.0817000000000002E-3</c:v>
                </c:pt>
                <c:pt idx="596">
                  <c:v>3.4174000000000001E-3</c:v>
                </c:pt>
                <c:pt idx="597">
                  <c:v>3.5249999999999999E-3</c:v>
                </c:pt>
                <c:pt idx="598">
                  <c:v>3.702E-3</c:v>
                </c:pt>
                <c:pt idx="599">
                  <c:v>3.4015E-3</c:v>
                </c:pt>
                <c:pt idx="600">
                  <c:v>3.4524999999999998E-3</c:v>
                </c:pt>
                <c:pt idx="601">
                  <c:v>3.2127000000000002E-3</c:v>
                </c:pt>
                <c:pt idx="602">
                  <c:v>3.3511000000000001E-3</c:v>
                </c:pt>
                <c:pt idx="603">
                  <c:v>3.4897999999999999E-3</c:v>
                </c:pt>
                <c:pt idx="604">
                  <c:v>3.4489E-3</c:v>
                </c:pt>
                <c:pt idx="605">
                  <c:v>3.6088000000000001E-3</c:v>
                </c:pt>
                <c:pt idx="606">
                  <c:v>3.3213000000000001E-3</c:v>
                </c:pt>
                <c:pt idx="607">
                  <c:v>3.8021000000000001E-3</c:v>
                </c:pt>
                <c:pt idx="608">
                  <c:v>3.9811999999999998E-3</c:v>
                </c:pt>
                <c:pt idx="609">
                  <c:v>3.581E-3</c:v>
                </c:pt>
                <c:pt idx="610">
                  <c:v>3.5255999999999998E-3</c:v>
                </c:pt>
                <c:pt idx="611">
                  <c:v>3.3649000000000001E-3</c:v>
                </c:pt>
                <c:pt idx="612">
                  <c:v>3.7393000000000001E-3</c:v>
                </c:pt>
                <c:pt idx="613">
                  <c:v>2.9090000000000001E-3</c:v>
                </c:pt>
                <c:pt idx="614">
                  <c:v>2.7301999999999999E-3</c:v>
                </c:pt>
                <c:pt idx="615">
                  <c:v>2.7726999999999999E-3</c:v>
                </c:pt>
                <c:pt idx="616">
                  <c:v>2.6894000000000002E-3</c:v>
                </c:pt>
                <c:pt idx="617">
                  <c:v>2.6315000000000002E-3</c:v>
                </c:pt>
                <c:pt idx="618">
                  <c:v>2.6218999999999999E-3</c:v>
                </c:pt>
                <c:pt idx="619">
                  <c:v>2.6618000000000002E-3</c:v>
                </c:pt>
                <c:pt idx="620">
                  <c:v>2.7192000000000002E-3</c:v>
                </c:pt>
                <c:pt idx="621">
                  <c:v>2.8343000000000001E-3</c:v>
                </c:pt>
                <c:pt idx="622">
                  <c:v>2.5598999999999999E-3</c:v>
                </c:pt>
                <c:pt idx="623">
                  <c:v>2.5818999999999998E-3</c:v>
                </c:pt>
                <c:pt idx="624">
                  <c:v>2.4299999999999999E-3</c:v>
                </c:pt>
                <c:pt idx="625">
                  <c:v>2.3276E-3</c:v>
                </c:pt>
                <c:pt idx="626">
                  <c:v>2.2797999999999998E-3</c:v>
                </c:pt>
                <c:pt idx="627">
                  <c:v>2.2850000000000001E-3</c:v>
                </c:pt>
                <c:pt idx="628">
                  <c:v>2.5910999999999998E-3</c:v>
                </c:pt>
                <c:pt idx="629">
                  <c:v>2.6113999999999998E-3</c:v>
                </c:pt>
                <c:pt idx="630">
                  <c:v>2.7315999999999998E-3</c:v>
                </c:pt>
                <c:pt idx="631">
                  <c:v>2.5785999999999999E-3</c:v>
                </c:pt>
                <c:pt idx="632">
                  <c:v>2.676E-3</c:v>
                </c:pt>
                <c:pt idx="633">
                  <c:v>2.4118E-3</c:v>
                </c:pt>
                <c:pt idx="634">
                  <c:v>2.4345999999999999E-3</c:v>
                </c:pt>
                <c:pt idx="635">
                  <c:v>2.4639000000000002E-3</c:v>
                </c:pt>
                <c:pt idx="636">
                  <c:v>2.4751999999999999E-3</c:v>
                </c:pt>
                <c:pt idx="637">
                  <c:v>2.3754000000000002E-3</c:v>
                </c:pt>
                <c:pt idx="638">
                  <c:v>2.4788000000000002E-3</c:v>
                </c:pt>
                <c:pt idx="639">
                  <c:v>2.3882E-3</c:v>
                </c:pt>
                <c:pt idx="640">
                  <c:v>2.4402999999999998E-3</c:v>
                </c:pt>
                <c:pt idx="641">
                  <c:v>2.4486999999999998E-3</c:v>
                </c:pt>
                <c:pt idx="642">
                  <c:v>2.4542000000000001E-3</c:v>
                </c:pt>
                <c:pt idx="643">
                  <c:v>2.3240000000000001E-3</c:v>
                </c:pt>
                <c:pt idx="644">
                  <c:v>2.3238999999999998E-3</c:v>
                </c:pt>
                <c:pt idx="645">
                  <c:v>2.2932999999999999E-3</c:v>
                </c:pt>
                <c:pt idx="646">
                  <c:v>2.2174E-3</c:v>
                </c:pt>
                <c:pt idx="647">
                  <c:v>2.2423999999999999E-3</c:v>
                </c:pt>
                <c:pt idx="648">
                  <c:v>2.4778999999999999E-3</c:v>
                </c:pt>
                <c:pt idx="649">
                  <c:v>2.5008000000000001E-3</c:v>
                </c:pt>
                <c:pt idx="650">
                  <c:v>2.3086999999999999E-3</c:v>
                </c:pt>
                <c:pt idx="651">
                  <c:v>2.3614999999999999E-3</c:v>
                </c:pt>
                <c:pt idx="652">
                  <c:v>2.1787999999999998E-3</c:v>
                </c:pt>
                <c:pt idx="653">
                  <c:v>2.3977E-3</c:v>
                </c:pt>
                <c:pt idx="654">
                  <c:v>2.1584E-3</c:v>
                </c:pt>
                <c:pt idx="655">
                  <c:v>2.2001E-3</c:v>
                </c:pt>
                <c:pt idx="656">
                  <c:v>2.2365000000000002E-3</c:v>
                </c:pt>
                <c:pt idx="657">
                  <c:v>2.0649000000000002E-3</c:v>
                </c:pt>
                <c:pt idx="658">
                  <c:v>2.3376999999999998E-3</c:v>
                </c:pt>
                <c:pt idx="659">
                  <c:v>2.0338000000000001E-3</c:v>
                </c:pt>
                <c:pt idx="660">
                  <c:v>2.0424000000000002E-3</c:v>
                </c:pt>
                <c:pt idx="661">
                  <c:v>1.9816E-3</c:v>
                </c:pt>
                <c:pt idx="662">
                  <c:v>1.8783999999999999E-3</c:v>
                </c:pt>
                <c:pt idx="663">
                  <c:v>1.9220000000000001E-3</c:v>
                </c:pt>
                <c:pt idx="664">
                  <c:v>1.9227999999999999E-3</c:v>
                </c:pt>
                <c:pt idx="665">
                  <c:v>1.9294E-3</c:v>
                </c:pt>
                <c:pt idx="666">
                  <c:v>1.8927E-3</c:v>
                </c:pt>
                <c:pt idx="667">
                  <c:v>1.8795999999999999E-3</c:v>
                </c:pt>
                <c:pt idx="668">
                  <c:v>1.8603000000000001E-3</c:v>
                </c:pt>
                <c:pt idx="669">
                  <c:v>1.6711E-3</c:v>
                </c:pt>
                <c:pt idx="670">
                  <c:v>1.8028E-3</c:v>
                </c:pt>
                <c:pt idx="671">
                  <c:v>1.7589999999999999E-3</c:v>
                </c:pt>
                <c:pt idx="672">
                  <c:v>1.9545000000000001E-3</c:v>
                </c:pt>
                <c:pt idx="673">
                  <c:v>1.8299E-3</c:v>
                </c:pt>
                <c:pt idx="674">
                  <c:v>1.8031E-3</c:v>
                </c:pt>
                <c:pt idx="675">
                  <c:v>1.8243999999999999E-3</c:v>
                </c:pt>
                <c:pt idx="676">
                  <c:v>1.6632000000000001E-3</c:v>
                </c:pt>
                <c:pt idx="677">
                  <c:v>1.8584999999999999E-3</c:v>
                </c:pt>
                <c:pt idx="678">
                  <c:v>1.8592000000000001E-3</c:v>
                </c:pt>
                <c:pt idx="679">
                  <c:v>1.8821E-3</c:v>
                </c:pt>
                <c:pt idx="680">
                  <c:v>1.4668000000000001E-3</c:v>
                </c:pt>
                <c:pt idx="681">
                  <c:v>1.5977999999999999E-3</c:v>
                </c:pt>
                <c:pt idx="682">
                  <c:v>1.4567E-3</c:v>
                </c:pt>
                <c:pt idx="683">
                  <c:v>1.7477E-3</c:v>
                </c:pt>
                <c:pt idx="684">
                  <c:v>1.7156999999999999E-3</c:v>
                </c:pt>
                <c:pt idx="685">
                  <c:v>1.9139999999999999E-3</c:v>
                </c:pt>
                <c:pt idx="686">
                  <c:v>1.676E-3</c:v>
                </c:pt>
                <c:pt idx="687">
                  <c:v>3.9803E-3</c:v>
                </c:pt>
                <c:pt idx="688">
                  <c:v>3.581E-3</c:v>
                </c:pt>
                <c:pt idx="689">
                  <c:v>3.4280000000000001E-3</c:v>
                </c:pt>
                <c:pt idx="690">
                  <c:v>3.5999999999999999E-3</c:v>
                </c:pt>
                <c:pt idx="691">
                  <c:v>4.1847999999999998E-3</c:v>
                </c:pt>
                <c:pt idx="692">
                  <c:v>4.3499000000000003E-3</c:v>
                </c:pt>
                <c:pt idx="693">
                  <c:v>4.7699999999999999E-3</c:v>
                </c:pt>
                <c:pt idx="694">
                  <c:v>4.8272000000000002E-3</c:v>
                </c:pt>
                <c:pt idx="695">
                  <c:v>4.7003000000000001E-3</c:v>
                </c:pt>
                <c:pt idx="696">
                  <c:v>4.4900000000000001E-3</c:v>
                </c:pt>
                <c:pt idx="697">
                  <c:v>3.9170000000000003E-3</c:v>
                </c:pt>
                <c:pt idx="698">
                  <c:v>3.9056999999999998E-3</c:v>
                </c:pt>
                <c:pt idx="699">
                  <c:v>3.9706999999999998E-3</c:v>
                </c:pt>
                <c:pt idx="700">
                  <c:v>4.0153999999999997E-3</c:v>
                </c:pt>
                <c:pt idx="701">
                  <c:v>3.9100000000000003E-3</c:v>
                </c:pt>
                <c:pt idx="702">
                  <c:v>4.7298000000000001E-3</c:v>
                </c:pt>
                <c:pt idx="703">
                  <c:v>5.2227999999999997E-3</c:v>
                </c:pt>
                <c:pt idx="704">
                  <c:v>5.6906999999999999E-3</c:v>
                </c:pt>
                <c:pt idx="705">
                  <c:v>5.3099999999999996E-3</c:v>
                </c:pt>
                <c:pt idx="706">
                  <c:v>5.1878999999999996E-3</c:v>
                </c:pt>
                <c:pt idx="707">
                  <c:v>5.1887000000000001E-3</c:v>
                </c:pt>
                <c:pt idx="708">
                  <c:v>5.6861999999999998E-3</c:v>
                </c:pt>
                <c:pt idx="709">
                  <c:v>5.8285000000000003E-3</c:v>
                </c:pt>
                <c:pt idx="710">
                  <c:v>5.6563999999999998E-3</c:v>
                </c:pt>
                <c:pt idx="711">
                  <c:v>5.7606999999999997E-3</c:v>
                </c:pt>
                <c:pt idx="712">
                  <c:v>6.1564000000000002E-3</c:v>
                </c:pt>
                <c:pt idx="713">
                  <c:v>6.9747999999999998E-3</c:v>
                </c:pt>
                <c:pt idx="714">
                  <c:v>6.6201999999999997E-3</c:v>
                </c:pt>
                <c:pt idx="715">
                  <c:v>6.9151999999999998E-3</c:v>
                </c:pt>
                <c:pt idx="716">
                  <c:v>5.8811999999999996E-3</c:v>
                </c:pt>
                <c:pt idx="717">
                  <c:v>5.5804000000000001E-3</c:v>
                </c:pt>
                <c:pt idx="718">
                  <c:v>5.3727999999999996E-3</c:v>
                </c:pt>
                <c:pt idx="719">
                  <c:v>5.2547000000000002E-3</c:v>
                </c:pt>
                <c:pt idx="720">
                  <c:v>5.7175000000000004E-3</c:v>
                </c:pt>
                <c:pt idx="721">
                  <c:v>5.8504000000000004E-3</c:v>
                </c:pt>
                <c:pt idx="722">
                  <c:v>4.8520999999999998E-3</c:v>
                </c:pt>
                <c:pt idx="723">
                  <c:v>4.8859999999999997E-3</c:v>
                </c:pt>
                <c:pt idx="724">
                  <c:v>4.7381000000000003E-3</c:v>
                </c:pt>
                <c:pt idx="725">
                  <c:v>4.6407999999999996E-3</c:v>
                </c:pt>
                <c:pt idx="726">
                  <c:v>4.7080000000000004E-3</c:v>
                </c:pt>
                <c:pt idx="727">
                  <c:v>4.7225000000000001E-3</c:v>
                </c:pt>
                <c:pt idx="728">
                  <c:v>4.5503000000000002E-3</c:v>
                </c:pt>
                <c:pt idx="729">
                  <c:v>4.7042999999999998E-3</c:v>
                </c:pt>
                <c:pt idx="730">
                  <c:v>4.7831000000000002E-3</c:v>
                </c:pt>
                <c:pt idx="731">
                  <c:v>5.045E-3</c:v>
                </c:pt>
                <c:pt idx="732">
                  <c:v>5.1222999999999998E-3</c:v>
                </c:pt>
                <c:pt idx="733">
                  <c:v>5.0983000000000001E-3</c:v>
                </c:pt>
                <c:pt idx="734">
                  <c:v>4.7274999999999999E-3</c:v>
                </c:pt>
                <c:pt idx="735">
                  <c:v>4.7140000000000003E-3</c:v>
                </c:pt>
                <c:pt idx="736">
                  <c:v>4.9670000000000001E-3</c:v>
                </c:pt>
                <c:pt idx="737">
                  <c:v>5.2043000000000002E-3</c:v>
                </c:pt>
                <c:pt idx="738">
                  <c:v>4.8623E-3</c:v>
                </c:pt>
                <c:pt idx="739">
                  <c:v>4.8999999999999998E-3</c:v>
                </c:pt>
                <c:pt idx="740">
                  <c:v>5.1495999999999998E-3</c:v>
                </c:pt>
                <c:pt idx="741">
                  <c:v>5.2252000000000002E-3</c:v>
                </c:pt>
                <c:pt idx="742">
                  <c:v>5.3705999999999997E-3</c:v>
                </c:pt>
                <c:pt idx="743">
                  <c:v>5.4010000000000004E-3</c:v>
                </c:pt>
                <c:pt idx="744">
                  <c:v>5.5777999999999999E-3</c:v>
                </c:pt>
                <c:pt idx="745">
                  <c:v>6.1697000000000002E-3</c:v>
                </c:pt>
                <c:pt idx="746">
                  <c:v>5.9122999999999997E-3</c:v>
                </c:pt>
                <c:pt idx="747">
                  <c:v>5.6350999999999997E-3</c:v>
                </c:pt>
                <c:pt idx="748">
                  <c:v>5.7219000000000002E-3</c:v>
                </c:pt>
                <c:pt idx="749">
                  <c:v>5.8720999999999999E-3</c:v>
                </c:pt>
                <c:pt idx="750">
                  <c:v>5.8789999999999997E-3</c:v>
                </c:pt>
                <c:pt idx="751">
                  <c:v>6.1624999999999996E-3</c:v>
                </c:pt>
                <c:pt idx="752">
                  <c:v>6.4441999999999998E-3</c:v>
                </c:pt>
                <c:pt idx="753">
                  <c:v>6.5684000000000003E-3</c:v>
                </c:pt>
                <c:pt idx="754">
                  <c:v>6.4009999999999996E-3</c:v>
                </c:pt>
                <c:pt idx="755">
                  <c:v>6.4320999999999996E-3</c:v>
                </c:pt>
                <c:pt idx="756">
                  <c:v>6.4751000000000001E-3</c:v>
                </c:pt>
                <c:pt idx="757">
                  <c:v>6.7787000000000004E-3</c:v>
                </c:pt>
                <c:pt idx="758">
                  <c:v>6.6937999999999998E-3</c:v>
                </c:pt>
                <c:pt idx="759">
                  <c:v>6.803E-3</c:v>
                </c:pt>
                <c:pt idx="760">
                  <c:v>6.8769E-3</c:v>
                </c:pt>
                <c:pt idx="761">
                  <c:v>7.1799999999999998E-3</c:v>
                </c:pt>
                <c:pt idx="762">
                  <c:v>7.2300000000000003E-3</c:v>
                </c:pt>
                <c:pt idx="763">
                  <c:v>7.162E-3</c:v>
                </c:pt>
                <c:pt idx="764">
                  <c:v>7.3616000000000003E-3</c:v>
                </c:pt>
                <c:pt idx="765">
                  <c:v>7.7356999999999999E-3</c:v>
                </c:pt>
                <c:pt idx="766">
                  <c:v>7.5902000000000001E-3</c:v>
                </c:pt>
                <c:pt idx="767">
                  <c:v>7.8261000000000008E-3</c:v>
                </c:pt>
                <c:pt idx="768">
                  <c:v>7.8659999999999997E-3</c:v>
                </c:pt>
                <c:pt idx="769">
                  <c:v>7.5189000000000002E-3</c:v>
                </c:pt>
                <c:pt idx="770">
                  <c:v>6.7793999999999997E-3</c:v>
                </c:pt>
                <c:pt idx="771">
                  <c:v>7.0006000000000001E-3</c:v>
                </c:pt>
                <c:pt idx="772">
                  <c:v>6.6373999999999999E-3</c:v>
                </c:pt>
                <c:pt idx="773">
                  <c:v>7.1027E-3</c:v>
                </c:pt>
                <c:pt idx="774">
                  <c:v>7.4793999999999998E-3</c:v>
                </c:pt>
                <c:pt idx="775">
                  <c:v>6.9376999999999998E-3</c:v>
                </c:pt>
                <c:pt idx="776">
                  <c:v>7.2889000000000001E-3</c:v>
                </c:pt>
                <c:pt idx="777">
                  <c:v>7.2028999999999999E-3</c:v>
                </c:pt>
                <c:pt idx="778">
                  <c:v>8.0800000000000004E-3</c:v>
                </c:pt>
                <c:pt idx="779">
                  <c:v>7.2064E-3</c:v>
                </c:pt>
                <c:pt idx="780">
                  <c:v>7.9430999999999998E-3</c:v>
                </c:pt>
                <c:pt idx="781">
                  <c:v>8.3496999999999998E-3</c:v>
                </c:pt>
                <c:pt idx="782">
                  <c:v>8.1480000000000007E-3</c:v>
                </c:pt>
                <c:pt idx="783">
                  <c:v>9.1990000000000006E-3</c:v>
                </c:pt>
                <c:pt idx="784">
                  <c:v>9.5648E-3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B6-4329-97EB-575F7150993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-634.42885399479951</c:v>
                </c:pt>
                <c:pt idx="1">
                  <c:v>-634.34796330588256</c:v>
                </c:pt>
                <c:pt idx="2">
                  <c:v>-633.18796299627991</c:v>
                </c:pt>
                <c:pt idx="3">
                  <c:v>-633.40744590217139</c:v>
                </c:pt>
                <c:pt idx="4">
                  <c:v>-635.87970787639381</c:v>
                </c:pt>
                <c:pt idx="5">
                  <c:v>-636.69556810066842</c:v>
                </c:pt>
                <c:pt idx="6">
                  <c:v>-635.37874462431307</c:v>
                </c:pt>
                <c:pt idx="7">
                  <c:v>-631.65817025336696</c:v>
                </c:pt>
                <c:pt idx="8">
                  <c:v>-629.87470315149017</c:v>
                </c:pt>
                <c:pt idx="9">
                  <c:v>-627.53963960799672</c:v>
                </c:pt>
                <c:pt idx="10">
                  <c:v>-628.4688425865794</c:v>
                </c:pt>
                <c:pt idx="11">
                  <c:v>-626.58923392132704</c:v>
                </c:pt>
                <c:pt idx="12">
                  <c:v>-619.03937499185736</c:v>
                </c:pt>
                <c:pt idx="13">
                  <c:v>-626.24702604751405</c:v>
                </c:pt>
                <c:pt idx="14">
                  <c:v>-627.04489855467682</c:v>
                </c:pt>
                <c:pt idx="15">
                  <c:v>-625.83042129285207</c:v>
                </c:pt>
                <c:pt idx="16">
                  <c:v>-626.26548240045986</c:v>
                </c:pt>
                <c:pt idx="17">
                  <c:v>-627.48038207490151</c:v>
                </c:pt>
                <c:pt idx="18">
                  <c:v>-626.5117493919704</c:v>
                </c:pt>
                <c:pt idx="19">
                  <c:v>-626.8620461889742</c:v>
                </c:pt>
                <c:pt idx="20">
                  <c:v>-624.57093203989587</c:v>
                </c:pt>
                <c:pt idx="21">
                  <c:v>-622.51940565465861</c:v>
                </c:pt>
                <c:pt idx="22">
                  <c:v>-621.44994186334395</c:v>
                </c:pt>
                <c:pt idx="23">
                  <c:v>-621.12225100167223</c:v>
                </c:pt>
                <c:pt idx="24">
                  <c:v>-620.26634443394676</c:v>
                </c:pt>
                <c:pt idx="25">
                  <c:v>-619.83619754176402</c:v>
                </c:pt>
                <c:pt idx="26">
                  <c:v>-619.72751748879853</c:v>
                </c:pt>
                <c:pt idx="27">
                  <c:v>-619.99674221809209</c:v>
                </c:pt>
                <c:pt idx="28">
                  <c:v>-619.11750295831609</c:v>
                </c:pt>
                <c:pt idx="29">
                  <c:v>-618.47580816314883</c:v>
                </c:pt>
                <c:pt idx="30">
                  <c:v>-617.45469118097481</c:v>
                </c:pt>
                <c:pt idx="31">
                  <c:v>-615.03161842054908</c:v>
                </c:pt>
                <c:pt idx="32">
                  <c:v>-612.06093059237799</c:v>
                </c:pt>
                <c:pt idx="33">
                  <c:v>-608.44671918796951</c:v>
                </c:pt>
                <c:pt idx="34">
                  <c:v>-609.02812590284657</c:v>
                </c:pt>
                <c:pt idx="35">
                  <c:v>-607.44454620606803</c:v>
                </c:pt>
                <c:pt idx="36">
                  <c:v>-609.24930357290395</c:v>
                </c:pt>
                <c:pt idx="37">
                  <c:v>-608.41451983657305</c:v>
                </c:pt>
                <c:pt idx="38">
                  <c:v>-609.13329892594152</c:v>
                </c:pt>
                <c:pt idx="39">
                  <c:v>-608.41135274549481</c:v>
                </c:pt>
                <c:pt idx="40">
                  <c:v>-603.96406928812007</c:v>
                </c:pt>
                <c:pt idx="41">
                  <c:v>-603.69525400133432</c:v>
                </c:pt>
                <c:pt idx="42">
                  <c:v>-601.09119583806898</c:v>
                </c:pt>
                <c:pt idx="43">
                  <c:v>-597.40235031628424</c:v>
                </c:pt>
                <c:pt idx="44">
                  <c:v>-599.86353553866468</c:v>
                </c:pt>
                <c:pt idx="45">
                  <c:v>-598.97556955234256</c:v>
                </c:pt>
                <c:pt idx="46">
                  <c:v>-596.64883875215753</c:v>
                </c:pt>
                <c:pt idx="47">
                  <c:v>-588.29606534983395</c:v>
                </c:pt>
                <c:pt idx="48">
                  <c:v>-588.52853371664423</c:v>
                </c:pt>
                <c:pt idx="49">
                  <c:v>-584.99156401742459</c:v>
                </c:pt>
                <c:pt idx="50">
                  <c:v>-580.87741122650311</c:v>
                </c:pt>
                <c:pt idx="51">
                  <c:v>-581.63547063670262</c:v>
                </c:pt>
                <c:pt idx="52">
                  <c:v>-575.62717032281921</c:v>
                </c:pt>
                <c:pt idx="53">
                  <c:v>-567.38221398201188</c:v>
                </c:pt>
                <c:pt idx="54">
                  <c:v>-566.82941670867842</c:v>
                </c:pt>
                <c:pt idx="55">
                  <c:v>-535.99350012148557</c:v>
                </c:pt>
                <c:pt idx="56">
                  <c:v>-521.16011252686826</c:v>
                </c:pt>
                <c:pt idx="57">
                  <c:v>-520.32906114832826</c:v>
                </c:pt>
                <c:pt idx="58">
                  <c:v>-519.60248077435995</c:v>
                </c:pt>
                <c:pt idx="59">
                  <c:v>-514.34162689069888</c:v>
                </c:pt>
                <c:pt idx="60">
                  <c:v>-514.07903044799627</c:v>
                </c:pt>
                <c:pt idx="61">
                  <c:v>-515.03468629259851</c:v>
                </c:pt>
                <c:pt idx="62">
                  <c:v>-511.9699537718372</c:v>
                </c:pt>
                <c:pt idx="63">
                  <c:v>-509.82839566892113</c:v>
                </c:pt>
                <c:pt idx="64">
                  <c:v>-508.18455875949911</c:v>
                </c:pt>
                <c:pt idx="65">
                  <c:v>-509.15677989330197</c:v>
                </c:pt>
                <c:pt idx="66">
                  <c:v>-509.74553758562104</c:v>
                </c:pt>
                <c:pt idx="67">
                  <c:v>-506.7452314273508</c:v>
                </c:pt>
                <c:pt idx="68">
                  <c:v>-492.17235895281743</c:v>
                </c:pt>
                <c:pt idx="69">
                  <c:v>-493.47356490562407</c:v>
                </c:pt>
                <c:pt idx="70">
                  <c:v>-494.7182691801903</c:v>
                </c:pt>
                <c:pt idx="71">
                  <c:v>-486.3312675324604</c:v>
                </c:pt>
                <c:pt idx="72">
                  <c:v>-488.22328447303755</c:v>
                </c:pt>
                <c:pt idx="73">
                  <c:v>-485.44564128625325</c:v>
                </c:pt>
                <c:pt idx="74">
                  <c:v>-483.39319869457807</c:v>
                </c:pt>
                <c:pt idx="75">
                  <c:v>-483.23909457810362</c:v>
                </c:pt>
                <c:pt idx="76">
                  <c:v>-483.10283866624377</c:v>
                </c:pt>
                <c:pt idx="77">
                  <c:v>-481.75151855179928</c:v>
                </c:pt>
                <c:pt idx="78">
                  <c:v>-482.84547536671937</c:v>
                </c:pt>
                <c:pt idx="79">
                  <c:v>-480.10658721749809</c:v>
                </c:pt>
                <c:pt idx="80">
                  <c:v>-478.38010562591541</c:v>
                </c:pt>
                <c:pt idx="81">
                  <c:v>-475.33922943689095</c:v>
                </c:pt>
                <c:pt idx="82">
                  <c:v>-470.41548465986915</c:v>
                </c:pt>
                <c:pt idx="83">
                  <c:v>-471.12626855316415</c:v>
                </c:pt>
                <c:pt idx="84">
                  <c:v>-472.00344374937799</c:v>
                </c:pt>
                <c:pt idx="85">
                  <c:v>-470.3390058224025</c:v>
                </c:pt>
                <c:pt idx="86">
                  <c:v>-467.0093353897243</c:v>
                </c:pt>
                <c:pt idx="87">
                  <c:v>-466.20487708273509</c:v>
                </c:pt>
                <c:pt idx="88">
                  <c:v>-467.87246025298373</c:v>
                </c:pt>
                <c:pt idx="89">
                  <c:v>-467.05896355911779</c:v>
                </c:pt>
                <c:pt idx="90">
                  <c:v>-459.42870256336244</c:v>
                </c:pt>
                <c:pt idx="91">
                  <c:v>-455.15396256605931</c:v>
                </c:pt>
                <c:pt idx="92">
                  <c:v>-455.51215311559787</c:v>
                </c:pt>
                <c:pt idx="93">
                  <c:v>-450.28776746500495</c:v>
                </c:pt>
                <c:pt idx="94">
                  <c:v>-446.49991070042017</c:v>
                </c:pt>
                <c:pt idx="95">
                  <c:v>-445.97748434777907</c:v>
                </c:pt>
                <c:pt idx="96">
                  <c:v>-443.50797380067053</c:v>
                </c:pt>
                <c:pt idx="97">
                  <c:v>-442.2423374214743</c:v>
                </c:pt>
                <c:pt idx="98">
                  <c:v>-441.0569432205744</c:v>
                </c:pt>
                <c:pt idx="99">
                  <c:v>-434.25965263468873</c:v>
                </c:pt>
                <c:pt idx="100">
                  <c:v>-436.1896993466334</c:v>
                </c:pt>
                <c:pt idx="101">
                  <c:v>-433.69304249658478</c:v>
                </c:pt>
                <c:pt idx="102">
                  <c:v>-432.05830352548656</c:v>
                </c:pt>
                <c:pt idx="103">
                  <c:v>-427.32906092014298</c:v>
                </c:pt>
                <c:pt idx="104">
                  <c:v>-423.19389416482244</c:v>
                </c:pt>
                <c:pt idx="105">
                  <c:v>-393.98225248544952</c:v>
                </c:pt>
                <c:pt idx="106">
                  <c:v>-394.25957262302921</c:v>
                </c:pt>
                <c:pt idx="107">
                  <c:v>-390.09402077699542</c:v>
                </c:pt>
                <c:pt idx="108">
                  <c:v>-390.35338181929774</c:v>
                </c:pt>
                <c:pt idx="109">
                  <c:v>-380.65866327844662</c:v>
                </c:pt>
                <c:pt idx="110">
                  <c:v>-376.05403118117999</c:v>
                </c:pt>
                <c:pt idx="111">
                  <c:v>-367.84504997123508</c:v>
                </c:pt>
                <c:pt idx="112">
                  <c:v>-335.32350985591825</c:v>
                </c:pt>
                <c:pt idx="113">
                  <c:v>-350.90870635874973</c:v>
                </c:pt>
                <c:pt idx="114">
                  <c:v>-341.10724643254281</c:v>
                </c:pt>
                <c:pt idx="115">
                  <c:v>-338.40656544276061</c:v>
                </c:pt>
                <c:pt idx="116">
                  <c:v>-325.00748032370467</c:v>
                </c:pt>
                <c:pt idx="117">
                  <c:v>-336.69113912810127</c:v>
                </c:pt>
                <c:pt idx="118">
                  <c:v>-333.7603766290527</c:v>
                </c:pt>
                <c:pt idx="119">
                  <c:v>-333.92678508127239</c:v>
                </c:pt>
                <c:pt idx="120">
                  <c:v>-329.51427661118146</c:v>
                </c:pt>
                <c:pt idx="121">
                  <c:v>-320.3860034502539</c:v>
                </c:pt>
                <c:pt idx="122">
                  <c:v>-302.38054087346069</c:v>
                </c:pt>
                <c:pt idx="123">
                  <c:v>-268.34773332526242</c:v>
                </c:pt>
                <c:pt idx="124">
                  <c:v>-262.36823180156074</c:v>
                </c:pt>
                <c:pt idx="125">
                  <c:v>-259.53806536651956</c:v>
                </c:pt>
                <c:pt idx="126">
                  <c:v>-256.34212801132361</c:v>
                </c:pt>
                <c:pt idx="127">
                  <c:v>-249.96534524865399</c:v>
                </c:pt>
                <c:pt idx="128">
                  <c:v>-249.72456180687399</c:v>
                </c:pt>
                <c:pt idx="129">
                  <c:v>-221.05414440540503</c:v>
                </c:pt>
                <c:pt idx="130">
                  <c:v>-167.54417022789588</c:v>
                </c:pt>
                <c:pt idx="131">
                  <c:v>-168.86056004526961</c:v>
                </c:pt>
                <c:pt idx="132">
                  <c:v>-169.88455906187977</c:v>
                </c:pt>
                <c:pt idx="133">
                  <c:v>-168.62152431946461</c:v>
                </c:pt>
                <c:pt idx="134">
                  <c:v>-168.64992627471423</c:v>
                </c:pt>
                <c:pt idx="135">
                  <c:v>-168.90844176452904</c:v>
                </c:pt>
                <c:pt idx="136">
                  <c:v>-170.27318615338618</c:v>
                </c:pt>
                <c:pt idx="137">
                  <c:v>-169.57594102178325</c:v>
                </c:pt>
                <c:pt idx="138">
                  <c:v>-170.85890617810227</c:v>
                </c:pt>
                <c:pt idx="139">
                  <c:v>-172.19228979291708</c:v>
                </c:pt>
                <c:pt idx="140">
                  <c:v>-170.96516248564436</c:v>
                </c:pt>
                <c:pt idx="141">
                  <c:v>-170.56890024219035</c:v>
                </c:pt>
                <c:pt idx="142">
                  <c:v>-173.07156309302067</c:v>
                </c:pt>
                <c:pt idx="143">
                  <c:v>-170.56378460417898</c:v>
                </c:pt>
                <c:pt idx="144">
                  <c:v>-170.69583330235136</c:v>
                </c:pt>
                <c:pt idx="145">
                  <c:v>-170.46655923556813</c:v>
                </c:pt>
                <c:pt idx="146">
                  <c:v>-170.54198046924628</c:v>
                </c:pt>
                <c:pt idx="147">
                  <c:v>-171.05399696800083</c:v>
                </c:pt>
                <c:pt idx="148">
                  <c:v>-169.43330410302735</c:v>
                </c:pt>
                <c:pt idx="149">
                  <c:v>-171.53112605414557</c:v>
                </c:pt>
                <c:pt idx="150">
                  <c:v>-168.4711853287715</c:v>
                </c:pt>
                <c:pt idx="151">
                  <c:v>-161.29260301162864</c:v>
                </c:pt>
                <c:pt idx="152">
                  <c:v>-161.21905325075272</c:v>
                </c:pt>
                <c:pt idx="153">
                  <c:v>-159.24364015774157</c:v>
                </c:pt>
                <c:pt idx="154">
                  <c:v>-161.71588149025584</c:v>
                </c:pt>
                <c:pt idx="155">
                  <c:v>-160.11104373045458</c:v>
                </c:pt>
                <c:pt idx="156">
                  <c:v>-160.5752295092781</c:v>
                </c:pt>
                <c:pt idx="157">
                  <c:v>-154.37215149440004</c:v>
                </c:pt>
                <c:pt idx="158">
                  <c:v>-145.90946736096123</c:v>
                </c:pt>
                <c:pt idx="159">
                  <c:v>-145.93475745455876</c:v>
                </c:pt>
                <c:pt idx="160">
                  <c:v>-143.98905564105985</c:v>
                </c:pt>
                <c:pt idx="161">
                  <c:v>-146.20205365811296</c:v>
                </c:pt>
                <c:pt idx="162">
                  <c:v>-149.614499244863</c:v>
                </c:pt>
                <c:pt idx="163">
                  <c:v>-148.82102860203375</c:v>
                </c:pt>
                <c:pt idx="164">
                  <c:v>-145.27779679768946</c:v>
                </c:pt>
                <c:pt idx="165">
                  <c:v>-141.89113540096145</c:v>
                </c:pt>
                <c:pt idx="166">
                  <c:v>-144.65105924166681</c:v>
                </c:pt>
                <c:pt idx="167">
                  <c:v>-144.48810731595253</c:v>
                </c:pt>
                <c:pt idx="168">
                  <c:v>-148.13017697524202</c:v>
                </c:pt>
                <c:pt idx="169">
                  <c:v>-145.86812014062664</c:v>
                </c:pt>
                <c:pt idx="170">
                  <c:v>-142.0553345822033</c:v>
                </c:pt>
                <c:pt idx="171">
                  <c:v>-139.15701388757216</c:v>
                </c:pt>
                <c:pt idx="172">
                  <c:v>-144.56042852944418</c:v>
                </c:pt>
                <c:pt idx="173">
                  <c:v>-140.99029711207277</c:v>
                </c:pt>
                <c:pt idx="174">
                  <c:v>-139.71585817906237</c:v>
                </c:pt>
                <c:pt idx="175">
                  <c:v>-141.11777841967256</c:v>
                </c:pt>
                <c:pt idx="176">
                  <c:v>-144.70752567179377</c:v>
                </c:pt>
                <c:pt idx="177">
                  <c:v>-146.36557909490676</c:v>
                </c:pt>
                <c:pt idx="178">
                  <c:v>-142.73654735663095</c:v>
                </c:pt>
                <c:pt idx="179">
                  <c:v>-135.77079232800753</c:v>
                </c:pt>
                <c:pt idx="180">
                  <c:v>-135.02759860871208</c:v>
                </c:pt>
                <c:pt idx="181">
                  <c:v>-135.17051742734751</c:v>
                </c:pt>
                <c:pt idx="182">
                  <c:v>-136.27694129306883</c:v>
                </c:pt>
                <c:pt idx="183">
                  <c:v>-136.68559625103984</c:v>
                </c:pt>
                <c:pt idx="184">
                  <c:v>-136.33064404094924</c:v>
                </c:pt>
                <c:pt idx="185">
                  <c:v>-137.00230962601589</c:v>
                </c:pt>
                <c:pt idx="186">
                  <c:v>-135.76481474895803</c:v>
                </c:pt>
                <c:pt idx="187">
                  <c:v>-136.38223081765184</c:v>
                </c:pt>
                <c:pt idx="188">
                  <c:v>-136.95974365623593</c:v>
                </c:pt>
                <c:pt idx="189">
                  <c:v>-137.54123665706697</c:v>
                </c:pt>
                <c:pt idx="190">
                  <c:v>-137.60078293706695</c:v>
                </c:pt>
                <c:pt idx="191">
                  <c:v>-138.08620190697701</c:v>
                </c:pt>
                <c:pt idx="192">
                  <c:v>-136.98557440619578</c:v>
                </c:pt>
                <c:pt idx="193">
                  <c:v>-136.31772895508203</c:v>
                </c:pt>
                <c:pt idx="194">
                  <c:v>-136.44525778198749</c:v>
                </c:pt>
                <c:pt idx="195">
                  <c:v>-135.87447963363016</c:v>
                </c:pt>
                <c:pt idx="196">
                  <c:v>-135.88456483601641</c:v>
                </c:pt>
                <c:pt idx="197">
                  <c:v>-135.35603542827448</c:v>
                </c:pt>
                <c:pt idx="198">
                  <c:v>-136.21681582401729</c:v>
                </c:pt>
                <c:pt idx="199">
                  <c:v>-135.42987708124355</c:v>
                </c:pt>
                <c:pt idx="200">
                  <c:v>-134.98023972086403</c:v>
                </c:pt>
                <c:pt idx="201">
                  <c:v>-135.282587621803</c:v>
                </c:pt>
                <c:pt idx="202">
                  <c:v>-135.00521542340303</c:v>
                </c:pt>
                <c:pt idx="203">
                  <c:v>-135.24924371001367</c:v>
                </c:pt>
                <c:pt idx="204">
                  <c:v>-134.48607452501366</c:v>
                </c:pt>
                <c:pt idx="205">
                  <c:v>-135.01157962885981</c:v>
                </c:pt>
                <c:pt idx="206">
                  <c:v>-134.99795709644602</c:v>
                </c:pt>
                <c:pt idx="207">
                  <c:v>-133.77924583988704</c:v>
                </c:pt>
                <c:pt idx="208">
                  <c:v>-133.38475465314963</c:v>
                </c:pt>
                <c:pt idx="209">
                  <c:v>-134.18627248194963</c:v>
                </c:pt>
                <c:pt idx="210">
                  <c:v>-134.70250922563181</c:v>
                </c:pt>
                <c:pt idx="211">
                  <c:v>-133.68333297140185</c:v>
                </c:pt>
                <c:pt idx="212">
                  <c:v>-134.47282700984243</c:v>
                </c:pt>
                <c:pt idx="213">
                  <c:v>-134.62758659537221</c:v>
                </c:pt>
                <c:pt idx="214">
                  <c:v>-134.41487270416113</c:v>
                </c:pt>
                <c:pt idx="215">
                  <c:v>-134.92548767480321</c:v>
                </c:pt>
                <c:pt idx="216">
                  <c:v>-135.23555213866129</c:v>
                </c:pt>
                <c:pt idx="217">
                  <c:v>-134.32392130344599</c:v>
                </c:pt>
                <c:pt idx="218">
                  <c:v>-135.44871532038286</c:v>
                </c:pt>
                <c:pt idx="219">
                  <c:v>-136.04680486587205</c:v>
                </c:pt>
                <c:pt idx="220">
                  <c:v>-135.88432431078493</c:v>
                </c:pt>
                <c:pt idx="221">
                  <c:v>-134.03358214046116</c:v>
                </c:pt>
                <c:pt idx="222">
                  <c:v>-134.9290272786975</c:v>
                </c:pt>
                <c:pt idx="223">
                  <c:v>-134.30773063771713</c:v>
                </c:pt>
                <c:pt idx="224">
                  <c:v>-133.53010792988962</c:v>
                </c:pt>
                <c:pt idx="225">
                  <c:v>-132.73914790475368</c:v>
                </c:pt>
                <c:pt idx="226">
                  <c:v>-132.56904616453915</c:v>
                </c:pt>
                <c:pt idx="227">
                  <c:v>-131.1912174804271</c:v>
                </c:pt>
                <c:pt idx="228">
                  <c:v>-132.67487023969238</c:v>
                </c:pt>
                <c:pt idx="229">
                  <c:v>-133.15891432234926</c:v>
                </c:pt>
                <c:pt idx="230">
                  <c:v>-133.35756326856458</c:v>
                </c:pt>
                <c:pt idx="231">
                  <c:v>-129.72786362908982</c:v>
                </c:pt>
                <c:pt idx="232">
                  <c:v>-127.43875651456135</c:v>
                </c:pt>
                <c:pt idx="233">
                  <c:v>-131.65160976172947</c:v>
                </c:pt>
                <c:pt idx="234">
                  <c:v>-132.95653802588282</c:v>
                </c:pt>
                <c:pt idx="235">
                  <c:v>-124.87440709490707</c:v>
                </c:pt>
                <c:pt idx="236">
                  <c:v>-123.49974233676593</c:v>
                </c:pt>
                <c:pt idx="237">
                  <c:v>-122.50623543139584</c:v>
                </c:pt>
                <c:pt idx="238">
                  <c:v>-121.97440740124522</c:v>
                </c:pt>
                <c:pt idx="239">
                  <c:v>-122.23629026420963</c:v>
                </c:pt>
                <c:pt idx="240">
                  <c:v>-122.74374196030226</c:v>
                </c:pt>
                <c:pt idx="241">
                  <c:v>-121.79062859417046</c:v>
                </c:pt>
                <c:pt idx="242">
                  <c:v>-123.04051763388223</c:v>
                </c:pt>
                <c:pt idx="243">
                  <c:v>-123.93519234781665</c:v>
                </c:pt>
                <c:pt idx="244">
                  <c:v>-123.13873093366125</c:v>
                </c:pt>
                <c:pt idx="245">
                  <c:v>-122.55391322285219</c:v>
                </c:pt>
                <c:pt idx="246">
                  <c:v>-122.18003845147719</c:v>
                </c:pt>
                <c:pt idx="247">
                  <c:v>-123.0353774582282</c:v>
                </c:pt>
                <c:pt idx="248">
                  <c:v>-125.34233497858648</c:v>
                </c:pt>
                <c:pt idx="249">
                  <c:v>-127.10587368686309</c:v>
                </c:pt>
                <c:pt idx="250">
                  <c:v>-126.16677411474947</c:v>
                </c:pt>
                <c:pt idx="251">
                  <c:v>-126.23196233968986</c:v>
                </c:pt>
                <c:pt idx="252">
                  <c:v>-124.67884939931898</c:v>
                </c:pt>
                <c:pt idx="253">
                  <c:v>-126.22053540601658</c:v>
                </c:pt>
                <c:pt idx="254">
                  <c:v>-123.34377369469453</c:v>
                </c:pt>
                <c:pt idx="255">
                  <c:v>-126.65293079757046</c:v>
                </c:pt>
                <c:pt idx="256">
                  <c:v>-125.90441950091059</c:v>
                </c:pt>
                <c:pt idx="257">
                  <c:v>-124.75743383989617</c:v>
                </c:pt>
                <c:pt idx="258">
                  <c:v>-123.12155515789202</c:v>
                </c:pt>
                <c:pt idx="259">
                  <c:v>-123.85447193155885</c:v>
                </c:pt>
                <c:pt idx="260">
                  <c:v>-123.82069584158599</c:v>
                </c:pt>
                <c:pt idx="261">
                  <c:v>-121.99563073538482</c:v>
                </c:pt>
                <c:pt idx="262">
                  <c:v>-122.55363017754649</c:v>
                </c:pt>
                <c:pt idx="263">
                  <c:v>-121.00384929150393</c:v>
                </c:pt>
                <c:pt idx="264">
                  <c:v>-121.1269389178843</c:v>
                </c:pt>
                <c:pt idx="265">
                  <c:v>-120.38897731118549</c:v>
                </c:pt>
                <c:pt idx="266">
                  <c:v>-118.67857618025194</c:v>
                </c:pt>
                <c:pt idx="267">
                  <c:v>-118.26141978104303</c:v>
                </c:pt>
                <c:pt idx="268">
                  <c:v>-119.71945471110263</c:v>
                </c:pt>
                <c:pt idx="269">
                  <c:v>-117.5151986416857</c:v>
                </c:pt>
                <c:pt idx="270">
                  <c:v>-115.91404893907519</c:v>
                </c:pt>
                <c:pt idx="271">
                  <c:v>-115.87906790100124</c:v>
                </c:pt>
                <c:pt idx="272">
                  <c:v>-115.10764115570963</c:v>
                </c:pt>
                <c:pt idx="273">
                  <c:v>-116.71560341848291</c:v>
                </c:pt>
                <c:pt idx="274">
                  <c:v>-116.00161790430765</c:v>
                </c:pt>
                <c:pt idx="275">
                  <c:v>-114.69930821221058</c:v>
                </c:pt>
                <c:pt idx="276">
                  <c:v>-116.68596346018826</c:v>
                </c:pt>
                <c:pt idx="277">
                  <c:v>-118.73543194661434</c:v>
                </c:pt>
                <c:pt idx="278">
                  <c:v>-118.01270179720004</c:v>
                </c:pt>
                <c:pt idx="279">
                  <c:v>-117.57390617215761</c:v>
                </c:pt>
                <c:pt idx="280">
                  <c:v>-120.73929364379372</c:v>
                </c:pt>
                <c:pt idx="281">
                  <c:v>-117.77338272186728</c:v>
                </c:pt>
                <c:pt idx="282">
                  <c:v>-115.21351595001893</c:v>
                </c:pt>
                <c:pt idx="283">
                  <c:v>-116.50571850063281</c:v>
                </c:pt>
                <c:pt idx="284">
                  <c:v>-113.73116802859127</c:v>
                </c:pt>
                <c:pt idx="285">
                  <c:v>-113.95738449224508</c:v>
                </c:pt>
                <c:pt idx="286">
                  <c:v>-107.10514312788902</c:v>
                </c:pt>
                <c:pt idx="287">
                  <c:v>-108.81988708216785</c:v>
                </c:pt>
                <c:pt idx="288">
                  <c:v>-110.15464793354074</c:v>
                </c:pt>
                <c:pt idx="289">
                  <c:v>-112.14332271473081</c:v>
                </c:pt>
                <c:pt idx="290">
                  <c:v>-113.4277675450589</c:v>
                </c:pt>
                <c:pt idx="291">
                  <c:v>-111.07896315743189</c:v>
                </c:pt>
                <c:pt idx="292">
                  <c:v>-111.19427871840573</c:v>
                </c:pt>
                <c:pt idx="293">
                  <c:v>-110.03518224567608</c:v>
                </c:pt>
                <c:pt idx="294">
                  <c:v>-108.85582892710141</c:v>
                </c:pt>
                <c:pt idx="295">
                  <c:v>-110.14855933148073</c:v>
                </c:pt>
                <c:pt idx="296">
                  <c:v>-106.19709342064948</c:v>
                </c:pt>
                <c:pt idx="297">
                  <c:v>-106.88288713957284</c:v>
                </c:pt>
                <c:pt idx="298">
                  <c:v>-105.65372436635366</c:v>
                </c:pt>
                <c:pt idx="299">
                  <c:v>-107.4747038792146</c:v>
                </c:pt>
                <c:pt idx="300">
                  <c:v>-104.64672090146014</c:v>
                </c:pt>
                <c:pt idx="301">
                  <c:v>-102.69211028716856</c:v>
                </c:pt>
                <c:pt idx="302">
                  <c:v>-102.41587635420127</c:v>
                </c:pt>
                <c:pt idx="303">
                  <c:v>-103.19541804184063</c:v>
                </c:pt>
                <c:pt idx="304">
                  <c:v>-103.33433009025022</c:v>
                </c:pt>
                <c:pt idx="305">
                  <c:v>-101.39671958158419</c:v>
                </c:pt>
                <c:pt idx="306">
                  <c:v>-100.11885490713674</c:v>
                </c:pt>
                <c:pt idx="307">
                  <c:v>-101.24438457332364</c:v>
                </c:pt>
                <c:pt idx="308">
                  <c:v>-103.1093706979721</c:v>
                </c:pt>
                <c:pt idx="309">
                  <c:v>-101.16987902281367</c:v>
                </c:pt>
                <c:pt idx="310">
                  <c:v>-97.667486812559247</c:v>
                </c:pt>
                <c:pt idx="311">
                  <c:v>-96.480214866475947</c:v>
                </c:pt>
                <c:pt idx="312">
                  <c:v>-90.582204965751032</c:v>
                </c:pt>
                <c:pt idx="313">
                  <c:v>-92.704164805557824</c:v>
                </c:pt>
                <c:pt idx="314">
                  <c:v>-86.297343915045914</c:v>
                </c:pt>
                <c:pt idx="315">
                  <c:v>-89.207902525117035</c:v>
                </c:pt>
                <c:pt idx="316">
                  <c:v>-87.399382643879335</c:v>
                </c:pt>
                <c:pt idx="317">
                  <c:v>-84.048591194472635</c:v>
                </c:pt>
                <c:pt idx="318">
                  <c:v>-73.700083885302661</c:v>
                </c:pt>
                <c:pt idx="319">
                  <c:v>-79.893359454027106</c:v>
                </c:pt>
                <c:pt idx="320">
                  <c:v>-76.689138778451408</c:v>
                </c:pt>
                <c:pt idx="321">
                  <c:v>-82.77619061874006</c:v>
                </c:pt>
                <c:pt idx="322">
                  <c:v>-88.772120186319853</c:v>
                </c:pt>
                <c:pt idx="323">
                  <c:v>-85.546427945807977</c:v>
                </c:pt>
                <c:pt idx="324">
                  <c:v>-84.14864846934077</c:v>
                </c:pt>
                <c:pt idx="325">
                  <c:v>-86.742078514780317</c:v>
                </c:pt>
                <c:pt idx="326">
                  <c:v>-87.051780074510845</c:v>
                </c:pt>
                <c:pt idx="327">
                  <c:v>-85.362904373436564</c:v>
                </c:pt>
                <c:pt idx="328">
                  <c:v>-89.406231700400028</c:v>
                </c:pt>
                <c:pt idx="329">
                  <c:v>-93.628131690440298</c:v>
                </c:pt>
                <c:pt idx="330">
                  <c:v>-91.45018957190733</c:v>
                </c:pt>
                <c:pt idx="331">
                  <c:v>-91.797812797879928</c:v>
                </c:pt>
                <c:pt idx="332">
                  <c:v>-91.510140278628199</c:v>
                </c:pt>
                <c:pt idx="333">
                  <c:v>-91.893642150884062</c:v>
                </c:pt>
                <c:pt idx="334">
                  <c:v>-92.681471691263852</c:v>
                </c:pt>
                <c:pt idx="335">
                  <c:v>-92.342724403205921</c:v>
                </c:pt>
                <c:pt idx="336">
                  <c:v>-91.871552571030563</c:v>
                </c:pt>
                <c:pt idx="337">
                  <c:v>-89.288137036784562</c:v>
                </c:pt>
                <c:pt idx="338">
                  <c:v>-89.840201575041249</c:v>
                </c:pt>
                <c:pt idx="339">
                  <c:v>-88.822442299980011</c:v>
                </c:pt>
                <c:pt idx="340">
                  <c:v>-88.576762489164324</c:v>
                </c:pt>
                <c:pt idx="341">
                  <c:v>-88.33492170569815</c:v>
                </c:pt>
                <c:pt idx="342">
                  <c:v>-87.159010787955935</c:v>
                </c:pt>
                <c:pt idx="343">
                  <c:v>-87.190132702149128</c:v>
                </c:pt>
                <c:pt idx="344">
                  <c:v>-88.43956506395773</c:v>
                </c:pt>
                <c:pt idx="345">
                  <c:v>-90.426644972217872</c:v>
                </c:pt>
                <c:pt idx="346">
                  <c:v>-89.824026099108067</c:v>
                </c:pt>
                <c:pt idx="347">
                  <c:v>-85.931059338290524</c:v>
                </c:pt>
                <c:pt idx="348">
                  <c:v>-84.131717805912444</c:v>
                </c:pt>
                <c:pt idx="349">
                  <c:v>-86.585642220912945</c:v>
                </c:pt>
                <c:pt idx="350">
                  <c:v>-90.425812174418439</c:v>
                </c:pt>
                <c:pt idx="351">
                  <c:v>-91.28876079475468</c:v>
                </c:pt>
                <c:pt idx="352">
                  <c:v>-92.138806223417532</c:v>
                </c:pt>
                <c:pt idx="353">
                  <c:v>-96.14072377082573</c:v>
                </c:pt>
                <c:pt idx="354">
                  <c:v>-98.475237480036753</c:v>
                </c:pt>
                <c:pt idx="355">
                  <c:v>-98.139306218495463</c:v>
                </c:pt>
                <c:pt idx="356">
                  <c:v>-96.371518127805501</c:v>
                </c:pt>
                <c:pt idx="357">
                  <c:v>-95.47211142737072</c:v>
                </c:pt>
                <c:pt idx="358">
                  <c:v>-95.495211259453413</c:v>
                </c:pt>
                <c:pt idx="359">
                  <c:v>-94.711381374973243</c:v>
                </c:pt>
                <c:pt idx="360">
                  <c:v>-94.481041952777801</c:v>
                </c:pt>
                <c:pt idx="361">
                  <c:v>-94.937633973066724</c:v>
                </c:pt>
                <c:pt idx="362">
                  <c:v>-95.882806971478971</c:v>
                </c:pt>
                <c:pt idx="363">
                  <c:v>-95.677814207020148</c:v>
                </c:pt>
                <c:pt idx="364">
                  <c:v>-95.960521441846097</c:v>
                </c:pt>
                <c:pt idx="365">
                  <c:v>-96.869404781730097</c:v>
                </c:pt>
                <c:pt idx="366">
                  <c:v>-96.73098608689952</c:v>
                </c:pt>
                <c:pt idx="367">
                  <c:v>-96.935724256205461</c:v>
                </c:pt>
                <c:pt idx="368">
                  <c:v>-96.439041216230152</c:v>
                </c:pt>
                <c:pt idx="369">
                  <c:v>-96.374900656855147</c:v>
                </c:pt>
                <c:pt idx="370">
                  <c:v>-96.878667089470511</c:v>
                </c:pt>
                <c:pt idx="371">
                  <c:v>-97.256326883152155</c:v>
                </c:pt>
                <c:pt idx="372">
                  <c:v>-96.207084297949748</c:v>
                </c:pt>
                <c:pt idx="373">
                  <c:v>-96.315811489572908</c:v>
                </c:pt>
                <c:pt idx="374">
                  <c:v>-95.944909029943574</c:v>
                </c:pt>
                <c:pt idx="375">
                  <c:v>-96.41452880668777</c:v>
                </c:pt>
                <c:pt idx="376">
                  <c:v>-96.608177580718902</c:v>
                </c:pt>
                <c:pt idx="377">
                  <c:v>-97.114118609694586</c:v>
                </c:pt>
                <c:pt idx="378">
                  <c:v>-96.783993246705478</c:v>
                </c:pt>
                <c:pt idx="379">
                  <c:v>-97.112972212926465</c:v>
                </c:pt>
                <c:pt idx="380">
                  <c:v>-98.211789084560067</c:v>
                </c:pt>
                <c:pt idx="381">
                  <c:v>-96.56371558829521</c:v>
                </c:pt>
                <c:pt idx="382">
                  <c:v>-103.60857649677648</c:v>
                </c:pt>
                <c:pt idx="383">
                  <c:v>-104.32050494658988</c:v>
                </c:pt>
                <c:pt idx="384">
                  <c:v>-102.16825784472671</c:v>
                </c:pt>
                <c:pt idx="385">
                  <c:v>-103.27499913536435</c:v>
                </c:pt>
                <c:pt idx="386">
                  <c:v>-102.47388744607686</c:v>
                </c:pt>
                <c:pt idx="387">
                  <c:v>-104.68032144930844</c:v>
                </c:pt>
                <c:pt idx="388">
                  <c:v>-104.73975342245996</c:v>
                </c:pt>
                <c:pt idx="389">
                  <c:v>-104.44173876645993</c:v>
                </c:pt>
                <c:pt idx="390">
                  <c:v>-104.93769181120668</c:v>
                </c:pt>
                <c:pt idx="391">
                  <c:v>-105.26272911029822</c:v>
                </c:pt>
                <c:pt idx="392">
                  <c:v>-105.32464787459608</c:v>
                </c:pt>
                <c:pt idx="393">
                  <c:v>-105.63413228863533</c:v>
                </c:pt>
                <c:pt idx="394">
                  <c:v>-105.26906975073661</c:v>
                </c:pt>
                <c:pt idx="395">
                  <c:v>-104.69475454012986</c:v>
                </c:pt>
                <c:pt idx="396">
                  <c:v>-103.99249670823639</c:v>
                </c:pt>
                <c:pt idx="397">
                  <c:v>-103.5437640386974</c:v>
                </c:pt>
                <c:pt idx="398">
                  <c:v>-103.31914694053427</c:v>
                </c:pt>
                <c:pt idx="399">
                  <c:v>-103.02054592125428</c:v>
                </c:pt>
                <c:pt idx="400">
                  <c:v>-103.80917385906535</c:v>
                </c:pt>
                <c:pt idx="401">
                  <c:v>-101.84811754477528</c:v>
                </c:pt>
                <c:pt idx="402">
                  <c:v>-102.81598142662874</c:v>
                </c:pt>
                <c:pt idx="403">
                  <c:v>-102.10095268916231</c:v>
                </c:pt>
                <c:pt idx="404">
                  <c:v>-101.06027733833956</c:v>
                </c:pt>
                <c:pt idx="405">
                  <c:v>-101.1698753587159</c:v>
                </c:pt>
                <c:pt idx="406">
                  <c:v>-101.97934204859826</c:v>
                </c:pt>
                <c:pt idx="407">
                  <c:v>-101.30364318257473</c:v>
                </c:pt>
                <c:pt idx="408">
                  <c:v>-102.41861496482979</c:v>
                </c:pt>
                <c:pt idx="409">
                  <c:v>-102.78299438231173</c:v>
                </c:pt>
                <c:pt idx="410">
                  <c:v>-102.94586256715476</c:v>
                </c:pt>
                <c:pt idx="411">
                  <c:v>-102.85883572589375</c:v>
                </c:pt>
                <c:pt idx="412">
                  <c:v>-102.97835828557811</c:v>
                </c:pt>
                <c:pt idx="413">
                  <c:v>-102.88867899017478</c:v>
                </c:pt>
                <c:pt idx="414">
                  <c:v>-102.78896503450468</c:v>
                </c:pt>
                <c:pt idx="415">
                  <c:v>-103.14856833921689</c:v>
                </c:pt>
                <c:pt idx="416">
                  <c:v>-103.02143814119175</c:v>
                </c:pt>
                <c:pt idx="417">
                  <c:v>-103.3893064292961</c:v>
                </c:pt>
                <c:pt idx="418">
                  <c:v>-103.58678464673199</c:v>
                </c:pt>
                <c:pt idx="419">
                  <c:v>-103.76333162273198</c:v>
                </c:pt>
                <c:pt idx="420">
                  <c:v>-103.34211535201567</c:v>
                </c:pt>
                <c:pt idx="421">
                  <c:v>-103.67484750570065</c:v>
                </c:pt>
                <c:pt idx="422">
                  <c:v>-103.77172645008162</c:v>
                </c:pt>
                <c:pt idx="423">
                  <c:v>-103.27419184876074</c:v>
                </c:pt>
                <c:pt idx="424">
                  <c:v>-103.69731135723002</c:v>
                </c:pt>
                <c:pt idx="425">
                  <c:v>-103.59189781154399</c:v>
                </c:pt>
                <c:pt idx="426">
                  <c:v>-103.70361426403133</c:v>
                </c:pt>
                <c:pt idx="427">
                  <c:v>-103.8879839139361</c:v>
                </c:pt>
                <c:pt idx="428">
                  <c:v>-103.4101504261843</c:v>
                </c:pt>
                <c:pt idx="429">
                  <c:v>-103.21150005233817</c:v>
                </c:pt>
                <c:pt idx="430">
                  <c:v>-104.04687757006469</c:v>
                </c:pt>
                <c:pt idx="431">
                  <c:v>-104.85175453177943</c:v>
                </c:pt>
                <c:pt idx="432">
                  <c:v>-104.8709715408054</c:v>
                </c:pt>
                <c:pt idx="433">
                  <c:v>-105.33597529103305</c:v>
                </c:pt>
                <c:pt idx="434">
                  <c:v>-104.32909120484068</c:v>
                </c:pt>
                <c:pt idx="435">
                  <c:v>-104.24712428043408</c:v>
                </c:pt>
                <c:pt idx="436">
                  <c:v>-105.20697642641375</c:v>
                </c:pt>
                <c:pt idx="437">
                  <c:v>-104.46937417006529</c:v>
                </c:pt>
                <c:pt idx="438">
                  <c:v>-104.52972883805009</c:v>
                </c:pt>
                <c:pt idx="439">
                  <c:v>-104.56895739749672</c:v>
                </c:pt>
                <c:pt idx="440">
                  <c:v>-104.49970566486863</c:v>
                </c:pt>
                <c:pt idx="441">
                  <c:v>-104.65549820767185</c:v>
                </c:pt>
                <c:pt idx="442">
                  <c:v>-104.2083031313264</c:v>
                </c:pt>
                <c:pt idx="443">
                  <c:v>-104.37527158160727</c:v>
                </c:pt>
                <c:pt idx="444">
                  <c:v>-104.95329858160726</c:v>
                </c:pt>
                <c:pt idx="445">
                  <c:v>-105.01734136206078</c:v>
                </c:pt>
                <c:pt idx="446">
                  <c:v>-105.33586661893318</c:v>
                </c:pt>
                <c:pt idx="447">
                  <c:v>-104.73147878918742</c:v>
                </c:pt>
                <c:pt idx="448">
                  <c:v>-105.64828844622708</c:v>
                </c:pt>
                <c:pt idx="449">
                  <c:v>-106.07644111011388</c:v>
                </c:pt>
                <c:pt idx="450">
                  <c:v>-106.09413818477591</c:v>
                </c:pt>
                <c:pt idx="451">
                  <c:v>-105.87263171985542</c:v>
                </c:pt>
                <c:pt idx="452">
                  <c:v>-105.78109742440088</c:v>
                </c:pt>
                <c:pt idx="453">
                  <c:v>-105.01357230440088</c:v>
                </c:pt>
                <c:pt idx="454">
                  <c:v>-105.34563933633063</c:v>
                </c:pt>
                <c:pt idx="455">
                  <c:v>-105.49745554217765</c:v>
                </c:pt>
                <c:pt idx="456">
                  <c:v>-105.41580499389389</c:v>
                </c:pt>
                <c:pt idx="457">
                  <c:v>-104.68979089545911</c:v>
                </c:pt>
                <c:pt idx="458">
                  <c:v>-104.84020494148108</c:v>
                </c:pt>
                <c:pt idx="459">
                  <c:v>-104.63725783356487</c:v>
                </c:pt>
                <c:pt idx="460">
                  <c:v>-104.66673285739522</c:v>
                </c:pt>
                <c:pt idx="461">
                  <c:v>-104.67068878290873</c:v>
                </c:pt>
                <c:pt idx="462">
                  <c:v>-104.73083033333184</c:v>
                </c:pt>
                <c:pt idx="463">
                  <c:v>-104.34437498298148</c:v>
                </c:pt>
                <c:pt idx="464">
                  <c:v>-103.69180232806771</c:v>
                </c:pt>
                <c:pt idx="465">
                  <c:v>-103.17717260555463</c:v>
                </c:pt>
                <c:pt idx="466">
                  <c:v>-102.92228559555464</c:v>
                </c:pt>
                <c:pt idx="467">
                  <c:v>-102.88462183810087</c:v>
                </c:pt>
                <c:pt idx="468">
                  <c:v>-102.87464533021013</c:v>
                </c:pt>
                <c:pt idx="469">
                  <c:v>-102.89710015586496</c:v>
                </c:pt>
                <c:pt idx="470">
                  <c:v>-102.38338235863023</c:v>
                </c:pt>
                <c:pt idx="471">
                  <c:v>-102.44502829704638</c:v>
                </c:pt>
                <c:pt idx="472">
                  <c:v>-102.78267172968638</c:v>
                </c:pt>
                <c:pt idx="473">
                  <c:v>-103.00999034853884</c:v>
                </c:pt>
                <c:pt idx="474">
                  <c:v>-103.1656892566116</c:v>
                </c:pt>
                <c:pt idx="475">
                  <c:v>-103.11135132054785</c:v>
                </c:pt>
                <c:pt idx="476">
                  <c:v>-103.47818755103232</c:v>
                </c:pt>
                <c:pt idx="477">
                  <c:v>-103.76207945852674</c:v>
                </c:pt>
                <c:pt idx="478">
                  <c:v>-104.14890357722547</c:v>
                </c:pt>
                <c:pt idx="479">
                  <c:v>-103.89248878872617</c:v>
                </c:pt>
                <c:pt idx="480">
                  <c:v>-103.76888834608846</c:v>
                </c:pt>
                <c:pt idx="481">
                  <c:v>-103.72669492141341</c:v>
                </c:pt>
                <c:pt idx="482">
                  <c:v>-103.68397691999149</c:v>
                </c:pt>
                <c:pt idx="483">
                  <c:v>-102.9131006662459</c:v>
                </c:pt>
                <c:pt idx="484">
                  <c:v>-103.2579077277903</c:v>
                </c:pt>
                <c:pt idx="485">
                  <c:v>-102.79642676048752</c:v>
                </c:pt>
                <c:pt idx="486">
                  <c:v>-103.52102787746971</c:v>
                </c:pt>
                <c:pt idx="487">
                  <c:v>-103.1256217233357</c:v>
                </c:pt>
                <c:pt idx="488">
                  <c:v>-103.36623115553283</c:v>
                </c:pt>
                <c:pt idx="489">
                  <c:v>-102.86201463071711</c:v>
                </c:pt>
                <c:pt idx="490">
                  <c:v>-103.29116536264343</c:v>
                </c:pt>
                <c:pt idx="491">
                  <c:v>-103.88470931264344</c:v>
                </c:pt>
                <c:pt idx="492">
                  <c:v>-103.21427537676254</c:v>
                </c:pt>
                <c:pt idx="493">
                  <c:v>-103.29944199718615</c:v>
                </c:pt>
                <c:pt idx="494">
                  <c:v>-102.22868053676122</c:v>
                </c:pt>
                <c:pt idx="495">
                  <c:v>-102.092890512621</c:v>
                </c:pt>
                <c:pt idx="496">
                  <c:v>-102.25437584179745</c:v>
                </c:pt>
                <c:pt idx="497">
                  <c:v>-102.1772435679043</c:v>
                </c:pt>
                <c:pt idx="498">
                  <c:v>-102.21554080890948</c:v>
                </c:pt>
                <c:pt idx="499">
                  <c:v>-101.99814534219321</c:v>
                </c:pt>
                <c:pt idx="500">
                  <c:v>-101.46207593885987</c:v>
                </c:pt>
                <c:pt idx="501">
                  <c:v>-101.68900590374822</c:v>
                </c:pt>
                <c:pt idx="502">
                  <c:v>-101.26976744446148</c:v>
                </c:pt>
                <c:pt idx="503">
                  <c:v>-102.14493450636519</c:v>
                </c:pt>
                <c:pt idx="504">
                  <c:v>-102.41233567688221</c:v>
                </c:pt>
                <c:pt idx="505">
                  <c:v>-102.86459583490401</c:v>
                </c:pt>
                <c:pt idx="506">
                  <c:v>-103.38226229544163</c:v>
                </c:pt>
                <c:pt idx="507">
                  <c:v>-102.95821492742975</c:v>
                </c:pt>
                <c:pt idx="508">
                  <c:v>-103.76833034766032</c:v>
                </c:pt>
                <c:pt idx="509">
                  <c:v>-104.446800920515</c:v>
                </c:pt>
                <c:pt idx="510">
                  <c:v>-103.61930122864688</c:v>
                </c:pt>
                <c:pt idx="511">
                  <c:v>-103.83481718216706</c:v>
                </c:pt>
                <c:pt idx="512">
                  <c:v>-101.06317194632427</c:v>
                </c:pt>
                <c:pt idx="513">
                  <c:v>-100.64245625439496</c:v>
                </c:pt>
                <c:pt idx="514">
                  <c:v>-99.207903656356677</c:v>
                </c:pt>
                <c:pt idx="515">
                  <c:v>-99.225814030242503</c:v>
                </c:pt>
                <c:pt idx="516">
                  <c:v>-98.925005852304963</c:v>
                </c:pt>
                <c:pt idx="517">
                  <c:v>-98.631700694995104</c:v>
                </c:pt>
                <c:pt idx="518">
                  <c:v>-98.774505295712927</c:v>
                </c:pt>
                <c:pt idx="519">
                  <c:v>-98.306662849027731</c:v>
                </c:pt>
                <c:pt idx="520">
                  <c:v>-98.37614660974431</c:v>
                </c:pt>
                <c:pt idx="521">
                  <c:v>-97.884449993347673</c:v>
                </c:pt>
                <c:pt idx="522">
                  <c:v>-98.543044065701693</c:v>
                </c:pt>
                <c:pt idx="523">
                  <c:v>-98.593189496742781</c:v>
                </c:pt>
                <c:pt idx="524">
                  <c:v>-99.210831878106006</c:v>
                </c:pt>
                <c:pt idx="525">
                  <c:v>-98.300365736680419</c:v>
                </c:pt>
                <c:pt idx="526">
                  <c:v>-98.895083133565421</c:v>
                </c:pt>
                <c:pt idx="527">
                  <c:v>-98.759926228414372</c:v>
                </c:pt>
                <c:pt idx="528">
                  <c:v>-97.478358796282734</c:v>
                </c:pt>
                <c:pt idx="529">
                  <c:v>-97.89851462718272</c:v>
                </c:pt>
                <c:pt idx="530">
                  <c:v>-97.311639522927649</c:v>
                </c:pt>
                <c:pt idx="531">
                  <c:v>-96.48899714552519</c:v>
                </c:pt>
                <c:pt idx="532">
                  <c:v>-97.58559815213242</c:v>
                </c:pt>
                <c:pt idx="533">
                  <c:v>-97.454609897582301</c:v>
                </c:pt>
                <c:pt idx="534">
                  <c:v>-98.198761011936128</c:v>
                </c:pt>
                <c:pt idx="535">
                  <c:v>-95.567180129537434</c:v>
                </c:pt>
                <c:pt idx="536">
                  <c:v>-97.723323008634509</c:v>
                </c:pt>
                <c:pt idx="537">
                  <c:v>-99.585346538135084</c:v>
                </c:pt>
                <c:pt idx="538">
                  <c:v>-97.046570350193562</c:v>
                </c:pt>
                <c:pt idx="539">
                  <c:v>-97.280522818080357</c:v>
                </c:pt>
                <c:pt idx="540">
                  <c:v>-97.852254151318832</c:v>
                </c:pt>
                <c:pt idx="541">
                  <c:v>-98.359453827466766</c:v>
                </c:pt>
                <c:pt idx="542">
                  <c:v>-98.96018778092791</c:v>
                </c:pt>
                <c:pt idx="543">
                  <c:v>-98.677693162756327</c:v>
                </c:pt>
                <c:pt idx="544">
                  <c:v>-98.821264964905623</c:v>
                </c:pt>
                <c:pt idx="545">
                  <c:v>-98.425472767291055</c:v>
                </c:pt>
                <c:pt idx="546">
                  <c:v>-97.63581969862426</c:v>
                </c:pt>
                <c:pt idx="547">
                  <c:v>-98.019642835024129</c:v>
                </c:pt>
                <c:pt idx="548">
                  <c:v>-96.970626282375619</c:v>
                </c:pt>
                <c:pt idx="549">
                  <c:v>-95.841066616550833</c:v>
                </c:pt>
                <c:pt idx="550">
                  <c:v>-98.089440303749498</c:v>
                </c:pt>
                <c:pt idx="551">
                  <c:v>-99.595297723738213</c:v>
                </c:pt>
                <c:pt idx="552">
                  <c:v>-98.063159213490707</c:v>
                </c:pt>
                <c:pt idx="553">
                  <c:v>-98.877507953495495</c:v>
                </c:pt>
                <c:pt idx="554">
                  <c:v>-99.276359640533045</c:v>
                </c:pt>
                <c:pt idx="555">
                  <c:v>-97.166026011036664</c:v>
                </c:pt>
                <c:pt idx="556">
                  <c:v>-98.178401409639591</c:v>
                </c:pt>
                <c:pt idx="557">
                  <c:v>-97.662916979706296</c:v>
                </c:pt>
                <c:pt idx="558">
                  <c:v>-97.712943813614757</c:v>
                </c:pt>
                <c:pt idx="559">
                  <c:v>-97.864600005820307</c:v>
                </c:pt>
                <c:pt idx="560">
                  <c:v>-98.138960365844866</c:v>
                </c:pt>
                <c:pt idx="561">
                  <c:v>-95.892947844139371</c:v>
                </c:pt>
                <c:pt idx="562">
                  <c:v>-97.535561773709901</c:v>
                </c:pt>
                <c:pt idx="563">
                  <c:v>-97.793200968855786</c:v>
                </c:pt>
                <c:pt idx="564">
                  <c:v>-97.341207689549606</c:v>
                </c:pt>
                <c:pt idx="565">
                  <c:v>-96.980835269302204</c:v>
                </c:pt>
                <c:pt idx="566">
                  <c:v>-97.407593061775017</c:v>
                </c:pt>
                <c:pt idx="567">
                  <c:v>-98.484696387125567</c:v>
                </c:pt>
                <c:pt idx="568">
                  <c:v>-99.028720746704721</c:v>
                </c:pt>
                <c:pt idx="569">
                  <c:v>-99.233667145153518</c:v>
                </c:pt>
                <c:pt idx="570">
                  <c:v>-99.71427856147352</c:v>
                </c:pt>
                <c:pt idx="571">
                  <c:v>-99.84918109390884</c:v>
                </c:pt>
                <c:pt idx="572">
                  <c:v>-99.247877180101852</c:v>
                </c:pt>
                <c:pt idx="573">
                  <c:v>-98.970347948725106</c:v>
                </c:pt>
                <c:pt idx="574">
                  <c:v>-99.160759727950364</c:v>
                </c:pt>
                <c:pt idx="575">
                  <c:v>-99.345133549639627</c:v>
                </c:pt>
                <c:pt idx="576">
                  <c:v>-100.40327660623559</c:v>
                </c:pt>
                <c:pt idx="577">
                  <c:v>-102.38777275455894</c:v>
                </c:pt>
                <c:pt idx="578">
                  <c:v>-102.60328434892514</c:v>
                </c:pt>
                <c:pt idx="579">
                  <c:v>-102.93493384865322</c:v>
                </c:pt>
                <c:pt idx="580">
                  <c:v>-102.34007168272815</c:v>
                </c:pt>
                <c:pt idx="581">
                  <c:v>-101.90986835608051</c:v>
                </c:pt>
                <c:pt idx="582">
                  <c:v>-101.99016064249892</c:v>
                </c:pt>
                <c:pt idx="583">
                  <c:v>-101.62796241950981</c:v>
                </c:pt>
                <c:pt idx="584">
                  <c:v>-101.32144956434963</c:v>
                </c:pt>
                <c:pt idx="585">
                  <c:v>-100.72973656403879</c:v>
                </c:pt>
                <c:pt idx="586">
                  <c:v>-99.743003088031188</c:v>
                </c:pt>
                <c:pt idx="587">
                  <c:v>-99.530170612005307</c:v>
                </c:pt>
                <c:pt idx="588">
                  <c:v>-101.19323934090649</c:v>
                </c:pt>
                <c:pt idx="589">
                  <c:v>-102.31299059787924</c:v>
                </c:pt>
                <c:pt idx="590">
                  <c:v>-101.18639326628202</c:v>
                </c:pt>
                <c:pt idx="591">
                  <c:v>-101.84808308416862</c:v>
                </c:pt>
                <c:pt idx="592">
                  <c:v>-102.48802811894647</c:v>
                </c:pt>
                <c:pt idx="593">
                  <c:v>-101.93432253127982</c:v>
                </c:pt>
                <c:pt idx="594">
                  <c:v>-103.17819018747093</c:v>
                </c:pt>
                <c:pt idx="595">
                  <c:v>-104.19443528475347</c:v>
                </c:pt>
                <c:pt idx="596">
                  <c:v>-102.9229881016703</c:v>
                </c:pt>
                <c:pt idx="597">
                  <c:v>-102.09869408521149</c:v>
                </c:pt>
                <c:pt idx="598">
                  <c:v>-101.41975392408129</c:v>
                </c:pt>
                <c:pt idx="599">
                  <c:v>-102.01069907727093</c:v>
                </c:pt>
                <c:pt idx="600">
                  <c:v>-101.97390255437531</c:v>
                </c:pt>
                <c:pt idx="601">
                  <c:v>-102.28529265841422</c:v>
                </c:pt>
                <c:pt idx="602">
                  <c:v>-101.21167177861632</c:v>
                </c:pt>
                <c:pt idx="603">
                  <c:v>-100.00764891428739</c:v>
                </c:pt>
                <c:pt idx="604">
                  <c:v>-99.863165936533861</c:v>
                </c:pt>
                <c:pt idx="605">
                  <c:v>-99.877470986899695</c:v>
                </c:pt>
                <c:pt idx="606">
                  <c:v>-100.18006908090069</c:v>
                </c:pt>
                <c:pt idx="607">
                  <c:v>-99.042369633886153</c:v>
                </c:pt>
                <c:pt idx="608">
                  <c:v>-98.625510535215696</c:v>
                </c:pt>
                <c:pt idx="609">
                  <c:v>-99.244028839617485</c:v>
                </c:pt>
                <c:pt idx="610">
                  <c:v>-96.913182688385476</c:v>
                </c:pt>
                <c:pt idx="611">
                  <c:v>-97.35425748881903</c:v>
                </c:pt>
                <c:pt idx="612">
                  <c:v>-93.924444603304806</c:v>
                </c:pt>
                <c:pt idx="613">
                  <c:v>-95.412476449261533</c:v>
                </c:pt>
                <c:pt idx="614">
                  <c:v>-95.037440784777729</c:v>
                </c:pt>
                <c:pt idx="615">
                  <c:v>-94.690215798896503</c:v>
                </c:pt>
                <c:pt idx="616">
                  <c:v>-95.027518746768834</c:v>
                </c:pt>
                <c:pt idx="617">
                  <c:v>-94.03507391271755</c:v>
                </c:pt>
                <c:pt idx="618">
                  <c:v>-93.852470576463119</c:v>
                </c:pt>
                <c:pt idx="619">
                  <c:v>-93.839665198563566</c:v>
                </c:pt>
                <c:pt idx="620">
                  <c:v>-93.609130686387715</c:v>
                </c:pt>
                <c:pt idx="621">
                  <c:v>-93.131135186376696</c:v>
                </c:pt>
                <c:pt idx="622">
                  <c:v>-93.593287440913983</c:v>
                </c:pt>
                <c:pt idx="623">
                  <c:v>-90.945692509311598</c:v>
                </c:pt>
                <c:pt idx="624">
                  <c:v>-90.90482658355586</c:v>
                </c:pt>
                <c:pt idx="625">
                  <c:v>-91.090515657074675</c:v>
                </c:pt>
                <c:pt idx="626">
                  <c:v>-91.108546801495734</c:v>
                </c:pt>
                <c:pt idx="627">
                  <c:v>-91.263412026209878</c:v>
                </c:pt>
                <c:pt idx="628">
                  <c:v>-91.011669337246346</c:v>
                </c:pt>
                <c:pt idx="629">
                  <c:v>-91.03628027033615</c:v>
                </c:pt>
                <c:pt idx="630">
                  <c:v>-90.885701391300685</c:v>
                </c:pt>
                <c:pt idx="631">
                  <c:v>-91.528824216191907</c:v>
                </c:pt>
                <c:pt idx="632">
                  <c:v>-90.065651481942396</c:v>
                </c:pt>
                <c:pt idx="633">
                  <c:v>-89.35408613091667</c:v>
                </c:pt>
                <c:pt idx="634">
                  <c:v>-89.439148123597747</c:v>
                </c:pt>
                <c:pt idx="635">
                  <c:v>-89.310129394870472</c:v>
                </c:pt>
                <c:pt idx="636">
                  <c:v>-89.382038951461837</c:v>
                </c:pt>
                <c:pt idx="637">
                  <c:v>-89.559756027723964</c:v>
                </c:pt>
                <c:pt idx="638">
                  <c:v>-89.346427031716544</c:v>
                </c:pt>
                <c:pt idx="639">
                  <c:v>-89.467745814373586</c:v>
                </c:pt>
                <c:pt idx="640">
                  <c:v>-89.292219990098374</c:v>
                </c:pt>
                <c:pt idx="641">
                  <c:v>-89.406653226636323</c:v>
                </c:pt>
                <c:pt idx="642">
                  <c:v>-89.050151882576259</c:v>
                </c:pt>
                <c:pt idx="643">
                  <c:v>-89.207398358171503</c:v>
                </c:pt>
                <c:pt idx="644">
                  <c:v>-89.2281941905633</c:v>
                </c:pt>
                <c:pt idx="645">
                  <c:v>-89.812729061556524</c:v>
                </c:pt>
                <c:pt idx="646">
                  <c:v>-89.896928565881467</c:v>
                </c:pt>
                <c:pt idx="647">
                  <c:v>-89.596435947296101</c:v>
                </c:pt>
                <c:pt idx="648">
                  <c:v>-88.974614795133576</c:v>
                </c:pt>
                <c:pt idx="649">
                  <c:v>-89.047644809174187</c:v>
                </c:pt>
                <c:pt idx="650">
                  <c:v>-89.262941816579428</c:v>
                </c:pt>
                <c:pt idx="651">
                  <c:v>-89.243213367057251</c:v>
                </c:pt>
                <c:pt idx="652">
                  <c:v>-90.004240397557666</c:v>
                </c:pt>
                <c:pt idx="653">
                  <c:v>-89.165220569547671</c:v>
                </c:pt>
                <c:pt idx="654">
                  <c:v>-89.655085167789039</c:v>
                </c:pt>
                <c:pt idx="655">
                  <c:v>-89.987484847789034</c:v>
                </c:pt>
                <c:pt idx="656">
                  <c:v>-89.568125834873371</c:v>
                </c:pt>
                <c:pt idx="657">
                  <c:v>-88.924917860015185</c:v>
                </c:pt>
                <c:pt idx="658">
                  <c:v>-88.361011095816011</c:v>
                </c:pt>
                <c:pt idx="659">
                  <c:v>-88.954246209183751</c:v>
                </c:pt>
                <c:pt idx="660">
                  <c:v>-88.899270957545809</c:v>
                </c:pt>
                <c:pt idx="661">
                  <c:v>-88.801643972554899</c:v>
                </c:pt>
                <c:pt idx="662">
                  <c:v>-89.008242552502836</c:v>
                </c:pt>
                <c:pt idx="663">
                  <c:v>-88.872449858905341</c:v>
                </c:pt>
                <c:pt idx="664">
                  <c:v>-88.911804595461476</c:v>
                </c:pt>
                <c:pt idx="665">
                  <c:v>-88.769833589106341</c:v>
                </c:pt>
                <c:pt idx="666">
                  <c:v>-88.555452786550234</c:v>
                </c:pt>
                <c:pt idx="667">
                  <c:v>-88.911655446550242</c:v>
                </c:pt>
                <c:pt idx="668">
                  <c:v>-88.924981959562288</c:v>
                </c:pt>
                <c:pt idx="669">
                  <c:v>-89.261218180246075</c:v>
                </c:pt>
                <c:pt idx="670">
                  <c:v>-89.081561679717026</c:v>
                </c:pt>
                <c:pt idx="671">
                  <c:v>-89.420151930661845</c:v>
                </c:pt>
                <c:pt idx="672">
                  <c:v>-88.591876123749046</c:v>
                </c:pt>
                <c:pt idx="673">
                  <c:v>-88.743951231530858</c:v>
                </c:pt>
                <c:pt idx="674">
                  <c:v>-88.893286851706009</c:v>
                </c:pt>
                <c:pt idx="675">
                  <c:v>-88.667536158881887</c:v>
                </c:pt>
                <c:pt idx="676">
                  <c:v>-88.866551355121445</c:v>
                </c:pt>
                <c:pt idx="677">
                  <c:v>-88.245386906337359</c:v>
                </c:pt>
                <c:pt idx="678">
                  <c:v>-88.267072152386405</c:v>
                </c:pt>
                <c:pt idx="679">
                  <c:v>-87.941573842041393</c:v>
                </c:pt>
                <c:pt idx="680">
                  <c:v>-88.957468150500276</c:v>
                </c:pt>
                <c:pt idx="681">
                  <c:v>-88.837447415350056</c:v>
                </c:pt>
                <c:pt idx="682">
                  <c:v>-88.998366418954149</c:v>
                </c:pt>
                <c:pt idx="683">
                  <c:v>-88.80185359704042</c:v>
                </c:pt>
                <c:pt idx="684">
                  <c:v>-88.479139895448455</c:v>
                </c:pt>
                <c:pt idx="685">
                  <c:v>-87.96720112657097</c:v>
                </c:pt>
                <c:pt idx="686">
                  <c:v>-88.722118644965278</c:v>
                </c:pt>
                <c:pt idx="687">
                  <c:v>-85.633511449871591</c:v>
                </c:pt>
                <c:pt idx="688">
                  <c:v>-85.856373185614459</c:v>
                </c:pt>
                <c:pt idx="689">
                  <c:v>-86.238427883928409</c:v>
                </c:pt>
                <c:pt idx="690">
                  <c:v>-85.913545427980367</c:v>
                </c:pt>
                <c:pt idx="691">
                  <c:v>-85.040791071466785</c:v>
                </c:pt>
                <c:pt idx="692">
                  <c:v>-84.160148376506783</c:v>
                </c:pt>
                <c:pt idx="693">
                  <c:v>-83.268304585493226</c:v>
                </c:pt>
                <c:pt idx="694">
                  <c:v>-82.492895255493238</c:v>
                </c:pt>
                <c:pt idx="695">
                  <c:v>-82.212622180885887</c:v>
                </c:pt>
                <c:pt idx="696">
                  <c:v>-82.568325951929566</c:v>
                </c:pt>
                <c:pt idx="697">
                  <c:v>-82.882927789505416</c:v>
                </c:pt>
                <c:pt idx="698">
                  <c:v>-82.857800746394915</c:v>
                </c:pt>
                <c:pt idx="699">
                  <c:v>-82.702337016394921</c:v>
                </c:pt>
                <c:pt idx="700">
                  <c:v>-82.774414115394507</c:v>
                </c:pt>
                <c:pt idx="701">
                  <c:v>-82.832578994246788</c:v>
                </c:pt>
                <c:pt idx="702">
                  <c:v>-82.27410754721312</c:v>
                </c:pt>
                <c:pt idx="703">
                  <c:v>-82.646506414597127</c:v>
                </c:pt>
                <c:pt idx="704">
                  <c:v>-82.249598886350299</c:v>
                </c:pt>
                <c:pt idx="705">
                  <c:v>-82.441270534153077</c:v>
                </c:pt>
                <c:pt idx="706">
                  <c:v>-82.572402786173953</c:v>
                </c:pt>
                <c:pt idx="707">
                  <c:v>-82.168701688687875</c:v>
                </c:pt>
                <c:pt idx="708">
                  <c:v>-81.71969741364056</c:v>
                </c:pt>
                <c:pt idx="709">
                  <c:v>-81.461765942398586</c:v>
                </c:pt>
                <c:pt idx="710">
                  <c:v>-81.599150664282874</c:v>
                </c:pt>
                <c:pt idx="711">
                  <c:v>-81.73804077388445</c:v>
                </c:pt>
                <c:pt idx="712">
                  <c:v>-81.396570184122851</c:v>
                </c:pt>
                <c:pt idx="713">
                  <c:v>-80.578424198983981</c:v>
                </c:pt>
                <c:pt idx="714">
                  <c:v>-80.584718199818411</c:v>
                </c:pt>
                <c:pt idx="715">
                  <c:v>-80.095328385519409</c:v>
                </c:pt>
                <c:pt idx="716">
                  <c:v>-80.606678839953062</c:v>
                </c:pt>
                <c:pt idx="717">
                  <c:v>-81.188134139133993</c:v>
                </c:pt>
                <c:pt idx="718">
                  <c:v>-81.844821580770017</c:v>
                </c:pt>
                <c:pt idx="719">
                  <c:v>-82.447536824669484</c:v>
                </c:pt>
                <c:pt idx="720">
                  <c:v>-81.796345125409047</c:v>
                </c:pt>
                <c:pt idx="721">
                  <c:v>-81.051589688905437</c:v>
                </c:pt>
                <c:pt idx="722">
                  <c:v>-81.996362431085515</c:v>
                </c:pt>
                <c:pt idx="723">
                  <c:v>-81.931313639084323</c:v>
                </c:pt>
                <c:pt idx="724">
                  <c:v>-82.184870731930928</c:v>
                </c:pt>
                <c:pt idx="725">
                  <c:v>-82.018002009177025</c:v>
                </c:pt>
                <c:pt idx="726">
                  <c:v>-81.729523968439352</c:v>
                </c:pt>
                <c:pt idx="727">
                  <c:v>-81.743740655010143</c:v>
                </c:pt>
                <c:pt idx="728">
                  <c:v>-81.938734296066855</c:v>
                </c:pt>
                <c:pt idx="729">
                  <c:v>-81.782883579600281</c:v>
                </c:pt>
                <c:pt idx="730">
                  <c:v>-81.5083804458082</c:v>
                </c:pt>
                <c:pt idx="731">
                  <c:v>-81.334254942433788</c:v>
                </c:pt>
                <c:pt idx="732">
                  <c:v>-81.330152562384612</c:v>
                </c:pt>
                <c:pt idx="733">
                  <c:v>-81.320891221125862</c:v>
                </c:pt>
                <c:pt idx="734">
                  <c:v>-81.631962287604736</c:v>
                </c:pt>
                <c:pt idx="735">
                  <c:v>-81.683633920839497</c:v>
                </c:pt>
                <c:pt idx="736">
                  <c:v>-81.446964183605743</c:v>
                </c:pt>
                <c:pt idx="737">
                  <c:v>-81.167744344734629</c:v>
                </c:pt>
                <c:pt idx="738">
                  <c:v>-81.241437609637117</c:v>
                </c:pt>
                <c:pt idx="739">
                  <c:v>-81.116167171903783</c:v>
                </c:pt>
                <c:pt idx="740">
                  <c:v>-80.759000272350008</c:v>
                </c:pt>
                <c:pt idx="741">
                  <c:v>-80.524435795102292</c:v>
                </c:pt>
                <c:pt idx="742">
                  <c:v>-80.259934732325434</c:v>
                </c:pt>
                <c:pt idx="743">
                  <c:v>-79.909163565712817</c:v>
                </c:pt>
                <c:pt idx="744">
                  <c:v>-78.991860086351352</c:v>
                </c:pt>
                <c:pt idx="745">
                  <c:v>-77.943729875928099</c:v>
                </c:pt>
                <c:pt idx="746">
                  <c:v>-78.134953110785972</c:v>
                </c:pt>
                <c:pt idx="747">
                  <c:v>-78.336844761139218</c:v>
                </c:pt>
                <c:pt idx="748">
                  <c:v>-78.176054858969451</c:v>
                </c:pt>
                <c:pt idx="749">
                  <c:v>-77.983682397652572</c:v>
                </c:pt>
                <c:pt idx="750">
                  <c:v>-77.771861349929239</c:v>
                </c:pt>
                <c:pt idx="751">
                  <c:v>-77.623925220739935</c:v>
                </c:pt>
                <c:pt idx="752">
                  <c:v>-77.220970762911463</c:v>
                </c:pt>
                <c:pt idx="753">
                  <c:v>-77.203955690175192</c:v>
                </c:pt>
                <c:pt idx="754">
                  <c:v>-77.399316897192747</c:v>
                </c:pt>
                <c:pt idx="755">
                  <c:v>-77.267757388745366</c:v>
                </c:pt>
                <c:pt idx="756">
                  <c:v>-77.195062494369466</c:v>
                </c:pt>
                <c:pt idx="757">
                  <c:v>-77.138808165557805</c:v>
                </c:pt>
                <c:pt idx="758">
                  <c:v>-77.24159963782202</c:v>
                </c:pt>
                <c:pt idx="759">
                  <c:v>-77.065926810210712</c:v>
                </c:pt>
                <c:pt idx="760">
                  <c:v>-76.658438343469101</c:v>
                </c:pt>
                <c:pt idx="761">
                  <c:v>-45.957259633340037</c:v>
                </c:pt>
                <c:pt idx="762">
                  <c:v>-44.918428963340034</c:v>
                </c:pt>
                <c:pt idx="763">
                  <c:v>-45.099584977516528</c:v>
                </c:pt>
                <c:pt idx="764">
                  <c:v>-25.018682042074698</c:v>
                </c:pt>
                <c:pt idx="765">
                  <c:v>-13.804847935907725</c:v>
                </c:pt>
                <c:pt idx="766">
                  <c:v>-15.104603293416826</c:v>
                </c:pt>
                <c:pt idx="767">
                  <c:v>-3.5702165324296771</c:v>
                </c:pt>
                <c:pt idx="768">
                  <c:v>-3.9369551167742176</c:v>
                </c:pt>
                <c:pt idx="769">
                  <c:v>-4.5756948813452407</c:v>
                </c:pt>
                <c:pt idx="770">
                  <c:v>-5.4693500022214234</c:v>
                </c:pt>
                <c:pt idx="771">
                  <c:v>-5.3331671436677164</c:v>
                </c:pt>
                <c:pt idx="772">
                  <c:v>-5.6441432247163581</c:v>
                </c:pt>
                <c:pt idx="773">
                  <c:v>-5.3253338344574104</c:v>
                </c:pt>
                <c:pt idx="774">
                  <c:v>-4.5575192396763997</c:v>
                </c:pt>
                <c:pt idx="775">
                  <c:v>-4.8791669635354786</c:v>
                </c:pt>
                <c:pt idx="776">
                  <c:v>-4.5626432655468596</c:v>
                </c:pt>
                <c:pt idx="777">
                  <c:v>-4.6112380584061379</c:v>
                </c:pt>
                <c:pt idx="778">
                  <c:v>-3.8768772826177602</c:v>
                </c:pt>
                <c:pt idx="779">
                  <c:v>-4.6896158230158518</c:v>
                </c:pt>
                <c:pt idx="780">
                  <c:v>-3.8396351013654071</c:v>
                </c:pt>
                <c:pt idx="781">
                  <c:v>-2.9557610117295439</c:v>
                </c:pt>
                <c:pt idx="782">
                  <c:v>-2.5477461677913751</c:v>
                </c:pt>
                <c:pt idx="783">
                  <c:v>-0.77431335258711576</c:v>
                </c:pt>
                <c:pt idx="784">
                  <c:v>2.9452278252319983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B6-4329-97EB-575F715099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6460864"/>
        <c:axId val="616461280"/>
      </c:lineChart>
      <c:dateAx>
        <c:axId val="6164608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461280"/>
        <c:crosses val="autoZero"/>
        <c:auto val="1"/>
        <c:lblOffset val="100"/>
        <c:baseTimeUnit val="days"/>
      </c:dateAx>
      <c:valAx>
        <c:axId val="61646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460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0EE7DE1-A610-4F9B-93CF-D02D666524DA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D5E8C3-DF9D-44A0-92FC-21FC780B9DF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4.0127999999999997E-2</v>
      </c>
      <c r="D2" s="4">
        <f>MIN(D3:D1912)</f>
        <v>1.2666000000000001E-3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6.0679999999999996E-3</v>
      </c>
      <c r="C5">
        <v>6.1190000000000003E-3</v>
      </c>
      <c r="D5">
        <v>5.842E-3</v>
      </c>
      <c r="E5">
        <v>5.8609999999999999E-3</v>
      </c>
      <c r="F5">
        <v>9375197</v>
      </c>
      <c r="G5">
        <v>5.8609999999999999E-3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-0.86281588447653501</v>
      </c>
      <c r="Q5">
        <f t="shared" ref="Q5" si="1">F5*P5</f>
        <v>-8089068.8916967576</v>
      </c>
      <c r="R5">
        <f t="shared" ref="R5" si="2">R6+Q5</f>
        <v>-63442885399.47995</v>
      </c>
      <c r="S5">
        <f t="shared" ref="S5" si="3">R5/100000</f>
        <v>-634428.85399479955</v>
      </c>
      <c r="T5">
        <f t="shared" ref="T5" si="4">S5/1000</f>
        <v>-634.42885399479951</v>
      </c>
    </row>
    <row r="6" spans="1:20" x14ac:dyDescent="0.25">
      <c r="A6" s="5">
        <v>44587</v>
      </c>
      <c r="B6">
        <v>6.0819999999999997E-3</v>
      </c>
      <c r="C6">
        <v>6.5199999999999998E-3</v>
      </c>
      <c r="D6">
        <v>5.9160000000000003E-3</v>
      </c>
      <c r="E6">
        <v>6.0679999999999996E-3</v>
      </c>
      <c r="F6">
        <v>233546729</v>
      </c>
      <c r="G6">
        <v>6.0679999999999996E-3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-0.49668874172185601</v>
      </c>
      <c r="Q6">
        <f t="shared" ref="Q6" si="6">F6*P6</f>
        <v>-116000030.96026529</v>
      </c>
      <c r="R6">
        <f t="shared" ref="R6" si="7">R7+Q6</f>
        <v>-63434796330.588257</v>
      </c>
      <c r="S6">
        <f t="shared" ref="S6" si="8">R6/100000</f>
        <v>-634347.96330588253</v>
      </c>
      <c r="T6">
        <f t="shared" ref="T6" si="9">S6/1000</f>
        <v>-634.34796330588256</v>
      </c>
    </row>
    <row r="7" spans="1:20" x14ac:dyDescent="0.25">
      <c r="A7" s="5">
        <v>44586</v>
      </c>
      <c r="B7">
        <v>6.1789999999999996E-3</v>
      </c>
      <c r="C7">
        <v>6.2430000000000003E-3</v>
      </c>
      <c r="D7">
        <v>5.8560000000000001E-3</v>
      </c>
      <c r="E7">
        <v>6.084E-3</v>
      </c>
      <c r="F7">
        <v>123101282</v>
      </c>
      <c r="G7">
        <v>6.084E-3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0.17829457364340978</v>
      </c>
      <c r="Q7">
        <f t="shared" ref="Q7" si="11">F7*P7</f>
        <v>21948290.589147154</v>
      </c>
      <c r="R7">
        <f t="shared" ref="R7" si="12">R8+Q7</f>
        <v>-63318796299.627991</v>
      </c>
      <c r="S7">
        <f t="shared" ref="S7" si="13">R7/100000</f>
        <v>-633187.96299627994</v>
      </c>
      <c r="T7">
        <f t="shared" ref="T7" si="14">S7/1000</f>
        <v>-633.18796299627991</v>
      </c>
    </row>
    <row r="8" spans="1:20" x14ac:dyDescent="0.25">
      <c r="A8" s="5">
        <v>44585</v>
      </c>
      <c r="B8">
        <v>6.3889999999999997E-3</v>
      </c>
      <c r="C8">
        <v>6.4510000000000001E-3</v>
      </c>
      <c r="D8">
        <v>5.3899999999999998E-3</v>
      </c>
      <c r="E8">
        <v>6.1729999999999997E-3</v>
      </c>
      <c r="F8">
        <v>519419793</v>
      </c>
      <c r="G8">
        <v>6.1729999999999997E-3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0.47596606974552236</v>
      </c>
      <c r="Q8">
        <f t="shared" ref="Q8" si="16">F8*P8</f>
        <v>247226197.42224279</v>
      </c>
      <c r="R8">
        <f t="shared" ref="R8" si="17">R9+Q8</f>
        <v>-63340744590.21714</v>
      </c>
      <c r="S8">
        <f t="shared" ref="S8" si="18">R8/100000</f>
        <v>-633407.44590217143</v>
      </c>
      <c r="T8">
        <f t="shared" ref="T8" si="19">S8/1000</f>
        <v>-633.40744590217139</v>
      </c>
    </row>
    <row r="9" spans="1:20" x14ac:dyDescent="0.25">
      <c r="A9" s="5">
        <v>44584</v>
      </c>
      <c r="B9">
        <v>5.9579999999999998E-3</v>
      </c>
      <c r="C9">
        <v>6.698E-3</v>
      </c>
      <c r="D9">
        <v>5.9329999999999999E-3</v>
      </c>
      <c r="E9">
        <v>6.3949999999999996E-3</v>
      </c>
      <c r="F9">
        <v>392536523</v>
      </c>
      <c r="G9">
        <v>6.3949999999999996E-3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0.20784313725490119</v>
      </c>
      <c r="Q9">
        <f t="shared" ref="Q9" si="21">F9*P9</f>
        <v>81586022.427450687</v>
      </c>
      <c r="R9">
        <f t="shared" ref="R9" si="22">R10+Q9</f>
        <v>-63587970787.639381</v>
      </c>
      <c r="S9">
        <f t="shared" ref="S9" si="23">R9/100000</f>
        <v>-635879.7078763938</v>
      </c>
      <c r="T9">
        <f t="shared" ref="T9" si="24">S9/1000</f>
        <v>-635.87970787639381</v>
      </c>
    </row>
    <row r="10" spans="1:20" x14ac:dyDescent="0.25">
      <c r="A10" s="5">
        <v>44583</v>
      </c>
      <c r="B10">
        <v>6.5839999999999996E-3</v>
      </c>
      <c r="C10">
        <v>7.0239999999999999E-3</v>
      </c>
      <c r="D10">
        <v>5.2789999999999998E-3</v>
      </c>
      <c r="E10">
        <v>5.9699999999999996E-3</v>
      </c>
      <c r="F10">
        <v>633018448</v>
      </c>
      <c r="G10">
        <v>5.9699999999999996E-3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-0.20802292263610342</v>
      </c>
      <c r="Q10">
        <f t="shared" ref="Q10" si="26">F10*P10</f>
        <v>-131682347.63553025</v>
      </c>
      <c r="R10">
        <f t="shared" ref="R10" si="27">R11+Q10</f>
        <v>-63669556810.066833</v>
      </c>
      <c r="S10">
        <f t="shared" ref="S10" si="28">R10/100000</f>
        <v>-636695.56810066837</v>
      </c>
      <c r="T10">
        <f t="shared" ref="T10" si="29">S10/1000</f>
        <v>-636.69556810066842</v>
      </c>
    </row>
    <row r="11" spans="1:20" x14ac:dyDescent="0.25">
      <c r="A11" s="5">
        <v>44582</v>
      </c>
      <c r="B11">
        <v>8.0750000000000006E-3</v>
      </c>
      <c r="C11">
        <v>8.2199999999999999E-3</v>
      </c>
      <c r="D11">
        <v>6.5500000000000003E-3</v>
      </c>
      <c r="E11">
        <v>6.5909999999999996E-3</v>
      </c>
      <c r="F11">
        <v>391269471</v>
      </c>
      <c r="G11">
        <v>6.5909999999999996E-3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-0.95089820359281507</v>
      </c>
      <c r="Q11">
        <f t="shared" ref="Q11" si="31">F11*P11</f>
        <v>-372057437.09461105</v>
      </c>
      <c r="R11">
        <f t="shared" ref="R11" si="32">R12+Q11</f>
        <v>-63537874462.431305</v>
      </c>
      <c r="S11">
        <f t="shared" ref="S11" si="33">R11/100000</f>
        <v>-635378.74462431308</v>
      </c>
      <c r="T11">
        <f t="shared" ref="T11" si="34">S11/1000</f>
        <v>-635.37874462431307</v>
      </c>
    </row>
    <row r="12" spans="1:20" x14ac:dyDescent="0.25">
      <c r="A12" s="5">
        <v>44581</v>
      </c>
      <c r="B12">
        <v>8.3000000000000001E-3</v>
      </c>
      <c r="C12">
        <v>8.7329999999999994E-3</v>
      </c>
      <c r="D12">
        <v>8.0190000000000001E-3</v>
      </c>
      <c r="E12">
        <v>8.0929999999999995E-3</v>
      </c>
      <c r="F12">
        <v>224981539</v>
      </c>
      <c r="G12">
        <v>8.0929999999999995E-3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-0.7927170868347353</v>
      </c>
      <c r="Q12">
        <f t="shared" ref="Q12" si="36">F12*P12</f>
        <v>-178346710.18767539</v>
      </c>
      <c r="R12">
        <f t="shared" ref="R12" si="37">R13+Q12</f>
        <v>-63165817025.336693</v>
      </c>
      <c r="S12">
        <f t="shared" ref="S12" si="38">R12/100000</f>
        <v>-631658.17025336693</v>
      </c>
      <c r="T12">
        <f t="shared" ref="T12" si="39">S12/1000</f>
        <v>-631.65817025336696</v>
      </c>
    </row>
    <row r="13" spans="1:20" x14ac:dyDescent="0.25">
      <c r="A13" s="5">
        <v>44580</v>
      </c>
      <c r="B13">
        <v>8.6739999999999994E-3</v>
      </c>
      <c r="C13">
        <v>9.1990000000000006E-3</v>
      </c>
      <c r="D13">
        <v>8.2000000000000007E-3</v>
      </c>
      <c r="E13">
        <v>8.3000000000000001E-3</v>
      </c>
      <c r="F13">
        <v>291956005</v>
      </c>
      <c r="G13">
        <v>8.3000000000000001E-3</v>
      </c>
      <c r="L13" t="s">
        <v>8</v>
      </c>
      <c r="M13" t="s">
        <v>7</v>
      </c>
      <c r="N13" t="s">
        <v>7</v>
      </c>
      <c r="P13">
        <f t="shared" ref="P13" si="40">IF(C13=D13,0,((E13-D13)-(C13-E13))/(C13-D13))</f>
        <v>-0.79979979979980098</v>
      </c>
      <c r="Q13">
        <f t="shared" ref="Q13" si="41">F13*P13</f>
        <v>-233506354.34934971</v>
      </c>
      <c r="R13">
        <f t="shared" ref="R13" si="42">R14+Q13</f>
        <v>-62987470315.149017</v>
      </c>
      <c r="S13">
        <f t="shared" ref="S13" si="43">R13/100000</f>
        <v>-629874.70315149019</v>
      </c>
      <c r="T13">
        <f t="shared" ref="T13" si="44">S13/1000</f>
        <v>-629.87470315149017</v>
      </c>
    </row>
    <row r="14" spans="1:20" x14ac:dyDescent="0.25">
      <c r="A14" s="5">
        <v>44579</v>
      </c>
      <c r="B14">
        <v>8.6619999999999996E-3</v>
      </c>
      <c r="C14">
        <v>8.7869999999999997E-3</v>
      </c>
      <c r="D14">
        <v>8.2789999999999999E-3</v>
      </c>
      <c r="E14">
        <v>8.6809999999999995E-3</v>
      </c>
      <c r="F14">
        <v>159471322</v>
      </c>
      <c r="G14">
        <v>8.6809999999999995E-3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0.58267716535432978</v>
      </c>
      <c r="Q14">
        <f t="shared" ref="Q14" si="46">F14*P14</f>
        <v>92920297.858267576</v>
      </c>
      <c r="R14">
        <f t="shared" ref="R14" si="47">R15+Q14</f>
        <v>-62753963960.799667</v>
      </c>
      <c r="S14">
        <f t="shared" ref="S14" si="48">R14/100000</f>
        <v>-627539.63960799668</v>
      </c>
      <c r="T14">
        <f t="shared" ref="T14" si="49">S14/1000</f>
        <v>-627.53963960799672</v>
      </c>
    </row>
    <row r="15" spans="1:20" x14ac:dyDescent="0.25">
      <c r="A15" s="5">
        <v>44578</v>
      </c>
      <c r="B15">
        <v>9.4199999999999996E-3</v>
      </c>
      <c r="C15">
        <v>9.4710000000000003E-3</v>
      </c>
      <c r="D15">
        <v>8.5000000000000006E-3</v>
      </c>
      <c r="E15">
        <v>8.652E-3</v>
      </c>
      <c r="F15">
        <v>273628188</v>
      </c>
      <c r="G15">
        <v>8.652E-3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-0.68692070030896102</v>
      </c>
      <c r="Q15">
        <f t="shared" ref="Q15" si="51">F15*P15</f>
        <v>-187960866.52523205</v>
      </c>
      <c r="R15">
        <f t="shared" ref="R15" si="52">R16+Q15</f>
        <v>-62846884258.657936</v>
      </c>
      <c r="S15">
        <f t="shared" ref="S15" si="53">R15/100000</f>
        <v>-628468.84258657938</v>
      </c>
      <c r="T15">
        <f t="shared" ref="T15" si="54">S15/1000</f>
        <v>-628.4688425865794</v>
      </c>
    </row>
    <row r="16" spans="1:20" x14ac:dyDescent="0.25">
      <c r="A16" s="5">
        <v>44577</v>
      </c>
      <c r="B16">
        <v>1.0193000000000001E-2</v>
      </c>
      <c r="C16">
        <v>1.0455000000000001E-2</v>
      </c>
      <c r="D16">
        <v>9.3989999999999994E-3</v>
      </c>
      <c r="E16">
        <v>9.4190000000000003E-3</v>
      </c>
      <c r="F16">
        <v>784709747</v>
      </c>
      <c r="G16">
        <v>9.4190000000000003E-3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-0.96212121212121038</v>
      </c>
      <c r="Q16">
        <f t="shared" ref="Q16" si="56">F16*P16</f>
        <v>-754985892.94696832</v>
      </c>
      <c r="R16">
        <f t="shared" ref="R16" si="57">R17+Q16</f>
        <v>-62658923392.132706</v>
      </c>
      <c r="S16">
        <f t="shared" ref="S16" si="58">R16/100000</f>
        <v>-626589.23392132705</v>
      </c>
      <c r="T16">
        <f t="shared" ref="T16" si="59">S16/1000</f>
        <v>-626.58923392132704</v>
      </c>
    </row>
    <row r="17" spans="1:20" x14ac:dyDescent="0.25">
      <c r="A17" s="5">
        <v>44576</v>
      </c>
      <c r="B17">
        <v>8.5220000000000001E-3</v>
      </c>
      <c r="C17">
        <v>1.0792E-2</v>
      </c>
      <c r="D17">
        <v>8.4620000000000008E-3</v>
      </c>
      <c r="E17">
        <v>1.0194999999999999E-2</v>
      </c>
      <c r="F17">
        <v>1478329838</v>
      </c>
      <c r="G17">
        <v>1.0194999999999999E-2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0.48755364806866897</v>
      </c>
      <c r="Q17">
        <f t="shared" ref="Q17" si="61">F17*P17</f>
        <v>720765105.56566441</v>
      </c>
      <c r="R17">
        <f t="shared" ref="R17" si="62">R18+Q17</f>
        <v>-61903937499.185738</v>
      </c>
      <c r="S17">
        <f t="shared" ref="S17" si="63">R17/100000</f>
        <v>-619039.37499185733</v>
      </c>
      <c r="T17">
        <f t="shared" ref="T17" si="64">S17/1000</f>
        <v>-619.03937499185736</v>
      </c>
    </row>
    <row r="18" spans="1:20" x14ac:dyDescent="0.25">
      <c r="A18" s="5">
        <v>44575</v>
      </c>
      <c r="B18">
        <v>8.3619999999999996E-3</v>
      </c>
      <c r="C18">
        <v>8.6060000000000008E-3</v>
      </c>
      <c r="D18">
        <v>8.1759999999999992E-3</v>
      </c>
      <c r="E18">
        <v>8.5369999999999994E-3</v>
      </c>
      <c r="F18">
        <v>117494924</v>
      </c>
      <c r="G18">
        <v>8.5369999999999994E-3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0.67906976744185532</v>
      </c>
      <c r="Q18">
        <f t="shared" ref="Q18" si="66">F18*P18</f>
        <v>79787250.716278464</v>
      </c>
      <c r="R18">
        <f t="shared" ref="R18" si="67">R19+Q18</f>
        <v>-62624702604.751404</v>
      </c>
      <c r="S18">
        <f t="shared" ref="S18" si="68">R18/100000</f>
        <v>-626247.02604751405</v>
      </c>
      <c r="T18">
        <f t="shared" ref="T18" si="69">S18/1000</f>
        <v>-626.24702604751405</v>
      </c>
    </row>
    <row r="19" spans="1:20" x14ac:dyDescent="0.25">
      <c r="A19" s="5">
        <v>44574</v>
      </c>
      <c r="B19">
        <v>8.7869999999999997E-3</v>
      </c>
      <c r="C19">
        <v>8.9890000000000005E-3</v>
      </c>
      <c r="D19">
        <v>8.3040000000000006E-3</v>
      </c>
      <c r="E19">
        <v>8.3510000000000008E-3</v>
      </c>
      <c r="F19">
        <v>140764285</v>
      </c>
      <c r="G19">
        <v>8.3510000000000008E-3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-0.86277372262773666</v>
      </c>
      <c r="Q19">
        <f t="shared" ref="Q19" si="71">F19*P19</f>
        <v>-121447726.18248168</v>
      </c>
      <c r="R19">
        <f t="shared" ref="R19" si="72">R20+Q19</f>
        <v>-62704489855.467682</v>
      </c>
      <c r="S19">
        <f t="shared" ref="S19" si="73">R19/100000</f>
        <v>-627044.89855467679</v>
      </c>
      <c r="T19">
        <f t="shared" ref="T19" si="74">S19/1000</f>
        <v>-627.04489855467682</v>
      </c>
    </row>
    <row r="20" spans="1:20" x14ac:dyDescent="0.25">
      <c r="A20" s="5">
        <v>44573</v>
      </c>
      <c r="B20">
        <v>8.626E-3</v>
      </c>
      <c r="C20">
        <v>8.9650000000000007E-3</v>
      </c>
      <c r="D20">
        <v>8.4550000000000007E-3</v>
      </c>
      <c r="E20">
        <v>8.7840000000000001E-3</v>
      </c>
      <c r="F20">
        <v>149919706</v>
      </c>
      <c r="G20">
        <v>8.7840000000000001E-3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0.29019607843137024</v>
      </c>
      <c r="Q20">
        <f t="shared" ref="Q20" si="76">F20*P20</f>
        <v>43506110.76078397</v>
      </c>
      <c r="R20">
        <f t="shared" ref="R20" si="77">R21+Q20</f>
        <v>-62583042129.285202</v>
      </c>
      <c r="S20">
        <f t="shared" ref="S20" si="78">R20/100000</f>
        <v>-625830.42129285203</v>
      </c>
      <c r="T20">
        <f t="shared" ref="T20" si="79">S20/1000</f>
        <v>-625.83042129285207</v>
      </c>
    </row>
    <row r="21" spans="1:20" x14ac:dyDescent="0.25">
      <c r="A21" s="5">
        <v>44572</v>
      </c>
      <c r="B21">
        <v>8.0249999999999991E-3</v>
      </c>
      <c r="C21">
        <v>8.7299999999999999E-3</v>
      </c>
      <c r="D21">
        <v>7.9419999999999994E-3</v>
      </c>
      <c r="E21">
        <v>8.633E-3</v>
      </c>
      <c r="F21">
        <v>161168509</v>
      </c>
      <c r="G21">
        <v>8.633E-3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0.75380710659898531</v>
      </c>
      <c r="Q21">
        <f t="shared" ref="Q21" si="81">F21*P21</f>
        <v>121489967.44416252</v>
      </c>
      <c r="R21">
        <f t="shared" ref="R21" si="82">R22+Q21</f>
        <v>-62626548240.045982</v>
      </c>
      <c r="S21">
        <f t="shared" ref="S21" si="83">R21/100000</f>
        <v>-626265.48240045982</v>
      </c>
      <c r="T21">
        <f t="shared" ref="T21" si="84">S21/1000</f>
        <v>-626.26548240045986</v>
      </c>
    </row>
    <row r="22" spans="1:20" x14ac:dyDescent="0.25">
      <c r="A22" s="5">
        <v>44571</v>
      </c>
      <c r="B22">
        <v>8.737E-3</v>
      </c>
      <c r="C22">
        <v>8.907E-3</v>
      </c>
      <c r="D22">
        <v>7.7470000000000004E-3</v>
      </c>
      <c r="E22">
        <v>8.0219999999999996E-3</v>
      </c>
      <c r="F22">
        <v>184199002</v>
      </c>
      <c r="G22">
        <v>8.0219999999999996E-3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-0.52586206896551846</v>
      </c>
      <c r="Q22">
        <f t="shared" ref="Q22" si="86">F22*P22</f>
        <v>-96863268.293103665</v>
      </c>
      <c r="R22">
        <f t="shared" ref="R22" si="87">R23+Q22</f>
        <v>-62748038207.490143</v>
      </c>
      <c r="S22">
        <f t="shared" ref="S22" si="88">R22/100000</f>
        <v>-627480.38207490148</v>
      </c>
      <c r="T22">
        <f t="shared" ref="T22" si="89">S22/1000</f>
        <v>-627.48038207490151</v>
      </c>
    </row>
    <row r="23" spans="1:20" x14ac:dyDescent="0.25">
      <c r="A23" s="5">
        <v>44570</v>
      </c>
      <c r="B23">
        <v>8.6309999999999998E-3</v>
      </c>
      <c r="C23">
        <v>8.9350000000000002E-3</v>
      </c>
      <c r="D23">
        <v>8.4209999999999997E-3</v>
      </c>
      <c r="E23">
        <v>8.7489999999999998E-3</v>
      </c>
      <c r="F23">
        <v>126797573</v>
      </c>
      <c r="G23">
        <v>8.7489999999999998E-3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0.27626459143968796</v>
      </c>
      <c r="Q23">
        <f t="shared" ref="Q23" si="91">F23*P23</f>
        <v>35029679.700389005</v>
      </c>
      <c r="R23">
        <f t="shared" ref="R23" si="92">R24+Q23</f>
        <v>-62651174939.197037</v>
      </c>
      <c r="S23">
        <f t="shared" ref="S23" si="93">R23/100000</f>
        <v>-626511.74939197034</v>
      </c>
      <c r="T23">
        <f t="shared" ref="T23" si="94">S23/1000</f>
        <v>-626.5117493919704</v>
      </c>
    </row>
    <row r="24" spans="1:20" x14ac:dyDescent="0.25">
      <c r="A24" s="5">
        <v>44569</v>
      </c>
      <c r="B24">
        <v>9.0959999999999999E-3</v>
      </c>
      <c r="C24">
        <v>9.8980000000000005E-3</v>
      </c>
      <c r="D24">
        <v>8.3789999999999993E-3</v>
      </c>
      <c r="E24">
        <v>8.6309999999999998E-3</v>
      </c>
      <c r="F24">
        <v>342877083</v>
      </c>
      <c r="G24">
        <v>8.6309999999999998E-3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-0.66820276497695819</v>
      </c>
      <c r="Q24">
        <f t="shared" ref="Q24" si="96">F24*P24</f>
        <v>-229111414.90783399</v>
      </c>
      <c r="R24">
        <f t="shared" ref="R24" si="97">R25+Q24</f>
        <v>-62686204618.897423</v>
      </c>
      <c r="S24">
        <f t="shared" ref="S24" si="98">R24/100000</f>
        <v>-626862.04618897417</v>
      </c>
      <c r="T24">
        <f t="shared" ref="T24" si="99">S24/1000</f>
        <v>-626.8620461889742</v>
      </c>
    </row>
    <row r="25" spans="1:20" x14ac:dyDescent="0.25">
      <c r="A25" s="5">
        <v>44568</v>
      </c>
      <c r="B25">
        <v>9.8689999999999993E-3</v>
      </c>
      <c r="C25">
        <v>1.0149999999999999E-2</v>
      </c>
      <c r="D25">
        <v>9.0119999999999992E-3</v>
      </c>
      <c r="E25">
        <v>9.0910000000000001E-3</v>
      </c>
      <c r="F25">
        <v>238228268</v>
      </c>
      <c r="G25">
        <v>9.0910000000000001E-3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-0.86115992970122857</v>
      </c>
      <c r="Q25">
        <f t="shared" ref="Q25" si="101">F25*P25</f>
        <v>-205152638.52372545</v>
      </c>
      <c r="R25">
        <f t="shared" ref="R25" si="102">R26+Q25</f>
        <v>-62457093203.989586</v>
      </c>
      <c r="S25">
        <f t="shared" ref="S25" si="103">R25/100000</f>
        <v>-624570.93203989591</v>
      </c>
      <c r="T25">
        <f t="shared" ref="T25" si="104">S25/1000</f>
        <v>-624.57093203989587</v>
      </c>
    </row>
    <row r="26" spans="1:20" x14ac:dyDescent="0.25">
      <c r="A26" s="5">
        <v>44567</v>
      </c>
      <c r="B26">
        <v>1.0007E-2</v>
      </c>
      <c r="C26">
        <v>1.0323000000000001E-2</v>
      </c>
      <c r="D26">
        <v>9.6460000000000001E-3</v>
      </c>
      <c r="E26">
        <v>9.8790000000000006E-3</v>
      </c>
      <c r="F26">
        <v>343140752</v>
      </c>
      <c r="G26">
        <v>9.8790000000000006E-3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-0.31166912850812295</v>
      </c>
      <c r="Q26">
        <f t="shared" ref="Q26" si="106">F26*P26</f>
        <v>-106946379.13146195</v>
      </c>
      <c r="R26">
        <f t="shared" ref="R26" si="107">R27+Q26</f>
        <v>-62251940565.465858</v>
      </c>
      <c r="S26">
        <f t="shared" ref="S26" si="108">R26/100000</f>
        <v>-622519.40565465856</v>
      </c>
      <c r="T26">
        <f t="shared" ref="T26" si="109">S26/1000</f>
        <v>-622.51940565465861</v>
      </c>
    </row>
    <row r="27" spans="1:20" x14ac:dyDescent="0.25">
      <c r="A27" s="5">
        <v>44566</v>
      </c>
      <c r="B27">
        <v>1.0669E-2</v>
      </c>
      <c r="C27">
        <v>1.0799E-2</v>
      </c>
      <c r="D27">
        <v>9.4830000000000001E-3</v>
      </c>
      <c r="E27">
        <v>1.0023000000000001E-2</v>
      </c>
      <c r="F27">
        <v>182729311</v>
      </c>
      <c r="G27">
        <v>1.0023000000000001E-2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-0.17933130699088029</v>
      </c>
      <c r="Q27">
        <f t="shared" ref="Q27" si="111">F27*P27</f>
        <v>-32769086.167173039</v>
      </c>
      <c r="R27">
        <f t="shared" ref="R27" si="112">R28+Q27</f>
        <v>-62144994186.334396</v>
      </c>
      <c r="S27">
        <f t="shared" ref="S27" si="113">R27/100000</f>
        <v>-621449.94186334393</v>
      </c>
      <c r="T27">
        <f t="shared" ref="T27" si="114">S27/1000</f>
        <v>-621.44994186334395</v>
      </c>
    </row>
    <row r="28" spans="1:20" x14ac:dyDescent="0.25">
      <c r="A28" s="5">
        <v>44565</v>
      </c>
      <c r="B28">
        <v>1.0580000000000001E-2</v>
      </c>
      <c r="C28">
        <v>1.1344999999999999E-2</v>
      </c>
      <c r="D28">
        <v>1.0369E-2</v>
      </c>
      <c r="E28">
        <v>1.0671999999999999E-2</v>
      </c>
      <c r="F28">
        <v>225774273</v>
      </c>
      <c r="G28">
        <v>1.0671999999999999E-2</v>
      </c>
      <c r="L28" t="s">
        <v>8</v>
      </c>
      <c r="M28" t="s">
        <v>8</v>
      </c>
      <c r="N28" t="s">
        <v>7</v>
      </c>
      <c r="P28">
        <f t="shared" ref="P28" si="115">IF(C28=D28,0,((E28-D28)-(C28-E28))/(C28-D28))</f>
        <v>-0.37909836065573849</v>
      </c>
      <c r="Q28">
        <f t="shared" ref="Q28" si="116">F28*P28</f>
        <v>-85590656.772541165</v>
      </c>
      <c r="R28">
        <f t="shared" ref="R28" si="117">R29+Q28</f>
        <v>-62112225100.167221</v>
      </c>
      <c r="S28">
        <f t="shared" ref="S28" si="118">R28/100000</f>
        <v>-621122.25100167224</v>
      </c>
      <c r="T28">
        <f t="shared" ref="T28" si="119">S28/1000</f>
        <v>-621.12225100167223</v>
      </c>
    </row>
    <row r="29" spans="1:20" x14ac:dyDescent="0.25">
      <c r="A29" s="5">
        <v>44564</v>
      </c>
      <c r="B29">
        <v>1.0829E-2</v>
      </c>
      <c r="C29">
        <v>1.0859000000000001E-2</v>
      </c>
      <c r="D29">
        <v>1.0465E-2</v>
      </c>
      <c r="E29">
        <v>1.0580000000000001E-2</v>
      </c>
      <c r="F29">
        <v>103340168</v>
      </c>
      <c r="G29">
        <v>1.0580000000000001E-2</v>
      </c>
      <c r="L29" t="s">
        <v>7</v>
      </c>
      <c r="M29" t="s">
        <v>8</v>
      </c>
      <c r="N29" t="s">
        <v>7</v>
      </c>
      <c r="P29">
        <f t="shared" ref="P29" si="120">IF(C29=D29,0,((E29-D29)-(C29-E29))/(C29-D29))</f>
        <v>-0.41624365482233278</v>
      </c>
      <c r="Q29">
        <f t="shared" ref="Q29" si="121">F29*P29</f>
        <v>-43014689.218273878</v>
      </c>
      <c r="R29">
        <f t="shared" ref="R29" si="122">R30+Q29</f>
        <v>-62026634443.394676</v>
      </c>
      <c r="S29">
        <f t="shared" ref="S29" si="123">R29/100000</f>
        <v>-620266.34443394677</v>
      </c>
      <c r="T29">
        <f t="shared" ref="T29" si="124">S29/1000</f>
        <v>-620.26634443394676</v>
      </c>
    </row>
    <row r="30" spans="1:20" x14ac:dyDescent="0.25">
      <c r="A30" s="5">
        <v>44563</v>
      </c>
      <c r="B30">
        <v>1.0880000000000001E-2</v>
      </c>
      <c r="C30">
        <v>1.0999999999999999E-2</v>
      </c>
      <c r="D30">
        <v>1.0710000000000001E-2</v>
      </c>
      <c r="E30">
        <v>1.0839E-2</v>
      </c>
      <c r="F30">
        <v>98491298</v>
      </c>
      <c r="G30">
        <v>1.0839E-2</v>
      </c>
      <c r="L30" t="s">
        <v>7</v>
      </c>
      <c r="M30" t="s">
        <v>8</v>
      </c>
      <c r="N30" t="s">
        <v>7</v>
      </c>
      <c r="P30">
        <f t="shared" ref="P30" si="125">IF(C30=D30,0,((E30-D30)-(C30-E30))/(C30-D30))</f>
        <v>-0.11034482758621011</v>
      </c>
      <c r="Q30">
        <f t="shared" ref="Q30" si="126">F30*P30</f>
        <v>-10868005.296552042</v>
      </c>
      <c r="R30">
        <f t="shared" ref="R30" si="127">R31+Q30</f>
        <v>-61983619754.176399</v>
      </c>
      <c r="S30">
        <f t="shared" ref="S30" si="128">R30/100000</f>
        <v>-619836.19754176401</v>
      </c>
      <c r="T30">
        <f t="shared" ref="T30" si="129">S30/1000</f>
        <v>-619.83619754176402</v>
      </c>
    </row>
    <row r="31" spans="1:20" x14ac:dyDescent="0.25">
      <c r="A31" s="5">
        <v>44562</v>
      </c>
      <c r="B31">
        <v>1.0595E-2</v>
      </c>
      <c r="C31">
        <v>1.11E-2</v>
      </c>
      <c r="D31">
        <v>1.0562E-2</v>
      </c>
      <c r="E31">
        <v>1.0880000000000001E-2</v>
      </c>
      <c r="F31">
        <v>147798882</v>
      </c>
      <c r="G31">
        <v>1.0880000000000001E-2</v>
      </c>
      <c r="L31" t="s">
        <v>7</v>
      </c>
      <c r="M31" t="s">
        <v>8</v>
      </c>
      <c r="N31" t="s">
        <v>7</v>
      </c>
      <c r="P31">
        <f t="shared" ref="P31" si="130">IF(C31=D31,0,((E31-D31)-(C31-E31))/(C31-D31))</f>
        <v>0.18215613382899778</v>
      </c>
      <c r="Q31">
        <f t="shared" ref="Q31" si="131">F31*P31</f>
        <v>26922472.92936825</v>
      </c>
      <c r="R31">
        <f t="shared" ref="R31" si="132">R32+Q31</f>
        <v>-61972751748.879845</v>
      </c>
      <c r="S31">
        <f t="shared" ref="S31" si="133">R31/100000</f>
        <v>-619727.51748879848</v>
      </c>
      <c r="T31">
        <f t="shared" ref="T31" si="134">S31/1000</f>
        <v>-619.72751748879853</v>
      </c>
    </row>
    <row r="32" spans="1:20" x14ac:dyDescent="0.25">
      <c r="A32" s="5">
        <v>44561</v>
      </c>
      <c r="B32">
        <v>1.0715000000000001E-2</v>
      </c>
      <c r="C32">
        <v>1.0991000000000001E-2</v>
      </c>
      <c r="D32">
        <v>1.0500000000000001E-2</v>
      </c>
      <c r="E32">
        <v>1.0593999999999999E-2</v>
      </c>
      <c r="F32">
        <v>142477385</v>
      </c>
      <c r="G32">
        <v>1.0593999999999999E-2</v>
      </c>
      <c r="L32" t="s">
        <v>7</v>
      </c>
      <c r="M32" t="s">
        <v>8</v>
      </c>
      <c r="N32" t="s">
        <v>7</v>
      </c>
      <c r="P32">
        <f t="shared" ref="P32" si="135">IF(C32=D32,0,((E32-D32)-(C32-E32))/(C32-D32))</f>
        <v>-0.61710794297352922</v>
      </c>
      <c r="Q32">
        <f t="shared" ref="Q32" si="136">F32*P32</f>
        <v>-87923925.977597564</v>
      </c>
      <c r="R32">
        <f t="shared" ref="R32" si="137">R33+Q32</f>
        <v>-61999674221.809212</v>
      </c>
      <c r="S32">
        <f t="shared" ref="S32" si="138">R32/100000</f>
        <v>-619996.74221809208</v>
      </c>
      <c r="T32">
        <f t="shared" ref="T32" si="139">S32/1000</f>
        <v>-619.99674221809209</v>
      </c>
    </row>
    <row r="33" spans="1:20" x14ac:dyDescent="0.25">
      <c r="A33" s="5">
        <v>44560</v>
      </c>
      <c r="B33">
        <v>1.0638999999999999E-2</v>
      </c>
      <c r="C33">
        <v>1.1069000000000001E-2</v>
      </c>
      <c r="D33">
        <v>1.0531E-2</v>
      </c>
      <c r="E33">
        <v>1.0718E-2</v>
      </c>
      <c r="F33">
        <v>210507195</v>
      </c>
      <c r="G33">
        <v>1.0718E-2</v>
      </c>
      <c r="L33" t="s">
        <v>8</v>
      </c>
      <c r="M33" t="s">
        <v>8</v>
      </c>
      <c r="N33" t="s">
        <v>7</v>
      </c>
      <c r="P33">
        <f t="shared" ref="P33" si="140">IF(C33=D33,0,((E33-D33)-(C33-E33))/(C33-D33))</f>
        <v>-0.30483271375464843</v>
      </c>
      <c r="Q33">
        <f t="shared" ref="Q33" si="141">F33*P33</f>
        <v>-64169479.51672896</v>
      </c>
      <c r="R33">
        <f t="shared" ref="R33" si="142">R34+Q33</f>
        <v>-61911750295.831612</v>
      </c>
      <c r="S33">
        <f t="shared" ref="S33" si="143">R33/100000</f>
        <v>-619117.50295831612</v>
      </c>
      <c r="T33">
        <f t="shared" ref="T33" si="144">S33/1000</f>
        <v>-619.11750295831609</v>
      </c>
    </row>
    <row r="34" spans="1:20" x14ac:dyDescent="0.25">
      <c r="A34" s="5">
        <v>44559</v>
      </c>
      <c r="B34">
        <v>1.0506E-2</v>
      </c>
      <c r="C34">
        <v>1.1256E-2</v>
      </c>
      <c r="D34">
        <v>1.0428E-2</v>
      </c>
      <c r="E34">
        <v>1.064E-2</v>
      </c>
      <c r="F34">
        <v>209278431</v>
      </c>
      <c r="G34">
        <v>1.064E-2</v>
      </c>
      <c r="L34" t="s">
        <v>8</v>
      </c>
      <c r="M34" t="s">
        <v>8</v>
      </c>
      <c r="N34" t="s">
        <v>7</v>
      </c>
      <c r="P34">
        <f t="shared" ref="P34" si="145">IF(C34=D34,0,((E34-D34)-(C34-E34))/(C34-D34))</f>
        <v>-0.48792270531400911</v>
      </c>
      <c r="Q34">
        <f t="shared" ref="Q34" si="146">F34*P34</f>
        <v>-102111698.21739119</v>
      </c>
      <c r="R34">
        <f t="shared" ref="R34" si="147">R35+Q34</f>
        <v>-61847580816.31488</v>
      </c>
      <c r="S34">
        <f t="shared" ref="S34" si="148">R34/100000</f>
        <v>-618475.80816314882</v>
      </c>
      <c r="T34">
        <f t="shared" ref="T34" si="149">S34/1000</f>
        <v>-618.47580816314883</v>
      </c>
    </row>
    <row r="35" spans="1:20" x14ac:dyDescent="0.25">
      <c r="A35" s="5">
        <v>44558</v>
      </c>
      <c r="B35">
        <v>1.1173000000000001E-2</v>
      </c>
      <c r="C35">
        <v>1.1900000000000001E-2</v>
      </c>
      <c r="D35">
        <v>1.035E-2</v>
      </c>
      <c r="E35">
        <v>1.0506E-2</v>
      </c>
      <c r="F35">
        <v>303373407</v>
      </c>
      <c r="G35">
        <v>1.0506E-2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-0.79870967741935517</v>
      </c>
      <c r="Q35">
        <f t="shared" ref="Q35" si="151">F35*P35</f>
        <v>-242307276.04258075</v>
      </c>
      <c r="R35">
        <f t="shared" ref="R35" si="152">R36+Q35</f>
        <v>-61745469118.097488</v>
      </c>
      <c r="S35">
        <f t="shared" ref="S35" si="153">R35/100000</f>
        <v>-617454.69118097483</v>
      </c>
      <c r="T35">
        <f t="shared" ref="T35" si="154">S35/1000</f>
        <v>-617.45469118097481</v>
      </c>
    </row>
    <row r="36" spans="1:20" x14ac:dyDescent="0.25">
      <c r="A36" s="5">
        <v>44557</v>
      </c>
      <c r="B36">
        <v>1.1021E-2</v>
      </c>
      <c r="C36">
        <v>1.2E-2</v>
      </c>
      <c r="D36">
        <v>1.0983E-2</v>
      </c>
      <c r="E36">
        <v>1.1174999999999999E-2</v>
      </c>
      <c r="F36">
        <v>477281125</v>
      </c>
      <c r="G36">
        <v>1.1174999999999999E-2</v>
      </c>
      <c r="L36" t="s">
        <v>7</v>
      </c>
      <c r="M36" t="s">
        <v>8</v>
      </c>
      <c r="N36" t="s">
        <v>7</v>
      </c>
      <c r="P36">
        <f t="shared" ref="P36" si="155">IF(C36=D36,0,((E36-D36)-(C36-E36))/(C36-D36))</f>
        <v>-0.62241887905604842</v>
      </c>
      <c r="Q36">
        <f t="shared" ref="Q36" si="156">F36*P36</f>
        <v>-297068782.8171097</v>
      </c>
      <c r="R36">
        <f t="shared" ref="R36" si="157">R37+Q36</f>
        <v>-61503161842.054909</v>
      </c>
      <c r="S36">
        <f t="shared" ref="S36" si="158">R36/100000</f>
        <v>-615031.61842054909</v>
      </c>
      <c r="T36">
        <f t="shared" ref="T36" si="159">S36/1000</f>
        <v>-615.03161842054908</v>
      </c>
    </row>
    <row r="37" spans="1:20" x14ac:dyDescent="0.25">
      <c r="A37" s="5">
        <v>44556</v>
      </c>
      <c r="B37">
        <v>1.0952999999999999E-2</v>
      </c>
      <c r="C37">
        <v>1.2200000000000001E-2</v>
      </c>
      <c r="D37">
        <v>1.0711999999999999E-2</v>
      </c>
      <c r="E37">
        <v>1.1004E-2</v>
      </c>
      <c r="F37">
        <v>594905594</v>
      </c>
      <c r="G37">
        <v>1.1004E-2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-0.60752688172042968</v>
      </c>
      <c r="Q37">
        <f t="shared" ref="Q37" si="161">F37*P37</f>
        <v>-361421140.44085997</v>
      </c>
      <c r="R37">
        <f t="shared" ref="R37" si="162">R38+Q37</f>
        <v>-61206093059.237801</v>
      </c>
      <c r="S37">
        <f t="shared" ref="S37" si="163">R37/100000</f>
        <v>-612060.93059237802</v>
      </c>
      <c r="T37">
        <f t="shared" ref="T37" si="164">S37/1000</f>
        <v>-612.06093059237799</v>
      </c>
    </row>
    <row r="38" spans="1:20" x14ac:dyDescent="0.25">
      <c r="A38" s="5">
        <v>44555</v>
      </c>
      <c r="B38">
        <v>1.0813E-2</v>
      </c>
      <c r="C38">
        <v>1.1119E-2</v>
      </c>
      <c r="D38">
        <v>1.059E-2</v>
      </c>
      <c r="E38">
        <v>1.0938E-2</v>
      </c>
      <c r="F38">
        <v>184170151</v>
      </c>
      <c r="G38">
        <v>1.0938E-2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0.31568998109640595</v>
      </c>
      <c r="Q38">
        <f t="shared" ref="Q38" si="166">F38*P38</f>
        <v>58140671.487712227</v>
      </c>
      <c r="R38">
        <f t="shared" ref="R38" si="167">R39+Q38</f>
        <v>-60844671918.796944</v>
      </c>
      <c r="S38">
        <f t="shared" ref="S38" si="168">R38/100000</f>
        <v>-608446.71918796946</v>
      </c>
      <c r="T38">
        <f t="shared" ref="T38" si="169">S38/1000</f>
        <v>-608.44671918796951</v>
      </c>
    </row>
    <row r="39" spans="1:20" x14ac:dyDescent="0.25">
      <c r="A39" s="5">
        <v>44554</v>
      </c>
      <c r="B39">
        <v>1.0777E-2</v>
      </c>
      <c r="C39">
        <v>1.1369000000000001E-2</v>
      </c>
      <c r="D39">
        <v>1.0624E-2</v>
      </c>
      <c r="E39">
        <v>1.0799E-2</v>
      </c>
      <c r="F39">
        <v>298675158</v>
      </c>
      <c r="G39">
        <v>1.0799E-2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-0.53020134228188021</v>
      </c>
      <c r="Q39">
        <f t="shared" ref="Q39" si="171">F39*P39</f>
        <v>-158357969.67785266</v>
      </c>
      <c r="R39">
        <f t="shared" ref="R39" si="172">R40+Q39</f>
        <v>-60902812590.284653</v>
      </c>
      <c r="S39">
        <f t="shared" ref="S39" si="173">R39/100000</f>
        <v>-609028.12590284657</v>
      </c>
      <c r="T39">
        <f t="shared" ref="T39" si="174">S39/1000</f>
        <v>-609.02812590284657</v>
      </c>
    </row>
    <row r="40" spans="1:20" x14ac:dyDescent="0.25">
      <c r="A40" s="5">
        <v>44553</v>
      </c>
      <c r="B40">
        <v>1.0459E-2</v>
      </c>
      <c r="C40">
        <v>1.0864E-2</v>
      </c>
      <c r="D40">
        <v>1.0175E-2</v>
      </c>
      <c r="E40">
        <v>1.0777E-2</v>
      </c>
      <c r="F40">
        <v>241452005</v>
      </c>
      <c r="G40">
        <v>1.0777E-2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0.74746008708272793</v>
      </c>
      <c r="Q40">
        <f t="shared" ref="Q40" si="176">F40*P40</f>
        <v>180475736.68359926</v>
      </c>
      <c r="R40">
        <f t="shared" ref="R40" si="177">R41+Q40</f>
        <v>-60744454620.606796</v>
      </c>
      <c r="S40">
        <f t="shared" ref="S40" si="178">R40/100000</f>
        <v>-607444.54620606801</v>
      </c>
      <c r="T40">
        <f t="shared" ref="T40" si="179">S40/1000</f>
        <v>-607.44454620606803</v>
      </c>
    </row>
    <row r="41" spans="1:20" x14ac:dyDescent="0.25">
      <c r="A41" s="5">
        <v>44552</v>
      </c>
      <c r="B41">
        <v>1.0402E-2</v>
      </c>
      <c r="C41">
        <v>1.0742E-2</v>
      </c>
      <c r="D41">
        <v>1.0325000000000001E-2</v>
      </c>
      <c r="E41">
        <v>1.0451E-2</v>
      </c>
      <c r="F41">
        <v>210972617</v>
      </c>
      <c r="G41">
        <v>1.0451E-2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-0.39568345323741155</v>
      </c>
      <c r="Q41">
        <f t="shared" ref="Q41" si="181">F41*P41</f>
        <v>-83478373.633093834</v>
      </c>
      <c r="R41">
        <f t="shared" ref="R41" si="182">R42+Q41</f>
        <v>-60924930357.290398</v>
      </c>
      <c r="S41">
        <f t="shared" ref="S41" si="183">R41/100000</f>
        <v>-609249.30357290397</v>
      </c>
      <c r="T41">
        <f t="shared" ref="T41" si="184">S41/1000</f>
        <v>-609.24930357290395</v>
      </c>
    </row>
    <row r="42" spans="1:20" x14ac:dyDescent="0.25">
      <c r="A42" s="5">
        <v>44551</v>
      </c>
      <c r="B42">
        <v>1.0107E-2</v>
      </c>
      <c r="C42">
        <v>1.065E-2</v>
      </c>
      <c r="D42">
        <v>9.8899999999999995E-3</v>
      </c>
      <c r="E42">
        <v>1.0390999999999999E-2</v>
      </c>
      <c r="F42">
        <v>225732276</v>
      </c>
      <c r="G42">
        <v>1.0390999999999999E-2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0.31842105263157772</v>
      </c>
      <c r="Q42">
        <f t="shared" ref="Q42" si="186">F42*P42</f>
        <v>71877908.936841831</v>
      </c>
      <c r="R42">
        <f t="shared" ref="R42" si="187">R43+Q42</f>
        <v>-60841451983.657303</v>
      </c>
      <c r="S42">
        <f t="shared" ref="S42" si="188">R42/100000</f>
        <v>-608414.51983657305</v>
      </c>
      <c r="T42">
        <f t="shared" ref="T42" si="189">S42/1000</f>
        <v>-608.41451983657305</v>
      </c>
    </row>
    <row r="43" spans="1:20" x14ac:dyDescent="0.25">
      <c r="A43" s="5">
        <v>44550</v>
      </c>
      <c r="B43">
        <v>1.0691000000000001E-2</v>
      </c>
      <c r="C43">
        <v>1.072E-2</v>
      </c>
      <c r="D43">
        <v>9.6900000000000007E-3</v>
      </c>
      <c r="E43">
        <v>1.0088E-2</v>
      </c>
      <c r="F43">
        <v>317779729</v>
      </c>
      <c r="G43">
        <v>1.0088E-2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-0.22718446601941908</v>
      </c>
      <c r="Q43">
        <f t="shared" ref="Q43" si="191">F43*P43</f>
        <v>-72194618.044660702</v>
      </c>
      <c r="R43">
        <f t="shared" ref="R43" si="192">R44+Q43</f>
        <v>-60913329892.594147</v>
      </c>
      <c r="S43">
        <f t="shared" ref="S43" si="193">R43/100000</f>
        <v>-609133.29892594146</v>
      </c>
      <c r="T43">
        <f t="shared" ref="T43" si="194">S43/1000</f>
        <v>-609.13329892594152</v>
      </c>
    </row>
    <row r="44" spans="1:20" x14ac:dyDescent="0.25">
      <c r="A44" s="5">
        <v>44549</v>
      </c>
      <c r="B44">
        <v>1.0408000000000001E-2</v>
      </c>
      <c r="C44">
        <v>1.2442999999999999E-2</v>
      </c>
      <c r="D44">
        <v>1.0305999999999999E-2</v>
      </c>
      <c r="E44">
        <v>1.0701E-2</v>
      </c>
      <c r="F44">
        <v>705556403</v>
      </c>
      <c r="G44">
        <v>1.0701E-2</v>
      </c>
      <c r="L44" t="s">
        <v>8</v>
      </c>
      <c r="M44" t="s">
        <v>8</v>
      </c>
      <c r="N44" t="s">
        <v>7</v>
      </c>
      <c r="P44">
        <f t="shared" ref="P44" si="195">IF(C44=D44,0,((E44-D44)-(C44-E44))/(C44-D44))</f>
        <v>-0.63032288254562352</v>
      </c>
      <c r="Q44">
        <f t="shared" ref="Q44" si="196">F44*P44</f>
        <v>-444728345.73748159</v>
      </c>
      <c r="R44">
        <f t="shared" ref="R44" si="197">R45+Q44</f>
        <v>-60841135274.549484</v>
      </c>
      <c r="S44">
        <f t="shared" ref="S44" si="198">R44/100000</f>
        <v>-608411.35274549481</v>
      </c>
      <c r="T44">
        <f t="shared" ref="T44" si="199">S44/1000</f>
        <v>-608.41135274549481</v>
      </c>
    </row>
    <row r="45" spans="1:20" x14ac:dyDescent="0.25">
      <c r="A45" s="5">
        <v>44548</v>
      </c>
      <c r="B45">
        <v>1.0359999999999999E-2</v>
      </c>
      <c r="C45">
        <v>1.0777E-2</v>
      </c>
      <c r="D45">
        <v>1.0104999999999999E-2</v>
      </c>
      <c r="E45">
        <v>1.0407E-2</v>
      </c>
      <c r="F45">
        <v>265652754</v>
      </c>
      <c r="G45">
        <v>1.0407E-2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-0.10119047619047661</v>
      </c>
      <c r="Q45">
        <f t="shared" ref="Q45" si="201">F45*P45</f>
        <v>-26881528.678571541</v>
      </c>
      <c r="R45">
        <f t="shared" ref="R45" si="202">R46+Q45</f>
        <v>-60396406928.812004</v>
      </c>
      <c r="S45">
        <f t="shared" ref="S45" si="203">R45/100000</f>
        <v>-603964.06928812002</v>
      </c>
      <c r="T45">
        <f t="shared" ref="T45" si="204">S45/1000</f>
        <v>-603.96406928812007</v>
      </c>
    </row>
    <row r="46" spans="1:20" x14ac:dyDescent="0.25">
      <c r="A46" s="5">
        <v>44547</v>
      </c>
      <c r="B46">
        <v>1.0586999999999999E-2</v>
      </c>
      <c r="C46">
        <v>1.1599999999999999E-2</v>
      </c>
      <c r="D46">
        <v>1.013E-2</v>
      </c>
      <c r="E46">
        <v>1.0364999999999999E-2</v>
      </c>
      <c r="F46">
        <v>382796550</v>
      </c>
      <c r="G46">
        <v>1.0364999999999999E-2</v>
      </c>
      <c r="L46" t="s">
        <v>8</v>
      </c>
      <c r="M46" t="s">
        <v>7</v>
      </c>
      <c r="N46" t="s">
        <v>7</v>
      </c>
      <c r="P46">
        <f t="shared" ref="P46" si="205">IF(C46=D46,0,((E46-D46)-(C46-E46))/(C46-D46))</f>
        <v>-0.68027210884353839</v>
      </c>
      <c r="Q46">
        <f t="shared" ref="Q46" si="206">F46*P46</f>
        <v>-260405816.32653099</v>
      </c>
      <c r="R46">
        <f t="shared" ref="R46" si="207">R47+Q46</f>
        <v>-60369525400.13343</v>
      </c>
      <c r="S46">
        <f t="shared" ref="S46" si="208">R46/100000</f>
        <v>-603695.25400133431</v>
      </c>
      <c r="T46">
        <f t="shared" ref="T46" si="209">S46/1000</f>
        <v>-603.69525400133432</v>
      </c>
    </row>
    <row r="47" spans="1:20" x14ac:dyDescent="0.25">
      <c r="A47" s="5">
        <v>44546</v>
      </c>
      <c r="B47">
        <v>1.0888E-2</v>
      </c>
      <c r="C47">
        <v>1.1265000000000001E-2</v>
      </c>
      <c r="D47">
        <v>1.0559000000000001E-2</v>
      </c>
      <c r="E47">
        <v>1.0593E-2</v>
      </c>
      <c r="F47">
        <v>408201401</v>
      </c>
      <c r="G47">
        <v>1.0593E-2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-0.90368271954674417</v>
      </c>
      <c r="Q47">
        <f t="shared" ref="Q47" si="211">F47*P47</f>
        <v>-368884552.17847103</v>
      </c>
      <c r="R47">
        <f t="shared" ref="R47" si="212">R48+Q47</f>
        <v>-60109119583.8069</v>
      </c>
      <c r="S47">
        <f t="shared" ref="S47" si="213">R47/100000</f>
        <v>-601091.19583806896</v>
      </c>
      <c r="T47">
        <f t="shared" ref="T47" si="214">S47/1000</f>
        <v>-601.09119583806898</v>
      </c>
    </row>
    <row r="48" spans="1:20" x14ac:dyDescent="0.25">
      <c r="A48" s="5">
        <v>44545</v>
      </c>
      <c r="B48">
        <v>1.0512000000000001E-2</v>
      </c>
      <c r="C48">
        <v>1.11E-2</v>
      </c>
      <c r="D48">
        <v>1.0075000000000001E-2</v>
      </c>
      <c r="E48">
        <v>1.0886E-2</v>
      </c>
      <c r="F48">
        <v>422565302</v>
      </c>
      <c r="G48">
        <v>1.0886E-2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0.58243902439024253</v>
      </c>
      <c r="Q48">
        <f t="shared" ref="Q48" si="216">F48*P48</f>
        <v>246118522.2380482</v>
      </c>
      <c r="R48">
        <f t="shared" ref="R48" si="217">R49+Q48</f>
        <v>-59740235031.628426</v>
      </c>
      <c r="S48">
        <f t="shared" ref="S48" si="218">R48/100000</f>
        <v>-597402.35031628422</v>
      </c>
      <c r="T48">
        <f t="shared" ref="T48" si="219">S48/1000</f>
        <v>-597.40235031628424</v>
      </c>
    </row>
    <row r="49" spans="1:20" x14ac:dyDescent="0.25">
      <c r="A49" s="5">
        <v>44544</v>
      </c>
      <c r="B49">
        <v>1.076E-2</v>
      </c>
      <c r="C49">
        <v>1.1129999999999999E-2</v>
      </c>
      <c r="D49">
        <v>1.0142999999999999E-2</v>
      </c>
      <c r="E49">
        <v>1.0508999999999999E-2</v>
      </c>
      <c r="F49">
        <v>343695070</v>
      </c>
      <c r="G49">
        <v>1.0508999999999999E-2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-0.25835866261398177</v>
      </c>
      <c r="Q49">
        <f t="shared" ref="Q49" si="221">F49*P49</f>
        <v>-88796598.632218853</v>
      </c>
      <c r="R49">
        <f t="shared" ref="R49" si="222">R50+Q49</f>
        <v>-59986353553.86647</v>
      </c>
      <c r="S49">
        <f t="shared" ref="S49" si="223">R49/100000</f>
        <v>-599863.53553866467</v>
      </c>
      <c r="T49">
        <f t="shared" ref="T49" si="224">S49/1000</f>
        <v>-599.86353553866468</v>
      </c>
    </row>
    <row r="50" spans="1:20" x14ac:dyDescent="0.25">
      <c r="A50" s="5">
        <v>44543</v>
      </c>
      <c r="B50">
        <v>1.1776999999999999E-2</v>
      </c>
      <c r="C50">
        <v>1.1856E-2</v>
      </c>
      <c r="D50">
        <v>1.0505E-2</v>
      </c>
      <c r="E50">
        <v>1.076E-2</v>
      </c>
      <c r="F50">
        <v>373770905</v>
      </c>
      <c r="G50">
        <v>1.076E-2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-0.62250185048112505</v>
      </c>
      <c r="Q50">
        <f t="shared" ref="Q50" si="226">F50*P50</f>
        <v>-232673080.0185048</v>
      </c>
      <c r="R50">
        <f t="shared" ref="R50" si="227">R51+Q50</f>
        <v>-59897556955.234253</v>
      </c>
      <c r="S50">
        <f t="shared" ref="S50" si="228">R50/100000</f>
        <v>-598975.56955234252</v>
      </c>
      <c r="T50">
        <f t="shared" ref="T50" si="229">S50/1000</f>
        <v>-598.97556955234256</v>
      </c>
    </row>
    <row r="51" spans="1:20" x14ac:dyDescent="0.25">
      <c r="A51" s="5">
        <v>44542</v>
      </c>
      <c r="B51">
        <v>1.1384999999999999E-2</v>
      </c>
      <c r="C51">
        <v>1.3568E-2</v>
      </c>
      <c r="D51">
        <v>1.1244000000000001E-2</v>
      </c>
      <c r="E51">
        <v>1.1779E-2</v>
      </c>
      <c r="F51">
        <v>1547994050</v>
      </c>
      <c r="G51">
        <v>1.1779E-2</v>
      </c>
      <c r="L51" t="s">
        <v>8</v>
      </c>
      <c r="M51" t="s">
        <v>8</v>
      </c>
      <c r="N51" t="s">
        <v>7</v>
      </c>
      <c r="P51">
        <f t="shared" ref="P51" si="230">IF(C51=D51,0,((E51-D51)-(C51-E51))/(C51-D51))</f>
        <v>-0.53958691910499212</v>
      </c>
      <c r="Q51">
        <f t="shared" ref="Q51" si="231">F51*P51</f>
        <v>-835277340.23235917</v>
      </c>
      <c r="R51">
        <f t="shared" ref="R51" si="232">R52+Q51</f>
        <v>-59664883875.215752</v>
      </c>
      <c r="S51">
        <f t="shared" ref="S51" si="233">R51/100000</f>
        <v>-596648.83875215752</v>
      </c>
      <c r="T51">
        <f t="shared" ref="T51" si="234">S51/1000</f>
        <v>-596.64883875215753</v>
      </c>
    </row>
    <row r="52" spans="1:20" x14ac:dyDescent="0.25">
      <c r="A52" s="5">
        <v>44541</v>
      </c>
      <c r="B52">
        <v>1.0669E-2</v>
      </c>
      <c r="C52">
        <v>1.0879E-2</v>
      </c>
      <c r="D52">
        <v>1.0415000000000001E-2</v>
      </c>
      <c r="E52">
        <v>1.0824E-2</v>
      </c>
      <c r="F52">
        <v>30470430</v>
      </c>
      <c r="G52">
        <v>1.0824E-2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0.76293103448276034</v>
      </c>
      <c r="Q52">
        <f t="shared" ref="Q52" si="236">F52*P52</f>
        <v>23246836.681034535</v>
      </c>
      <c r="R52">
        <f t="shared" ref="R52" si="237">R53+Q52</f>
        <v>-58829606534.983391</v>
      </c>
      <c r="S52">
        <f t="shared" ref="S52" si="238">R52/100000</f>
        <v>-588296.06534983392</v>
      </c>
      <c r="T52">
        <f t="shared" ref="T52" si="239">S52/1000</f>
        <v>-588.29606534983395</v>
      </c>
    </row>
    <row r="53" spans="1:20" x14ac:dyDescent="0.25">
      <c r="A53" s="5">
        <v>44540</v>
      </c>
      <c r="B53">
        <v>1.1507E-2</v>
      </c>
      <c r="C53">
        <v>1.2056000000000001E-2</v>
      </c>
      <c r="D53">
        <v>1.0595E-2</v>
      </c>
      <c r="E53">
        <v>1.0689000000000001E-2</v>
      </c>
      <c r="F53">
        <v>405931872</v>
      </c>
      <c r="G53">
        <v>1.0689000000000001E-2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-0.87132101300479081</v>
      </c>
      <c r="Q53">
        <f t="shared" ref="Q53" si="241">F53*P53</f>
        <v>-353696969.92197108</v>
      </c>
      <c r="R53">
        <f t="shared" ref="R53" si="242">R54+Q53</f>
        <v>-58852853371.664429</v>
      </c>
      <c r="S53">
        <f t="shared" ref="S53" si="243">R53/100000</f>
        <v>-588528.53371664428</v>
      </c>
      <c r="T53">
        <f t="shared" ref="T53" si="244">S53/1000</f>
        <v>-588.52853371664423</v>
      </c>
    </row>
    <row r="54" spans="1:20" x14ac:dyDescent="0.25">
      <c r="A54" s="5">
        <v>44539</v>
      </c>
      <c r="B54">
        <v>1.2858E-2</v>
      </c>
      <c r="C54">
        <v>1.3011999999999999E-2</v>
      </c>
      <c r="D54">
        <v>1.1471E-2</v>
      </c>
      <c r="E54">
        <v>1.1507E-2</v>
      </c>
      <c r="F54">
        <v>431579949</v>
      </c>
      <c r="G54">
        <v>1.1507E-2</v>
      </c>
      <c r="L54" t="s">
        <v>7</v>
      </c>
      <c r="M54" t="s">
        <v>7</v>
      </c>
      <c r="N54" t="s">
        <v>8</v>
      </c>
      <c r="P54">
        <f t="shared" ref="P54" si="245">IF(C54=D54,0,((E54-D54)-(C54-E54))/(C54-D54))</f>
        <v>-0.95327709279688566</v>
      </c>
      <c r="Q54">
        <f t="shared" ref="Q54" si="246">F54*P54</f>
        <v>-411415279.09214818</v>
      </c>
      <c r="R54">
        <f t="shared" ref="R54" si="247">R55+Q54</f>
        <v>-58499156401.742455</v>
      </c>
      <c r="S54">
        <f t="shared" ref="S54" si="248">R54/100000</f>
        <v>-584991.56401742459</v>
      </c>
      <c r="T54">
        <f t="shared" ref="T54" si="249">S54/1000</f>
        <v>-584.99156401742459</v>
      </c>
    </row>
    <row r="55" spans="1:20" x14ac:dyDescent="0.25">
      <c r="A55" s="5">
        <v>44538</v>
      </c>
      <c r="B55">
        <v>1.307E-2</v>
      </c>
      <c r="C55">
        <v>1.3266E-2</v>
      </c>
      <c r="D55">
        <v>1.2364E-2</v>
      </c>
      <c r="E55">
        <v>1.2865E-2</v>
      </c>
      <c r="F55">
        <v>683769588</v>
      </c>
      <c r="G55">
        <v>1.2865E-2</v>
      </c>
      <c r="L55" t="s">
        <v>7</v>
      </c>
      <c r="M55" t="s">
        <v>7</v>
      </c>
      <c r="N55" t="s">
        <v>8</v>
      </c>
      <c r="P55">
        <f t="shared" ref="P55" si="250">IF(C55=D55,0,((E55-D55)-(C55-E55))/(C55-D55))</f>
        <v>0.1108647450110858</v>
      </c>
      <c r="Q55">
        <f t="shared" ref="Q55" si="251">F55*P55</f>
        <v>75805941.019955188</v>
      </c>
      <c r="R55">
        <f t="shared" ref="R55" si="252">R56+Q55</f>
        <v>-58087741122.650307</v>
      </c>
      <c r="S55">
        <f t="shared" ref="S55" si="253">R55/100000</f>
        <v>-580877.41122650309</v>
      </c>
      <c r="T55">
        <f t="shared" ref="T55" si="254">S55/1000</f>
        <v>-580.87741122650311</v>
      </c>
    </row>
    <row r="56" spans="1:20" x14ac:dyDescent="0.25">
      <c r="A56" s="5">
        <v>44537</v>
      </c>
      <c r="B56">
        <v>1.2791E-2</v>
      </c>
      <c r="C56">
        <v>1.4200000000000001E-2</v>
      </c>
      <c r="D56">
        <v>1.2690999999999999E-2</v>
      </c>
      <c r="E56">
        <v>1.3050000000000001E-2</v>
      </c>
      <c r="F56">
        <v>1146210515</v>
      </c>
      <c r="G56">
        <v>1.3050000000000001E-2</v>
      </c>
      <c r="L56" t="s">
        <v>7</v>
      </c>
      <c r="M56" t="s">
        <v>7</v>
      </c>
      <c r="N56" t="s">
        <v>8</v>
      </c>
      <c r="P56">
        <f t="shared" ref="P56" si="255">IF(C56=D56,0,((E56-D56)-(C56-E56))/(C56-D56))</f>
        <v>-0.5241882041086795</v>
      </c>
      <c r="Q56">
        <f t="shared" ref="Q56" si="256">F56*P56</f>
        <v>-600830031.38833463</v>
      </c>
      <c r="R56">
        <f t="shared" ref="R56" si="257">R57+Q56</f>
        <v>-58163547063.670265</v>
      </c>
      <c r="S56">
        <f t="shared" ref="S56" si="258">R56/100000</f>
        <v>-581635.47063670261</v>
      </c>
      <c r="T56">
        <f t="shared" ref="T56" si="259">S56/1000</f>
        <v>-581.63547063670262</v>
      </c>
    </row>
    <row r="57" spans="1:20" x14ac:dyDescent="0.25">
      <c r="A57" s="5">
        <v>44536</v>
      </c>
      <c r="B57">
        <v>1.3269E-2</v>
      </c>
      <c r="C57">
        <v>1.5368E-2</v>
      </c>
      <c r="D57">
        <v>1.1900000000000001E-2</v>
      </c>
      <c r="E57">
        <v>1.2789999999999999E-2</v>
      </c>
      <c r="F57">
        <v>1693928234</v>
      </c>
      <c r="G57">
        <v>1.2789999999999999E-2</v>
      </c>
      <c r="L57" t="s">
        <v>8</v>
      </c>
      <c r="M57" t="s">
        <v>8</v>
      </c>
      <c r="N57" t="s">
        <v>8</v>
      </c>
      <c r="P57">
        <f t="shared" ref="P57" si="260">IF(C57=D57,0,((E57-D57)-(C57-E57))/(C57-D57))</f>
        <v>-0.48673587081891656</v>
      </c>
      <c r="Q57">
        <f t="shared" ref="Q57" si="261">F57*P57</f>
        <v>-824495634.0807395</v>
      </c>
      <c r="R57">
        <f t="shared" ref="R57" si="262">R58+Q57</f>
        <v>-57562717032.281929</v>
      </c>
      <c r="S57">
        <f t="shared" ref="S57" si="263">R57/100000</f>
        <v>-575627.17032281926</v>
      </c>
      <c r="T57">
        <f t="shared" ref="T57" si="264">S57/1000</f>
        <v>-575.62717032281921</v>
      </c>
    </row>
    <row r="58" spans="1:20" x14ac:dyDescent="0.25">
      <c r="A58" s="5">
        <v>44535</v>
      </c>
      <c r="B58">
        <v>1.2851E-2</v>
      </c>
      <c r="C58">
        <v>1.4333E-2</v>
      </c>
      <c r="D58">
        <v>1.2245000000000001E-2</v>
      </c>
      <c r="E58">
        <v>1.3254999999999999E-2</v>
      </c>
      <c r="F58">
        <v>1697412804</v>
      </c>
      <c r="G58">
        <v>1.3254999999999999E-2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-3.2567049808430122E-2</v>
      </c>
      <c r="Q58">
        <f t="shared" ref="Q58" si="266">F58*P58</f>
        <v>-55279727.333335035</v>
      </c>
      <c r="R58">
        <f t="shared" ref="R58" si="267">R59+Q58</f>
        <v>-56738221398.201187</v>
      </c>
      <c r="S58">
        <f t="shared" ref="S58" si="268">R58/100000</f>
        <v>-567382.21398201189</v>
      </c>
      <c r="T58">
        <f t="shared" ref="T58" si="269">S58/1000</f>
        <v>-567.38221398201188</v>
      </c>
    </row>
    <row r="59" spans="1:20" x14ac:dyDescent="0.25">
      <c r="A59" s="5">
        <v>44534</v>
      </c>
      <c r="B59">
        <v>1.4756999999999999E-2</v>
      </c>
      <c r="C59">
        <v>1.8772E-2</v>
      </c>
      <c r="D59">
        <v>1.0956E-2</v>
      </c>
      <c r="E59">
        <v>1.2839E-2</v>
      </c>
      <c r="F59">
        <v>5950951211</v>
      </c>
      <c r="G59">
        <v>1.2839E-2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-0.51816786079836252</v>
      </c>
      <c r="Q59">
        <f t="shared" ref="Q59" si="271">F59*P59</f>
        <v>-3083591658.719295</v>
      </c>
      <c r="R59">
        <f t="shared" ref="R59" si="272">R60+Q59</f>
        <v>-56682941670.867851</v>
      </c>
      <c r="S59">
        <f t="shared" ref="S59" si="273">R59/100000</f>
        <v>-566829.41670867847</v>
      </c>
      <c r="T59">
        <f t="shared" ref="T59" si="274">S59/1000</f>
        <v>-566.82941670867842</v>
      </c>
    </row>
    <row r="60" spans="1:20" x14ac:dyDescent="0.25">
      <c r="A60" s="5">
        <v>44533</v>
      </c>
      <c r="B60">
        <v>1.2966E-2</v>
      </c>
      <c r="C60">
        <v>1.9599999999999999E-2</v>
      </c>
      <c r="D60">
        <v>1.2855999999999999E-2</v>
      </c>
      <c r="E60">
        <v>1.4781000000000001E-2</v>
      </c>
      <c r="F60">
        <v>3456681615</v>
      </c>
      <c r="G60">
        <v>1.4781000000000001E-2</v>
      </c>
      <c r="L60" t="s">
        <v>8</v>
      </c>
      <c r="M60" t="s">
        <v>8</v>
      </c>
      <c r="N60" t="s">
        <v>8</v>
      </c>
      <c r="P60">
        <f t="shared" ref="P60" si="275">IF(C60=D60,0,((E60-D60)-(C60-E60))/(C60-D60))</f>
        <v>-0.42912218268090113</v>
      </c>
      <c r="Q60">
        <f t="shared" ref="Q60" si="276">F60*P60</f>
        <v>-1483338759.4617424</v>
      </c>
      <c r="R60">
        <f t="shared" ref="R60" si="277">R61+Q60</f>
        <v>-53599350012.14856</v>
      </c>
      <c r="S60">
        <f t="shared" ref="S60" si="278">R60/100000</f>
        <v>-535993.50012148556</v>
      </c>
      <c r="T60">
        <f t="shared" ref="T60" si="279">S60/1000</f>
        <v>-535.99350012148557</v>
      </c>
    </row>
    <row r="61" spans="1:20" x14ac:dyDescent="0.25">
      <c r="A61" s="5">
        <v>44532</v>
      </c>
      <c r="B61">
        <v>1.2848E-2</v>
      </c>
      <c r="C61">
        <v>1.3625E-2</v>
      </c>
      <c r="D61">
        <v>1.2536E-2</v>
      </c>
      <c r="E61">
        <v>1.2942E-2</v>
      </c>
      <c r="F61">
        <v>326720199</v>
      </c>
      <c r="G61">
        <v>1.2942E-2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-0.25436179981634488</v>
      </c>
      <c r="Q61">
        <f t="shared" ref="Q61" si="281">F61*P61</f>
        <v>-83105137.85399437</v>
      </c>
      <c r="R61">
        <f t="shared" ref="R61" si="282">R62+Q61</f>
        <v>-52116011252.686821</v>
      </c>
      <c r="S61">
        <f t="shared" ref="S61" si="283">R61/100000</f>
        <v>-521160.11252686824</v>
      </c>
      <c r="T61">
        <f t="shared" ref="T61" si="284">S61/1000</f>
        <v>-521.16011252686826</v>
      </c>
    </row>
    <row r="62" spans="1:20" x14ac:dyDescent="0.25">
      <c r="A62" s="5">
        <v>44531</v>
      </c>
      <c r="B62">
        <v>1.2931E-2</v>
      </c>
      <c r="C62">
        <v>1.3184E-2</v>
      </c>
      <c r="D62">
        <v>1.268E-2</v>
      </c>
      <c r="E62">
        <v>1.2844E-2</v>
      </c>
      <c r="F62">
        <v>208066198</v>
      </c>
      <c r="G62">
        <v>1.2844E-2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-0.34920634920635135</v>
      </c>
      <c r="Q62">
        <f t="shared" ref="Q62" si="286">F62*P62</f>
        <v>-72658037.39682585</v>
      </c>
      <c r="R62">
        <f t="shared" ref="R62" si="287">R63+Q62</f>
        <v>-52032906114.832825</v>
      </c>
      <c r="S62">
        <f t="shared" ref="S62" si="288">R62/100000</f>
        <v>-520329.06114832824</v>
      </c>
      <c r="T62">
        <f t="shared" ref="T62" si="289">S62/1000</f>
        <v>-520.32906114832826</v>
      </c>
    </row>
    <row r="63" spans="1:20" x14ac:dyDescent="0.25">
      <c r="A63" s="5">
        <v>44530</v>
      </c>
      <c r="B63">
        <v>1.3096E-2</v>
      </c>
      <c r="C63">
        <v>1.4688E-2</v>
      </c>
      <c r="D63">
        <v>1.2918000000000001E-2</v>
      </c>
      <c r="E63">
        <v>1.2939000000000001E-2</v>
      </c>
      <c r="F63">
        <v>538872186</v>
      </c>
      <c r="G63">
        <v>1.2939000000000001E-2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-0.97627118644067779</v>
      </c>
      <c r="Q63">
        <f t="shared" ref="Q63" si="291">F63*P63</f>
        <v>-526085388.36610162</v>
      </c>
      <c r="R63">
        <f t="shared" ref="R63" si="292">R64+Q63</f>
        <v>-51960248077.435997</v>
      </c>
      <c r="S63">
        <f t="shared" ref="S63" si="293">R63/100000</f>
        <v>-519602.48077435995</v>
      </c>
      <c r="T63">
        <f t="shared" ref="T63" si="294">S63/1000</f>
        <v>-519.60248077435995</v>
      </c>
    </row>
    <row r="64" spans="1:20" x14ac:dyDescent="0.25">
      <c r="A64" s="5">
        <v>44529</v>
      </c>
      <c r="B64">
        <v>1.3191E-2</v>
      </c>
      <c r="C64">
        <v>1.3328E-2</v>
      </c>
      <c r="D64">
        <v>1.2921E-2</v>
      </c>
      <c r="E64">
        <v>1.3096E-2</v>
      </c>
      <c r="F64">
        <v>187503074</v>
      </c>
      <c r="G64">
        <v>1.3096E-2</v>
      </c>
      <c r="L64" t="s">
        <v>7</v>
      </c>
      <c r="M64" t="s">
        <v>7</v>
      </c>
      <c r="N64" t="s">
        <v>7</v>
      </c>
      <c r="P64">
        <f t="shared" ref="P64" si="295">IF(C64=D64,0,((E64-D64)-(C64-E64))/(C64-D64))</f>
        <v>-0.14004914004913968</v>
      </c>
      <c r="Q64">
        <f t="shared" ref="Q64" si="296">F64*P64</f>
        <v>-26259644.270270202</v>
      </c>
      <c r="R64">
        <f t="shared" ref="R64" si="297">R65+Q64</f>
        <v>-51434162689.069893</v>
      </c>
      <c r="S64">
        <f t="shared" ref="S64" si="298">R64/100000</f>
        <v>-514341.62689069891</v>
      </c>
      <c r="T64">
        <f t="shared" ref="T64" si="299">S64/1000</f>
        <v>-514.34162689069888</v>
      </c>
    </row>
    <row r="65" spans="1:20" x14ac:dyDescent="0.25">
      <c r="A65" s="5">
        <v>44528</v>
      </c>
      <c r="B65">
        <v>1.3363E-2</v>
      </c>
      <c r="C65">
        <v>1.3528999999999999E-2</v>
      </c>
      <c r="D65">
        <v>1.2409999999999999E-2</v>
      </c>
      <c r="E65">
        <v>1.3164E-2</v>
      </c>
      <c r="F65">
        <v>274904599</v>
      </c>
      <c r="G65">
        <v>1.3164E-2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0.34763181411975169</v>
      </c>
      <c r="Q65">
        <f t="shared" ref="Q65" si="301">F65*P65</f>
        <v>95565584.460232884</v>
      </c>
      <c r="R65">
        <f t="shared" ref="R65" si="302">R66+Q65</f>
        <v>-51407903044.799622</v>
      </c>
      <c r="S65">
        <f t="shared" ref="S65" si="303">R65/100000</f>
        <v>-514079.03044799622</v>
      </c>
      <c r="T65">
        <f t="shared" ref="T65" si="304">S65/1000</f>
        <v>-514.07903044799627</v>
      </c>
    </row>
    <row r="66" spans="1:20" x14ac:dyDescent="0.25">
      <c r="A66" s="5">
        <v>44527</v>
      </c>
      <c r="B66">
        <v>1.2666E-2</v>
      </c>
      <c r="C66">
        <v>1.5339999999999999E-2</v>
      </c>
      <c r="D66">
        <v>1.2581999999999999E-2</v>
      </c>
      <c r="E66">
        <v>1.3391999999999999E-2</v>
      </c>
      <c r="F66">
        <v>742753277</v>
      </c>
      <c r="G66">
        <v>1.3391999999999999E-2</v>
      </c>
      <c r="L66" t="s">
        <v>8</v>
      </c>
      <c r="M66" t="s">
        <v>8</v>
      </c>
      <c r="N66" t="s">
        <v>8</v>
      </c>
      <c r="P66">
        <f t="shared" ref="P66" si="305">IF(C66=D66,0,((E66-D66)-(C66-E66))/(C66-D66))</f>
        <v>-0.41261783901377813</v>
      </c>
      <c r="Q66">
        <f t="shared" ref="Q66" si="306">F66*P66</f>
        <v>-306473252.07614213</v>
      </c>
      <c r="R66">
        <f t="shared" ref="R66" si="307">R67+Q66</f>
        <v>-51503468629.259857</v>
      </c>
      <c r="S66">
        <f t="shared" ref="S66" si="308">R66/100000</f>
        <v>-515034.68629259855</v>
      </c>
      <c r="T66">
        <f t="shared" ref="T66" si="309">S66/1000</f>
        <v>-515.03468629259851</v>
      </c>
    </row>
    <row r="67" spans="1:20" x14ac:dyDescent="0.25">
      <c r="A67" s="5">
        <v>44526</v>
      </c>
      <c r="B67">
        <v>1.374E-2</v>
      </c>
      <c r="C67">
        <v>1.393E-2</v>
      </c>
      <c r="D67">
        <v>1.2572E-2</v>
      </c>
      <c r="E67">
        <v>1.2657E-2</v>
      </c>
      <c r="F67">
        <v>244801002</v>
      </c>
      <c r="G67">
        <v>1.2657E-2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-0.8748159057437408</v>
      </c>
      <c r="Q67">
        <f t="shared" ref="Q67" si="311">F67*P67</f>
        <v>-214155810.29160529</v>
      </c>
      <c r="R67">
        <f t="shared" ref="R67" si="312">R68+Q67</f>
        <v>-51196995377.183716</v>
      </c>
      <c r="S67">
        <f t="shared" ref="S67" si="313">R67/100000</f>
        <v>-511969.95377183717</v>
      </c>
      <c r="T67">
        <f t="shared" ref="T67" si="314">S67/1000</f>
        <v>-511.9699537718372</v>
      </c>
    </row>
    <row r="68" spans="1:20" x14ac:dyDescent="0.25">
      <c r="A68" s="5">
        <v>44525</v>
      </c>
      <c r="B68">
        <v>1.3761000000000001E-2</v>
      </c>
      <c r="C68">
        <v>1.4408000000000001E-2</v>
      </c>
      <c r="D68">
        <v>1.3542999999999999E-2</v>
      </c>
      <c r="E68">
        <v>1.374E-2</v>
      </c>
      <c r="F68">
        <v>301893615</v>
      </c>
      <c r="G68">
        <v>1.374E-2</v>
      </c>
      <c r="L68" t="s">
        <v>8</v>
      </c>
      <c r="M68" t="s">
        <v>7</v>
      </c>
      <c r="N68" t="s">
        <v>8</v>
      </c>
      <c r="P68">
        <f t="shared" ref="P68" si="315">IF(C68=D68,0,((E68-D68)-(C68-E68))/(C68-D68))</f>
        <v>-0.54450867052022955</v>
      </c>
      <c r="Q68">
        <f t="shared" ref="Q68" si="316">F68*P68</f>
        <v>-164383690.94219604</v>
      </c>
      <c r="R68">
        <f t="shared" ref="R68" si="317">R69+Q68</f>
        <v>-50982839566.892113</v>
      </c>
      <c r="S68">
        <f t="shared" ref="S68" si="318">R68/100000</f>
        <v>-509828.39566892112</v>
      </c>
      <c r="T68">
        <f t="shared" ref="T68" si="319">S68/1000</f>
        <v>-509.82839566892113</v>
      </c>
    </row>
    <row r="69" spans="1:20" x14ac:dyDescent="0.25">
      <c r="A69" s="5">
        <v>44524</v>
      </c>
      <c r="B69">
        <v>1.3903E-2</v>
      </c>
      <c r="C69">
        <v>1.3982E-2</v>
      </c>
      <c r="D69">
        <v>1.3627E-2</v>
      </c>
      <c r="E69">
        <v>1.3942E-2</v>
      </c>
      <c r="F69">
        <v>125504910</v>
      </c>
      <c r="G69">
        <v>1.3942E-2</v>
      </c>
      <c r="L69" t="s">
        <v>7</v>
      </c>
      <c r="M69" t="s">
        <v>7</v>
      </c>
      <c r="N69" t="s">
        <v>8</v>
      </c>
      <c r="P69">
        <f t="shared" ref="P69" si="320">IF(C69=D69,0,((E69-D69)-(C69-E69))/(C69-D69))</f>
        <v>0.77464788732394274</v>
      </c>
      <c r="Q69">
        <f t="shared" ref="Q69" si="321">F69*P69</f>
        <v>97222113.380281568</v>
      </c>
      <c r="R69">
        <f t="shared" ref="R69" si="322">R70+Q69</f>
        <v>-50818455875.949913</v>
      </c>
      <c r="S69">
        <f t="shared" ref="S69" si="323">R69/100000</f>
        <v>-508184.55875949911</v>
      </c>
      <c r="T69">
        <f t="shared" ref="T69" si="324">S69/1000</f>
        <v>-508.18455875949911</v>
      </c>
    </row>
    <row r="70" spans="1:20" x14ac:dyDescent="0.25">
      <c r="A70" s="5">
        <v>44523</v>
      </c>
      <c r="B70">
        <v>1.3745E-2</v>
      </c>
      <c r="C70">
        <v>1.4378E-2</v>
      </c>
      <c r="D70">
        <v>1.3299999999999999E-2</v>
      </c>
      <c r="E70">
        <v>1.3918E-2</v>
      </c>
      <c r="F70">
        <v>401696704</v>
      </c>
      <c r="G70">
        <v>1.3918E-2</v>
      </c>
      <c r="L70" t="s">
        <v>7</v>
      </c>
      <c r="M70" t="s">
        <v>7</v>
      </c>
      <c r="N70" t="s">
        <v>8</v>
      </c>
      <c r="P70">
        <f t="shared" ref="P70" si="325">IF(C70=D70,0,((E70-D70)-(C70-E70))/(C70-D70))</f>
        <v>0.14656771799628945</v>
      </c>
      <c r="Q70">
        <f t="shared" ref="Q70" si="326">F70*P70</f>
        <v>58875769.231910959</v>
      </c>
      <c r="R70">
        <f t="shared" ref="R70" si="327">R71+Q70</f>
        <v>-50915677989.330193</v>
      </c>
      <c r="S70">
        <f t="shared" ref="S70" si="328">R70/100000</f>
        <v>-509156.77989330195</v>
      </c>
      <c r="T70">
        <f t="shared" ref="T70" si="329">S70/1000</f>
        <v>-509.15677989330197</v>
      </c>
    </row>
    <row r="71" spans="1:20" x14ac:dyDescent="0.25">
      <c r="A71" s="5">
        <v>44522</v>
      </c>
      <c r="B71">
        <v>1.4303E-2</v>
      </c>
      <c r="C71">
        <v>1.4774000000000001E-2</v>
      </c>
      <c r="D71">
        <v>1.3664000000000001E-2</v>
      </c>
      <c r="E71">
        <v>1.3750999999999999E-2</v>
      </c>
      <c r="F71">
        <v>355805538</v>
      </c>
      <c r="G71">
        <v>1.3750999999999999E-2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-0.84324324324324584</v>
      </c>
      <c r="Q71">
        <f t="shared" ref="Q71" si="331">F71*P71</f>
        <v>-300030615.82702798</v>
      </c>
      <c r="R71">
        <f t="shared" ref="R71" si="332">R72+Q71</f>
        <v>-50974553758.562103</v>
      </c>
      <c r="S71">
        <f t="shared" ref="S71" si="333">R71/100000</f>
        <v>-509745.53758562106</v>
      </c>
      <c r="T71">
        <f t="shared" ref="T71" si="334">S71/1000</f>
        <v>-509.74553758562104</v>
      </c>
    </row>
    <row r="72" spans="1:20" x14ac:dyDescent="0.25">
      <c r="A72" s="5">
        <v>44521</v>
      </c>
      <c r="B72">
        <v>1.4897000000000001E-2</v>
      </c>
      <c r="C72">
        <v>1.7899999999999999E-2</v>
      </c>
      <c r="D72">
        <v>1.43E-2</v>
      </c>
      <c r="E72">
        <v>1.4352E-2</v>
      </c>
      <c r="F72">
        <v>1500639042</v>
      </c>
      <c r="G72">
        <v>1.4352E-2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-0.97111111111111115</v>
      </c>
      <c r="Q72">
        <f t="shared" ref="Q72" si="336">F72*P72</f>
        <v>-1457287247.4533334</v>
      </c>
      <c r="R72">
        <f t="shared" ref="R72" si="337">R73+Q72</f>
        <v>-50674523142.735077</v>
      </c>
      <c r="S72">
        <f t="shared" ref="S72" si="338">R72/100000</f>
        <v>-506745.23142735078</v>
      </c>
      <c r="T72">
        <f t="shared" ref="T72" si="339">S72/1000</f>
        <v>-506.7452314273508</v>
      </c>
    </row>
    <row r="73" spans="1:20" x14ac:dyDescent="0.25">
      <c r="A73" s="5">
        <v>44520</v>
      </c>
      <c r="B73">
        <v>1.3375E-2</v>
      </c>
      <c r="C73">
        <v>1.6299999999999999E-2</v>
      </c>
      <c r="D73">
        <v>1.3022000000000001E-2</v>
      </c>
      <c r="E73">
        <v>1.4896E-2</v>
      </c>
      <c r="F73">
        <v>907521939</v>
      </c>
      <c r="G73">
        <v>1.4896E-2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0.1433801098230629</v>
      </c>
      <c r="Q73">
        <f t="shared" ref="Q73" si="341">F73*P73</f>
        <v>130120595.28065899</v>
      </c>
      <c r="R73">
        <f t="shared" ref="R73" si="342">R74+Q73</f>
        <v>-49217235895.281746</v>
      </c>
      <c r="S73">
        <f t="shared" ref="S73" si="343">R73/100000</f>
        <v>-492172.35895281745</v>
      </c>
      <c r="T73">
        <f t="shared" ref="T73" si="344">S73/1000</f>
        <v>-492.17235895281743</v>
      </c>
    </row>
    <row r="74" spans="1:20" x14ac:dyDescent="0.25">
      <c r="A74" s="5">
        <v>44519</v>
      </c>
      <c r="B74">
        <v>1.2765E-2</v>
      </c>
      <c r="C74">
        <v>1.3746E-2</v>
      </c>
      <c r="D74">
        <v>1.2432E-2</v>
      </c>
      <c r="E74">
        <v>1.336E-2</v>
      </c>
      <c r="F74">
        <v>301760409</v>
      </c>
      <c r="G74">
        <v>1.336E-2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0.41248097412481061</v>
      </c>
      <c r="Q74">
        <f t="shared" ref="Q74" si="346">F74*P74</f>
        <v>124470427.45662126</v>
      </c>
      <c r="R74">
        <f t="shared" ref="R74" si="347">R75+Q74</f>
        <v>-49347356490.562408</v>
      </c>
      <c r="S74">
        <f t="shared" ref="S74" si="348">R74/100000</f>
        <v>-493473.56490562408</v>
      </c>
      <c r="T74">
        <f t="shared" ref="T74" si="349">S74/1000</f>
        <v>-493.47356490562407</v>
      </c>
    </row>
    <row r="75" spans="1:20" x14ac:dyDescent="0.25">
      <c r="A75" s="5">
        <v>44518</v>
      </c>
      <c r="B75">
        <v>1.3651E-2</v>
      </c>
      <c r="C75">
        <v>1.5798E-2</v>
      </c>
      <c r="D75">
        <v>1.26E-2</v>
      </c>
      <c r="E75">
        <v>1.2749999999999999E-2</v>
      </c>
      <c r="F75">
        <v>925522128</v>
      </c>
      <c r="G75">
        <v>1.2749999999999999E-2</v>
      </c>
      <c r="L75" t="s">
        <v>8</v>
      </c>
      <c r="M75" t="s">
        <v>8</v>
      </c>
      <c r="N75" t="s">
        <v>7</v>
      </c>
      <c r="P75">
        <f t="shared" ref="P75" si="350">IF(C75=D75,0,((E75-D75)-(C75-E75))/(C75-D75))</f>
        <v>-0.90619136960600433</v>
      </c>
      <c r="Q75">
        <f t="shared" ref="Q75" si="351">F75*P75</f>
        <v>-838700164.77298367</v>
      </c>
      <c r="R75">
        <f t="shared" ref="R75" si="352">R76+Q75</f>
        <v>-49471826918.019028</v>
      </c>
      <c r="S75">
        <f t="shared" ref="S75" si="353">R75/100000</f>
        <v>-494718.26918019028</v>
      </c>
      <c r="T75">
        <f t="shared" ref="T75" si="354">S75/1000</f>
        <v>-494.7182691801903</v>
      </c>
    </row>
    <row r="76" spans="1:20" x14ac:dyDescent="0.25">
      <c r="A76" s="5">
        <v>44517</v>
      </c>
      <c r="B76">
        <v>1.3029000000000001E-2</v>
      </c>
      <c r="C76">
        <v>1.409E-2</v>
      </c>
      <c r="D76">
        <v>1.26E-2</v>
      </c>
      <c r="E76">
        <v>1.3627999999999999E-2</v>
      </c>
      <c r="F76">
        <v>498075131</v>
      </c>
      <c r="G76">
        <v>1.3627999999999999E-2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0.3798657718120797</v>
      </c>
      <c r="Q76">
        <f t="shared" ref="Q76" si="356">F76*P76</f>
        <v>189201694.05771771</v>
      </c>
      <c r="R76">
        <f t="shared" ref="R76" si="357">R77+Q76</f>
        <v>-48633126753.24604</v>
      </c>
      <c r="S76">
        <f t="shared" ref="S76" si="358">R76/100000</f>
        <v>-486331.26753246039</v>
      </c>
      <c r="T76">
        <f t="shared" ref="T76" si="359">S76/1000</f>
        <v>-486.3312675324604</v>
      </c>
    </row>
    <row r="77" spans="1:20" x14ac:dyDescent="0.25">
      <c r="A77" s="5">
        <v>44516</v>
      </c>
      <c r="B77">
        <v>1.4796E-2</v>
      </c>
      <c r="C77">
        <v>1.4831E-2</v>
      </c>
      <c r="D77">
        <v>1.2735E-2</v>
      </c>
      <c r="E77">
        <v>1.3011999999999999E-2</v>
      </c>
      <c r="F77">
        <v>377557725</v>
      </c>
      <c r="G77">
        <v>1.3011999999999999E-2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-0.73568702290076393</v>
      </c>
      <c r="Q77">
        <f t="shared" ref="Q77" si="361">F77*P77</f>
        <v>-277764318.67843533</v>
      </c>
      <c r="R77">
        <f t="shared" ref="R77" si="362">R78+Q77</f>
        <v>-48822328447.303757</v>
      </c>
      <c r="S77">
        <f t="shared" ref="S77" si="363">R77/100000</f>
        <v>-488223.28447303758</v>
      </c>
      <c r="T77">
        <f t="shared" ref="T77" si="364">S77/1000</f>
        <v>-488.22328447303755</v>
      </c>
    </row>
    <row r="78" spans="1:20" x14ac:dyDescent="0.25">
      <c r="A78" s="5">
        <v>44515</v>
      </c>
      <c r="B78">
        <v>1.4838E-2</v>
      </c>
      <c r="C78">
        <v>1.5498E-2</v>
      </c>
      <c r="D78">
        <v>1.4710000000000001E-2</v>
      </c>
      <c r="E78">
        <v>1.4798E-2</v>
      </c>
      <c r="F78">
        <v>264268752</v>
      </c>
      <c r="G78">
        <v>1.4798E-2</v>
      </c>
      <c r="L78" t="s">
        <v>8</v>
      </c>
      <c r="M78" t="s">
        <v>7</v>
      </c>
      <c r="N78" t="s">
        <v>7</v>
      </c>
      <c r="P78">
        <f t="shared" ref="P78" si="365">IF(C78=D78,0,((E78-D78)-(C78-E78))/(C78-D78))</f>
        <v>-0.77664974619289417</v>
      </c>
      <c r="Q78">
        <f t="shared" ref="Q78" si="366">F78*P78</f>
        <v>-205244259.16751289</v>
      </c>
      <c r="R78">
        <f t="shared" ref="R78" si="367">R79+Q78</f>
        <v>-48544564128.62532</v>
      </c>
      <c r="S78">
        <f t="shared" ref="S78" si="368">R78/100000</f>
        <v>-485445.64128625323</v>
      </c>
      <c r="T78">
        <f t="shared" ref="T78" si="369">S78/1000</f>
        <v>-485.44564128625325</v>
      </c>
    </row>
    <row r="79" spans="1:20" x14ac:dyDescent="0.25">
      <c r="A79" s="5">
        <v>44514</v>
      </c>
      <c r="B79">
        <v>1.5203E-2</v>
      </c>
      <c r="C79">
        <v>1.5348000000000001E-2</v>
      </c>
      <c r="D79">
        <v>1.4429000000000001E-2</v>
      </c>
      <c r="E79">
        <v>1.4853999999999999E-2</v>
      </c>
      <c r="F79">
        <v>205248816</v>
      </c>
      <c r="G79">
        <v>1.4853999999999999E-2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-7.5081610446140493E-2</v>
      </c>
      <c r="Q79">
        <f t="shared" ref="Q79" si="371">F79*P79</f>
        <v>-15410411.647443568</v>
      </c>
      <c r="R79">
        <f t="shared" ref="R79" si="372">R80+Q79</f>
        <v>-48339319869.457809</v>
      </c>
      <c r="S79">
        <f t="shared" ref="S79" si="373">R79/100000</f>
        <v>-483393.19869457808</v>
      </c>
      <c r="T79">
        <f t="shared" ref="T79" si="374">S79/1000</f>
        <v>-483.39319869457807</v>
      </c>
    </row>
    <row r="80" spans="1:20" x14ac:dyDescent="0.25">
      <c r="A80" s="5">
        <v>44513</v>
      </c>
      <c r="B80">
        <v>1.4486000000000001E-2</v>
      </c>
      <c r="C80">
        <v>1.6070999999999998E-2</v>
      </c>
      <c r="D80">
        <v>1.4371999999999999E-2</v>
      </c>
      <c r="E80">
        <v>1.5199000000000001E-2</v>
      </c>
      <c r="F80">
        <v>514441765</v>
      </c>
      <c r="G80">
        <v>1.5199000000000001E-2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-2.6486168334312218E-2</v>
      </c>
      <c r="Q80">
        <f t="shared" ref="Q80" si="376">F80*P80</f>
        <v>-13625591.185990687</v>
      </c>
      <c r="R80">
        <f t="shared" ref="R80" si="377">R81+Q80</f>
        <v>-48323909457.810364</v>
      </c>
      <c r="S80">
        <f t="shared" ref="S80" si="378">R80/100000</f>
        <v>-483239.09457810363</v>
      </c>
      <c r="T80">
        <f t="shared" ref="T80" si="379">S80/1000</f>
        <v>-483.23909457810362</v>
      </c>
    </row>
    <row r="81" spans="1:20" x14ac:dyDescent="0.25">
      <c r="A81" s="5">
        <v>44512</v>
      </c>
      <c r="B81">
        <v>1.4697999999999999E-2</v>
      </c>
      <c r="C81">
        <v>1.5346E-2</v>
      </c>
      <c r="D81">
        <v>1.4158E-2</v>
      </c>
      <c r="E81">
        <v>1.4466E-2</v>
      </c>
      <c r="F81">
        <v>280658793</v>
      </c>
      <c r="G81">
        <v>1.4466E-2</v>
      </c>
      <c r="L81" t="s">
        <v>8</v>
      </c>
      <c r="M81" t="s">
        <v>7</v>
      </c>
      <c r="N81" t="s">
        <v>7</v>
      </c>
      <c r="P81">
        <f t="shared" ref="P81" si="380">IF(C81=D81,0,((E81-D81)-(C81-E81))/(C81-D81))</f>
        <v>-0.48148148148148268</v>
      </c>
      <c r="Q81">
        <f t="shared" ref="Q81" si="381">F81*P81</f>
        <v>-135132011.44444478</v>
      </c>
      <c r="R81">
        <f t="shared" ref="R81" si="382">R82+Q81</f>
        <v>-48310283866.624374</v>
      </c>
      <c r="S81">
        <f t="shared" ref="S81" si="383">R81/100000</f>
        <v>-483102.83866624377</v>
      </c>
      <c r="T81">
        <f t="shared" ref="T81" si="384">S81/1000</f>
        <v>-483.10283866624377</v>
      </c>
    </row>
    <row r="82" spans="1:20" x14ac:dyDescent="0.25">
      <c r="A82" s="5">
        <v>44511</v>
      </c>
      <c r="B82">
        <v>1.4201E-2</v>
      </c>
      <c r="C82">
        <v>1.5049999999999999E-2</v>
      </c>
      <c r="D82">
        <v>1.3924000000000001E-2</v>
      </c>
      <c r="E82">
        <v>1.4707E-2</v>
      </c>
      <c r="F82">
        <v>279953494</v>
      </c>
      <c r="G82">
        <v>1.4707E-2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0.39076376554174069</v>
      </c>
      <c r="Q82">
        <f t="shared" ref="Q82" si="386">F82*P82</f>
        <v>109395681.49200711</v>
      </c>
      <c r="R82">
        <f t="shared" ref="R82" si="387">R83+Q82</f>
        <v>-48175151855.179932</v>
      </c>
      <c r="S82">
        <f t="shared" ref="S82" si="388">R82/100000</f>
        <v>-481751.51855179929</v>
      </c>
      <c r="T82">
        <f t="shared" ref="T82" si="389">S82/1000</f>
        <v>-481.75151855179928</v>
      </c>
    </row>
    <row r="83" spans="1:20" x14ac:dyDescent="0.25">
      <c r="A83" s="5">
        <v>44510</v>
      </c>
      <c r="B83">
        <v>1.5082E-2</v>
      </c>
      <c r="C83">
        <v>1.5793000000000001E-2</v>
      </c>
      <c r="D83">
        <v>1.3687E-2</v>
      </c>
      <c r="E83">
        <v>1.4201E-2</v>
      </c>
      <c r="F83">
        <v>535074067</v>
      </c>
      <c r="G83">
        <v>1.4201E-2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-0.51187084520417847</v>
      </c>
      <c r="Q83">
        <f t="shared" ref="Q83" si="391">F83*P83</f>
        <v>-273888814.92212725</v>
      </c>
      <c r="R83">
        <f t="shared" ref="R83" si="392">R84+Q83</f>
        <v>-48284547536.671936</v>
      </c>
      <c r="S83">
        <f t="shared" ref="S83" si="393">R83/100000</f>
        <v>-482845.47536671936</v>
      </c>
      <c r="T83">
        <f t="shared" ref="T83" si="394">S83/1000</f>
        <v>-482.84547536671937</v>
      </c>
    </row>
    <row r="84" spans="1:20" x14ac:dyDescent="0.25">
      <c r="A84" s="5">
        <v>44509</v>
      </c>
      <c r="B84">
        <v>1.5337E-2</v>
      </c>
      <c r="C84">
        <v>1.5556E-2</v>
      </c>
      <c r="D84">
        <v>1.4999999999999999E-2</v>
      </c>
      <c r="E84">
        <v>1.5100000000000001E-2</v>
      </c>
      <c r="F84">
        <v>269641507</v>
      </c>
      <c r="G84">
        <v>1.5100000000000001E-2</v>
      </c>
      <c r="L84" t="s">
        <v>7</v>
      </c>
      <c r="M84" t="s">
        <v>7</v>
      </c>
      <c r="N84" t="s">
        <v>8</v>
      </c>
      <c r="P84">
        <f t="shared" ref="P84" si="395">IF(C84=D84,0,((E84-D84)-(C84-E84))/(C84-D84))</f>
        <v>-0.64028776978416924</v>
      </c>
      <c r="Q84">
        <f t="shared" ref="Q84" si="396">F84*P84</f>
        <v>-172648159.15827245</v>
      </c>
      <c r="R84">
        <f t="shared" ref="R84" si="397">R85+Q84</f>
        <v>-48010658721.749809</v>
      </c>
      <c r="S84">
        <f t="shared" ref="S84" si="398">R84/100000</f>
        <v>-480106.58721749811</v>
      </c>
      <c r="T84">
        <f t="shared" ref="T84" si="399">S84/1000</f>
        <v>-480.10658721749809</v>
      </c>
    </row>
    <row r="85" spans="1:20" x14ac:dyDescent="0.25">
      <c r="A85" s="5">
        <v>44508</v>
      </c>
      <c r="B85">
        <v>1.5521999999999999E-2</v>
      </c>
      <c r="C85">
        <v>1.6195000000000001E-2</v>
      </c>
      <c r="D85">
        <v>1.5129E-2</v>
      </c>
      <c r="E85">
        <v>1.5337E-2</v>
      </c>
      <c r="F85">
        <v>498703695</v>
      </c>
      <c r="G85">
        <v>1.5337E-2</v>
      </c>
      <c r="L85" t="s">
        <v>7</v>
      </c>
      <c r="M85" t="s">
        <v>7</v>
      </c>
      <c r="N85" t="s">
        <v>8</v>
      </c>
      <c r="P85">
        <f t="shared" ref="P85" si="400">IF(C85=D85,0,((E85-D85)-(C85-E85))/(C85-D85))</f>
        <v>-0.60975609756097626</v>
      </c>
      <c r="Q85">
        <f t="shared" ref="Q85" si="401">F85*P85</f>
        <v>-304087618.90243936</v>
      </c>
      <c r="R85">
        <f t="shared" ref="R85" si="402">R86+Q85</f>
        <v>-47838010562.591537</v>
      </c>
      <c r="S85">
        <f t="shared" ref="S85" si="403">R85/100000</f>
        <v>-478380.1056259154</v>
      </c>
      <c r="T85">
        <f t="shared" ref="T85" si="404">S85/1000</f>
        <v>-478.38010562591541</v>
      </c>
    </row>
    <row r="86" spans="1:20" x14ac:dyDescent="0.25">
      <c r="A86" s="5">
        <v>44507</v>
      </c>
      <c r="B86">
        <v>1.6955000000000001E-2</v>
      </c>
      <c r="C86">
        <v>1.7038999999999999E-2</v>
      </c>
      <c r="D86">
        <v>1.5387E-2</v>
      </c>
      <c r="E86">
        <v>1.5521999999999999E-2</v>
      </c>
      <c r="F86">
        <v>588569202</v>
      </c>
      <c r="G86">
        <v>1.5521999999999999E-2</v>
      </c>
      <c r="L86" t="s">
        <v>7</v>
      </c>
      <c r="M86" t="s">
        <v>7</v>
      </c>
      <c r="N86" t="s">
        <v>8</v>
      </c>
      <c r="P86">
        <f t="shared" ref="P86" si="405">IF(C86=D86,0,((E86-D86)-(C86-E86))/(C86-D86))</f>
        <v>-0.83656174334140465</v>
      </c>
      <c r="Q86">
        <f t="shared" ref="Q86" si="406">F86*P86</f>
        <v>-492374477.70217937</v>
      </c>
      <c r="R86">
        <f t="shared" ref="R86" si="407">R87+Q86</f>
        <v>-47533922943.689095</v>
      </c>
      <c r="S86">
        <f t="shared" ref="S86" si="408">R86/100000</f>
        <v>-475339.22943689092</v>
      </c>
      <c r="T86">
        <f t="shared" ref="T86" si="409">S86/1000</f>
        <v>-475.33922943689095</v>
      </c>
    </row>
    <row r="87" spans="1:20" x14ac:dyDescent="0.25">
      <c r="A87" s="5">
        <v>44506</v>
      </c>
      <c r="B87">
        <v>1.5041000000000001E-2</v>
      </c>
      <c r="C87">
        <v>1.8800000000000001E-2</v>
      </c>
      <c r="D87">
        <v>1.4885000000000001E-2</v>
      </c>
      <c r="E87">
        <v>1.694E-2</v>
      </c>
      <c r="F87">
        <v>1427035355</v>
      </c>
      <c r="G87">
        <v>1.694E-2</v>
      </c>
      <c r="L87" t="s">
        <v>8</v>
      </c>
      <c r="M87" t="s">
        <v>8</v>
      </c>
      <c r="N87" t="s">
        <v>8</v>
      </c>
      <c r="P87">
        <f t="shared" ref="P87" si="410">IF(C87=D87,0,((E87-D87)-(C87-E87))/(C87-D87))</f>
        <v>4.9808429118773687E-2</v>
      </c>
      <c r="Q87">
        <f t="shared" ref="Q87" si="411">F87*P87</f>
        <v>71078389.329501539</v>
      </c>
      <c r="R87">
        <f t="shared" ref="R87" si="412">R88+Q87</f>
        <v>-47041548465.986916</v>
      </c>
      <c r="S87">
        <f t="shared" ref="S87" si="413">R87/100000</f>
        <v>-470415.48465986917</v>
      </c>
      <c r="T87">
        <f t="shared" ref="T87" si="414">S87/1000</f>
        <v>-470.41548465986915</v>
      </c>
    </row>
    <row r="88" spans="1:20" x14ac:dyDescent="0.25">
      <c r="A88" s="5">
        <v>44505</v>
      </c>
      <c r="B88">
        <v>1.4853999999999999E-2</v>
      </c>
      <c r="C88">
        <v>1.5199000000000001E-2</v>
      </c>
      <c r="D88">
        <v>1.4749999999999999E-2</v>
      </c>
      <c r="E88">
        <v>1.5041000000000001E-2</v>
      </c>
      <c r="F88">
        <v>296129070</v>
      </c>
      <c r="G88">
        <v>1.5041000000000001E-2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0.29621380846325329</v>
      </c>
      <c r="Q88">
        <f t="shared" ref="Q88" si="416">F88*P88</f>
        <v>87717519.621381328</v>
      </c>
      <c r="R88">
        <f t="shared" ref="R88" si="417">R89+Q88</f>
        <v>-47112626855.316414</v>
      </c>
      <c r="S88">
        <f t="shared" ref="S88" si="418">R88/100000</f>
        <v>-471126.26855316415</v>
      </c>
      <c r="T88">
        <f t="shared" ref="T88" si="419">S88/1000</f>
        <v>-471.12626855316415</v>
      </c>
    </row>
    <row r="89" spans="1:20" x14ac:dyDescent="0.25">
      <c r="A89" s="5">
        <v>44504</v>
      </c>
      <c r="B89">
        <v>1.5018E-2</v>
      </c>
      <c r="C89">
        <v>1.5391E-2</v>
      </c>
      <c r="D89">
        <v>1.4657E-2</v>
      </c>
      <c r="E89">
        <v>1.4853999999999999E-2</v>
      </c>
      <c r="F89">
        <v>359322776</v>
      </c>
      <c r="G89">
        <v>1.4853999999999999E-2</v>
      </c>
      <c r="L89" t="s">
        <v>7</v>
      </c>
      <c r="M89" t="s">
        <v>7</v>
      </c>
      <c r="N89" t="s">
        <v>8</v>
      </c>
      <c r="P89">
        <f t="shared" ref="P89" si="420">IF(C89=D89,0,((E89-D89)-(C89-E89))/(C89-D89))</f>
        <v>-0.46321525885558806</v>
      </c>
      <c r="Q89">
        <f t="shared" ref="Q89" si="421">F89*P89</f>
        <v>-166443792.69754848</v>
      </c>
      <c r="R89">
        <f t="shared" ref="R89" si="422">R90+Q89</f>
        <v>-47200344374.937798</v>
      </c>
      <c r="S89">
        <f t="shared" ref="S89" si="423">R89/100000</f>
        <v>-472003.44374937797</v>
      </c>
      <c r="T89">
        <f t="shared" ref="T89" si="424">S89/1000</f>
        <v>-472.00344374937799</v>
      </c>
    </row>
    <row r="90" spans="1:20" x14ac:dyDescent="0.25">
      <c r="A90" s="5">
        <v>44503</v>
      </c>
      <c r="B90">
        <v>1.5737000000000001E-2</v>
      </c>
      <c r="C90">
        <v>1.5889E-2</v>
      </c>
      <c r="D90">
        <v>1.4851E-2</v>
      </c>
      <c r="E90">
        <v>1.5018E-2</v>
      </c>
      <c r="F90">
        <v>490937203</v>
      </c>
      <c r="G90">
        <v>1.5018E-2</v>
      </c>
      <c r="L90" t="s">
        <v>7</v>
      </c>
      <c r="M90" t="s">
        <v>7</v>
      </c>
      <c r="N90" t="s">
        <v>8</v>
      </c>
      <c r="P90">
        <f t="shared" ref="P90" si="425">IF(C90=D90,0,((E90-D90)-(C90-E90))/(C90-D90))</f>
        <v>-0.67822736030828445</v>
      </c>
      <c r="Q90">
        <f t="shared" ref="Q90" si="426">F90*P90</f>
        <v>-332967043.26782238</v>
      </c>
      <c r="R90">
        <f t="shared" ref="R90" si="427">R91+Q90</f>
        <v>-47033900582.24025</v>
      </c>
      <c r="S90">
        <f t="shared" ref="S90" si="428">R90/100000</f>
        <v>-470339.00582240248</v>
      </c>
      <c r="T90">
        <f t="shared" ref="T90" si="429">S90/1000</f>
        <v>-470.3390058224025</v>
      </c>
    </row>
    <row r="91" spans="1:20" x14ac:dyDescent="0.25">
      <c r="A91" s="5">
        <v>44502</v>
      </c>
      <c r="B91">
        <v>1.5283E-2</v>
      </c>
      <c r="C91">
        <v>1.6785000000000001E-2</v>
      </c>
      <c r="D91">
        <v>1.4925000000000001E-2</v>
      </c>
      <c r="E91">
        <v>1.5737000000000001E-2</v>
      </c>
      <c r="F91">
        <v>634022225</v>
      </c>
      <c r="G91">
        <v>1.5737000000000001E-2</v>
      </c>
      <c r="L91" t="s">
        <v>8</v>
      </c>
      <c r="M91" t="s">
        <v>7</v>
      </c>
      <c r="N91" t="s">
        <v>8</v>
      </c>
      <c r="P91">
        <f t="shared" ref="P91" si="430">IF(C91=D91,0,((E91-D91)-(C91-E91))/(C91-D91))</f>
        <v>-0.12688172043010754</v>
      </c>
      <c r="Q91">
        <f t="shared" ref="Q91" si="431">F91*P91</f>
        <v>-80445830.698924735</v>
      </c>
      <c r="R91">
        <f t="shared" ref="R91" si="432">R92+Q91</f>
        <v>-46700933538.972427</v>
      </c>
      <c r="S91">
        <f t="shared" ref="S91" si="433">R91/100000</f>
        <v>-467009.33538972429</v>
      </c>
      <c r="T91">
        <f t="shared" ref="T91" si="434">S91/1000</f>
        <v>-467.0093353897243</v>
      </c>
    </row>
    <row r="92" spans="1:20" x14ac:dyDescent="0.25">
      <c r="A92" s="5">
        <v>44501</v>
      </c>
      <c r="B92">
        <v>1.4978E-2</v>
      </c>
      <c r="C92">
        <v>1.5596E-2</v>
      </c>
      <c r="D92">
        <v>1.447E-2</v>
      </c>
      <c r="E92">
        <v>1.5268E-2</v>
      </c>
      <c r="F92">
        <v>399510351</v>
      </c>
      <c r="G92">
        <v>1.5268E-2</v>
      </c>
      <c r="L92" t="s">
        <v>8</v>
      </c>
      <c r="M92" t="s">
        <v>7</v>
      </c>
      <c r="N92" t="s">
        <v>8</v>
      </c>
      <c r="P92">
        <f t="shared" ref="P92" si="435">IF(C92=D92,0,((E92-D92)-(C92-E92))/(C92-D92))</f>
        <v>0.41740674955595009</v>
      </c>
      <c r="Q92">
        <f t="shared" ref="Q92" si="436">F92*P92</f>
        <v>166758317.0248667</v>
      </c>
      <c r="R92">
        <f t="shared" ref="R92" si="437">R93+Q92</f>
        <v>-46620487708.273506</v>
      </c>
      <c r="S92">
        <f t="shared" ref="S92" si="438">R92/100000</f>
        <v>-466204.87708273507</v>
      </c>
      <c r="T92">
        <f t="shared" ref="T92" si="439">S92/1000</f>
        <v>-466.20487708273509</v>
      </c>
    </row>
    <row r="93" spans="1:20" x14ac:dyDescent="0.25">
      <c r="A93" s="5">
        <v>44500</v>
      </c>
      <c r="B93">
        <v>1.5247E-2</v>
      </c>
      <c r="C93">
        <v>1.5775999999999998E-2</v>
      </c>
      <c r="D93">
        <v>1.4374E-2</v>
      </c>
      <c r="E93">
        <v>1.4978999999999999E-2</v>
      </c>
      <c r="F93">
        <v>594022065</v>
      </c>
      <c r="G93">
        <v>1.4978999999999999E-2</v>
      </c>
      <c r="L93" t="s">
        <v>7</v>
      </c>
      <c r="M93" t="s">
        <v>7</v>
      </c>
      <c r="N93" t="s">
        <v>8</v>
      </c>
      <c r="P93">
        <f t="shared" ref="P93" si="440">IF(C93=D93,0,((E93-D93)-(C93-E93))/(C93-D93))</f>
        <v>-0.13694721825962886</v>
      </c>
      <c r="Q93">
        <f t="shared" ref="Q93" si="441">F93*P93</f>
        <v>-81349669.386590436</v>
      </c>
      <c r="R93">
        <f t="shared" ref="R93" si="442">R94+Q93</f>
        <v>-46787246025.29837</v>
      </c>
      <c r="S93">
        <f t="shared" ref="S93" si="443">R93/100000</f>
        <v>-467872.46025298373</v>
      </c>
      <c r="T93">
        <f t="shared" ref="T93" si="444">S93/1000</f>
        <v>-467.87246025298373</v>
      </c>
    </row>
    <row r="94" spans="1:20" x14ac:dyDescent="0.25">
      <c r="A94" s="5">
        <v>44499</v>
      </c>
      <c r="B94">
        <v>1.6362999999999999E-2</v>
      </c>
      <c r="C94">
        <v>1.7111999999999999E-2</v>
      </c>
      <c r="D94">
        <v>1.5027E-2</v>
      </c>
      <c r="E94">
        <v>1.5247E-2</v>
      </c>
      <c r="F94">
        <v>967118187</v>
      </c>
      <c r="G94">
        <v>1.5247E-2</v>
      </c>
      <c r="L94" t="s">
        <v>7</v>
      </c>
      <c r="M94" t="s">
        <v>7</v>
      </c>
      <c r="N94" t="s">
        <v>8</v>
      </c>
      <c r="P94">
        <f t="shared" ref="P94" si="445">IF(C94=D94,0,((E94-D94)-(C94-E94))/(C94-D94))</f>
        <v>-0.78896882494004805</v>
      </c>
      <c r="Q94">
        <f t="shared" ref="Q94" si="446">F94*P94</f>
        <v>-763026099.57553971</v>
      </c>
      <c r="R94">
        <f t="shared" ref="R94" si="447">R95+Q94</f>
        <v>-46705896355.911781</v>
      </c>
      <c r="S94">
        <f t="shared" ref="S94" si="448">R94/100000</f>
        <v>-467058.96355911781</v>
      </c>
      <c r="T94">
        <f t="shared" ref="T94" si="449">S94/1000</f>
        <v>-467.05896355911779</v>
      </c>
    </row>
    <row r="95" spans="1:20" x14ac:dyDescent="0.25">
      <c r="A95" s="5">
        <v>44498</v>
      </c>
      <c r="B95">
        <v>1.4149999999999999E-2</v>
      </c>
      <c r="C95">
        <v>1.9640999999999999E-2</v>
      </c>
      <c r="D95">
        <v>1.4079E-2</v>
      </c>
      <c r="E95">
        <v>1.635E-2</v>
      </c>
      <c r="F95">
        <v>2330990575</v>
      </c>
      <c r="G95">
        <v>1.635E-2</v>
      </c>
      <c r="L95" t="s">
        <v>8</v>
      </c>
      <c r="M95" t="s">
        <v>8</v>
      </c>
      <c r="N95" t="s">
        <v>8</v>
      </c>
      <c r="P95">
        <f t="shared" ref="P95" si="450">IF(C95=D95,0,((E95-D95)-(C95-E95))/(C95-D95))</f>
        <v>-0.18338727076591127</v>
      </c>
      <c r="Q95">
        <f t="shared" ref="Q95" si="451">F95*P95</f>
        <v>-427473999.73031223</v>
      </c>
      <c r="R95">
        <f t="shared" ref="R95" si="452">R96+Q95</f>
        <v>-45942870256.336243</v>
      </c>
      <c r="S95">
        <f t="shared" ref="S95" si="453">R95/100000</f>
        <v>-459428.70256336243</v>
      </c>
      <c r="T95">
        <f t="shared" ref="T95" si="454">S95/1000</f>
        <v>-459.42870256336244</v>
      </c>
    </row>
    <row r="96" spans="1:20" x14ac:dyDescent="0.25">
      <c r="A96" s="5">
        <v>44497</v>
      </c>
      <c r="B96">
        <v>1.4290000000000001E-2</v>
      </c>
      <c r="C96">
        <v>1.4688E-2</v>
      </c>
      <c r="D96">
        <v>1.3583E-2</v>
      </c>
      <c r="E96">
        <v>1.417E-2</v>
      </c>
      <c r="F96">
        <v>573623996</v>
      </c>
      <c r="G96">
        <v>1.417E-2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6.2443438914028371E-2</v>
      </c>
      <c r="Q96">
        <f t="shared" ref="Q96" si="456">F96*P96</f>
        <v>35819054.953846857</v>
      </c>
      <c r="R96">
        <f t="shared" ref="R96" si="457">R97+Q96</f>
        <v>-45515396256.605934</v>
      </c>
      <c r="S96">
        <f t="shared" ref="S96" si="458">R96/100000</f>
        <v>-455153.96256605932</v>
      </c>
      <c r="T96">
        <f t="shared" ref="T96" si="459">S96/1000</f>
        <v>-455.15396256605931</v>
      </c>
    </row>
    <row r="97" spans="1:20" x14ac:dyDescent="0.25">
      <c r="A97" s="5">
        <v>44496</v>
      </c>
      <c r="B97">
        <v>1.6933E-2</v>
      </c>
      <c r="C97">
        <v>1.7077999999999999E-2</v>
      </c>
      <c r="D97">
        <v>1.4042000000000001E-2</v>
      </c>
      <c r="E97">
        <v>1.427E-2</v>
      </c>
      <c r="F97">
        <v>614776544</v>
      </c>
      <c r="G97">
        <v>1.427E-2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-0.84980237154150251</v>
      </c>
      <c r="Q97">
        <f t="shared" ref="Q97" si="461">F97*P97</f>
        <v>-522438565.05928886</v>
      </c>
      <c r="R97">
        <f t="shared" ref="R97" si="462">R98+Q97</f>
        <v>-45551215311.559784</v>
      </c>
      <c r="S97">
        <f t="shared" ref="S97" si="463">R97/100000</f>
        <v>-455512.15311559784</v>
      </c>
      <c r="T97">
        <f t="shared" ref="T97" si="464">S97/1000</f>
        <v>-455.51215311559787</v>
      </c>
    </row>
    <row r="98" spans="1:20" x14ac:dyDescent="0.25">
      <c r="A98" s="5">
        <v>44495</v>
      </c>
      <c r="B98">
        <v>1.7353E-2</v>
      </c>
      <c r="C98">
        <v>1.7698999999999999E-2</v>
      </c>
      <c r="D98">
        <v>1.6868000000000001E-2</v>
      </c>
      <c r="E98">
        <v>1.6933E-2</v>
      </c>
      <c r="F98">
        <v>449031237</v>
      </c>
      <c r="G98">
        <v>1.6933E-2</v>
      </c>
      <c r="L98" t="s">
        <v>7</v>
      </c>
      <c r="M98" t="s">
        <v>7</v>
      </c>
      <c r="N98" t="s">
        <v>7</v>
      </c>
      <c r="P98">
        <f t="shared" ref="P98" si="465">IF(C98=D98,0,((E98-D98)-(C98-E98))/(C98-D98))</f>
        <v>-0.84356197352587436</v>
      </c>
      <c r="Q98">
        <f t="shared" ref="Q98" si="466">F98*P98</f>
        <v>-378785676.45848459</v>
      </c>
      <c r="R98">
        <f t="shared" ref="R98" si="467">R99+Q98</f>
        <v>-45028776746.500496</v>
      </c>
      <c r="S98">
        <f t="shared" ref="S98" si="468">R98/100000</f>
        <v>-450287.76746500493</v>
      </c>
      <c r="T98">
        <f t="shared" ref="T98" si="469">S98/1000</f>
        <v>-450.28776746500495</v>
      </c>
    </row>
    <row r="99" spans="1:20" x14ac:dyDescent="0.25">
      <c r="A99" s="5">
        <v>44494</v>
      </c>
      <c r="B99">
        <v>1.7069999999999998E-2</v>
      </c>
      <c r="C99">
        <v>1.7881999999999999E-2</v>
      </c>
      <c r="D99">
        <v>1.6943E-2</v>
      </c>
      <c r="E99">
        <v>1.7346E-2</v>
      </c>
      <c r="F99">
        <v>368840861</v>
      </c>
      <c r="G99">
        <v>1.7346E-2</v>
      </c>
      <c r="L99" t="s">
        <v>7</v>
      </c>
      <c r="M99" t="s">
        <v>7</v>
      </c>
      <c r="N99" t="s">
        <v>7</v>
      </c>
      <c r="P99">
        <f t="shared" ref="P99" si="470">IF(C99=D99,0,((E99-D99)-(C99-E99))/(C99-D99))</f>
        <v>-0.14164004259850677</v>
      </c>
      <c r="Q99">
        <f t="shared" ref="Q99" si="471">F99*P99</f>
        <v>-52242635.26410991</v>
      </c>
      <c r="R99">
        <f t="shared" ref="R99" si="472">R100+Q99</f>
        <v>-44649991070.042015</v>
      </c>
      <c r="S99">
        <f t="shared" ref="S99" si="473">R99/100000</f>
        <v>-446499.91070042015</v>
      </c>
      <c r="T99">
        <f t="shared" ref="T99" si="474">S99/1000</f>
        <v>-446.49991070042017</v>
      </c>
    </row>
    <row r="100" spans="1:20" x14ac:dyDescent="0.25">
      <c r="A100" s="5">
        <v>44493</v>
      </c>
      <c r="B100">
        <v>1.7913999999999999E-2</v>
      </c>
      <c r="C100">
        <v>1.8030000000000001E-2</v>
      </c>
      <c r="D100">
        <v>1.6823000000000001E-2</v>
      </c>
      <c r="E100">
        <v>1.7041000000000001E-2</v>
      </c>
      <c r="F100">
        <v>386601716</v>
      </c>
      <c r="G100">
        <v>1.7041000000000001E-2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-0.63877381938691058</v>
      </c>
      <c r="Q100">
        <f t="shared" ref="Q100" si="476">F100*P100</f>
        <v>-246951054.7108537</v>
      </c>
      <c r="R100">
        <f t="shared" ref="R100" si="477">R101+Q100</f>
        <v>-44597748434.777908</v>
      </c>
      <c r="S100">
        <f t="shared" ref="S100" si="478">R100/100000</f>
        <v>-445977.48434777907</v>
      </c>
      <c r="T100">
        <f t="shared" ref="T100" si="479">S100/1000</f>
        <v>-445.97748434777907</v>
      </c>
    </row>
    <row r="101" spans="1:20" x14ac:dyDescent="0.25">
      <c r="A101" s="5">
        <v>44492</v>
      </c>
      <c r="B101">
        <v>1.8152999999999999E-2</v>
      </c>
      <c r="C101">
        <v>1.8297000000000001E-2</v>
      </c>
      <c r="D101">
        <v>1.7762E-2</v>
      </c>
      <c r="E101">
        <v>1.7913999999999999E-2</v>
      </c>
      <c r="F101">
        <v>293123577</v>
      </c>
      <c r="G101">
        <v>1.7913999999999999E-2</v>
      </c>
      <c r="L101" t="s">
        <v>7</v>
      </c>
      <c r="M101" t="s">
        <v>7</v>
      </c>
      <c r="N101" t="s">
        <v>7</v>
      </c>
      <c r="P101">
        <f t="shared" ref="P101" si="480">IF(C101=D101,0,((E101-D101)-(C101-E101))/(C101-D101))</f>
        <v>-0.43177570093458262</v>
      </c>
      <c r="Q101">
        <f t="shared" ref="Q101" si="481">F101*P101</f>
        <v>-126563637.9196271</v>
      </c>
      <c r="R101">
        <f t="shared" ref="R101" si="482">R102+Q101</f>
        <v>-44350797380.067055</v>
      </c>
      <c r="S101">
        <f t="shared" ref="S101" si="483">R101/100000</f>
        <v>-443507.97380067053</v>
      </c>
      <c r="T101">
        <f t="shared" ref="T101" si="484">S101/1000</f>
        <v>-443.50797380067053</v>
      </c>
    </row>
    <row r="102" spans="1:20" x14ac:dyDescent="0.25">
      <c r="A102" s="5">
        <v>44491</v>
      </c>
      <c r="B102">
        <v>1.8367000000000001E-2</v>
      </c>
      <c r="C102">
        <v>1.8804000000000001E-2</v>
      </c>
      <c r="D102">
        <v>1.7815000000000001E-2</v>
      </c>
      <c r="E102">
        <v>1.8154E-2</v>
      </c>
      <c r="F102">
        <v>376962979</v>
      </c>
      <c r="G102">
        <v>1.8154E-2</v>
      </c>
      <c r="L102" t="s">
        <v>7</v>
      </c>
      <c r="M102" t="s">
        <v>7</v>
      </c>
      <c r="N102" t="s">
        <v>7</v>
      </c>
      <c r="P102">
        <f t="shared" ref="P102" si="485">IF(C102=D102,0,((E102-D102)-(C102-E102))/(C102-D102))</f>
        <v>-0.31445904954499715</v>
      </c>
      <c r="Q102">
        <f t="shared" ref="Q102" si="486">F102*P102</f>
        <v>-118539420.08999072</v>
      </c>
      <c r="R102">
        <f t="shared" ref="R102" si="487">R103+Q102</f>
        <v>-44224233742.14743</v>
      </c>
      <c r="S102">
        <f t="shared" ref="S102" si="488">R102/100000</f>
        <v>-442242.33742147428</v>
      </c>
      <c r="T102">
        <f t="shared" ref="T102" si="489">S102/1000</f>
        <v>-442.2423374214743</v>
      </c>
    </row>
    <row r="103" spans="1:20" x14ac:dyDescent="0.25">
      <c r="A103" s="5">
        <v>44490</v>
      </c>
      <c r="B103">
        <v>1.9016999999999999E-2</v>
      </c>
      <c r="C103">
        <v>1.9894999999999999E-2</v>
      </c>
      <c r="D103">
        <v>1.8319999999999999E-2</v>
      </c>
      <c r="E103">
        <v>1.8391999999999999E-2</v>
      </c>
      <c r="F103">
        <v>748129467</v>
      </c>
      <c r="G103">
        <v>1.8391999999999999E-2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-0.9085714285714297</v>
      </c>
      <c r="Q103">
        <f t="shared" ref="Q103" si="491">F103*P103</f>
        <v>-679729058.58857226</v>
      </c>
      <c r="R103">
        <f t="shared" ref="R103" si="492">R104+Q103</f>
        <v>-44105694322.057442</v>
      </c>
      <c r="S103">
        <f t="shared" ref="S103" si="493">R103/100000</f>
        <v>-441056.94322057441</v>
      </c>
      <c r="T103">
        <f t="shared" ref="T103" si="494">S103/1000</f>
        <v>-441.0569432205744</v>
      </c>
    </row>
    <row r="104" spans="1:20" x14ac:dyDescent="0.25">
      <c r="A104" s="5">
        <v>44489</v>
      </c>
      <c r="B104">
        <v>1.8598E-2</v>
      </c>
      <c r="C104">
        <v>1.9349999999999999E-2</v>
      </c>
      <c r="D104">
        <v>1.8301000000000001E-2</v>
      </c>
      <c r="E104">
        <v>1.8998999999999999E-2</v>
      </c>
      <c r="F104">
        <v>583463689</v>
      </c>
      <c r="G104">
        <v>1.8998999999999999E-2</v>
      </c>
      <c r="L104" t="s">
        <v>7</v>
      </c>
      <c r="M104" t="s">
        <v>7</v>
      </c>
      <c r="N104" t="s">
        <v>8</v>
      </c>
      <c r="P104">
        <f t="shared" ref="P104" si="495">IF(C104=D104,0,((E104-D104)-(C104-E104))/(C104-D104))</f>
        <v>0.33079122974260944</v>
      </c>
      <c r="Q104">
        <f t="shared" ref="Q104" si="496">F104*P104</f>
        <v>193004671.19446942</v>
      </c>
      <c r="R104">
        <f t="shared" ref="R104" si="497">R105+Q104</f>
        <v>-43425965263.468872</v>
      </c>
      <c r="S104">
        <f t="shared" ref="S104" si="498">R104/100000</f>
        <v>-434259.65263468871</v>
      </c>
      <c r="T104">
        <f t="shared" ref="T104" si="499">S104/1000</f>
        <v>-434.25965263468873</v>
      </c>
    </row>
    <row r="105" spans="1:20" x14ac:dyDescent="0.25">
      <c r="A105" s="5">
        <v>44488</v>
      </c>
      <c r="B105">
        <v>1.8831000000000001E-2</v>
      </c>
      <c r="C105">
        <v>1.9429999999999999E-2</v>
      </c>
      <c r="D105">
        <v>1.8401000000000001E-2</v>
      </c>
      <c r="E105">
        <v>1.8598E-2</v>
      </c>
      <c r="F105">
        <v>404576362</v>
      </c>
      <c r="G105">
        <v>1.8598E-2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-0.61710398445092418</v>
      </c>
      <c r="Q105">
        <f t="shared" ref="Q105" si="501">F105*P105</f>
        <v>-249665685.00485948</v>
      </c>
      <c r="R105">
        <f t="shared" ref="R105" si="502">R106+Q105</f>
        <v>-43618969934.663338</v>
      </c>
      <c r="S105">
        <f t="shared" ref="S105" si="503">R105/100000</f>
        <v>-436189.6993466334</v>
      </c>
      <c r="T105">
        <f t="shared" ref="T105" si="504">S105/1000</f>
        <v>-436.1896993466334</v>
      </c>
    </row>
    <row r="106" spans="1:20" x14ac:dyDescent="0.25">
      <c r="A106" s="5">
        <v>44487</v>
      </c>
      <c r="B106">
        <v>1.9123999999999999E-2</v>
      </c>
      <c r="C106">
        <v>1.9685000000000001E-2</v>
      </c>
      <c r="D106">
        <v>1.8301000000000001E-2</v>
      </c>
      <c r="E106">
        <v>1.8832999999999999E-2</v>
      </c>
      <c r="F106">
        <v>707024605</v>
      </c>
      <c r="G106">
        <v>1.8832999999999999E-2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-0.23121387283237307</v>
      </c>
      <c r="Q106">
        <f t="shared" ref="Q106" si="506">F106*P106</f>
        <v>-163473897.1098288</v>
      </c>
      <c r="R106">
        <f t="shared" ref="R106" si="507">R107+Q106</f>
        <v>-43369304249.658478</v>
      </c>
      <c r="S106">
        <f t="shared" ref="S106" si="508">R106/100000</f>
        <v>-433693.04249658476</v>
      </c>
      <c r="T106">
        <f t="shared" ref="T106" si="509">S106/1000</f>
        <v>-433.69304249658478</v>
      </c>
    </row>
    <row r="107" spans="1:20" x14ac:dyDescent="0.25">
      <c r="A107" s="5">
        <v>44486</v>
      </c>
      <c r="B107">
        <v>1.9791E-2</v>
      </c>
      <c r="C107">
        <v>2.1498E-2</v>
      </c>
      <c r="D107">
        <v>1.8499999999999999E-2</v>
      </c>
      <c r="E107">
        <v>1.9126000000000001E-2</v>
      </c>
      <c r="F107">
        <v>812042917</v>
      </c>
      <c r="G107">
        <v>1.9126000000000001E-2</v>
      </c>
      <c r="L107" t="s">
        <v>8</v>
      </c>
      <c r="M107" t="s">
        <v>7</v>
      </c>
      <c r="N107" t="s">
        <v>8</v>
      </c>
      <c r="P107">
        <f t="shared" ref="P107" si="510">IF(C107=D107,0,((E107-D107)-(C107-E107))/(C107-D107))</f>
        <v>-0.58238825883922518</v>
      </c>
      <c r="Q107">
        <f t="shared" ref="Q107" si="511">F107*P107</f>
        <v>-472924260.53435546</v>
      </c>
      <c r="R107">
        <f t="shared" ref="R107" si="512">R108+Q107</f>
        <v>-43205830352.548653</v>
      </c>
      <c r="S107">
        <f t="shared" ref="S107" si="513">R107/100000</f>
        <v>-432058.30352548655</v>
      </c>
      <c r="T107">
        <f t="shared" ref="T107" si="514">S107/1000</f>
        <v>-432.05830352548656</v>
      </c>
    </row>
    <row r="108" spans="1:20" x14ac:dyDescent="0.25">
      <c r="A108" s="5">
        <v>44485</v>
      </c>
      <c r="B108">
        <v>1.958E-2</v>
      </c>
      <c r="C108">
        <v>2.1999999999999999E-2</v>
      </c>
      <c r="D108">
        <v>1.8443999999999999E-2</v>
      </c>
      <c r="E108">
        <v>1.9791E-2</v>
      </c>
      <c r="F108">
        <v>1705876216</v>
      </c>
      <c r="G108">
        <v>1.9791E-2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-0.24240719910011196</v>
      </c>
      <c r="Q108">
        <f t="shared" ref="Q108" si="516">F108*P108</f>
        <v>-413516675.53205758</v>
      </c>
      <c r="R108">
        <f t="shared" ref="R108" si="517">R109+Q108</f>
        <v>-42732906092.014297</v>
      </c>
      <c r="S108">
        <f t="shared" ref="S108" si="518">R108/100000</f>
        <v>-427329.06092014298</v>
      </c>
      <c r="T108">
        <f t="shared" ref="T108" si="519">S108/1000</f>
        <v>-427.32906092014298</v>
      </c>
    </row>
    <row r="109" spans="1:20" x14ac:dyDescent="0.25">
      <c r="A109" s="5">
        <v>44484</v>
      </c>
      <c r="B109">
        <v>1.7991E-2</v>
      </c>
      <c r="C109">
        <v>2.5427000000000002E-2</v>
      </c>
      <c r="D109">
        <v>1.7374000000000001E-2</v>
      </c>
      <c r="E109">
        <v>1.9557000000000001E-2</v>
      </c>
      <c r="F109">
        <v>6380291577</v>
      </c>
      <c r="G109">
        <v>1.9557000000000001E-2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-0.45784179808766906</v>
      </c>
      <c r="Q109">
        <f t="shared" ref="Q109" si="521">F109*P109</f>
        <v>-2921164167.9372897</v>
      </c>
      <c r="R109">
        <f t="shared" ref="R109" si="522">R110+Q109</f>
        <v>-42319389416.482239</v>
      </c>
      <c r="S109">
        <f t="shared" ref="S109" si="523">R109/100000</f>
        <v>-423193.89416482241</v>
      </c>
      <c r="T109">
        <f t="shared" ref="T109" si="524">S109/1000</f>
        <v>-423.19389416482244</v>
      </c>
    </row>
    <row r="110" spans="1:20" x14ac:dyDescent="0.25">
      <c r="A110" s="5">
        <v>44483</v>
      </c>
      <c r="B110">
        <v>1.7141E-2</v>
      </c>
      <c r="C110">
        <v>1.8713E-2</v>
      </c>
      <c r="D110">
        <v>1.7114000000000001E-2</v>
      </c>
      <c r="E110">
        <v>1.7944000000000002E-2</v>
      </c>
      <c r="F110">
        <v>726942459</v>
      </c>
      <c r="G110">
        <v>1.7944000000000002E-2</v>
      </c>
      <c r="L110" t="s">
        <v>7</v>
      </c>
      <c r="M110" t="s">
        <v>7</v>
      </c>
      <c r="N110" t="s">
        <v>7</v>
      </c>
      <c r="P110">
        <f t="shared" ref="P110" si="525">IF(C110=D110,0,((E110-D110)-(C110-E110))/(C110-D110))</f>
        <v>3.814884302689308E-2</v>
      </c>
      <c r="Q110">
        <f t="shared" ref="Q110" si="526">F110*P110</f>
        <v>27732013.757974658</v>
      </c>
      <c r="R110">
        <f t="shared" ref="R110" si="527">R111+Q110</f>
        <v>-39398225248.544952</v>
      </c>
      <c r="S110">
        <f t="shared" ref="S110" si="528">R110/100000</f>
        <v>-393982.25248544954</v>
      </c>
      <c r="T110">
        <f t="shared" ref="T110" si="529">S110/1000</f>
        <v>-393.98225248544952</v>
      </c>
    </row>
    <row r="111" spans="1:20" x14ac:dyDescent="0.25">
      <c r="A111" s="5">
        <v>44482</v>
      </c>
      <c r="B111">
        <v>1.8092E-2</v>
      </c>
      <c r="C111">
        <v>1.8717000000000001E-2</v>
      </c>
      <c r="D111">
        <v>1.6826000000000001E-2</v>
      </c>
      <c r="E111">
        <v>1.7144E-2</v>
      </c>
      <c r="F111">
        <v>627654067</v>
      </c>
      <c r="G111">
        <v>1.7144E-2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-0.66367001586462315</v>
      </c>
      <c r="Q111">
        <f t="shared" ref="Q111" si="531">F111*P111</f>
        <v>-416555184.60338527</v>
      </c>
      <c r="R111">
        <f t="shared" ref="R111" si="532">R112+Q111</f>
        <v>-39425957262.302925</v>
      </c>
      <c r="S111">
        <f t="shared" ref="S111" si="533">R111/100000</f>
        <v>-394259.57262302923</v>
      </c>
      <c r="T111">
        <f t="shared" ref="T111" si="534">S111/1000</f>
        <v>-394.25957262302921</v>
      </c>
    </row>
    <row r="112" spans="1:20" x14ac:dyDescent="0.25">
      <c r="A112" s="5">
        <v>44481</v>
      </c>
      <c r="B112">
        <v>1.8499000000000002E-2</v>
      </c>
      <c r="C112">
        <v>1.9550999999999999E-2</v>
      </c>
      <c r="D112">
        <v>1.668E-2</v>
      </c>
      <c r="E112">
        <v>1.8162999999999999E-2</v>
      </c>
      <c r="F112">
        <v>783816371</v>
      </c>
      <c r="G112">
        <v>1.8162999999999999E-2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3.3089515848135811E-2</v>
      </c>
      <c r="Q112">
        <f t="shared" ref="Q112" si="536">F112*P112</f>
        <v>25936104.230232798</v>
      </c>
      <c r="R112">
        <f t="shared" ref="R112" si="537">R113+Q112</f>
        <v>-39009402077.699539</v>
      </c>
      <c r="S112">
        <f t="shared" ref="S112" si="538">R112/100000</f>
        <v>-390094.0207769954</v>
      </c>
      <c r="T112">
        <f t="shared" ref="T112" si="539">S112/1000</f>
        <v>-390.09402077699542</v>
      </c>
    </row>
    <row r="113" spans="1:20" x14ac:dyDescent="0.25">
      <c r="A113" s="5">
        <v>44480</v>
      </c>
      <c r="B113">
        <v>1.9248000000000001E-2</v>
      </c>
      <c r="C113">
        <v>2.163E-2</v>
      </c>
      <c r="D113">
        <v>1.8199E-2</v>
      </c>
      <c r="E113">
        <v>1.8499000000000002E-2</v>
      </c>
      <c r="F113">
        <v>1174940986</v>
      </c>
      <c r="G113">
        <v>1.8499000000000002E-2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-0.82512387059166326</v>
      </c>
      <c r="Q113">
        <f t="shared" ref="Q113" si="541">F113*P113</f>
        <v>-969471854.08510518</v>
      </c>
      <c r="R113">
        <f t="shared" ref="R113" si="542">R114+Q113</f>
        <v>-39035338181.929771</v>
      </c>
      <c r="S113">
        <f t="shared" ref="S113" si="543">R113/100000</f>
        <v>-390353.38181929773</v>
      </c>
      <c r="T113">
        <f t="shared" ref="T113" si="544">S113/1000</f>
        <v>-390.35338181929774</v>
      </c>
    </row>
    <row r="114" spans="1:20" x14ac:dyDescent="0.25">
      <c r="A114" s="5">
        <v>44479</v>
      </c>
      <c r="B114">
        <v>1.9295E-2</v>
      </c>
      <c r="C114">
        <v>2.095E-2</v>
      </c>
      <c r="D114">
        <v>1.8550000000000001E-2</v>
      </c>
      <c r="E114">
        <v>1.9244000000000001E-2</v>
      </c>
      <c r="F114">
        <v>1092007612</v>
      </c>
      <c r="G114">
        <v>1.9244000000000001E-2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-0.42166666666666636</v>
      </c>
      <c r="Q114">
        <f t="shared" ref="Q114" si="546">F114*P114</f>
        <v>-460463209.72666633</v>
      </c>
      <c r="R114">
        <f t="shared" ref="R114" si="547">R115+Q114</f>
        <v>-38065866327.844666</v>
      </c>
      <c r="S114">
        <f t="shared" ref="S114" si="548">R114/100000</f>
        <v>-380658.66327844665</v>
      </c>
      <c r="T114">
        <f t="shared" ref="T114" si="549">S114/1000</f>
        <v>-380.65866327844662</v>
      </c>
    </row>
    <row r="115" spans="1:20" x14ac:dyDescent="0.25">
      <c r="A115" s="5">
        <v>44478</v>
      </c>
      <c r="B115">
        <v>2.0490999999999999E-2</v>
      </c>
      <c r="C115">
        <v>2.1441000000000002E-2</v>
      </c>
      <c r="D115">
        <v>1.8720000000000001E-2</v>
      </c>
      <c r="E115">
        <v>1.9296000000000001E-2</v>
      </c>
      <c r="F115">
        <v>1423622554</v>
      </c>
      <c r="G115">
        <v>1.9296000000000001E-2</v>
      </c>
      <c r="L115" t="s">
        <v>7</v>
      </c>
      <c r="M115" t="s">
        <v>7</v>
      </c>
      <c r="N115" t="s">
        <v>7</v>
      </c>
      <c r="P115">
        <f t="shared" ref="P115" si="550">IF(C115=D115,0,((E115-D115)-(C115-E115))/(C115-D115))</f>
        <v>-0.57662624035281151</v>
      </c>
      <c r="Q115">
        <f t="shared" ref="Q115" si="551">F115*P115</f>
        <v>-820898120.9944874</v>
      </c>
      <c r="R115">
        <f t="shared" ref="R115" si="552">R116+Q115</f>
        <v>-37605403118.117996</v>
      </c>
      <c r="S115">
        <f t="shared" ref="S115" si="553">R115/100000</f>
        <v>-376054.03118117998</v>
      </c>
      <c r="T115">
        <f t="shared" ref="T115" si="554">S115/1000</f>
        <v>-376.05403118117999</v>
      </c>
    </row>
    <row r="116" spans="1:20" x14ac:dyDescent="0.25">
      <c r="A116" s="5">
        <v>44477</v>
      </c>
      <c r="B116">
        <v>1.8356999999999998E-2</v>
      </c>
      <c r="C116">
        <v>2.6800000000000001E-2</v>
      </c>
      <c r="D116">
        <v>1.8043E-2</v>
      </c>
      <c r="E116">
        <v>2.0497000000000001E-2</v>
      </c>
      <c r="F116">
        <v>7399093967</v>
      </c>
      <c r="G116">
        <v>2.0497000000000001E-2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-0.43953408701610114</v>
      </c>
      <c r="Q116">
        <f t="shared" ref="Q116" si="556">F116*P116</f>
        <v>-3252154011.5316868</v>
      </c>
      <c r="R116">
        <f t="shared" ref="R116" si="557">R117+Q116</f>
        <v>-36784504997.123512</v>
      </c>
      <c r="S116">
        <f t="shared" ref="S116" si="558">R116/100000</f>
        <v>-367845.0499712351</v>
      </c>
      <c r="T116">
        <f t="shared" ref="T116" si="559">S116/1000</f>
        <v>-367.84504997123508</v>
      </c>
    </row>
    <row r="117" spans="1:20" x14ac:dyDescent="0.25">
      <c r="A117" s="5">
        <v>44476</v>
      </c>
      <c r="B117">
        <v>1.52E-2</v>
      </c>
      <c r="C117">
        <v>2.0500000000000001E-2</v>
      </c>
      <c r="D117">
        <v>1.4482E-2</v>
      </c>
      <c r="E117">
        <v>1.8377999999999999E-2</v>
      </c>
      <c r="F117">
        <v>5287018746</v>
      </c>
      <c r="G117">
        <v>1.8377999999999999E-2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0.29478231970754332</v>
      </c>
      <c r="Q117">
        <f t="shared" ref="Q117" si="561">F117*P117</f>
        <v>1558519650.2831469</v>
      </c>
      <c r="R117">
        <f t="shared" ref="R117" si="562">R118+Q117</f>
        <v>-33532350985.591824</v>
      </c>
      <c r="S117">
        <f t="shared" ref="S117" si="563">R117/100000</f>
        <v>-335323.50985591824</v>
      </c>
      <c r="T117">
        <f t="shared" ref="T117" si="564">S117/1000</f>
        <v>-335.32350985591825</v>
      </c>
    </row>
    <row r="118" spans="1:20" x14ac:dyDescent="0.25">
      <c r="A118" s="5">
        <v>44475</v>
      </c>
      <c r="B118">
        <v>1.3969000000000001E-2</v>
      </c>
      <c r="C118">
        <v>1.9460000000000002E-2</v>
      </c>
      <c r="D118">
        <v>1.2500000000000001E-2</v>
      </c>
      <c r="E118">
        <v>1.5204000000000001E-2</v>
      </c>
      <c r="F118">
        <v>4395500070</v>
      </c>
      <c r="G118">
        <v>1.5204000000000001E-2</v>
      </c>
      <c r="L118" t="s">
        <v>7</v>
      </c>
      <c r="M118" t="s">
        <v>7</v>
      </c>
      <c r="N118" t="s">
        <v>8</v>
      </c>
      <c r="P118">
        <f t="shared" ref="P118" si="565">IF(C118=D118,0,((E118-D118)-(C118-E118))/(C118-D118))</f>
        <v>-0.22298850574712659</v>
      </c>
      <c r="Q118">
        <f t="shared" ref="Q118" si="566">F118*P118</f>
        <v>-980145992.62069035</v>
      </c>
      <c r="R118">
        <f t="shared" ref="R118" si="567">R119+Q118</f>
        <v>-35090870635.874969</v>
      </c>
      <c r="S118">
        <f t="shared" ref="S118" si="568">R118/100000</f>
        <v>-350908.70635874971</v>
      </c>
      <c r="T118">
        <f t="shared" ref="T118" si="569">S118/1000</f>
        <v>-350.90870635874973</v>
      </c>
    </row>
    <row r="119" spans="1:20" x14ac:dyDescent="0.25">
      <c r="A119" s="5">
        <v>44474</v>
      </c>
      <c r="B119">
        <v>1.4416E-2</v>
      </c>
      <c r="C119">
        <v>1.494E-2</v>
      </c>
      <c r="D119">
        <v>1.3332999999999999E-2</v>
      </c>
      <c r="E119">
        <v>1.3951E-2</v>
      </c>
      <c r="F119">
        <v>1169809798</v>
      </c>
      <c r="G119">
        <v>1.3951E-2</v>
      </c>
      <c r="L119" t="s">
        <v>7</v>
      </c>
      <c r="M119" t="s">
        <v>7</v>
      </c>
      <c r="N119" t="s">
        <v>8</v>
      </c>
      <c r="P119">
        <f t="shared" ref="P119" si="570">IF(C119=D119,0,((E119-D119)-(C119-E119))/(C119-D119))</f>
        <v>-0.23086496577473531</v>
      </c>
      <c r="Q119">
        <f t="shared" ref="Q119" si="571">F119*P119</f>
        <v>-270068098.97822005</v>
      </c>
      <c r="R119">
        <f t="shared" ref="R119" si="572">R120+Q119</f>
        <v>-34110724643.25428</v>
      </c>
      <c r="S119">
        <f t="shared" ref="S119" si="573">R119/100000</f>
        <v>-341107.2464325428</v>
      </c>
      <c r="T119">
        <f t="shared" ref="T119" si="574">S119/1000</f>
        <v>-341.10724643254281</v>
      </c>
    </row>
    <row r="120" spans="1:20" x14ac:dyDescent="0.25">
      <c r="A120" s="5">
        <v>44473</v>
      </c>
      <c r="B120">
        <v>1.5796000000000001E-2</v>
      </c>
      <c r="C120">
        <v>1.5914999999999999E-2</v>
      </c>
      <c r="D120">
        <v>1.3965999999999999E-2</v>
      </c>
      <c r="E120">
        <v>1.4211E-2</v>
      </c>
      <c r="F120">
        <v>1789912056</v>
      </c>
      <c r="G120">
        <v>1.4211E-2</v>
      </c>
      <c r="L120" t="s">
        <v>7</v>
      </c>
      <c r="M120" t="s">
        <v>7</v>
      </c>
      <c r="N120" t="s">
        <v>8</v>
      </c>
      <c r="P120">
        <f t="shared" ref="P120" si="575">IF(C120=D120,0,((E120-D120)-(C120-E120))/(C120-D120))</f>
        <v>-0.74858902001026117</v>
      </c>
      <c r="Q120">
        <f t="shared" ref="Q120" si="576">F120*P120</f>
        <v>-1339908511.9055917</v>
      </c>
      <c r="R120">
        <f t="shared" ref="R120" si="577">R121+Q120</f>
        <v>-33840656544.276058</v>
      </c>
      <c r="S120">
        <f t="shared" ref="S120" si="578">R120/100000</f>
        <v>-338406.56544276059</v>
      </c>
      <c r="T120">
        <f t="shared" ref="T120" si="579">S120/1000</f>
        <v>-338.40656544276061</v>
      </c>
    </row>
    <row r="121" spans="1:20" x14ac:dyDescent="0.25">
      <c r="A121" s="5">
        <v>44472</v>
      </c>
      <c r="B121">
        <v>1.2699E-2</v>
      </c>
      <c r="C121">
        <v>1.7666000000000001E-2</v>
      </c>
      <c r="D121">
        <v>1.2462000000000001E-2</v>
      </c>
      <c r="E121">
        <v>1.5769999999999999E-2</v>
      </c>
      <c r="F121">
        <v>4306073684</v>
      </c>
      <c r="G121">
        <v>1.5769999999999999E-2</v>
      </c>
      <c r="L121" t="s">
        <v>8</v>
      </c>
      <c r="M121" t="s">
        <v>8</v>
      </c>
      <c r="N121" t="s">
        <v>8</v>
      </c>
      <c r="P121">
        <f t="shared" ref="P121" si="580">IF(C121=D121,0,((E121-D121)-(C121-E121))/(C121-D121))</f>
        <v>0.27132974634896168</v>
      </c>
      <c r="Q121">
        <f t="shared" ref="Q121" si="581">F121*P121</f>
        <v>1168365880.4396589</v>
      </c>
      <c r="R121">
        <f t="shared" ref="R121" si="582">R122+Q121</f>
        <v>-32500748032.370468</v>
      </c>
      <c r="S121">
        <f t="shared" ref="S121" si="583">R121/100000</f>
        <v>-325007.48032370466</v>
      </c>
      <c r="T121">
        <f t="shared" ref="T121" si="584">S121/1000</f>
        <v>-325.00748032370467</v>
      </c>
    </row>
    <row r="122" spans="1:20" x14ac:dyDescent="0.25">
      <c r="A122" s="5">
        <v>44471</v>
      </c>
      <c r="B122">
        <v>1.2345999999999999E-2</v>
      </c>
      <c r="C122">
        <v>1.3932E-2</v>
      </c>
      <c r="D122">
        <v>1.2019E-2</v>
      </c>
      <c r="E122">
        <v>1.2695E-2</v>
      </c>
      <c r="F122">
        <v>999384788</v>
      </c>
      <c r="G122">
        <v>1.2695E-2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-0.29325666492420321</v>
      </c>
      <c r="Q122">
        <f t="shared" ref="Q122" si="586">F122*P122</f>
        <v>-293076249.90486187</v>
      </c>
      <c r="R122">
        <f t="shared" ref="R122" si="587">R123+Q122</f>
        <v>-33669113912.810127</v>
      </c>
      <c r="S122">
        <f t="shared" ref="S122" si="588">R122/100000</f>
        <v>-336691.13912810129</v>
      </c>
      <c r="T122">
        <f t="shared" ref="T122" si="589">S122/1000</f>
        <v>-336.69113912810127</v>
      </c>
    </row>
    <row r="123" spans="1:20" x14ac:dyDescent="0.25">
      <c r="A123" s="5">
        <v>44470</v>
      </c>
      <c r="B123">
        <v>1.1958E-2</v>
      </c>
      <c r="C123">
        <v>1.2999999999999999E-2</v>
      </c>
      <c r="D123">
        <v>1.1671000000000001E-2</v>
      </c>
      <c r="E123">
        <v>1.2348E-2</v>
      </c>
      <c r="F123">
        <v>884627332</v>
      </c>
      <c r="G123">
        <v>1.2348E-2</v>
      </c>
      <c r="L123" t="s">
        <v>7</v>
      </c>
      <c r="M123" t="s">
        <v>7</v>
      </c>
      <c r="N123" t="s">
        <v>8</v>
      </c>
      <c r="P123">
        <f t="shared" ref="P123" si="590">IF(C123=D123,0,((E123-D123)-(C123-E123))/(C123-D123))</f>
        <v>1.881113619262529E-2</v>
      </c>
      <c r="Q123">
        <f t="shared" ref="Q123" si="591">F123*P123</f>
        <v>16640845.221970748</v>
      </c>
      <c r="R123">
        <f t="shared" ref="R123" si="592">R124+Q123</f>
        <v>-33376037662.905266</v>
      </c>
      <c r="S123">
        <f t="shared" ref="S123" si="593">R123/100000</f>
        <v>-333760.37662905268</v>
      </c>
      <c r="T123">
        <f t="shared" ref="T123" si="594">S123/1000</f>
        <v>-333.7603766290527</v>
      </c>
    </row>
    <row r="124" spans="1:20" x14ac:dyDescent="0.25">
      <c r="A124" s="5">
        <v>44469</v>
      </c>
      <c r="B124">
        <v>1.187E-2</v>
      </c>
      <c r="C124">
        <v>1.2985999999999999E-2</v>
      </c>
      <c r="D124">
        <v>1.1665999999999999E-2</v>
      </c>
      <c r="E124">
        <v>1.1945000000000001E-2</v>
      </c>
      <c r="F124">
        <v>764371546</v>
      </c>
      <c r="G124">
        <v>1.1945000000000001E-2</v>
      </c>
      <c r="L124" t="s">
        <v>8</v>
      </c>
      <c r="M124" t="s">
        <v>7</v>
      </c>
      <c r="N124" t="s">
        <v>8</v>
      </c>
      <c r="P124">
        <f t="shared" ref="P124" si="595">IF(C124=D124,0,((E124-D124)-(C124-E124))/(C124-D124))</f>
        <v>-0.57727272727272505</v>
      </c>
      <c r="Q124">
        <f t="shared" ref="Q124" si="596">F124*P124</f>
        <v>-441250847.00908923</v>
      </c>
      <c r="R124">
        <f t="shared" ref="R124" si="597">R125+Q124</f>
        <v>-33392678508.127235</v>
      </c>
      <c r="S124">
        <f t="shared" ref="S124" si="598">R124/100000</f>
        <v>-333926.78508127236</v>
      </c>
      <c r="T124">
        <f t="shared" ref="T124" si="599">S124/1000</f>
        <v>-333.92678508127239</v>
      </c>
    </row>
    <row r="125" spans="1:20" x14ac:dyDescent="0.25">
      <c r="A125" s="5">
        <v>44468</v>
      </c>
      <c r="B125">
        <v>1.2687E-2</v>
      </c>
      <c r="C125">
        <v>1.3568999999999999E-2</v>
      </c>
      <c r="D125">
        <v>1.1693E-2</v>
      </c>
      <c r="E125">
        <v>1.1875999999999999E-2</v>
      </c>
      <c r="F125">
        <v>1134082149</v>
      </c>
      <c r="G125">
        <v>1.1875999999999999E-2</v>
      </c>
      <c r="L125" t="s">
        <v>7</v>
      </c>
      <c r="M125" t="s">
        <v>7</v>
      </c>
      <c r="N125" t="s">
        <v>8</v>
      </c>
      <c r="P125">
        <f t="shared" ref="P125" si="600">IF(C125=D125,0,((E125-D125)-(C125-E125))/(C125-D125))</f>
        <v>-0.80490405117270869</v>
      </c>
      <c r="Q125">
        <f t="shared" ref="Q125" si="601">F125*P125</f>
        <v>-912827316.09275138</v>
      </c>
      <c r="R125">
        <f t="shared" ref="R125" si="602">R126+Q125</f>
        <v>-32951427661.118145</v>
      </c>
      <c r="S125">
        <f t="shared" ref="S125" si="603">R125/100000</f>
        <v>-329514.27661118144</v>
      </c>
      <c r="T125">
        <f t="shared" ref="T125" si="604">S125/1000</f>
        <v>-329.51427661118146</v>
      </c>
    </row>
    <row r="126" spans="1:20" x14ac:dyDescent="0.25">
      <c r="A126" s="5">
        <v>44467</v>
      </c>
      <c r="B126">
        <v>1.2123E-2</v>
      </c>
      <c r="C126">
        <v>1.5299999999999999E-2</v>
      </c>
      <c r="D126">
        <v>1.2088E-2</v>
      </c>
      <c r="E126">
        <v>1.2711E-2</v>
      </c>
      <c r="F126">
        <v>2941685951</v>
      </c>
      <c r="G126">
        <v>1.2711E-2</v>
      </c>
      <c r="L126" t="s">
        <v>7</v>
      </c>
      <c r="M126" t="s">
        <v>7</v>
      </c>
      <c r="N126" t="s">
        <v>8</v>
      </c>
      <c r="P126">
        <f t="shared" ref="P126" si="605">IF(C126=D126,0,((E126-D126)-(C126-E126))/(C126-D126))</f>
        <v>-0.61207970112079679</v>
      </c>
      <c r="Q126">
        <f t="shared" ref="Q126" si="606">F126*P126</f>
        <v>-1800546257.6793268</v>
      </c>
      <c r="R126">
        <f t="shared" ref="R126" si="607">R127+Q126</f>
        <v>-32038600345.025394</v>
      </c>
      <c r="S126">
        <f t="shared" ref="S126" si="608">R126/100000</f>
        <v>-320386.00345025392</v>
      </c>
      <c r="T126">
        <f t="shared" ref="T126" si="609">S126/1000</f>
        <v>-320.3860034502539</v>
      </c>
    </row>
    <row r="127" spans="1:20" x14ac:dyDescent="0.25">
      <c r="A127" s="5">
        <v>44466</v>
      </c>
      <c r="B127">
        <v>1.1193E-2</v>
      </c>
      <c r="C127">
        <v>1.5389E-2</v>
      </c>
      <c r="D127">
        <v>1.1193E-2</v>
      </c>
      <c r="E127">
        <v>1.2158E-2</v>
      </c>
      <c r="F127">
        <v>6301926764</v>
      </c>
      <c r="G127">
        <v>1.2158E-2</v>
      </c>
      <c r="L127" t="s">
        <v>8</v>
      </c>
      <c r="M127" t="s">
        <v>8</v>
      </c>
      <c r="N127" t="s">
        <v>8</v>
      </c>
      <c r="P127">
        <f t="shared" ref="P127" si="610">IF(C127=D127,0,((E127-D127)-(C127-E127))/(C127-D127))</f>
        <v>-0.5400381315538606</v>
      </c>
      <c r="Q127">
        <f t="shared" ref="Q127" si="611">F127*P127</f>
        <v>-3403280754.8198271</v>
      </c>
      <c r="R127">
        <f t="shared" ref="R127" si="612">R128+Q127</f>
        <v>-30238054087.346069</v>
      </c>
      <c r="S127">
        <f t="shared" ref="S127" si="613">R127/100000</f>
        <v>-302380.5408734607</v>
      </c>
      <c r="T127">
        <f t="shared" ref="T127" si="614">S127/1000</f>
        <v>-302.38054087346069</v>
      </c>
    </row>
    <row r="128" spans="1:20" x14ac:dyDescent="0.25">
      <c r="A128" s="5">
        <v>44465</v>
      </c>
      <c r="B128">
        <v>9.4850000000000004E-3</v>
      </c>
      <c r="C128">
        <v>1.5299999999999999E-2</v>
      </c>
      <c r="D128">
        <v>8.0870000000000004E-3</v>
      </c>
      <c r="E128">
        <v>1.1198E-2</v>
      </c>
      <c r="F128">
        <v>4352184106</v>
      </c>
      <c r="G128">
        <v>1.1198E-2</v>
      </c>
      <c r="L128" t="s">
        <v>8</v>
      </c>
      <c r="M128" t="s">
        <v>7</v>
      </c>
      <c r="N128" t="s">
        <v>7</v>
      </c>
      <c r="P128">
        <f t="shared" ref="P128" si="615">IF(C128=D128,0,((E128-D128)-(C128-E128))/(C128-D128))</f>
        <v>-0.13739082212671574</v>
      </c>
      <c r="Q128">
        <f t="shared" ref="Q128" si="616">F128*P128</f>
        <v>-597950152.37016535</v>
      </c>
      <c r="R128">
        <f t="shared" ref="R128" si="617">R129+Q128</f>
        <v>-26834773332.526241</v>
      </c>
      <c r="S128">
        <f t="shared" ref="S128" si="618">R128/100000</f>
        <v>-268347.73332526244</v>
      </c>
      <c r="T128">
        <f t="shared" ref="T128" si="619">S128/1000</f>
        <v>-268.34773332526242</v>
      </c>
    </row>
    <row r="129" spans="1:20" x14ac:dyDescent="0.25">
      <c r="A129" s="5">
        <v>44464</v>
      </c>
      <c r="B129">
        <v>1.0151E-2</v>
      </c>
      <c r="C129">
        <v>1.0267999999999999E-2</v>
      </c>
      <c r="D129">
        <v>9.1750000000000009E-3</v>
      </c>
      <c r="E129">
        <v>9.4669999999999997E-3</v>
      </c>
      <c r="F129">
        <v>607735150</v>
      </c>
      <c r="G129">
        <v>9.4669999999999997E-3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-0.46569075937786047</v>
      </c>
      <c r="Q129">
        <f t="shared" ref="Q129" si="621">F129*P129</f>
        <v>-283016643.50411797</v>
      </c>
      <c r="R129">
        <f t="shared" ref="R129" si="622">R130+Q129</f>
        <v>-26236823180.156075</v>
      </c>
      <c r="S129">
        <f t="shared" ref="S129" si="623">R129/100000</f>
        <v>-262368.23180156073</v>
      </c>
      <c r="T129">
        <f t="shared" ref="T129" si="624">S129/1000</f>
        <v>-262.36823180156074</v>
      </c>
    </row>
    <row r="130" spans="1:20" x14ac:dyDescent="0.25">
      <c r="A130" s="5">
        <v>44463</v>
      </c>
      <c r="B130">
        <v>1.1469999999999999E-2</v>
      </c>
      <c r="C130">
        <v>1.1571E-2</v>
      </c>
      <c r="D130">
        <v>9.2999999999999992E-3</v>
      </c>
      <c r="E130">
        <v>1.0153000000000001E-2</v>
      </c>
      <c r="F130">
        <v>1284597121</v>
      </c>
      <c r="G130">
        <v>1.0153000000000001E-2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-0.2487890797005714</v>
      </c>
      <c r="Q130">
        <f t="shared" ref="Q130" si="626">F130*P130</f>
        <v>-319593735.51959354</v>
      </c>
      <c r="R130">
        <f t="shared" ref="R130" si="627">R131+Q130</f>
        <v>-25953806536.651955</v>
      </c>
      <c r="S130">
        <f t="shared" ref="S130" si="628">R130/100000</f>
        <v>-259538.06536651956</v>
      </c>
      <c r="T130">
        <f t="shared" ref="T130" si="629">S130/1000</f>
        <v>-259.53806536651956</v>
      </c>
    </row>
    <row r="131" spans="1:20" x14ac:dyDescent="0.25">
      <c r="A131" s="5">
        <v>44462</v>
      </c>
      <c r="B131">
        <v>1.1547999999999999E-2</v>
      </c>
      <c r="C131">
        <v>1.2467000000000001E-2</v>
      </c>
      <c r="D131">
        <v>1.1110999999999999E-2</v>
      </c>
      <c r="E131">
        <v>1.1469999999999999E-2</v>
      </c>
      <c r="F131">
        <v>1355316211</v>
      </c>
      <c r="G131">
        <v>1.1469999999999999E-2</v>
      </c>
      <c r="L131" t="s">
        <v>7</v>
      </c>
      <c r="M131" t="s">
        <v>8</v>
      </c>
      <c r="N131" t="s">
        <v>7</v>
      </c>
      <c r="P131">
        <f t="shared" ref="P131" si="630">IF(C131=D131,0,((E131-D131)-(C131-E131))/(C131-D131))</f>
        <v>-0.47050147492625427</v>
      </c>
      <c r="Q131">
        <f t="shared" ref="Q131" si="631">F131*P131</f>
        <v>-637678276.26696241</v>
      </c>
      <c r="R131">
        <f t="shared" ref="R131" si="632">R132+Q131</f>
        <v>-25634212801.132362</v>
      </c>
      <c r="S131">
        <f t="shared" ref="S131" si="633">R131/100000</f>
        <v>-256342.12801132363</v>
      </c>
      <c r="T131">
        <f t="shared" ref="T131" si="634">S131/1000</f>
        <v>-256.34212801132361</v>
      </c>
    </row>
    <row r="132" spans="1:20" x14ac:dyDescent="0.25">
      <c r="A132" s="5">
        <v>44461</v>
      </c>
      <c r="B132">
        <v>1.1233999999999999E-2</v>
      </c>
      <c r="C132">
        <v>1.2359E-2</v>
      </c>
      <c r="D132">
        <v>1.0741000000000001E-2</v>
      </c>
      <c r="E132">
        <v>1.154E-2</v>
      </c>
      <c r="F132">
        <v>1947938044</v>
      </c>
      <c r="G132">
        <v>1.154E-2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-1.2360939431397357E-2</v>
      </c>
      <c r="Q132">
        <f t="shared" ref="Q132" si="636">F132*P132</f>
        <v>-24078344.17799864</v>
      </c>
      <c r="R132">
        <f t="shared" ref="R132" si="637">R133+Q132</f>
        <v>-24996534524.865398</v>
      </c>
      <c r="S132">
        <f t="shared" ref="S132" si="638">R132/100000</f>
        <v>-249965.34524865399</v>
      </c>
      <c r="T132">
        <f t="shared" ref="T132" si="639">S132/1000</f>
        <v>-249.96534524865399</v>
      </c>
    </row>
    <row r="133" spans="1:20" x14ac:dyDescent="0.25">
      <c r="A133" s="5">
        <v>44460</v>
      </c>
      <c r="B133">
        <v>1.4177E-2</v>
      </c>
      <c r="C133">
        <v>1.4198000000000001E-2</v>
      </c>
      <c r="D133">
        <v>1.0658000000000001E-2</v>
      </c>
      <c r="E133">
        <v>1.1205E-2</v>
      </c>
      <c r="F133">
        <v>4149357220</v>
      </c>
      <c r="G133">
        <v>1.1205E-2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-0.69096045197740175</v>
      </c>
      <c r="Q133">
        <f t="shared" ref="Q133" si="641">F133*P133</f>
        <v>-2867041740.1468954</v>
      </c>
      <c r="R133">
        <f t="shared" ref="R133" si="642">R134+Q133</f>
        <v>-24972456180.687401</v>
      </c>
      <c r="S133">
        <f t="shared" ref="S133" si="643">R133/100000</f>
        <v>-249724.561806874</v>
      </c>
      <c r="T133">
        <f t="shared" ref="T133" si="644">S133/1000</f>
        <v>-249.72456180687399</v>
      </c>
    </row>
    <row r="134" spans="1:20" x14ac:dyDescent="0.25">
      <c r="A134" s="5">
        <v>44459</v>
      </c>
      <c r="B134">
        <v>9.4420000000000007E-3</v>
      </c>
      <c r="C134">
        <v>4.0127999999999997E-2</v>
      </c>
      <c r="D134">
        <v>9.0220000000000005E-3</v>
      </c>
      <c r="E134">
        <v>1.7995000000000001E-2</v>
      </c>
      <c r="F134">
        <v>12648033866</v>
      </c>
      <c r="G134">
        <v>1.7995000000000001E-2</v>
      </c>
      <c r="L134" t="s">
        <v>8</v>
      </c>
      <c r="M134" t="s">
        <v>8</v>
      </c>
      <c r="N134" t="s">
        <v>8</v>
      </c>
      <c r="P134">
        <f t="shared" ref="P134" si="645">IF(C134=D134,0,((E134-D134)-(C134-E134))/(C134-D134))</f>
        <v>-0.42306950427570239</v>
      </c>
      <c r="Q134">
        <f t="shared" ref="Q134" si="646">F134*P134</f>
        <v>-5350997417.7509155</v>
      </c>
      <c r="R134">
        <f t="shared" ref="R134" si="647">R135+Q134</f>
        <v>-22105414440.540504</v>
      </c>
      <c r="S134">
        <f t="shared" ref="S134" si="648">R134/100000</f>
        <v>-221054.14440540504</v>
      </c>
      <c r="T134">
        <f t="shared" ref="T134" si="649">S134/1000</f>
        <v>-221.05414440540503</v>
      </c>
    </row>
    <row r="135" spans="1:20" x14ac:dyDescent="0.25">
      <c r="A135" s="5">
        <v>44458</v>
      </c>
      <c r="B135">
        <v>8.3940000000000004E-3</v>
      </c>
      <c r="C135">
        <v>1.04E-2</v>
      </c>
      <c r="D135">
        <v>8.2220000000000001E-3</v>
      </c>
      <c r="E135">
        <v>9.4269999999999996E-3</v>
      </c>
      <c r="F135">
        <v>1235817682</v>
      </c>
      <c r="G135">
        <v>9.4269999999999996E-3</v>
      </c>
      <c r="L135" t="s">
        <v>8</v>
      </c>
      <c r="M135" t="s">
        <v>8</v>
      </c>
      <c r="N135" t="s">
        <v>8</v>
      </c>
      <c r="P135">
        <f t="shared" ref="P135" si="650">IF(C135=D135,0,((E135-D135)-(C135-E135))/(C135-D135))</f>
        <v>0.10651974288337908</v>
      </c>
      <c r="Q135">
        <f t="shared" ref="Q135" si="651">F135*P135</f>
        <v>131638981.73737353</v>
      </c>
      <c r="R135">
        <f t="shared" ref="R135" si="652">R136+Q135</f>
        <v>-16754417022.789587</v>
      </c>
      <c r="S135">
        <f t="shared" ref="S135" si="653">R135/100000</f>
        <v>-167544.17022789587</v>
      </c>
      <c r="T135">
        <f t="shared" ref="T135" si="654">S135/1000</f>
        <v>-167.54417022789588</v>
      </c>
    </row>
    <row r="136" spans="1:20" x14ac:dyDescent="0.25">
      <c r="A136" s="5">
        <v>44457</v>
      </c>
      <c r="B136">
        <v>8.09E-3</v>
      </c>
      <c r="C136">
        <v>8.5000000000000006E-3</v>
      </c>
      <c r="D136">
        <v>8.0280000000000004E-3</v>
      </c>
      <c r="E136">
        <v>8.3999999999999995E-3</v>
      </c>
      <c r="F136">
        <v>177693947</v>
      </c>
      <c r="G136">
        <v>8.3999999999999995E-3</v>
      </c>
      <c r="L136" t="s">
        <v>8</v>
      </c>
      <c r="M136" t="s">
        <v>7</v>
      </c>
      <c r="N136" t="s">
        <v>7</v>
      </c>
      <c r="P136">
        <f t="shared" ref="P136" si="655">IF(C136=D136,0,((E136-D136)-(C136-E136))/(C136-D136))</f>
        <v>0.57627118644067332</v>
      </c>
      <c r="Q136">
        <f t="shared" ref="Q136" si="656">F136*P136</f>
        <v>102399901.66101612</v>
      </c>
      <c r="R136">
        <f t="shared" ref="R136" si="657">R137+Q136</f>
        <v>-16886056004.52696</v>
      </c>
      <c r="S136">
        <f t="shared" ref="S136" si="658">R136/100000</f>
        <v>-168860.56004526961</v>
      </c>
      <c r="T136">
        <f t="shared" ref="T136" si="659">S136/1000</f>
        <v>-168.86056004526961</v>
      </c>
    </row>
    <row r="137" spans="1:20" x14ac:dyDescent="0.25">
      <c r="A137" s="5">
        <v>44456</v>
      </c>
      <c r="B137">
        <v>8.2190000000000006E-3</v>
      </c>
      <c r="C137">
        <v>8.5199999999999998E-3</v>
      </c>
      <c r="D137">
        <v>8.0190000000000001E-3</v>
      </c>
      <c r="E137">
        <v>8.0770000000000008E-3</v>
      </c>
      <c r="F137">
        <v>164358547</v>
      </c>
      <c r="G137">
        <v>8.0770000000000008E-3</v>
      </c>
      <c r="L137" t="s">
        <v>8</v>
      </c>
      <c r="M137" t="s">
        <v>7</v>
      </c>
      <c r="N137" t="s">
        <v>7</v>
      </c>
      <c r="P137">
        <f t="shared" ref="P137" si="660">IF(C137=D137,0,((E137-D137)-(C137-E137))/(C137-D137))</f>
        <v>-0.76846307385229229</v>
      </c>
      <c r="Q137">
        <f t="shared" ref="Q137" si="661">F137*P137</f>
        <v>-126303474.24151646</v>
      </c>
      <c r="R137">
        <f t="shared" ref="R137" si="662">R138+Q137</f>
        <v>-16988455906.187977</v>
      </c>
      <c r="S137">
        <f t="shared" ref="S137" si="663">R137/100000</f>
        <v>-169884.55906187976</v>
      </c>
      <c r="T137">
        <f t="shared" ref="T137" si="664">S137/1000</f>
        <v>-169.88455906187977</v>
      </c>
    </row>
    <row r="138" spans="1:20" x14ac:dyDescent="0.25">
      <c r="A138" s="5">
        <v>44455</v>
      </c>
      <c r="B138">
        <v>8.5000000000000006E-3</v>
      </c>
      <c r="C138">
        <v>8.5660000000000007E-3</v>
      </c>
      <c r="D138">
        <v>7.9050000000000006E-3</v>
      </c>
      <c r="E138">
        <v>8.2389999999999998E-3</v>
      </c>
      <c r="F138">
        <v>268195606</v>
      </c>
      <c r="G138">
        <v>8.2389999999999998E-3</v>
      </c>
      <c r="L138" t="s">
        <v>7</v>
      </c>
      <c r="M138" t="s">
        <v>7</v>
      </c>
      <c r="N138" t="s">
        <v>7</v>
      </c>
      <c r="P138">
        <f t="shared" ref="P138" si="665">IF(C138=D138,0,((E138-D138)-(C138-E138))/(C138-D138))</f>
        <v>1.0590015128590508E-2</v>
      </c>
      <c r="Q138">
        <f t="shared" ref="Q138" si="666">F138*P138</f>
        <v>2840195.524961499</v>
      </c>
      <c r="R138">
        <f t="shared" ref="R138" si="667">R139+Q138</f>
        <v>-16862152431.946461</v>
      </c>
      <c r="S138">
        <f t="shared" ref="S138" si="668">R138/100000</f>
        <v>-168621.5243194646</v>
      </c>
      <c r="T138">
        <f t="shared" ref="T138" si="669">S138/1000</f>
        <v>-168.62152431946461</v>
      </c>
    </row>
    <row r="139" spans="1:20" x14ac:dyDescent="0.25">
      <c r="A139" s="5">
        <v>44454</v>
      </c>
      <c r="B139">
        <v>8.4030000000000007E-3</v>
      </c>
      <c r="C139">
        <v>8.6800000000000002E-3</v>
      </c>
      <c r="D139">
        <v>8.2480000000000001E-3</v>
      </c>
      <c r="E139">
        <v>8.4919999999999995E-3</v>
      </c>
      <c r="F139">
        <v>199426235</v>
      </c>
      <c r="G139">
        <v>8.4919999999999995E-3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0.12962962962962674</v>
      </c>
      <c r="Q139">
        <f t="shared" ref="Q139" si="671">F139*P139</f>
        <v>25851548.981480904</v>
      </c>
      <c r="R139">
        <f t="shared" ref="R139" si="672">R140+Q139</f>
        <v>-16864992627.471422</v>
      </c>
      <c r="S139">
        <f t="shared" ref="S139" si="673">R139/100000</f>
        <v>-168649.92627471423</v>
      </c>
      <c r="T139">
        <f t="shared" ref="T139" si="674">S139/1000</f>
        <v>-168.64992627471423</v>
      </c>
    </row>
    <row r="140" spans="1:20" x14ac:dyDescent="0.25">
      <c r="A140" s="5">
        <v>44453</v>
      </c>
      <c r="B140">
        <v>8.0450000000000001E-3</v>
      </c>
      <c r="C140">
        <v>8.5000000000000006E-3</v>
      </c>
      <c r="D140">
        <v>7.9399999999999991E-3</v>
      </c>
      <c r="E140">
        <v>8.4180000000000001E-3</v>
      </c>
      <c r="F140">
        <v>192994156</v>
      </c>
      <c r="G140">
        <v>8.4180000000000001E-3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0.70714285714285618</v>
      </c>
      <c r="Q140">
        <f t="shared" ref="Q140" si="676">F140*P140</f>
        <v>136474438.88571411</v>
      </c>
      <c r="R140">
        <f t="shared" ref="R140" si="677">R141+Q140</f>
        <v>-16890844176.452904</v>
      </c>
      <c r="S140">
        <f t="shared" ref="S140" si="678">R140/100000</f>
        <v>-168908.44176452904</v>
      </c>
      <c r="T140">
        <f t="shared" ref="T140" si="679">S140/1000</f>
        <v>-168.90844176452904</v>
      </c>
    </row>
    <row r="141" spans="1:20" x14ac:dyDescent="0.25">
      <c r="A141" s="5">
        <v>44452</v>
      </c>
      <c r="B141">
        <v>8.7060000000000002E-3</v>
      </c>
      <c r="C141">
        <v>8.7709999999999993E-3</v>
      </c>
      <c r="D141">
        <v>7.6730000000000001E-3</v>
      </c>
      <c r="E141">
        <v>8.0529999999999994E-3</v>
      </c>
      <c r="F141">
        <v>226501525</v>
      </c>
      <c r="G141">
        <v>8.0529999999999994E-3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-0.30783242258652177</v>
      </c>
      <c r="Q141">
        <f t="shared" ref="Q141" si="681">F141*P141</f>
        <v>-69724513.160291627</v>
      </c>
      <c r="R141">
        <f t="shared" ref="R141" si="682">R142+Q141</f>
        <v>-17027318615.338617</v>
      </c>
      <c r="S141">
        <f t="shared" ref="S141" si="683">R141/100000</f>
        <v>-170273.18615338617</v>
      </c>
      <c r="T141">
        <f t="shared" ref="T141" si="684">S141/1000</f>
        <v>-170.27318615338618</v>
      </c>
    </row>
    <row r="142" spans="1:20" x14ac:dyDescent="0.25">
      <c r="A142" s="5">
        <v>44451</v>
      </c>
      <c r="B142">
        <v>8.4810000000000007E-3</v>
      </c>
      <c r="C142">
        <v>8.7589999999999994E-3</v>
      </c>
      <c r="D142">
        <v>8.1069999999999996E-3</v>
      </c>
      <c r="E142">
        <v>8.711E-3</v>
      </c>
      <c r="F142">
        <v>150448432</v>
      </c>
      <c r="G142">
        <v>8.711E-3</v>
      </c>
      <c r="L142" t="s">
        <v>8</v>
      </c>
      <c r="M142" t="s">
        <v>7</v>
      </c>
      <c r="N142" t="s">
        <v>7</v>
      </c>
      <c r="P142">
        <f t="shared" ref="P142" si="685">IF(C142=D142,0,((E142-D142)-(C142-E142))/(C142-D142))</f>
        <v>0.85276073619632076</v>
      </c>
      <c r="Q142">
        <f t="shared" ref="Q142" si="686">F142*P142</f>
        <v>128296515.6319021</v>
      </c>
      <c r="R142">
        <f t="shared" ref="R142" si="687">R143+Q142</f>
        <v>-16957594102.178326</v>
      </c>
      <c r="S142">
        <f t="shared" ref="S142" si="688">R142/100000</f>
        <v>-169575.94102178325</v>
      </c>
      <c r="T142">
        <f t="shared" ref="T142" si="689">S142/1000</f>
        <v>-169.57594102178325</v>
      </c>
    </row>
    <row r="143" spans="1:20" x14ac:dyDescent="0.25">
      <c r="A143" s="5">
        <v>44450</v>
      </c>
      <c r="B143">
        <v>7.9129999999999999E-3</v>
      </c>
      <c r="C143">
        <v>8.5599999999999999E-3</v>
      </c>
      <c r="D143">
        <v>7.7499999999999999E-3</v>
      </c>
      <c r="E143">
        <v>8.4799999999999997E-3</v>
      </c>
      <c r="F143">
        <v>166160112</v>
      </c>
      <c r="G143">
        <v>8.4799999999999997E-3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0.80246913580246859</v>
      </c>
      <c r="Q143">
        <f t="shared" ref="Q143" si="691">F143*P143</f>
        <v>133338361.48148139</v>
      </c>
      <c r="R143">
        <f t="shared" ref="R143" si="692">R144+Q143</f>
        <v>-17085890617.810228</v>
      </c>
      <c r="S143">
        <f t="shared" ref="S143" si="693">R143/100000</f>
        <v>-170858.90617810228</v>
      </c>
      <c r="T143">
        <f t="shared" ref="T143" si="694">S143/1000</f>
        <v>-170.85890617810227</v>
      </c>
    </row>
    <row r="144" spans="1:20" x14ac:dyDescent="0.25">
      <c r="A144" s="5">
        <v>44449</v>
      </c>
      <c r="B144">
        <v>8.6079999999999993E-3</v>
      </c>
      <c r="C144">
        <v>8.7779999999999993E-3</v>
      </c>
      <c r="D144">
        <v>7.5900000000000004E-3</v>
      </c>
      <c r="E144">
        <v>7.9170000000000004E-3</v>
      </c>
      <c r="F144">
        <v>273001356</v>
      </c>
      <c r="G144">
        <v>7.9170000000000004E-3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-0.44949494949494895</v>
      </c>
      <c r="Q144">
        <f t="shared" ref="Q144" si="696">F144*P144</f>
        <v>-122712730.72727259</v>
      </c>
      <c r="R144">
        <f t="shared" ref="R144" si="697">R145+Q144</f>
        <v>-17219228979.29171</v>
      </c>
      <c r="S144">
        <f t="shared" ref="S144" si="698">R144/100000</f>
        <v>-172192.28979291709</v>
      </c>
      <c r="T144">
        <f t="shared" ref="T144" si="699">S144/1000</f>
        <v>-172.19228979291708</v>
      </c>
    </row>
    <row r="145" spans="1:20" x14ac:dyDescent="0.25">
      <c r="A145" s="5">
        <v>44448</v>
      </c>
      <c r="B145">
        <v>8.6280000000000003E-3</v>
      </c>
      <c r="C145">
        <v>9.0460000000000002E-3</v>
      </c>
      <c r="D145">
        <v>8.3280000000000003E-3</v>
      </c>
      <c r="E145">
        <v>8.6189999999999999E-3</v>
      </c>
      <c r="F145">
        <v>209203155</v>
      </c>
      <c r="G145">
        <v>8.6189999999999999E-3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-0.1894150417827308</v>
      </c>
      <c r="Q145">
        <f t="shared" ref="Q145" si="701">F145*P145</f>
        <v>-39626224.345404111</v>
      </c>
      <c r="R145">
        <f t="shared" ref="R145" si="702">R146+Q145</f>
        <v>-17096516248.564438</v>
      </c>
      <c r="S145">
        <f t="shared" ref="S145" si="703">R145/100000</f>
        <v>-170965.16248564437</v>
      </c>
      <c r="T145">
        <f t="shared" ref="T145" si="704">S145/1000</f>
        <v>-170.96516248564436</v>
      </c>
    </row>
    <row r="146" spans="1:20" x14ac:dyDescent="0.25">
      <c r="A146" s="5">
        <v>44447</v>
      </c>
      <c r="B146">
        <v>8.3870000000000004E-3</v>
      </c>
      <c r="C146">
        <v>8.8880000000000001E-3</v>
      </c>
      <c r="D146">
        <v>7.2259999999999998E-3</v>
      </c>
      <c r="E146">
        <v>8.6730000000000002E-3</v>
      </c>
      <c r="F146">
        <v>337615719</v>
      </c>
      <c r="G146">
        <v>8.6730000000000002E-3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0.74127557160048152</v>
      </c>
      <c r="Q146">
        <f t="shared" ref="Q146" si="706">F146*P146</f>
        <v>250266285.08303255</v>
      </c>
      <c r="R146">
        <f t="shared" ref="R146" si="707">R147+Q146</f>
        <v>-17056890024.219034</v>
      </c>
      <c r="S146">
        <f t="shared" ref="S146" si="708">R146/100000</f>
        <v>-170568.90024219034</v>
      </c>
      <c r="T146">
        <f t="shared" ref="T146" si="709">S146/1000</f>
        <v>-170.56890024219035</v>
      </c>
    </row>
    <row r="147" spans="1:20" x14ac:dyDescent="0.25">
      <c r="A147" s="5">
        <v>44446</v>
      </c>
      <c r="B147">
        <v>1.0699999999999999E-2</v>
      </c>
      <c r="C147">
        <v>1.0899000000000001E-2</v>
      </c>
      <c r="D147">
        <v>7.3680000000000004E-3</v>
      </c>
      <c r="E147">
        <v>8.3510000000000008E-3</v>
      </c>
      <c r="F147">
        <v>565812514</v>
      </c>
      <c r="G147">
        <v>8.3510000000000008E-3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-0.44321721891815336</v>
      </c>
      <c r="Q147">
        <f t="shared" ref="Q147" si="711">F147*P147</f>
        <v>-250777848.88416871</v>
      </c>
      <c r="R147">
        <f t="shared" ref="R147" si="712">R148+Q147</f>
        <v>-17307156309.302067</v>
      </c>
      <c r="S147">
        <f t="shared" ref="S147" si="713">R147/100000</f>
        <v>-173071.56309302067</v>
      </c>
      <c r="T147">
        <f t="shared" ref="T147" si="714">S147/1000</f>
        <v>-173.07156309302067</v>
      </c>
    </row>
    <row r="148" spans="1:20" x14ac:dyDescent="0.25">
      <c r="A148" s="5">
        <v>44445</v>
      </c>
      <c r="B148">
        <v>1.0814000000000001E-2</v>
      </c>
      <c r="C148">
        <v>1.1169999999999999E-2</v>
      </c>
      <c r="D148">
        <v>1.0207000000000001E-2</v>
      </c>
      <c r="E148">
        <v>1.0703000000000001E-2</v>
      </c>
      <c r="F148">
        <v>438492746</v>
      </c>
      <c r="G148">
        <v>1.0703000000000001E-2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3.0114226375909957E-2</v>
      </c>
      <c r="Q148">
        <f t="shared" ref="Q148" si="716">F148*P148</f>
        <v>13204869.817238385</v>
      </c>
      <c r="R148">
        <f t="shared" ref="R148" si="717">R149+Q148</f>
        <v>-17056378460.417896</v>
      </c>
      <c r="S148">
        <f t="shared" ref="S148" si="718">R148/100000</f>
        <v>-170563.78460417897</v>
      </c>
      <c r="T148">
        <f t="shared" ref="T148" si="719">S148/1000</f>
        <v>-170.56378460417898</v>
      </c>
    </row>
    <row r="149" spans="1:20" x14ac:dyDescent="0.25">
      <c r="A149" s="5">
        <v>44444</v>
      </c>
      <c r="B149">
        <v>1.0267E-2</v>
      </c>
      <c r="C149">
        <v>1.14E-2</v>
      </c>
      <c r="D149">
        <v>1.0255999999999999E-2</v>
      </c>
      <c r="E149">
        <v>1.0800000000000001E-2</v>
      </c>
      <c r="F149">
        <v>468374165</v>
      </c>
      <c r="G149">
        <v>1.0800000000000001E-2</v>
      </c>
      <c r="L149" t="s">
        <v>8</v>
      </c>
      <c r="M149" t="s">
        <v>7</v>
      </c>
      <c r="N149" t="s">
        <v>8</v>
      </c>
      <c r="P149">
        <f t="shared" ref="P149" si="720">IF(C149=D149,0,((E149-D149)-(C149-E149))/(C149-D149))</f>
        <v>-4.8951048951047828E-2</v>
      </c>
      <c r="Q149">
        <f t="shared" ref="Q149" si="721">F149*P149</f>
        <v>-22927406.678321153</v>
      </c>
      <c r="R149">
        <f t="shared" ref="R149" si="722">R150+Q149</f>
        <v>-17069583330.235134</v>
      </c>
      <c r="S149">
        <f t="shared" ref="S149" si="723">R149/100000</f>
        <v>-170695.83330235136</v>
      </c>
      <c r="T149">
        <f t="shared" ref="T149" si="724">S149/1000</f>
        <v>-170.69583330235136</v>
      </c>
    </row>
    <row r="150" spans="1:20" x14ac:dyDescent="0.25">
      <c r="A150" s="5">
        <v>44443</v>
      </c>
      <c r="B150">
        <v>1.0293999999999999E-2</v>
      </c>
      <c r="C150">
        <v>1.0522E-2</v>
      </c>
      <c r="D150">
        <v>0.01</v>
      </c>
      <c r="E150">
        <v>1.0267999999999999E-2</v>
      </c>
      <c r="F150">
        <v>281213457</v>
      </c>
      <c r="G150">
        <v>1.0267999999999999E-2</v>
      </c>
      <c r="L150" t="s">
        <v>8</v>
      </c>
      <c r="M150" t="s">
        <v>7</v>
      </c>
      <c r="N150" t="s">
        <v>8</v>
      </c>
      <c r="P150">
        <f t="shared" ref="P150" si="725">IF(C150=D150,0,((E150-D150)-(C150-E150))/(C150-D150))</f>
        <v>2.6819923371644429E-2</v>
      </c>
      <c r="Q150">
        <f t="shared" ref="Q150" si="726">F150*P150</f>
        <v>7542123.3678152254</v>
      </c>
      <c r="R150">
        <f t="shared" ref="R150" si="727">R151+Q150</f>
        <v>-17046655923.556812</v>
      </c>
      <c r="S150">
        <f t="shared" ref="S150" si="728">R150/100000</f>
        <v>-170466.55923556813</v>
      </c>
      <c r="T150">
        <f t="shared" ref="T150" si="729">S150/1000</f>
        <v>-170.46655923556813</v>
      </c>
    </row>
    <row r="151" spans="1:20" x14ac:dyDescent="0.25">
      <c r="A151" s="5">
        <v>44442</v>
      </c>
      <c r="B151">
        <v>1.0078E-2</v>
      </c>
      <c r="C151">
        <v>1.0505E-2</v>
      </c>
      <c r="D151">
        <v>9.9590000000000008E-3</v>
      </c>
      <c r="E151">
        <v>1.027E-2</v>
      </c>
      <c r="F151">
        <v>367843432</v>
      </c>
      <c r="G151">
        <v>1.027E-2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0.13919413919413554</v>
      </c>
      <c r="Q151">
        <f t="shared" ref="Q151" si="731">F151*P151</f>
        <v>51201649.875456527</v>
      </c>
      <c r="R151">
        <f t="shared" ref="R151" si="732">R152+Q151</f>
        <v>-17054198046.924627</v>
      </c>
      <c r="S151">
        <f t="shared" ref="S151" si="733">R151/100000</f>
        <v>-170541.98046924628</v>
      </c>
      <c r="T151">
        <f t="shared" ref="T151" si="734">S151/1000</f>
        <v>-170.54198046924628</v>
      </c>
    </row>
    <row r="152" spans="1:20" x14ac:dyDescent="0.25">
      <c r="A152" s="5">
        <v>44441</v>
      </c>
      <c r="B152">
        <v>1.0264000000000001E-2</v>
      </c>
      <c r="C152">
        <v>1.0489E-2</v>
      </c>
      <c r="D152">
        <v>9.9240000000000005E-3</v>
      </c>
      <c r="E152">
        <v>1.0095E-2</v>
      </c>
      <c r="F152">
        <v>410623977</v>
      </c>
      <c r="G152">
        <v>1.0095E-2</v>
      </c>
      <c r="L152" t="s">
        <v>7</v>
      </c>
      <c r="M152" t="s">
        <v>7</v>
      </c>
      <c r="N152" t="s">
        <v>8</v>
      </c>
      <c r="P152">
        <f t="shared" ref="P152" si="735">IF(C152=D152,0,((E152-D152)-(C152-E152))/(C152-D152))</f>
        <v>-0.3946902654867277</v>
      </c>
      <c r="Q152">
        <f t="shared" ref="Q152" si="736">F152*P152</f>
        <v>-162069286.49734595</v>
      </c>
      <c r="R152">
        <f t="shared" ref="R152" si="737">R153+Q152</f>
        <v>-17105399696.800083</v>
      </c>
      <c r="S152">
        <f t="shared" ref="S152" si="738">R152/100000</f>
        <v>-171053.99696800084</v>
      </c>
      <c r="T152">
        <f t="shared" ref="T152" si="739">S152/1000</f>
        <v>-171.05399696800083</v>
      </c>
    </row>
    <row r="153" spans="1:20" x14ac:dyDescent="0.25">
      <c r="A153" s="5">
        <v>44440</v>
      </c>
      <c r="B153">
        <v>1.0166E-2</v>
      </c>
      <c r="C153">
        <v>1.0378E-2</v>
      </c>
      <c r="D153">
        <v>9.7520000000000003E-3</v>
      </c>
      <c r="E153">
        <v>1.0264000000000001E-2</v>
      </c>
      <c r="F153">
        <v>329958930</v>
      </c>
      <c r="G153">
        <v>1.0264000000000001E-2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0.63578274760383535</v>
      </c>
      <c r="Q153">
        <f t="shared" ref="Q153" si="741">F153*P153</f>
        <v>209782195.11182156</v>
      </c>
      <c r="R153">
        <f t="shared" ref="R153" si="742">R154+Q153</f>
        <v>-16943330410.302736</v>
      </c>
      <c r="S153">
        <f t="shared" ref="S153" si="743">R153/100000</f>
        <v>-169433.30410302736</v>
      </c>
      <c r="T153">
        <f t="shared" ref="T153" si="744">S153/1000</f>
        <v>-169.43330410302735</v>
      </c>
    </row>
    <row r="154" spans="1:20" x14ac:dyDescent="0.25">
      <c r="A154" s="5">
        <v>44439</v>
      </c>
      <c r="B154">
        <v>9.6509999999999999E-3</v>
      </c>
      <c r="C154">
        <v>1.1900000000000001E-2</v>
      </c>
      <c r="D154">
        <v>9.4140000000000005E-3</v>
      </c>
      <c r="E154">
        <v>1.0155000000000001E-2</v>
      </c>
      <c r="F154">
        <v>757670582</v>
      </c>
      <c r="G154">
        <v>1.0155000000000001E-2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-0.40386162510056295</v>
      </c>
      <c r="Q154">
        <f t="shared" ref="Q154" si="746">F154*P154</f>
        <v>-305994072.53740937</v>
      </c>
      <c r="R154">
        <f t="shared" ref="R154" si="747">R155+Q154</f>
        <v>-17153112605.414558</v>
      </c>
      <c r="S154">
        <f t="shared" ref="S154" si="748">R154/100000</f>
        <v>-171531.12605414557</v>
      </c>
      <c r="T154">
        <f t="shared" ref="T154" si="749">S154/1000</f>
        <v>-171.53112605414557</v>
      </c>
    </row>
    <row r="155" spans="1:20" x14ac:dyDescent="0.25">
      <c r="A155" s="5">
        <v>44438</v>
      </c>
      <c r="B155">
        <v>9.606E-3</v>
      </c>
      <c r="C155">
        <v>1.14E-2</v>
      </c>
      <c r="D155">
        <v>9.2580000000000006E-3</v>
      </c>
      <c r="E155">
        <v>9.6509999999999999E-3</v>
      </c>
      <c r="F155">
        <v>1133961897</v>
      </c>
      <c r="G155">
        <v>9.6509999999999999E-3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-0.63305322128851604</v>
      </c>
      <c r="Q155">
        <f t="shared" ref="Q155" si="751">F155*P155</f>
        <v>-717858231.71428645</v>
      </c>
      <c r="R155">
        <f t="shared" ref="R155" si="752">R156+Q155</f>
        <v>-16847118532.87715</v>
      </c>
      <c r="S155">
        <f t="shared" ref="S155" si="753">R155/100000</f>
        <v>-168471.18532877151</v>
      </c>
      <c r="T155">
        <f t="shared" ref="T155" si="754">S155/1000</f>
        <v>-168.4711853287715</v>
      </c>
    </row>
    <row r="156" spans="1:20" x14ac:dyDescent="0.25">
      <c r="A156" s="5">
        <v>44437</v>
      </c>
      <c r="B156">
        <v>9.5980000000000006E-3</v>
      </c>
      <c r="C156">
        <v>9.8879999999999992E-3</v>
      </c>
      <c r="D156">
        <v>9.3399999999999993E-3</v>
      </c>
      <c r="E156">
        <v>9.606E-3</v>
      </c>
      <c r="F156">
        <v>251907931</v>
      </c>
      <c r="G156">
        <v>9.606E-3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-2.9197080291968353E-2</v>
      </c>
      <c r="Q156">
        <f t="shared" ref="Q156" si="756">F156*P156</f>
        <v>-7354976.0875906236</v>
      </c>
      <c r="R156">
        <f t="shared" ref="R156" si="757">R157+Q156</f>
        <v>-16129260301.162863</v>
      </c>
      <c r="S156">
        <f t="shared" ref="S156" si="758">R156/100000</f>
        <v>-161292.60301162864</v>
      </c>
      <c r="T156">
        <f t="shared" ref="T156" si="759">S156/1000</f>
        <v>-161.29260301162864</v>
      </c>
    </row>
    <row r="157" spans="1:20" x14ac:dyDescent="0.25">
      <c r="A157" s="5">
        <v>44436</v>
      </c>
      <c r="B157">
        <v>1.0177E-2</v>
      </c>
      <c r="C157">
        <v>1.051E-2</v>
      </c>
      <c r="D157">
        <v>9.4339999999999997E-3</v>
      </c>
      <c r="E157">
        <v>9.5949999999999994E-3</v>
      </c>
      <c r="F157">
        <v>281902452</v>
      </c>
      <c r="G157">
        <v>9.5949999999999994E-3</v>
      </c>
      <c r="L157" t="s">
        <v>7</v>
      </c>
      <c r="M157" t="s">
        <v>7</v>
      </c>
      <c r="N157" t="s">
        <v>8</v>
      </c>
      <c r="P157">
        <f t="shared" ref="P157" si="760">IF(C157=D157,0,((E157-D157)-(C157-E157))/(C157-D157))</f>
        <v>-0.70074349442379258</v>
      </c>
      <c r="Q157">
        <f t="shared" ref="Q157" si="761">F157*P157</f>
        <v>-197541309.30111545</v>
      </c>
      <c r="R157">
        <f t="shared" ref="R157" si="762">R158+Q157</f>
        <v>-16121905325.075272</v>
      </c>
      <c r="S157">
        <f t="shared" ref="S157" si="763">R157/100000</f>
        <v>-161219.05325075271</v>
      </c>
      <c r="T157">
        <f t="shared" ref="T157" si="764">S157/1000</f>
        <v>-161.21905325075272</v>
      </c>
    </row>
    <row r="158" spans="1:20" x14ac:dyDescent="0.25">
      <c r="A158" s="5">
        <v>44435</v>
      </c>
      <c r="B158">
        <v>9.3229999999999997E-3</v>
      </c>
      <c r="C158">
        <v>1.04E-2</v>
      </c>
      <c r="D158">
        <v>8.9999999999999993E-3</v>
      </c>
      <c r="E158">
        <v>1.0192E-2</v>
      </c>
      <c r="F158">
        <v>351741653</v>
      </c>
      <c r="G158">
        <v>1.0192E-2</v>
      </c>
      <c r="L158" t="s">
        <v>8</v>
      </c>
      <c r="M158" t="s">
        <v>7</v>
      </c>
      <c r="N158" t="s">
        <v>8</v>
      </c>
      <c r="P158">
        <f t="shared" ref="P158" si="765">IF(C158=D158,0,((E158-D158)-(C158-E158))/(C158-D158))</f>
        <v>0.70285714285714307</v>
      </c>
      <c r="Q158">
        <f t="shared" ref="Q158" si="766">F158*P158</f>
        <v>247224133.25142863</v>
      </c>
      <c r="R158">
        <f t="shared" ref="R158" si="767">R159+Q158</f>
        <v>-15924364015.774157</v>
      </c>
      <c r="S158">
        <f t="shared" ref="S158" si="768">R158/100000</f>
        <v>-159243.64015774155</v>
      </c>
      <c r="T158">
        <f t="shared" ref="T158" si="769">S158/1000</f>
        <v>-159.24364015774157</v>
      </c>
    </row>
    <row r="159" spans="1:20" x14ac:dyDescent="0.25">
      <c r="A159" s="5">
        <v>44434</v>
      </c>
      <c r="B159">
        <v>9.9950000000000004E-3</v>
      </c>
      <c r="C159">
        <v>1.0097999999999999E-2</v>
      </c>
      <c r="D159">
        <v>8.9910000000000007E-3</v>
      </c>
      <c r="E159">
        <v>9.3130000000000001E-3</v>
      </c>
      <c r="F159">
        <v>383705270</v>
      </c>
      <c r="G159">
        <v>9.3130000000000001E-3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-0.41824751580849184</v>
      </c>
      <c r="Q159">
        <f t="shared" ref="Q159" si="771">F159*P159</f>
        <v>-160483775.98012662</v>
      </c>
      <c r="R159">
        <f t="shared" ref="R159" si="772">R160+Q159</f>
        <v>-16171588149.025585</v>
      </c>
      <c r="S159">
        <f t="shared" ref="S159" si="773">R159/100000</f>
        <v>-161715.88149025585</v>
      </c>
      <c r="T159">
        <f t="shared" ref="T159" si="774">S159/1000</f>
        <v>-161.71588149025584</v>
      </c>
    </row>
    <row r="160" spans="1:20" x14ac:dyDescent="0.25">
      <c r="A160" s="5">
        <v>44433</v>
      </c>
      <c r="B160">
        <v>9.6869999999999994E-3</v>
      </c>
      <c r="C160">
        <v>1.0524E-2</v>
      </c>
      <c r="D160">
        <v>9.3340000000000003E-3</v>
      </c>
      <c r="E160">
        <v>9.9830000000000006E-3</v>
      </c>
      <c r="F160">
        <v>511463960</v>
      </c>
      <c r="G160">
        <v>9.9830000000000006E-3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9.0756302521008775E-2</v>
      </c>
      <c r="Q160">
        <f t="shared" ref="Q160" si="776">F160*P160</f>
        <v>46418577.882353134</v>
      </c>
      <c r="R160">
        <f t="shared" ref="R160" si="777">R161+Q160</f>
        <v>-16011104373.045458</v>
      </c>
      <c r="S160">
        <f t="shared" ref="S160" si="778">R160/100000</f>
        <v>-160111.04373045458</v>
      </c>
      <c r="T160">
        <f t="shared" ref="T160" si="779">S160/1000</f>
        <v>-160.11104373045458</v>
      </c>
    </row>
    <row r="161" spans="1:20" x14ac:dyDescent="0.25">
      <c r="A161" s="5">
        <v>44432</v>
      </c>
      <c r="B161">
        <v>1.0931E-2</v>
      </c>
      <c r="C161">
        <v>1.1152E-2</v>
      </c>
      <c r="D161">
        <v>9.6760000000000006E-3</v>
      </c>
      <c r="E161">
        <v>9.6880000000000004E-3</v>
      </c>
      <c r="F161">
        <v>630560823</v>
      </c>
      <c r="G161">
        <v>9.6880000000000004E-3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-0.98373983739837423</v>
      </c>
      <c r="Q161">
        <f t="shared" ref="Q161" si="781">F161*P161</f>
        <v>-620307801.48780501</v>
      </c>
      <c r="R161">
        <f t="shared" ref="R161" si="782">R162+Q161</f>
        <v>-16057522950.927811</v>
      </c>
      <c r="S161">
        <f t="shared" ref="S161" si="783">R161/100000</f>
        <v>-160575.22950927811</v>
      </c>
      <c r="T161">
        <f t="shared" ref="T161" si="784">S161/1000</f>
        <v>-160.5752295092781</v>
      </c>
    </row>
    <row r="162" spans="1:20" x14ac:dyDescent="0.25">
      <c r="A162" s="5">
        <v>44431</v>
      </c>
      <c r="B162">
        <v>1.0966E-2</v>
      </c>
      <c r="C162">
        <v>1.2225E-2</v>
      </c>
      <c r="D162">
        <v>1.0645999999999999E-2</v>
      </c>
      <c r="E162">
        <v>1.0918000000000001E-2</v>
      </c>
      <c r="F162">
        <v>1291070362</v>
      </c>
      <c r="G162">
        <v>1.0918000000000001E-2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-0.6554781507283074</v>
      </c>
      <c r="Q162">
        <f t="shared" ref="Q162" si="786">F162*P162</f>
        <v>-846268413.34388638</v>
      </c>
      <c r="R162">
        <f t="shared" ref="R162" si="787">R163+Q162</f>
        <v>-15437215149.440006</v>
      </c>
      <c r="S162">
        <f t="shared" ref="S162" si="788">R162/100000</f>
        <v>-154372.15149440005</v>
      </c>
      <c r="T162">
        <f t="shared" ref="T162" si="789">S162/1000</f>
        <v>-154.37215149440004</v>
      </c>
    </row>
    <row r="163" spans="1:20" x14ac:dyDescent="0.25">
      <c r="A163" s="5">
        <v>44430</v>
      </c>
      <c r="B163">
        <v>9.3430000000000006E-3</v>
      </c>
      <c r="C163">
        <v>9.6500000000000006E-3</v>
      </c>
      <c r="D163">
        <v>9.3220000000000004E-3</v>
      </c>
      <c r="E163">
        <v>9.4909999999999994E-3</v>
      </c>
      <c r="F163">
        <v>82951507</v>
      </c>
      <c r="G163">
        <v>9.4909999999999994E-3</v>
      </c>
      <c r="L163" t="s">
        <v>8</v>
      </c>
      <c r="M163" t="s">
        <v>7</v>
      </c>
      <c r="N163" t="s">
        <v>8</v>
      </c>
      <c r="P163">
        <f t="shared" ref="P163" si="790">IF(C163=D163,0,((E163-D163)-(C163-E163))/(C163-D163))</f>
        <v>3.0487804878042233E-2</v>
      </c>
      <c r="Q163">
        <f t="shared" ref="Q163" si="791">F163*P163</f>
        <v>2529009.3597555542</v>
      </c>
      <c r="R163">
        <f t="shared" ref="R163" si="792">R164+Q163</f>
        <v>-14590946736.096121</v>
      </c>
      <c r="S163">
        <f t="shared" ref="S163" si="793">R163/100000</f>
        <v>-145909.46736096122</v>
      </c>
      <c r="T163">
        <f t="shared" ref="T163" si="794">S163/1000</f>
        <v>-145.90946736096123</v>
      </c>
    </row>
    <row r="164" spans="1:20" x14ac:dyDescent="0.25">
      <c r="A164" s="5">
        <v>44429</v>
      </c>
      <c r="B164">
        <v>9.7579999999999993E-3</v>
      </c>
      <c r="C164">
        <v>9.7630000000000008E-3</v>
      </c>
      <c r="D164">
        <v>9.2999999999999992E-3</v>
      </c>
      <c r="E164">
        <v>9.3469999999999994E-3</v>
      </c>
      <c r="F164">
        <v>244135485</v>
      </c>
      <c r="G164">
        <v>9.3469999999999994E-3</v>
      </c>
      <c r="L164" t="s">
        <v>8</v>
      </c>
      <c r="M164" t="s">
        <v>7</v>
      </c>
      <c r="N164" t="s">
        <v>8</v>
      </c>
      <c r="P164">
        <f t="shared" ref="P164" si="795">IF(C164=D164,0,((E164-D164)-(C164-E164))/(C164-D164))</f>
        <v>-0.79697624190064797</v>
      </c>
      <c r="Q164">
        <f t="shared" ref="Q164" si="796">F164*P164</f>
        <v>-194570181.34989202</v>
      </c>
      <c r="R164">
        <f t="shared" ref="R164" si="797">R165+Q164</f>
        <v>-14593475745.455877</v>
      </c>
      <c r="S164">
        <f t="shared" ref="S164" si="798">R164/100000</f>
        <v>-145934.75745455877</v>
      </c>
      <c r="T164">
        <f t="shared" ref="T164" si="799">S164/1000</f>
        <v>-145.93475745455876</v>
      </c>
    </row>
    <row r="165" spans="1:20" x14ac:dyDescent="0.25">
      <c r="A165" s="5">
        <v>44428</v>
      </c>
      <c r="B165">
        <v>9.443E-3</v>
      </c>
      <c r="C165">
        <v>9.8740000000000008E-3</v>
      </c>
      <c r="D165">
        <v>9.2530000000000008E-3</v>
      </c>
      <c r="E165">
        <v>9.7579999999999993E-3</v>
      </c>
      <c r="F165">
        <v>353283231</v>
      </c>
      <c r="G165">
        <v>9.7579999999999993E-3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0.62640901771336066</v>
      </c>
      <c r="Q165">
        <f t="shared" ref="Q165" si="801">F165*P165</f>
        <v>221299801.70531228</v>
      </c>
      <c r="R165">
        <f t="shared" ref="R165" si="802">R166+Q165</f>
        <v>-14398905564.105986</v>
      </c>
      <c r="S165">
        <f t="shared" ref="S165" si="803">R165/100000</f>
        <v>-143989.05564105985</v>
      </c>
      <c r="T165">
        <f t="shared" ref="T165" si="804">S165/1000</f>
        <v>-143.98905564105985</v>
      </c>
    </row>
    <row r="166" spans="1:20" x14ac:dyDescent="0.25">
      <c r="A166" s="5">
        <v>44427</v>
      </c>
      <c r="B166">
        <v>8.9709999999999998E-3</v>
      </c>
      <c r="C166">
        <v>9.4999999999999998E-3</v>
      </c>
      <c r="D166">
        <v>8.5400000000000007E-3</v>
      </c>
      <c r="E166">
        <v>9.443E-3</v>
      </c>
      <c r="F166">
        <v>387227868</v>
      </c>
      <c r="G166">
        <v>9.443E-3</v>
      </c>
      <c r="L166" t="s">
        <v>7</v>
      </c>
      <c r="M166" t="s">
        <v>7</v>
      </c>
      <c r="N166" t="s">
        <v>8</v>
      </c>
      <c r="P166">
        <f t="shared" ref="P166" si="805">IF(C166=D166,0,((E166-D166)-(C166-E166))/(C166-D166))</f>
        <v>0.88125000000000042</v>
      </c>
      <c r="Q166">
        <f t="shared" ref="Q166" si="806">F166*P166</f>
        <v>341244558.67500019</v>
      </c>
      <c r="R166">
        <f t="shared" ref="R166" si="807">R167+Q166</f>
        <v>-14620205365.811298</v>
      </c>
      <c r="S166">
        <f t="shared" ref="S166" si="808">R166/100000</f>
        <v>-146202.05365811297</v>
      </c>
      <c r="T166">
        <f t="shared" ref="T166" si="809">S166/1000</f>
        <v>-146.20205365811296</v>
      </c>
    </row>
    <row r="167" spans="1:20" x14ac:dyDescent="0.25">
      <c r="A167" s="5">
        <v>44426</v>
      </c>
      <c r="B167">
        <v>9.0100000000000006E-3</v>
      </c>
      <c r="C167">
        <v>9.3310000000000008E-3</v>
      </c>
      <c r="D167">
        <v>8.7159999999999998E-3</v>
      </c>
      <c r="E167">
        <v>8.9569999999999997E-3</v>
      </c>
      <c r="F167">
        <v>366905598</v>
      </c>
      <c r="G167">
        <v>8.9569999999999997E-3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-0.21626016260162759</v>
      </c>
      <c r="Q167">
        <f t="shared" ref="Q167" si="811">F167*P167</f>
        <v>-79347064.282927409</v>
      </c>
      <c r="R167">
        <f t="shared" ref="R167" si="812">R168+Q167</f>
        <v>-14961449924.4863</v>
      </c>
      <c r="S167">
        <f t="shared" ref="S167" si="813">R167/100000</f>
        <v>-149614.49924486299</v>
      </c>
      <c r="T167">
        <f t="shared" ref="T167" si="814">S167/1000</f>
        <v>-149.614499244863</v>
      </c>
    </row>
    <row r="168" spans="1:20" x14ac:dyDescent="0.25">
      <c r="A168" s="5">
        <v>44425</v>
      </c>
      <c r="B168">
        <v>9.868E-3</v>
      </c>
      <c r="C168">
        <v>1.0318000000000001E-2</v>
      </c>
      <c r="D168">
        <v>8.8540000000000008E-3</v>
      </c>
      <c r="E168">
        <v>8.992E-3</v>
      </c>
      <c r="F168">
        <v>436640687</v>
      </c>
      <c r="G168">
        <v>8.992E-3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-0.81147540983606659</v>
      </c>
      <c r="Q168">
        <f t="shared" ref="Q168" si="816">F168*P168</f>
        <v>-354323180.43442667</v>
      </c>
      <c r="R168">
        <f t="shared" ref="R168" si="817">R169+Q168</f>
        <v>-14882102860.203373</v>
      </c>
      <c r="S168">
        <f t="shared" ref="S168" si="818">R168/100000</f>
        <v>-148821.02860203374</v>
      </c>
      <c r="T168">
        <f t="shared" ref="T168" si="819">S168/1000</f>
        <v>-148.82102860203375</v>
      </c>
    </row>
    <row r="169" spans="1:20" x14ac:dyDescent="0.25">
      <c r="A169" s="5">
        <v>44424</v>
      </c>
      <c r="B169">
        <v>1.022E-2</v>
      </c>
      <c r="C169">
        <v>1.0633E-2</v>
      </c>
      <c r="D169">
        <v>9.6550000000000004E-3</v>
      </c>
      <c r="E169">
        <v>9.8580000000000004E-3</v>
      </c>
      <c r="F169">
        <v>579048050</v>
      </c>
      <c r="G169">
        <v>9.8580000000000004E-3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-0.58486707566462148</v>
      </c>
      <c r="Q169">
        <f t="shared" ref="Q169" si="821">F169*P169</f>
        <v>-338666139.67280149</v>
      </c>
      <c r="R169">
        <f t="shared" ref="R169" si="822">R170+Q169</f>
        <v>-14527779679.768946</v>
      </c>
      <c r="S169">
        <f t="shared" ref="S169" si="823">R169/100000</f>
        <v>-145277.79679768946</v>
      </c>
      <c r="T169">
        <f t="shared" ref="T169" si="824">S169/1000</f>
        <v>-145.27779679768946</v>
      </c>
    </row>
    <row r="170" spans="1:20" x14ac:dyDescent="0.25">
      <c r="A170" s="5">
        <v>44423</v>
      </c>
      <c r="B170">
        <v>9.8840000000000004E-3</v>
      </c>
      <c r="C170">
        <v>1.0647999999999999E-2</v>
      </c>
      <c r="D170">
        <v>9.2870000000000001E-3</v>
      </c>
      <c r="E170">
        <v>1.0222999999999999E-2</v>
      </c>
      <c r="F170">
        <v>735079520</v>
      </c>
      <c r="G170">
        <v>1.0222999999999999E-2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0.37545922116091074</v>
      </c>
      <c r="Q170">
        <f t="shared" ref="Q170" si="826">F170*P170</f>
        <v>275992384.07053614</v>
      </c>
      <c r="R170">
        <f t="shared" ref="R170" si="827">R171+Q170</f>
        <v>-14189113540.096144</v>
      </c>
      <c r="S170">
        <f t="shared" ref="S170" si="828">R170/100000</f>
        <v>-141891.13540096144</v>
      </c>
      <c r="T170">
        <f t="shared" ref="T170" si="829">S170/1000</f>
        <v>-141.89113540096145</v>
      </c>
    </row>
    <row r="171" spans="1:20" x14ac:dyDescent="0.25">
      <c r="A171" s="5">
        <v>44422</v>
      </c>
      <c r="B171">
        <v>9.2849999999999999E-3</v>
      </c>
      <c r="C171">
        <v>1.0749999999999999E-2</v>
      </c>
      <c r="D171">
        <v>8.9999999999999993E-3</v>
      </c>
      <c r="E171">
        <v>9.8630000000000002E-3</v>
      </c>
      <c r="F171">
        <v>1188191125</v>
      </c>
      <c r="G171">
        <v>9.8630000000000002E-3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-1.3714285714284562E-2</v>
      </c>
      <c r="Q171">
        <f t="shared" ref="Q171" si="831">F171*P171</f>
        <v>-16295192.571427202</v>
      </c>
      <c r="R171">
        <f t="shared" ref="R171" si="832">R172+Q171</f>
        <v>-14465105924.166679</v>
      </c>
      <c r="S171">
        <f t="shared" ref="S171" si="833">R171/100000</f>
        <v>-144651.05924166681</v>
      </c>
      <c r="T171">
        <f t="shared" ref="T171" si="834">S171/1000</f>
        <v>-144.65105924166681</v>
      </c>
    </row>
    <row r="172" spans="1:20" x14ac:dyDescent="0.25">
      <c r="A172" s="5">
        <v>44421</v>
      </c>
      <c r="B172">
        <v>8.4080000000000005E-3</v>
      </c>
      <c r="C172">
        <v>9.4500000000000001E-3</v>
      </c>
      <c r="D172">
        <v>8.3239999999999998E-3</v>
      </c>
      <c r="E172">
        <v>9.2849999999999999E-3</v>
      </c>
      <c r="F172">
        <v>515197291</v>
      </c>
      <c r="G172">
        <v>9.2849999999999999E-3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0.70692717584369413</v>
      </c>
      <c r="Q172">
        <f t="shared" ref="Q172" si="836">F172*P172</f>
        <v>364206965.92895186</v>
      </c>
      <c r="R172">
        <f t="shared" ref="R172" si="837">R173+Q172</f>
        <v>-14448810731.595253</v>
      </c>
      <c r="S172">
        <f t="shared" ref="S172" si="838">R172/100000</f>
        <v>-144488.10731595254</v>
      </c>
      <c r="T172">
        <f t="shared" ref="T172" si="839">S172/1000</f>
        <v>-144.48810731595253</v>
      </c>
    </row>
    <row r="173" spans="1:20" x14ac:dyDescent="0.25">
      <c r="A173" s="5">
        <v>44420</v>
      </c>
      <c r="B173">
        <v>8.5570000000000004E-3</v>
      </c>
      <c r="C173">
        <v>9.2999999999999992E-3</v>
      </c>
      <c r="D173">
        <v>8.0000000000000002E-3</v>
      </c>
      <c r="E173">
        <v>8.3999999999999995E-3</v>
      </c>
      <c r="F173">
        <v>588134777</v>
      </c>
      <c r="G173">
        <v>8.3999999999999995E-3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-0.38461538461538525</v>
      </c>
      <c r="Q173">
        <f t="shared" ref="Q173" si="841">F173*P173</f>
        <v>-226205683.46153882</v>
      </c>
      <c r="R173">
        <f t="shared" ref="R173" si="842">R174+Q173</f>
        <v>-14813017697.524204</v>
      </c>
      <c r="S173">
        <f t="shared" ref="S173" si="843">R173/100000</f>
        <v>-148130.17697524204</v>
      </c>
      <c r="T173">
        <f t="shared" ref="T173" si="844">S173/1000</f>
        <v>-148.13017697524202</v>
      </c>
    </row>
    <row r="174" spans="1:20" x14ac:dyDescent="0.25">
      <c r="A174" s="5">
        <v>44419</v>
      </c>
      <c r="B174">
        <v>8.3119999999999999E-3</v>
      </c>
      <c r="C174">
        <v>9.4999999999999998E-3</v>
      </c>
      <c r="D174">
        <v>8.1300000000000001E-3</v>
      </c>
      <c r="E174">
        <v>8.5570000000000004E-3</v>
      </c>
      <c r="F174">
        <v>1012309344</v>
      </c>
      <c r="G174">
        <v>8.5570000000000004E-3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-0.37664233576642281</v>
      </c>
      <c r="Q174">
        <f t="shared" ref="Q174" si="846">F174*P174</f>
        <v>-381278555.84233522</v>
      </c>
      <c r="R174">
        <f t="shared" ref="R174" si="847">R175+Q174</f>
        <v>-14586812014.062666</v>
      </c>
      <c r="S174">
        <f t="shared" ref="S174" si="848">R174/100000</f>
        <v>-145868.12014062665</v>
      </c>
      <c r="T174">
        <f t="shared" ref="T174" si="849">S174/1000</f>
        <v>-145.86812014062664</v>
      </c>
    </row>
    <row r="175" spans="1:20" x14ac:dyDescent="0.25">
      <c r="A175" s="5">
        <v>44418</v>
      </c>
      <c r="B175">
        <v>8.5640000000000004E-3</v>
      </c>
      <c r="C175">
        <v>9.2809999999999993E-3</v>
      </c>
      <c r="D175">
        <v>7.8169999999999993E-3</v>
      </c>
      <c r="E175">
        <v>8.3119999999999999E-3</v>
      </c>
      <c r="F175">
        <v>895177531</v>
      </c>
      <c r="G175">
        <v>8.3119999999999999E-3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-0.32377049180327783</v>
      </c>
      <c r="Q175">
        <f t="shared" ref="Q175" si="851">F175*P175</f>
        <v>-289832069.46311396</v>
      </c>
      <c r="R175">
        <f t="shared" ref="R175" si="852">R176+Q175</f>
        <v>-14205533458.220331</v>
      </c>
      <c r="S175">
        <f t="shared" ref="S175" si="853">R175/100000</f>
        <v>-142055.3345822033</v>
      </c>
      <c r="T175">
        <f t="shared" ref="T175" si="854">S175/1000</f>
        <v>-142.0553345822033</v>
      </c>
    </row>
    <row r="176" spans="1:20" x14ac:dyDescent="0.25">
      <c r="A176" s="5">
        <v>44417</v>
      </c>
      <c r="B176">
        <v>7.5630000000000003E-3</v>
      </c>
      <c r="C176">
        <v>9.1249999999999994E-3</v>
      </c>
      <c r="D176">
        <v>7.2500000000000004E-3</v>
      </c>
      <c r="E176">
        <v>8.5730000000000008E-3</v>
      </c>
      <c r="F176">
        <v>1314059981</v>
      </c>
      <c r="G176">
        <v>8.5730000000000008E-3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0.41120000000000112</v>
      </c>
      <c r="Q176">
        <f t="shared" ref="Q176" si="856">F176*P176</f>
        <v>540341464.1872015</v>
      </c>
      <c r="R176">
        <f t="shared" ref="R176" si="857">R177+Q176</f>
        <v>-13915701388.757217</v>
      </c>
      <c r="S176">
        <f t="shared" ref="S176" si="858">R176/100000</f>
        <v>-139157.01388757216</v>
      </c>
      <c r="T176">
        <f t="shared" ref="T176" si="859">S176/1000</f>
        <v>-139.15701388757216</v>
      </c>
    </row>
    <row r="177" spans="1:20" x14ac:dyDescent="0.25">
      <c r="A177" s="5">
        <v>44416</v>
      </c>
      <c r="B177">
        <v>7.4089999999999998E-3</v>
      </c>
      <c r="C177">
        <v>8.1550000000000008E-3</v>
      </c>
      <c r="D177">
        <v>7.28E-3</v>
      </c>
      <c r="E177">
        <v>7.5500000000000003E-3</v>
      </c>
      <c r="F177">
        <v>932497012</v>
      </c>
      <c r="G177">
        <v>7.5500000000000003E-3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-0.38285714285714278</v>
      </c>
      <c r="Q177">
        <f t="shared" ref="Q177" si="861">F177*P177</f>
        <v>-357013141.7371428</v>
      </c>
      <c r="R177">
        <f t="shared" ref="R177" si="862">R178+Q177</f>
        <v>-14456042852.944418</v>
      </c>
      <c r="S177">
        <f t="shared" ref="S177" si="863">R177/100000</f>
        <v>-144560.42852944418</v>
      </c>
      <c r="T177">
        <f t="shared" ref="T177" si="864">S177/1000</f>
        <v>-144.56042852944418</v>
      </c>
    </row>
    <row r="178" spans="1:20" x14ac:dyDescent="0.25">
      <c r="A178" s="5">
        <v>44415</v>
      </c>
      <c r="B178">
        <v>7.3379999999999999E-3</v>
      </c>
      <c r="C178">
        <v>7.7530000000000003E-3</v>
      </c>
      <c r="D178">
        <v>7.175E-3</v>
      </c>
      <c r="E178">
        <v>7.4060000000000003E-3</v>
      </c>
      <c r="F178">
        <v>635022158</v>
      </c>
      <c r="G178">
        <v>7.4060000000000003E-3</v>
      </c>
      <c r="L178" t="s">
        <v>8</v>
      </c>
      <c r="M178" t="s">
        <v>7</v>
      </c>
      <c r="N178" t="s">
        <v>8</v>
      </c>
      <c r="P178">
        <f t="shared" ref="P178" si="865">IF(C178=D178,0,((E178-D178)-(C178-E178))/(C178-D178))</f>
        <v>-0.20069204152249084</v>
      </c>
      <c r="Q178">
        <f t="shared" ref="Q178" si="866">F178*P178</f>
        <v>-127443893.30103774</v>
      </c>
      <c r="R178">
        <f t="shared" ref="R178" si="867">R179+Q178</f>
        <v>-14099029711.207275</v>
      </c>
      <c r="S178">
        <f t="shared" ref="S178" si="868">R178/100000</f>
        <v>-140990.29711207276</v>
      </c>
      <c r="T178">
        <f t="shared" ref="T178" si="869">S178/1000</f>
        <v>-140.99029711207277</v>
      </c>
    </row>
    <row r="179" spans="1:20" x14ac:dyDescent="0.25">
      <c r="A179" s="5">
        <v>44414</v>
      </c>
      <c r="B179">
        <v>7.2420000000000002E-3</v>
      </c>
      <c r="C179">
        <v>7.5399999999999998E-3</v>
      </c>
      <c r="D179">
        <v>6.9499999999999996E-3</v>
      </c>
      <c r="E179">
        <v>7.3239999999999998E-3</v>
      </c>
      <c r="F179">
        <v>523501862</v>
      </c>
      <c r="G179">
        <v>7.3239999999999998E-3</v>
      </c>
      <c r="L179" t="s">
        <v>8</v>
      </c>
      <c r="M179" t="s">
        <v>7</v>
      </c>
      <c r="N179" t="s">
        <v>8</v>
      </c>
      <c r="P179">
        <f t="shared" ref="P179" si="870">IF(C179=D179,0,((E179-D179)-(C179-E179))/(C179-D179))</f>
        <v>0.26779661016949169</v>
      </c>
      <c r="Q179">
        <f t="shared" ref="Q179" si="871">F179*P179</f>
        <v>140192024.06101704</v>
      </c>
      <c r="R179">
        <f t="shared" ref="R179" si="872">R180+Q179</f>
        <v>-13971585817.906239</v>
      </c>
      <c r="S179">
        <f t="shared" ref="S179" si="873">R179/100000</f>
        <v>-139715.85817906237</v>
      </c>
      <c r="T179">
        <f t="shared" ref="T179" si="874">S179/1000</f>
        <v>-139.71585817906237</v>
      </c>
    </row>
    <row r="180" spans="1:20" x14ac:dyDescent="0.25">
      <c r="A180" s="5">
        <v>44413</v>
      </c>
      <c r="B180">
        <v>7.1199999999999996E-3</v>
      </c>
      <c r="C180">
        <v>7.2620000000000002E-3</v>
      </c>
      <c r="D180">
        <v>6.8659999999999997E-3</v>
      </c>
      <c r="E180">
        <v>7.2420000000000002E-3</v>
      </c>
      <c r="F180">
        <v>399308964</v>
      </c>
      <c r="G180">
        <v>7.2420000000000002E-3</v>
      </c>
      <c r="L180" t="s">
        <v>8</v>
      </c>
      <c r="M180" t="s">
        <v>7</v>
      </c>
      <c r="N180" t="s">
        <v>8</v>
      </c>
      <c r="P180">
        <f t="shared" ref="P180" si="875">IF(C180=D180,0,((E180-D180)-(C180-E180))/(C180-D180))</f>
        <v>0.89898989898989889</v>
      </c>
      <c r="Q180">
        <f t="shared" ref="Q180" si="876">F180*P180</f>
        <v>358974725.21212119</v>
      </c>
      <c r="R180">
        <f t="shared" ref="R180" si="877">R181+Q180</f>
        <v>-14111777841.967257</v>
      </c>
      <c r="S180">
        <f t="shared" ref="S180" si="878">R180/100000</f>
        <v>-141117.77841967257</v>
      </c>
      <c r="T180">
        <f t="shared" ref="T180" si="879">S180/1000</f>
        <v>-141.11777841967256</v>
      </c>
    </row>
    <row r="181" spans="1:20" x14ac:dyDescent="0.25">
      <c r="A181" s="5">
        <v>44412</v>
      </c>
      <c r="B181">
        <v>7.0590000000000002E-3</v>
      </c>
      <c r="C181">
        <v>7.2680000000000002E-3</v>
      </c>
      <c r="D181">
        <v>6.7990000000000004E-3</v>
      </c>
      <c r="E181">
        <v>7.1289999999999999E-3</v>
      </c>
      <c r="F181">
        <v>407134584</v>
      </c>
      <c r="G181">
        <v>7.1289999999999999E-3</v>
      </c>
      <c r="L181" t="s">
        <v>7</v>
      </c>
      <c r="M181" t="s">
        <v>7</v>
      </c>
      <c r="N181" t="s">
        <v>8</v>
      </c>
      <c r="P181">
        <f t="shared" ref="P181" si="880">IF(C181=D181,0,((E181-D181)-(C181-E181))/(C181-D181))</f>
        <v>0.40724946695095826</v>
      </c>
      <c r="Q181">
        <f t="shared" ref="Q181" si="881">F181*P181</f>
        <v>165805342.31130013</v>
      </c>
      <c r="R181">
        <f t="shared" ref="R181" si="882">R182+Q181</f>
        <v>-14470752567.179379</v>
      </c>
      <c r="S181">
        <f t="shared" ref="S181" si="883">R181/100000</f>
        <v>-144707.52567179379</v>
      </c>
      <c r="T181">
        <f t="shared" ref="T181" si="884">S181/1000</f>
        <v>-144.70752567179377</v>
      </c>
    </row>
    <row r="182" spans="1:20" x14ac:dyDescent="0.25">
      <c r="A182" s="5">
        <v>44411</v>
      </c>
      <c r="B182">
        <v>7.7460000000000003E-3</v>
      </c>
      <c r="C182">
        <v>7.7739999999999997E-3</v>
      </c>
      <c r="D182">
        <v>6.8459999999999997E-3</v>
      </c>
      <c r="E182">
        <v>7.0569999999999999E-3</v>
      </c>
      <c r="F182">
        <v>665561552</v>
      </c>
      <c r="G182">
        <v>7.0569999999999999E-3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-0.54525862068965458</v>
      </c>
      <c r="Q182">
        <f t="shared" ref="Q182" si="886">F182*P182</f>
        <v>-362903173.82758582</v>
      </c>
      <c r="R182">
        <f t="shared" ref="R182" si="887">R183+Q182</f>
        <v>-14636557909.490679</v>
      </c>
      <c r="S182">
        <f t="shared" ref="S182" si="888">R182/100000</f>
        <v>-146365.57909490677</v>
      </c>
      <c r="T182">
        <f t="shared" ref="T182" si="889">S182/1000</f>
        <v>-146.36557909490676</v>
      </c>
    </row>
    <row r="183" spans="1:20" x14ac:dyDescent="0.25">
      <c r="A183" s="5">
        <v>44410</v>
      </c>
      <c r="B183">
        <v>8.5240000000000003E-3</v>
      </c>
      <c r="C183">
        <v>9.1350000000000008E-3</v>
      </c>
      <c r="D183">
        <v>7.6239999999999997E-3</v>
      </c>
      <c r="E183">
        <v>7.7489999999999998E-3</v>
      </c>
      <c r="F183">
        <v>834675325</v>
      </c>
      <c r="G183">
        <v>7.7489999999999998E-3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-0.83454665784248838</v>
      </c>
      <c r="Q183">
        <f t="shared" ref="Q183" si="891">F183*P183</f>
        <v>-696575502.86234283</v>
      </c>
      <c r="R183">
        <f t="shared" ref="R183" si="892">R184+Q183</f>
        <v>-14273654735.663094</v>
      </c>
      <c r="S183">
        <f t="shared" ref="S183" si="893">R183/100000</f>
        <v>-142736.54735663094</v>
      </c>
      <c r="T183">
        <f t="shared" ref="T183" si="894">S183/1000</f>
        <v>-142.73654735663095</v>
      </c>
    </row>
    <row r="184" spans="1:20" x14ac:dyDescent="0.25">
      <c r="A184" s="5">
        <v>44409</v>
      </c>
      <c r="B184">
        <v>8.3420000000000005E-3</v>
      </c>
      <c r="C184">
        <v>9.1509999999999994E-3</v>
      </c>
      <c r="D184">
        <v>8.3420000000000005E-3</v>
      </c>
      <c r="E184">
        <v>8.5159999999999993E-3</v>
      </c>
      <c r="F184">
        <v>130421631</v>
      </c>
      <c r="G184">
        <v>8.5159999999999993E-3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-0.56983930778739422</v>
      </c>
      <c r="Q184">
        <f t="shared" ref="Q184" si="896">F184*P184</f>
        <v>-74319371.929542959</v>
      </c>
      <c r="R184">
        <f t="shared" ref="R184" si="897">R185+Q184</f>
        <v>-13577079232.800751</v>
      </c>
      <c r="S184">
        <f t="shared" ref="S184" si="898">R184/100000</f>
        <v>-135770.79232800752</v>
      </c>
      <c r="T184">
        <f t="shared" ref="T184" si="899">S184/1000</f>
        <v>-135.77079232800753</v>
      </c>
    </row>
    <row r="185" spans="1:20" x14ac:dyDescent="0.25">
      <c r="A185" s="5">
        <v>44408</v>
      </c>
      <c r="B185">
        <v>8.4239999999999992E-3</v>
      </c>
      <c r="C185">
        <v>8.5310000000000004E-3</v>
      </c>
      <c r="D185">
        <v>8.0400000000000003E-3</v>
      </c>
      <c r="E185">
        <v>8.3079999999999994E-3</v>
      </c>
      <c r="F185">
        <v>155940311</v>
      </c>
      <c r="G185">
        <v>8.3079999999999994E-3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9.1649694501014567E-2</v>
      </c>
      <c r="Q185">
        <f t="shared" ref="Q185" si="901">F185*P185</f>
        <v>14291881.863543201</v>
      </c>
      <c r="R185">
        <f t="shared" ref="R185" si="902">R186+Q185</f>
        <v>-13502759860.871208</v>
      </c>
      <c r="S185">
        <f t="shared" ref="S185" si="903">R185/100000</f>
        <v>-135027.59860871208</v>
      </c>
      <c r="T185">
        <f t="shared" ref="T185" si="904">S185/1000</f>
        <v>-135.02759860871208</v>
      </c>
    </row>
    <row r="186" spans="1:20" x14ac:dyDescent="0.25">
      <c r="A186" s="5">
        <v>44407</v>
      </c>
      <c r="B186">
        <v>7.9690000000000004E-3</v>
      </c>
      <c r="C186">
        <v>8.6E-3</v>
      </c>
      <c r="D186">
        <v>7.7889999999999999E-3</v>
      </c>
      <c r="E186">
        <v>8.4419999999999999E-3</v>
      </c>
      <c r="F186">
        <v>181274698</v>
      </c>
      <c r="G186">
        <v>8.4419999999999999E-3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0.6103575832305792</v>
      </c>
      <c r="Q186">
        <f t="shared" ref="Q186" si="906">F186*P186</f>
        <v>110642386.57213311</v>
      </c>
      <c r="R186">
        <f t="shared" ref="R186" si="907">R187+Q186</f>
        <v>-13517051742.734751</v>
      </c>
      <c r="S186">
        <f t="shared" ref="S186" si="908">R186/100000</f>
        <v>-135170.51742734751</v>
      </c>
      <c r="T186">
        <f t="shared" ref="T186" si="909">S186/1000</f>
        <v>-135.17051742734751</v>
      </c>
    </row>
    <row r="187" spans="1:20" x14ac:dyDescent="0.25">
      <c r="A187" s="5">
        <v>44406</v>
      </c>
      <c r="B187">
        <v>7.6670000000000002E-3</v>
      </c>
      <c r="C187">
        <v>8.0000000000000002E-3</v>
      </c>
      <c r="D187">
        <v>7.5170000000000002E-3</v>
      </c>
      <c r="E187">
        <v>7.9299999999999995E-3</v>
      </c>
      <c r="F187">
        <v>57545290</v>
      </c>
      <c r="G187">
        <v>7.9299999999999995E-3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0.71014492753622926</v>
      </c>
      <c r="Q187">
        <f t="shared" ref="Q187" si="911">F187*P187</f>
        <v>40865495.797101296</v>
      </c>
      <c r="R187">
        <f t="shared" ref="R187" si="912">R188+Q187</f>
        <v>-13627694129.306885</v>
      </c>
      <c r="S187">
        <f t="shared" ref="S187" si="913">R187/100000</f>
        <v>-136276.94129306884</v>
      </c>
      <c r="T187">
        <f t="shared" ref="T187" si="914">S187/1000</f>
        <v>-136.27694129306883</v>
      </c>
    </row>
    <row r="188" spans="1:20" x14ac:dyDescent="0.25">
      <c r="A188" s="5">
        <v>44405</v>
      </c>
      <c r="B188">
        <v>7.5900000000000004E-3</v>
      </c>
      <c r="C188">
        <v>8.0619999999999997E-3</v>
      </c>
      <c r="D188">
        <v>7.4000000000000003E-3</v>
      </c>
      <c r="E188">
        <v>7.6369999999999997E-3</v>
      </c>
      <c r="F188">
        <v>124988491</v>
      </c>
      <c r="G188">
        <v>7.6369999999999997E-3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-0.28398791540785623</v>
      </c>
      <c r="Q188">
        <f t="shared" ref="Q188" si="916">F188*P188</f>
        <v>-35495221.009063601</v>
      </c>
      <c r="R188">
        <f t="shared" ref="R188" si="917">R189+Q188</f>
        <v>-13668559625.103987</v>
      </c>
      <c r="S188">
        <f t="shared" ref="S188" si="918">R188/100000</f>
        <v>-136685.59625103985</v>
      </c>
      <c r="T188">
        <f t="shared" ref="T188" si="919">S188/1000</f>
        <v>-136.68559625103984</v>
      </c>
    </row>
    <row r="189" spans="1:20" x14ac:dyDescent="0.25">
      <c r="A189" s="5">
        <v>44404</v>
      </c>
      <c r="B189">
        <v>7.3720000000000001E-3</v>
      </c>
      <c r="C189">
        <v>7.626E-3</v>
      </c>
      <c r="D189">
        <v>7.1760000000000001E-3</v>
      </c>
      <c r="E189">
        <v>7.5770000000000004E-3</v>
      </c>
      <c r="F189">
        <v>85866339</v>
      </c>
      <c r="G189">
        <v>7.5770000000000004E-3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0.78222222222222415</v>
      </c>
      <c r="Q189">
        <f t="shared" ref="Q189" si="921">F189*P189</f>
        <v>67166558.506666839</v>
      </c>
      <c r="R189">
        <f t="shared" ref="R189" si="922">R190+Q189</f>
        <v>-13633064404.094923</v>
      </c>
      <c r="S189">
        <f t="shared" ref="S189" si="923">R189/100000</f>
        <v>-136330.64404094924</v>
      </c>
      <c r="T189">
        <f t="shared" ref="T189" si="924">S189/1000</f>
        <v>-136.33064404094924</v>
      </c>
    </row>
    <row r="190" spans="1:20" x14ac:dyDescent="0.25">
      <c r="A190" s="5">
        <v>44403</v>
      </c>
      <c r="B190">
        <v>7.182E-3</v>
      </c>
      <c r="C190">
        <v>8.3199999999999993E-3</v>
      </c>
      <c r="D190">
        <v>7.1269999999999997E-3</v>
      </c>
      <c r="E190">
        <v>7.3850000000000001E-3</v>
      </c>
      <c r="F190">
        <v>218069629</v>
      </c>
      <c r="G190">
        <v>7.3850000000000001E-3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-0.56747694886839817</v>
      </c>
      <c r="Q190">
        <f t="shared" ref="Q190" si="926">F190*P190</f>
        <v>-123749487.70578356</v>
      </c>
      <c r="R190">
        <f t="shared" ref="R190" si="927">R191+Q190</f>
        <v>-13700230962.601589</v>
      </c>
      <c r="S190">
        <f t="shared" ref="S190" si="928">R190/100000</f>
        <v>-137002.30962601589</v>
      </c>
      <c r="T190">
        <f t="shared" ref="T190" si="929">S190/1000</f>
        <v>-137.00230962601589</v>
      </c>
    </row>
    <row r="191" spans="1:20" x14ac:dyDescent="0.25">
      <c r="A191" s="5">
        <v>44402</v>
      </c>
      <c r="B191">
        <v>6.9740000000000002E-3</v>
      </c>
      <c r="C191">
        <v>7.2309999999999996E-3</v>
      </c>
      <c r="D191">
        <v>6.764E-3</v>
      </c>
      <c r="E191">
        <v>7.1919999999999996E-3</v>
      </c>
      <c r="F191">
        <v>74121672</v>
      </c>
      <c r="G191">
        <v>7.1919999999999996E-3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0.83297644539614557</v>
      </c>
      <c r="Q191">
        <f t="shared" ref="Q191" si="931">F191*P191</f>
        <v>61741606.869379014</v>
      </c>
      <c r="R191">
        <f t="shared" ref="R191" si="932">R192+Q191</f>
        <v>-13576481474.895805</v>
      </c>
      <c r="S191">
        <f t="shared" ref="S191" si="933">R191/100000</f>
        <v>-135764.81474895804</v>
      </c>
      <c r="T191">
        <f t="shared" ref="T191:T197" si="934">S191/1000</f>
        <v>-135.76481474895803</v>
      </c>
    </row>
    <row r="192" spans="1:20" x14ac:dyDescent="0.25">
      <c r="A192" s="5">
        <v>44401</v>
      </c>
      <c r="B192">
        <v>6.7590000000000003E-3</v>
      </c>
      <c r="C192">
        <v>7.025E-3</v>
      </c>
      <c r="D192">
        <v>6.6860000000000001E-3</v>
      </c>
      <c r="E192">
        <v>6.9940000000000002E-3</v>
      </c>
      <c r="F192">
        <v>70677564</v>
      </c>
      <c r="G192">
        <v>6.9940000000000002E-3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0.81710914454277417</v>
      </c>
      <c r="Q192">
        <f t="shared" ref="Q192" si="936">F192*P192</f>
        <v>57751283.85840717</v>
      </c>
      <c r="R192">
        <f t="shared" ref="R192" si="937">R193+Q192</f>
        <v>-13638223081.765184</v>
      </c>
      <c r="S192">
        <f t="shared" ref="S192" si="938">R192/100000</f>
        <v>-136382.23081765184</v>
      </c>
      <c r="T192">
        <f t="shared" si="934"/>
        <v>-136.38223081765184</v>
      </c>
    </row>
    <row r="193" spans="1:20" x14ac:dyDescent="0.25">
      <c r="A193" s="5">
        <v>44400</v>
      </c>
      <c r="B193">
        <v>6.6649999999999999E-3</v>
      </c>
      <c r="C193">
        <v>6.7920000000000003E-3</v>
      </c>
      <c r="D193">
        <v>6.4310000000000001E-3</v>
      </c>
      <c r="E193">
        <v>6.7590000000000003E-3</v>
      </c>
      <c r="F193">
        <v>71158974</v>
      </c>
      <c r="G193">
        <v>6.7590000000000003E-3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0.81717451523545692</v>
      </c>
      <c r="Q193">
        <f t="shared" ref="Q193" si="940">F193*P193</f>
        <v>58149300.08310248</v>
      </c>
      <c r="R193">
        <f t="shared" ref="R193" si="941">R194+Q193</f>
        <v>-13695974365.623592</v>
      </c>
      <c r="S193">
        <f t="shared" ref="S193" si="942">R193/100000</f>
        <v>-136959.74365623592</v>
      </c>
      <c r="T193">
        <f t="shared" si="934"/>
        <v>-136.95974365623593</v>
      </c>
    </row>
    <row r="194" spans="1:20" x14ac:dyDescent="0.25">
      <c r="A194" s="5">
        <v>44399</v>
      </c>
      <c r="B194">
        <v>6.5799999999999999E-3</v>
      </c>
      <c r="C194">
        <v>6.862E-3</v>
      </c>
      <c r="D194">
        <v>6.4050000000000001E-3</v>
      </c>
      <c r="E194">
        <v>6.6480000000000003E-3</v>
      </c>
      <c r="F194">
        <v>93836724</v>
      </c>
      <c r="G194">
        <v>6.6480000000000003E-3</v>
      </c>
      <c r="L194" t="s">
        <v>7</v>
      </c>
      <c r="M194" t="s">
        <v>8</v>
      </c>
      <c r="N194" t="s">
        <v>7</v>
      </c>
      <c r="P194">
        <f t="shared" ref="P194" si="943">IF(C194=D194,0,((E194-D194)-(C194-E194))/(C194-D194))</f>
        <v>6.3457330415755756E-2</v>
      </c>
      <c r="Q194">
        <f t="shared" ref="Q194" si="944">F194*P194</f>
        <v>5954628.0000000782</v>
      </c>
      <c r="R194">
        <f t="shared" ref="R194" si="945">R195+Q194</f>
        <v>-13754123665.706696</v>
      </c>
      <c r="S194">
        <f t="shared" ref="S194" si="946">R194/100000</f>
        <v>-137541.23665706697</v>
      </c>
      <c r="T194">
        <f t="shared" si="934"/>
        <v>-137.54123665706697</v>
      </c>
    </row>
    <row r="195" spans="1:20" x14ac:dyDescent="0.25">
      <c r="A195" s="5">
        <v>44398</v>
      </c>
      <c r="B195">
        <v>5.8890000000000001E-3</v>
      </c>
      <c r="C195">
        <v>6.8799999999999998E-3</v>
      </c>
      <c r="D195">
        <v>5.7679999999999997E-3</v>
      </c>
      <c r="E195">
        <v>6.581E-3</v>
      </c>
      <c r="F195">
        <v>105016711</v>
      </c>
      <c r="G195">
        <v>6.581E-3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0.46223021582733859</v>
      </c>
      <c r="Q195">
        <f t="shared" ref="Q195" si="948">F195*P195</f>
        <v>48541896.991007239</v>
      </c>
      <c r="R195">
        <f t="shared" ref="R195" si="949">R196+Q195</f>
        <v>-13760078293.706696</v>
      </c>
      <c r="S195">
        <f t="shared" ref="S195" si="950">R195/100000</f>
        <v>-137600.78293706695</v>
      </c>
      <c r="T195">
        <f t="shared" si="934"/>
        <v>-137.60078293706695</v>
      </c>
    </row>
    <row r="196" spans="1:20" x14ac:dyDescent="0.25">
      <c r="A196" s="5">
        <v>44397</v>
      </c>
      <c r="B196">
        <v>6.3169999999999997E-3</v>
      </c>
      <c r="C196">
        <v>6.6950000000000004E-3</v>
      </c>
      <c r="D196">
        <v>5.6709999999999998E-3</v>
      </c>
      <c r="E196">
        <v>5.8710000000000004E-3</v>
      </c>
      <c r="F196">
        <v>180615795</v>
      </c>
      <c r="G196">
        <v>5.8710000000000004E-3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-0.60937499999999922</v>
      </c>
      <c r="Q196">
        <f t="shared" ref="Q196" si="952">F196*P196</f>
        <v>-110062750.07812487</v>
      </c>
      <c r="R196">
        <f t="shared" ref="R196" si="953">R197+Q196</f>
        <v>-13808620190.697702</v>
      </c>
      <c r="S196">
        <f t="shared" ref="S196" si="954">R196/100000</f>
        <v>-138086.20190697702</v>
      </c>
      <c r="T196">
        <f t="shared" si="934"/>
        <v>-138.08620190697701</v>
      </c>
    </row>
    <row r="197" spans="1:20" x14ac:dyDescent="0.25">
      <c r="A197" s="5">
        <v>44396</v>
      </c>
      <c r="B197">
        <v>7.1240000000000001E-3</v>
      </c>
      <c r="C197">
        <v>7.1240000000000001E-3</v>
      </c>
      <c r="D197">
        <v>6.28E-3</v>
      </c>
      <c r="E197">
        <v>6.3049999999999998E-3</v>
      </c>
      <c r="F197">
        <v>70990121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-0.94075829383886289</v>
      </c>
      <c r="Q197">
        <f t="shared" ref="Q197" si="956">F197*P197</f>
        <v>-66784545.11137443</v>
      </c>
      <c r="R197">
        <f t="shared" ref="R197" si="957">R198+Q197</f>
        <v>-13698557440.619577</v>
      </c>
      <c r="S197">
        <f t="shared" ref="S197" si="958">R197/100000</f>
        <v>-136985.57440619578</v>
      </c>
      <c r="T197">
        <f t="shared" si="934"/>
        <v>-136.98557440619578</v>
      </c>
    </row>
    <row r="198" spans="1:20" x14ac:dyDescent="0.25">
      <c r="A198" s="5">
        <v>44395</v>
      </c>
      <c r="B198">
        <v>7.0309999999999999E-3</v>
      </c>
      <c r="C198">
        <v>7.2490000000000002E-3</v>
      </c>
      <c r="D198">
        <v>6.8999999999999999E-3</v>
      </c>
      <c r="E198">
        <v>7.1089999999999999E-3</v>
      </c>
      <c r="F198">
        <v>64503711</v>
      </c>
      <c r="G198">
        <v>0</v>
      </c>
      <c r="L198" t="s">
        <v>7</v>
      </c>
      <c r="M198" t="s">
        <v>7</v>
      </c>
      <c r="N198" t="s">
        <v>8</v>
      </c>
      <c r="P198">
        <f t="shared" ref="P198:P261" si="959">IF(C198=D198,0,((E198-D198)-(C198-E198))/(C198-D198))</f>
        <v>0.19770773638968353</v>
      </c>
      <c r="Q198">
        <f t="shared" ref="Q198:Q261" si="960">F198*P198</f>
        <v>12752882.69054433</v>
      </c>
      <c r="R198">
        <f t="shared" ref="R198:R261" si="961">R199+Q198</f>
        <v>-13631772895.508204</v>
      </c>
      <c r="S198">
        <f t="shared" ref="S198:S261" si="962">R198/100000</f>
        <v>-136317.72895508204</v>
      </c>
      <c r="T198">
        <f t="shared" ref="T198:T261" si="963">S198/1000</f>
        <v>-136.31772895508203</v>
      </c>
    </row>
    <row r="199" spans="1:20" x14ac:dyDescent="0.25">
      <c r="A199" s="5">
        <v>44394</v>
      </c>
      <c r="B199">
        <v>7.2500000000000004E-3</v>
      </c>
      <c r="C199">
        <v>7.4380000000000002E-3</v>
      </c>
      <c r="D199">
        <v>6.9509999999999997E-3</v>
      </c>
      <c r="E199">
        <v>7.0169999999999998E-3</v>
      </c>
      <c r="F199">
        <v>78301115</v>
      </c>
      <c r="G199">
        <v>0</v>
      </c>
      <c r="L199" t="s">
        <v>8</v>
      </c>
      <c r="M199" t="s">
        <v>7</v>
      </c>
      <c r="N199" t="s">
        <v>8</v>
      </c>
      <c r="P199">
        <f t="shared" si="959"/>
        <v>-0.72895277207392184</v>
      </c>
      <c r="Q199">
        <f t="shared" si="960"/>
        <v>-57077814.835728943</v>
      </c>
      <c r="R199">
        <f t="shared" si="961"/>
        <v>-13644525778.198748</v>
      </c>
      <c r="S199">
        <f t="shared" si="962"/>
        <v>-136445.25778198749</v>
      </c>
      <c r="T199">
        <f t="shared" si="963"/>
        <v>-136.44525778198749</v>
      </c>
    </row>
    <row r="200" spans="1:20" x14ac:dyDescent="0.25">
      <c r="A200" s="5">
        <v>44393</v>
      </c>
      <c r="B200">
        <v>7.2129999999999998E-3</v>
      </c>
      <c r="C200">
        <v>7.6530000000000001E-3</v>
      </c>
      <c r="D200">
        <v>6.8399999999999997E-3</v>
      </c>
      <c r="E200">
        <v>7.2500000000000004E-3</v>
      </c>
      <c r="F200">
        <v>117132422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8.6100861008621479E-3</v>
      </c>
      <c r="Q200">
        <f t="shared" si="960"/>
        <v>1008520.2386225197</v>
      </c>
      <c r="R200">
        <f t="shared" si="961"/>
        <v>-13587447963.363018</v>
      </c>
      <c r="S200">
        <f t="shared" si="962"/>
        <v>-135874.47963363017</v>
      </c>
      <c r="T200">
        <f t="shared" si="963"/>
        <v>-135.87447963363016</v>
      </c>
    </row>
    <row r="201" spans="1:20" x14ac:dyDescent="0.25">
      <c r="A201" s="5">
        <v>44392</v>
      </c>
      <c r="B201">
        <v>7.4599999999999996E-3</v>
      </c>
      <c r="C201">
        <v>7.8689999999999993E-3</v>
      </c>
      <c r="D201">
        <v>7.0010000000000003E-3</v>
      </c>
      <c r="E201">
        <v>7.1970000000000003E-3</v>
      </c>
      <c r="F201">
        <v>96378892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-0.54838709677419306</v>
      </c>
      <c r="Q201">
        <f t="shared" si="960"/>
        <v>-52852940.774193503</v>
      </c>
      <c r="R201">
        <f t="shared" si="961"/>
        <v>-13588456483.601641</v>
      </c>
      <c r="S201">
        <f t="shared" si="962"/>
        <v>-135884.56483601642</v>
      </c>
      <c r="T201">
        <f t="shared" si="963"/>
        <v>-135.88456483601641</v>
      </c>
    </row>
    <row r="202" spans="1:20" x14ac:dyDescent="0.25">
      <c r="A202" s="5">
        <v>44391</v>
      </c>
      <c r="B202">
        <v>7.2069999999999999E-3</v>
      </c>
      <c r="C202">
        <v>7.5440000000000004E-3</v>
      </c>
      <c r="D202">
        <v>6.6420000000000003E-3</v>
      </c>
      <c r="E202">
        <v>7.4390000000000003E-3</v>
      </c>
      <c r="F202">
        <v>112199988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0.76718403547671832</v>
      </c>
      <c r="Q202">
        <f t="shared" si="960"/>
        <v>86078039.574279368</v>
      </c>
      <c r="R202">
        <f t="shared" si="961"/>
        <v>-13535603542.827448</v>
      </c>
      <c r="S202">
        <f t="shared" si="962"/>
        <v>-135356.03542827448</v>
      </c>
      <c r="T202">
        <f t="shared" si="963"/>
        <v>-135.35603542827448</v>
      </c>
    </row>
    <row r="203" spans="1:20" x14ac:dyDescent="0.25">
      <c r="A203" s="5">
        <v>44390</v>
      </c>
      <c r="B203">
        <v>7.6299999999999996E-3</v>
      </c>
      <c r="C203">
        <v>7.6649999999999999E-3</v>
      </c>
      <c r="D203">
        <v>7.1170000000000001E-3</v>
      </c>
      <c r="E203">
        <v>7.1890000000000001E-3</v>
      </c>
      <c r="F203">
        <v>106743176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-0.73722627737226265</v>
      </c>
      <c r="Q203">
        <f t="shared" si="960"/>
        <v>-78693874.277372256</v>
      </c>
      <c r="R203">
        <f t="shared" si="961"/>
        <v>-13621681582.401728</v>
      </c>
      <c r="S203">
        <f t="shared" si="962"/>
        <v>-136216.81582401728</v>
      </c>
      <c r="T203">
        <f t="shared" si="963"/>
        <v>-136.21681582401729</v>
      </c>
    </row>
    <row r="204" spans="1:20" x14ac:dyDescent="0.25">
      <c r="A204" s="5">
        <v>44389</v>
      </c>
      <c r="B204">
        <v>7.9719999999999999E-3</v>
      </c>
      <c r="C204">
        <v>8.0739999999999996E-3</v>
      </c>
      <c r="D204">
        <v>7.5469999999999999E-3</v>
      </c>
      <c r="E204">
        <v>7.6340000000000002E-3</v>
      </c>
      <c r="F204">
        <v>67127164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-0.66982922201138395</v>
      </c>
      <c r="Q204">
        <f t="shared" si="960"/>
        <v>-44963736.037950583</v>
      </c>
      <c r="R204">
        <f t="shared" si="961"/>
        <v>-13542987708.124355</v>
      </c>
      <c r="S204">
        <f t="shared" si="962"/>
        <v>-135429.87708124355</v>
      </c>
      <c r="T204">
        <f t="shared" si="963"/>
        <v>-135.42987708124355</v>
      </c>
    </row>
    <row r="205" spans="1:20" x14ac:dyDescent="0.25">
      <c r="A205" s="5">
        <v>44388</v>
      </c>
      <c r="B205">
        <v>7.8469999999999998E-3</v>
      </c>
      <c r="C205">
        <v>8.0940000000000005E-3</v>
      </c>
      <c r="D205">
        <v>7.6680000000000003E-3</v>
      </c>
      <c r="E205">
        <v>7.9760000000000005E-3</v>
      </c>
      <c r="F205">
        <v>67789582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0.4460093896713615</v>
      </c>
      <c r="Q205">
        <f t="shared" si="960"/>
        <v>30234790.093896713</v>
      </c>
      <c r="R205">
        <f t="shared" si="961"/>
        <v>-13498023972.086405</v>
      </c>
      <c r="S205">
        <f t="shared" si="962"/>
        <v>-134980.23972086405</v>
      </c>
      <c r="T205">
        <f t="shared" si="963"/>
        <v>-134.98023972086403</v>
      </c>
    </row>
    <row r="206" spans="1:20" x14ac:dyDescent="0.25">
      <c r="A206" s="5">
        <v>44387</v>
      </c>
      <c r="B206">
        <v>7.9640000000000006E-3</v>
      </c>
      <c r="C206">
        <v>8.0890000000000007E-3</v>
      </c>
      <c r="D206">
        <v>7.7390000000000002E-3</v>
      </c>
      <c r="E206">
        <v>7.8220000000000008E-3</v>
      </c>
      <c r="F206">
        <v>52761016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-0.52571428571428291</v>
      </c>
      <c r="Q206">
        <f t="shared" si="960"/>
        <v>-27737219.839999851</v>
      </c>
      <c r="R206">
        <f t="shared" si="961"/>
        <v>-13528258762.180302</v>
      </c>
      <c r="S206">
        <f t="shared" si="962"/>
        <v>-135282.58762180302</v>
      </c>
      <c r="T206">
        <f t="shared" si="963"/>
        <v>-135.282587621803</v>
      </c>
    </row>
    <row r="207" spans="1:20" x14ac:dyDescent="0.25">
      <c r="A207" s="5">
        <v>44386</v>
      </c>
      <c r="B207">
        <v>7.7340000000000004E-3</v>
      </c>
      <c r="C207">
        <v>8.2489999999999994E-3</v>
      </c>
      <c r="D207">
        <v>7.535E-3</v>
      </c>
      <c r="E207">
        <v>7.9799999999999992E-3</v>
      </c>
      <c r="F207">
        <v>98997839</v>
      </c>
      <c r="G207">
        <v>0</v>
      </c>
      <c r="L207" t="s">
        <v>8</v>
      </c>
      <c r="M207" t="s">
        <v>7</v>
      </c>
      <c r="N207" t="s">
        <v>8</v>
      </c>
      <c r="P207">
        <f t="shared" si="959"/>
        <v>0.24649859943977484</v>
      </c>
      <c r="Q207">
        <f t="shared" si="960"/>
        <v>24402828.661064319</v>
      </c>
      <c r="R207">
        <f t="shared" si="961"/>
        <v>-13500521542.340302</v>
      </c>
      <c r="S207">
        <f t="shared" si="962"/>
        <v>-135005.21542340302</v>
      </c>
      <c r="T207">
        <f t="shared" si="963"/>
        <v>-135.00521542340303</v>
      </c>
    </row>
    <row r="208" spans="1:20" x14ac:dyDescent="0.25">
      <c r="A208" s="5">
        <v>44385</v>
      </c>
      <c r="B208">
        <v>8.6300000000000005E-3</v>
      </c>
      <c r="C208">
        <v>8.6999999999999994E-3</v>
      </c>
      <c r="D208">
        <v>7.6E-3</v>
      </c>
      <c r="E208">
        <v>7.7250000000000001E-3</v>
      </c>
      <c r="F208">
        <v>98763071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-0.77272727272727237</v>
      </c>
      <c r="Q208">
        <f t="shared" si="960"/>
        <v>-76316918.49999997</v>
      </c>
      <c r="R208">
        <f t="shared" si="961"/>
        <v>-13524924371.001366</v>
      </c>
      <c r="S208">
        <f t="shared" si="962"/>
        <v>-135249.24371001366</v>
      </c>
      <c r="T208">
        <f t="shared" si="963"/>
        <v>-135.24924371001367</v>
      </c>
    </row>
    <row r="209" spans="1:20" x14ac:dyDescent="0.25">
      <c r="A209" s="5">
        <v>44384</v>
      </c>
      <c r="B209">
        <v>8.2400000000000008E-3</v>
      </c>
      <c r="C209">
        <v>8.8749999999999992E-3</v>
      </c>
      <c r="D209">
        <v>8.1469999999999997E-3</v>
      </c>
      <c r="E209">
        <v>8.6510000000000007E-3</v>
      </c>
      <c r="F209">
        <v>136631327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0.3846153846153883</v>
      </c>
      <c r="Q209">
        <f t="shared" si="960"/>
        <v>52550510.384615891</v>
      </c>
      <c r="R209">
        <f t="shared" si="961"/>
        <v>-13448607452.501366</v>
      </c>
      <c r="S209">
        <f t="shared" si="962"/>
        <v>-134486.07452501365</v>
      </c>
      <c r="T209">
        <f t="shared" si="963"/>
        <v>-134.48607452501366</v>
      </c>
    </row>
    <row r="210" spans="1:20" x14ac:dyDescent="0.25">
      <c r="A210" s="5">
        <v>44383</v>
      </c>
      <c r="B210">
        <v>8.0309999999999999E-3</v>
      </c>
      <c r="C210">
        <v>8.5070000000000007E-3</v>
      </c>
      <c r="D210">
        <v>7.9850000000000008E-3</v>
      </c>
      <c r="E210">
        <v>8.2430000000000003E-3</v>
      </c>
      <c r="F210">
        <v>118516032</v>
      </c>
      <c r="G210">
        <v>0</v>
      </c>
      <c r="L210" t="s">
        <v>7</v>
      </c>
      <c r="M210" t="s">
        <v>8</v>
      </c>
      <c r="N210" t="s">
        <v>8</v>
      </c>
      <c r="P210">
        <f t="shared" si="959"/>
        <v>-1.1494252873564747E-2</v>
      </c>
      <c r="Q210">
        <f t="shared" si="960"/>
        <v>-1362253.2413794915</v>
      </c>
      <c r="R210">
        <f t="shared" si="961"/>
        <v>-13501157962.885981</v>
      </c>
      <c r="S210">
        <f t="shared" si="962"/>
        <v>-135011.57962885979</v>
      </c>
      <c r="T210">
        <f t="shared" si="963"/>
        <v>-135.01157962885981</v>
      </c>
    </row>
    <row r="211" spans="1:20" x14ac:dyDescent="0.25">
      <c r="A211" s="5">
        <v>44382</v>
      </c>
      <c r="B211">
        <v>8.6189999999999999E-3</v>
      </c>
      <c r="C211">
        <v>8.6189999999999999E-3</v>
      </c>
      <c r="D211">
        <v>8.0000000000000002E-3</v>
      </c>
      <c r="E211">
        <v>8.0490000000000006E-3</v>
      </c>
      <c r="F211">
        <v>144795061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-0.84168012924070934</v>
      </c>
      <c r="Q211">
        <f t="shared" si="960"/>
        <v>-121871125.6558964</v>
      </c>
      <c r="R211">
        <f t="shared" si="961"/>
        <v>-13499795709.644602</v>
      </c>
      <c r="S211">
        <f t="shared" si="962"/>
        <v>-134997.95709644601</v>
      </c>
      <c r="T211">
        <f t="shared" si="963"/>
        <v>-134.99795709644602</v>
      </c>
    </row>
    <row r="212" spans="1:20" x14ac:dyDescent="0.25">
      <c r="A212" s="5">
        <v>44381</v>
      </c>
      <c r="B212">
        <v>8.574E-3</v>
      </c>
      <c r="C212">
        <v>9.1000000000000004E-3</v>
      </c>
      <c r="D212">
        <v>8.3459999999999993E-3</v>
      </c>
      <c r="E212">
        <v>8.6040000000000005E-3</v>
      </c>
      <c r="F212">
        <v>124977460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-0.31564986737400297</v>
      </c>
      <c r="Q212">
        <f t="shared" si="960"/>
        <v>-39449118.673739761</v>
      </c>
      <c r="R212">
        <f t="shared" si="961"/>
        <v>-13377924583.988705</v>
      </c>
      <c r="S212">
        <f t="shared" si="962"/>
        <v>-133779.24583988704</v>
      </c>
      <c r="T212">
        <f t="shared" si="963"/>
        <v>-133.77924583988704</v>
      </c>
    </row>
    <row r="213" spans="1:20" x14ac:dyDescent="0.25">
      <c r="A213" s="5">
        <v>44380</v>
      </c>
      <c r="B213">
        <v>8.0920000000000002E-3</v>
      </c>
      <c r="C213">
        <v>8.8000000000000005E-3</v>
      </c>
      <c r="D213">
        <v>7.9000000000000008E-3</v>
      </c>
      <c r="E213">
        <v>8.5660000000000007E-3</v>
      </c>
      <c r="F213">
        <v>166982881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0.4800000000000002</v>
      </c>
      <c r="Q213">
        <f t="shared" si="960"/>
        <v>80151782.88000004</v>
      </c>
      <c r="R213">
        <f t="shared" si="961"/>
        <v>-13338475465.314964</v>
      </c>
      <c r="S213">
        <f t="shared" si="962"/>
        <v>-133384.75465314963</v>
      </c>
      <c r="T213">
        <f t="shared" si="963"/>
        <v>-133.38475465314963</v>
      </c>
    </row>
    <row r="214" spans="1:20" x14ac:dyDescent="0.25">
      <c r="A214" s="5">
        <v>44379</v>
      </c>
      <c r="B214">
        <v>7.9979999999999999E-3</v>
      </c>
      <c r="C214">
        <v>8.2780000000000006E-3</v>
      </c>
      <c r="D214">
        <v>7.7619999999999998E-3</v>
      </c>
      <c r="E214">
        <v>8.0669999999999995E-3</v>
      </c>
      <c r="F214">
        <v>283381021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0.18217054263565591</v>
      </c>
      <c r="Q214">
        <f t="shared" si="960"/>
        <v>51623674.368216202</v>
      </c>
      <c r="R214">
        <f t="shared" si="961"/>
        <v>-13418627248.194963</v>
      </c>
      <c r="S214">
        <f t="shared" si="962"/>
        <v>-134186.27248194962</v>
      </c>
      <c r="T214">
        <f t="shared" si="963"/>
        <v>-134.18627248194963</v>
      </c>
    </row>
    <row r="215" spans="1:20" x14ac:dyDescent="0.25">
      <c r="A215" s="5">
        <v>44378</v>
      </c>
      <c r="B215">
        <v>8.6549999999999995E-3</v>
      </c>
      <c r="C215">
        <v>8.7049999999999992E-3</v>
      </c>
      <c r="D215">
        <v>7.783E-3</v>
      </c>
      <c r="E215">
        <v>7.9959999999999996E-3</v>
      </c>
      <c r="F215">
        <v>189451715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-0.53796095444685499</v>
      </c>
      <c r="Q215">
        <f t="shared" si="960"/>
        <v>-101917625.42299356</v>
      </c>
      <c r="R215">
        <f t="shared" si="961"/>
        <v>-13470250922.563179</v>
      </c>
      <c r="S215">
        <f t="shared" si="962"/>
        <v>-134702.5092256318</v>
      </c>
      <c r="T215">
        <f t="shared" si="963"/>
        <v>-134.70250922563181</v>
      </c>
    </row>
    <row r="216" spans="1:20" x14ac:dyDescent="0.25">
      <c r="A216" s="5">
        <v>44377</v>
      </c>
      <c r="B216">
        <v>8.4279999999999997E-3</v>
      </c>
      <c r="C216">
        <v>8.8959999999999994E-3</v>
      </c>
      <c r="D216">
        <v>7.979E-3</v>
      </c>
      <c r="E216">
        <v>8.6499999999999997E-3</v>
      </c>
      <c r="F216">
        <v>170344949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0.46346782988004392</v>
      </c>
      <c r="Q216">
        <f t="shared" si="960"/>
        <v>78949403.844056755</v>
      </c>
      <c r="R216">
        <f t="shared" si="961"/>
        <v>-13368333297.140186</v>
      </c>
      <c r="S216">
        <f t="shared" si="962"/>
        <v>-133683.33297140186</v>
      </c>
      <c r="T216">
        <f t="shared" si="963"/>
        <v>-133.68333297140185</v>
      </c>
    </row>
    <row r="217" spans="1:20" x14ac:dyDescent="0.25">
      <c r="A217" s="5">
        <v>44376</v>
      </c>
      <c r="B217">
        <v>7.9109999999999996E-3</v>
      </c>
      <c r="C217">
        <v>8.8880000000000001E-3</v>
      </c>
      <c r="D217">
        <v>7.8969999999999995E-3</v>
      </c>
      <c r="E217">
        <v>8.4279999999999997E-3</v>
      </c>
      <c r="F217">
        <v>216009506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7.1644803229061402E-2</v>
      </c>
      <c r="Q217">
        <f t="shared" si="960"/>
        <v>15475958.552976759</v>
      </c>
      <c r="R217">
        <f t="shared" si="961"/>
        <v>-13447282700.984243</v>
      </c>
      <c r="S217">
        <f t="shared" si="962"/>
        <v>-134472.82700984244</v>
      </c>
      <c r="T217">
        <f t="shared" si="963"/>
        <v>-134.47282700984243</v>
      </c>
    </row>
    <row r="218" spans="1:20" x14ac:dyDescent="0.25">
      <c r="A218" s="5">
        <v>44375</v>
      </c>
      <c r="B218">
        <v>7.4289999999999998E-3</v>
      </c>
      <c r="C218">
        <v>8.6809999999999995E-3</v>
      </c>
      <c r="D218">
        <v>7.2360000000000002E-3</v>
      </c>
      <c r="E218">
        <v>7.9109999999999996E-3</v>
      </c>
      <c r="F218">
        <v>323549024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-6.5743944636678556E-2</v>
      </c>
      <c r="Q218">
        <f t="shared" si="960"/>
        <v>-21271389.121107381</v>
      </c>
      <c r="R218">
        <f t="shared" si="961"/>
        <v>-13462758659.53722</v>
      </c>
      <c r="S218">
        <f t="shared" si="962"/>
        <v>-134627.58659537221</v>
      </c>
      <c r="T218">
        <f t="shared" si="963"/>
        <v>-134.62758659537221</v>
      </c>
    </row>
    <row r="219" spans="1:20" x14ac:dyDescent="0.25">
      <c r="A219" s="5">
        <v>44374</v>
      </c>
      <c r="B219">
        <v>6.9550000000000002E-3</v>
      </c>
      <c r="C219">
        <v>7.7000000000000002E-3</v>
      </c>
      <c r="D219">
        <v>6.8589999999999996E-3</v>
      </c>
      <c r="E219">
        <v>7.404E-3</v>
      </c>
      <c r="F219">
        <v>172460719</v>
      </c>
      <c r="G219">
        <v>0</v>
      </c>
      <c r="L219" t="s">
        <v>8</v>
      </c>
      <c r="M219" t="s">
        <v>8</v>
      </c>
      <c r="N219" t="s">
        <v>8</v>
      </c>
      <c r="P219">
        <f t="shared" si="959"/>
        <v>0.29607609988109385</v>
      </c>
      <c r="Q219">
        <f t="shared" si="960"/>
        <v>51061497.06420926</v>
      </c>
      <c r="R219">
        <f t="shared" si="961"/>
        <v>-13441487270.416113</v>
      </c>
      <c r="S219">
        <f t="shared" si="962"/>
        <v>-134414.87270416113</v>
      </c>
      <c r="T219">
        <f t="shared" si="963"/>
        <v>-134.41487270416113</v>
      </c>
    </row>
    <row r="220" spans="1:20" x14ac:dyDescent="0.25">
      <c r="A220" s="5">
        <v>44373</v>
      </c>
      <c r="B220">
        <v>7.0759999999999998E-3</v>
      </c>
      <c r="C220">
        <v>7.2859999999999999E-3</v>
      </c>
      <c r="D220">
        <v>6.3839999999999999E-3</v>
      </c>
      <c r="E220">
        <v>6.9550000000000002E-3</v>
      </c>
      <c r="F220">
        <v>116532561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0.26607538802660824</v>
      </c>
      <c r="Q220">
        <f t="shared" si="960"/>
        <v>31006446.385809395</v>
      </c>
      <c r="R220">
        <f t="shared" si="961"/>
        <v>-13492548767.480322</v>
      </c>
      <c r="S220">
        <f t="shared" si="962"/>
        <v>-134925.48767480321</v>
      </c>
      <c r="T220">
        <f t="shared" si="963"/>
        <v>-134.92548767480321</v>
      </c>
    </row>
    <row r="221" spans="1:20" x14ac:dyDescent="0.25">
      <c r="A221" s="5">
        <v>44372</v>
      </c>
      <c r="B221">
        <v>7.9050000000000006E-3</v>
      </c>
      <c r="C221">
        <v>8.2070000000000008E-3</v>
      </c>
      <c r="D221">
        <v>6.953E-3</v>
      </c>
      <c r="E221">
        <v>7.0759999999999998E-3</v>
      </c>
      <c r="F221">
        <v>113411217</v>
      </c>
      <c r="G221">
        <v>0</v>
      </c>
      <c r="L221" t="s">
        <v>8</v>
      </c>
      <c r="M221" t="s">
        <v>8</v>
      </c>
      <c r="N221" t="s">
        <v>8</v>
      </c>
      <c r="P221">
        <f t="shared" si="959"/>
        <v>-0.80382775119617267</v>
      </c>
      <c r="Q221">
        <f t="shared" si="960"/>
        <v>-91163083.52153115</v>
      </c>
      <c r="R221">
        <f t="shared" si="961"/>
        <v>-13523555213.866131</v>
      </c>
      <c r="S221">
        <f t="shared" si="962"/>
        <v>-135235.5521386613</v>
      </c>
      <c r="T221">
        <f t="shared" si="963"/>
        <v>-135.23555213866129</v>
      </c>
    </row>
    <row r="222" spans="1:20" x14ac:dyDescent="0.25">
      <c r="A222" s="5">
        <v>44371</v>
      </c>
      <c r="B222">
        <v>7.3709999999999999E-3</v>
      </c>
      <c r="C222">
        <v>8.0999999999999996E-3</v>
      </c>
      <c r="D222">
        <v>6.8170000000000001E-3</v>
      </c>
      <c r="E222">
        <v>7.9070000000000008E-3</v>
      </c>
      <c r="F222">
        <v>160881909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0.6991426344505085</v>
      </c>
      <c r="Q222">
        <f t="shared" si="960"/>
        <v>112479401.69368698</v>
      </c>
      <c r="R222">
        <f t="shared" si="961"/>
        <v>-13432392130.344599</v>
      </c>
      <c r="S222">
        <f t="shared" si="962"/>
        <v>-134323.921303446</v>
      </c>
      <c r="T222">
        <f t="shared" si="963"/>
        <v>-134.32392130344599</v>
      </c>
    </row>
    <row r="223" spans="1:20" x14ac:dyDescent="0.25">
      <c r="A223" s="5">
        <v>44370</v>
      </c>
      <c r="B223">
        <v>6.6680000000000003E-3</v>
      </c>
      <c r="C223">
        <v>7.7910000000000002E-3</v>
      </c>
      <c r="D223">
        <v>6.4520000000000003E-3</v>
      </c>
      <c r="E223">
        <v>7.3709999999999999E-3</v>
      </c>
      <c r="F223">
        <v>160489359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0.37266616878267322</v>
      </c>
      <c r="Q223">
        <f t="shared" si="960"/>
        <v>59808954.548917033</v>
      </c>
      <c r="R223">
        <f t="shared" si="961"/>
        <v>-13544871532.038286</v>
      </c>
      <c r="S223">
        <f t="shared" si="962"/>
        <v>-135448.71532038285</v>
      </c>
      <c r="T223">
        <f t="shared" si="963"/>
        <v>-135.44871532038286</v>
      </c>
    </row>
    <row r="224" spans="1:20" x14ac:dyDescent="0.25">
      <c r="A224" s="5">
        <v>44369</v>
      </c>
      <c r="B224">
        <v>7.3049999999999999E-3</v>
      </c>
      <c r="C224">
        <v>7.9570000000000005E-3</v>
      </c>
      <c r="D224">
        <v>5.5469999999999998E-3</v>
      </c>
      <c r="E224">
        <v>6.6660000000000001E-3</v>
      </c>
      <c r="F224">
        <v>227661708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-7.1369294605809222E-2</v>
      </c>
      <c r="Q224">
        <f t="shared" si="960"/>
        <v>-16248055.508713715</v>
      </c>
      <c r="R224">
        <f t="shared" si="961"/>
        <v>-13604680486.587204</v>
      </c>
      <c r="S224">
        <f t="shared" si="962"/>
        <v>-136046.80486587205</v>
      </c>
      <c r="T224">
        <f t="shared" si="963"/>
        <v>-136.04680486587205</v>
      </c>
    </row>
    <row r="225" spans="1:20" x14ac:dyDescent="0.25">
      <c r="A225" s="5">
        <v>44368</v>
      </c>
      <c r="B225">
        <v>8.9300000000000004E-3</v>
      </c>
      <c r="C225">
        <v>8.9689999999999995E-3</v>
      </c>
      <c r="D225">
        <v>7.3010000000000002E-3</v>
      </c>
      <c r="E225">
        <v>7.3039999999999997E-3</v>
      </c>
      <c r="F225">
        <v>185742355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-0.9964028776978423</v>
      </c>
      <c r="Q225">
        <f t="shared" si="960"/>
        <v>-185074217.0323742</v>
      </c>
      <c r="R225">
        <f t="shared" si="961"/>
        <v>-13588432431.078491</v>
      </c>
      <c r="S225">
        <f t="shared" si="962"/>
        <v>-135884.32431078493</v>
      </c>
      <c r="T225">
        <f t="shared" si="963"/>
        <v>-135.88432431078493</v>
      </c>
    </row>
    <row r="226" spans="1:20" x14ac:dyDescent="0.25">
      <c r="A226" s="5">
        <v>44367</v>
      </c>
      <c r="B226">
        <v>8.9379999999999998E-3</v>
      </c>
      <c r="C226">
        <v>9.1339999999999998E-3</v>
      </c>
      <c r="D226">
        <v>8.0000000000000002E-3</v>
      </c>
      <c r="E226">
        <v>8.9339999999999992E-3</v>
      </c>
      <c r="F226">
        <v>138342614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0.64726631393297951</v>
      </c>
      <c r="Q226">
        <f t="shared" si="960"/>
        <v>89544513.823633</v>
      </c>
      <c r="R226">
        <f t="shared" si="961"/>
        <v>-13403358214.046118</v>
      </c>
      <c r="S226">
        <f t="shared" si="962"/>
        <v>-134033.58214046116</v>
      </c>
      <c r="T226">
        <f t="shared" si="963"/>
        <v>-134.03358214046116</v>
      </c>
    </row>
    <row r="227" spans="1:20" x14ac:dyDescent="0.25">
      <c r="A227" s="5">
        <v>44366</v>
      </c>
      <c r="B227">
        <v>9.247E-3</v>
      </c>
      <c r="C227">
        <v>9.4369999999999992E-3</v>
      </c>
      <c r="D227">
        <v>8.9269999999999992E-3</v>
      </c>
      <c r="E227">
        <v>8.9549999999999994E-3</v>
      </c>
      <c r="F227">
        <v>69793235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-0.89019607843137161</v>
      </c>
      <c r="Q227">
        <f t="shared" si="960"/>
        <v>-62129664.09803915</v>
      </c>
      <c r="R227">
        <f t="shared" si="961"/>
        <v>-13492902727.869751</v>
      </c>
      <c r="S227">
        <f t="shared" si="962"/>
        <v>-134929.0272786975</v>
      </c>
      <c r="T227">
        <f t="shared" si="963"/>
        <v>-134.9290272786975</v>
      </c>
    </row>
    <row r="228" spans="1:20" x14ac:dyDescent="0.25">
      <c r="A228" s="5">
        <v>44365</v>
      </c>
      <c r="B228">
        <v>9.8589999999999997E-3</v>
      </c>
      <c r="C228">
        <v>1.0038999999999999E-2</v>
      </c>
      <c r="D228">
        <v>9.1000000000000004E-3</v>
      </c>
      <c r="E228">
        <v>9.2619999999999994E-3</v>
      </c>
      <c r="F228">
        <v>118729711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-0.65495207667731814</v>
      </c>
      <c r="Q228">
        <f t="shared" si="960"/>
        <v>-77762270.78274782</v>
      </c>
      <c r="R228">
        <f t="shared" si="961"/>
        <v>-13430773063.771711</v>
      </c>
      <c r="S228">
        <f t="shared" si="962"/>
        <v>-134307.73063771712</v>
      </c>
      <c r="T228">
        <f t="shared" si="963"/>
        <v>-134.30773063771713</v>
      </c>
    </row>
    <row r="229" spans="1:20" x14ac:dyDescent="0.25">
      <c r="A229" s="5">
        <v>44364</v>
      </c>
      <c r="B229">
        <v>1.0149E-2</v>
      </c>
      <c r="C229">
        <v>1.0619E-2</v>
      </c>
      <c r="D229">
        <v>9.6259999999999991E-3</v>
      </c>
      <c r="E229">
        <v>9.8180000000000003E-3</v>
      </c>
      <c r="F229">
        <v>128969344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-0.61329305135951451</v>
      </c>
      <c r="Q229">
        <f t="shared" si="960"/>
        <v>-79096002.513594896</v>
      </c>
      <c r="R229">
        <f t="shared" si="961"/>
        <v>-13353010792.988964</v>
      </c>
      <c r="S229">
        <f t="shared" si="962"/>
        <v>-133530.10792988964</v>
      </c>
      <c r="T229">
        <f t="shared" si="963"/>
        <v>-133.53010792988962</v>
      </c>
    </row>
    <row r="230" spans="1:20" x14ac:dyDescent="0.25">
      <c r="A230" s="5">
        <v>44363</v>
      </c>
      <c r="B230">
        <v>1.0342E-2</v>
      </c>
      <c r="C230">
        <v>1.0647E-2</v>
      </c>
      <c r="D230">
        <v>9.8080000000000007E-3</v>
      </c>
      <c r="E230">
        <v>1.0166E-2</v>
      </c>
      <c r="F230">
        <v>116028748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-0.14660309892729637</v>
      </c>
      <c r="Q230">
        <f t="shared" si="960"/>
        <v>-17010174.021454342</v>
      </c>
      <c r="R230">
        <f t="shared" si="961"/>
        <v>-13273914790.475368</v>
      </c>
      <c r="S230">
        <f t="shared" si="962"/>
        <v>-132739.14790475368</v>
      </c>
      <c r="T230">
        <f t="shared" si="963"/>
        <v>-132.73914790475368</v>
      </c>
    </row>
    <row r="231" spans="1:20" x14ac:dyDescent="0.25">
      <c r="A231" s="5">
        <v>44362</v>
      </c>
      <c r="B231">
        <v>1.1110999999999999E-2</v>
      </c>
      <c r="C231">
        <v>1.1174999999999999E-2</v>
      </c>
      <c r="D231">
        <v>1.0122000000000001E-2</v>
      </c>
      <c r="E231">
        <v>1.0342E-2</v>
      </c>
      <c r="F231">
        <v>236680849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-0.58214624881291543</v>
      </c>
      <c r="Q231">
        <f t="shared" si="960"/>
        <v>-137782868.41120607</v>
      </c>
      <c r="R231">
        <f t="shared" si="961"/>
        <v>-13256904616.453915</v>
      </c>
      <c r="S231">
        <f t="shared" si="962"/>
        <v>-132569.04616453915</v>
      </c>
      <c r="T231">
        <f t="shared" si="963"/>
        <v>-132.56904616453915</v>
      </c>
    </row>
    <row r="232" spans="1:20" x14ac:dyDescent="0.25">
      <c r="A232" s="5">
        <v>44361</v>
      </c>
      <c r="B232">
        <v>1.0425E-2</v>
      </c>
      <c r="C232">
        <v>1.1294E-2</v>
      </c>
      <c r="D232">
        <v>1.0314E-2</v>
      </c>
      <c r="E232">
        <v>1.115E-2</v>
      </c>
      <c r="F232">
        <v>210112674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0.70612244897959175</v>
      </c>
      <c r="Q232">
        <f t="shared" si="960"/>
        <v>148365275.9265306</v>
      </c>
      <c r="R232">
        <f t="shared" si="961"/>
        <v>-13119121748.042709</v>
      </c>
      <c r="S232">
        <f t="shared" si="962"/>
        <v>-131191.21748042709</v>
      </c>
      <c r="T232">
        <f t="shared" si="963"/>
        <v>-131.1912174804271</v>
      </c>
    </row>
    <row r="233" spans="1:20" x14ac:dyDescent="0.25">
      <c r="A233" s="5">
        <v>44360</v>
      </c>
      <c r="B233">
        <v>9.9240000000000005E-3</v>
      </c>
      <c r="C233">
        <v>1.0827E-2</v>
      </c>
      <c r="D233">
        <v>9.5999999999999992E-3</v>
      </c>
      <c r="E233">
        <v>1.0371999999999999E-2</v>
      </c>
      <c r="F233">
        <v>187357126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0.25835370823145837</v>
      </c>
      <c r="Q233">
        <f t="shared" si="960"/>
        <v>48404408.265688583</v>
      </c>
      <c r="R233">
        <f t="shared" si="961"/>
        <v>-13267487023.96924</v>
      </c>
      <c r="S233">
        <f t="shared" si="962"/>
        <v>-132674.87023969239</v>
      </c>
      <c r="T233">
        <f t="shared" si="963"/>
        <v>-132.67487023969238</v>
      </c>
    </row>
    <row r="234" spans="1:20" x14ac:dyDescent="0.25">
      <c r="A234" s="5">
        <v>44359</v>
      </c>
      <c r="B234">
        <v>1.03E-2</v>
      </c>
      <c r="C234">
        <v>1.0472E-2</v>
      </c>
      <c r="D234">
        <v>9.2829999999999996E-3</v>
      </c>
      <c r="E234">
        <v>9.9249999999999998E-3</v>
      </c>
      <c r="F234">
        <v>248624839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7.9899074852817095E-2</v>
      </c>
      <c r="Q234">
        <f t="shared" si="960"/>
        <v>19864894.6215306</v>
      </c>
      <c r="R234">
        <f t="shared" si="961"/>
        <v>-13315891432.234928</v>
      </c>
      <c r="S234">
        <f t="shared" si="962"/>
        <v>-133158.91432234927</v>
      </c>
      <c r="T234">
        <f t="shared" si="963"/>
        <v>-133.15891432234926</v>
      </c>
    </row>
    <row r="235" spans="1:20" x14ac:dyDescent="0.25">
      <c r="A235" s="5">
        <v>44358</v>
      </c>
      <c r="B235">
        <v>1.1155999999999999E-2</v>
      </c>
      <c r="C235">
        <v>1.2128E-2</v>
      </c>
      <c r="D235">
        <v>1.0148000000000001E-2</v>
      </c>
      <c r="E235">
        <v>1.0293999999999999E-2</v>
      </c>
      <c r="F235">
        <v>425758607</v>
      </c>
      <c r="G235">
        <v>0</v>
      </c>
      <c r="L235" t="s">
        <v>7</v>
      </c>
      <c r="M235" t="s">
        <v>7</v>
      </c>
      <c r="N235" t="s">
        <v>8</v>
      </c>
      <c r="P235">
        <f t="shared" si="959"/>
        <v>-0.85252525252525391</v>
      </c>
      <c r="Q235">
        <f t="shared" si="960"/>
        <v>-362969963.94747531</v>
      </c>
      <c r="R235">
        <f t="shared" si="961"/>
        <v>-13335756326.856459</v>
      </c>
      <c r="S235">
        <f t="shared" si="962"/>
        <v>-133357.56326856458</v>
      </c>
      <c r="T235">
        <f t="shared" si="963"/>
        <v>-133.35756326856458</v>
      </c>
    </row>
    <row r="236" spans="1:20" x14ac:dyDescent="0.25">
      <c r="A236" s="5">
        <v>44357</v>
      </c>
      <c r="B236">
        <v>1.1075E-2</v>
      </c>
      <c r="C236">
        <v>1.2599000000000001E-2</v>
      </c>
      <c r="D236">
        <v>1.0404E-2</v>
      </c>
      <c r="E236">
        <v>1.1155999999999999E-2</v>
      </c>
      <c r="F236">
        <v>727147629</v>
      </c>
      <c r="G236">
        <v>0</v>
      </c>
      <c r="L236" t="s">
        <v>8</v>
      </c>
      <c r="M236" t="s">
        <v>8</v>
      </c>
      <c r="N236" t="s">
        <v>8</v>
      </c>
      <c r="P236">
        <f t="shared" si="959"/>
        <v>-0.31480637813211942</v>
      </c>
      <c r="Q236">
        <f t="shared" si="960"/>
        <v>-228910711.45284808</v>
      </c>
      <c r="R236">
        <f t="shared" si="961"/>
        <v>-12972786362.908983</v>
      </c>
      <c r="S236">
        <f t="shared" si="962"/>
        <v>-129727.86362908983</v>
      </c>
      <c r="T236">
        <f t="shared" si="963"/>
        <v>-129.72786362908982</v>
      </c>
    </row>
    <row r="237" spans="1:20" x14ac:dyDescent="0.25">
      <c r="A237" s="5">
        <v>44356</v>
      </c>
      <c r="B237">
        <v>1.0437999999999999E-2</v>
      </c>
      <c r="C237">
        <v>1.1499000000000001E-2</v>
      </c>
      <c r="D237">
        <v>9.8040000000000002E-3</v>
      </c>
      <c r="E237">
        <v>1.1093E-2</v>
      </c>
      <c r="F237">
        <v>808696065</v>
      </c>
      <c r="G237">
        <v>0</v>
      </c>
      <c r="L237" t="s">
        <v>8</v>
      </c>
      <c r="M237" t="s">
        <v>8</v>
      </c>
      <c r="N237" t="s">
        <v>8</v>
      </c>
      <c r="P237">
        <f t="shared" si="959"/>
        <v>0.52094395280235983</v>
      </c>
      <c r="Q237">
        <f t="shared" si="960"/>
        <v>421285324.7168141</v>
      </c>
      <c r="R237">
        <f t="shared" si="961"/>
        <v>-12743875651.456135</v>
      </c>
      <c r="S237">
        <f t="shared" si="962"/>
        <v>-127438.75651456135</v>
      </c>
      <c r="T237">
        <f t="shared" si="963"/>
        <v>-127.43875651456135</v>
      </c>
    </row>
    <row r="238" spans="1:20" x14ac:dyDescent="0.25">
      <c r="A238" s="5">
        <v>44355</v>
      </c>
      <c r="B238">
        <v>9.2499999999999995E-3</v>
      </c>
      <c r="C238">
        <v>1.2E-2</v>
      </c>
      <c r="D238">
        <v>8.4390000000000003E-3</v>
      </c>
      <c r="E238">
        <v>1.0462000000000001E-2</v>
      </c>
      <c r="F238">
        <v>958113309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0.13619769727604636</v>
      </c>
      <c r="Q238">
        <f t="shared" si="960"/>
        <v>130492826.41533306</v>
      </c>
      <c r="R238">
        <f t="shared" si="961"/>
        <v>-13165160976.172949</v>
      </c>
      <c r="S238">
        <f t="shared" si="962"/>
        <v>-131651.60976172949</v>
      </c>
      <c r="T238">
        <f t="shared" si="963"/>
        <v>-131.65160976172947</v>
      </c>
    </row>
    <row r="239" spans="1:20" x14ac:dyDescent="0.25">
      <c r="A239" s="5">
        <v>44354</v>
      </c>
      <c r="B239">
        <v>1.0932000000000001E-2</v>
      </c>
      <c r="C239">
        <v>1.29E-2</v>
      </c>
      <c r="D239">
        <v>9.0670000000000004E-3</v>
      </c>
      <c r="E239">
        <v>9.2320000000000006E-3</v>
      </c>
      <c r="F239">
        <v>884350781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-0.91390555700495679</v>
      </c>
      <c r="Q239">
        <f t="shared" si="960"/>
        <v>-808213093.09757352</v>
      </c>
      <c r="R239">
        <f t="shared" si="961"/>
        <v>-13295653802.588282</v>
      </c>
      <c r="S239">
        <f t="shared" si="962"/>
        <v>-132956.53802588282</v>
      </c>
      <c r="T239">
        <f t="shared" si="963"/>
        <v>-132.95653802588282</v>
      </c>
    </row>
    <row r="240" spans="1:20" x14ac:dyDescent="0.25">
      <c r="A240" s="5">
        <v>44353</v>
      </c>
      <c r="B240">
        <v>8.5690000000000002E-3</v>
      </c>
      <c r="C240">
        <v>1.3899999999999999E-2</v>
      </c>
      <c r="D240">
        <v>8.515E-3</v>
      </c>
      <c r="E240">
        <v>1.0931E-2</v>
      </c>
      <c r="F240">
        <v>1338620203</v>
      </c>
      <c r="G240">
        <v>0</v>
      </c>
      <c r="L240" t="s">
        <v>8</v>
      </c>
      <c r="M240" t="s">
        <v>8</v>
      </c>
      <c r="N240" t="s">
        <v>8</v>
      </c>
      <c r="P240">
        <f t="shared" si="959"/>
        <v>-0.10269266480965641</v>
      </c>
      <c r="Q240">
        <f t="shared" si="960"/>
        <v>-137466475.81411323</v>
      </c>
      <c r="R240">
        <f t="shared" si="961"/>
        <v>-12487440709.490707</v>
      </c>
      <c r="S240">
        <f t="shared" si="962"/>
        <v>-124874.40709490707</v>
      </c>
      <c r="T240">
        <f t="shared" si="963"/>
        <v>-124.87440709490707</v>
      </c>
    </row>
    <row r="241" spans="1:20" x14ac:dyDescent="0.25">
      <c r="A241" s="5">
        <v>44352</v>
      </c>
      <c r="B241">
        <v>8.9999999999999993E-3</v>
      </c>
      <c r="C241">
        <v>9.7380000000000001E-3</v>
      </c>
      <c r="D241">
        <v>8.3599999999999994E-3</v>
      </c>
      <c r="E241">
        <v>8.5649999999999997E-3</v>
      </c>
      <c r="F241">
        <v>141431045</v>
      </c>
      <c r="G241">
        <v>0</v>
      </c>
      <c r="L241" t="s">
        <v>8</v>
      </c>
      <c r="M241" t="s">
        <v>8</v>
      </c>
      <c r="N241" t="s">
        <v>8</v>
      </c>
      <c r="P241">
        <f t="shared" si="959"/>
        <v>-0.70246734397677768</v>
      </c>
      <c r="Q241">
        <f t="shared" si="960"/>
        <v>-99350690.537010118</v>
      </c>
      <c r="R241">
        <f t="shared" si="961"/>
        <v>-12349974233.676594</v>
      </c>
      <c r="S241">
        <f t="shared" si="962"/>
        <v>-123499.74233676594</v>
      </c>
      <c r="T241">
        <f t="shared" si="963"/>
        <v>-123.49974233676593</v>
      </c>
    </row>
    <row r="242" spans="1:20" x14ac:dyDescent="0.25">
      <c r="A242" s="5">
        <v>44351</v>
      </c>
      <c r="B242">
        <v>9.9469999999999992E-3</v>
      </c>
      <c r="C242">
        <v>1.0199E-2</v>
      </c>
      <c r="D242">
        <v>8.3400000000000002E-3</v>
      </c>
      <c r="E242">
        <v>8.9969999999999998E-3</v>
      </c>
      <c r="F242">
        <v>181407029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-0.29316837009144725</v>
      </c>
      <c r="Q242">
        <f t="shared" si="960"/>
        <v>-53182803.015061907</v>
      </c>
      <c r="R242">
        <f t="shared" si="961"/>
        <v>-12250623543.139584</v>
      </c>
      <c r="S242">
        <f t="shared" si="962"/>
        <v>-122506.23543139583</v>
      </c>
      <c r="T242">
        <f t="shared" si="963"/>
        <v>-122.50623543139584</v>
      </c>
    </row>
    <row r="243" spans="1:20" x14ac:dyDescent="0.25">
      <c r="A243" s="5">
        <v>44350</v>
      </c>
      <c r="B243">
        <v>9.3329999999999993E-3</v>
      </c>
      <c r="C243">
        <v>1.0636E-2</v>
      </c>
      <c r="D243">
        <v>9.1179999999999994E-3</v>
      </c>
      <c r="E243">
        <v>9.9480000000000002E-3</v>
      </c>
      <c r="F243">
        <v>279956469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9.354413702239886E-2</v>
      </c>
      <c r="Q243">
        <f t="shared" si="960"/>
        <v>26188286.296442959</v>
      </c>
      <c r="R243">
        <f t="shared" si="961"/>
        <v>-12197440740.124521</v>
      </c>
      <c r="S243">
        <f t="shared" si="962"/>
        <v>-121974.40740124522</v>
      </c>
      <c r="T243">
        <f t="shared" si="963"/>
        <v>-121.97440740124522</v>
      </c>
    </row>
    <row r="244" spans="1:20" x14ac:dyDescent="0.25">
      <c r="A244" s="5">
        <v>44349</v>
      </c>
      <c r="B244">
        <v>8.6529999999999992E-3</v>
      </c>
      <c r="C244">
        <v>9.8099999999999993E-3</v>
      </c>
      <c r="D244">
        <v>8.4279999999999997E-3</v>
      </c>
      <c r="E244">
        <v>9.3030000000000005E-3</v>
      </c>
      <c r="F244">
        <v>190570175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0.26628075253256306</v>
      </c>
      <c r="Q244">
        <f t="shared" si="960"/>
        <v>50745169.609262235</v>
      </c>
      <c r="R244">
        <f t="shared" si="961"/>
        <v>-12223629026.420963</v>
      </c>
      <c r="S244">
        <f t="shared" si="962"/>
        <v>-122236.29026420963</v>
      </c>
      <c r="T244">
        <f t="shared" si="963"/>
        <v>-122.23629026420963</v>
      </c>
    </row>
    <row r="245" spans="1:20" x14ac:dyDescent="0.25">
      <c r="A245" s="5">
        <v>44348</v>
      </c>
      <c r="B245">
        <v>9.1649999999999995E-3</v>
      </c>
      <c r="C245">
        <v>9.5250000000000005E-3</v>
      </c>
      <c r="D245">
        <v>8.4779999999999994E-3</v>
      </c>
      <c r="E245">
        <v>8.6309999999999998E-3</v>
      </c>
      <c r="F245">
        <v>134670674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-0.70773638968481334</v>
      </c>
      <c r="Q245">
        <f t="shared" si="960"/>
        <v>-95311336.613180459</v>
      </c>
      <c r="R245">
        <f t="shared" si="961"/>
        <v>-12274374196.030226</v>
      </c>
      <c r="S245">
        <f t="shared" si="962"/>
        <v>-122743.74196030226</v>
      </c>
      <c r="T245">
        <f t="shared" si="963"/>
        <v>-122.74374196030226</v>
      </c>
    </row>
    <row r="246" spans="1:20" x14ac:dyDescent="0.25">
      <c r="A246" s="5">
        <v>44347</v>
      </c>
      <c r="B246">
        <v>8.6090000000000003E-3</v>
      </c>
      <c r="C246">
        <v>9.2499999999999995E-3</v>
      </c>
      <c r="D246">
        <v>8.0009999999999994E-3</v>
      </c>
      <c r="E246">
        <v>9.1680000000000008E-3</v>
      </c>
      <c r="F246">
        <v>143881236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0.86869495596477386</v>
      </c>
      <c r="Q246">
        <f t="shared" si="960"/>
        <v>124988903.97117724</v>
      </c>
      <c r="R246">
        <f t="shared" si="961"/>
        <v>-12179062859.417046</v>
      </c>
      <c r="S246">
        <f t="shared" si="962"/>
        <v>-121790.62859417046</v>
      </c>
      <c r="T246">
        <f t="shared" si="963"/>
        <v>-121.79062859417046</v>
      </c>
    </row>
    <row r="247" spans="1:20" x14ac:dyDescent="0.25">
      <c r="A247" s="5">
        <v>44346</v>
      </c>
      <c r="B247">
        <v>8.1259999999999995E-3</v>
      </c>
      <c r="C247">
        <v>8.9219999999999994E-3</v>
      </c>
      <c r="D247">
        <v>7.7629999999999999E-3</v>
      </c>
      <c r="E247">
        <v>8.6599999999999993E-3</v>
      </c>
      <c r="F247">
        <v>163295747</v>
      </c>
      <c r="G247">
        <v>0</v>
      </c>
      <c r="L247" t="s">
        <v>8</v>
      </c>
      <c r="M247" t="s">
        <v>7</v>
      </c>
      <c r="N247" t="s">
        <v>7</v>
      </c>
      <c r="P247">
        <f t="shared" si="959"/>
        <v>0.54788610871440857</v>
      </c>
      <c r="Q247">
        <f t="shared" si="960"/>
        <v>89467471.393442556</v>
      </c>
      <c r="R247">
        <f t="shared" si="961"/>
        <v>-12304051763.388224</v>
      </c>
      <c r="S247">
        <f t="shared" si="962"/>
        <v>-123040.51763388223</v>
      </c>
      <c r="T247">
        <f t="shared" si="963"/>
        <v>-123.04051763388223</v>
      </c>
    </row>
    <row r="248" spans="1:20" x14ac:dyDescent="0.25">
      <c r="A248" s="5">
        <v>44345</v>
      </c>
      <c r="B248">
        <v>9.1260000000000004E-3</v>
      </c>
      <c r="C248">
        <v>9.4730000000000005E-3</v>
      </c>
      <c r="D248">
        <v>7.6969999999999998E-3</v>
      </c>
      <c r="E248">
        <v>8.1519999999999995E-3</v>
      </c>
      <c r="F248">
        <v>163338969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-0.48761261261261318</v>
      </c>
      <c r="Q248">
        <f t="shared" si="960"/>
        <v>-79646141.415540636</v>
      </c>
      <c r="R248">
        <f t="shared" si="961"/>
        <v>-12393519234.781666</v>
      </c>
      <c r="S248">
        <f t="shared" si="962"/>
        <v>-123935.19234781666</v>
      </c>
      <c r="T248">
        <f t="shared" si="963"/>
        <v>-123.93519234781665</v>
      </c>
    </row>
    <row r="249" spans="1:20" x14ac:dyDescent="0.25">
      <c r="A249" s="5">
        <v>44344</v>
      </c>
      <c r="B249">
        <v>1.03E-2</v>
      </c>
      <c r="C249">
        <v>1.044E-2</v>
      </c>
      <c r="D249">
        <v>8.5859999999999999E-3</v>
      </c>
      <c r="E249">
        <v>9.1050000000000002E-3</v>
      </c>
      <c r="F249">
        <v>132874024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-0.44012944983818725</v>
      </c>
      <c r="Q249">
        <f t="shared" si="960"/>
        <v>-58481771.080906086</v>
      </c>
      <c r="R249">
        <f t="shared" si="961"/>
        <v>-12313873093.366125</v>
      </c>
      <c r="S249">
        <f t="shared" si="962"/>
        <v>-123138.73093366125</v>
      </c>
      <c r="T249">
        <f t="shared" si="963"/>
        <v>-123.13873093366125</v>
      </c>
    </row>
    <row r="250" spans="1:20" x14ac:dyDescent="0.25">
      <c r="A250" s="5">
        <v>44343</v>
      </c>
      <c r="B250">
        <v>1.09E-2</v>
      </c>
      <c r="C250">
        <v>1.1166000000000001E-2</v>
      </c>
      <c r="D250">
        <v>9.7260000000000003E-3</v>
      </c>
      <c r="E250">
        <v>1.0299000000000001E-2</v>
      </c>
      <c r="F250">
        <v>183122337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-0.20416666666666602</v>
      </c>
      <c r="Q250">
        <f t="shared" si="960"/>
        <v>-37387477.137499884</v>
      </c>
      <c r="R250">
        <f t="shared" si="961"/>
        <v>-12255391322.285219</v>
      </c>
      <c r="S250">
        <f t="shared" si="962"/>
        <v>-122553.91322285219</v>
      </c>
      <c r="T250">
        <f t="shared" si="963"/>
        <v>-122.55391322285219</v>
      </c>
    </row>
    <row r="251" spans="1:20" x14ac:dyDescent="0.25">
      <c r="A251" s="5">
        <v>44342</v>
      </c>
      <c r="B251">
        <v>1.03E-2</v>
      </c>
      <c r="C251">
        <v>1.1390000000000001E-2</v>
      </c>
      <c r="D251">
        <v>9.8879999999999992E-3</v>
      </c>
      <c r="E251">
        <v>1.09E-2</v>
      </c>
      <c r="F251">
        <v>246114787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0.34753661784287571</v>
      </c>
      <c r="Q251">
        <f t="shared" si="960"/>
        <v>85533900.67509976</v>
      </c>
      <c r="R251">
        <f t="shared" si="961"/>
        <v>-12218003845.147718</v>
      </c>
      <c r="S251">
        <f t="shared" si="962"/>
        <v>-122180.03845147719</v>
      </c>
      <c r="T251">
        <f t="shared" si="963"/>
        <v>-122.18003845147719</v>
      </c>
    </row>
    <row r="252" spans="1:20" x14ac:dyDescent="0.25">
      <c r="A252" s="5">
        <v>44341</v>
      </c>
      <c r="B252">
        <v>9.5709999999999996E-3</v>
      </c>
      <c r="C252">
        <v>1.0375000000000001E-2</v>
      </c>
      <c r="D252">
        <v>8.8400000000000006E-3</v>
      </c>
      <c r="E252">
        <v>1.0331E-2</v>
      </c>
      <c r="F252">
        <v>244725625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0.94267100977198615</v>
      </c>
      <c r="Q252">
        <f t="shared" si="960"/>
        <v>230695752.03583041</v>
      </c>
      <c r="R252">
        <f t="shared" si="961"/>
        <v>-12303537745.822819</v>
      </c>
      <c r="S252">
        <f t="shared" si="962"/>
        <v>-123035.37745822819</v>
      </c>
      <c r="T252">
        <f t="shared" si="963"/>
        <v>-123.0353774582282</v>
      </c>
    </row>
    <row r="253" spans="1:20" x14ac:dyDescent="0.25">
      <c r="A253" s="5">
        <v>44340</v>
      </c>
      <c r="B253">
        <v>7.9380000000000006E-3</v>
      </c>
      <c r="C253">
        <v>9.7789999999999995E-3</v>
      </c>
      <c r="D253">
        <v>7.9279999999999993E-3</v>
      </c>
      <c r="E253">
        <v>9.5589999999999998E-3</v>
      </c>
      <c r="F253">
        <v>231347282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0.7622906537007027</v>
      </c>
      <c r="Q253">
        <f t="shared" si="960"/>
        <v>176353870.8276608</v>
      </c>
      <c r="R253">
        <f t="shared" si="961"/>
        <v>-12534233497.858648</v>
      </c>
      <c r="S253">
        <f t="shared" si="962"/>
        <v>-125342.33497858648</v>
      </c>
      <c r="T253">
        <f t="shared" si="963"/>
        <v>-125.34233497858648</v>
      </c>
    </row>
    <row r="254" spans="1:20" x14ac:dyDescent="0.25">
      <c r="A254" s="5">
        <v>44339</v>
      </c>
      <c r="B254">
        <v>9.9019999999999993E-3</v>
      </c>
      <c r="C254">
        <v>1.0189E-2</v>
      </c>
      <c r="D254">
        <v>6.6689999999999996E-3</v>
      </c>
      <c r="E254">
        <v>7.9399999999999991E-3</v>
      </c>
      <c r="F254">
        <v>337999028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-0.27784090909090947</v>
      </c>
      <c r="Q254">
        <f t="shared" si="960"/>
        <v>-93909957.211363763</v>
      </c>
      <c r="R254">
        <f t="shared" si="961"/>
        <v>-12710587368.68631</v>
      </c>
      <c r="S254">
        <f t="shared" si="962"/>
        <v>-127105.87368686309</v>
      </c>
      <c r="T254">
        <f t="shared" si="963"/>
        <v>-127.10587368686309</v>
      </c>
    </row>
    <row r="255" spans="1:20" x14ac:dyDescent="0.25">
      <c r="A255" s="5">
        <v>44338</v>
      </c>
      <c r="B255">
        <v>1.0362E-2</v>
      </c>
      <c r="C255">
        <v>1.0839E-2</v>
      </c>
      <c r="D255">
        <v>8.9099999999999995E-3</v>
      </c>
      <c r="E255">
        <v>9.9039999999999996E-3</v>
      </c>
      <c r="F255">
        <v>213132349</v>
      </c>
      <c r="G255">
        <v>0</v>
      </c>
      <c r="L255" t="s">
        <v>7</v>
      </c>
      <c r="M255" t="s">
        <v>8</v>
      </c>
      <c r="N255" t="s">
        <v>7</v>
      </c>
      <c r="P255">
        <f t="shared" si="959"/>
        <v>3.0585795749092804E-2</v>
      </c>
      <c r="Q255">
        <f t="shared" si="960"/>
        <v>6518822.4940383639</v>
      </c>
      <c r="R255">
        <f t="shared" si="961"/>
        <v>-12616677411.474947</v>
      </c>
      <c r="S255">
        <f t="shared" si="962"/>
        <v>-126166.77411474947</v>
      </c>
      <c r="T255">
        <f t="shared" si="963"/>
        <v>-126.16677411474947</v>
      </c>
    </row>
    <row r="256" spans="1:20" x14ac:dyDescent="0.25">
      <c r="A256" s="5">
        <v>44337</v>
      </c>
      <c r="B256">
        <v>1.2826000000000001E-2</v>
      </c>
      <c r="C256">
        <v>1.4197E-2</v>
      </c>
      <c r="D256">
        <v>9.0200000000000002E-3</v>
      </c>
      <c r="E256">
        <v>1.0361E-2</v>
      </c>
      <c r="F256">
        <v>322263154</v>
      </c>
      <c r="G256">
        <v>0</v>
      </c>
      <c r="L256" t="s">
        <v>8</v>
      </c>
      <c r="M256" t="s">
        <v>7</v>
      </c>
      <c r="N256" t="s">
        <v>8</v>
      </c>
      <c r="P256">
        <f t="shared" si="959"/>
        <v>-0.48193934711222702</v>
      </c>
      <c r="Q256">
        <f t="shared" si="960"/>
        <v>-155311294.03708708</v>
      </c>
      <c r="R256">
        <f t="shared" si="961"/>
        <v>-12623196233.968985</v>
      </c>
      <c r="S256">
        <f t="shared" si="962"/>
        <v>-126231.96233968985</v>
      </c>
      <c r="T256">
        <f t="shared" si="963"/>
        <v>-126.23196233968986</v>
      </c>
    </row>
    <row r="257" spans="1:20" x14ac:dyDescent="0.25">
      <c r="A257" s="5">
        <v>44336</v>
      </c>
      <c r="B257">
        <v>1.1041E-2</v>
      </c>
      <c r="C257">
        <v>1.3714E-2</v>
      </c>
      <c r="D257">
        <v>1.005E-2</v>
      </c>
      <c r="E257">
        <v>1.2859000000000001E-2</v>
      </c>
      <c r="F257">
        <v>289085851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0.53329694323144117</v>
      </c>
      <c r="Q257">
        <f t="shared" si="960"/>
        <v>154168600.66975987</v>
      </c>
      <c r="R257">
        <f t="shared" si="961"/>
        <v>-12467884939.931898</v>
      </c>
      <c r="S257">
        <f t="shared" si="962"/>
        <v>-124678.84939931898</v>
      </c>
      <c r="T257">
        <f t="shared" si="963"/>
        <v>-124.67884939931898</v>
      </c>
    </row>
    <row r="258" spans="1:20" x14ac:dyDescent="0.25">
      <c r="A258" s="5">
        <v>44335</v>
      </c>
      <c r="B258">
        <v>1.7423999999999999E-2</v>
      </c>
      <c r="C258">
        <v>1.7749999999999998E-2</v>
      </c>
      <c r="D258">
        <v>8.8999999999999999E-3</v>
      </c>
      <c r="E258">
        <v>1.1042E-2</v>
      </c>
      <c r="F258">
        <v>557585220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-0.51593220338983048</v>
      </c>
      <c r="Q258">
        <f t="shared" si="960"/>
        <v>-287676171.1322034</v>
      </c>
      <c r="R258">
        <f t="shared" si="961"/>
        <v>-12622053540.601658</v>
      </c>
      <c r="S258">
        <f t="shared" si="962"/>
        <v>-126220.53540601658</v>
      </c>
      <c r="T258">
        <f t="shared" si="963"/>
        <v>-126.22053540601658</v>
      </c>
    </row>
    <row r="259" spans="1:20" x14ac:dyDescent="0.25">
      <c r="A259" s="5">
        <v>44334</v>
      </c>
      <c r="B259">
        <v>1.5573E-2</v>
      </c>
      <c r="C259">
        <v>1.7881999999999999E-2</v>
      </c>
      <c r="D259">
        <v>1.5141999999999999E-2</v>
      </c>
      <c r="E259">
        <v>1.7491E-2</v>
      </c>
      <c r="F259">
        <v>463079186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0.71459854014598612</v>
      </c>
      <c r="Q259">
        <f t="shared" si="960"/>
        <v>330915710.28759158</v>
      </c>
      <c r="R259">
        <f t="shared" si="961"/>
        <v>-12334377369.469454</v>
      </c>
      <c r="S259">
        <f t="shared" si="962"/>
        <v>-123343.77369469454</v>
      </c>
      <c r="T259">
        <f t="shared" si="963"/>
        <v>-123.34377369469453</v>
      </c>
    </row>
    <row r="260" spans="1:20" x14ac:dyDescent="0.25">
      <c r="A260" s="5">
        <v>44333</v>
      </c>
      <c r="B260">
        <v>1.6778999999999999E-2</v>
      </c>
      <c r="C260">
        <v>1.6792999999999999E-2</v>
      </c>
      <c r="D260">
        <v>1.4832E-2</v>
      </c>
      <c r="E260">
        <v>1.5474999999999999E-2</v>
      </c>
      <c r="F260">
        <v>217456393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-0.34421213666496714</v>
      </c>
      <c r="Q260">
        <f t="shared" si="960"/>
        <v>-74851129.665986806</v>
      </c>
      <c r="R260">
        <f t="shared" si="961"/>
        <v>-12665293079.757046</v>
      </c>
      <c r="S260">
        <f t="shared" si="962"/>
        <v>-126652.93079757046</v>
      </c>
      <c r="T260">
        <f t="shared" si="963"/>
        <v>-126.65293079757046</v>
      </c>
    </row>
    <row r="261" spans="1:20" x14ac:dyDescent="0.25">
      <c r="A261" s="5">
        <v>44332</v>
      </c>
      <c r="B261">
        <v>1.7597000000000002E-2</v>
      </c>
      <c r="C261">
        <v>1.9375E-2</v>
      </c>
      <c r="D261">
        <v>1.5698E-2</v>
      </c>
      <c r="E261">
        <v>1.6794E-2</v>
      </c>
      <c r="F261">
        <v>284004463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-0.40386184389447927</v>
      </c>
      <c r="Q261">
        <f t="shared" si="960"/>
        <v>-114698566.10144141</v>
      </c>
      <c r="R261">
        <f t="shared" si="961"/>
        <v>-12590441950.091059</v>
      </c>
      <c r="S261">
        <f t="shared" si="962"/>
        <v>-125904.41950091059</v>
      </c>
      <c r="T261">
        <f t="shared" si="963"/>
        <v>-125.90441950091059</v>
      </c>
    </row>
    <row r="262" spans="1:20" x14ac:dyDescent="0.25">
      <c r="A262" s="5">
        <v>44331</v>
      </c>
      <c r="B262">
        <v>1.8931E-2</v>
      </c>
      <c r="C262">
        <v>1.934E-2</v>
      </c>
      <c r="D262">
        <v>1.7409000000000001E-2</v>
      </c>
      <c r="E262">
        <v>1.7595E-2</v>
      </c>
      <c r="F262">
        <v>202622305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-0.80735370274469309</v>
      </c>
      <c r="Q262">
        <f t="shared" ref="Q262:Q325" si="965">F262*P262</f>
        <v>-163587868.20041454</v>
      </c>
      <c r="R262">
        <f t="shared" ref="R262:R325" si="966">R263+Q262</f>
        <v>-12475743383.989616</v>
      </c>
      <c r="S262">
        <f t="shared" ref="S262:S325" si="967">R262/100000</f>
        <v>-124757.43383989617</v>
      </c>
      <c r="T262">
        <f t="shared" ref="T262:T325" si="968">S262/1000</f>
        <v>-124.75743383989617</v>
      </c>
    </row>
    <row r="263" spans="1:20" x14ac:dyDescent="0.25">
      <c r="A263" s="5">
        <v>44330</v>
      </c>
      <c r="B263">
        <v>1.7089E-2</v>
      </c>
      <c r="C263">
        <v>2.0746000000000001E-2</v>
      </c>
      <c r="D263">
        <v>1.6507999999999998E-2</v>
      </c>
      <c r="E263">
        <v>1.8932999999999998E-2</v>
      </c>
      <c r="F263">
        <v>507532890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0.14440773949976349</v>
      </c>
      <c r="Q263">
        <f t="shared" si="965"/>
        <v>73291677.366682112</v>
      </c>
      <c r="R263">
        <f t="shared" si="966"/>
        <v>-12312155515.789202</v>
      </c>
      <c r="S263">
        <f t="shared" si="967"/>
        <v>-123121.55515789201</v>
      </c>
      <c r="T263">
        <f t="shared" si="968"/>
        <v>-123.12155515789202</v>
      </c>
    </row>
    <row r="264" spans="1:20" x14ac:dyDescent="0.25">
      <c r="A264" s="5">
        <v>44329</v>
      </c>
      <c r="B264">
        <v>1.6969000000000001E-2</v>
      </c>
      <c r="C264">
        <v>1.8353000000000001E-2</v>
      </c>
      <c r="D264">
        <v>1.5774E-2</v>
      </c>
      <c r="E264">
        <v>1.7042999999999999E-2</v>
      </c>
      <c r="F264">
        <v>212459844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-1.5897634742149211E-2</v>
      </c>
      <c r="Q264">
        <f t="shared" si="965"/>
        <v>-3377608.9972860017</v>
      </c>
      <c r="R264">
        <f t="shared" si="966"/>
        <v>-12385447193.155884</v>
      </c>
      <c r="S264">
        <f t="shared" si="967"/>
        <v>-123854.47193155884</v>
      </c>
      <c r="T264">
        <f t="shared" si="968"/>
        <v>-123.85447193155885</v>
      </c>
    </row>
    <row r="265" spans="1:20" x14ac:dyDescent="0.25">
      <c r="A265" s="5">
        <v>44328</v>
      </c>
      <c r="B265">
        <v>2.0493000000000001E-2</v>
      </c>
      <c r="C265">
        <v>2.1999999999999999E-2</v>
      </c>
      <c r="D265">
        <v>1.6830000000000001E-2</v>
      </c>
      <c r="E265">
        <v>1.6892000000000001E-2</v>
      </c>
      <c r="F265">
        <v>186991411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-0.97601547388781451</v>
      </c>
      <c r="Q265">
        <f t="shared" si="965"/>
        <v>-182506510.62011608</v>
      </c>
      <c r="R265">
        <f t="shared" si="966"/>
        <v>-12382069584.158598</v>
      </c>
      <c r="S265">
        <f t="shared" si="967"/>
        <v>-123820.69584158598</v>
      </c>
      <c r="T265">
        <f t="shared" si="968"/>
        <v>-123.82069584158599</v>
      </c>
    </row>
    <row r="266" spans="1:20" x14ac:dyDescent="0.25">
      <c r="A266" s="5">
        <v>44327</v>
      </c>
      <c r="B266">
        <v>1.9764E-2</v>
      </c>
      <c r="C266">
        <v>2.0933E-2</v>
      </c>
      <c r="D266">
        <v>1.9300000000000001E-2</v>
      </c>
      <c r="E266">
        <v>2.0524000000000001E-2</v>
      </c>
      <c r="F266">
        <v>111805287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0.49908144519289666</v>
      </c>
      <c r="Q266">
        <f t="shared" si="965"/>
        <v>55799944.216166578</v>
      </c>
      <c r="R266">
        <f t="shared" si="966"/>
        <v>-12199563073.538483</v>
      </c>
      <c r="S266">
        <f t="shared" si="967"/>
        <v>-121995.63073538482</v>
      </c>
      <c r="T266">
        <f t="shared" si="968"/>
        <v>-121.99563073538482</v>
      </c>
    </row>
    <row r="267" spans="1:20" x14ac:dyDescent="0.25">
      <c r="A267" s="5">
        <v>44326</v>
      </c>
      <c r="B267">
        <v>2.1537000000000001E-2</v>
      </c>
      <c r="C267">
        <v>2.3833E-2</v>
      </c>
      <c r="D267">
        <v>1.8149999999999999E-2</v>
      </c>
      <c r="E267">
        <v>1.9761999999999998E-2</v>
      </c>
      <c r="F267">
        <v>358170182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-0.43269399964807365</v>
      </c>
      <c r="Q267">
        <f t="shared" si="965"/>
        <v>-154978088.60425848</v>
      </c>
      <c r="R267">
        <f t="shared" si="966"/>
        <v>-12255363017.75465</v>
      </c>
      <c r="S267">
        <f t="shared" si="967"/>
        <v>-122553.6301775465</v>
      </c>
      <c r="T267">
        <f t="shared" si="968"/>
        <v>-122.55363017754649</v>
      </c>
    </row>
    <row r="268" spans="1:20" x14ac:dyDescent="0.25">
      <c r="A268" s="5">
        <v>44325</v>
      </c>
      <c r="B268">
        <v>2.2015E-2</v>
      </c>
      <c r="C268">
        <v>2.2249999999999999E-2</v>
      </c>
      <c r="D268">
        <v>2.0619999999999999E-2</v>
      </c>
      <c r="E268">
        <v>2.1524999999999999E-2</v>
      </c>
      <c r="F268">
        <v>111464495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0.11042944785276053</v>
      </c>
      <c r="Q268">
        <f t="shared" si="965"/>
        <v>12308962.638036788</v>
      </c>
      <c r="R268">
        <f t="shared" si="966"/>
        <v>-12100384929.150393</v>
      </c>
      <c r="S268">
        <f t="shared" si="967"/>
        <v>-121003.84929150392</v>
      </c>
      <c r="T268">
        <f t="shared" si="968"/>
        <v>-121.00384929150393</v>
      </c>
    </row>
    <row r="269" spans="1:20" x14ac:dyDescent="0.25">
      <c r="A269" s="5">
        <v>44324</v>
      </c>
      <c r="B269">
        <v>2.2860999999999999E-2</v>
      </c>
      <c r="C269">
        <v>2.3213999999999999E-2</v>
      </c>
      <c r="D269">
        <v>2.1554E-2</v>
      </c>
      <c r="E269">
        <v>2.2030999999999999E-2</v>
      </c>
      <c r="F269">
        <v>173515052</v>
      </c>
      <c r="G269">
        <v>0</v>
      </c>
      <c r="L269" t="s">
        <v>7</v>
      </c>
      <c r="M269" t="s">
        <v>8</v>
      </c>
      <c r="N269" t="s">
        <v>8</v>
      </c>
      <c r="P269">
        <f t="shared" si="964"/>
        <v>-0.42530120481927863</v>
      </c>
      <c r="Q269">
        <f t="shared" si="965"/>
        <v>-73796160.669879779</v>
      </c>
      <c r="R269">
        <f t="shared" si="966"/>
        <v>-12112693891.788429</v>
      </c>
      <c r="S269">
        <f t="shared" si="967"/>
        <v>-121126.9389178843</v>
      </c>
      <c r="T269">
        <f t="shared" si="968"/>
        <v>-121.1269389178843</v>
      </c>
    </row>
    <row r="270" spans="1:20" x14ac:dyDescent="0.25">
      <c r="A270" s="5">
        <v>44323</v>
      </c>
      <c r="B270">
        <v>2.299E-2</v>
      </c>
      <c r="C270">
        <v>2.512E-2</v>
      </c>
      <c r="D270">
        <v>2.2034999999999999E-2</v>
      </c>
      <c r="E270">
        <v>2.2831000000000001E-2</v>
      </c>
      <c r="F270">
        <v>353421801</v>
      </c>
      <c r="G270">
        <v>0</v>
      </c>
      <c r="L270" t="s">
        <v>7</v>
      </c>
      <c r="M270" t="s">
        <v>8</v>
      </c>
      <c r="N270" t="s">
        <v>8</v>
      </c>
      <c r="P270">
        <f t="shared" si="964"/>
        <v>-0.48395461912479654</v>
      </c>
      <c r="Q270">
        <f t="shared" si="965"/>
        <v>-171040113.09335464</v>
      </c>
      <c r="R270">
        <f t="shared" si="966"/>
        <v>-12038897731.118549</v>
      </c>
      <c r="S270">
        <f t="shared" si="967"/>
        <v>-120388.97731118549</v>
      </c>
      <c r="T270">
        <f t="shared" si="968"/>
        <v>-120.38897731118549</v>
      </c>
    </row>
    <row r="271" spans="1:20" x14ac:dyDescent="0.25">
      <c r="A271" s="5">
        <v>44322</v>
      </c>
      <c r="B271">
        <v>2.2171E-2</v>
      </c>
      <c r="C271">
        <v>2.4979999999999999E-2</v>
      </c>
      <c r="D271">
        <v>2.1389999999999999E-2</v>
      </c>
      <c r="E271">
        <v>2.2998999999999999E-2</v>
      </c>
      <c r="F271">
        <v>402578353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-0.10362116991643477</v>
      </c>
      <c r="Q271">
        <f t="shared" si="965"/>
        <v>-41715639.920891456</v>
      </c>
      <c r="R271">
        <f t="shared" si="966"/>
        <v>-11867857618.025194</v>
      </c>
      <c r="S271">
        <f t="shared" si="967"/>
        <v>-118678.57618025194</v>
      </c>
      <c r="T271">
        <f t="shared" si="968"/>
        <v>-118.67857618025194</v>
      </c>
    </row>
    <row r="272" spans="1:20" x14ac:dyDescent="0.25">
      <c r="A272" s="5">
        <v>44321</v>
      </c>
      <c r="B272">
        <v>1.9612999999999998E-2</v>
      </c>
      <c r="C272">
        <v>2.2929999999999999E-2</v>
      </c>
      <c r="D272">
        <v>1.9407000000000001E-2</v>
      </c>
      <c r="E272">
        <v>2.2171E-2</v>
      </c>
      <c r="F272">
        <v>256192372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0.56911722963383504</v>
      </c>
      <c r="Q272">
        <f t="shared" si="965"/>
        <v>145803493.00596088</v>
      </c>
      <c r="R272">
        <f t="shared" si="966"/>
        <v>-11826141978.104303</v>
      </c>
      <c r="S272">
        <f t="shared" si="967"/>
        <v>-118261.41978104303</v>
      </c>
      <c r="T272">
        <f t="shared" si="968"/>
        <v>-118.26141978104303</v>
      </c>
    </row>
    <row r="273" spans="1:20" x14ac:dyDescent="0.25">
      <c r="A273" s="5">
        <v>44320</v>
      </c>
      <c r="B273">
        <v>2.2966E-2</v>
      </c>
      <c r="C273">
        <v>2.2967000000000001E-2</v>
      </c>
      <c r="D273">
        <v>1.9331000000000001E-2</v>
      </c>
      <c r="E273">
        <v>1.9685999999999999E-2</v>
      </c>
      <c r="F273">
        <v>273912340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-0.80473047304730605</v>
      </c>
      <c r="Q273">
        <f t="shared" si="965"/>
        <v>-220425606.94169453</v>
      </c>
      <c r="R273">
        <f t="shared" si="966"/>
        <v>-11971945471.110264</v>
      </c>
      <c r="S273">
        <f t="shared" si="967"/>
        <v>-119719.45471110263</v>
      </c>
      <c r="T273">
        <f t="shared" si="968"/>
        <v>-119.71945471110263</v>
      </c>
    </row>
    <row r="274" spans="1:20" x14ac:dyDescent="0.25">
      <c r="A274" s="5">
        <v>44319</v>
      </c>
      <c r="B274">
        <v>2.3154999999999999E-2</v>
      </c>
      <c r="C274">
        <v>2.4500000000000001E-2</v>
      </c>
      <c r="D274">
        <v>2.2599999999999999E-2</v>
      </c>
      <c r="E274">
        <v>2.2967000000000001E-2</v>
      </c>
      <c r="F274">
        <v>260907756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-0.61368421052631339</v>
      </c>
      <c r="Q274">
        <f t="shared" si="965"/>
        <v>-160114970.26105201</v>
      </c>
      <c r="R274">
        <f t="shared" si="966"/>
        <v>-11751519864.16857</v>
      </c>
      <c r="S274">
        <f t="shared" si="967"/>
        <v>-117515.1986416857</v>
      </c>
      <c r="T274">
        <f t="shared" si="968"/>
        <v>-117.5151986416857</v>
      </c>
    </row>
    <row r="275" spans="1:20" x14ac:dyDescent="0.25">
      <c r="A275" s="5">
        <v>44318</v>
      </c>
      <c r="B275">
        <v>2.3132E-2</v>
      </c>
      <c r="C275">
        <v>2.3998999999999999E-2</v>
      </c>
      <c r="D275">
        <v>2.2322000000000002E-2</v>
      </c>
      <c r="E275">
        <v>2.3148999999999999E-2</v>
      </c>
      <c r="F275">
        <v>255057395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-1.3714967203340617E-2</v>
      </c>
      <c r="Q275">
        <f t="shared" si="965"/>
        <v>-3498103.8073944929</v>
      </c>
      <c r="R275">
        <f t="shared" si="966"/>
        <v>-11591404893.907518</v>
      </c>
      <c r="S275">
        <f t="shared" si="967"/>
        <v>-115914.04893907519</v>
      </c>
      <c r="T275">
        <f t="shared" si="968"/>
        <v>-115.91404893907519</v>
      </c>
    </row>
    <row r="276" spans="1:20" x14ac:dyDescent="0.25">
      <c r="A276" s="5">
        <v>44317</v>
      </c>
      <c r="B276">
        <v>2.3206999999999998E-2</v>
      </c>
      <c r="C276">
        <v>2.4383999999999999E-2</v>
      </c>
      <c r="D276">
        <v>2.2275E-2</v>
      </c>
      <c r="E276">
        <v>2.3125E-2</v>
      </c>
      <c r="F276">
        <v>397784598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-0.19393077287814114</v>
      </c>
      <c r="Q276">
        <f t="shared" si="965"/>
        <v>-77142674.529160678</v>
      </c>
      <c r="R276">
        <f t="shared" si="966"/>
        <v>-11587906790.100124</v>
      </c>
      <c r="S276">
        <f t="shared" si="967"/>
        <v>-115879.06790100124</v>
      </c>
      <c r="T276">
        <f t="shared" si="968"/>
        <v>-115.87906790100124</v>
      </c>
    </row>
    <row r="277" spans="1:20" x14ac:dyDescent="0.25">
      <c r="A277" s="5">
        <v>44316</v>
      </c>
      <c r="B277">
        <v>2.1340999999999999E-2</v>
      </c>
      <c r="C277">
        <v>2.3699999999999999E-2</v>
      </c>
      <c r="D277">
        <v>2.0854999999999999E-2</v>
      </c>
      <c r="E277">
        <v>2.3236E-2</v>
      </c>
      <c r="F277">
        <v>238636027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0.67381370826010611</v>
      </c>
      <c r="Q277">
        <f t="shared" si="965"/>
        <v>160796226.27732882</v>
      </c>
      <c r="R277">
        <f t="shared" si="966"/>
        <v>-11510764115.570963</v>
      </c>
      <c r="S277">
        <f t="shared" si="967"/>
        <v>-115107.64115570963</v>
      </c>
      <c r="T277">
        <f t="shared" si="968"/>
        <v>-115.10764115570963</v>
      </c>
    </row>
    <row r="278" spans="1:20" x14ac:dyDescent="0.25">
      <c r="A278" s="5">
        <v>44315</v>
      </c>
      <c r="B278">
        <v>2.1805000000000001E-2</v>
      </c>
      <c r="C278">
        <v>2.3120999999999999E-2</v>
      </c>
      <c r="D278">
        <v>2.0405E-2</v>
      </c>
      <c r="E278">
        <v>2.1308000000000001E-2</v>
      </c>
      <c r="F278">
        <v>213097215</v>
      </c>
      <c r="G278">
        <v>0</v>
      </c>
      <c r="L278" t="s">
        <v>7</v>
      </c>
      <c r="M278" t="s">
        <v>8</v>
      </c>
      <c r="N278" t="s">
        <v>8</v>
      </c>
      <c r="P278">
        <f t="shared" si="964"/>
        <v>-0.33505154639175172</v>
      </c>
      <c r="Q278">
        <f t="shared" si="965"/>
        <v>-71398551.417525589</v>
      </c>
      <c r="R278">
        <f t="shared" si="966"/>
        <v>-11671560341.848291</v>
      </c>
      <c r="S278">
        <f t="shared" si="967"/>
        <v>-116715.60341848292</v>
      </c>
      <c r="T278">
        <f t="shared" si="968"/>
        <v>-116.71560341848291</v>
      </c>
    </row>
    <row r="279" spans="1:20" x14ac:dyDescent="0.25">
      <c r="A279" s="5">
        <v>44314</v>
      </c>
      <c r="B279">
        <v>2.3192000000000001E-2</v>
      </c>
      <c r="C279">
        <v>2.4151100000000002E-2</v>
      </c>
      <c r="D279">
        <v>2.1042000000000002E-2</v>
      </c>
      <c r="E279">
        <v>2.1829999999999999E-2</v>
      </c>
      <c r="F279">
        <v>264106129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-0.4931008973657991</v>
      </c>
      <c r="Q279">
        <f t="shared" si="965"/>
        <v>-130230969.2097075</v>
      </c>
      <c r="R279">
        <f t="shared" si="966"/>
        <v>-11600161790.430765</v>
      </c>
      <c r="S279">
        <f t="shared" si="967"/>
        <v>-116001.61790430766</v>
      </c>
      <c r="T279">
        <f t="shared" si="968"/>
        <v>-116.00161790430765</v>
      </c>
    </row>
    <row r="280" spans="1:20" x14ac:dyDescent="0.25">
      <c r="A280" s="5">
        <v>44313</v>
      </c>
      <c r="B280">
        <v>2.0701000000000001E-2</v>
      </c>
      <c r="C280">
        <v>2.3685999999999999E-2</v>
      </c>
      <c r="D280">
        <v>2.0551E-2</v>
      </c>
      <c r="E280">
        <v>2.3229E-2</v>
      </c>
      <c r="F280">
        <v>280421621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0.70845295055821422</v>
      </c>
      <c r="Q280">
        <f t="shared" si="965"/>
        <v>198665524.79776728</v>
      </c>
      <c r="R280">
        <f t="shared" si="966"/>
        <v>-11469930821.221058</v>
      </c>
      <c r="S280">
        <f t="shared" si="967"/>
        <v>-114699.30821221058</v>
      </c>
      <c r="T280">
        <f t="shared" si="968"/>
        <v>-114.69930821221058</v>
      </c>
    </row>
    <row r="281" spans="1:20" x14ac:dyDescent="0.25">
      <c r="A281" s="5">
        <v>44312</v>
      </c>
      <c r="B281">
        <v>1.7347999999999999E-2</v>
      </c>
      <c r="C281">
        <v>2.1499999999999998E-2</v>
      </c>
      <c r="D281">
        <v>1.6899999999999998E-2</v>
      </c>
      <c r="E281">
        <v>2.0674000000000001E-2</v>
      </c>
      <c r="F281">
        <v>319794947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0.64086956521739269</v>
      </c>
      <c r="Q281">
        <f t="shared" si="965"/>
        <v>204946848.64260915</v>
      </c>
      <c r="R281">
        <f t="shared" si="966"/>
        <v>-11668596346.018826</v>
      </c>
      <c r="S281">
        <f t="shared" si="967"/>
        <v>-116685.96346018826</v>
      </c>
      <c r="T281">
        <f t="shared" si="968"/>
        <v>-116.68596346018826</v>
      </c>
    </row>
    <row r="282" spans="1:20" x14ac:dyDescent="0.25">
      <c r="A282" s="5">
        <v>44311</v>
      </c>
      <c r="B282">
        <v>1.8111700000000001E-2</v>
      </c>
      <c r="C282">
        <v>1.9175000000000001E-2</v>
      </c>
      <c r="D282">
        <v>1.6409E-2</v>
      </c>
      <c r="E282">
        <v>1.7349E-2</v>
      </c>
      <c r="F282">
        <v>225628848</v>
      </c>
      <c r="G282">
        <v>0</v>
      </c>
      <c r="L282" t="s">
        <v>7</v>
      </c>
      <c r="M282" t="s">
        <v>7</v>
      </c>
      <c r="N282" t="s">
        <v>8</v>
      </c>
      <c r="P282">
        <f t="shared" si="964"/>
        <v>-0.32031814895155497</v>
      </c>
      <c r="Q282">
        <f t="shared" si="965"/>
        <v>-72273014.941431761</v>
      </c>
      <c r="R282">
        <f t="shared" si="966"/>
        <v>-11873543194.661434</v>
      </c>
      <c r="S282">
        <f t="shared" si="967"/>
        <v>-118735.43194661434</v>
      </c>
      <c r="T282">
        <f t="shared" si="968"/>
        <v>-118.73543194661434</v>
      </c>
    </row>
    <row r="283" spans="1:20" x14ac:dyDescent="0.25">
      <c r="A283" s="5">
        <v>44310</v>
      </c>
      <c r="B283">
        <v>1.8145399999999999E-2</v>
      </c>
      <c r="C283">
        <v>1.9800000000000002E-2</v>
      </c>
      <c r="D283">
        <v>1.6807800000000001E-2</v>
      </c>
      <c r="E283">
        <v>1.8101200000000001E-2</v>
      </c>
      <c r="F283">
        <v>323868838</v>
      </c>
      <c r="G283">
        <v>0</v>
      </c>
      <c r="L283" t="s">
        <v>8</v>
      </c>
      <c r="M283" t="s">
        <v>8</v>
      </c>
      <c r="N283" t="s">
        <v>8</v>
      </c>
      <c r="P283">
        <f t="shared" si="964"/>
        <v>-0.13548559588262821</v>
      </c>
      <c r="Q283">
        <f t="shared" si="965"/>
        <v>-43879562.50424438</v>
      </c>
      <c r="R283">
        <f t="shared" si="966"/>
        <v>-11801270179.720003</v>
      </c>
      <c r="S283">
        <f t="shared" si="967"/>
        <v>-118012.70179720003</v>
      </c>
      <c r="T283">
        <f t="shared" si="968"/>
        <v>-118.01270179720004</v>
      </c>
    </row>
    <row r="284" spans="1:20" x14ac:dyDescent="0.25">
      <c r="A284" s="5">
        <v>44309</v>
      </c>
      <c r="B284">
        <v>1.89829E-2</v>
      </c>
      <c r="C284">
        <v>1.9067000000000001E-2</v>
      </c>
      <c r="D284">
        <v>1.1705699999999999E-2</v>
      </c>
      <c r="E284">
        <v>1.81189E-2</v>
      </c>
      <c r="F284">
        <v>426366705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0.74240962873405503</v>
      </c>
      <c r="Q284">
        <f t="shared" si="965"/>
        <v>316538747.16361237</v>
      </c>
      <c r="R284">
        <f t="shared" si="966"/>
        <v>-11757390617.215759</v>
      </c>
      <c r="S284">
        <f t="shared" si="967"/>
        <v>-117573.9061721576</v>
      </c>
      <c r="T284">
        <f t="shared" si="968"/>
        <v>-117.57390617215761</v>
      </c>
    </row>
    <row r="285" spans="1:20" x14ac:dyDescent="0.25">
      <c r="A285" s="5">
        <v>44308</v>
      </c>
      <c r="B285">
        <v>2.2104800000000001E-2</v>
      </c>
      <c r="C285">
        <v>2.3E-2</v>
      </c>
      <c r="D285">
        <v>1.85109E-2</v>
      </c>
      <c r="E285">
        <v>1.8974600000000001E-2</v>
      </c>
      <c r="F285">
        <v>373817860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-0.79341070593214635</v>
      </c>
      <c r="Q285">
        <f t="shared" si="965"/>
        <v>-296591092.19264424</v>
      </c>
      <c r="R285">
        <f t="shared" si="966"/>
        <v>-12073929364.379372</v>
      </c>
      <c r="S285">
        <f t="shared" si="967"/>
        <v>-120739.29364379372</v>
      </c>
      <c r="T285">
        <f t="shared" si="968"/>
        <v>-120.73929364379372</v>
      </c>
    </row>
    <row r="286" spans="1:20" x14ac:dyDescent="0.25">
      <c r="A286" s="5">
        <v>44307</v>
      </c>
      <c r="B286">
        <v>2.4217900000000001E-2</v>
      </c>
      <c r="C286">
        <v>2.58485E-2</v>
      </c>
      <c r="D286">
        <v>2.18E-2</v>
      </c>
      <c r="E286">
        <v>2.2096899999999999E-2</v>
      </c>
      <c r="F286">
        <v>299986124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-0.85332839323206167</v>
      </c>
      <c r="Q286">
        <f t="shared" si="965"/>
        <v>-255986677.184834</v>
      </c>
      <c r="R286">
        <f t="shared" si="966"/>
        <v>-11777338272.186728</v>
      </c>
      <c r="S286">
        <f t="shared" si="967"/>
        <v>-117773.38272186728</v>
      </c>
      <c r="T286">
        <f t="shared" si="968"/>
        <v>-117.77338272186728</v>
      </c>
    </row>
    <row r="287" spans="1:20" x14ac:dyDescent="0.25">
      <c r="A287" s="5">
        <v>44306</v>
      </c>
      <c r="B287">
        <v>2.5342E-2</v>
      </c>
      <c r="C287">
        <v>2.5405299999999999E-2</v>
      </c>
      <c r="D287">
        <v>2.1554299999999998E-2</v>
      </c>
      <c r="E287">
        <v>2.4247700000000001E-2</v>
      </c>
      <c r="F287">
        <v>324018233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0.39880550506362078</v>
      </c>
      <c r="Q287">
        <f t="shared" si="965"/>
        <v>129220255.06138696</v>
      </c>
      <c r="R287">
        <f t="shared" si="966"/>
        <v>-11521351595.001894</v>
      </c>
      <c r="S287">
        <f t="shared" si="967"/>
        <v>-115213.51595001893</v>
      </c>
      <c r="T287">
        <f t="shared" si="968"/>
        <v>-115.21351595001893</v>
      </c>
    </row>
    <row r="288" spans="1:20" x14ac:dyDescent="0.25">
      <c r="A288" s="5">
        <v>44305</v>
      </c>
      <c r="B288">
        <v>2.7455899999999998E-2</v>
      </c>
      <c r="C288">
        <v>2.9127E-2</v>
      </c>
      <c r="D288">
        <v>2.40999E-2</v>
      </c>
      <c r="E288">
        <v>2.5254700000000001E-2</v>
      </c>
      <c r="F288">
        <v>513263760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-0.54057011000377908</v>
      </c>
      <c r="Q288">
        <f t="shared" si="965"/>
        <v>-277455047.20415324</v>
      </c>
      <c r="R288">
        <f t="shared" si="966"/>
        <v>-11650571850.06328</v>
      </c>
      <c r="S288">
        <f t="shared" si="967"/>
        <v>-116505.71850063281</v>
      </c>
      <c r="T288">
        <f t="shared" si="968"/>
        <v>-116.50571850063281</v>
      </c>
    </row>
    <row r="289" spans="1:20" x14ac:dyDescent="0.25">
      <c r="A289" s="5">
        <v>44304</v>
      </c>
      <c r="B289">
        <v>3.06045E-2</v>
      </c>
      <c r="C289">
        <v>3.0912800000000001E-2</v>
      </c>
      <c r="D289">
        <v>2.3664500000000002E-2</v>
      </c>
      <c r="E289">
        <v>2.74556E-2</v>
      </c>
      <c r="F289">
        <v>491070618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4.6065974090476129E-2</v>
      </c>
      <c r="Q289">
        <f t="shared" si="965"/>
        <v>22621646.365382101</v>
      </c>
      <c r="R289">
        <f t="shared" si="966"/>
        <v>-11373116802.859127</v>
      </c>
      <c r="S289">
        <f t="shared" si="967"/>
        <v>-113731.16802859127</v>
      </c>
      <c r="T289">
        <f t="shared" si="968"/>
        <v>-113.73116802859127</v>
      </c>
    </row>
    <row r="290" spans="1:20" x14ac:dyDescent="0.25">
      <c r="A290" s="5">
        <v>44303</v>
      </c>
      <c r="B290">
        <v>2.9602199999999999E-2</v>
      </c>
      <c r="C290">
        <v>3.7600000000000001E-2</v>
      </c>
      <c r="D290">
        <v>2.8814300000000001E-2</v>
      </c>
      <c r="E290">
        <v>3.0760099999999999E-2</v>
      </c>
      <c r="F290">
        <v>1230088003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-0.55705293829746128</v>
      </c>
      <c r="Q290">
        <f t="shared" si="965"/>
        <v>-685224136.43560636</v>
      </c>
      <c r="R290">
        <f t="shared" si="966"/>
        <v>-11395738449.224508</v>
      </c>
      <c r="S290">
        <f t="shared" si="967"/>
        <v>-113957.38449224508</v>
      </c>
      <c r="T290">
        <f t="shared" si="968"/>
        <v>-113.95738449224508</v>
      </c>
    </row>
    <row r="291" spans="1:20" x14ac:dyDescent="0.25">
      <c r="A291" s="5">
        <v>44302</v>
      </c>
      <c r="B291">
        <v>2.7009399999999999E-2</v>
      </c>
      <c r="C291">
        <v>3.2891299999999998E-2</v>
      </c>
      <c r="D291">
        <v>2.4500000000000001E-2</v>
      </c>
      <c r="E291">
        <v>2.9602199999999999E-2</v>
      </c>
      <c r="F291">
        <v>793609340</v>
      </c>
      <c r="G291">
        <v>0</v>
      </c>
      <c r="L291" t="s">
        <v>7</v>
      </c>
      <c r="M291" t="s">
        <v>8</v>
      </c>
      <c r="N291" t="s">
        <v>8</v>
      </c>
      <c r="P291">
        <f t="shared" si="964"/>
        <v>0.21606902386996038</v>
      </c>
      <c r="Q291">
        <f t="shared" si="965"/>
        <v>171474395.42788351</v>
      </c>
      <c r="R291">
        <f t="shared" si="966"/>
        <v>-10710514312.788902</v>
      </c>
      <c r="S291">
        <f t="shared" si="967"/>
        <v>-107105.14312788902</v>
      </c>
      <c r="T291">
        <f t="shared" si="968"/>
        <v>-107.10514312788902</v>
      </c>
    </row>
    <row r="292" spans="1:20" x14ac:dyDescent="0.25">
      <c r="A292" s="5">
        <v>44301</v>
      </c>
      <c r="B292">
        <v>2.6419700000000001E-2</v>
      </c>
      <c r="C292">
        <v>2.7383299999999999E-2</v>
      </c>
      <c r="D292">
        <v>2.5366400000000001E-2</v>
      </c>
      <c r="E292">
        <v>2.7009499999999999E-2</v>
      </c>
      <c r="F292">
        <v>212091638</v>
      </c>
      <c r="G292">
        <v>0</v>
      </c>
      <c r="L292" t="s">
        <v>7</v>
      </c>
      <c r="M292" t="s">
        <v>8</v>
      </c>
      <c r="N292" t="s">
        <v>7</v>
      </c>
      <c r="P292">
        <f t="shared" si="964"/>
        <v>0.62933214338836752</v>
      </c>
      <c r="Q292">
        <f t="shared" si="965"/>
        <v>133476085.13728973</v>
      </c>
      <c r="R292">
        <f t="shared" si="966"/>
        <v>-10881988708.216785</v>
      </c>
      <c r="S292">
        <f t="shared" si="967"/>
        <v>-108819.88708216786</v>
      </c>
      <c r="T292">
        <f t="shared" si="968"/>
        <v>-108.81988708216785</v>
      </c>
    </row>
    <row r="293" spans="1:20" x14ac:dyDescent="0.25">
      <c r="A293" s="5">
        <v>44300</v>
      </c>
      <c r="B293">
        <v>2.46053E-2</v>
      </c>
      <c r="C293">
        <v>2.7257799999999999E-2</v>
      </c>
      <c r="D293">
        <v>2.41E-2</v>
      </c>
      <c r="E293">
        <v>2.6421E-2</v>
      </c>
      <c r="F293">
        <v>423112601</v>
      </c>
      <c r="G293">
        <v>0</v>
      </c>
      <c r="L293" t="s">
        <v>8</v>
      </c>
      <c r="M293" t="s">
        <v>8</v>
      </c>
      <c r="N293" t="s">
        <v>7</v>
      </c>
      <c r="P293">
        <f t="shared" si="964"/>
        <v>0.47001076698967703</v>
      </c>
      <c r="Q293">
        <f t="shared" si="965"/>
        <v>198867478.1190072</v>
      </c>
      <c r="R293">
        <f t="shared" si="966"/>
        <v>-11015464793.354074</v>
      </c>
      <c r="S293">
        <f t="shared" si="967"/>
        <v>-110154.64793354075</v>
      </c>
      <c r="T293">
        <f t="shared" si="968"/>
        <v>-110.15464793354074</v>
      </c>
    </row>
    <row r="294" spans="1:20" x14ac:dyDescent="0.25">
      <c r="A294" s="5">
        <v>44299</v>
      </c>
      <c r="B294">
        <v>2.4823999999999999E-2</v>
      </c>
      <c r="C294">
        <v>2.5499999999999998E-2</v>
      </c>
      <c r="D294">
        <v>2.2805499999999999E-2</v>
      </c>
      <c r="E294">
        <v>2.4550099999999998E-2</v>
      </c>
      <c r="F294">
        <v>435502277</v>
      </c>
      <c r="G294">
        <v>0</v>
      </c>
      <c r="L294" t="s">
        <v>7</v>
      </c>
      <c r="M294" t="s">
        <v>7</v>
      </c>
      <c r="N294" t="s">
        <v>7</v>
      </c>
      <c r="P294">
        <f t="shared" si="964"/>
        <v>0.29493412506958588</v>
      </c>
      <c r="Q294">
        <f t="shared" si="965"/>
        <v>128444483.03280744</v>
      </c>
      <c r="R294">
        <f t="shared" si="966"/>
        <v>-11214332271.473082</v>
      </c>
      <c r="S294">
        <f t="shared" si="967"/>
        <v>-112143.32271473082</v>
      </c>
      <c r="T294">
        <f t="shared" si="968"/>
        <v>-112.14332271473081</v>
      </c>
    </row>
    <row r="295" spans="1:20" x14ac:dyDescent="0.25">
      <c r="A295" s="5">
        <v>44298</v>
      </c>
      <c r="B295">
        <v>2.7386299999999999E-2</v>
      </c>
      <c r="C295">
        <v>2.7510400000000001E-2</v>
      </c>
      <c r="D295">
        <v>2.4664200000000001E-2</v>
      </c>
      <c r="E295">
        <v>2.4826500000000001E-2</v>
      </c>
      <c r="F295">
        <v>265116079</v>
      </c>
      <c r="G295">
        <v>0</v>
      </c>
      <c r="L295" t="s">
        <v>7</v>
      </c>
      <c r="M295" t="s">
        <v>7</v>
      </c>
      <c r="N295" t="s">
        <v>8</v>
      </c>
      <c r="P295">
        <f t="shared" si="964"/>
        <v>-0.88595320075890616</v>
      </c>
      <c r="Q295">
        <f t="shared" si="965"/>
        <v>-234880438.76270103</v>
      </c>
      <c r="R295">
        <f t="shared" si="966"/>
        <v>-11342776754.50589</v>
      </c>
      <c r="S295">
        <f t="shared" si="967"/>
        <v>-113427.7675450589</v>
      </c>
      <c r="T295">
        <f t="shared" si="968"/>
        <v>-113.4277675450589</v>
      </c>
    </row>
    <row r="296" spans="1:20" x14ac:dyDescent="0.25">
      <c r="A296" s="5">
        <v>44297</v>
      </c>
      <c r="B296">
        <v>2.8037900000000001E-2</v>
      </c>
      <c r="C296">
        <v>2.8430400000000002E-2</v>
      </c>
      <c r="D296">
        <v>2.6082999999999999E-2</v>
      </c>
      <c r="E296">
        <v>2.7336599999999999E-2</v>
      </c>
      <c r="F296">
        <v>169394085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6.8075317372411154E-2</v>
      </c>
      <c r="Q296">
        <f t="shared" si="965"/>
        <v>11531556.097384192</v>
      </c>
      <c r="R296">
        <f t="shared" si="966"/>
        <v>-11107896315.743189</v>
      </c>
      <c r="S296">
        <f t="shared" si="967"/>
        <v>-111078.96315743189</v>
      </c>
      <c r="T296">
        <f t="shared" si="968"/>
        <v>-111.07896315743189</v>
      </c>
    </row>
    <row r="297" spans="1:20" x14ac:dyDescent="0.25">
      <c r="A297" s="5">
        <v>44296</v>
      </c>
      <c r="B297">
        <v>2.8820499999999999E-2</v>
      </c>
      <c r="C297">
        <v>3.1E-2</v>
      </c>
      <c r="D297">
        <v>2.7108299999999998E-2</v>
      </c>
      <c r="E297">
        <v>2.8033300000000001E-2</v>
      </c>
      <c r="F297">
        <v>220936266</v>
      </c>
      <c r="G297">
        <v>0</v>
      </c>
      <c r="L297" t="s">
        <v>7</v>
      </c>
      <c r="M297" t="s">
        <v>7</v>
      </c>
      <c r="N297" t="s">
        <v>8</v>
      </c>
      <c r="P297">
        <f t="shared" si="964"/>
        <v>-0.52462933936325928</v>
      </c>
      <c r="Q297">
        <f t="shared" si="965"/>
        <v>-115909647.27296533</v>
      </c>
      <c r="R297">
        <f t="shared" si="966"/>
        <v>-11119427871.840572</v>
      </c>
      <c r="S297">
        <f t="shared" si="967"/>
        <v>-111194.27871840572</v>
      </c>
      <c r="T297">
        <f t="shared" si="968"/>
        <v>-111.19427871840573</v>
      </c>
    </row>
    <row r="298" spans="1:20" x14ac:dyDescent="0.25">
      <c r="A298" s="5">
        <v>44295</v>
      </c>
      <c r="B298">
        <v>2.853E-2</v>
      </c>
      <c r="C298">
        <v>3.1E-2</v>
      </c>
      <c r="D298">
        <v>2.8228699999999999E-2</v>
      </c>
      <c r="E298">
        <v>2.88887E-2</v>
      </c>
      <c r="F298">
        <v>225200982</v>
      </c>
      <c r="G298">
        <v>0</v>
      </c>
      <c r="L298" t="s">
        <v>8</v>
      </c>
      <c r="M298" t="s">
        <v>7</v>
      </c>
      <c r="N298" t="s">
        <v>8</v>
      </c>
      <c r="P298">
        <f t="shared" si="964"/>
        <v>-0.52368924331541111</v>
      </c>
      <c r="Q298">
        <f t="shared" si="965"/>
        <v>-117935331.85746752</v>
      </c>
      <c r="R298">
        <f t="shared" si="966"/>
        <v>-11003518224.567608</v>
      </c>
      <c r="S298">
        <f t="shared" si="967"/>
        <v>-110035.18224567609</v>
      </c>
      <c r="T298">
        <f t="shared" si="968"/>
        <v>-110.03518224567608</v>
      </c>
    </row>
    <row r="299" spans="1:20" x14ac:dyDescent="0.25">
      <c r="A299" s="5">
        <v>44294</v>
      </c>
      <c r="B299">
        <v>2.6717600000000001E-2</v>
      </c>
      <c r="C299">
        <v>2.9258200000000002E-2</v>
      </c>
      <c r="D299">
        <v>2.6321899999999999E-2</v>
      </c>
      <c r="E299">
        <v>2.8528999999999999E-2</v>
      </c>
      <c r="F299">
        <v>256840401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0.50332050539794837</v>
      </c>
      <c r="Q299">
        <f t="shared" si="965"/>
        <v>129273040.43793173</v>
      </c>
      <c r="R299">
        <f t="shared" si="966"/>
        <v>-10885582892.71014</v>
      </c>
      <c r="S299">
        <f t="shared" si="967"/>
        <v>-108855.82892710141</v>
      </c>
      <c r="T299">
        <f t="shared" si="968"/>
        <v>-108.85582892710141</v>
      </c>
    </row>
    <row r="300" spans="1:20" x14ac:dyDescent="0.25">
      <c r="A300" s="5">
        <v>44293</v>
      </c>
      <c r="B300">
        <v>2.9799800000000001E-2</v>
      </c>
      <c r="C300">
        <v>3.0702699999999999E-2</v>
      </c>
      <c r="D300">
        <v>2.5999999999999999E-2</v>
      </c>
      <c r="E300">
        <v>2.6571500000000001E-2</v>
      </c>
      <c r="F300">
        <v>522025978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-0.75694813617708867</v>
      </c>
      <c r="Q300">
        <f t="shared" si="965"/>
        <v>-395146591.0831219</v>
      </c>
      <c r="R300">
        <f t="shared" si="966"/>
        <v>-11014855933.148071</v>
      </c>
      <c r="S300">
        <f t="shared" si="967"/>
        <v>-110148.55933148072</v>
      </c>
      <c r="T300">
        <f t="shared" si="968"/>
        <v>-110.14855933148073</v>
      </c>
    </row>
    <row r="301" spans="1:20" x14ac:dyDescent="0.25">
      <c r="A301" s="5">
        <v>44292</v>
      </c>
      <c r="B301">
        <v>2.9030500000000001E-2</v>
      </c>
      <c r="C301">
        <v>3.15E-2</v>
      </c>
      <c r="D301">
        <v>2.7361199999999999E-2</v>
      </c>
      <c r="E301">
        <v>2.9799800000000001E-2</v>
      </c>
      <c r="F301">
        <v>384393695</v>
      </c>
      <c r="G301">
        <v>0</v>
      </c>
      <c r="L301" t="s">
        <v>7</v>
      </c>
      <c r="M301" t="s">
        <v>7</v>
      </c>
      <c r="N301" t="s">
        <v>8</v>
      </c>
      <c r="P301">
        <f t="shared" si="964"/>
        <v>0.17840920073451325</v>
      </c>
      <c r="Q301">
        <f t="shared" si="965"/>
        <v>68579371.892336264</v>
      </c>
      <c r="R301">
        <f t="shared" si="966"/>
        <v>-10619709342.064949</v>
      </c>
      <c r="S301">
        <f t="shared" si="967"/>
        <v>-106197.09342064949</v>
      </c>
      <c r="T301">
        <f t="shared" si="968"/>
        <v>-106.19709342064948</v>
      </c>
    </row>
    <row r="302" spans="1:20" x14ac:dyDescent="0.25">
      <c r="A302" s="5">
        <v>44291</v>
      </c>
      <c r="B302">
        <v>2.6197999999999999E-2</v>
      </c>
      <c r="C302">
        <v>3.2994500000000003E-2</v>
      </c>
      <c r="D302">
        <v>2.6014200000000001E-2</v>
      </c>
      <c r="E302">
        <v>2.90155E-2</v>
      </c>
      <c r="F302">
        <v>877562126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-0.14006561322579325</v>
      </c>
      <c r="Q302">
        <f t="shared" si="965"/>
        <v>-122916277.32192084</v>
      </c>
      <c r="R302">
        <f t="shared" si="966"/>
        <v>-10688288713.957285</v>
      </c>
      <c r="S302">
        <f t="shared" si="967"/>
        <v>-106882.88713957285</v>
      </c>
      <c r="T302">
        <f t="shared" si="968"/>
        <v>-106.88288713957284</v>
      </c>
    </row>
    <row r="303" spans="1:20" x14ac:dyDescent="0.25">
      <c r="A303" s="5">
        <v>44290</v>
      </c>
      <c r="B303">
        <v>2.3796600000000001E-2</v>
      </c>
      <c r="C303">
        <v>2.76E-2</v>
      </c>
      <c r="D303">
        <v>2.35566E-2</v>
      </c>
      <c r="E303">
        <v>2.6200000000000001E-2</v>
      </c>
      <c r="F303">
        <v>592162503</v>
      </c>
      <c r="G303">
        <v>0</v>
      </c>
      <c r="L303" t="s">
        <v>8</v>
      </c>
      <c r="M303" t="s">
        <v>7</v>
      </c>
      <c r="N303" t="s">
        <v>8</v>
      </c>
      <c r="P303">
        <f t="shared" si="964"/>
        <v>0.30751347875550339</v>
      </c>
      <c r="Q303">
        <f t="shared" si="965"/>
        <v>182097951.28609622</v>
      </c>
      <c r="R303">
        <f t="shared" si="966"/>
        <v>-10565372436.635365</v>
      </c>
      <c r="S303">
        <f t="shared" si="967"/>
        <v>-105653.72436635365</v>
      </c>
      <c r="T303">
        <f t="shared" si="968"/>
        <v>-105.65372436635366</v>
      </c>
    </row>
    <row r="304" spans="1:20" x14ac:dyDescent="0.25">
      <c r="A304" s="5">
        <v>44289</v>
      </c>
      <c r="B304">
        <v>2.6366799999999999E-2</v>
      </c>
      <c r="C304">
        <v>2.6925899999999999E-2</v>
      </c>
      <c r="D304">
        <v>2.3644700000000001E-2</v>
      </c>
      <c r="E304">
        <v>2.3796500000000002E-2</v>
      </c>
      <c r="F304">
        <v>311632783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-0.9074728757771543</v>
      </c>
      <c r="Q304">
        <f t="shared" si="965"/>
        <v>-282798297.77544791</v>
      </c>
      <c r="R304">
        <f t="shared" si="966"/>
        <v>-10747470387.921461</v>
      </c>
      <c r="S304">
        <f t="shared" si="967"/>
        <v>-107474.7038792146</v>
      </c>
      <c r="T304">
        <f t="shared" si="968"/>
        <v>-107.4747038792146</v>
      </c>
    </row>
    <row r="305" spans="1:20" x14ac:dyDescent="0.25">
      <c r="A305" s="5">
        <v>44288</v>
      </c>
      <c r="B305">
        <v>2.7846599999999999E-2</v>
      </c>
      <c r="C305">
        <v>2.87E-2</v>
      </c>
      <c r="D305">
        <v>2.61154E-2</v>
      </c>
      <c r="E305">
        <v>2.6366799999999999E-2</v>
      </c>
      <c r="F305">
        <v>242669161</v>
      </c>
      <c r="G305">
        <v>0</v>
      </c>
      <c r="L305" t="s">
        <v>7</v>
      </c>
      <c r="M305" t="s">
        <v>8</v>
      </c>
      <c r="N305" t="s">
        <v>8</v>
      </c>
      <c r="P305">
        <f t="shared" si="964"/>
        <v>-0.80546312775671369</v>
      </c>
      <c r="Q305">
        <f t="shared" si="965"/>
        <v>-195461061.42915753</v>
      </c>
      <c r="R305">
        <f t="shared" si="966"/>
        <v>-10464672090.146013</v>
      </c>
      <c r="S305">
        <f t="shared" si="967"/>
        <v>-104646.72090146014</v>
      </c>
      <c r="T305">
        <f t="shared" si="968"/>
        <v>-104.64672090146014</v>
      </c>
    </row>
    <row r="306" spans="1:20" x14ac:dyDescent="0.25">
      <c r="A306" s="5">
        <v>44287</v>
      </c>
      <c r="B306">
        <v>2.6197999999999999E-2</v>
      </c>
      <c r="C306">
        <v>2.989E-2</v>
      </c>
      <c r="D306">
        <v>2.5992500000000002E-2</v>
      </c>
      <c r="E306">
        <v>2.7847E-2</v>
      </c>
      <c r="F306">
        <v>571152124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-4.8364336112893203E-2</v>
      </c>
      <c r="Q306">
        <f t="shared" si="965"/>
        <v>-27623393.296728857</v>
      </c>
      <c r="R306">
        <f t="shared" si="966"/>
        <v>-10269211028.716856</v>
      </c>
      <c r="S306">
        <f t="shared" si="967"/>
        <v>-102692.11028716856</v>
      </c>
      <c r="T306">
        <f t="shared" si="968"/>
        <v>-102.69211028716856</v>
      </c>
    </row>
    <row r="307" spans="1:20" x14ac:dyDescent="0.25">
      <c r="A307" s="5">
        <v>44286</v>
      </c>
      <c r="B307">
        <v>2.4470800000000001E-2</v>
      </c>
      <c r="C307">
        <v>2.8149299999999999E-2</v>
      </c>
      <c r="D307">
        <v>2.3709000000000001E-2</v>
      </c>
      <c r="E307">
        <v>2.6289900000000001E-2</v>
      </c>
      <c r="F307">
        <v>479750375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0.16248902101209461</v>
      </c>
      <c r="Q307">
        <f t="shared" si="965"/>
        <v>77954168.763935268</v>
      </c>
      <c r="R307">
        <f t="shared" si="966"/>
        <v>-10241587635.420128</v>
      </c>
      <c r="S307">
        <f t="shared" si="967"/>
        <v>-102415.87635420127</v>
      </c>
      <c r="T307">
        <f t="shared" si="968"/>
        <v>-102.41587635420127</v>
      </c>
    </row>
    <row r="308" spans="1:20" x14ac:dyDescent="0.25">
      <c r="A308" s="5">
        <v>44285</v>
      </c>
      <c r="B308">
        <v>2.3797700000000001E-2</v>
      </c>
      <c r="C308">
        <v>2.5108700000000001E-2</v>
      </c>
      <c r="D308">
        <v>2.3747399999999998E-2</v>
      </c>
      <c r="E308">
        <v>2.4471799999999998E-2</v>
      </c>
      <c r="F308">
        <v>216115396</v>
      </c>
      <c r="G308">
        <v>0</v>
      </c>
      <c r="L308" t="s">
        <v>7</v>
      </c>
      <c r="M308" t="s">
        <v>8</v>
      </c>
      <c r="N308" t="s">
        <v>7</v>
      </c>
      <c r="P308">
        <f t="shared" si="964"/>
        <v>6.4276794240797117E-2</v>
      </c>
      <c r="Q308">
        <f t="shared" si="965"/>
        <v>13891204.840960389</v>
      </c>
      <c r="R308">
        <f t="shared" si="966"/>
        <v>-10319541804.184063</v>
      </c>
      <c r="S308">
        <f t="shared" si="967"/>
        <v>-103195.41804184063</v>
      </c>
      <c r="T308">
        <f t="shared" si="968"/>
        <v>-103.19541804184063</v>
      </c>
    </row>
    <row r="309" spans="1:20" x14ac:dyDescent="0.25">
      <c r="A309" s="5">
        <v>44284</v>
      </c>
      <c r="B309">
        <v>2.41E-2</v>
      </c>
      <c r="C309">
        <v>2.55658E-2</v>
      </c>
      <c r="D309">
        <v>2.34001E-2</v>
      </c>
      <c r="E309">
        <v>2.3790100000000002E-2</v>
      </c>
      <c r="F309">
        <v>302827674</v>
      </c>
      <c r="G309">
        <v>0</v>
      </c>
      <c r="L309" t="s">
        <v>7</v>
      </c>
      <c r="M309" t="s">
        <v>8</v>
      </c>
      <c r="N309" t="s">
        <v>7</v>
      </c>
      <c r="P309">
        <f t="shared" si="964"/>
        <v>-0.63983931292422636</v>
      </c>
      <c r="Q309">
        <f t="shared" si="965"/>
        <v>-193761050.86660162</v>
      </c>
      <c r="R309">
        <f t="shared" si="966"/>
        <v>-10333433009.025023</v>
      </c>
      <c r="S309">
        <f t="shared" si="967"/>
        <v>-103334.33009025022</v>
      </c>
      <c r="T309">
        <f t="shared" si="968"/>
        <v>-103.33433009025022</v>
      </c>
    </row>
    <row r="310" spans="1:20" x14ac:dyDescent="0.25">
      <c r="A310" s="5">
        <v>44283</v>
      </c>
      <c r="B310">
        <v>2.3537499999999999E-2</v>
      </c>
      <c r="C310">
        <v>2.5999999999999999E-2</v>
      </c>
      <c r="D310">
        <v>2.3000099999999999E-2</v>
      </c>
      <c r="E310">
        <v>2.4067999999999999E-2</v>
      </c>
      <c r="F310">
        <v>443636875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-0.28804293476449205</v>
      </c>
      <c r="Q310">
        <f t="shared" si="965"/>
        <v>-127786467.44474812</v>
      </c>
      <c r="R310">
        <f t="shared" si="966"/>
        <v>-10139671958.158421</v>
      </c>
      <c r="S310">
        <f t="shared" si="967"/>
        <v>-101396.7195815842</v>
      </c>
      <c r="T310">
        <f t="shared" si="968"/>
        <v>-101.39671958158419</v>
      </c>
    </row>
    <row r="311" spans="1:20" x14ac:dyDescent="0.25">
      <c r="A311" s="5">
        <v>44282</v>
      </c>
      <c r="B311">
        <v>2.2625099999999999E-2</v>
      </c>
      <c r="C311">
        <v>2.4994300000000001E-2</v>
      </c>
      <c r="D311">
        <v>2.0721400000000001E-2</v>
      </c>
      <c r="E311">
        <v>2.3552199999999999E-2</v>
      </c>
      <c r="F311">
        <v>346314950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0.32500175524819125</v>
      </c>
      <c r="Q311">
        <f t="shared" si="965"/>
        <v>112552966.6186896</v>
      </c>
      <c r="R311">
        <f t="shared" si="966"/>
        <v>-10011885490.713673</v>
      </c>
      <c r="S311">
        <f t="shared" si="967"/>
        <v>-100118.85490713673</v>
      </c>
      <c r="T311">
        <f t="shared" si="968"/>
        <v>-100.11885490713674</v>
      </c>
    </row>
    <row r="312" spans="1:20" x14ac:dyDescent="0.25">
      <c r="A312" s="5">
        <v>44281</v>
      </c>
      <c r="B312">
        <v>1.9841999999999999E-2</v>
      </c>
      <c r="C312">
        <v>2.2679600000000001E-2</v>
      </c>
      <c r="D312">
        <v>1.9841899999999999E-2</v>
      </c>
      <c r="E312">
        <v>2.2641000000000001E-2</v>
      </c>
      <c r="F312">
        <v>191714223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0.97279486908411761</v>
      </c>
      <c r="Q312">
        <f t="shared" si="965"/>
        <v>186498612.46484834</v>
      </c>
      <c r="R312">
        <f t="shared" si="966"/>
        <v>-10124438457.332363</v>
      </c>
      <c r="S312">
        <f t="shared" si="967"/>
        <v>-101244.38457332364</v>
      </c>
      <c r="T312">
        <f t="shared" si="968"/>
        <v>-101.24438457332364</v>
      </c>
    </row>
    <row r="313" spans="1:20" x14ac:dyDescent="0.25">
      <c r="A313" s="5">
        <v>44280</v>
      </c>
      <c r="B313">
        <v>2.1746499999999998E-2</v>
      </c>
      <c r="C313">
        <v>2.2555599999999999E-2</v>
      </c>
      <c r="D313">
        <v>1.9449999999999999E-2</v>
      </c>
      <c r="E313">
        <v>1.9945000000000001E-2</v>
      </c>
      <c r="F313">
        <v>284708137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-0.68122102009273422</v>
      </c>
      <c r="Q313">
        <f t="shared" si="965"/>
        <v>-193949167.51584193</v>
      </c>
      <c r="R313">
        <f t="shared" si="966"/>
        <v>-10310937069.797211</v>
      </c>
      <c r="S313">
        <f t="shared" si="967"/>
        <v>-103109.3706979721</v>
      </c>
      <c r="T313">
        <f t="shared" si="968"/>
        <v>-103.1093706979721</v>
      </c>
    </row>
    <row r="314" spans="1:20" x14ac:dyDescent="0.25">
      <c r="A314" s="5">
        <v>44279</v>
      </c>
      <c r="B314">
        <v>2.2646199999999998E-2</v>
      </c>
      <c r="C314">
        <v>2.6280000000000001E-2</v>
      </c>
      <c r="D314">
        <v>2.1080100000000001E-2</v>
      </c>
      <c r="E314">
        <v>2.1746399999999999E-2</v>
      </c>
      <c r="F314">
        <v>470925174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-0.74372584088155613</v>
      </c>
      <c r="Q314">
        <f t="shared" si="965"/>
        <v>-350239221.02544314</v>
      </c>
      <c r="R314">
        <f t="shared" si="966"/>
        <v>-10116987902.281368</v>
      </c>
      <c r="S314">
        <f t="shared" si="967"/>
        <v>-101169.87902281368</v>
      </c>
      <c r="T314">
        <f t="shared" si="968"/>
        <v>-101.16987902281367</v>
      </c>
    </row>
    <row r="315" spans="1:20" x14ac:dyDescent="0.25">
      <c r="A315" s="5">
        <v>44278</v>
      </c>
      <c r="B315">
        <v>2.3233899999999998E-2</v>
      </c>
      <c r="C315">
        <v>2.5007999999999999E-2</v>
      </c>
      <c r="D315">
        <v>2.1514499999999999E-2</v>
      </c>
      <c r="E315">
        <v>2.26278E-2</v>
      </c>
      <c r="F315">
        <v>327392418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-0.36264491197938969</v>
      </c>
      <c r="Q315">
        <f t="shared" si="965"/>
        <v>-118727194.60832956</v>
      </c>
      <c r="R315">
        <f t="shared" si="966"/>
        <v>-9766748681.2559242</v>
      </c>
      <c r="S315">
        <f t="shared" si="967"/>
        <v>-97667.486812559247</v>
      </c>
      <c r="T315">
        <f t="shared" si="968"/>
        <v>-97.667486812559247</v>
      </c>
    </row>
    <row r="316" spans="1:20" x14ac:dyDescent="0.25">
      <c r="A316" s="5">
        <v>44277</v>
      </c>
      <c r="B316">
        <v>2.4106200000000001E-2</v>
      </c>
      <c r="C316">
        <v>2.7900000000000001E-2</v>
      </c>
      <c r="D316">
        <v>2.3E-2</v>
      </c>
      <c r="E316">
        <v>2.32348E-2</v>
      </c>
      <c r="F316">
        <v>652316913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-0.90416326530612234</v>
      </c>
      <c r="Q316">
        <f t="shared" si="965"/>
        <v>-589800990.07248974</v>
      </c>
      <c r="R316">
        <f t="shared" si="966"/>
        <v>-9648021486.6475945</v>
      </c>
      <c r="S316">
        <f t="shared" si="967"/>
        <v>-96480.214866475944</v>
      </c>
      <c r="T316">
        <f t="shared" si="968"/>
        <v>-96.480214866475947</v>
      </c>
    </row>
    <row r="317" spans="1:20" x14ac:dyDescent="0.25">
      <c r="A317" s="5">
        <v>44276</v>
      </c>
      <c r="B317">
        <v>2.22913E-2</v>
      </c>
      <c r="C317">
        <v>2.5499999999999998E-2</v>
      </c>
      <c r="D317">
        <v>2.0857500000000001E-2</v>
      </c>
      <c r="E317">
        <v>2.4106200000000001E-2</v>
      </c>
      <c r="F317">
        <v>531090547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0.39954765751211718</v>
      </c>
      <c r="Q317">
        <f t="shared" si="965"/>
        <v>212195983.98067898</v>
      </c>
      <c r="R317">
        <f t="shared" si="966"/>
        <v>-9058220496.5751038</v>
      </c>
      <c r="S317">
        <f t="shared" si="967"/>
        <v>-90582.204965751036</v>
      </c>
      <c r="T317">
        <f t="shared" si="968"/>
        <v>-90.582204965751032</v>
      </c>
    </row>
    <row r="318" spans="1:20" x14ac:dyDescent="0.25">
      <c r="A318" s="5">
        <v>44275</v>
      </c>
      <c r="B318">
        <v>2.3027100000000002E-2</v>
      </c>
      <c r="C318">
        <v>2.67891E-2</v>
      </c>
      <c r="D318">
        <v>2.2081300000000002E-2</v>
      </c>
      <c r="E318">
        <v>2.2173999999999999E-2</v>
      </c>
      <c r="F318">
        <v>666947448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-0.96061854794171475</v>
      </c>
      <c r="Q318">
        <f t="shared" si="965"/>
        <v>-640682089.05119228</v>
      </c>
      <c r="R318">
        <f t="shared" si="966"/>
        <v>-9270416480.5557823</v>
      </c>
      <c r="S318">
        <f t="shared" si="967"/>
        <v>-92704.164805557826</v>
      </c>
      <c r="T318">
        <f t="shared" si="968"/>
        <v>-92.704164805557824</v>
      </c>
    </row>
    <row r="319" spans="1:20" x14ac:dyDescent="0.25">
      <c r="A319" s="5">
        <v>44274</v>
      </c>
      <c r="B319">
        <v>1.94398E-2</v>
      </c>
      <c r="C319">
        <v>2.5000000000000001E-2</v>
      </c>
      <c r="D319">
        <v>1.8757900000000001E-2</v>
      </c>
      <c r="E319">
        <v>2.3052699999999999E-2</v>
      </c>
      <c r="F319">
        <v>773929623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0.37607535925409641</v>
      </c>
      <c r="Q319">
        <f t="shared" si="965"/>
        <v>291055861.00711238</v>
      </c>
      <c r="R319">
        <f t="shared" si="966"/>
        <v>-8629734391.504591</v>
      </c>
      <c r="S319">
        <f t="shared" si="967"/>
        <v>-86297.343915045916</v>
      </c>
      <c r="T319">
        <f t="shared" si="968"/>
        <v>-86.297343915045914</v>
      </c>
    </row>
    <row r="320" spans="1:20" x14ac:dyDescent="0.25">
      <c r="A320" s="5">
        <v>44273</v>
      </c>
      <c r="B320">
        <v>1.9836800000000002E-2</v>
      </c>
      <c r="C320">
        <v>2.0607799999999999E-2</v>
      </c>
      <c r="D320">
        <v>1.8992700000000001E-2</v>
      </c>
      <c r="E320">
        <v>1.94399E-2</v>
      </c>
      <c r="F320">
        <v>405292141</v>
      </c>
      <c r="G320">
        <v>0</v>
      </c>
      <c r="L320" t="s">
        <v>8</v>
      </c>
      <c r="M320" t="s">
        <v>7</v>
      </c>
      <c r="N320" t="s">
        <v>7</v>
      </c>
      <c r="P320">
        <f t="shared" si="964"/>
        <v>-0.44622623986131027</v>
      </c>
      <c r="Q320">
        <f t="shared" si="965"/>
        <v>-180851988.12376997</v>
      </c>
      <c r="R320">
        <f t="shared" si="966"/>
        <v>-8920790252.5117035</v>
      </c>
      <c r="S320">
        <f t="shared" si="967"/>
        <v>-89207.902525117039</v>
      </c>
      <c r="T320">
        <f t="shared" si="968"/>
        <v>-89.207902525117035</v>
      </c>
    </row>
    <row r="321" spans="1:20" x14ac:dyDescent="0.25">
      <c r="A321" s="5">
        <v>44272</v>
      </c>
      <c r="B321">
        <v>2.02881E-2</v>
      </c>
      <c r="C321">
        <v>2.3040000000000001E-2</v>
      </c>
      <c r="D321">
        <v>1.8105E-2</v>
      </c>
      <c r="E321">
        <v>1.9896199999999999E-2</v>
      </c>
      <c r="F321">
        <v>1222545897</v>
      </c>
      <c r="G321">
        <v>0</v>
      </c>
      <c r="L321" t="s">
        <v>7</v>
      </c>
      <c r="M321" t="s">
        <v>7</v>
      </c>
      <c r="N321" t="s">
        <v>7</v>
      </c>
      <c r="P321">
        <f t="shared" si="964"/>
        <v>-0.27408308004052723</v>
      </c>
      <c r="Q321">
        <f t="shared" si="965"/>
        <v>-335079144.94066918</v>
      </c>
      <c r="R321">
        <f t="shared" si="966"/>
        <v>-8739938264.3879337</v>
      </c>
      <c r="S321">
        <f t="shared" si="967"/>
        <v>-87399.382643879333</v>
      </c>
      <c r="T321">
        <f t="shared" si="968"/>
        <v>-87.399382643879335</v>
      </c>
    </row>
    <row r="322" spans="1:20" x14ac:dyDescent="0.25">
      <c r="A322" s="5">
        <v>44271</v>
      </c>
      <c r="B322">
        <v>2.14232E-2</v>
      </c>
      <c r="C322">
        <v>2.5399999999999999E-2</v>
      </c>
      <c r="D322">
        <v>1.8599999999999998E-2</v>
      </c>
      <c r="E322">
        <v>2.02881E-2</v>
      </c>
      <c r="F322">
        <v>2055314262</v>
      </c>
      <c r="G322">
        <v>0</v>
      </c>
      <c r="L322" t="s">
        <v>8</v>
      </c>
      <c r="M322" t="s">
        <v>7</v>
      </c>
      <c r="N322" t="s">
        <v>8</v>
      </c>
      <c r="P322">
        <f t="shared" si="964"/>
        <v>-0.50349999999999961</v>
      </c>
      <c r="Q322">
        <f t="shared" si="965"/>
        <v>-1034850730.9169992</v>
      </c>
      <c r="R322">
        <f t="shared" si="966"/>
        <v>-8404859119.4472647</v>
      </c>
      <c r="S322">
        <f t="shared" si="967"/>
        <v>-84048.591194472639</v>
      </c>
      <c r="T322">
        <f t="shared" si="968"/>
        <v>-84.048591194472635</v>
      </c>
    </row>
    <row r="323" spans="1:20" x14ac:dyDescent="0.25">
      <c r="A323" s="5">
        <v>44270</v>
      </c>
      <c r="B323">
        <v>1.5760099999999999E-2</v>
      </c>
      <c r="C323">
        <v>2.5125100000000001E-2</v>
      </c>
      <c r="D323">
        <v>1.43E-2</v>
      </c>
      <c r="E323">
        <v>2.14232E-2</v>
      </c>
      <c r="F323">
        <v>1959571723</v>
      </c>
      <c r="G323">
        <v>0</v>
      </c>
      <c r="L323" t="s">
        <v>8</v>
      </c>
      <c r="M323" t="s">
        <v>8</v>
      </c>
      <c r="N323" t="s">
        <v>8</v>
      </c>
      <c r="P323">
        <f t="shared" si="964"/>
        <v>0.31605250759808207</v>
      </c>
      <c r="Q323">
        <f t="shared" si="965"/>
        <v>619327556.87244427</v>
      </c>
      <c r="R323">
        <f t="shared" si="966"/>
        <v>-7370008388.5302658</v>
      </c>
      <c r="S323">
        <f t="shared" si="967"/>
        <v>-73700.083885302665</v>
      </c>
      <c r="T323">
        <f t="shared" si="968"/>
        <v>-73.700083885302661</v>
      </c>
    </row>
    <row r="324" spans="1:20" x14ac:dyDescent="0.25">
      <c r="A324" s="5">
        <v>44269</v>
      </c>
      <c r="B324">
        <v>1.6637300000000001E-2</v>
      </c>
      <c r="C324">
        <v>1.8489999999999999E-2</v>
      </c>
      <c r="D324">
        <v>1.46946E-2</v>
      </c>
      <c r="E324">
        <v>1.5766800000000001E-2</v>
      </c>
      <c r="F324">
        <v>736602008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-0.43500026347683995</v>
      </c>
      <c r="Q324">
        <f t="shared" si="965"/>
        <v>-320422067.55756938</v>
      </c>
      <c r="R324">
        <f t="shared" si="966"/>
        <v>-7989335945.40271</v>
      </c>
      <c r="S324">
        <f t="shared" si="967"/>
        <v>-79893.359454027101</v>
      </c>
      <c r="T324">
        <f t="shared" si="968"/>
        <v>-79.893359454027106</v>
      </c>
    </row>
    <row r="325" spans="1:20" x14ac:dyDescent="0.25">
      <c r="A325" s="5">
        <v>44268</v>
      </c>
      <c r="B325">
        <v>1.5101E-2</v>
      </c>
      <c r="C325">
        <v>1.7338900000000001E-2</v>
      </c>
      <c r="D325">
        <v>1.37637E-2</v>
      </c>
      <c r="E325">
        <v>1.6637300000000001E-2</v>
      </c>
      <c r="F325">
        <v>1001953395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0.60751846050570601</v>
      </c>
      <c r="Q325">
        <f t="shared" si="965"/>
        <v>608705184.02886558</v>
      </c>
      <c r="R325">
        <f t="shared" si="966"/>
        <v>-7668913877.8451405</v>
      </c>
      <c r="S325">
        <f t="shared" si="967"/>
        <v>-76689.138778451408</v>
      </c>
      <c r="T325">
        <f t="shared" si="968"/>
        <v>-76.689138778451408</v>
      </c>
    </row>
    <row r="326" spans="1:20" x14ac:dyDescent="0.25">
      <c r="A326" s="5">
        <v>44267</v>
      </c>
      <c r="B326">
        <v>1.18248E-2</v>
      </c>
      <c r="C326">
        <v>1.6212500000000001E-2</v>
      </c>
      <c r="D326">
        <v>1.1653800000000001E-2</v>
      </c>
      <c r="E326">
        <v>1.5101E-2</v>
      </c>
      <c r="F326">
        <v>1170254918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0.51236098010397646</v>
      </c>
      <c r="Q326">
        <f t="shared" ref="Q326:Q389" si="970">F326*P326</f>
        <v>599592956.75797856</v>
      </c>
      <c r="R326">
        <f t="shared" ref="R326:R389" si="971">R327+Q326</f>
        <v>-8277619061.8740063</v>
      </c>
      <c r="S326">
        <f t="shared" ref="S326:S389" si="972">R326/100000</f>
        <v>-82776.19061874006</v>
      </c>
      <c r="T326">
        <f t="shared" ref="T326:T389" si="973">S326/1000</f>
        <v>-82.77619061874006</v>
      </c>
    </row>
    <row r="327" spans="1:20" x14ac:dyDescent="0.25">
      <c r="A327" s="5">
        <v>44266</v>
      </c>
      <c r="B327">
        <v>1.2611600000000001E-2</v>
      </c>
      <c r="C327">
        <v>1.33618E-2</v>
      </c>
      <c r="D327">
        <v>1.1033100000000001E-2</v>
      </c>
      <c r="E327">
        <v>1.17675E-2</v>
      </c>
      <c r="F327">
        <v>873551520</v>
      </c>
      <c r="G327">
        <v>0</v>
      </c>
      <c r="L327" t="s">
        <v>7</v>
      </c>
      <c r="M327" t="s">
        <v>7</v>
      </c>
      <c r="N327" t="s">
        <v>7</v>
      </c>
      <c r="P327">
        <f t="shared" si="969"/>
        <v>-0.36926181989951495</v>
      </c>
      <c r="Q327">
        <f t="shared" si="970"/>
        <v>-322569224.05118752</v>
      </c>
      <c r="R327">
        <f t="shared" si="971"/>
        <v>-8877212018.6319847</v>
      </c>
      <c r="S327">
        <f t="shared" si="972"/>
        <v>-88772.120186319851</v>
      </c>
      <c r="T327">
        <f t="shared" si="973"/>
        <v>-88.772120186319853</v>
      </c>
    </row>
    <row r="328" spans="1:20" x14ac:dyDescent="0.25">
      <c r="A328" s="5">
        <v>44265</v>
      </c>
      <c r="B328">
        <v>1.04107E-2</v>
      </c>
      <c r="C328">
        <v>1.5970700000000001E-2</v>
      </c>
      <c r="D328">
        <v>9.7569000000000006E-3</v>
      </c>
      <c r="E328">
        <v>1.26114E-2</v>
      </c>
      <c r="F328">
        <v>1720586789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-8.1238533586533421E-2</v>
      </c>
      <c r="Q328">
        <f t="shared" si="970"/>
        <v>-139777947.6467222</v>
      </c>
      <c r="R328">
        <f t="shared" si="971"/>
        <v>-8554642794.5807981</v>
      </c>
      <c r="S328">
        <f t="shared" si="972"/>
        <v>-85546.427945807984</v>
      </c>
      <c r="T328">
        <f t="shared" si="973"/>
        <v>-85.546427945807977</v>
      </c>
    </row>
    <row r="329" spans="1:20" x14ac:dyDescent="0.25">
      <c r="A329" s="5">
        <v>44264</v>
      </c>
      <c r="B329">
        <v>9.0965000000000004E-3</v>
      </c>
      <c r="C329">
        <v>1.06999E-2</v>
      </c>
      <c r="D329">
        <v>8.9720000000000008E-3</v>
      </c>
      <c r="E329">
        <v>1.04107E-2</v>
      </c>
      <c r="F329">
        <v>389837997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0.66525840615776377</v>
      </c>
      <c r="Q329">
        <f t="shared" si="970"/>
        <v>259343004.54395509</v>
      </c>
      <c r="R329">
        <f t="shared" si="971"/>
        <v>-8414864846.9340763</v>
      </c>
      <c r="S329">
        <f t="shared" si="972"/>
        <v>-84148.648469340769</v>
      </c>
      <c r="T329">
        <f t="shared" si="973"/>
        <v>-84.14864846934077</v>
      </c>
    </row>
    <row r="330" spans="1:20" x14ac:dyDescent="0.25">
      <c r="A330" s="5">
        <v>44263</v>
      </c>
      <c r="B330">
        <v>8.9373000000000005E-3</v>
      </c>
      <c r="C330">
        <v>9.4999999999999998E-3</v>
      </c>
      <c r="D330">
        <v>8.5536999999999992E-3</v>
      </c>
      <c r="E330">
        <v>9.0857000000000004E-3</v>
      </c>
      <c r="F330">
        <v>248997949</v>
      </c>
      <c r="G330">
        <v>0</v>
      </c>
      <c r="L330" t="s">
        <v>7</v>
      </c>
      <c r="M330" t="s">
        <v>8</v>
      </c>
      <c r="N330" t="s">
        <v>8</v>
      </c>
      <c r="P330">
        <f t="shared" si="969"/>
        <v>0.12437916094262047</v>
      </c>
      <c r="Q330">
        <f t="shared" si="970"/>
        <v>30970155.973053403</v>
      </c>
      <c r="R330">
        <f t="shared" si="971"/>
        <v>-8674207851.4780312</v>
      </c>
      <c r="S330">
        <f t="shared" si="972"/>
        <v>-86742.078514780311</v>
      </c>
      <c r="T330">
        <f t="shared" si="973"/>
        <v>-86.742078514780317</v>
      </c>
    </row>
    <row r="331" spans="1:20" x14ac:dyDescent="0.25">
      <c r="A331" s="5">
        <v>44262</v>
      </c>
      <c r="B331">
        <v>9.3729E-3</v>
      </c>
      <c r="C331">
        <v>9.6512000000000004E-3</v>
      </c>
      <c r="D331">
        <v>8.7221999999999994E-3</v>
      </c>
      <c r="E331">
        <v>8.9373999999999999E-3</v>
      </c>
      <c r="F331">
        <v>314674193</v>
      </c>
      <c r="G331">
        <v>0</v>
      </c>
      <c r="L331" t="s">
        <v>7</v>
      </c>
      <c r="M331" t="s">
        <v>8</v>
      </c>
      <c r="N331" t="s">
        <v>8</v>
      </c>
      <c r="P331">
        <f t="shared" si="969"/>
        <v>-0.53670613562970892</v>
      </c>
      <c r="Q331">
        <f t="shared" si="970"/>
        <v>-168887570.10742721</v>
      </c>
      <c r="R331">
        <f t="shared" si="971"/>
        <v>-8705178007.4510841</v>
      </c>
      <c r="S331">
        <f t="shared" si="972"/>
        <v>-87051.78007451084</v>
      </c>
      <c r="T331">
        <f t="shared" si="973"/>
        <v>-87.051780074510845</v>
      </c>
    </row>
    <row r="332" spans="1:20" x14ac:dyDescent="0.25">
      <c r="A332" s="5">
        <v>44261</v>
      </c>
      <c r="B332">
        <v>8.7833000000000008E-3</v>
      </c>
      <c r="C332">
        <v>9.8054000000000006E-3</v>
      </c>
      <c r="D332">
        <v>7.9681000000000005E-3</v>
      </c>
      <c r="E332">
        <v>9.3364999999999993E-3</v>
      </c>
      <c r="F332">
        <v>825881634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0.48957709682686412</v>
      </c>
      <c r="Q332">
        <f t="shared" si="970"/>
        <v>404332732.69634676</v>
      </c>
      <c r="R332">
        <f t="shared" si="971"/>
        <v>-8536290437.3436565</v>
      </c>
      <c r="S332">
        <f t="shared" si="972"/>
        <v>-85362.90437343657</v>
      </c>
      <c r="T332">
        <f t="shared" si="973"/>
        <v>-85.362904373436564</v>
      </c>
    </row>
    <row r="333" spans="1:20" x14ac:dyDescent="0.25">
      <c r="A333" s="5">
        <v>44260</v>
      </c>
      <c r="B333">
        <v>7.3502999999999997E-3</v>
      </c>
      <c r="C333">
        <v>8.8500000000000002E-3</v>
      </c>
      <c r="D333">
        <v>6.9626999999999996E-3</v>
      </c>
      <c r="E333">
        <v>8.7833000000000008E-3</v>
      </c>
      <c r="F333">
        <v>454301377</v>
      </c>
      <c r="G333">
        <v>0</v>
      </c>
      <c r="L333" t="s">
        <v>8</v>
      </c>
      <c r="M333" t="s">
        <v>8</v>
      </c>
      <c r="N333" t="s">
        <v>8</v>
      </c>
      <c r="P333">
        <f t="shared" si="969"/>
        <v>0.9293170137233091</v>
      </c>
      <c r="Q333">
        <f t="shared" si="970"/>
        <v>422189999.00402725</v>
      </c>
      <c r="R333">
        <f t="shared" si="971"/>
        <v>-8940623170.0400028</v>
      </c>
      <c r="S333">
        <f t="shared" si="972"/>
        <v>-89406.231700400022</v>
      </c>
      <c r="T333">
        <f t="shared" si="973"/>
        <v>-89.406231700400028</v>
      </c>
    </row>
    <row r="334" spans="1:20" x14ac:dyDescent="0.25">
      <c r="A334" s="5">
        <v>44259</v>
      </c>
      <c r="B334">
        <v>7.6350000000000003E-3</v>
      </c>
      <c r="C334">
        <v>8.3999999999999995E-3</v>
      </c>
      <c r="D334">
        <v>7.2337E-3</v>
      </c>
      <c r="E334">
        <v>7.4019999999999997E-3</v>
      </c>
      <c r="F334">
        <v>306150885</v>
      </c>
      <c r="G334">
        <v>0</v>
      </c>
      <c r="L334" t="s">
        <v>8</v>
      </c>
      <c r="M334" t="s">
        <v>8</v>
      </c>
      <c r="N334" t="s">
        <v>7</v>
      </c>
      <c r="P334">
        <f t="shared" si="969"/>
        <v>-0.71139500986024218</v>
      </c>
      <c r="Q334">
        <f t="shared" si="970"/>
        <v>-217794211.85329688</v>
      </c>
      <c r="R334">
        <f t="shared" si="971"/>
        <v>-9362813169.0440292</v>
      </c>
      <c r="S334">
        <f t="shared" si="972"/>
        <v>-93628.131690440292</v>
      </c>
      <c r="T334">
        <f t="shared" si="973"/>
        <v>-93.628131690440298</v>
      </c>
    </row>
    <row r="335" spans="1:20" x14ac:dyDescent="0.25">
      <c r="A335" s="5">
        <v>44258</v>
      </c>
      <c r="B335">
        <v>7.1199000000000002E-3</v>
      </c>
      <c r="C335">
        <v>8.0347000000000005E-3</v>
      </c>
      <c r="D335">
        <v>7.1006000000000003E-3</v>
      </c>
      <c r="E335">
        <v>7.6350000000000003E-3</v>
      </c>
      <c r="F335">
        <v>241065223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0.14420297612675273</v>
      </c>
      <c r="Q335">
        <f t="shared" si="970"/>
        <v>34762322.59725932</v>
      </c>
      <c r="R335">
        <f t="shared" si="971"/>
        <v>-9145018957.190733</v>
      </c>
      <c r="S335">
        <f t="shared" si="972"/>
        <v>-91450.189571907336</v>
      </c>
      <c r="T335">
        <f t="shared" si="973"/>
        <v>-91.45018957190733</v>
      </c>
    </row>
    <row r="336" spans="1:20" x14ac:dyDescent="0.25">
      <c r="A336" s="5">
        <v>44257</v>
      </c>
      <c r="B336">
        <v>7.4066999999999996E-3</v>
      </c>
      <c r="C336">
        <v>7.4999000000000003E-3</v>
      </c>
      <c r="D336">
        <v>6.9052000000000002E-3</v>
      </c>
      <c r="E336">
        <v>7.1199999999999996E-3</v>
      </c>
      <c r="F336">
        <v>103621349</v>
      </c>
      <c r="G336">
        <v>0</v>
      </c>
      <c r="L336" t="s">
        <v>7</v>
      </c>
      <c r="M336" t="s">
        <v>8</v>
      </c>
      <c r="N336" t="s">
        <v>7</v>
      </c>
      <c r="P336">
        <f t="shared" si="969"/>
        <v>-0.27761896754666443</v>
      </c>
      <c r="Q336">
        <f t="shared" si="970"/>
        <v>-28767251.92517259</v>
      </c>
      <c r="R336">
        <f t="shared" si="971"/>
        <v>-9179781279.7879925</v>
      </c>
      <c r="S336">
        <f t="shared" si="972"/>
        <v>-91797.812797879931</v>
      </c>
      <c r="T336">
        <f t="shared" si="973"/>
        <v>-91.797812797879928</v>
      </c>
    </row>
    <row r="337" spans="1:20" x14ac:dyDescent="0.25">
      <c r="A337" s="5">
        <v>44256</v>
      </c>
      <c r="B337">
        <v>7.0905999999999999E-3</v>
      </c>
      <c r="C337">
        <v>7.7980000000000002E-3</v>
      </c>
      <c r="D337">
        <v>6.5722999999999997E-3</v>
      </c>
      <c r="E337">
        <v>7.4136000000000002E-3</v>
      </c>
      <c r="F337">
        <v>102879896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0.37276658236110005</v>
      </c>
      <c r="Q337">
        <f t="shared" si="970"/>
        <v>38350187.225585409</v>
      </c>
      <c r="R337">
        <f t="shared" si="971"/>
        <v>-9151014027.8628197</v>
      </c>
      <c r="S337">
        <f t="shared" si="972"/>
        <v>-91510.140278628198</v>
      </c>
      <c r="T337">
        <f t="shared" si="973"/>
        <v>-91.510140278628199</v>
      </c>
    </row>
    <row r="338" spans="1:20" x14ac:dyDescent="0.25">
      <c r="A338" s="5">
        <v>44255</v>
      </c>
      <c r="B338">
        <v>7.2151000000000003E-3</v>
      </c>
      <c r="C338">
        <v>7.3585999999999999E-3</v>
      </c>
      <c r="D338">
        <v>6.3949000000000002E-3</v>
      </c>
      <c r="E338">
        <v>7.0742000000000001E-3</v>
      </c>
      <c r="F338">
        <v>192259136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0.40977482619072353</v>
      </c>
      <c r="Q338">
        <f t="shared" si="970"/>
        <v>78782954.037978679</v>
      </c>
      <c r="R338">
        <f t="shared" si="971"/>
        <v>-9189364215.0884056</v>
      </c>
      <c r="S338">
        <f t="shared" si="972"/>
        <v>-91893.642150884058</v>
      </c>
      <c r="T338">
        <f t="shared" si="973"/>
        <v>-91.893642150884062</v>
      </c>
    </row>
    <row r="339" spans="1:20" x14ac:dyDescent="0.25">
      <c r="A339" s="5">
        <v>44254</v>
      </c>
      <c r="B339">
        <v>6.8852000000000002E-3</v>
      </c>
      <c r="C339">
        <v>7.8018999999999996E-3</v>
      </c>
      <c r="D339">
        <v>6.8282000000000004E-3</v>
      </c>
      <c r="E339">
        <v>7.2151000000000003E-3</v>
      </c>
      <c r="F339">
        <v>165001618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-0.20529937352367211</v>
      </c>
      <c r="Q339">
        <f t="shared" si="970"/>
        <v>-33874728.805792257</v>
      </c>
      <c r="R339">
        <f t="shared" si="971"/>
        <v>-9268147169.1263847</v>
      </c>
      <c r="S339">
        <f t="shared" si="972"/>
        <v>-92681.471691263854</v>
      </c>
      <c r="T339">
        <f t="shared" si="973"/>
        <v>-92.681471691263852</v>
      </c>
    </row>
    <row r="340" spans="1:20" x14ac:dyDescent="0.25">
      <c r="A340" s="5">
        <v>44253</v>
      </c>
      <c r="B340">
        <v>7.1209000000000003E-3</v>
      </c>
      <c r="C340">
        <v>7.5294000000000003E-3</v>
      </c>
      <c r="D340">
        <v>6.4197000000000004E-3</v>
      </c>
      <c r="E340">
        <v>6.8224000000000002E-3</v>
      </c>
      <c r="F340">
        <v>171823655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-0.2742182571866274</v>
      </c>
      <c r="Q340">
        <f t="shared" si="970"/>
        <v>-47117183.217536338</v>
      </c>
      <c r="R340">
        <f t="shared" si="971"/>
        <v>-9234272440.3205929</v>
      </c>
      <c r="S340">
        <f t="shared" si="972"/>
        <v>-92342.724403205924</v>
      </c>
      <c r="T340">
        <f t="shared" si="973"/>
        <v>-92.342724403205921</v>
      </c>
    </row>
    <row r="341" spans="1:20" x14ac:dyDescent="0.25">
      <c r="A341" s="5">
        <v>44252</v>
      </c>
      <c r="B341">
        <v>7.3578000000000003E-3</v>
      </c>
      <c r="C341">
        <v>8.7659000000000001E-3</v>
      </c>
      <c r="D341">
        <v>7.0000000000000001E-3</v>
      </c>
      <c r="E341">
        <v>7.1773999999999996E-3</v>
      </c>
      <c r="F341">
        <v>323297675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-0.79908262075995307</v>
      </c>
      <c r="Q341">
        <f t="shared" si="970"/>
        <v>-258341553.42459956</v>
      </c>
      <c r="R341">
        <f t="shared" si="971"/>
        <v>-9187155257.103056</v>
      </c>
      <c r="S341">
        <f t="shared" si="972"/>
        <v>-91871.552571030566</v>
      </c>
      <c r="T341">
        <f t="shared" si="973"/>
        <v>-91.871552571030563</v>
      </c>
    </row>
    <row r="342" spans="1:20" x14ac:dyDescent="0.25">
      <c r="A342" s="5">
        <v>44251</v>
      </c>
      <c r="B342">
        <v>6.5173000000000002E-3</v>
      </c>
      <c r="C342">
        <v>7.8107000000000003E-3</v>
      </c>
      <c r="D342">
        <v>6.3972999999999999E-3</v>
      </c>
      <c r="E342">
        <v>7.3010999999999996E-3</v>
      </c>
      <c r="F342">
        <v>197942166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0.27890193858780171</v>
      </c>
      <c r="Q342">
        <f t="shared" si="970"/>
        <v>55206453.825668454</v>
      </c>
      <c r="R342">
        <f t="shared" si="971"/>
        <v>-8928813703.6784573</v>
      </c>
      <c r="S342">
        <f t="shared" si="972"/>
        <v>-89288.137036784567</v>
      </c>
      <c r="T342">
        <f t="shared" si="973"/>
        <v>-89.288137036784562</v>
      </c>
    </row>
    <row r="343" spans="1:20" x14ac:dyDescent="0.25">
      <c r="A343" s="5">
        <v>44250</v>
      </c>
      <c r="B343">
        <v>8.1058999999999992E-3</v>
      </c>
      <c r="C343">
        <v>8.1124000000000005E-3</v>
      </c>
      <c r="D343">
        <v>5.9899999999999997E-3</v>
      </c>
      <c r="E343">
        <v>6.5167000000000003E-3</v>
      </c>
      <c r="F343">
        <v>202066631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-0.50367508480964907</v>
      </c>
      <c r="Q343">
        <f t="shared" si="970"/>
        <v>-101775927.50612506</v>
      </c>
      <c r="R343">
        <f t="shared" si="971"/>
        <v>-8984020157.5041256</v>
      </c>
      <c r="S343">
        <f t="shared" si="972"/>
        <v>-89840.201575041254</v>
      </c>
      <c r="T343">
        <f t="shared" si="973"/>
        <v>-89.840201575041249</v>
      </c>
    </row>
    <row r="344" spans="1:20" x14ac:dyDescent="0.25">
      <c r="A344" s="5">
        <v>44249</v>
      </c>
      <c r="B344">
        <v>9.1769E-3</v>
      </c>
      <c r="C344">
        <v>9.3991000000000005E-3</v>
      </c>
      <c r="D344">
        <v>7.0502000000000004E-3</v>
      </c>
      <c r="E344">
        <v>8.1058999999999992E-3</v>
      </c>
      <c r="F344">
        <v>242979919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-0.10111115841457809</v>
      </c>
      <c r="Q344">
        <f t="shared" si="970"/>
        <v>-24567981.081570353</v>
      </c>
      <c r="R344">
        <f t="shared" si="971"/>
        <v>-8882244229.9980011</v>
      </c>
      <c r="S344">
        <f t="shared" si="972"/>
        <v>-88822.442299980015</v>
      </c>
      <c r="T344">
        <f t="shared" si="973"/>
        <v>-88.822442299980011</v>
      </c>
    </row>
    <row r="345" spans="1:20" x14ac:dyDescent="0.25">
      <c r="A345" s="5">
        <v>44248</v>
      </c>
      <c r="B345">
        <v>9.1623E-3</v>
      </c>
      <c r="C345">
        <v>9.6740999999999997E-3</v>
      </c>
      <c r="D345">
        <v>8.8007999999999992E-3</v>
      </c>
      <c r="E345">
        <v>9.1760000000000001E-3</v>
      </c>
      <c r="F345">
        <v>171846669</v>
      </c>
      <c r="G345">
        <v>0</v>
      </c>
      <c r="L345" t="s">
        <v>7</v>
      </c>
      <c r="M345" t="s">
        <v>8</v>
      </c>
      <c r="N345" t="s">
        <v>7</v>
      </c>
      <c r="P345">
        <f t="shared" si="969"/>
        <v>-0.14073056223519825</v>
      </c>
      <c r="Q345">
        <f t="shared" si="970"/>
        <v>-24184078.346616015</v>
      </c>
      <c r="R345">
        <f t="shared" si="971"/>
        <v>-8857676248.9164314</v>
      </c>
      <c r="S345">
        <f t="shared" si="972"/>
        <v>-88576.762489164321</v>
      </c>
      <c r="T345">
        <f t="shared" si="973"/>
        <v>-88.576762489164324</v>
      </c>
    </row>
    <row r="346" spans="1:20" x14ac:dyDescent="0.25">
      <c r="A346" s="5">
        <v>44247</v>
      </c>
      <c r="B346">
        <v>8.9862999999999991E-3</v>
      </c>
      <c r="C346">
        <v>0.01</v>
      </c>
      <c r="D346">
        <v>8.8222999999999999E-3</v>
      </c>
      <c r="E346">
        <v>9.1623999999999994E-3</v>
      </c>
      <c r="F346">
        <v>278365887</v>
      </c>
      <c r="G346">
        <v>0</v>
      </c>
      <c r="L346" t="s">
        <v>8</v>
      </c>
      <c r="M346" t="s">
        <v>8</v>
      </c>
      <c r="N346" t="s">
        <v>7</v>
      </c>
      <c r="P346">
        <f t="shared" si="969"/>
        <v>-0.4224335569330061</v>
      </c>
      <c r="Q346">
        <f t="shared" si="970"/>
        <v>-117591091.77422124</v>
      </c>
      <c r="R346">
        <f t="shared" si="971"/>
        <v>-8833492170.5698147</v>
      </c>
      <c r="S346">
        <f t="shared" si="972"/>
        <v>-88334.921705698143</v>
      </c>
      <c r="T346">
        <f t="shared" si="973"/>
        <v>-88.33492170569815</v>
      </c>
    </row>
    <row r="347" spans="1:20" x14ac:dyDescent="0.25">
      <c r="A347" s="5">
        <v>44246</v>
      </c>
      <c r="B347">
        <v>9.1248000000000006E-3</v>
      </c>
      <c r="C347">
        <v>9.3329999999999993E-3</v>
      </c>
      <c r="D347">
        <v>8.6289999999999995E-3</v>
      </c>
      <c r="E347">
        <v>8.9864000000000003E-3</v>
      </c>
      <c r="F347">
        <v>202868774</v>
      </c>
      <c r="G347">
        <v>0</v>
      </c>
      <c r="L347" t="s">
        <v>7</v>
      </c>
      <c r="M347" t="s">
        <v>8</v>
      </c>
      <c r="N347" t="s">
        <v>7</v>
      </c>
      <c r="P347">
        <f t="shared" si="969"/>
        <v>1.5340909090911625E-2</v>
      </c>
      <c r="Q347">
        <f t="shared" si="970"/>
        <v>3112191.419318696</v>
      </c>
      <c r="R347">
        <f t="shared" si="971"/>
        <v>-8715901078.7955933</v>
      </c>
      <c r="S347">
        <f t="shared" si="972"/>
        <v>-87159.010787955936</v>
      </c>
      <c r="T347">
        <f t="shared" si="973"/>
        <v>-87.159010787955935</v>
      </c>
    </row>
    <row r="348" spans="1:20" x14ac:dyDescent="0.25">
      <c r="A348" s="5">
        <v>44245</v>
      </c>
      <c r="B348">
        <v>8.5000000000000006E-3</v>
      </c>
      <c r="C348">
        <v>9.4614999999999994E-3</v>
      </c>
      <c r="D348">
        <v>8.4081999999999994E-3</v>
      </c>
      <c r="E348">
        <v>9.1864000000000008E-3</v>
      </c>
      <c r="F348">
        <v>261583603</v>
      </c>
      <c r="G348">
        <v>0</v>
      </c>
      <c r="L348" t="s">
        <v>8</v>
      </c>
      <c r="M348" t="s">
        <v>8</v>
      </c>
      <c r="N348" t="s">
        <v>7</v>
      </c>
      <c r="P348">
        <f t="shared" si="969"/>
        <v>0.47764169752207614</v>
      </c>
      <c r="Q348">
        <f t="shared" si="970"/>
        <v>124943236.18086085</v>
      </c>
      <c r="R348">
        <f t="shared" si="971"/>
        <v>-8719013270.2149124</v>
      </c>
      <c r="S348">
        <f t="shared" si="972"/>
        <v>-87190.132702149131</v>
      </c>
      <c r="T348">
        <f t="shared" si="973"/>
        <v>-87.190132702149128</v>
      </c>
    </row>
    <row r="349" spans="1:20" x14ac:dyDescent="0.25">
      <c r="A349" s="5">
        <v>44244</v>
      </c>
      <c r="B349">
        <v>8.3798999999999992E-3</v>
      </c>
      <c r="C349">
        <v>8.5991000000000001E-3</v>
      </c>
      <c r="D349">
        <v>7.2852000000000004E-3</v>
      </c>
      <c r="E349">
        <v>8.5050000000000004E-3</v>
      </c>
      <c r="F349">
        <v>231928959</v>
      </c>
      <c r="G349">
        <v>0</v>
      </c>
      <c r="L349" t="s">
        <v>7</v>
      </c>
      <c r="M349" t="s">
        <v>7</v>
      </c>
      <c r="N349" t="s">
        <v>7</v>
      </c>
      <c r="P349">
        <f t="shared" si="969"/>
        <v>0.85676231067813413</v>
      </c>
      <c r="Q349">
        <f t="shared" si="970"/>
        <v>198707990.82601422</v>
      </c>
      <c r="R349">
        <f t="shared" si="971"/>
        <v>-8843956506.3957729</v>
      </c>
      <c r="S349">
        <f t="shared" si="972"/>
        <v>-88439.565063957736</v>
      </c>
      <c r="T349">
        <f t="shared" si="973"/>
        <v>-88.43956506395773</v>
      </c>
    </row>
    <row r="350" spans="1:20" x14ac:dyDescent="0.25">
      <c r="A350" s="5">
        <v>44243</v>
      </c>
      <c r="B350">
        <v>8.1825000000000005E-3</v>
      </c>
      <c r="C350">
        <v>9.1000000000000004E-3</v>
      </c>
      <c r="D350">
        <v>7.9488000000000007E-3</v>
      </c>
      <c r="E350">
        <v>8.3821999999999994E-3</v>
      </c>
      <c r="F350">
        <v>243929271</v>
      </c>
      <c r="G350">
        <v>0</v>
      </c>
      <c r="L350" t="s">
        <v>7</v>
      </c>
      <c r="M350" t="s">
        <v>7</v>
      </c>
      <c r="N350" t="s">
        <v>8</v>
      </c>
      <c r="P350">
        <f t="shared" si="969"/>
        <v>-0.24704656011119042</v>
      </c>
      <c r="Q350">
        <f t="shared" si="970"/>
        <v>-60261887.310980357</v>
      </c>
      <c r="R350">
        <f t="shared" si="971"/>
        <v>-9042664497.2217865</v>
      </c>
      <c r="S350">
        <f t="shared" si="972"/>
        <v>-90426.644972217866</v>
      </c>
      <c r="T350">
        <f t="shared" si="973"/>
        <v>-90.426644972217872</v>
      </c>
    </row>
    <row r="351" spans="1:20" x14ac:dyDescent="0.25">
      <c r="A351" s="5">
        <v>44242</v>
      </c>
      <c r="B351">
        <v>9.3699999999999999E-3</v>
      </c>
      <c r="C351">
        <v>9.9000000000000008E-3</v>
      </c>
      <c r="D351">
        <v>8.1422999999999999E-3</v>
      </c>
      <c r="E351">
        <v>8.1825000000000005E-3</v>
      </c>
      <c r="F351">
        <v>407957293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-0.95425840587130839</v>
      </c>
      <c r="Q351">
        <f t="shared" si="970"/>
        <v>-389296676.08175427</v>
      </c>
      <c r="R351">
        <f t="shared" si="971"/>
        <v>-8982402609.9108067</v>
      </c>
      <c r="S351">
        <f t="shared" si="972"/>
        <v>-89824.026099108072</v>
      </c>
      <c r="T351">
        <f t="shared" si="973"/>
        <v>-89.824026099108067</v>
      </c>
    </row>
    <row r="352" spans="1:20" x14ac:dyDescent="0.25">
      <c r="A352" s="5">
        <v>44241</v>
      </c>
      <c r="B352">
        <v>9.8654999999999993E-3</v>
      </c>
      <c r="C352">
        <v>1.07546E-2</v>
      </c>
      <c r="D352">
        <v>8.6999999999999994E-3</v>
      </c>
      <c r="E352">
        <v>9.3676999999999996E-3</v>
      </c>
      <c r="F352">
        <v>514033247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-0.35004380414679237</v>
      </c>
      <c r="Q352">
        <f t="shared" si="970"/>
        <v>-179934153.23780775</v>
      </c>
      <c r="R352">
        <f t="shared" si="971"/>
        <v>-8593105933.829052</v>
      </c>
      <c r="S352">
        <f t="shared" si="972"/>
        <v>-85931.059338290521</v>
      </c>
      <c r="T352">
        <f t="shared" si="973"/>
        <v>-85.931059338290524</v>
      </c>
    </row>
    <row r="353" spans="1:20" x14ac:dyDescent="0.25">
      <c r="A353" s="5">
        <v>44240</v>
      </c>
      <c r="B353">
        <v>8.5079000000000005E-3</v>
      </c>
      <c r="C353">
        <v>1.0999999999999999E-2</v>
      </c>
      <c r="D353">
        <v>7.9681000000000005E-3</v>
      </c>
      <c r="E353">
        <v>9.8648999999999994E-3</v>
      </c>
      <c r="F353">
        <v>976769520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0.25122860252646828</v>
      </c>
      <c r="Q353">
        <f t="shared" si="970"/>
        <v>245392441.5000492</v>
      </c>
      <c r="R353">
        <f t="shared" si="971"/>
        <v>-8413171780.5912437</v>
      </c>
      <c r="S353">
        <f t="shared" si="972"/>
        <v>-84131.717805912442</v>
      </c>
      <c r="T353">
        <f t="shared" si="973"/>
        <v>-84.131717805912444</v>
      </c>
    </row>
    <row r="354" spans="1:20" x14ac:dyDescent="0.25">
      <c r="A354" s="5">
        <v>44239</v>
      </c>
      <c r="B354">
        <v>7.4555999999999997E-3</v>
      </c>
      <c r="C354">
        <v>8.7363000000000007E-3</v>
      </c>
      <c r="D354">
        <v>7.3000000000000001E-3</v>
      </c>
      <c r="E354">
        <v>8.5083999999999993E-3</v>
      </c>
      <c r="F354">
        <v>562533004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0.68265682656826387</v>
      </c>
      <c r="Q354">
        <f t="shared" si="970"/>
        <v>384016995.3505525</v>
      </c>
      <c r="R354">
        <f t="shared" si="971"/>
        <v>-8658564222.0912933</v>
      </c>
      <c r="S354">
        <f t="shared" si="972"/>
        <v>-86585.642220912938</v>
      </c>
      <c r="T354">
        <f t="shared" si="973"/>
        <v>-86.585642220912945</v>
      </c>
    </row>
    <row r="355" spans="1:20" x14ac:dyDescent="0.25">
      <c r="A355" s="5">
        <v>44238</v>
      </c>
      <c r="B355">
        <v>7.0701999999999996E-3</v>
      </c>
      <c r="C355">
        <v>7.9000000000000008E-3</v>
      </c>
      <c r="D355">
        <v>6.8085000000000003E-3</v>
      </c>
      <c r="E355">
        <v>7.4951999999999996E-3</v>
      </c>
      <c r="F355">
        <v>334128563</v>
      </c>
      <c r="G355">
        <v>0</v>
      </c>
      <c r="L355" t="s">
        <v>8</v>
      </c>
      <c r="M355" t="s">
        <v>8</v>
      </c>
      <c r="N355" t="s">
        <v>7</v>
      </c>
      <c r="P355">
        <f t="shared" si="969"/>
        <v>0.25826843792945303</v>
      </c>
      <c r="Q355">
        <f t="shared" si="970"/>
        <v>86294862.033622831</v>
      </c>
      <c r="R355">
        <f t="shared" si="971"/>
        <v>-9042581217.4418449</v>
      </c>
      <c r="S355">
        <f t="shared" si="972"/>
        <v>-90425.812174418446</v>
      </c>
      <c r="T355">
        <f t="shared" si="973"/>
        <v>-90.425812174418439</v>
      </c>
    </row>
    <row r="356" spans="1:20" x14ac:dyDescent="0.25">
      <c r="A356" s="5">
        <v>44237</v>
      </c>
      <c r="B356">
        <v>7.5258E-3</v>
      </c>
      <c r="C356">
        <v>7.7000000000000002E-3</v>
      </c>
      <c r="D356">
        <v>6.3E-3</v>
      </c>
      <c r="E356">
        <v>7.1088000000000002E-3</v>
      </c>
      <c r="F356">
        <v>546904228</v>
      </c>
      <c r="G356">
        <v>0</v>
      </c>
      <c r="L356" t="s">
        <v>7</v>
      </c>
      <c r="M356" t="s">
        <v>7</v>
      </c>
      <c r="N356" t="s">
        <v>7</v>
      </c>
      <c r="P356">
        <f t="shared" si="969"/>
        <v>0.15542857142857147</v>
      </c>
      <c r="Q356">
        <f t="shared" si="970"/>
        <v>85004542.866285741</v>
      </c>
      <c r="R356">
        <f t="shared" si="971"/>
        <v>-9128876079.4754677</v>
      </c>
      <c r="S356">
        <f t="shared" si="972"/>
        <v>-91288.760794754678</v>
      </c>
      <c r="T356">
        <f t="shared" si="973"/>
        <v>-91.28876079475468</v>
      </c>
    </row>
    <row r="357" spans="1:20" x14ac:dyDescent="0.25">
      <c r="A357" s="5">
        <v>44236</v>
      </c>
      <c r="B357">
        <v>5.6804000000000004E-3</v>
      </c>
      <c r="C357">
        <v>8.8888000000000005E-3</v>
      </c>
      <c r="D357">
        <v>5.5830000000000003E-3</v>
      </c>
      <c r="E357">
        <v>7.4460000000000004E-3</v>
      </c>
      <c r="F357">
        <v>3148391011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0.12710992800532395</v>
      </c>
      <c r="Q357">
        <f t="shared" si="970"/>
        <v>400191754.7408191</v>
      </c>
      <c r="R357">
        <f t="shared" si="971"/>
        <v>-9213880622.341753</v>
      </c>
      <c r="S357">
        <f t="shared" si="972"/>
        <v>-92138.80622341753</v>
      </c>
      <c r="T357">
        <f t="shared" si="973"/>
        <v>-92.138806223417532</v>
      </c>
    </row>
    <row r="358" spans="1:20" x14ac:dyDescent="0.25">
      <c r="A358" s="5">
        <v>44235</v>
      </c>
      <c r="B358">
        <v>5.1700000000000001E-3</v>
      </c>
      <c r="C358">
        <v>5.7299999999999999E-3</v>
      </c>
      <c r="D358">
        <v>4.9391000000000001E-3</v>
      </c>
      <c r="E358">
        <v>5.6468000000000004E-3</v>
      </c>
      <c r="F358">
        <v>295655227</v>
      </c>
      <c r="G358">
        <v>0</v>
      </c>
      <c r="L358" t="s">
        <v>8</v>
      </c>
      <c r="M358" t="s">
        <v>7</v>
      </c>
      <c r="N358" t="s">
        <v>8</v>
      </c>
      <c r="P358">
        <f t="shared" si="969"/>
        <v>0.7896067770893932</v>
      </c>
      <c r="Q358">
        <f t="shared" si="970"/>
        <v>233451370.92110294</v>
      </c>
      <c r="R358">
        <f t="shared" si="971"/>
        <v>-9614072377.0825729</v>
      </c>
      <c r="S358">
        <f t="shared" si="972"/>
        <v>-96140.723770825731</v>
      </c>
      <c r="T358">
        <f t="shared" si="973"/>
        <v>-96.14072377082573</v>
      </c>
    </row>
    <row r="359" spans="1:20" x14ac:dyDescent="0.25">
      <c r="A359" s="5">
        <v>44234</v>
      </c>
      <c r="B359">
        <v>5.3100999999999999E-3</v>
      </c>
      <c r="C359">
        <v>5.4996999999999997E-3</v>
      </c>
      <c r="D359">
        <v>4.9560000000000003E-3</v>
      </c>
      <c r="E359">
        <v>5.1815999999999997E-3</v>
      </c>
      <c r="F359">
        <v>197454948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-0.17013058672061923</v>
      </c>
      <c r="Q359">
        <f t="shared" si="970"/>
        <v>-33593126.154129364</v>
      </c>
      <c r="R359">
        <f t="shared" si="971"/>
        <v>-9847523748.0036755</v>
      </c>
      <c r="S359">
        <f t="shared" si="972"/>
        <v>-98475.237480036754</v>
      </c>
      <c r="T359">
        <f t="shared" si="973"/>
        <v>-98.475237480036753</v>
      </c>
    </row>
    <row r="360" spans="1:20" x14ac:dyDescent="0.25">
      <c r="A360" s="5">
        <v>44233</v>
      </c>
      <c r="B360">
        <v>5.9424999999999999E-3</v>
      </c>
      <c r="C360">
        <v>5.9966999999999998E-3</v>
      </c>
      <c r="D360">
        <v>5.0299999999999997E-3</v>
      </c>
      <c r="E360">
        <v>5.2741000000000003E-3</v>
      </c>
      <c r="F360">
        <v>357141222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-0.4949829316230463</v>
      </c>
      <c r="Q360">
        <f t="shared" si="970"/>
        <v>-176778809.0689972</v>
      </c>
      <c r="R360">
        <f t="shared" si="971"/>
        <v>-9813930621.8495464</v>
      </c>
      <c r="S360">
        <f t="shared" si="972"/>
        <v>-98139.306218495462</v>
      </c>
      <c r="T360">
        <f t="shared" si="973"/>
        <v>-98.139306218495463</v>
      </c>
    </row>
    <row r="361" spans="1:20" x14ac:dyDescent="0.25">
      <c r="A361" s="5">
        <v>44232</v>
      </c>
      <c r="B361">
        <v>5.7099000000000004E-3</v>
      </c>
      <c r="C361">
        <v>6.4120000000000002E-3</v>
      </c>
      <c r="D361">
        <v>5.6759999999999996E-3</v>
      </c>
      <c r="E361">
        <v>5.8999999999999999E-3</v>
      </c>
      <c r="F361">
        <v>229848379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-0.39130434782608675</v>
      </c>
      <c r="Q361">
        <f t="shared" si="970"/>
        <v>-89940670.043478221</v>
      </c>
      <c r="R361">
        <f t="shared" si="971"/>
        <v>-9637151812.78055</v>
      </c>
      <c r="S361">
        <f t="shared" si="972"/>
        <v>-96371.518127805495</v>
      </c>
      <c r="T361">
        <f t="shared" si="973"/>
        <v>-96.371518127805501</v>
      </c>
    </row>
    <row r="362" spans="1:20" x14ac:dyDescent="0.25">
      <c r="A362" s="5">
        <v>44231</v>
      </c>
      <c r="B362">
        <v>5.7064000000000004E-3</v>
      </c>
      <c r="C362">
        <v>6.1650999999999997E-3</v>
      </c>
      <c r="D362">
        <v>5.1999999999999998E-3</v>
      </c>
      <c r="E362">
        <v>5.6860000000000001E-3</v>
      </c>
      <c r="F362">
        <v>323096347</v>
      </c>
      <c r="G362">
        <v>0</v>
      </c>
      <c r="L362" t="s">
        <v>7</v>
      </c>
      <c r="M362" t="s">
        <v>7</v>
      </c>
      <c r="N362" t="s">
        <v>8</v>
      </c>
      <c r="P362">
        <f t="shared" si="969"/>
        <v>7.1495181846447575E-3</v>
      </c>
      <c r="Q362">
        <f t="shared" si="970"/>
        <v>2309983.2082687928</v>
      </c>
      <c r="R362">
        <f t="shared" si="971"/>
        <v>-9547211142.737072</v>
      </c>
      <c r="S362">
        <f t="shared" si="972"/>
        <v>-95472.111427370721</v>
      </c>
      <c r="T362">
        <f t="shared" si="973"/>
        <v>-95.47211142737072</v>
      </c>
    </row>
    <row r="363" spans="1:20" x14ac:dyDescent="0.25">
      <c r="A363" s="5">
        <v>44230</v>
      </c>
      <c r="B363">
        <v>4.9538000000000004E-3</v>
      </c>
      <c r="C363">
        <v>6.6573999999999999E-3</v>
      </c>
      <c r="D363">
        <v>4.8789000000000003E-3</v>
      </c>
      <c r="E363">
        <v>5.7060000000000001E-3</v>
      </c>
      <c r="F363">
        <v>1121513636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-6.9890357042451473E-2</v>
      </c>
      <c r="Q363">
        <f t="shared" si="970"/>
        <v>-78382988.448017955</v>
      </c>
      <c r="R363">
        <f t="shared" si="971"/>
        <v>-9549521125.9453411</v>
      </c>
      <c r="S363">
        <f t="shared" si="972"/>
        <v>-95495.211259453412</v>
      </c>
      <c r="T363">
        <f t="shared" si="973"/>
        <v>-95.495211259453413</v>
      </c>
    </row>
    <row r="364" spans="1:20" x14ac:dyDescent="0.25">
      <c r="A364" s="5">
        <v>44229</v>
      </c>
      <c r="B364">
        <v>4.4501999999999996E-3</v>
      </c>
      <c r="C364">
        <v>5.6642000000000003E-3</v>
      </c>
      <c r="D364">
        <v>4.2202999999999997E-3</v>
      </c>
      <c r="E364">
        <v>4.9099E-3</v>
      </c>
      <c r="F364">
        <v>514044964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-4.4809197312833282E-2</v>
      </c>
      <c r="Q364">
        <f t="shared" si="970"/>
        <v>-23033942.21954428</v>
      </c>
      <c r="R364">
        <f t="shared" si="971"/>
        <v>-9471138137.497324</v>
      </c>
      <c r="S364">
        <f t="shared" si="972"/>
        <v>-94711.381374973236</v>
      </c>
      <c r="T364">
        <f t="shared" si="973"/>
        <v>-94.711381374973243</v>
      </c>
    </row>
    <row r="365" spans="1:20" x14ac:dyDescent="0.25">
      <c r="A365" s="5">
        <v>44228</v>
      </c>
      <c r="B365">
        <v>4.2208000000000002E-3</v>
      </c>
      <c r="C365">
        <v>4.6776999999999999E-3</v>
      </c>
      <c r="D365">
        <v>4.1101000000000002E-3</v>
      </c>
      <c r="E365">
        <v>4.4615999999999996E-3</v>
      </c>
      <c r="F365">
        <v>191404454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0.23854827343199284</v>
      </c>
      <c r="Q365">
        <f t="shared" si="970"/>
        <v>45659202.028893292</v>
      </c>
      <c r="R365">
        <f t="shared" si="971"/>
        <v>-9448104195.2777805</v>
      </c>
      <c r="S365">
        <f t="shared" si="972"/>
        <v>-94481.041952777799</v>
      </c>
      <c r="T365">
        <f t="shared" si="973"/>
        <v>-94.481041952777801</v>
      </c>
    </row>
    <row r="366" spans="1:20" x14ac:dyDescent="0.25">
      <c r="A366" s="5">
        <v>44227</v>
      </c>
      <c r="B366">
        <v>4.1685000000000003E-3</v>
      </c>
      <c r="C366">
        <v>4.3987999999999996E-3</v>
      </c>
      <c r="D366">
        <v>3.7293000000000001E-3</v>
      </c>
      <c r="E366">
        <v>4.2344000000000001E-3</v>
      </c>
      <c r="F366">
        <v>185733291</v>
      </c>
      <c r="G366">
        <v>0</v>
      </c>
      <c r="L366" t="s">
        <v>7</v>
      </c>
      <c r="M366" t="s">
        <v>7</v>
      </c>
      <c r="N366" t="s">
        <v>8</v>
      </c>
      <c r="P366">
        <f t="shared" si="969"/>
        <v>0.50888722927558006</v>
      </c>
      <c r="Q366">
        <f t="shared" si="970"/>
        <v>94517299.841225028</v>
      </c>
      <c r="R366">
        <f t="shared" si="971"/>
        <v>-9493763397.306673</v>
      </c>
      <c r="S366">
        <f t="shared" si="972"/>
        <v>-94937.633973066724</v>
      </c>
      <c r="T366">
        <f t="shared" si="973"/>
        <v>-94.937633973066724</v>
      </c>
    </row>
    <row r="367" spans="1:20" x14ac:dyDescent="0.25">
      <c r="A367" s="5">
        <v>44226</v>
      </c>
      <c r="B367">
        <v>4.0812000000000001E-3</v>
      </c>
      <c r="C367">
        <v>4.4692000000000004E-3</v>
      </c>
      <c r="D367">
        <v>3.9129999999999998E-3</v>
      </c>
      <c r="E367">
        <v>4.1685000000000003E-3</v>
      </c>
      <c r="F367">
        <v>252249946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-8.1265731751167802E-2</v>
      </c>
      <c r="Q367">
        <f t="shared" si="970"/>
        <v>-20499276.445882563</v>
      </c>
      <c r="R367">
        <f t="shared" si="971"/>
        <v>-9588280697.1478977</v>
      </c>
      <c r="S367">
        <f t="shared" si="972"/>
        <v>-95882.806971478974</v>
      </c>
      <c r="T367">
        <f t="shared" si="973"/>
        <v>-95.882806971478971</v>
      </c>
    </row>
    <row r="368" spans="1:20" x14ac:dyDescent="0.25">
      <c r="A368" s="5">
        <v>44225</v>
      </c>
      <c r="B368">
        <v>3.8657000000000001E-3</v>
      </c>
      <c r="C368">
        <v>4.3515999999999997E-3</v>
      </c>
      <c r="D368">
        <v>3.7656E-3</v>
      </c>
      <c r="E368">
        <v>4.0813000000000004E-3</v>
      </c>
      <c r="F368">
        <v>364904052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7.7474402730377159E-2</v>
      </c>
      <c r="Q368">
        <f t="shared" si="970"/>
        <v>28270723.48259449</v>
      </c>
      <c r="R368">
        <f t="shared" si="971"/>
        <v>-9567781420.7020149</v>
      </c>
      <c r="S368">
        <f t="shared" si="972"/>
        <v>-95677.814207020143</v>
      </c>
      <c r="T368">
        <f t="shared" si="973"/>
        <v>-95.677814207020148</v>
      </c>
    </row>
    <row r="369" spans="1:20" x14ac:dyDescent="0.25">
      <c r="A369" s="5">
        <v>44224</v>
      </c>
      <c r="B369">
        <v>3.4559E-3</v>
      </c>
      <c r="C369">
        <v>3.9500000000000004E-3</v>
      </c>
      <c r="D369">
        <v>3.4328000000000002E-3</v>
      </c>
      <c r="E369">
        <v>3.8696999999999998E-3</v>
      </c>
      <c r="F369">
        <v>131821218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0.68948182521268153</v>
      </c>
      <c r="Q369">
        <f t="shared" si="970"/>
        <v>90888333.98839879</v>
      </c>
      <c r="R369">
        <f t="shared" si="971"/>
        <v>-9596052144.1846104</v>
      </c>
      <c r="S369">
        <f t="shared" si="972"/>
        <v>-95960.521441846096</v>
      </c>
      <c r="T369">
        <f t="shared" si="973"/>
        <v>-95.960521441846097</v>
      </c>
    </row>
    <row r="370" spans="1:20" x14ac:dyDescent="0.25">
      <c r="A370" s="5">
        <v>44223</v>
      </c>
      <c r="B370">
        <v>3.7207999999999998E-3</v>
      </c>
      <c r="C370">
        <v>3.7467999999999998E-3</v>
      </c>
      <c r="D370">
        <v>3.2303000000000002E-3</v>
      </c>
      <c r="E370">
        <v>3.4328000000000002E-3</v>
      </c>
      <c r="F370">
        <v>64119512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-0.21587608906098685</v>
      </c>
      <c r="Q370">
        <f t="shared" si="970"/>
        <v>-13841869.483059015</v>
      </c>
      <c r="R370">
        <f t="shared" si="971"/>
        <v>-9686940478.1730099</v>
      </c>
      <c r="S370">
        <f t="shared" si="972"/>
        <v>-96869.404781730103</v>
      </c>
      <c r="T370">
        <f t="shared" si="973"/>
        <v>-96.869404781730097</v>
      </c>
    </row>
    <row r="371" spans="1:20" x14ac:dyDescent="0.25">
      <c r="A371" s="5">
        <v>44222</v>
      </c>
      <c r="B371">
        <v>3.7349000000000002E-3</v>
      </c>
      <c r="C371">
        <v>3.8639E-3</v>
      </c>
      <c r="D371">
        <v>3.4546999999999998E-3</v>
      </c>
      <c r="E371">
        <v>3.7196999999999998E-3</v>
      </c>
      <c r="F371">
        <v>69353360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0.29521016617790774</v>
      </c>
      <c r="Q371">
        <f t="shared" si="970"/>
        <v>20473816.930596258</v>
      </c>
      <c r="R371">
        <f t="shared" si="971"/>
        <v>-9673098608.6899509</v>
      </c>
      <c r="S371">
        <f t="shared" si="972"/>
        <v>-96730.986086899517</v>
      </c>
      <c r="T371">
        <f t="shared" si="973"/>
        <v>-96.73098608689952</v>
      </c>
    </row>
    <row r="372" spans="1:20" x14ac:dyDescent="0.25">
      <c r="A372" s="5">
        <v>44221</v>
      </c>
      <c r="B372">
        <v>3.8849000000000002E-3</v>
      </c>
      <c r="C372">
        <v>4.0198999999999999E-3</v>
      </c>
      <c r="D372">
        <v>3.6957000000000001E-3</v>
      </c>
      <c r="E372">
        <v>3.7523000000000001E-3</v>
      </c>
      <c r="F372">
        <v>76314996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-0.65083281924737812</v>
      </c>
      <c r="Q372">
        <f t="shared" si="970"/>
        <v>-49668303.997532383</v>
      </c>
      <c r="R372">
        <f t="shared" si="971"/>
        <v>-9693572425.6205463</v>
      </c>
      <c r="S372">
        <f t="shared" si="972"/>
        <v>-96935.72425620546</v>
      </c>
      <c r="T372">
        <f t="shared" si="973"/>
        <v>-96.935724256205461</v>
      </c>
    </row>
    <row r="373" spans="1:20" x14ac:dyDescent="0.25">
      <c r="A373" s="5">
        <v>44220</v>
      </c>
      <c r="B373">
        <v>3.9306000000000002E-3</v>
      </c>
      <c r="C373">
        <v>4.0664000000000004E-3</v>
      </c>
      <c r="D373">
        <v>3.7399999999999998E-3</v>
      </c>
      <c r="E373">
        <v>3.8861999999999998E-3</v>
      </c>
      <c r="F373">
        <v>61574937</v>
      </c>
      <c r="G373">
        <v>0</v>
      </c>
      <c r="L373" t="s">
        <v>7</v>
      </c>
      <c r="M373" t="s">
        <v>8</v>
      </c>
      <c r="N373" t="s">
        <v>8</v>
      </c>
      <c r="P373">
        <f t="shared" si="969"/>
        <v>-0.10416666666666835</v>
      </c>
      <c r="Q373">
        <f t="shared" si="970"/>
        <v>-6414055.9375001034</v>
      </c>
      <c r="R373">
        <f t="shared" si="971"/>
        <v>-9643904121.6230145</v>
      </c>
      <c r="S373">
        <f t="shared" si="972"/>
        <v>-96439.041216230151</v>
      </c>
      <c r="T373">
        <f t="shared" si="973"/>
        <v>-96.439041216230152</v>
      </c>
    </row>
    <row r="374" spans="1:20" x14ac:dyDescent="0.25">
      <c r="A374" s="5">
        <v>44219</v>
      </c>
      <c r="B374">
        <v>3.754E-3</v>
      </c>
      <c r="C374">
        <v>4.0800000000000003E-3</v>
      </c>
      <c r="D374">
        <v>3.6900000000000001E-3</v>
      </c>
      <c r="E374">
        <v>3.9306000000000002E-3</v>
      </c>
      <c r="F374">
        <v>215426435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0.23384615384615387</v>
      </c>
      <c r="Q374">
        <f t="shared" si="970"/>
        <v>50376643.261538468</v>
      </c>
      <c r="R374">
        <f t="shared" si="971"/>
        <v>-9637490065.6855145</v>
      </c>
      <c r="S374">
        <f t="shared" si="972"/>
        <v>-96374.900656855141</v>
      </c>
      <c r="T374">
        <f t="shared" si="973"/>
        <v>-96.374900656855147</v>
      </c>
    </row>
    <row r="375" spans="1:20" x14ac:dyDescent="0.25">
      <c r="A375" s="5">
        <v>44218</v>
      </c>
      <c r="B375">
        <v>3.7074E-3</v>
      </c>
      <c r="C375">
        <v>3.8999999999999998E-3</v>
      </c>
      <c r="D375">
        <v>3.4099999999999998E-3</v>
      </c>
      <c r="E375">
        <v>3.7588000000000001E-3</v>
      </c>
      <c r="F375">
        <v>89139354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0.42367346938775613</v>
      </c>
      <c r="Q375">
        <f t="shared" si="970"/>
        <v>37765979.368163355</v>
      </c>
      <c r="R375">
        <f t="shared" si="971"/>
        <v>-9687866708.947052</v>
      </c>
      <c r="S375">
        <f t="shared" si="972"/>
        <v>-96878.667089470517</v>
      </c>
      <c r="T375">
        <f t="shared" si="973"/>
        <v>-96.878667089470511</v>
      </c>
    </row>
    <row r="376" spans="1:20" x14ac:dyDescent="0.25">
      <c r="A376" s="5">
        <v>44217</v>
      </c>
      <c r="B376">
        <v>3.7864000000000001E-3</v>
      </c>
      <c r="C376">
        <v>4.0990000000000002E-3</v>
      </c>
      <c r="D376">
        <v>3.5999999999999999E-3</v>
      </c>
      <c r="E376">
        <v>3.7073000000000002E-3</v>
      </c>
      <c r="F376">
        <v>184097064</v>
      </c>
      <c r="G376">
        <v>0</v>
      </c>
      <c r="L376" t="s">
        <v>8</v>
      </c>
      <c r="M376" t="s">
        <v>8</v>
      </c>
      <c r="N376" t="s">
        <v>8</v>
      </c>
      <c r="P376">
        <f t="shared" si="969"/>
        <v>-0.56993987975951821</v>
      </c>
      <c r="Q376">
        <f t="shared" si="970"/>
        <v>-104924258.52024032</v>
      </c>
      <c r="R376">
        <f t="shared" si="971"/>
        <v>-9725632688.3152161</v>
      </c>
      <c r="S376">
        <f t="shared" si="972"/>
        <v>-97256.326883152156</v>
      </c>
      <c r="T376">
        <f t="shared" si="973"/>
        <v>-97.256326883152155</v>
      </c>
    </row>
    <row r="377" spans="1:20" x14ac:dyDescent="0.25">
      <c r="A377" s="5">
        <v>44216</v>
      </c>
      <c r="B377">
        <v>3.6840000000000002E-3</v>
      </c>
      <c r="C377">
        <v>3.9332999999999998E-3</v>
      </c>
      <c r="D377">
        <v>3.5999999999999999E-3</v>
      </c>
      <c r="E377">
        <v>3.7864999999999999E-3</v>
      </c>
      <c r="F377">
        <v>91281544</v>
      </c>
      <c r="G377">
        <v>0</v>
      </c>
      <c r="L377" t="s">
        <v>8</v>
      </c>
      <c r="M377" t="s">
        <v>8</v>
      </c>
      <c r="N377" t="s">
        <v>8</v>
      </c>
      <c r="P377">
        <f t="shared" si="969"/>
        <v>0.11911191119111959</v>
      </c>
      <c r="Q377">
        <f t="shared" si="970"/>
        <v>10872719.162316276</v>
      </c>
      <c r="R377">
        <f t="shared" si="971"/>
        <v>-9620708429.7949753</v>
      </c>
      <c r="S377">
        <f t="shared" si="972"/>
        <v>-96207.084297949754</v>
      </c>
      <c r="T377">
        <f t="shared" si="973"/>
        <v>-96.207084297949748</v>
      </c>
    </row>
    <row r="378" spans="1:20" x14ac:dyDescent="0.25">
      <c r="A378" s="5">
        <v>44215</v>
      </c>
      <c r="B378">
        <v>3.9427000000000004E-3</v>
      </c>
      <c r="C378">
        <v>3.9722999999999998E-3</v>
      </c>
      <c r="D378">
        <v>3.5999999999999999E-3</v>
      </c>
      <c r="E378">
        <v>3.7044000000000001E-3</v>
      </c>
      <c r="F378">
        <v>84456872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-0.43916196615632458</v>
      </c>
      <c r="Q378">
        <f t="shared" si="970"/>
        <v>-37090245.962933034</v>
      </c>
      <c r="R378">
        <f t="shared" si="971"/>
        <v>-9631581148.9572906</v>
      </c>
      <c r="S378">
        <f t="shared" si="972"/>
        <v>-96315.811489572909</v>
      </c>
      <c r="T378">
        <f t="shared" si="973"/>
        <v>-96.315811489572908</v>
      </c>
    </row>
    <row r="379" spans="1:20" x14ac:dyDescent="0.25">
      <c r="A379" s="5">
        <v>44214</v>
      </c>
      <c r="B379">
        <v>3.8598999999999999E-3</v>
      </c>
      <c r="C379">
        <v>3.986E-3</v>
      </c>
      <c r="D379">
        <v>3.7409000000000001E-3</v>
      </c>
      <c r="E379">
        <v>3.9290000000000002E-3</v>
      </c>
      <c r="F379">
        <v>87798480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0.53488372093023417</v>
      </c>
      <c r="Q379">
        <f t="shared" si="970"/>
        <v>46961977.674418747</v>
      </c>
      <c r="R379">
        <f t="shared" si="971"/>
        <v>-9594490902.9943581</v>
      </c>
      <c r="S379">
        <f t="shared" si="972"/>
        <v>-95944.909029943577</v>
      </c>
      <c r="T379">
        <f t="shared" si="973"/>
        <v>-95.944909029943574</v>
      </c>
    </row>
    <row r="380" spans="1:20" x14ac:dyDescent="0.25">
      <c r="A380" s="5">
        <v>44213</v>
      </c>
      <c r="B380">
        <v>3.8517E-3</v>
      </c>
      <c r="C380">
        <v>4.0000000000000001E-3</v>
      </c>
      <c r="D380">
        <v>3.6722999999999999E-3</v>
      </c>
      <c r="E380">
        <v>3.8598999999999999E-3</v>
      </c>
      <c r="F380">
        <v>133597270</v>
      </c>
      <c r="G380">
        <v>0</v>
      </c>
      <c r="L380" t="s">
        <v>7</v>
      </c>
      <c r="M380" t="s">
        <v>8</v>
      </c>
      <c r="N380" t="s">
        <v>8</v>
      </c>
      <c r="P380">
        <f t="shared" si="969"/>
        <v>0.14494964906926996</v>
      </c>
      <c r="Q380">
        <f t="shared" si="970"/>
        <v>19364877.403112508</v>
      </c>
      <c r="R380">
        <f t="shared" si="971"/>
        <v>-9641452880.6687775</v>
      </c>
      <c r="S380">
        <f t="shared" si="972"/>
        <v>-96414.528806687769</v>
      </c>
      <c r="T380">
        <f t="shared" si="973"/>
        <v>-96.41452880668777</v>
      </c>
    </row>
    <row r="381" spans="1:20" x14ac:dyDescent="0.25">
      <c r="A381" s="5">
        <v>44212</v>
      </c>
      <c r="B381">
        <v>3.3972999999999998E-3</v>
      </c>
      <c r="C381">
        <v>4.15E-3</v>
      </c>
      <c r="D381">
        <v>3.3972999999999998E-3</v>
      </c>
      <c r="E381">
        <v>3.8503999999999999E-3</v>
      </c>
      <c r="F381">
        <v>248092386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0.20393250963199142</v>
      </c>
      <c r="Q381">
        <f t="shared" si="970"/>
        <v>50594102.897568733</v>
      </c>
      <c r="R381">
        <f t="shared" si="971"/>
        <v>-9660817758.0718899</v>
      </c>
      <c r="S381">
        <f t="shared" si="972"/>
        <v>-96608.177580718897</v>
      </c>
      <c r="T381">
        <f t="shared" si="973"/>
        <v>-96.608177580718902</v>
      </c>
    </row>
    <row r="382" spans="1:20" x14ac:dyDescent="0.25">
      <c r="A382" s="5">
        <v>44211</v>
      </c>
      <c r="B382">
        <v>3.5947000000000002E-3</v>
      </c>
      <c r="C382">
        <v>3.6987999999999999E-3</v>
      </c>
      <c r="D382">
        <v>3.2301000000000001E-3</v>
      </c>
      <c r="E382">
        <v>3.3972999999999998E-3</v>
      </c>
      <c r="F382">
        <v>115212031</v>
      </c>
      <c r="G382">
        <v>0</v>
      </c>
      <c r="L382" t="s">
        <v>7</v>
      </c>
      <c r="M382" t="s">
        <v>8</v>
      </c>
      <c r="N382" t="s">
        <v>8</v>
      </c>
      <c r="P382">
        <f t="shared" si="969"/>
        <v>-0.28653723063793562</v>
      </c>
      <c r="Q382">
        <f t="shared" si="970"/>
        <v>-33012536.298911989</v>
      </c>
      <c r="R382">
        <f t="shared" si="971"/>
        <v>-9711411860.9694595</v>
      </c>
      <c r="S382">
        <f t="shared" si="972"/>
        <v>-97114.118609694589</v>
      </c>
      <c r="T382">
        <f t="shared" si="973"/>
        <v>-97.114118609694586</v>
      </c>
    </row>
    <row r="383" spans="1:20" x14ac:dyDescent="0.25">
      <c r="A383" s="5">
        <v>44210</v>
      </c>
      <c r="B383">
        <v>3.3912E-3</v>
      </c>
      <c r="C383">
        <v>3.7401999999999999E-3</v>
      </c>
      <c r="D383">
        <v>3.3048999999999999E-3</v>
      </c>
      <c r="E383">
        <v>3.5820000000000001E-3</v>
      </c>
      <c r="F383">
        <v>120441164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0.2731449575005751</v>
      </c>
      <c r="Q383">
        <f t="shared" si="970"/>
        <v>32897896.622099794</v>
      </c>
      <c r="R383">
        <f t="shared" si="971"/>
        <v>-9678399324.6705475</v>
      </c>
      <c r="S383">
        <f t="shared" si="972"/>
        <v>-96783.993246705475</v>
      </c>
      <c r="T383">
        <f t="shared" si="973"/>
        <v>-96.783993246705478</v>
      </c>
    </row>
    <row r="384" spans="1:20" x14ac:dyDescent="0.25">
      <c r="A384" s="5">
        <v>44209</v>
      </c>
      <c r="B384">
        <v>3.2666000000000001E-3</v>
      </c>
      <c r="C384">
        <v>3.4480999999999999E-3</v>
      </c>
      <c r="D384">
        <v>3.0599999999999998E-3</v>
      </c>
      <c r="E384">
        <v>3.3912E-3</v>
      </c>
      <c r="F384">
        <v>155468767</v>
      </c>
      <c r="G384">
        <v>0</v>
      </c>
      <c r="L384" t="s">
        <v>7</v>
      </c>
      <c r="M384" t="s">
        <v>7</v>
      </c>
      <c r="N384" t="s">
        <v>8</v>
      </c>
      <c r="P384">
        <f t="shared" si="969"/>
        <v>0.70677660396804998</v>
      </c>
      <c r="Q384">
        <f t="shared" si="970"/>
        <v>109881687.16336004</v>
      </c>
      <c r="R384">
        <f t="shared" si="971"/>
        <v>-9711297221.2926464</v>
      </c>
      <c r="S384">
        <f t="shared" si="972"/>
        <v>-97112.97221292647</v>
      </c>
      <c r="T384">
        <f t="shared" si="973"/>
        <v>-97.112972212926465</v>
      </c>
    </row>
    <row r="385" spans="1:20" x14ac:dyDescent="0.25">
      <c r="A385" s="5">
        <v>44208</v>
      </c>
      <c r="B385">
        <v>3.7448999999999998E-3</v>
      </c>
      <c r="C385">
        <v>3.8E-3</v>
      </c>
      <c r="D385">
        <v>3.0599999999999998E-3</v>
      </c>
      <c r="E385">
        <v>3.2666000000000001E-3</v>
      </c>
      <c r="F385">
        <v>373186777</v>
      </c>
      <c r="G385">
        <v>0</v>
      </c>
      <c r="L385" t="s">
        <v>8</v>
      </c>
      <c r="M385" t="s">
        <v>8</v>
      </c>
      <c r="N385" t="s">
        <v>8</v>
      </c>
      <c r="P385">
        <f t="shared" si="969"/>
        <v>-0.44162162162162083</v>
      </c>
      <c r="Q385">
        <f t="shared" si="970"/>
        <v>-164807349.62648618</v>
      </c>
      <c r="R385">
        <f t="shared" si="971"/>
        <v>-9821178908.456007</v>
      </c>
      <c r="S385">
        <f t="shared" si="972"/>
        <v>-98211.789084560063</v>
      </c>
      <c r="T385">
        <f t="shared" si="973"/>
        <v>-98.211789084560067</v>
      </c>
    </row>
    <row r="386" spans="1:20" x14ac:dyDescent="0.25">
      <c r="A386" s="5">
        <v>44207</v>
      </c>
      <c r="B386">
        <v>3.3402000000000002E-3</v>
      </c>
      <c r="C386">
        <v>3.8852000000000001E-3</v>
      </c>
      <c r="D386">
        <v>2.7000000000000001E-3</v>
      </c>
      <c r="E386">
        <v>3.7448E-3</v>
      </c>
      <c r="F386">
        <v>923216403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0.76307796152548069</v>
      </c>
      <c r="Q386">
        <f t="shared" si="970"/>
        <v>704486090.84812665</v>
      </c>
      <c r="R386">
        <f t="shared" si="971"/>
        <v>-9656371558.8295212</v>
      </c>
      <c r="S386">
        <f t="shared" si="972"/>
        <v>-96563.715588295207</v>
      </c>
      <c r="T386">
        <f t="shared" si="973"/>
        <v>-96.56371558829521</v>
      </c>
    </row>
    <row r="387" spans="1:20" x14ac:dyDescent="0.25">
      <c r="A387" s="5">
        <v>44206</v>
      </c>
      <c r="B387">
        <v>3.3219999999999999E-3</v>
      </c>
      <c r="C387">
        <v>3.5000000000000001E-3</v>
      </c>
      <c r="D387">
        <v>3.0230999999999999E-3</v>
      </c>
      <c r="E387">
        <v>3.3400000000000001E-3</v>
      </c>
      <c r="F387">
        <v>216391764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0.32899979031243476</v>
      </c>
      <c r="Q387">
        <f t="shared" si="970"/>
        <v>71192844.981337875</v>
      </c>
      <c r="R387">
        <f t="shared" si="971"/>
        <v>-10360857649.677649</v>
      </c>
      <c r="S387">
        <f t="shared" si="972"/>
        <v>-103608.57649677648</v>
      </c>
      <c r="T387">
        <f t="shared" si="973"/>
        <v>-103.60857649677648</v>
      </c>
    </row>
    <row r="388" spans="1:20" x14ac:dyDescent="0.25">
      <c r="A388" s="5">
        <v>44205</v>
      </c>
      <c r="B388">
        <v>3.3685999999999998E-3</v>
      </c>
      <c r="C388">
        <v>3.7499999999999999E-3</v>
      </c>
      <c r="D388">
        <v>3.1800000000000001E-3</v>
      </c>
      <c r="E388">
        <v>3.3219E-3</v>
      </c>
      <c r="F388">
        <v>428644601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-0.50210526315789483</v>
      </c>
      <c r="Q388">
        <f t="shared" si="970"/>
        <v>-215224710.18631583</v>
      </c>
      <c r="R388">
        <f t="shared" si="971"/>
        <v>-10432050494.658987</v>
      </c>
      <c r="S388">
        <f t="shared" si="972"/>
        <v>-104320.50494658988</v>
      </c>
      <c r="T388">
        <f t="shared" si="973"/>
        <v>-104.32050494658988</v>
      </c>
    </row>
    <row r="389" spans="1:20" x14ac:dyDescent="0.25">
      <c r="A389" s="5">
        <v>44204</v>
      </c>
      <c r="B389">
        <v>2.9645000000000001E-3</v>
      </c>
      <c r="C389">
        <v>3.6359999999999999E-3</v>
      </c>
      <c r="D389">
        <v>2.8000999999999998E-3</v>
      </c>
      <c r="E389">
        <v>3.3682E-3</v>
      </c>
      <c r="F389">
        <v>308066948</v>
      </c>
      <c r="G389">
        <v>0</v>
      </c>
      <c r="L389" t="s">
        <v>8</v>
      </c>
      <c r="M389" t="s">
        <v>8</v>
      </c>
      <c r="N389" t="s">
        <v>8</v>
      </c>
      <c r="P389">
        <f t="shared" si="969"/>
        <v>0.35925349922239536</v>
      </c>
      <c r="Q389">
        <f t="shared" si="970"/>
        <v>110674129.06376371</v>
      </c>
      <c r="R389">
        <f t="shared" si="971"/>
        <v>-10216825784.472672</v>
      </c>
      <c r="S389">
        <f t="shared" si="972"/>
        <v>-102168.25784472672</v>
      </c>
      <c r="T389">
        <f t="shared" si="973"/>
        <v>-102.16825784472671</v>
      </c>
    </row>
    <row r="390" spans="1:20" x14ac:dyDescent="0.25">
      <c r="A390" s="5">
        <v>44203</v>
      </c>
      <c r="B390">
        <v>2.8203E-3</v>
      </c>
      <c r="C390">
        <v>3.3844000000000001E-3</v>
      </c>
      <c r="D390">
        <v>2.7499999999999998E-3</v>
      </c>
      <c r="E390">
        <v>2.9878000000000001E-3</v>
      </c>
      <c r="F390">
        <v>320041093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-0.25031525851197933</v>
      </c>
      <c r="Q390">
        <f t="shared" ref="Q390:Q453" si="975">F390*P390</f>
        <v>-80111168.928751424</v>
      </c>
      <c r="R390">
        <f t="shared" ref="R390:R453" si="976">R391+Q390</f>
        <v>-10327499913.536436</v>
      </c>
      <c r="S390">
        <f t="shared" ref="S390:S453" si="977">R390/100000</f>
        <v>-103274.99913536436</v>
      </c>
      <c r="T390">
        <f t="shared" ref="T390:T453" si="978">S390/1000</f>
        <v>-103.27499913536435</v>
      </c>
    </row>
    <row r="391" spans="1:20" x14ac:dyDescent="0.25">
      <c r="A391" s="5">
        <v>44202</v>
      </c>
      <c r="B391">
        <v>2.8018000000000001E-3</v>
      </c>
      <c r="C391">
        <v>2.9201000000000001E-3</v>
      </c>
      <c r="D391">
        <v>2.5073000000000001E-3</v>
      </c>
      <c r="E391">
        <v>2.8203999999999998E-3</v>
      </c>
      <c r="F391">
        <v>426811601</v>
      </c>
      <c r="G391">
        <v>0</v>
      </c>
      <c r="L391" t="s">
        <v>7</v>
      </c>
      <c r="M391" t="s">
        <v>8</v>
      </c>
      <c r="N391" t="s">
        <v>8</v>
      </c>
      <c r="P391">
        <f t="shared" si="974"/>
        <v>0.51695736434108386</v>
      </c>
      <c r="Q391">
        <f t="shared" si="975"/>
        <v>220643400.32315832</v>
      </c>
      <c r="R391">
        <f t="shared" si="976"/>
        <v>-10247388744.607685</v>
      </c>
      <c r="S391">
        <f t="shared" si="977"/>
        <v>-102473.88744607686</v>
      </c>
      <c r="T391">
        <f t="shared" si="978"/>
        <v>-102.47388744607686</v>
      </c>
    </row>
    <row r="392" spans="1:20" x14ac:dyDescent="0.25">
      <c r="A392" s="5">
        <v>44201</v>
      </c>
      <c r="B392">
        <v>2.7263999999999999E-3</v>
      </c>
      <c r="C392">
        <v>2.9548999999999999E-3</v>
      </c>
      <c r="D392">
        <v>2.6413999999999999E-3</v>
      </c>
      <c r="E392">
        <v>2.8048000000000001E-3</v>
      </c>
      <c r="F392">
        <v>140089651</v>
      </c>
      <c r="G392">
        <v>0</v>
      </c>
      <c r="L392" t="s">
        <v>7</v>
      </c>
      <c r="M392" t="s">
        <v>8</v>
      </c>
      <c r="N392" t="s">
        <v>8</v>
      </c>
      <c r="P392">
        <f t="shared" si="974"/>
        <v>4.2424242424243634E-2</v>
      </c>
      <c r="Q392">
        <f t="shared" si="975"/>
        <v>5943197.3151516849</v>
      </c>
      <c r="R392">
        <f t="shared" si="976"/>
        <v>-10468032144.930843</v>
      </c>
      <c r="S392">
        <f t="shared" si="977"/>
        <v>-104680.32144930844</v>
      </c>
      <c r="T392">
        <f t="shared" si="978"/>
        <v>-104.68032144930844</v>
      </c>
    </row>
    <row r="393" spans="1:20" x14ac:dyDescent="0.25">
      <c r="A393" s="5">
        <v>44200</v>
      </c>
      <c r="B393">
        <v>2.7453999999999998E-3</v>
      </c>
      <c r="C393">
        <v>3.0000000000000001E-3</v>
      </c>
      <c r="D393">
        <v>2.5590000000000001E-3</v>
      </c>
      <c r="E393">
        <v>2.7290999999999999E-3</v>
      </c>
      <c r="F393">
        <v>130381412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-0.22857142857142923</v>
      </c>
      <c r="Q393">
        <f t="shared" si="975"/>
        <v>-29801465.600000087</v>
      </c>
      <c r="R393">
        <f t="shared" si="976"/>
        <v>-10473975342.245995</v>
      </c>
      <c r="S393">
        <f t="shared" si="977"/>
        <v>-104739.75342245995</v>
      </c>
      <c r="T393">
        <f t="shared" si="978"/>
        <v>-104.73975342245996</v>
      </c>
    </row>
    <row r="394" spans="1:20" x14ac:dyDescent="0.25">
      <c r="A394" s="5">
        <v>44199</v>
      </c>
      <c r="B394">
        <v>2.5837999999999998E-3</v>
      </c>
      <c r="C394">
        <v>2.8053000000000002E-3</v>
      </c>
      <c r="D394">
        <v>2.5289000000000002E-3</v>
      </c>
      <c r="E394">
        <v>2.7455000000000001E-3</v>
      </c>
      <c r="F394">
        <v>87424376</v>
      </c>
      <c r="G394">
        <v>0</v>
      </c>
      <c r="L394" t="s">
        <v>8</v>
      </c>
      <c r="M394" t="s">
        <v>8</v>
      </c>
      <c r="N394" t="s">
        <v>7</v>
      </c>
      <c r="P394">
        <f t="shared" si="974"/>
        <v>0.56729377713458728</v>
      </c>
      <c r="Q394">
        <f t="shared" si="975"/>
        <v>49595304.474674359</v>
      </c>
      <c r="R394">
        <f t="shared" si="976"/>
        <v>-10444173876.645994</v>
      </c>
      <c r="S394">
        <f t="shared" si="977"/>
        <v>-104441.73876645994</v>
      </c>
      <c r="T394">
        <f t="shared" si="978"/>
        <v>-104.44173876645993</v>
      </c>
    </row>
    <row r="395" spans="1:20" x14ac:dyDescent="0.25">
      <c r="A395" s="5">
        <v>44198</v>
      </c>
      <c r="B395">
        <v>2.4843999999999999E-3</v>
      </c>
      <c r="C395">
        <v>2.6768999999999999E-3</v>
      </c>
      <c r="D395">
        <v>2.3906999999999999E-3</v>
      </c>
      <c r="E395">
        <v>2.5837999999999998E-3</v>
      </c>
      <c r="F395">
        <v>93025675</v>
      </c>
      <c r="G395">
        <v>0</v>
      </c>
      <c r="L395" t="s">
        <v>7</v>
      </c>
      <c r="M395" t="s">
        <v>8</v>
      </c>
      <c r="N395" t="s">
        <v>7</v>
      </c>
      <c r="P395">
        <f t="shared" si="974"/>
        <v>0.34940600978336778</v>
      </c>
      <c r="Q395">
        <f t="shared" si="975"/>
        <v>32503729.909154393</v>
      </c>
      <c r="R395">
        <f t="shared" si="976"/>
        <v>-10493769181.120668</v>
      </c>
      <c r="S395">
        <f t="shared" si="977"/>
        <v>-104937.69181120668</v>
      </c>
      <c r="T395">
        <f t="shared" si="978"/>
        <v>-104.93769181120668</v>
      </c>
    </row>
    <row r="396" spans="1:20" x14ac:dyDescent="0.25">
      <c r="A396" s="5">
        <v>44197</v>
      </c>
      <c r="B396">
        <v>2.3335000000000001E-3</v>
      </c>
      <c r="C396">
        <v>2.6532000000000001E-3</v>
      </c>
      <c r="D396">
        <v>2.3E-3</v>
      </c>
      <c r="E396">
        <v>2.4837000000000001E-3</v>
      </c>
      <c r="F396">
        <v>154012025</v>
      </c>
      <c r="G396">
        <v>0</v>
      </c>
      <c r="L396" t="s">
        <v>8</v>
      </c>
      <c r="M396" t="s">
        <v>8</v>
      </c>
      <c r="N396" t="s">
        <v>7</v>
      </c>
      <c r="P396">
        <f t="shared" si="974"/>
        <v>4.020385050962693E-2</v>
      </c>
      <c r="Q396">
        <f t="shared" si="975"/>
        <v>6191876.4297849257</v>
      </c>
      <c r="R396">
        <f t="shared" si="976"/>
        <v>-10526272911.029823</v>
      </c>
      <c r="S396">
        <f t="shared" si="977"/>
        <v>-105262.72911029823</v>
      </c>
      <c r="T396">
        <f t="shared" si="978"/>
        <v>-105.26272911029822</v>
      </c>
    </row>
    <row r="397" spans="1:20" x14ac:dyDescent="0.25">
      <c r="A397" s="5">
        <v>44196</v>
      </c>
      <c r="B397">
        <v>2.3741000000000001E-3</v>
      </c>
      <c r="C397">
        <v>2.3957000000000002E-3</v>
      </c>
      <c r="D397">
        <v>2.2020999999999998E-3</v>
      </c>
      <c r="E397">
        <v>2.3335999999999999E-3</v>
      </c>
      <c r="F397">
        <v>86334557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0.35847107438016379</v>
      </c>
      <c r="Q397">
        <f t="shared" si="975"/>
        <v>30948441.40392549</v>
      </c>
      <c r="R397">
        <f t="shared" si="976"/>
        <v>-10532464787.459608</v>
      </c>
      <c r="S397">
        <f t="shared" si="977"/>
        <v>-105324.64787459608</v>
      </c>
      <c r="T397">
        <f t="shared" si="978"/>
        <v>-105.32464787459608</v>
      </c>
    </row>
    <row r="398" spans="1:20" x14ac:dyDescent="0.25">
      <c r="A398" s="5">
        <v>44195</v>
      </c>
      <c r="B398">
        <v>2.4807000000000002E-3</v>
      </c>
      <c r="C398">
        <v>2.5175000000000002E-3</v>
      </c>
      <c r="D398">
        <v>2.32E-3</v>
      </c>
      <c r="E398">
        <v>2.3739999999999998E-3</v>
      </c>
      <c r="F398">
        <v>80558493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-0.45316455696202795</v>
      </c>
      <c r="Q398">
        <f t="shared" si="975"/>
        <v>-36506253.78987363</v>
      </c>
      <c r="R398">
        <f t="shared" si="976"/>
        <v>-10563413228.863533</v>
      </c>
      <c r="S398">
        <f t="shared" si="977"/>
        <v>-105634.13228863533</v>
      </c>
      <c r="T398">
        <f t="shared" si="978"/>
        <v>-105.63413228863533</v>
      </c>
    </row>
    <row r="399" spans="1:20" x14ac:dyDescent="0.25">
      <c r="A399" s="5">
        <v>44194</v>
      </c>
      <c r="B399">
        <v>2.7168000000000001E-3</v>
      </c>
      <c r="C399">
        <v>2.8340000000000001E-3</v>
      </c>
      <c r="D399">
        <v>2.3823999999999998E-3</v>
      </c>
      <c r="E399">
        <v>2.4616999999999998E-3</v>
      </c>
      <c r="F399">
        <v>88519027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-0.6488042515500444</v>
      </c>
      <c r="Q399">
        <f t="shared" si="975"/>
        <v>-57431521.06067317</v>
      </c>
      <c r="R399">
        <f t="shared" si="976"/>
        <v>-10526906975.07366</v>
      </c>
      <c r="S399">
        <f t="shared" si="977"/>
        <v>-105269.0697507366</v>
      </c>
      <c r="T399">
        <f t="shared" si="978"/>
        <v>-105.26906975073661</v>
      </c>
    </row>
    <row r="400" spans="1:20" x14ac:dyDescent="0.25">
      <c r="A400" s="5">
        <v>44193</v>
      </c>
      <c r="B400">
        <v>2.7390000000000001E-3</v>
      </c>
      <c r="C400">
        <v>3.0000999999999999E-3</v>
      </c>
      <c r="D400">
        <v>2.6621000000000001E-3</v>
      </c>
      <c r="E400">
        <v>2.7306000000000001E-3</v>
      </c>
      <c r="F400">
        <v>118091118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-0.59467455621301757</v>
      </c>
      <c r="Q400">
        <f t="shared" si="975"/>
        <v>-70225783.189349085</v>
      </c>
      <c r="R400">
        <f t="shared" si="976"/>
        <v>-10469475454.012987</v>
      </c>
      <c r="S400">
        <f t="shared" si="977"/>
        <v>-104694.75454012987</v>
      </c>
      <c r="T400">
        <f t="shared" si="978"/>
        <v>-104.69475454012986</v>
      </c>
    </row>
    <row r="401" spans="1:20" x14ac:dyDescent="0.25">
      <c r="A401" s="5">
        <v>44192</v>
      </c>
      <c r="B401">
        <v>2.7271999999999999E-3</v>
      </c>
      <c r="C401">
        <v>2.9233000000000002E-3</v>
      </c>
      <c r="D401">
        <v>2.65E-3</v>
      </c>
      <c r="E401">
        <v>2.7409000000000001E-3</v>
      </c>
      <c r="F401">
        <v>134031299</v>
      </c>
      <c r="G401">
        <v>0</v>
      </c>
      <c r="L401" t="s">
        <v>7</v>
      </c>
      <c r="M401" t="s">
        <v>8</v>
      </c>
      <c r="N401" t="s">
        <v>7</v>
      </c>
      <c r="P401">
        <f t="shared" si="974"/>
        <v>-0.33479692645444542</v>
      </c>
      <c r="Q401">
        <f t="shared" si="975"/>
        <v>-44873266.953896783</v>
      </c>
      <c r="R401">
        <f t="shared" si="976"/>
        <v>-10399249670.823639</v>
      </c>
      <c r="S401">
        <f t="shared" si="977"/>
        <v>-103992.49670823639</v>
      </c>
      <c r="T401">
        <f t="shared" si="978"/>
        <v>-103.99249670823639</v>
      </c>
    </row>
    <row r="402" spans="1:20" x14ac:dyDescent="0.25">
      <c r="A402" s="5">
        <v>44191</v>
      </c>
      <c r="B402">
        <v>2.5926E-3</v>
      </c>
      <c r="C402">
        <v>3.0000000000000001E-3</v>
      </c>
      <c r="D402">
        <v>2.5035000000000001E-3</v>
      </c>
      <c r="E402">
        <v>2.7268000000000001E-3</v>
      </c>
      <c r="F402">
        <v>223491762</v>
      </c>
      <c r="G402">
        <v>0</v>
      </c>
      <c r="L402" t="s">
        <v>8</v>
      </c>
      <c r="M402" t="s">
        <v>8</v>
      </c>
      <c r="N402" t="s">
        <v>7</v>
      </c>
      <c r="P402">
        <f t="shared" si="974"/>
        <v>-0.10050352467270868</v>
      </c>
      <c r="Q402">
        <f t="shared" si="975"/>
        <v>-22461709.816314135</v>
      </c>
      <c r="R402">
        <f t="shared" si="976"/>
        <v>-10354376403.869741</v>
      </c>
      <c r="S402">
        <f t="shared" si="977"/>
        <v>-103543.76403869741</v>
      </c>
      <c r="T402">
        <f t="shared" si="978"/>
        <v>-103.5437640386974</v>
      </c>
    </row>
    <row r="403" spans="1:20" x14ac:dyDescent="0.25">
      <c r="A403" s="5">
        <v>44190</v>
      </c>
      <c r="B403">
        <v>2.6676999999999998E-3</v>
      </c>
      <c r="C403">
        <v>2.7499999999999998E-3</v>
      </c>
      <c r="D403">
        <v>2.5000000000000001E-3</v>
      </c>
      <c r="E403">
        <v>2.5926999999999999E-3</v>
      </c>
      <c r="F403">
        <v>115557670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-0.25840000000000085</v>
      </c>
      <c r="Q403">
        <f t="shared" si="975"/>
        <v>-29860101.9280001</v>
      </c>
      <c r="R403">
        <f t="shared" si="976"/>
        <v>-10331914694.053427</v>
      </c>
      <c r="S403">
        <f t="shared" si="977"/>
        <v>-103319.14694053427</v>
      </c>
      <c r="T403">
        <f t="shared" si="978"/>
        <v>-103.31914694053427</v>
      </c>
    </row>
    <row r="404" spans="1:20" x14ac:dyDescent="0.25">
      <c r="A404" s="5">
        <v>44189</v>
      </c>
      <c r="B404">
        <v>2.4599999999999999E-3</v>
      </c>
      <c r="C404">
        <v>2.7496999999999999E-3</v>
      </c>
      <c r="D404">
        <v>2.2859999999999998E-3</v>
      </c>
      <c r="E404">
        <v>2.6678000000000001E-3</v>
      </c>
      <c r="F404">
        <v>121936237</v>
      </c>
      <c r="G404">
        <v>0</v>
      </c>
      <c r="L404" t="s">
        <v>7</v>
      </c>
      <c r="M404" t="s">
        <v>8</v>
      </c>
      <c r="N404" t="s">
        <v>7</v>
      </c>
      <c r="P404">
        <f t="shared" si="974"/>
        <v>0.6467543670476612</v>
      </c>
      <c r="Q404">
        <f t="shared" si="975"/>
        <v>78862793.781108603</v>
      </c>
      <c r="R404">
        <f t="shared" si="976"/>
        <v>-10302054592.125427</v>
      </c>
      <c r="S404">
        <f t="shared" si="977"/>
        <v>-103020.54592125428</v>
      </c>
      <c r="T404">
        <f t="shared" si="978"/>
        <v>-103.02054592125428</v>
      </c>
    </row>
    <row r="405" spans="1:20" x14ac:dyDescent="0.25">
      <c r="A405" s="5">
        <v>44188</v>
      </c>
      <c r="B405">
        <v>3.2826999999999999E-3</v>
      </c>
      <c r="C405">
        <v>3.3E-3</v>
      </c>
      <c r="D405">
        <v>2.3203E-3</v>
      </c>
      <c r="E405">
        <v>2.4591000000000001E-3</v>
      </c>
      <c r="F405">
        <v>273642910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-0.7166479534551391</v>
      </c>
      <c r="Q405">
        <f t="shared" si="975"/>
        <v>-196105631.42900881</v>
      </c>
      <c r="R405">
        <f t="shared" si="976"/>
        <v>-10380917385.906536</v>
      </c>
      <c r="S405">
        <f t="shared" si="977"/>
        <v>-103809.17385906535</v>
      </c>
      <c r="T405">
        <f t="shared" si="978"/>
        <v>-103.80917385906535</v>
      </c>
    </row>
    <row r="406" spans="1:20" x14ac:dyDescent="0.25">
      <c r="A406" s="5">
        <v>44187</v>
      </c>
      <c r="B406">
        <v>2.9291E-3</v>
      </c>
      <c r="C406">
        <v>3.3E-3</v>
      </c>
      <c r="D406">
        <v>2.7950000000000002E-3</v>
      </c>
      <c r="E406">
        <v>3.2823000000000001E-3</v>
      </c>
      <c r="F406">
        <v>104082466</v>
      </c>
      <c r="G406">
        <v>0</v>
      </c>
      <c r="L406" t="s">
        <v>8</v>
      </c>
      <c r="M406" t="s">
        <v>7</v>
      </c>
      <c r="N406" t="s">
        <v>8</v>
      </c>
      <c r="P406">
        <f t="shared" si="974"/>
        <v>0.9299009900990105</v>
      </c>
      <c r="Q406">
        <f t="shared" si="975"/>
        <v>96786388.185346603</v>
      </c>
      <c r="R406">
        <f t="shared" si="976"/>
        <v>-10184811754.477528</v>
      </c>
      <c r="S406">
        <f t="shared" si="977"/>
        <v>-101848.11754477528</v>
      </c>
      <c r="T406">
        <f t="shared" si="978"/>
        <v>-101.84811754477528</v>
      </c>
    </row>
    <row r="407" spans="1:20" x14ac:dyDescent="0.25">
      <c r="A407" s="5">
        <v>44186</v>
      </c>
      <c r="B407">
        <v>3.1606E-3</v>
      </c>
      <c r="C407">
        <v>3.3435000000000001E-3</v>
      </c>
      <c r="D407">
        <v>2.7699999999999999E-3</v>
      </c>
      <c r="E407">
        <v>2.9240999999999998E-3</v>
      </c>
      <c r="F407">
        <v>154568029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-0.46259808195292124</v>
      </c>
      <c r="Q407">
        <f t="shared" si="975"/>
        <v>-71502873.746643513</v>
      </c>
      <c r="R407">
        <f t="shared" si="976"/>
        <v>-10281598142.662874</v>
      </c>
      <c r="S407">
        <f t="shared" si="977"/>
        <v>-102815.98142662874</v>
      </c>
      <c r="T407">
        <f t="shared" si="978"/>
        <v>-102.81598142662874</v>
      </c>
    </row>
    <row r="408" spans="1:20" x14ac:dyDescent="0.25">
      <c r="A408" s="5">
        <v>44185</v>
      </c>
      <c r="B408">
        <v>2.9694000000000001E-3</v>
      </c>
      <c r="C408">
        <v>3.6487999999999998E-3</v>
      </c>
      <c r="D408">
        <v>2.9001000000000001E-3</v>
      </c>
      <c r="E408">
        <v>3.1606E-3</v>
      </c>
      <c r="F408">
        <v>342184293</v>
      </c>
      <c r="G408">
        <v>0</v>
      </c>
      <c r="L408" t="s">
        <v>8</v>
      </c>
      <c r="M408" t="s">
        <v>8</v>
      </c>
      <c r="N408" t="s">
        <v>8</v>
      </c>
      <c r="P408">
        <f t="shared" si="974"/>
        <v>-0.30412715373313748</v>
      </c>
      <c r="Q408">
        <f t="shared" si="975"/>
        <v>-104067535.08227596</v>
      </c>
      <c r="R408">
        <f t="shared" si="976"/>
        <v>-10210095268.916231</v>
      </c>
      <c r="S408">
        <f t="shared" si="977"/>
        <v>-102100.95268916231</v>
      </c>
      <c r="T408">
        <f t="shared" si="978"/>
        <v>-102.10095268916231</v>
      </c>
    </row>
    <row r="409" spans="1:20" x14ac:dyDescent="0.25">
      <c r="A409" s="5">
        <v>44184</v>
      </c>
      <c r="B409">
        <v>3.0385E-3</v>
      </c>
      <c r="C409">
        <v>3.0503000000000001E-3</v>
      </c>
      <c r="D409">
        <v>2.8643000000000002E-3</v>
      </c>
      <c r="E409">
        <v>2.9694000000000001E-3</v>
      </c>
      <c r="F409">
        <v>84236495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0.13010752688171953</v>
      </c>
      <c r="Q409">
        <f t="shared" si="975"/>
        <v>10959802.037634334</v>
      </c>
      <c r="R409">
        <f t="shared" si="976"/>
        <v>-10106027733.833956</v>
      </c>
      <c r="S409">
        <f t="shared" si="977"/>
        <v>-101060.27733833955</v>
      </c>
      <c r="T409">
        <f t="shared" si="978"/>
        <v>-101.06027733833956</v>
      </c>
    </row>
    <row r="410" spans="1:20" x14ac:dyDescent="0.25">
      <c r="A410" s="5">
        <v>44183</v>
      </c>
      <c r="B410">
        <v>2.9093999999999999E-3</v>
      </c>
      <c r="C410">
        <v>3.0801000000000001E-3</v>
      </c>
      <c r="D410">
        <v>2.8251000000000001E-3</v>
      </c>
      <c r="E410">
        <v>3.0466E-3</v>
      </c>
      <c r="F410">
        <v>109794684</v>
      </c>
      <c r="G410">
        <v>0</v>
      </c>
      <c r="L410" t="s">
        <v>7</v>
      </c>
      <c r="M410" t="s">
        <v>8</v>
      </c>
      <c r="N410" t="s">
        <v>8</v>
      </c>
      <c r="P410">
        <f t="shared" si="974"/>
        <v>0.73725490196078347</v>
      </c>
      <c r="Q410">
        <f t="shared" si="975"/>
        <v>80946668.988235205</v>
      </c>
      <c r="R410">
        <f t="shared" si="976"/>
        <v>-10116987535.87159</v>
      </c>
      <c r="S410">
        <f t="shared" si="977"/>
        <v>-101169.8753587159</v>
      </c>
      <c r="T410">
        <f t="shared" si="978"/>
        <v>-101.1698753587159</v>
      </c>
    </row>
    <row r="411" spans="1:20" x14ac:dyDescent="0.25">
      <c r="A411" s="5">
        <v>44182</v>
      </c>
      <c r="B411">
        <v>3.0116000000000001E-3</v>
      </c>
      <c r="C411">
        <v>3.0899999999999999E-3</v>
      </c>
      <c r="D411">
        <v>2.8349999999999998E-3</v>
      </c>
      <c r="E411">
        <v>2.9093999999999999E-3</v>
      </c>
      <c r="F411">
        <v>162244078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-0.41647058823529359</v>
      </c>
      <c r="Q411">
        <f t="shared" si="975"/>
        <v>-67569886.602352858</v>
      </c>
      <c r="R411">
        <f t="shared" si="976"/>
        <v>-10197934204.859825</v>
      </c>
      <c r="S411">
        <f t="shared" si="977"/>
        <v>-101979.34204859825</v>
      </c>
      <c r="T411">
        <f t="shared" si="978"/>
        <v>-101.97934204859826</v>
      </c>
    </row>
    <row r="412" spans="1:20" x14ac:dyDescent="0.25">
      <c r="A412" s="5">
        <v>44181</v>
      </c>
      <c r="B412">
        <v>2.8046999999999998E-3</v>
      </c>
      <c r="C412">
        <v>3.0695000000000002E-3</v>
      </c>
      <c r="D412">
        <v>2.7582000000000001E-3</v>
      </c>
      <c r="E412">
        <v>3.0100000000000001E-3</v>
      </c>
      <c r="F412">
        <v>180494392</v>
      </c>
      <c r="G412">
        <v>0</v>
      </c>
      <c r="L412" t="s">
        <v>8</v>
      </c>
      <c r="M412" t="s">
        <v>8</v>
      </c>
      <c r="N412" t="s">
        <v>8</v>
      </c>
      <c r="P412">
        <f t="shared" si="974"/>
        <v>0.61773209123032391</v>
      </c>
      <c r="Q412">
        <f t="shared" si="975"/>
        <v>111497178.22550584</v>
      </c>
      <c r="R412">
        <f t="shared" si="976"/>
        <v>-10130364318.257473</v>
      </c>
      <c r="S412">
        <f t="shared" si="977"/>
        <v>-101303.64318257473</v>
      </c>
      <c r="T412">
        <f t="shared" si="978"/>
        <v>-101.30364318257473</v>
      </c>
    </row>
    <row r="413" spans="1:20" x14ac:dyDescent="0.25">
      <c r="A413" s="5">
        <v>44180</v>
      </c>
      <c r="B413">
        <v>2.7198999999999999E-3</v>
      </c>
      <c r="C413">
        <v>2.8598999999999999E-3</v>
      </c>
      <c r="D413">
        <v>2.6800000000000001E-3</v>
      </c>
      <c r="E413">
        <v>2.8046999999999998E-3</v>
      </c>
      <c r="F413">
        <v>94319219</v>
      </c>
      <c r="G413">
        <v>0</v>
      </c>
      <c r="L413" t="s">
        <v>8</v>
      </c>
      <c r="M413" t="s">
        <v>7</v>
      </c>
      <c r="N413" t="s">
        <v>8</v>
      </c>
      <c r="P413">
        <f t="shared" si="974"/>
        <v>0.38632573652028779</v>
      </c>
      <c r="Q413">
        <f t="shared" si="975"/>
        <v>36437941.748193324</v>
      </c>
      <c r="R413">
        <f t="shared" si="976"/>
        <v>-10241861496.482979</v>
      </c>
      <c r="S413">
        <f t="shared" si="977"/>
        <v>-102418.61496482979</v>
      </c>
      <c r="T413">
        <f t="shared" si="978"/>
        <v>-102.41861496482979</v>
      </c>
    </row>
    <row r="414" spans="1:20" x14ac:dyDescent="0.25">
      <c r="A414" s="5">
        <v>44179</v>
      </c>
      <c r="B414">
        <v>2.7629E-3</v>
      </c>
      <c r="C414">
        <v>2.7899999999999999E-3</v>
      </c>
      <c r="D414">
        <v>2.5893000000000001E-3</v>
      </c>
      <c r="E414">
        <v>2.7198000000000001E-3</v>
      </c>
      <c r="F414">
        <v>54208366</v>
      </c>
      <c r="G414">
        <v>0</v>
      </c>
      <c r="L414" t="s">
        <v>7</v>
      </c>
      <c r="M414" t="s">
        <v>7</v>
      </c>
      <c r="N414" t="s">
        <v>8</v>
      </c>
      <c r="P414">
        <f t="shared" si="974"/>
        <v>0.30044843049327435</v>
      </c>
      <c r="Q414">
        <f t="shared" si="975"/>
        <v>16286818.484304978</v>
      </c>
      <c r="R414">
        <f t="shared" si="976"/>
        <v>-10278299438.231173</v>
      </c>
      <c r="S414">
        <f t="shared" si="977"/>
        <v>-102782.99438231172</v>
      </c>
      <c r="T414">
        <f t="shared" si="978"/>
        <v>-102.78299438231173</v>
      </c>
    </row>
    <row r="415" spans="1:20" x14ac:dyDescent="0.25">
      <c r="A415" s="5">
        <v>44178</v>
      </c>
      <c r="B415">
        <v>2.7548999999999998E-3</v>
      </c>
      <c r="C415">
        <v>2.7986999999999999E-3</v>
      </c>
      <c r="D415">
        <v>2.6963999999999998E-3</v>
      </c>
      <c r="E415">
        <v>2.7410999999999998E-3</v>
      </c>
      <c r="F415">
        <v>69014309</v>
      </c>
      <c r="G415">
        <v>0</v>
      </c>
      <c r="L415" t="s">
        <v>8</v>
      </c>
      <c r="M415" t="s">
        <v>7</v>
      </c>
      <c r="N415" t="s">
        <v>8</v>
      </c>
      <c r="P415">
        <f t="shared" si="974"/>
        <v>-0.12609970674486945</v>
      </c>
      <c r="Q415">
        <f t="shared" si="975"/>
        <v>-8702684.1260998044</v>
      </c>
      <c r="R415">
        <f t="shared" si="976"/>
        <v>-10294586256.715477</v>
      </c>
      <c r="S415">
        <f t="shared" si="977"/>
        <v>-102945.86256715476</v>
      </c>
      <c r="T415">
        <f t="shared" si="978"/>
        <v>-102.94586256715476</v>
      </c>
    </row>
    <row r="416" spans="1:20" x14ac:dyDescent="0.25">
      <c r="A416" s="5">
        <v>44177</v>
      </c>
      <c r="B416">
        <v>2.5850000000000001E-3</v>
      </c>
      <c r="C416">
        <v>2.8570000000000002E-3</v>
      </c>
      <c r="D416">
        <v>2.5782000000000001E-3</v>
      </c>
      <c r="E416">
        <v>2.7466000000000001E-3</v>
      </c>
      <c r="F416">
        <v>57453258</v>
      </c>
      <c r="G416">
        <v>0</v>
      </c>
      <c r="L416" t="s">
        <v>8</v>
      </c>
      <c r="M416" t="s">
        <v>7</v>
      </c>
      <c r="N416" t="s">
        <v>8</v>
      </c>
      <c r="P416">
        <f t="shared" si="974"/>
        <v>0.20803443328550889</v>
      </c>
      <c r="Q416">
        <f t="shared" si="975"/>
        <v>11952255.968436129</v>
      </c>
      <c r="R416">
        <f t="shared" si="976"/>
        <v>-10285883572.589376</v>
      </c>
      <c r="S416">
        <f t="shared" si="977"/>
        <v>-102858.83572589376</v>
      </c>
      <c r="T416">
        <f t="shared" si="978"/>
        <v>-102.85883572589375</v>
      </c>
    </row>
    <row r="417" spans="1:20" x14ac:dyDescent="0.25">
      <c r="A417" s="5">
        <v>44176</v>
      </c>
      <c r="B417">
        <v>2.7201E-3</v>
      </c>
      <c r="C417">
        <v>2.722E-3</v>
      </c>
      <c r="D417">
        <v>2.5000999999999999E-3</v>
      </c>
      <c r="E417">
        <v>2.5998000000000002E-3</v>
      </c>
      <c r="F417">
        <v>88443714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-0.10139702568724426</v>
      </c>
      <c r="Q417">
        <f t="shared" si="975"/>
        <v>-8967929.5403332859</v>
      </c>
      <c r="R417">
        <f t="shared" si="976"/>
        <v>-10297835828.557812</v>
      </c>
      <c r="S417">
        <f t="shared" si="977"/>
        <v>-102978.35828557811</v>
      </c>
      <c r="T417">
        <f t="shared" si="978"/>
        <v>-102.97835828557811</v>
      </c>
    </row>
    <row r="418" spans="1:20" x14ac:dyDescent="0.25">
      <c r="A418" s="5">
        <v>44175</v>
      </c>
      <c r="B418">
        <v>2.8798999999999999E-3</v>
      </c>
      <c r="C418">
        <v>2.8798999999999999E-3</v>
      </c>
      <c r="D418">
        <v>2.6568E-3</v>
      </c>
      <c r="E418">
        <v>2.7314000000000001E-3</v>
      </c>
      <c r="F418">
        <v>30103090</v>
      </c>
      <c r="G418">
        <v>0</v>
      </c>
      <c r="L418" t="s">
        <v>8</v>
      </c>
      <c r="M418" t="s">
        <v>7</v>
      </c>
      <c r="N418" t="s">
        <v>8</v>
      </c>
      <c r="P418">
        <f t="shared" si="974"/>
        <v>-0.33124159569699502</v>
      </c>
      <c r="Q418">
        <f t="shared" si="975"/>
        <v>-9971395.5670102537</v>
      </c>
      <c r="R418">
        <f t="shared" si="976"/>
        <v>-10288867899.017479</v>
      </c>
      <c r="S418">
        <f t="shared" si="977"/>
        <v>-102888.67899017478</v>
      </c>
      <c r="T418">
        <f t="shared" si="978"/>
        <v>-102.88867899017478</v>
      </c>
    </row>
    <row r="419" spans="1:20" x14ac:dyDescent="0.25">
      <c r="A419" s="5">
        <v>44174</v>
      </c>
      <c r="B419">
        <v>2.8890999999999999E-3</v>
      </c>
      <c r="C419">
        <v>2.9334999999999999E-3</v>
      </c>
      <c r="D419">
        <v>2.6172999999999999E-3</v>
      </c>
      <c r="E419">
        <v>2.8798999999999999E-3</v>
      </c>
      <c r="F419">
        <v>54405055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0.66097406704617323</v>
      </c>
      <c r="Q419">
        <f t="shared" si="975"/>
        <v>35960330.471220739</v>
      </c>
      <c r="R419">
        <f t="shared" si="976"/>
        <v>-10278896503.450468</v>
      </c>
      <c r="S419">
        <f t="shared" si="977"/>
        <v>-102788.96503450468</v>
      </c>
      <c r="T419">
        <f t="shared" si="978"/>
        <v>-102.78896503450468</v>
      </c>
    </row>
    <row r="420" spans="1:20" x14ac:dyDescent="0.25">
      <c r="A420" s="5">
        <v>44173</v>
      </c>
      <c r="B420">
        <v>2.895E-3</v>
      </c>
      <c r="C420">
        <v>2.9899000000000002E-3</v>
      </c>
      <c r="D420">
        <v>2.7671000000000002E-3</v>
      </c>
      <c r="E420">
        <v>2.8676999999999999E-3</v>
      </c>
      <c r="F420">
        <v>131132445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-9.694793536804544E-2</v>
      </c>
      <c r="Q420">
        <f t="shared" si="975"/>
        <v>-12713019.802513773</v>
      </c>
      <c r="R420">
        <f t="shared" si="976"/>
        <v>-10314856833.921688</v>
      </c>
      <c r="S420">
        <f t="shared" si="977"/>
        <v>-103148.56833921689</v>
      </c>
      <c r="T420">
        <f t="shared" si="978"/>
        <v>-103.14856833921689</v>
      </c>
    </row>
    <row r="421" spans="1:20" x14ac:dyDescent="0.25">
      <c r="A421" s="5">
        <v>44172</v>
      </c>
      <c r="B421">
        <v>2.9139000000000001E-3</v>
      </c>
      <c r="C421">
        <v>2.9361000000000001E-3</v>
      </c>
      <c r="D421">
        <v>2.8E-3</v>
      </c>
      <c r="E421">
        <v>2.895E-3</v>
      </c>
      <c r="F421">
        <v>92888449</v>
      </c>
      <c r="G421">
        <v>0</v>
      </c>
      <c r="L421" t="s">
        <v>7</v>
      </c>
      <c r="M421" t="s">
        <v>7</v>
      </c>
      <c r="N421" t="s">
        <v>8</v>
      </c>
      <c r="P421">
        <f t="shared" si="974"/>
        <v>0.39603232916972747</v>
      </c>
      <c r="Q421">
        <f t="shared" si="975"/>
        <v>36786828.81043344</v>
      </c>
      <c r="R421">
        <f t="shared" si="976"/>
        <v>-10302143814.119175</v>
      </c>
      <c r="S421">
        <f t="shared" si="977"/>
        <v>-103021.43814119176</v>
      </c>
      <c r="T421">
        <f t="shared" si="978"/>
        <v>-103.02143814119175</v>
      </c>
    </row>
    <row r="422" spans="1:20" x14ac:dyDescent="0.25">
      <c r="A422" s="5">
        <v>44171</v>
      </c>
      <c r="B422">
        <v>2.9367999999999998E-3</v>
      </c>
      <c r="C422">
        <v>2.9524E-3</v>
      </c>
      <c r="D422">
        <v>2.8002999999999999E-3</v>
      </c>
      <c r="E422">
        <v>2.9099999999999998E-3</v>
      </c>
      <c r="F422">
        <v>44630664</v>
      </c>
      <c r="G422">
        <v>0</v>
      </c>
      <c r="L422" t="s">
        <v>7</v>
      </c>
      <c r="M422" t="s">
        <v>7</v>
      </c>
      <c r="N422" t="s">
        <v>8</v>
      </c>
      <c r="P422">
        <f t="shared" si="974"/>
        <v>0.44247205785667132</v>
      </c>
      <c r="Q422">
        <f t="shared" si="975"/>
        <v>19747821.743589658</v>
      </c>
      <c r="R422">
        <f t="shared" si="976"/>
        <v>-10338930642.929609</v>
      </c>
      <c r="S422">
        <f t="shared" si="977"/>
        <v>-103389.30642929609</v>
      </c>
      <c r="T422">
        <f t="shared" si="978"/>
        <v>-103.3893064292961</v>
      </c>
    </row>
    <row r="423" spans="1:20" x14ac:dyDescent="0.25">
      <c r="A423" s="5">
        <v>44170</v>
      </c>
      <c r="B423">
        <v>2.8332000000000001E-3</v>
      </c>
      <c r="C423">
        <v>2.9383E-3</v>
      </c>
      <c r="D423">
        <v>2.8053000000000002E-3</v>
      </c>
      <c r="E423">
        <v>2.9382000000000002E-3</v>
      </c>
      <c r="F423">
        <v>17681286</v>
      </c>
      <c r="G423">
        <v>0</v>
      </c>
      <c r="L423" t="s">
        <v>7</v>
      </c>
      <c r="M423" t="s">
        <v>7</v>
      </c>
      <c r="N423" t="s">
        <v>8</v>
      </c>
      <c r="P423">
        <f t="shared" si="974"/>
        <v>0.99849624060150621</v>
      </c>
      <c r="Q423">
        <f t="shared" si="975"/>
        <v>17654697.600000042</v>
      </c>
      <c r="R423">
        <f t="shared" si="976"/>
        <v>-10358678464.673199</v>
      </c>
      <c r="S423">
        <f t="shared" si="977"/>
        <v>-103586.78464673199</v>
      </c>
      <c r="T423">
        <f t="shared" si="978"/>
        <v>-103.58678464673199</v>
      </c>
    </row>
    <row r="424" spans="1:20" x14ac:dyDescent="0.25">
      <c r="A424" s="5">
        <v>44169</v>
      </c>
      <c r="B424">
        <v>3.0024000000000001E-3</v>
      </c>
      <c r="C424">
        <v>3.0400000000000002E-3</v>
      </c>
      <c r="D424">
        <v>2.8306E-3</v>
      </c>
      <c r="E424">
        <v>2.8332000000000001E-3</v>
      </c>
      <c r="F424">
        <v>43194264</v>
      </c>
      <c r="G424">
        <v>0</v>
      </c>
      <c r="L424" t="s">
        <v>7</v>
      </c>
      <c r="M424" t="s">
        <v>7</v>
      </c>
      <c r="N424" t="s">
        <v>8</v>
      </c>
      <c r="P424">
        <f t="shared" si="974"/>
        <v>-0.9751671442215839</v>
      </c>
      <c r="Q424">
        <f t="shared" si="975"/>
        <v>-42121627.071633168</v>
      </c>
      <c r="R424">
        <f t="shared" si="976"/>
        <v>-10376333162.273199</v>
      </c>
      <c r="S424">
        <f t="shared" si="977"/>
        <v>-103763.33162273199</v>
      </c>
      <c r="T424">
        <f t="shared" si="978"/>
        <v>-103.76333162273198</v>
      </c>
    </row>
    <row r="425" spans="1:20" x14ac:dyDescent="0.25">
      <c r="A425" s="5">
        <v>44168</v>
      </c>
      <c r="B425">
        <v>2.9382000000000002E-3</v>
      </c>
      <c r="C425">
        <v>3.0222000000000001E-3</v>
      </c>
      <c r="D425">
        <v>2.8895000000000001E-3</v>
      </c>
      <c r="E425">
        <v>3.0159000000000002E-3</v>
      </c>
      <c r="F425">
        <v>36763994</v>
      </c>
      <c r="G425">
        <v>0</v>
      </c>
      <c r="L425" t="s">
        <v>8</v>
      </c>
      <c r="M425" t="s">
        <v>7</v>
      </c>
      <c r="N425" t="s">
        <v>8</v>
      </c>
      <c r="P425">
        <f t="shared" si="974"/>
        <v>0.9050489826676732</v>
      </c>
      <c r="Q425">
        <f t="shared" si="975"/>
        <v>33273215.368500441</v>
      </c>
      <c r="R425">
        <f t="shared" si="976"/>
        <v>-10334211535.201567</v>
      </c>
      <c r="S425">
        <f t="shared" si="977"/>
        <v>-103342.11535201567</v>
      </c>
      <c r="T425">
        <f t="shared" si="978"/>
        <v>-103.34211535201567</v>
      </c>
    </row>
    <row r="426" spans="1:20" x14ac:dyDescent="0.25">
      <c r="A426" s="5">
        <v>44167</v>
      </c>
      <c r="B426">
        <v>2.8435999999999999E-3</v>
      </c>
      <c r="C426">
        <v>2.9875000000000001E-3</v>
      </c>
      <c r="D426">
        <v>2.8300000000000001E-3</v>
      </c>
      <c r="E426">
        <v>2.9382000000000002E-3</v>
      </c>
      <c r="F426">
        <v>25905660</v>
      </c>
      <c r="G426">
        <v>0</v>
      </c>
      <c r="L426" t="s">
        <v>7</v>
      </c>
      <c r="M426" t="s">
        <v>7</v>
      </c>
      <c r="N426" t="s">
        <v>8</v>
      </c>
      <c r="P426">
        <f t="shared" si="974"/>
        <v>0.37396825396825495</v>
      </c>
      <c r="Q426">
        <f t="shared" si="975"/>
        <v>9687894.4380952641</v>
      </c>
      <c r="R426">
        <f t="shared" si="976"/>
        <v>-10367484750.570066</v>
      </c>
      <c r="S426">
        <f t="shared" si="977"/>
        <v>-103674.84750570066</v>
      </c>
      <c r="T426">
        <f t="shared" si="978"/>
        <v>-103.67484750570065</v>
      </c>
    </row>
    <row r="427" spans="1:20" x14ac:dyDescent="0.25">
      <c r="A427" s="5">
        <v>44166</v>
      </c>
      <c r="B427">
        <v>3.0365000000000001E-3</v>
      </c>
      <c r="C427">
        <v>3.0999999999999999E-3</v>
      </c>
      <c r="D427">
        <v>2.8002000000000001E-3</v>
      </c>
      <c r="E427">
        <v>2.8495E-3</v>
      </c>
      <c r="F427">
        <v>74135623</v>
      </c>
      <c r="G427">
        <v>0</v>
      </c>
      <c r="L427" t="s">
        <v>7</v>
      </c>
      <c r="M427" t="s">
        <v>7</v>
      </c>
      <c r="N427" t="s">
        <v>8</v>
      </c>
      <c r="P427">
        <f t="shared" si="974"/>
        <v>-0.67111407605070061</v>
      </c>
      <c r="Q427">
        <f t="shared" si="975"/>
        <v>-49753460.132088073</v>
      </c>
      <c r="R427">
        <f t="shared" si="976"/>
        <v>-10377172645.008162</v>
      </c>
      <c r="S427">
        <f t="shared" si="977"/>
        <v>-103771.72645008161</v>
      </c>
      <c r="T427">
        <f t="shared" si="978"/>
        <v>-103.77172645008162</v>
      </c>
    </row>
    <row r="428" spans="1:20" x14ac:dyDescent="0.25">
      <c r="A428" s="5">
        <v>44165</v>
      </c>
      <c r="B428">
        <v>2.7758000000000001E-3</v>
      </c>
      <c r="C428">
        <v>3.1089999999999998E-3</v>
      </c>
      <c r="D428">
        <v>2.751E-3</v>
      </c>
      <c r="E428">
        <v>3.0336E-3</v>
      </c>
      <c r="F428">
        <v>73106556</v>
      </c>
      <c r="G428">
        <v>0</v>
      </c>
      <c r="L428" t="s">
        <v>8</v>
      </c>
      <c r="M428" t="s">
        <v>7</v>
      </c>
      <c r="N428" t="s">
        <v>8</v>
      </c>
      <c r="P428">
        <f t="shared" si="974"/>
        <v>0.57877094972067145</v>
      </c>
      <c r="Q428">
        <f t="shared" si="975"/>
        <v>42311950.846927449</v>
      </c>
      <c r="R428">
        <f t="shared" si="976"/>
        <v>-10327419184.876074</v>
      </c>
      <c r="S428">
        <f t="shared" si="977"/>
        <v>-103274.19184876073</v>
      </c>
      <c r="T428">
        <f t="shared" si="978"/>
        <v>-103.27419184876074</v>
      </c>
    </row>
    <row r="429" spans="1:20" x14ac:dyDescent="0.25">
      <c r="A429" s="5">
        <v>44164</v>
      </c>
      <c r="B429">
        <v>2.8861E-3</v>
      </c>
      <c r="C429">
        <v>2.8974000000000001E-3</v>
      </c>
      <c r="D429">
        <v>2.7304999999999999E-3</v>
      </c>
      <c r="E429">
        <v>2.7886999999999999E-3</v>
      </c>
      <c r="F429">
        <v>34838655</v>
      </c>
      <c r="G429">
        <v>0</v>
      </c>
      <c r="L429" t="s">
        <v>7</v>
      </c>
      <c r="M429" t="s">
        <v>7</v>
      </c>
      <c r="N429" t="s">
        <v>8</v>
      </c>
      <c r="P429">
        <f t="shared" si="974"/>
        <v>-0.30257639304973116</v>
      </c>
      <c r="Q429">
        <f t="shared" si="975"/>
        <v>-10541354.568603981</v>
      </c>
      <c r="R429">
        <f t="shared" si="976"/>
        <v>-10369731135.723001</v>
      </c>
      <c r="S429">
        <f t="shared" si="977"/>
        <v>-103697.31135723002</v>
      </c>
      <c r="T429">
        <f t="shared" si="978"/>
        <v>-103.69731135723002</v>
      </c>
    </row>
    <row r="430" spans="1:20" x14ac:dyDescent="0.25">
      <c r="A430" s="5">
        <v>44163</v>
      </c>
      <c r="B430">
        <v>2.8138999999999998E-3</v>
      </c>
      <c r="C430">
        <v>2.9436000000000002E-3</v>
      </c>
      <c r="D430">
        <v>2.7261E-3</v>
      </c>
      <c r="E430">
        <v>2.8714999999999999E-3</v>
      </c>
      <c r="F430">
        <v>33149152</v>
      </c>
      <c r="G430">
        <v>0</v>
      </c>
      <c r="L430" t="s">
        <v>8</v>
      </c>
      <c r="M430" t="s">
        <v>7</v>
      </c>
      <c r="N430" t="s">
        <v>8</v>
      </c>
      <c r="P430">
        <f t="shared" si="974"/>
        <v>0.33701149425287164</v>
      </c>
      <c r="Q430">
        <f t="shared" si="975"/>
        <v>11171645.248735568</v>
      </c>
      <c r="R430">
        <f t="shared" si="976"/>
        <v>-10359189781.154398</v>
      </c>
      <c r="S430">
        <f t="shared" si="977"/>
        <v>-103591.89781154398</v>
      </c>
      <c r="T430">
        <f t="shared" si="978"/>
        <v>-103.59189781154399</v>
      </c>
    </row>
    <row r="431" spans="1:20" x14ac:dyDescent="0.25">
      <c r="A431" s="5">
        <v>44162</v>
      </c>
      <c r="B431">
        <v>2.8538000000000001E-3</v>
      </c>
      <c r="C431">
        <v>2.8692000000000001E-3</v>
      </c>
      <c r="D431">
        <v>2.7012E-3</v>
      </c>
      <c r="E431">
        <v>2.8283000000000002E-3</v>
      </c>
      <c r="F431">
        <v>35932832</v>
      </c>
      <c r="G431">
        <v>0</v>
      </c>
      <c r="L431" t="s">
        <v>8</v>
      </c>
      <c r="M431" t="s">
        <v>7</v>
      </c>
      <c r="N431" t="s">
        <v>8</v>
      </c>
      <c r="P431">
        <f t="shared" si="974"/>
        <v>0.51309523809523905</v>
      </c>
      <c r="Q431">
        <f t="shared" si="975"/>
        <v>18436964.990476225</v>
      </c>
      <c r="R431">
        <f t="shared" si="976"/>
        <v>-10370361426.403133</v>
      </c>
      <c r="S431">
        <f t="shared" si="977"/>
        <v>-103703.61426403133</v>
      </c>
      <c r="T431">
        <f t="shared" si="978"/>
        <v>-103.70361426403133</v>
      </c>
    </row>
    <row r="432" spans="1:20" x14ac:dyDescent="0.25">
      <c r="A432" s="5">
        <v>44161</v>
      </c>
      <c r="B432">
        <v>3.2396E-3</v>
      </c>
      <c r="C432">
        <v>3.3525999999999999E-3</v>
      </c>
      <c r="D432">
        <v>2.5999999999999999E-3</v>
      </c>
      <c r="E432">
        <v>2.8400000000000001E-3</v>
      </c>
      <c r="F432">
        <v>131921307</v>
      </c>
      <c r="G432">
        <v>0</v>
      </c>
      <c r="L432" t="s">
        <v>7</v>
      </c>
      <c r="M432" t="s">
        <v>7</v>
      </c>
      <c r="N432" t="s">
        <v>8</v>
      </c>
      <c r="P432">
        <f t="shared" si="974"/>
        <v>-0.36221100186021737</v>
      </c>
      <c r="Q432">
        <f t="shared" si="975"/>
        <v>-47783348.775179304</v>
      </c>
      <c r="R432">
        <f t="shared" si="976"/>
        <v>-10388798391.39361</v>
      </c>
      <c r="S432">
        <f t="shared" si="977"/>
        <v>-103887.9839139361</v>
      </c>
      <c r="T432">
        <f t="shared" si="978"/>
        <v>-103.8879839139361</v>
      </c>
    </row>
    <row r="433" spans="1:20" x14ac:dyDescent="0.25">
      <c r="A433" s="5">
        <v>44160</v>
      </c>
      <c r="B433">
        <v>3.2604000000000001E-3</v>
      </c>
      <c r="C433">
        <v>3.4889000000000001E-3</v>
      </c>
      <c r="D433">
        <v>3.1093000000000002E-3</v>
      </c>
      <c r="E433">
        <v>3.2728000000000002E-3</v>
      </c>
      <c r="F433">
        <v>143360612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-0.13856691253951497</v>
      </c>
      <c r="Q433">
        <f t="shared" si="975"/>
        <v>-19865037.384615339</v>
      </c>
      <c r="R433">
        <f t="shared" si="976"/>
        <v>-10341015042.618431</v>
      </c>
      <c r="S433">
        <f t="shared" si="977"/>
        <v>-103410.15042618431</v>
      </c>
      <c r="T433">
        <f t="shared" si="978"/>
        <v>-103.4101504261843</v>
      </c>
    </row>
    <row r="434" spans="1:20" x14ac:dyDescent="0.25">
      <c r="A434" s="5">
        <v>44159</v>
      </c>
      <c r="B434">
        <v>3.0117E-3</v>
      </c>
      <c r="C434">
        <v>3.3865000000000002E-3</v>
      </c>
      <c r="D434">
        <v>2.9572000000000001E-3</v>
      </c>
      <c r="E434">
        <v>3.2601000000000002E-3</v>
      </c>
      <c r="F434">
        <v>203188424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0.41113440484509661</v>
      </c>
      <c r="Q434">
        <f t="shared" si="975"/>
        <v>83537751.772653148</v>
      </c>
      <c r="R434">
        <f t="shared" si="976"/>
        <v>-10321150005.233816</v>
      </c>
      <c r="S434">
        <f t="shared" si="977"/>
        <v>-103211.50005233816</v>
      </c>
      <c r="T434">
        <f t="shared" si="978"/>
        <v>-103.21150005233817</v>
      </c>
    </row>
    <row r="435" spans="1:20" x14ac:dyDescent="0.25">
      <c r="A435" s="5">
        <v>44158</v>
      </c>
      <c r="B435">
        <v>2.8065E-3</v>
      </c>
      <c r="C435">
        <v>3.0400000000000002E-3</v>
      </c>
      <c r="D435">
        <v>2.7834000000000001E-3</v>
      </c>
      <c r="E435">
        <v>3.0121000000000002E-3</v>
      </c>
      <c r="F435">
        <v>102854297</v>
      </c>
      <c r="G435">
        <v>0</v>
      </c>
      <c r="L435" t="s">
        <v>8</v>
      </c>
      <c r="M435" t="s">
        <v>8</v>
      </c>
      <c r="N435" t="s">
        <v>7</v>
      </c>
      <c r="P435">
        <f t="shared" si="974"/>
        <v>0.78254091971940787</v>
      </c>
      <c r="Q435">
        <f t="shared" si="975"/>
        <v>80487696.171473131</v>
      </c>
      <c r="R435">
        <f t="shared" si="976"/>
        <v>-10404687757.00647</v>
      </c>
      <c r="S435">
        <f t="shared" si="977"/>
        <v>-104046.87757006469</v>
      </c>
      <c r="T435">
        <f t="shared" si="978"/>
        <v>-104.04687757006469</v>
      </c>
    </row>
    <row r="436" spans="1:20" x14ac:dyDescent="0.25">
      <c r="A436" s="5">
        <v>44157</v>
      </c>
      <c r="B436">
        <v>2.9004E-3</v>
      </c>
      <c r="C436">
        <v>2.947E-3</v>
      </c>
      <c r="D436">
        <v>2.6698E-3</v>
      </c>
      <c r="E436">
        <v>2.8111E-3</v>
      </c>
      <c r="F436">
        <v>98647313</v>
      </c>
      <c r="G436">
        <v>0</v>
      </c>
      <c r="L436" t="s">
        <v>7</v>
      </c>
      <c r="M436" t="s">
        <v>7</v>
      </c>
      <c r="N436" t="s">
        <v>7</v>
      </c>
      <c r="P436">
        <f t="shared" si="974"/>
        <v>1.9480519480519563E-2</v>
      </c>
      <c r="Q436">
        <f t="shared" si="975"/>
        <v>1921700.9025974108</v>
      </c>
      <c r="R436">
        <f t="shared" si="976"/>
        <v>-10485175453.177942</v>
      </c>
      <c r="S436">
        <f t="shared" si="977"/>
        <v>-104851.75453177943</v>
      </c>
      <c r="T436">
        <f t="shared" si="978"/>
        <v>-104.85175453177943</v>
      </c>
    </row>
    <row r="437" spans="1:20" x14ac:dyDescent="0.25">
      <c r="A437" s="5">
        <v>44156</v>
      </c>
      <c r="B437">
        <v>2.7147E-3</v>
      </c>
      <c r="C437">
        <v>2.947E-3</v>
      </c>
      <c r="D437">
        <v>2.7098000000000001E-3</v>
      </c>
      <c r="E437">
        <v>2.9003000000000002E-3</v>
      </c>
      <c r="F437">
        <v>76702983</v>
      </c>
      <c r="G437">
        <v>0</v>
      </c>
      <c r="L437" t="s">
        <v>8</v>
      </c>
      <c r="M437" t="s">
        <v>7</v>
      </c>
      <c r="N437" t="s">
        <v>7</v>
      </c>
      <c r="P437">
        <f t="shared" si="974"/>
        <v>0.60623946037099663</v>
      </c>
      <c r="Q437">
        <f t="shared" si="975"/>
        <v>46500375.022765726</v>
      </c>
      <c r="R437">
        <f t="shared" si="976"/>
        <v>-10487097154.08054</v>
      </c>
      <c r="S437">
        <f t="shared" si="977"/>
        <v>-104870.9715408054</v>
      </c>
      <c r="T437">
        <f t="shared" si="978"/>
        <v>-104.8709715408054</v>
      </c>
    </row>
    <row r="438" spans="1:20" x14ac:dyDescent="0.25">
      <c r="A438" s="5">
        <v>44155</v>
      </c>
      <c r="B438">
        <v>2.6792999999999999E-3</v>
      </c>
      <c r="C438">
        <v>2.8598999999999999E-3</v>
      </c>
      <c r="D438">
        <v>2.6603E-3</v>
      </c>
      <c r="E438">
        <v>2.6909999999999998E-3</v>
      </c>
      <c r="F438">
        <v>145422622</v>
      </c>
      <c r="G438">
        <v>0</v>
      </c>
      <c r="L438" t="s">
        <v>8</v>
      </c>
      <c r="M438" t="s">
        <v>7</v>
      </c>
      <c r="N438" t="s">
        <v>7</v>
      </c>
      <c r="P438">
        <f t="shared" si="974"/>
        <v>-0.69238476953907968</v>
      </c>
      <c r="Q438">
        <f t="shared" si="975"/>
        <v>-100688408.6192387</v>
      </c>
      <c r="R438">
        <f t="shared" si="976"/>
        <v>-10533597529.103306</v>
      </c>
      <c r="S438">
        <f t="shared" si="977"/>
        <v>-105335.97529103306</v>
      </c>
      <c r="T438">
        <f t="shared" si="978"/>
        <v>-105.33597529103305</v>
      </c>
    </row>
    <row r="439" spans="1:20" x14ac:dyDescent="0.25">
      <c r="A439" s="5">
        <v>44154</v>
      </c>
      <c r="B439">
        <v>2.7529E-3</v>
      </c>
      <c r="C439">
        <v>2.7569000000000001E-3</v>
      </c>
      <c r="D439">
        <v>2.66E-3</v>
      </c>
      <c r="E439">
        <v>2.6962000000000002E-3</v>
      </c>
      <c r="F439">
        <v>32418755</v>
      </c>
      <c r="G439">
        <v>0</v>
      </c>
      <c r="L439" t="s">
        <v>8</v>
      </c>
      <c r="M439" t="s">
        <v>7</v>
      </c>
      <c r="N439" t="s">
        <v>7</v>
      </c>
      <c r="P439">
        <f t="shared" si="974"/>
        <v>-0.25283797729617929</v>
      </c>
      <c r="Q439">
        <f t="shared" si="975"/>
        <v>-8196692.4406603994</v>
      </c>
      <c r="R439">
        <f t="shared" si="976"/>
        <v>-10432909120.484068</v>
      </c>
      <c r="S439">
        <f t="shared" si="977"/>
        <v>-104329.09120484068</v>
      </c>
      <c r="T439">
        <f t="shared" si="978"/>
        <v>-104.32909120484068</v>
      </c>
    </row>
    <row r="440" spans="1:20" x14ac:dyDescent="0.25">
      <c r="A440" s="5">
        <v>44153</v>
      </c>
      <c r="B440">
        <v>2.7017999999999999E-3</v>
      </c>
      <c r="C440">
        <v>2.7564E-3</v>
      </c>
      <c r="D440">
        <v>2.5400000000000002E-3</v>
      </c>
      <c r="E440">
        <v>2.7548999999999998E-3</v>
      </c>
      <c r="F440">
        <v>97334585</v>
      </c>
      <c r="G440">
        <v>0</v>
      </c>
      <c r="L440" t="s">
        <v>7</v>
      </c>
      <c r="M440" t="s">
        <v>7</v>
      </c>
      <c r="N440" t="s">
        <v>7</v>
      </c>
      <c r="P440">
        <f t="shared" si="974"/>
        <v>0.98613678373382441</v>
      </c>
      <c r="Q440">
        <f t="shared" si="975"/>
        <v>95985214.597966552</v>
      </c>
      <c r="R440">
        <f t="shared" si="976"/>
        <v>-10424712428.043407</v>
      </c>
      <c r="S440">
        <f t="shared" si="977"/>
        <v>-104247.12428043407</v>
      </c>
      <c r="T440">
        <f t="shared" si="978"/>
        <v>-104.24712428043408</v>
      </c>
    </row>
    <row r="441" spans="1:20" x14ac:dyDescent="0.25">
      <c r="A441" s="5">
        <v>44152</v>
      </c>
      <c r="B441">
        <v>2.813E-3</v>
      </c>
      <c r="C441">
        <v>2.9049000000000002E-3</v>
      </c>
      <c r="D441">
        <v>2.6954000000000001E-3</v>
      </c>
      <c r="E441">
        <v>2.7019000000000001E-3</v>
      </c>
      <c r="F441">
        <v>78640037</v>
      </c>
      <c r="G441">
        <v>0</v>
      </c>
      <c r="L441" t="s">
        <v>7</v>
      </c>
      <c r="M441" t="s">
        <v>8</v>
      </c>
      <c r="N441" t="s">
        <v>7</v>
      </c>
      <c r="P441">
        <f t="shared" si="974"/>
        <v>-0.93794749403341293</v>
      </c>
      <c r="Q441">
        <f t="shared" si="975"/>
        <v>-73760225.634844869</v>
      </c>
      <c r="R441">
        <f t="shared" si="976"/>
        <v>-10520697642.641375</v>
      </c>
      <c r="S441">
        <f t="shared" si="977"/>
        <v>-105206.97642641375</v>
      </c>
      <c r="T441">
        <f t="shared" si="978"/>
        <v>-105.20697642641375</v>
      </c>
    </row>
    <row r="442" spans="1:20" x14ac:dyDescent="0.25">
      <c r="A442" s="5">
        <v>44151</v>
      </c>
      <c r="B442">
        <v>2.7510999999999998E-3</v>
      </c>
      <c r="C442">
        <v>2.918E-3</v>
      </c>
      <c r="D442">
        <v>2.7076000000000001E-3</v>
      </c>
      <c r="E442">
        <v>2.8297000000000001E-3</v>
      </c>
      <c r="F442">
        <v>37569888</v>
      </c>
      <c r="G442">
        <v>0</v>
      </c>
      <c r="L442" t="s">
        <v>8</v>
      </c>
      <c r="M442" t="s">
        <v>8</v>
      </c>
      <c r="N442" t="s">
        <v>7</v>
      </c>
      <c r="P442">
        <f t="shared" si="974"/>
        <v>0.16064638783269999</v>
      </c>
      <c r="Q442">
        <f t="shared" si="975"/>
        <v>6035466.7984791016</v>
      </c>
      <c r="R442">
        <f t="shared" si="976"/>
        <v>-10446937417.006529</v>
      </c>
      <c r="S442">
        <f t="shared" si="977"/>
        <v>-104469.37417006529</v>
      </c>
      <c r="T442">
        <f t="shared" si="978"/>
        <v>-104.46937417006529</v>
      </c>
    </row>
    <row r="443" spans="1:20" x14ac:dyDescent="0.25">
      <c r="A443" s="5">
        <v>44150</v>
      </c>
      <c r="B443">
        <v>2.8371E-3</v>
      </c>
      <c r="C443">
        <v>2.8392000000000001E-3</v>
      </c>
      <c r="D443">
        <v>2.6367999999999999E-3</v>
      </c>
      <c r="E443">
        <v>2.7526999999999999E-3</v>
      </c>
      <c r="F443">
        <v>27006328</v>
      </c>
      <c r="G443">
        <v>0</v>
      </c>
      <c r="L443" t="s">
        <v>7</v>
      </c>
      <c r="M443" t="s">
        <v>8</v>
      </c>
      <c r="N443" t="s">
        <v>7</v>
      </c>
      <c r="P443">
        <f t="shared" si="974"/>
        <v>0.14525691699604604</v>
      </c>
      <c r="Q443">
        <f t="shared" si="975"/>
        <v>3922855.944663994</v>
      </c>
      <c r="R443">
        <f t="shared" si="976"/>
        <v>-10452972883.805008</v>
      </c>
      <c r="S443">
        <f t="shared" si="977"/>
        <v>-104529.72883805008</v>
      </c>
      <c r="T443">
        <f t="shared" si="978"/>
        <v>-104.52972883805009</v>
      </c>
    </row>
    <row r="444" spans="1:20" x14ac:dyDescent="0.25">
      <c r="A444" s="5">
        <v>44149</v>
      </c>
      <c r="B444">
        <v>2.8652999999999999E-3</v>
      </c>
      <c r="C444">
        <v>2.8709999999999999E-3</v>
      </c>
      <c r="D444">
        <v>2.7499999999999998E-3</v>
      </c>
      <c r="E444">
        <v>2.7881E-3</v>
      </c>
      <c r="F444">
        <v>18704151</v>
      </c>
      <c r="G444">
        <v>0</v>
      </c>
      <c r="L444" t="s">
        <v>8</v>
      </c>
      <c r="M444" t="s">
        <v>8</v>
      </c>
      <c r="N444" t="s">
        <v>7</v>
      </c>
      <c r="P444">
        <f t="shared" si="974"/>
        <v>-0.37024793388429572</v>
      </c>
      <c r="Q444">
        <f t="shared" si="975"/>
        <v>-6925173.2628098838</v>
      </c>
      <c r="R444">
        <f t="shared" si="976"/>
        <v>-10456895739.749672</v>
      </c>
      <c r="S444">
        <f t="shared" si="977"/>
        <v>-104568.95739749672</v>
      </c>
      <c r="T444">
        <f t="shared" si="978"/>
        <v>-104.56895739749672</v>
      </c>
    </row>
    <row r="445" spans="1:20" x14ac:dyDescent="0.25">
      <c r="A445" s="5">
        <v>44148</v>
      </c>
      <c r="B445">
        <v>2.7005000000000002E-3</v>
      </c>
      <c r="C445">
        <v>2.9226999999999999E-3</v>
      </c>
      <c r="D445">
        <v>2.7001E-3</v>
      </c>
      <c r="E445">
        <v>2.8573000000000001E-3</v>
      </c>
      <c r="F445">
        <v>37777146</v>
      </c>
      <c r="G445">
        <v>0</v>
      </c>
      <c r="L445" t="s">
        <v>8</v>
      </c>
      <c r="M445" t="s">
        <v>8</v>
      </c>
      <c r="N445" t="s">
        <v>7</v>
      </c>
      <c r="P445">
        <f t="shared" si="974"/>
        <v>0.41239892183288607</v>
      </c>
      <c r="Q445">
        <f t="shared" si="975"/>
        <v>15579254.280323524</v>
      </c>
      <c r="R445">
        <f t="shared" si="976"/>
        <v>-10449970566.486862</v>
      </c>
      <c r="S445">
        <f t="shared" si="977"/>
        <v>-104499.70566486863</v>
      </c>
      <c r="T445">
        <f t="shared" si="978"/>
        <v>-104.49970566486863</v>
      </c>
    </row>
    <row r="446" spans="1:20" x14ac:dyDescent="0.25">
      <c r="A446" s="5">
        <v>44147</v>
      </c>
      <c r="B446">
        <v>2.9889999999999999E-3</v>
      </c>
      <c r="C446">
        <v>3.0496999999999998E-3</v>
      </c>
      <c r="D446">
        <v>2.7000000000000001E-3</v>
      </c>
      <c r="E446">
        <v>2.7005000000000002E-3</v>
      </c>
      <c r="F446">
        <v>44847754</v>
      </c>
      <c r="G446">
        <v>0</v>
      </c>
      <c r="L446" t="s">
        <v>7</v>
      </c>
      <c r="M446" t="s">
        <v>8</v>
      </c>
      <c r="N446" t="s">
        <v>7</v>
      </c>
      <c r="P446">
        <f t="shared" si="974"/>
        <v>-0.99714040606233878</v>
      </c>
      <c r="Q446">
        <f t="shared" si="975"/>
        <v>-44719507.634543881</v>
      </c>
      <c r="R446">
        <f t="shared" si="976"/>
        <v>-10465549820.767185</v>
      </c>
      <c r="S446">
        <f t="shared" si="977"/>
        <v>-104655.49820767186</v>
      </c>
      <c r="T446">
        <f t="shared" si="978"/>
        <v>-104.65549820767185</v>
      </c>
    </row>
    <row r="447" spans="1:20" x14ac:dyDescent="0.25">
      <c r="A447" s="5">
        <v>44146</v>
      </c>
      <c r="B447">
        <v>2.96E-3</v>
      </c>
      <c r="C447">
        <v>3.0599999999999998E-3</v>
      </c>
      <c r="D447">
        <v>2.8249999999999998E-3</v>
      </c>
      <c r="E447">
        <v>2.9932000000000001E-3</v>
      </c>
      <c r="F447">
        <v>38695844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0.43148936170213037</v>
      </c>
      <c r="Q447">
        <f t="shared" si="975"/>
        <v>16696845.028085211</v>
      </c>
      <c r="R447">
        <f t="shared" si="976"/>
        <v>-10420830313.132641</v>
      </c>
      <c r="S447">
        <f t="shared" si="977"/>
        <v>-104208.30313132641</v>
      </c>
      <c r="T447">
        <f t="shared" si="978"/>
        <v>-104.2083031313264</v>
      </c>
    </row>
    <row r="448" spans="1:20" x14ac:dyDescent="0.25">
      <c r="A448" s="5">
        <v>44145</v>
      </c>
      <c r="B448">
        <v>2.7810999999999999E-3</v>
      </c>
      <c r="C448">
        <v>2.96E-3</v>
      </c>
      <c r="D448">
        <v>2.7239E-3</v>
      </c>
      <c r="E448">
        <v>2.96E-3</v>
      </c>
      <c r="F448">
        <v>57802700</v>
      </c>
      <c r="G448">
        <v>0</v>
      </c>
      <c r="L448" t="s">
        <v>8</v>
      </c>
      <c r="M448" t="s">
        <v>7</v>
      </c>
      <c r="N448" t="s">
        <v>7</v>
      </c>
      <c r="P448">
        <f t="shared" si="974"/>
        <v>1</v>
      </c>
      <c r="Q448">
        <f t="shared" si="975"/>
        <v>57802700</v>
      </c>
      <c r="R448">
        <f t="shared" si="976"/>
        <v>-10437527158.160727</v>
      </c>
      <c r="S448">
        <f t="shared" si="977"/>
        <v>-104375.27158160726</v>
      </c>
      <c r="T448">
        <f t="shared" si="978"/>
        <v>-104.37527158160727</v>
      </c>
    </row>
    <row r="449" spans="1:20" x14ac:dyDescent="0.25">
      <c r="A449" s="5">
        <v>44144</v>
      </c>
      <c r="B449">
        <v>2.8140999999999999E-3</v>
      </c>
      <c r="C449">
        <v>2.8673000000000001E-3</v>
      </c>
      <c r="D449">
        <v>2.6489999999999999E-3</v>
      </c>
      <c r="E449">
        <v>2.7810000000000001E-3</v>
      </c>
      <c r="F449">
        <v>30591989</v>
      </c>
      <c r="G449">
        <v>0</v>
      </c>
      <c r="L449" t="s">
        <v>8</v>
      </c>
      <c r="M449" t="s">
        <v>7</v>
      </c>
      <c r="N449" t="s">
        <v>7</v>
      </c>
      <c r="P449">
        <f t="shared" si="974"/>
        <v>0.20934493815849758</v>
      </c>
      <c r="Q449">
        <f t="shared" si="975"/>
        <v>6404278.045350438</v>
      </c>
      <c r="R449">
        <f t="shared" si="976"/>
        <v>-10495329858.160727</v>
      </c>
      <c r="S449">
        <f t="shared" si="977"/>
        <v>-104953.29858160726</v>
      </c>
      <c r="T449">
        <f t="shared" si="978"/>
        <v>-104.95329858160726</v>
      </c>
    </row>
    <row r="450" spans="1:20" x14ac:dyDescent="0.25">
      <c r="A450" s="5">
        <v>44143</v>
      </c>
      <c r="B450">
        <v>2.6681999999999999E-3</v>
      </c>
      <c r="C450">
        <v>2.8327000000000001E-3</v>
      </c>
      <c r="D450">
        <v>2.6156E-3</v>
      </c>
      <c r="E450">
        <v>2.7951E-3</v>
      </c>
      <c r="F450">
        <v>48732793</v>
      </c>
      <c r="G450">
        <v>0</v>
      </c>
      <c r="L450" t="s">
        <v>8</v>
      </c>
      <c r="M450" t="s">
        <v>7</v>
      </c>
      <c r="N450" t="s">
        <v>7</v>
      </c>
      <c r="P450">
        <f t="shared" si="974"/>
        <v>0.65361584523261129</v>
      </c>
      <c r="Q450">
        <f t="shared" si="975"/>
        <v>31852525.687240884</v>
      </c>
      <c r="R450">
        <f t="shared" si="976"/>
        <v>-10501734136.206078</v>
      </c>
      <c r="S450">
        <f t="shared" si="977"/>
        <v>-105017.34136206078</v>
      </c>
      <c r="T450">
        <f t="shared" si="978"/>
        <v>-105.01734136206078</v>
      </c>
    </row>
    <row r="451" spans="1:20" x14ac:dyDescent="0.25">
      <c r="A451" s="5">
        <v>44142</v>
      </c>
      <c r="B451">
        <v>2.9954999999999999E-3</v>
      </c>
      <c r="C451">
        <v>3.0500000000000002E-3</v>
      </c>
      <c r="D451">
        <v>2.578E-3</v>
      </c>
      <c r="E451">
        <v>2.6805000000000002E-3</v>
      </c>
      <c r="F451">
        <v>106843092</v>
      </c>
      <c r="G451">
        <v>0</v>
      </c>
      <c r="L451" t="s">
        <v>7</v>
      </c>
      <c r="M451" t="s">
        <v>7</v>
      </c>
      <c r="N451" t="s">
        <v>7</v>
      </c>
      <c r="P451">
        <f t="shared" si="974"/>
        <v>-0.56567796610169441</v>
      </c>
      <c r="Q451">
        <f t="shared" si="975"/>
        <v>-60438782.97457622</v>
      </c>
      <c r="R451">
        <f t="shared" si="976"/>
        <v>-10533586661.893318</v>
      </c>
      <c r="S451">
        <f t="shared" si="977"/>
        <v>-105335.86661893319</v>
      </c>
      <c r="T451">
        <f t="shared" si="978"/>
        <v>-105.33586661893318</v>
      </c>
    </row>
    <row r="452" spans="1:20" x14ac:dyDescent="0.25">
      <c r="A452" s="5">
        <v>44141</v>
      </c>
      <c r="B452">
        <v>2.6668E-3</v>
      </c>
      <c r="C452">
        <v>3.0366999999999998E-3</v>
      </c>
      <c r="D452">
        <v>2.6435E-3</v>
      </c>
      <c r="E452">
        <v>2.9954999999999999E-3</v>
      </c>
      <c r="F452">
        <v>115987631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0.79043743641912545</v>
      </c>
      <c r="Q452">
        <f t="shared" si="975"/>
        <v>91680965.703967482</v>
      </c>
      <c r="R452">
        <f t="shared" si="976"/>
        <v>-10473147878.918741</v>
      </c>
      <c r="S452">
        <f t="shared" si="977"/>
        <v>-104731.47878918741</v>
      </c>
      <c r="T452">
        <f t="shared" si="978"/>
        <v>-104.73147878918742</v>
      </c>
    </row>
    <row r="453" spans="1:20" x14ac:dyDescent="0.25">
      <c r="A453" s="5">
        <v>44140</v>
      </c>
      <c r="B453">
        <v>2.4069E-3</v>
      </c>
      <c r="C453">
        <v>2.7360000000000002E-3</v>
      </c>
      <c r="D453">
        <v>2.3119999999999998E-3</v>
      </c>
      <c r="E453">
        <v>2.6432000000000001E-3</v>
      </c>
      <c r="F453">
        <v>76147957</v>
      </c>
      <c r="G453">
        <v>0</v>
      </c>
      <c r="L453" t="s">
        <v>7</v>
      </c>
      <c r="M453" t="s">
        <v>8</v>
      </c>
      <c r="N453" t="s">
        <v>7</v>
      </c>
      <c r="P453">
        <f t="shared" si="974"/>
        <v>0.5622641509433961</v>
      </c>
      <c r="Q453">
        <f t="shared" si="975"/>
        <v>42815266.388679236</v>
      </c>
      <c r="R453">
        <f t="shared" si="976"/>
        <v>-10564828844.622709</v>
      </c>
      <c r="S453">
        <f t="shared" si="977"/>
        <v>-105648.28844622709</v>
      </c>
      <c r="T453">
        <f t="shared" si="978"/>
        <v>-105.64828844622708</v>
      </c>
    </row>
    <row r="454" spans="1:20" x14ac:dyDescent="0.25">
      <c r="A454" s="5">
        <v>44139</v>
      </c>
      <c r="B454">
        <v>2.4053E-3</v>
      </c>
      <c r="C454">
        <v>2.4653000000000001E-3</v>
      </c>
      <c r="D454">
        <v>2.3498999999999998E-3</v>
      </c>
      <c r="E454">
        <v>2.4112000000000001E-3</v>
      </c>
      <c r="F454">
        <v>28364478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6.2391681109186789E-2</v>
      </c>
      <c r="Q454">
        <f t="shared" ref="Q454:Q517" si="980">F454*P454</f>
        <v>1769707.4662045443</v>
      </c>
      <c r="R454">
        <f t="shared" ref="R454:R517" si="981">R455+Q454</f>
        <v>-10607644111.011389</v>
      </c>
      <c r="S454">
        <f t="shared" ref="S454:S517" si="982">R454/100000</f>
        <v>-106076.44111011388</v>
      </c>
      <c r="T454">
        <f t="shared" ref="T454:T517" si="983">S454/1000</f>
        <v>-106.07644111011388</v>
      </c>
    </row>
    <row r="455" spans="1:20" x14ac:dyDescent="0.25">
      <c r="A455" s="5">
        <v>44138</v>
      </c>
      <c r="B455">
        <v>2.5885000000000001E-3</v>
      </c>
      <c r="C455">
        <v>2.6197999999999998E-3</v>
      </c>
      <c r="D455">
        <v>2.3808000000000002E-3</v>
      </c>
      <c r="E455">
        <v>2.4072E-3</v>
      </c>
      <c r="F455">
        <v>28431818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-0.77907949790795139</v>
      </c>
      <c r="Q455">
        <f t="shared" si="980"/>
        <v>-22150646.492050253</v>
      </c>
      <c r="R455">
        <f t="shared" si="981"/>
        <v>-10609413818.477592</v>
      </c>
      <c r="S455">
        <f t="shared" si="982"/>
        <v>-106094.13818477592</v>
      </c>
      <c r="T455">
        <f t="shared" si="983"/>
        <v>-106.09413818477591</v>
      </c>
    </row>
    <row r="456" spans="1:20" x14ac:dyDescent="0.25">
      <c r="A456" s="5">
        <v>44137</v>
      </c>
      <c r="B456">
        <v>2.6404000000000002E-3</v>
      </c>
      <c r="C456">
        <v>2.6852999999999998E-3</v>
      </c>
      <c r="D456">
        <v>2.5466999999999998E-3</v>
      </c>
      <c r="E456">
        <v>2.5934999999999999E-3</v>
      </c>
      <c r="F456">
        <v>28192563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-0.32467532467532395</v>
      </c>
      <c r="Q456">
        <f t="shared" si="980"/>
        <v>-9153429.5454545245</v>
      </c>
      <c r="R456">
        <f t="shared" si="981"/>
        <v>-10587263171.985542</v>
      </c>
      <c r="S456">
        <f t="shared" si="982"/>
        <v>-105872.63171985542</v>
      </c>
      <c r="T456">
        <f t="shared" si="983"/>
        <v>-105.87263171985542</v>
      </c>
    </row>
    <row r="457" spans="1:20" x14ac:dyDescent="0.25">
      <c r="A457" s="5">
        <v>44136</v>
      </c>
      <c r="B457">
        <v>2.6998999999999999E-3</v>
      </c>
      <c r="C457">
        <v>2.8996E-3</v>
      </c>
      <c r="D457">
        <v>2.6286E-3</v>
      </c>
      <c r="E457">
        <v>2.6286E-3</v>
      </c>
      <c r="F457">
        <v>76752512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-1</v>
      </c>
      <c r="Q457">
        <f t="shared" si="980"/>
        <v>-76752512</v>
      </c>
      <c r="R457">
        <f t="shared" si="981"/>
        <v>-10578109742.440088</v>
      </c>
      <c r="S457">
        <f t="shared" si="982"/>
        <v>-105781.09742440088</v>
      </c>
      <c r="T457">
        <f t="shared" si="983"/>
        <v>-105.78109742440088</v>
      </c>
    </row>
    <row r="458" spans="1:20" x14ac:dyDescent="0.25">
      <c r="A458" s="5">
        <v>44135</v>
      </c>
      <c r="B458">
        <v>2.5952000000000002E-3</v>
      </c>
      <c r="C458">
        <v>2.7518999999999998E-3</v>
      </c>
      <c r="D458">
        <v>2.4813999999999999E-3</v>
      </c>
      <c r="E458">
        <v>2.6928E-3</v>
      </c>
      <c r="F458">
        <v>58978419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0.56303142329020417</v>
      </c>
      <c r="Q458">
        <f t="shared" si="980"/>
        <v>33206703.19297602</v>
      </c>
      <c r="R458">
        <f t="shared" si="981"/>
        <v>-10501357230.440088</v>
      </c>
      <c r="S458">
        <f t="shared" si="982"/>
        <v>-105013.57230440088</v>
      </c>
      <c r="T458">
        <f t="shared" si="983"/>
        <v>-105.01357230440088</v>
      </c>
    </row>
    <row r="459" spans="1:20" x14ac:dyDescent="0.25">
      <c r="A459" s="5">
        <v>44134</v>
      </c>
      <c r="B459">
        <v>2.5690000000000001E-3</v>
      </c>
      <c r="C459">
        <v>2.6196000000000001E-3</v>
      </c>
      <c r="D459">
        <v>2.5098E-3</v>
      </c>
      <c r="E459">
        <v>2.6094E-3</v>
      </c>
      <c r="F459">
        <v>18645883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0.81420765027322184</v>
      </c>
      <c r="Q459">
        <f t="shared" si="980"/>
        <v>15181620.584699413</v>
      </c>
      <c r="R459">
        <f t="shared" si="981"/>
        <v>-10534563933.633064</v>
      </c>
      <c r="S459">
        <f t="shared" si="982"/>
        <v>-105345.63933633064</v>
      </c>
      <c r="T459">
        <f t="shared" si="983"/>
        <v>-105.34563933633063</v>
      </c>
    </row>
    <row r="460" spans="1:20" x14ac:dyDescent="0.25">
      <c r="A460" s="5">
        <v>44133</v>
      </c>
      <c r="B460">
        <v>2.5828000000000001E-3</v>
      </c>
      <c r="C460">
        <v>2.6186E-3</v>
      </c>
      <c r="D460">
        <v>2.5311999999999999E-3</v>
      </c>
      <c r="E460">
        <v>2.5617000000000001E-3</v>
      </c>
      <c r="F460">
        <v>27031280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-0.30205949656750292</v>
      </c>
      <c r="Q460">
        <f t="shared" si="980"/>
        <v>-8165054.8283752101</v>
      </c>
      <c r="R460">
        <f t="shared" si="981"/>
        <v>-10549745554.217764</v>
      </c>
      <c r="S460">
        <f t="shared" si="982"/>
        <v>-105497.45554217765</v>
      </c>
      <c r="T460">
        <f t="shared" si="983"/>
        <v>-105.49745554217765</v>
      </c>
    </row>
    <row r="461" spans="1:20" x14ac:dyDescent="0.25">
      <c r="A461" s="5">
        <v>44132</v>
      </c>
      <c r="B461">
        <v>2.7501000000000001E-3</v>
      </c>
      <c r="C461">
        <v>2.7840999999999999E-3</v>
      </c>
      <c r="D461">
        <v>2.5425999999999999E-3</v>
      </c>
      <c r="E461">
        <v>2.5866999999999999E-3</v>
      </c>
      <c r="F461">
        <v>114372084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-0.63478260869565173</v>
      </c>
      <c r="Q461">
        <f t="shared" si="980"/>
        <v>-72601409.843478203</v>
      </c>
      <c r="R461">
        <f t="shared" si="981"/>
        <v>-10541580499.389389</v>
      </c>
      <c r="S461">
        <f t="shared" si="982"/>
        <v>-105415.80499389389</v>
      </c>
      <c r="T461">
        <f t="shared" si="983"/>
        <v>-105.41580499389389</v>
      </c>
    </row>
    <row r="462" spans="1:20" x14ac:dyDescent="0.25">
      <c r="A462" s="5">
        <v>44131</v>
      </c>
      <c r="B462">
        <v>2.6901999999999998E-3</v>
      </c>
      <c r="C462">
        <v>2.8300000000000001E-3</v>
      </c>
      <c r="D462">
        <v>2.6386999999999999E-3</v>
      </c>
      <c r="E462">
        <v>2.7637E-3</v>
      </c>
      <c r="F462">
        <v>49019092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0.30684788290642984</v>
      </c>
      <c r="Q462">
        <f t="shared" si="980"/>
        <v>15041404.602195511</v>
      </c>
      <c r="R462">
        <f t="shared" si="981"/>
        <v>-10468979089.545912</v>
      </c>
      <c r="S462">
        <f t="shared" si="982"/>
        <v>-104689.79089545911</v>
      </c>
      <c r="T462">
        <f t="shared" si="983"/>
        <v>-104.68979089545911</v>
      </c>
    </row>
    <row r="463" spans="1:20" x14ac:dyDescent="0.25">
      <c r="A463" s="5">
        <v>44130</v>
      </c>
      <c r="B463">
        <v>2.8475000000000002E-3</v>
      </c>
      <c r="C463">
        <v>2.9066999999999999E-3</v>
      </c>
      <c r="D463">
        <v>2.6418000000000001E-3</v>
      </c>
      <c r="E463">
        <v>2.7095999999999999E-3</v>
      </c>
      <c r="F463">
        <v>41578259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-0.48810872027180169</v>
      </c>
      <c r="Q463">
        <f t="shared" si="980"/>
        <v>-20294710.791619521</v>
      </c>
      <c r="R463">
        <f t="shared" si="981"/>
        <v>-10484020494.148108</v>
      </c>
      <c r="S463">
        <f t="shared" si="982"/>
        <v>-104840.20494148108</v>
      </c>
      <c r="T463">
        <f t="shared" si="983"/>
        <v>-104.84020494148108</v>
      </c>
    </row>
    <row r="464" spans="1:20" x14ac:dyDescent="0.25">
      <c r="A464" s="5">
        <v>44129</v>
      </c>
      <c r="B464">
        <v>2.9727E-3</v>
      </c>
      <c r="C464">
        <v>2.9773E-3</v>
      </c>
      <c r="D464">
        <v>2.7049999999999999E-3</v>
      </c>
      <c r="E464">
        <v>2.8497000000000001E-3</v>
      </c>
      <c r="F464">
        <v>46935959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6.2798384135146379E-2</v>
      </c>
      <c r="Q464">
        <f t="shared" si="980"/>
        <v>2947502.383033481</v>
      </c>
      <c r="R464">
        <f t="shared" si="981"/>
        <v>-10463725783.356487</v>
      </c>
      <c r="S464">
        <f t="shared" si="982"/>
        <v>-104637.25783356487</v>
      </c>
      <c r="T464">
        <f t="shared" si="983"/>
        <v>-104.63725783356487</v>
      </c>
    </row>
    <row r="465" spans="1:20" x14ac:dyDescent="0.25">
      <c r="A465" s="5">
        <v>44128</v>
      </c>
      <c r="B465">
        <v>2.9811E-3</v>
      </c>
      <c r="C465">
        <v>3.0284000000000001E-3</v>
      </c>
      <c r="D465">
        <v>2.9174000000000001E-3</v>
      </c>
      <c r="E465">
        <v>2.9738E-3</v>
      </c>
      <c r="F465">
        <v>24394874</v>
      </c>
      <c r="G465">
        <v>0</v>
      </c>
      <c r="L465" t="s">
        <v>7</v>
      </c>
      <c r="M465" t="s">
        <v>7</v>
      </c>
      <c r="N465" t="s">
        <v>7</v>
      </c>
      <c r="P465">
        <f t="shared" si="979"/>
        <v>1.6216216216213681E-2</v>
      </c>
      <c r="Q465">
        <f t="shared" si="980"/>
        <v>395592.5513512895</v>
      </c>
      <c r="R465">
        <f t="shared" si="981"/>
        <v>-10466673285.739521</v>
      </c>
      <c r="S465">
        <f t="shared" si="982"/>
        <v>-104666.73285739521</v>
      </c>
      <c r="T465">
        <f t="shared" si="983"/>
        <v>-104.66673285739522</v>
      </c>
    </row>
    <row r="466" spans="1:20" x14ac:dyDescent="0.25">
      <c r="A466" s="5">
        <v>44127</v>
      </c>
      <c r="B466">
        <v>2.9979999999999998E-3</v>
      </c>
      <c r="C466">
        <v>3.0328999999999998E-3</v>
      </c>
      <c r="D466">
        <v>2.9099999999999998E-3</v>
      </c>
      <c r="E466">
        <v>2.9856000000000001E-3</v>
      </c>
      <c r="F466">
        <v>26118009</v>
      </c>
      <c r="G466">
        <v>0</v>
      </c>
      <c r="L466" t="s">
        <v>7</v>
      </c>
      <c r="M466" t="s">
        <v>7</v>
      </c>
      <c r="N466" t="s">
        <v>7</v>
      </c>
      <c r="P466">
        <f t="shared" si="979"/>
        <v>0.23026851098454543</v>
      </c>
      <c r="Q466">
        <f t="shared" si="980"/>
        <v>6014155.0423109559</v>
      </c>
      <c r="R466">
        <f t="shared" si="981"/>
        <v>-10467068878.290873</v>
      </c>
      <c r="S466">
        <f t="shared" si="982"/>
        <v>-104670.68878290872</v>
      </c>
      <c r="T466">
        <f t="shared" si="983"/>
        <v>-104.67068878290873</v>
      </c>
    </row>
    <row r="467" spans="1:20" x14ac:dyDescent="0.25">
      <c r="A467" s="5">
        <v>44126</v>
      </c>
      <c r="B467">
        <v>2.9810000000000001E-3</v>
      </c>
      <c r="C467">
        <v>3.15E-3</v>
      </c>
      <c r="D467">
        <v>2.9445000000000001E-3</v>
      </c>
      <c r="E467">
        <v>2.9838E-3</v>
      </c>
      <c r="F467">
        <v>62582013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-0.61751824817518308</v>
      </c>
      <c r="Q467">
        <f t="shared" si="980"/>
        <v>-38645535.035036534</v>
      </c>
      <c r="R467">
        <f t="shared" si="981"/>
        <v>-10473083033.333183</v>
      </c>
      <c r="S467">
        <f t="shared" si="982"/>
        <v>-104730.83033333183</v>
      </c>
      <c r="T467">
        <f t="shared" si="983"/>
        <v>-104.73083033333184</v>
      </c>
    </row>
    <row r="468" spans="1:20" x14ac:dyDescent="0.25">
      <c r="A468" s="5">
        <v>44125</v>
      </c>
      <c r="B468">
        <v>2.9876999999999998E-3</v>
      </c>
      <c r="C468">
        <v>3.1319999999999998E-3</v>
      </c>
      <c r="D468">
        <v>2.9175E-3</v>
      </c>
      <c r="E468">
        <v>2.9548E-3</v>
      </c>
      <c r="F468">
        <v>100054921</v>
      </c>
      <c r="G468">
        <v>0</v>
      </c>
      <c r="L468" t="s">
        <v>7</v>
      </c>
      <c r="M468" t="s">
        <v>7</v>
      </c>
      <c r="N468" t="s">
        <v>7</v>
      </c>
      <c r="P468">
        <f t="shared" si="979"/>
        <v>-0.65221445221445107</v>
      </c>
      <c r="Q468">
        <f t="shared" si="980"/>
        <v>-65257265.491375178</v>
      </c>
      <c r="R468">
        <f t="shared" si="981"/>
        <v>-10434437498.298147</v>
      </c>
      <c r="S468">
        <f t="shared" si="982"/>
        <v>-104344.37498298148</v>
      </c>
      <c r="T468">
        <f t="shared" si="983"/>
        <v>-104.34437498298148</v>
      </c>
    </row>
    <row r="469" spans="1:20" x14ac:dyDescent="0.25">
      <c r="A469" s="5">
        <v>44124</v>
      </c>
      <c r="B469">
        <v>3.1053999999999999E-3</v>
      </c>
      <c r="C469">
        <v>3.2751999999999998E-3</v>
      </c>
      <c r="D469">
        <v>2.9696000000000002E-3</v>
      </c>
      <c r="E469">
        <v>2.9899000000000002E-3</v>
      </c>
      <c r="F469">
        <v>59347488</v>
      </c>
      <c r="G469">
        <v>0</v>
      </c>
      <c r="L469" t="s">
        <v>8</v>
      </c>
      <c r="M469" t="s">
        <v>7</v>
      </c>
      <c r="N469" t="s">
        <v>7</v>
      </c>
      <c r="P469">
        <f t="shared" si="979"/>
        <v>-0.8671465968586386</v>
      </c>
      <c r="Q469">
        <f t="shared" si="980"/>
        <v>-51462972.251308888</v>
      </c>
      <c r="R469">
        <f t="shared" si="981"/>
        <v>-10369180232.806772</v>
      </c>
      <c r="S469">
        <f t="shared" si="982"/>
        <v>-103691.80232806772</v>
      </c>
      <c r="T469">
        <f t="shared" si="983"/>
        <v>-103.69180232806771</v>
      </c>
    </row>
    <row r="470" spans="1:20" x14ac:dyDescent="0.25">
      <c r="A470" s="5">
        <v>44123</v>
      </c>
      <c r="B470">
        <v>3.1188000000000001E-3</v>
      </c>
      <c r="C470">
        <v>3.2699999999999999E-3</v>
      </c>
      <c r="D470">
        <v>3.1056999999999999E-3</v>
      </c>
      <c r="E470">
        <v>3.1056999999999999E-3</v>
      </c>
      <c r="F470">
        <v>25488701</v>
      </c>
      <c r="G470">
        <v>0</v>
      </c>
      <c r="L470" t="s">
        <v>8</v>
      </c>
      <c r="M470" t="s">
        <v>7</v>
      </c>
      <c r="N470" t="s">
        <v>7</v>
      </c>
      <c r="P470">
        <f t="shared" si="979"/>
        <v>-1</v>
      </c>
      <c r="Q470">
        <f t="shared" si="980"/>
        <v>-25488701</v>
      </c>
      <c r="R470">
        <f t="shared" si="981"/>
        <v>-10317717260.555464</v>
      </c>
      <c r="S470">
        <f t="shared" si="982"/>
        <v>-103177.17260555463</v>
      </c>
      <c r="T470">
        <f t="shared" si="983"/>
        <v>-103.17717260555463</v>
      </c>
    </row>
    <row r="471" spans="1:20" x14ac:dyDescent="0.25">
      <c r="A471" s="5">
        <v>44122</v>
      </c>
      <c r="B471">
        <v>3.1026999999999999E-3</v>
      </c>
      <c r="C471">
        <v>3.1646000000000001E-3</v>
      </c>
      <c r="D471">
        <v>3.0942999999999999E-3</v>
      </c>
      <c r="E471">
        <v>3.1148999999999999E-3</v>
      </c>
      <c r="F471">
        <v>9098839</v>
      </c>
      <c r="G471">
        <v>0</v>
      </c>
      <c r="L471" t="s">
        <v>8</v>
      </c>
      <c r="M471" t="s">
        <v>7</v>
      </c>
      <c r="N471" t="s">
        <v>7</v>
      </c>
      <c r="P471">
        <f t="shared" si="979"/>
        <v>-0.41394025604552154</v>
      </c>
      <c r="Q471">
        <f t="shared" si="980"/>
        <v>-3766375.7453769771</v>
      </c>
      <c r="R471">
        <f t="shared" si="981"/>
        <v>-10292228559.555464</v>
      </c>
      <c r="S471">
        <f t="shared" si="982"/>
        <v>-102922.28559555464</v>
      </c>
      <c r="T471">
        <f t="shared" si="983"/>
        <v>-102.92228559555464</v>
      </c>
    </row>
    <row r="472" spans="1:20" x14ac:dyDescent="0.25">
      <c r="A472" s="5">
        <v>44121</v>
      </c>
      <c r="B472">
        <v>3.124E-3</v>
      </c>
      <c r="C472">
        <v>3.137E-3</v>
      </c>
      <c r="D472">
        <v>3.0710999999999998E-3</v>
      </c>
      <c r="E472">
        <v>3.0986999999999998E-3</v>
      </c>
      <c r="F472">
        <v>6144410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-0.16236722306525289</v>
      </c>
      <c r="Q472">
        <f t="shared" si="980"/>
        <v>-997650.78907437052</v>
      </c>
      <c r="R472">
        <f t="shared" si="981"/>
        <v>-10288462183.810087</v>
      </c>
      <c r="S472">
        <f t="shared" si="982"/>
        <v>-102884.62183810087</v>
      </c>
      <c r="T472">
        <f t="shared" si="983"/>
        <v>-102.88462183810087</v>
      </c>
    </row>
    <row r="473" spans="1:20" x14ac:dyDescent="0.25">
      <c r="A473" s="5">
        <v>44120</v>
      </c>
      <c r="B473">
        <v>3.1605000000000001E-3</v>
      </c>
      <c r="C473">
        <v>3.2477000000000001E-3</v>
      </c>
      <c r="D473">
        <v>2.9209000000000001E-3</v>
      </c>
      <c r="E473">
        <v>3.0929999999999998E-3</v>
      </c>
      <c r="F473">
        <v>42173776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5.3243574051405909E-2</v>
      </c>
      <c r="Q473">
        <f t="shared" si="980"/>
        <v>2245482.5654834053</v>
      </c>
      <c r="R473">
        <f t="shared" si="981"/>
        <v>-10287464533.021013</v>
      </c>
      <c r="S473">
        <f t="shared" si="982"/>
        <v>-102874.64533021013</v>
      </c>
      <c r="T473">
        <f t="shared" si="983"/>
        <v>-102.87464533021013</v>
      </c>
    </row>
    <row r="474" spans="1:20" x14ac:dyDescent="0.25">
      <c r="A474" s="5">
        <v>44119</v>
      </c>
      <c r="B474">
        <v>3.3999E-3</v>
      </c>
      <c r="C474">
        <v>3.4199999999999999E-3</v>
      </c>
      <c r="D474">
        <v>3.1400999999999998E-3</v>
      </c>
      <c r="E474">
        <v>3.1806E-3</v>
      </c>
      <c r="F474">
        <v>72292414</v>
      </c>
      <c r="G474">
        <v>0</v>
      </c>
      <c r="L474" t="s">
        <v>7</v>
      </c>
      <c r="M474" t="s">
        <v>8</v>
      </c>
      <c r="N474" t="s">
        <v>7</v>
      </c>
      <c r="P474">
        <f t="shared" si="979"/>
        <v>-0.71061093247588303</v>
      </c>
      <c r="Q474">
        <f t="shared" si="980"/>
        <v>-51371779.72347258</v>
      </c>
      <c r="R474">
        <f t="shared" si="981"/>
        <v>-10289710015.586496</v>
      </c>
      <c r="S474">
        <f t="shared" si="982"/>
        <v>-102897.10015586496</v>
      </c>
      <c r="T474">
        <f t="shared" si="983"/>
        <v>-102.89710015586496</v>
      </c>
    </row>
    <row r="475" spans="1:20" x14ac:dyDescent="0.25">
      <c r="A475" s="5">
        <v>44118</v>
      </c>
      <c r="B475">
        <v>3.2694999999999998E-3</v>
      </c>
      <c r="C475">
        <v>3.5498999999999999E-3</v>
      </c>
      <c r="D475">
        <v>3.2499999999999999E-3</v>
      </c>
      <c r="E475">
        <v>3.4083E-3</v>
      </c>
      <c r="F475">
        <v>110704293</v>
      </c>
      <c r="G475">
        <v>0</v>
      </c>
      <c r="L475" t="s">
        <v>8</v>
      </c>
      <c r="M475" t="s">
        <v>8</v>
      </c>
      <c r="N475" t="s">
        <v>7</v>
      </c>
      <c r="P475">
        <f t="shared" si="979"/>
        <v>5.568522840947026E-2</v>
      </c>
      <c r="Q475">
        <f t="shared" si="980"/>
        <v>6164593.8416139195</v>
      </c>
      <c r="R475">
        <f t="shared" si="981"/>
        <v>-10238338235.863024</v>
      </c>
      <c r="S475">
        <f t="shared" si="982"/>
        <v>-102383.38235863023</v>
      </c>
      <c r="T475">
        <f t="shared" si="983"/>
        <v>-102.38338235863023</v>
      </c>
    </row>
    <row r="476" spans="1:20" x14ac:dyDescent="0.25">
      <c r="A476" s="5">
        <v>44117</v>
      </c>
      <c r="B476">
        <v>3.2540999999999998E-3</v>
      </c>
      <c r="C476">
        <v>3.2718999999999999E-3</v>
      </c>
      <c r="D476">
        <v>3.1218999999999999E-3</v>
      </c>
      <c r="E476">
        <v>3.2701000000000002E-3</v>
      </c>
      <c r="F476">
        <v>34594614</v>
      </c>
      <c r="G476">
        <v>0</v>
      </c>
      <c r="L476" t="s">
        <v>8</v>
      </c>
      <c r="M476" t="s">
        <v>8</v>
      </c>
      <c r="N476" t="s">
        <v>7</v>
      </c>
      <c r="P476">
        <f t="shared" si="979"/>
        <v>0.97600000000000375</v>
      </c>
      <c r="Q476">
        <f t="shared" si="980"/>
        <v>33764343.264000133</v>
      </c>
      <c r="R476">
        <f t="shared" si="981"/>
        <v>-10244502829.704638</v>
      </c>
      <c r="S476">
        <f t="shared" si="982"/>
        <v>-102445.02829704637</v>
      </c>
      <c r="T476">
        <f t="shared" si="983"/>
        <v>-102.44502829704638</v>
      </c>
    </row>
    <row r="477" spans="1:20" x14ac:dyDescent="0.25">
      <c r="A477" s="5">
        <v>44116</v>
      </c>
      <c r="B477">
        <v>3.1844E-3</v>
      </c>
      <c r="C477">
        <v>3.3056000000000001E-3</v>
      </c>
      <c r="D477">
        <v>3.1226000000000001E-3</v>
      </c>
      <c r="E477">
        <v>3.2528000000000001E-3</v>
      </c>
      <c r="F477">
        <v>53745875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0.42295081967213133</v>
      </c>
      <c r="Q477">
        <f t="shared" si="980"/>
        <v>22731861.885245912</v>
      </c>
      <c r="R477">
        <f t="shared" si="981"/>
        <v>-10278267172.968637</v>
      </c>
      <c r="S477">
        <f t="shared" si="982"/>
        <v>-102782.67172968638</v>
      </c>
      <c r="T477">
        <f t="shared" si="983"/>
        <v>-102.78267172968638</v>
      </c>
    </row>
    <row r="478" spans="1:20" x14ac:dyDescent="0.25">
      <c r="A478" s="5">
        <v>44115</v>
      </c>
      <c r="B478">
        <v>3.1575000000000002E-3</v>
      </c>
      <c r="C478">
        <v>3.2496999999999999E-3</v>
      </c>
      <c r="D478">
        <v>3.0929999999999998E-3</v>
      </c>
      <c r="E478">
        <v>3.2031E-3</v>
      </c>
      <c r="F478">
        <v>38422077</v>
      </c>
      <c r="G478">
        <v>0</v>
      </c>
      <c r="L478" t="s">
        <v>8</v>
      </c>
      <c r="M478" t="s">
        <v>8</v>
      </c>
      <c r="N478" t="s">
        <v>7</v>
      </c>
      <c r="P478">
        <f t="shared" si="979"/>
        <v>0.40523292916400866</v>
      </c>
      <c r="Q478">
        <f t="shared" si="980"/>
        <v>15569890.807275087</v>
      </c>
      <c r="R478">
        <f t="shared" si="981"/>
        <v>-10300999034.853884</v>
      </c>
      <c r="S478">
        <f t="shared" si="982"/>
        <v>-103009.99034853883</v>
      </c>
      <c r="T478">
        <f t="shared" si="983"/>
        <v>-103.00999034853884</v>
      </c>
    </row>
    <row r="479" spans="1:20" x14ac:dyDescent="0.25">
      <c r="A479" s="5">
        <v>44114</v>
      </c>
      <c r="B479">
        <v>3.2222000000000002E-3</v>
      </c>
      <c r="C479">
        <v>3.3110000000000001E-3</v>
      </c>
      <c r="D479">
        <v>3.0599999999999998E-3</v>
      </c>
      <c r="E479">
        <v>3.1687E-3</v>
      </c>
      <c r="F479">
        <v>40591732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-0.13386454183266894</v>
      </c>
      <c r="Q479">
        <f t="shared" si="980"/>
        <v>-5433793.6063744863</v>
      </c>
      <c r="R479">
        <f t="shared" si="981"/>
        <v>-10316568925.66116</v>
      </c>
      <c r="S479">
        <f t="shared" si="982"/>
        <v>-103165.6892566116</v>
      </c>
      <c r="T479">
        <f t="shared" si="983"/>
        <v>-103.1656892566116</v>
      </c>
    </row>
    <row r="480" spans="1:20" x14ac:dyDescent="0.25">
      <c r="A480" s="5">
        <v>44113</v>
      </c>
      <c r="B480">
        <v>2.9499999999999999E-3</v>
      </c>
      <c r="C480">
        <v>3.2469999999999999E-3</v>
      </c>
      <c r="D480">
        <v>2.9250000000000001E-3</v>
      </c>
      <c r="E480">
        <v>3.2220999999999999E-3</v>
      </c>
      <c r="F480">
        <v>43395028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0.84534161490683213</v>
      </c>
      <c r="Q480">
        <f t="shared" si="980"/>
        <v>36683623.048447199</v>
      </c>
      <c r="R480">
        <f t="shared" si="981"/>
        <v>-10311135132.054785</v>
      </c>
      <c r="S480">
        <f t="shared" si="982"/>
        <v>-103111.35132054785</v>
      </c>
      <c r="T480">
        <f t="shared" si="983"/>
        <v>-103.11135132054785</v>
      </c>
    </row>
    <row r="481" spans="1:20" x14ac:dyDescent="0.25">
      <c r="A481" s="5">
        <v>44112</v>
      </c>
      <c r="B481">
        <v>2.8823999999999998E-3</v>
      </c>
      <c r="C481">
        <v>2.9623000000000002E-3</v>
      </c>
      <c r="D481">
        <v>2.7376000000000002E-3</v>
      </c>
      <c r="E481">
        <v>2.9618999999999999E-3</v>
      </c>
      <c r="F481">
        <v>28490626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0.99643969737427485</v>
      </c>
      <c r="Q481">
        <f t="shared" si="980"/>
        <v>28389190.749443647</v>
      </c>
      <c r="R481">
        <f t="shared" si="981"/>
        <v>-10347818755.103231</v>
      </c>
      <c r="S481">
        <f t="shared" si="982"/>
        <v>-103478.18755103232</v>
      </c>
      <c r="T481">
        <f t="shared" si="983"/>
        <v>-103.47818755103232</v>
      </c>
    </row>
    <row r="482" spans="1:20" x14ac:dyDescent="0.25">
      <c r="A482" s="5">
        <v>44111</v>
      </c>
      <c r="B482">
        <v>2.8023000000000002E-3</v>
      </c>
      <c r="C482">
        <v>2.8836999999999999E-3</v>
      </c>
      <c r="D482">
        <v>2.6570000000000001E-3</v>
      </c>
      <c r="E482">
        <v>2.8777E-3</v>
      </c>
      <c r="F482">
        <v>40844447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0.94706660785178709</v>
      </c>
      <c r="Q482">
        <f t="shared" si="980"/>
        <v>38682411.869872101</v>
      </c>
      <c r="R482">
        <f t="shared" si="981"/>
        <v>-10376207945.852674</v>
      </c>
      <c r="S482">
        <f t="shared" si="982"/>
        <v>-103762.07945852674</v>
      </c>
      <c r="T482">
        <f t="shared" si="983"/>
        <v>-103.76207945852674</v>
      </c>
    </row>
    <row r="483" spans="1:20" x14ac:dyDescent="0.25">
      <c r="A483" s="5">
        <v>44110</v>
      </c>
      <c r="B483">
        <v>2.9304000000000001E-3</v>
      </c>
      <c r="C483">
        <v>3.0119000000000001E-3</v>
      </c>
      <c r="D483">
        <v>2.7266999999999999E-3</v>
      </c>
      <c r="E483">
        <v>2.8023000000000002E-3</v>
      </c>
      <c r="F483">
        <v>54574252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-0.46984572230013838</v>
      </c>
      <c r="Q483">
        <f t="shared" si="980"/>
        <v>-25641478.849929772</v>
      </c>
      <c r="R483">
        <f t="shared" si="981"/>
        <v>-10414890357.722548</v>
      </c>
      <c r="S483">
        <f t="shared" si="982"/>
        <v>-104148.90357722547</v>
      </c>
      <c r="T483">
        <f t="shared" si="983"/>
        <v>-104.14890357722547</v>
      </c>
    </row>
    <row r="484" spans="1:20" x14ac:dyDescent="0.25">
      <c r="A484" s="5">
        <v>44109</v>
      </c>
      <c r="B484">
        <v>2.9470999999999998E-3</v>
      </c>
      <c r="C484">
        <v>3.0025999999999998E-3</v>
      </c>
      <c r="D484">
        <v>2.8828E-3</v>
      </c>
      <c r="E484">
        <v>2.9209000000000001E-3</v>
      </c>
      <c r="F484">
        <v>33961773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-0.36393989983305197</v>
      </c>
      <c r="Q484">
        <f t="shared" si="980"/>
        <v>-12360044.263772849</v>
      </c>
      <c r="R484">
        <f t="shared" si="981"/>
        <v>-10389248878.872618</v>
      </c>
      <c r="S484">
        <f t="shared" si="982"/>
        <v>-103892.48878872617</v>
      </c>
      <c r="T484">
        <f t="shared" si="983"/>
        <v>-103.89248878872617</v>
      </c>
    </row>
    <row r="485" spans="1:20" x14ac:dyDescent="0.25">
      <c r="A485" s="5">
        <v>44108</v>
      </c>
      <c r="B485">
        <v>2.98E-3</v>
      </c>
      <c r="C485">
        <v>3.0278000000000002E-3</v>
      </c>
      <c r="D485">
        <v>2.8847E-3</v>
      </c>
      <c r="E485">
        <v>2.9443999999999998E-3</v>
      </c>
      <c r="F485">
        <v>25476283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-0.16561844863732078</v>
      </c>
      <c r="Q485">
        <f t="shared" si="980"/>
        <v>-4219342.4675053488</v>
      </c>
      <c r="R485">
        <f t="shared" si="981"/>
        <v>-10376888834.608845</v>
      </c>
      <c r="S485">
        <f t="shared" si="982"/>
        <v>-103768.88834608845</v>
      </c>
      <c r="T485">
        <f t="shared" si="983"/>
        <v>-103.76888834608846</v>
      </c>
    </row>
    <row r="486" spans="1:20" x14ac:dyDescent="0.25">
      <c r="A486" s="5">
        <v>44107</v>
      </c>
      <c r="B486">
        <v>2.9615000000000002E-3</v>
      </c>
      <c r="C486">
        <v>3.0438000000000002E-3</v>
      </c>
      <c r="D486">
        <v>2.9580000000000001E-3</v>
      </c>
      <c r="E486">
        <v>2.9889999999999999E-3</v>
      </c>
      <c r="F486">
        <v>15400019</v>
      </c>
      <c r="G486">
        <v>0</v>
      </c>
      <c r="L486" t="s">
        <v>7</v>
      </c>
      <c r="M486" t="s">
        <v>7</v>
      </c>
      <c r="N486" t="s">
        <v>7</v>
      </c>
      <c r="P486">
        <f t="shared" si="979"/>
        <v>-0.27738927738928276</v>
      </c>
      <c r="Q486">
        <f t="shared" si="980"/>
        <v>-4271800.1421912247</v>
      </c>
      <c r="R486">
        <f t="shared" si="981"/>
        <v>-10372669492.14134</v>
      </c>
      <c r="S486">
        <f t="shared" si="982"/>
        <v>-103726.69492141341</v>
      </c>
      <c r="T486">
        <f t="shared" si="983"/>
        <v>-103.72669492141341</v>
      </c>
    </row>
    <row r="487" spans="1:20" x14ac:dyDescent="0.25">
      <c r="A487" s="5">
        <v>44106</v>
      </c>
      <c r="B487">
        <v>3.2290999999999999E-3</v>
      </c>
      <c r="C487">
        <v>3.3509E-3</v>
      </c>
      <c r="D487">
        <v>2.9256E-3</v>
      </c>
      <c r="E487">
        <v>2.9600999999999998E-3</v>
      </c>
      <c r="F487">
        <v>92016186</v>
      </c>
      <c r="G487">
        <v>0</v>
      </c>
      <c r="L487" t="s">
        <v>8</v>
      </c>
      <c r="M487" t="s">
        <v>7</v>
      </c>
      <c r="N487" t="s">
        <v>7</v>
      </c>
      <c r="P487">
        <f t="shared" si="979"/>
        <v>-0.83776158006113421</v>
      </c>
      <c r="Q487">
        <f t="shared" si="980"/>
        <v>-77087625.374559224</v>
      </c>
      <c r="R487">
        <f t="shared" si="981"/>
        <v>-10368397691.999149</v>
      </c>
      <c r="S487">
        <f t="shared" si="982"/>
        <v>-103683.97691999149</v>
      </c>
      <c r="T487">
        <f t="shared" si="983"/>
        <v>-103.68397691999149</v>
      </c>
    </row>
    <row r="488" spans="1:20" x14ac:dyDescent="0.25">
      <c r="A488" s="5">
        <v>44105</v>
      </c>
      <c r="B488">
        <v>3.3E-3</v>
      </c>
      <c r="C488">
        <v>3.3595999999999999E-3</v>
      </c>
      <c r="D488">
        <v>2.9451999999999998E-3</v>
      </c>
      <c r="E488">
        <v>3.2390000000000001E-3</v>
      </c>
      <c r="F488">
        <v>82498872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0.41795366795366912</v>
      </c>
      <c r="Q488">
        <f t="shared" si="980"/>
        <v>34480706.154440254</v>
      </c>
      <c r="R488">
        <f t="shared" si="981"/>
        <v>-10291310066.62459</v>
      </c>
      <c r="S488">
        <f t="shared" si="982"/>
        <v>-102913.1006662459</v>
      </c>
      <c r="T488">
        <f t="shared" si="983"/>
        <v>-102.9131006662459</v>
      </c>
    </row>
    <row r="489" spans="1:20" x14ac:dyDescent="0.25">
      <c r="A489" s="5">
        <v>44104</v>
      </c>
      <c r="B489">
        <v>3.3649000000000001E-3</v>
      </c>
      <c r="C489">
        <v>3.4899000000000002E-3</v>
      </c>
      <c r="D489">
        <v>3.2629999999999998E-3</v>
      </c>
      <c r="E489">
        <v>3.3E-3</v>
      </c>
      <c r="F489">
        <v>68482689</v>
      </c>
      <c r="G489">
        <v>0</v>
      </c>
      <c r="L489" t="s">
        <v>8</v>
      </c>
      <c r="M489" t="s">
        <v>8</v>
      </c>
      <c r="N489" t="s">
        <v>7</v>
      </c>
      <c r="P489">
        <f t="shared" si="979"/>
        <v>-0.67386513882767662</v>
      </c>
      <c r="Q489">
        <f t="shared" si="980"/>
        <v>-46148096.730277605</v>
      </c>
      <c r="R489">
        <f t="shared" si="981"/>
        <v>-10325790772.77903</v>
      </c>
      <c r="S489">
        <f t="shared" si="982"/>
        <v>-103257.9077277903</v>
      </c>
      <c r="T489">
        <f t="shared" si="983"/>
        <v>-103.2579077277903</v>
      </c>
    </row>
    <row r="490" spans="1:20" x14ac:dyDescent="0.25">
      <c r="A490" s="5">
        <v>44103</v>
      </c>
      <c r="B490">
        <v>3.1229999999999999E-3</v>
      </c>
      <c r="C490">
        <v>3.4156E-3</v>
      </c>
      <c r="D490">
        <v>3.0955000000000002E-3</v>
      </c>
      <c r="E490">
        <v>3.3649000000000001E-3</v>
      </c>
      <c r="F490">
        <v>106056158</v>
      </c>
      <c r="G490">
        <v>0</v>
      </c>
      <c r="L490" t="s">
        <v>8</v>
      </c>
      <c r="M490" t="s">
        <v>8</v>
      </c>
      <c r="N490" t="s">
        <v>7</v>
      </c>
      <c r="P490">
        <f t="shared" si="979"/>
        <v>0.68322399250234356</v>
      </c>
      <c r="Q490">
        <f t="shared" si="980"/>
        <v>72460111.698219359</v>
      </c>
      <c r="R490">
        <f t="shared" si="981"/>
        <v>-10279642676.048752</v>
      </c>
      <c r="S490">
        <f t="shared" si="982"/>
        <v>-102796.42676048752</v>
      </c>
      <c r="T490">
        <f t="shared" si="983"/>
        <v>-102.79642676048752</v>
      </c>
    </row>
    <row r="491" spans="1:20" x14ac:dyDescent="0.25">
      <c r="A491" s="5">
        <v>44102</v>
      </c>
      <c r="B491">
        <v>3.0920000000000001E-3</v>
      </c>
      <c r="C491">
        <v>3.3335000000000001E-3</v>
      </c>
      <c r="D491">
        <v>3.0604E-3</v>
      </c>
      <c r="E491">
        <v>3.1220000000000002E-3</v>
      </c>
      <c r="F491">
        <v>72038306</v>
      </c>
      <c r="G491">
        <v>0</v>
      </c>
      <c r="L491" t="s">
        <v>8</v>
      </c>
      <c r="M491" t="s">
        <v>8</v>
      </c>
      <c r="N491" t="s">
        <v>7</v>
      </c>
      <c r="P491">
        <f t="shared" si="979"/>
        <v>-0.54888319296960686</v>
      </c>
      <c r="Q491">
        <f t="shared" si="980"/>
        <v>-39540615.413401589</v>
      </c>
      <c r="R491">
        <f t="shared" si="981"/>
        <v>-10352102787.746971</v>
      </c>
      <c r="S491">
        <f t="shared" si="982"/>
        <v>-103521.02787746971</v>
      </c>
      <c r="T491">
        <f t="shared" si="983"/>
        <v>-103.52102787746971</v>
      </c>
    </row>
    <row r="492" spans="1:20" x14ac:dyDescent="0.25">
      <c r="A492" s="5">
        <v>44101</v>
      </c>
      <c r="B492">
        <v>3.0352999999999999E-3</v>
      </c>
      <c r="C492">
        <v>3.1248000000000001E-3</v>
      </c>
      <c r="D492">
        <v>2.9299999999999999E-3</v>
      </c>
      <c r="E492">
        <v>3.0921999999999998E-3</v>
      </c>
      <c r="F492">
        <v>36165677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0.66529774127309838</v>
      </c>
      <c r="Q492">
        <f t="shared" si="980"/>
        <v>24060943.219712444</v>
      </c>
      <c r="R492">
        <f t="shared" si="981"/>
        <v>-10312562172.33357</v>
      </c>
      <c r="S492">
        <f t="shared" si="982"/>
        <v>-103125.6217233357</v>
      </c>
      <c r="T492">
        <f t="shared" si="983"/>
        <v>-103.1256217233357</v>
      </c>
    </row>
    <row r="493" spans="1:20" x14ac:dyDescent="0.25">
      <c r="A493" s="5">
        <v>44100</v>
      </c>
      <c r="B493">
        <v>3.0749000000000002E-3</v>
      </c>
      <c r="C493">
        <v>3.2304E-3</v>
      </c>
      <c r="D493">
        <v>2.9862000000000001E-3</v>
      </c>
      <c r="E493">
        <v>3.0363E-3</v>
      </c>
      <c r="F493">
        <v>85506719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-0.58968058968058989</v>
      </c>
      <c r="Q493">
        <f t="shared" si="980"/>
        <v>-50421652.481572501</v>
      </c>
      <c r="R493">
        <f t="shared" si="981"/>
        <v>-10336623115.553284</v>
      </c>
      <c r="S493">
        <f t="shared" si="982"/>
        <v>-103366.23115553283</v>
      </c>
      <c r="T493">
        <f t="shared" si="983"/>
        <v>-103.36623115553283</v>
      </c>
    </row>
    <row r="494" spans="1:20" x14ac:dyDescent="0.25">
      <c r="A494" s="5">
        <v>44099</v>
      </c>
      <c r="B494">
        <v>2.9199E-3</v>
      </c>
      <c r="C494">
        <v>3.1096000000000001E-3</v>
      </c>
      <c r="D494">
        <v>2.849E-3</v>
      </c>
      <c r="E494">
        <v>3.0482999999999999E-3</v>
      </c>
      <c r="F494">
        <v>81041073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0.52954719877206291</v>
      </c>
      <c r="Q494">
        <f t="shared" si="980"/>
        <v>42915073.192632258</v>
      </c>
      <c r="R494">
        <f t="shared" si="981"/>
        <v>-10286201463.071711</v>
      </c>
      <c r="S494">
        <f t="shared" si="982"/>
        <v>-102862.01463071711</v>
      </c>
      <c r="T494">
        <f t="shared" si="983"/>
        <v>-102.86201463071711</v>
      </c>
    </row>
    <row r="495" spans="1:20" x14ac:dyDescent="0.25">
      <c r="A495" s="5">
        <v>44098</v>
      </c>
      <c r="B495">
        <v>2.6537000000000002E-3</v>
      </c>
      <c r="C495">
        <v>2.9199E-3</v>
      </c>
      <c r="D495">
        <v>2.6535999999999999E-3</v>
      </c>
      <c r="E495">
        <v>2.9199E-3</v>
      </c>
      <c r="F495">
        <v>59354395</v>
      </c>
      <c r="G495">
        <v>0</v>
      </c>
      <c r="L495" t="s">
        <v>7</v>
      </c>
      <c r="M495" t="s">
        <v>7</v>
      </c>
      <c r="N495" t="s">
        <v>7</v>
      </c>
      <c r="P495">
        <f t="shared" si="979"/>
        <v>1</v>
      </c>
      <c r="Q495">
        <f t="shared" si="980"/>
        <v>59354395</v>
      </c>
      <c r="R495">
        <f t="shared" si="981"/>
        <v>-10329116536.264343</v>
      </c>
      <c r="S495">
        <f t="shared" si="982"/>
        <v>-103291.16536264343</v>
      </c>
      <c r="T495">
        <f t="shared" si="983"/>
        <v>-103.29116536264343</v>
      </c>
    </row>
    <row r="496" spans="1:20" x14ac:dyDescent="0.25">
      <c r="A496" s="5">
        <v>44097</v>
      </c>
      <c r="B496">
        <v>2.8544999999999998E-3</v>
      </c>
      <c r="C496">
        <v>2.9632E-3</v>
      </c>
      <c r="D496">
        <v>2.6408E-3</v>
      </c>
      <c r="E496">
        <v>2.6576E-3</v>
      </c>
      <c r="F496">
        <v>74843456</v>
      </c>
      <c r="G496">
        <v>0</v>
      </c>
      <c r="L496" t="s">
        <v>8</v>
      </c>
      <c r="M496" t="s">
        <v>7</v>
      </c>
      <c r="N496" t="s">
        <v>7</v>
      </c>
      <c r="P496">
        <f t="shared" si="979"/>
        <v>-0.89578163771712171</v>
      </c>
      <c r="Q496">
        <f t="shared" si="980"/>
        <v>-67043393.588089339</v>
      </c>
      <c r="R496">
        <f t="shared" si="981"/>
        <v>-10388470931.264343</v>
      </c>
      <c r="S496">
        <f t="shared" si="982"/>
        <v>-103884.70931264343</v>
      </c>
      <c r="T496">
        <f t="shared" si="983"/>
        <v>-103.88470931264344</v>
      </c>
    </row>
    <row r="497" spans="1:20" x14ac:dyDescent="0.25">
      <c r="A497" s="5">
        <v>44096</v>
      </c>
      <c r="B497">
        <v>2.8692000000000001E-3</v>
      </c>
      <c r="C497">
        <v>2.9437E-3</v>
      </c>
      <c r="D497">
        <v>2.7453999999999998E-3</v>
      </c>
      <c r="E497">
        <v>2.8547999999999998E-3</v>
      </c>
      <c r="F497">
        <v>82383126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0.10337871911245418</v>
      </c>
      <c r="Q497">
        <f t="shared" si="980"/>
        <v>8516662.0423599202</v>
      </c>
      <c r="R497">
        <f t="shared" si="981"/>
        <v>-10321427537.676254</v>
      </c>
      <c r="S497">
        <f t="shared" si="982"/>
        <v>-103214.27537676254</v>
      </c>
      <c r="T497">
        <f t="shared" si="983"/>
        <v>-103.21427537676254</v>
      </c>
    </row>
    <row r="498" spans="1:20" x14ac:dyDescent="0.25">
      <c r="A498" s="5">
        <v>44095</v>
      </c>
      <c r="B498">
        <v>3.4976999999999999E-3</v>
      </c>
      <c r="C498">
        <v>3.5769E-3</v>
      </c>
      <c r="D498">
        <v>2.7296999999999998E-3</v>
      </c>
      <c r="E498">
        <v>2.8690999999999999E-3</v>
      </c>
      <c r="F498">
        <v>159596958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-0.6709159584513692</v>
      </c>
      <c r="Q498">
        <f t="shared" si="980"/>
        <v>-107076146.04249291</v>
      </c>
      <c r="R498">
        <f t="shared" si="981"/>
        <v>-10329944199.718615</v>
      </c>
      <c r="S498">
        <f t="shared" si="982"/>
        <v>-103299.44199718615</v>
      </c>
      <c r="T498">
        <f t="shared" si="983"/>
        <v>-103.29944199718615</v>
      </c>
    </row>
    <row r="499" spans="1:20" x14ac:dyDescent="0.25">
      <c r="A499" s="5">
        <v>44094</v>
      </c>
      <c r="B499">
        <v>3.6202000000000001E-3</v>
      </c>
      <c r="C499">
        <v>3.6354E-3</v>
      </c>
      <c r="D499">
        <v>3.4527999999999998E-3</v>
      </c>
      <c r="E499">
        <v>3.5138000000000001E-3</v>
      </c>
      <c r="F499">
        <v>40916268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-0.33187294633077524</v>
      </c>
      <c r="Q499">
        <f t="shared" si="980"/>
        <v>-13579002.414019616</v>
      </c>
      <c r="R499">
        <f t="shared" si="981"/>
        <v>-10222868053.676121</v>
      </c>
      <c r="S499">
        <f t="shared" si="982"/>
        <v>-102228.68053676121</v>
      </c>
      <c r="T499">
        <f t="shared" si="983"/>
        <v>-102.22868053676122</v>
      </c>
    </row>
    <row r="500" spans="1:20" x14ac:dyDescent="0.25">
      <c r="A500" s="5">
        <v>44093</v>
      </c>
      <c r="B500">
        <v>3.5330000000000001E-3</v>
      </c>
      <c r="C500">
        <v>3.6353000000000002E-3</v>
      </c>
      <c r="D500">
        <v>3.4992999999999999E-3</v>
      </c>
      <c r="E500">
        <v>3.6200999999999998E-3</v>
      </c>
      <c r="F500">
        <v>20797353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0.77647058823528914</v>
      </c>
      <c r="Q500">
        <f t="shared" si="980"/>
        <v>16148532.917646956</v>
      </c>
      <c r="R500">
        <f t="shared" si="981"/>
        <v>-10209289051.2621</v>
      </c>
      <c r="S500">
        <f t="shared" si="982"/>
        <v>-102092.890512621</v>
      </c>
      <c r="T500">
        <f t="shared" si="983"/>
        <v>-102.092890512621</v>
      </c>
    </row>
    <row r="501" spans="1:20" x14ac:dyDescent="0.25">
      <c r="A501" s="5">
        <v>44092</v>
      </c>
      <c r="B501">
        <v>3.5772999999999998E-3</v>
      </c>
      <c r="C501">
        <v>3.6476E-3</v>
      </c>
      <c r="D501">
        <v>3.4529000000000001E-3</v>
      </c>
      <c r="E501">
        <v>3.5328999999999998E-3</v>
      </c>
      <c r="F501">
        <v>43278541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-0.17822290703646826</v>
      </c>
      <c r="Q501">
        <f t="shared" si="980"/>
        <v>-7713227.3893169798</v>
      </c>
      <c r="R501">
        <f t="shared" si="981"/>
        <v>-10225437584.179747</v>
      </c>
      <c r="S501">
        <f t="shared" si="982"/>
        <v>-102254.37584179746</v>
      </c>
      <c r="T501">
        <f t="shared" si="983"/>
        <v>-102.25437584179745</v>
      </c>
    </row>
    <row r="502" spans="1:20" x14ac:dyDescent="0.25">
      <c r="A502" s="5">
        <v>44091</v>
      </c>
      <c r="B502">
        <v>3.5455999999999999E-3</v>
      </c>
      <c r="C502">
        <v>3.7559E-3</v>
      </c>
      <c r="D502">
        <v>3.4096999999999999E-3</v>
      </c>
      <c r="E502">
        <v>3.5999000000000001E-3</v>
      </c>
      <c r="F502">
        <v>38767558</v>
      </c>
      <c r="G502">
        <v>0</v>
      </c>
      <c r="L502" t="s">
        <v>8</v>
      </c>
      <c r="M502" t="s">
        <v>7</v>
      </c>
      <c r="N502" t="s">
        <v>7</v>
      </c>
      <c r="P502">
        <f t="shared" si="979"/>
        <v>9.8786828422877768E-2</v>
      </c>
      <c r="Q502">
        <f t="shared" si="980"/>
        <v>3829724.1005199626</v>
      </c>
      <c r="R502">
        <f t="shared" si="981"/>
        <v>-10217724356.79043</v>
      </c>
      <c r="S502">
        <f t="shared" si="982"/>
        <v>-102177.2435679043</v>
      </c>
      <c r="T502">
        <f t="shared" si="983"/>
        <v>-102.1772435679043</v>
      </c>
    </row>
    <row r="503" spans="1:20" x14ac:dyDescent="0.25">
      <c r="A503" s="5">
        <v>44090</v>
      </c>
      <c r="B503">
        <v>3.6641999999999998E-3</v>
      </c>
      <c r="C503">
        <v>3.6952E-3</v>
      </c>
      <c r="D503">
        <v>3.4600999999999998E-3</v>
      </c>
      <c r="E503">
        <v>3.5454000000000002E-3</v>
      </c>
      <c r="F503">
        <v>79239805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-0.27435133985537807</v>
      </c>
      <c r="Q503">
        <f t="shared" si="980"/>
        <v>-21739546.671628885</v>
      </c>
      <c r="R503">
        <f t="shared" si="981"/>
        <v>-10221554080.890949</v>
      </c>
      <c r="S503">
        <f t="shared" si="982"/>
        <v>-102215.54080890949</v>
      </c>
      <c r="T503">
        <f t="shared" si="983"/>
        <v>-102.21554080890948</v>
      </c>
    </row>
    <row r="504" spans="1:20" x14ac:dyDescent="0.25">
      <c r="A504" s="5">
        <v>44089</v>
      </c>
      <c r="B504">
        <v>3.8977E-3</v>
      </c>
      <c r="C504">
        <v>4.0000000000000001E-3</v>
      </c>
      <c r="D504">
        <v>3.6219999999999998E-3</v>
      </c>
      <c r="E504">
        <v>3.6640000000000002E-3</v>
      </c>
      <c r="F504">
        <v>68923209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-0.77777777777777601</v>
      </c>
      <c r="Q504">
        <f t="shared" si="980"/>
        <v>-53606940.333333209</v>
      </c>
      <c r="R504">
        <f t="shared" si="981"/>
        <v>-10199814534.21932</v>
      </c>
      <c r="S504">
        <f t="shared" si="982"/>
        <v>-101998.14534219321</v>
      </c>
      <c r="T504">
        <f t="shared" si="983"/>
        <v>-101.99814534219321</v>
      </c>
    </row>
    <row r="505" spans="1:20" x14ac:dyDescent="0.25">
      <c r="A505" s="5">
        <v>44088</v>
      </c>
      <c r="B505">
        <v>3.9325000000000002E-3</v>
      </c>
      <c r="C505">
        <v>3.9884999999999999E-3</v>
      </c>
      <c r="D505">
        <v>3.8183000000000002E-3</v>
      </c>
      <c r="E505">
        <v>3.9316999999999998E-3</v>
      </c>
      <c r="F505">
        <v>68239364</v>
      </c>
      <c r="G505">
        <v>0</v>
      </c>
      <c r="L505" t="s">
        <v>8</v>
      </c>
      <c r="M505" t="s">
        <v>8</v>
      </c>
      <c r="N505" t="s">
        <v>7</v>
      </c>
      <c r="P505">
        <f t="shared" si="979"/>
        <v>0.33254994124559129</v>
      </c>
      <c r="Q505">
        <f t="shared" si="980"/>
        <v>22692996.488836516</v>
      </c>
      <c r="R505">
        <f t="shared" si="981"/>
        <v>-10146207593.885986</v>
      </c>
      <c r="S505">
        <f t="shared" si="982"/>
        <v>-101462.07593885987</v>
      </c>
      <c r="T505">
        <f t="shared" si="983"/>
        <v>-101.46207593885987</v>
      </c>
    </row>
    <row r="506" spans="1:20" x14ac:dyDescent="0.25">
      <c r="A506" s="5">
        <v>44087</v>
      </c>
      <c r="B506">
        <v>4.3698000000000001E-3</v>
      </c>
      <c r="C506">
        <v>4.3899999999999998E-3</v>
      </c>
      <c r="D506">
        <v>3.7001999999999998E-3</v>
      </c>
      <c r="E506">
        <v>3.9306999999999996E-3</v>
      </c>
      <c r="F506">
        <v>126394532</v>
      </c>
      <c r="G506">
        <v>0</v>
      </c>
      <c r="L506" t="s">
        <v>7</v>
      </c>
      <c r="M506" t="s">
        <v>8</v>
      </c>
      <c r="N506" t="s">
        <v>7</v>
      </c>
      <c r="P506">
        <f t="shared" si="979"/>
        <v>-0.33169034502754474</v>
      </c>
      <c r="Q506">
        <f t="shared" si="980"/>
        <v>-41923845.928675048</v>
      </c>
      <c r="R506">
        <f t="shared" si="981"/>
        <v>-10168900590.374823</v>
      </c>
      <c r="S506">
        <f t="shared" si="982"/>
        <v>-101689.00590374823</v>
      </c>
      <c r="T506">
        <f t="shared" si="983"/>
        <v>-101.68900590374822</v>
      </c>
    </row>
    <row r="507" spans="1:20" x14ac:dyDescent="0.25">
      <c r="A507" s="5">
        <v>44086</v>
      </c>
      <c r="B507">
        <v>4.0591999999999998E-3</v>
      </c>
      <c r="C507">
        <v>4.3790000000000001E-3</v>
      </c>
      <c r="D507">
        <v>4.0175999999999996E-3</v>
      </c>
      <c r="E507">
        <v>4.3749000000000001E-3</v>
      </c>
      <c r="F507">
        <v>89548521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0.97731045932484817</v>
      </c>
      <c r="Q507">
        <f t="shared" si="980"/>
        <v>87516706.190370813</v>
      </c>
      <c r="R507">
        <f t="shared" si="981"/>
        <v>-10126976744.446148</v>
      </c>
      <c r="S507">
        <f t="shared" si="982"/>
        <v>-101269.76744446148</v>
      </c>
      <c r="T507">
        <f t="shared" si="983"/>
        <v>-101.26976744446148</v>
      </c>
    </row>
    <row r="508" spans="1:20" x14ac:dyDescent="0.25">
      <c r="A508" s="5">
        <v>44085</v>
      </c>
      <c r="B508">
        <v>4.1377000000000002E-3</v>
      </c>
      <c r="C508">
        <v>4.1403000000000004E-3</v>
      </c>
      <c r="D508">
        <v>3.885E-3</v>
      </c>
      <c r="E508">
        <v>4.0511999999999996E-3</v>
      </c>
      <c r="F508">
        <v>88544123</v>
      </c>
      <c r="G508">
        <v>0</v>
      </c>
      <c r="L508" t="s">
        <v>7</v>
      </c>
      <c r="M508" t="s">
        <v>8</v>
      </c>
      <c r="N508" t="s">
        <v>7</v>
      </c>
      <c r="P508">
        <f t="shared" si="979"/>
        <v>0.30199764982373156</v>
      </c>
      <c r="Q508">
        <f t="shared" si="980"/>
        <v>26740117.051703416</v>
      </c>
      <c r="R508">
        <f t="shared" si="981"/>
        <v>-10214493450.636518</v>
      </c>
      <c r="S508">
        <f t="shared" si="982"/>
        <v>-102144.93450636519</v>
      </c>
      <c r="T508">
        <f t="shared" si="983"/>
        <v>-102.14493450636519</v>
      </c>
    </row>
    <row r="509" spans="1:20" x14ac:dyDescent="0.25">
      <c r="A509" s="5">
        <v>44084</v>
      </c>
      <c r="B509">
        <v>3.9912000000000003E-3</v>
      </c>
      <c r="C509">
        <v>4.2976000000000004E-3</v>
      </c>
      <c r="D509">
        <v>3.9123999999999999E-3</v>
      </c>
      <c r="E509">
        <v>4.1784999999999999E-3</v>
      </c>
      <c r="F509">
        <v>118510621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0.38161993769470243</v>
      </c>
      <c r="Q509">
        <f t="shared" si="980"/>
        <v>45226015.802180491</v>
      </c>
      <c r="R509">
        <f t="shared" si="981"/>
        <v>-10241233567.688221</v>
      </c>
      <c r="S509">
        <f t="shared" si="982"/>
        <v>-102412.33567688221</v>
      </c>
      <c r="T509">
        <f t="shared" si="983"/>
        <v>-102.41233567688221</v>
      </c>
    </row>
    <row r="510" spans="1:20" x14ac:dyDescent="0.25">
      <c r="A510" s="5">
        <v>44083</v>
      </c>
      <c r="B510">
        <v>3.8335999999999999E-3</v>
      </c>
      <c r="C510">
        <v>4.0663000000000001E-3</v>
      </c>
      <c r="D510">
        <v>3.7166E-3</v>
      </c>
      <c r="E510">
        <v>3.9816000000000001E-3</v>
      </c>
      <c r="F510">
        <v>100403750</v>
      </c>
      <c r="G510">
        <v>0</v>
      </c>
      <c r="L510" t="s">
        <v>7</v>
      </c>
      <c r="M510" t="s">
        <v>8</v>
      </c>
      <c r="N510" t="s">
        <v>7</v>
      </c>
      <c r="P510">
        <f t="shared" si="979"/>
        <v>0.51558478696025145</v>
      </c>
      <c r="Q510">
        <f t="shared" si="980"/>
        <v>51766646.05376035</v>
      </c>
      <c r="R510">
        <f t="shared" si="981"/>
        <v>-10286459583.490402</v>
      </c>
      <c r="S510">
        <f t="shared" si="982"/>
        <v>-102864.59583490402</v>
      </c>
      <c r="T510">
        <f t="shared" si="983"/>
        <v>-102.86459583490401</v>
      </c>
    </row>
    <row r="511" spans="1:20" x14ac:dyDescent="0.25">
      <c r="A511" s="5">
        <v>44082</v>
      </c>
      <c r="B511">
        <v>3.9480000000000001E-3</v>
      </c>
      <c r="C511">
        <v>4.2402999999999998E-3</v>
      </c>
      <c r="D511">
        <v>3.5999999999999999E-3</v>
      </c>
      <c r="E511">
        <v>3.8337000000000002E-3</v>
      </c>
      <c r="F511">
        <v>157037322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-0.27002967359050334</v>
      </c>
      <c r="Q511">
        <f t="shared" si="980"/>
        <v>-42404736.80118677</v>
      </c>
      <c r="R511">
        <f t="shared" si="981"/>
        <v>-10338226229.544163</v>
      </c>
      <c r="S511">
        <f t="shared" si="982"/>
        <v>-103382.26229544163</v>
      </c>
      <c r="T511">
        <f t="shared" si="983"/>
        <v>-103.38226229544163</v>
      </c>
    </row>
    <row r="512" spans="1:20" x14ac:dyDescent="0.25">
      <c r="A512" s="5">
        <v>44081</v>
      </c>
      <c r="B512">
        <v>3.8831999999999998E-3</v>
      </c>
      <c r="C512">
        <v>4.0171E-3</v>
      </c>
      <c r="D512">
        <v>3.4835999999999999E-3</v>
      </c>
      <c r="E512">
        <v>3.9337E-3</v>
      </c>
      <c r="F512">
        <v>117861079</v>
      </c>
      <c r="G512">
        <v>0</v>
      </c>
      <c r="L512" t="s">
        <v>8</v>
      </c>
      <c r="M512" t="s">
        <v>7</v>
      </c>
      <c r="N512" t="s">
        <v>7</v>
      </c>
      <c r="P512">
        <f t="shared" si="979"/>
        <v>0.6873477038425494</v>
      </c>
      <c r="Q512">
        <f t="shared" si="980"/>
        <v>81011542.023055315</v>
      </c>
      <c r="R512">
        <f t="shared" si="981"/>
        <v>-10295821492.742975</v>
      </c>
      <c r="S512">
        <f t="shared" si="982"/>
        <v>-102958.21492742976</v>
      </c>
      <c r="T512">
        <f t="shared" si="983"/>
        <v>-102.95821492742975</v>
      </c>
    </row>
    <row r="513" spans="1:20" x14ac:dyDescent="0.25">
      <c r="A513" s="5">
        <v>44080</v>
      </c>
      <c r="B513">
        <v>3.7617000000000002E-3</v>
      </c>
      <c r="C513">
        <v>3.9824999999999999E-3</v>
      </c>
      <c r="D513">
        <v>3.5173000000000001E-3</v>
      </c>
      <c r="E513">
        <v>3.8671999999999999E-3</v>
      </c>
      <c r="F513">
        <v>134537302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0.50429922613929457</v>
      </c>
      <c r="Q513">
        <f t="shared" si="980"/>
        <v>67847057.285468563</v>
      </c>
      <c r="R513">
        <f t="shared" si="981"/>
        <v>-10376833034.766031</v>
      </c>
      <c r="S513">
        <f t="shared" si="982"/>
        <v>-103768.33034766032</v>
      </c>
      <c r="T513">
        <f t="shared" si="983"/>
        <v>-103.76833034766032</v>
      </c>
    </row>
    <row r="514" spans="1:20" x14ac:dyDescent="0.25">
      <c r="A514" s="5">
        <v>44079</v>
      </c>
      <c r="B514">
        <v>4.5170000000000002E-3</v>
      </c>
      <c r="C514">
        <v>4.6386999999999999E-3</v>
      </c>
      <c r="D514">
        <v>3.5466999999999999E-3</v>
      </c>
      <c r="E514">
        <v>3.7775999999999999E-3</v>
      </c>
      <c r="F514">
        <v>143387760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-0.57710622710622705</v>
      </c>
      <c r="Q514">
        <f t="shared" si="980"/>
        <v>-82749969.186813176</v>
      </c>
      <c r="R514">
        <f t="shared" si="981"/>
        <v>-10444680092.0515</v>
      </c>
      <c r="S514">
        <f t="shared" si="982"/>
        <v>-104446.800920515</v>
      </c>
      <c r="T514">
        <f t="shared" si="983"/>
        <v>-104.446800920515</v>
      </c>
    </row>
    <row r="515" spans="1:20" x14ac:dyDescent="0.25">
      <c r="A515" s="5">
        <v>44078</v>
      </c>
      <c r="B515">
        <v>4.5135000000000002E-3</v>
      </c>
      <c r="C515">
        <v>4.9141000000000002E-3</v>
      </c>
      <c r="D515">
        <v>4.0400000000000002E-3</v>
      </c>
      <c r="E515">
        <v>4.5256999999999997E-3</v>
      </c>
      <c r="F515">
        <v>193609964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0.1113144949090481</v>
      </c>
      <c r="Q515">
        <f t="shared" si="980"/>
        <v>21551595.352018986</v>
      </c>
      <c r="R515">
        <f t="shared" si="981"/>
        <v>-10361930122.864687</v>
      </c>
      <c r="S515">
        <f t="shared" si="982"/>
        <v>-103619.30122864687</v>
      </c>
      <c r="T515">
        <f t="shared" si="983"/>
        <v>-103.61930122864688</v>
      </c>
    </row>
    <row r="516" spans="1:20" x14ac:dyDescent="0.25">
      <c r="A516" s="5">
        <v>44077</v>
      </c>
      <c r="B516">
        <v>5.9359E-3</v>
      </c>
      <c r="C516">
        <v>6.2721000000000001E-3</v>
      </c>
      <c r="D516">
        <v>4.4631999999999996E-3</v>
      </c>
      <c r="E516">
        <v>4.4716000000000001E-3</v>
      </c>
      <c r="F516">
        <v>279762796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-0.99071258776051696</v>
      </c>
      <c r="Q516">
        <f t="shared" si="980"/>
        <v>-277164523.58427763</v>
      </c>
      <c r="R516">
        <f t="shared" si="981"/>
        <v>-10383481718.216705</v>
      </c>
      <c r="S516">
        <f t="shared" si="982"/>
        <v>-103834.81718216705</v>
      </c>
      <c r="T516">
        <f t="shared" si="983"/>
        <v>-103.83481718216706</v>
      </c>
    </row>
    <row r="517" spans="1:20" x14ac:dyDescent="0.25">
      <c r="A517" s="5">
        <v>44076</v>
      </c>
      <c r="B517">
        <v>6.3425E-3</v>
      </c>
      <c r="C517">
        <v>6.4762999999999999E-3</v>
      </c>
      <c r="D517">
        <v>5.6500999999999999E-3</v>
      </c>
      <c r="E517">
        <v>5.94E-3</v>
      </c>
      <c r="F517">
        <v>141069523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-0.29823287339627197</v>
      </c>
      <c r="Q517">
        <f t="shared" si="980"/>
        <v>-42071569.192931473</v>
      </c>
      <c r="R517">
        <f t="shared" si="981"/>
        <v>-10106317194.632427</v>
      </c>
      <c r="S517">
        <f t="shared" si="982"/>
        <v>-101063.17194632428</v>
      </c>
      <c r="T517">
        <f t="shared" si="983"/>
        <v>-101.06317194632427</v>
      </c>
    </row>
    <row r="518" spans="1:20" x14ac:dyDescent="0.25">
      <c r="A518" s="5">
        <v>44075</v>
      </c>
      <c r="B518">
        <v>6.8846000000000003E-3</v>
      </c>
      <c r="C518">
        <v>6.8846999999999997E-3</v>
      </c>
      <c r="D518">
        <v>6.3204000000000003E-3</v>
      </c>
      <c r="E518">
        <v>6.3658999999999999E-3</v>
      </c>
      <c r="F518">
        <v>171036981</v>
      </c>
      <c r="G518">
        <v>0</v>
      </c>
      <c r="L518" t="s">
        <v>7</v>
      </c>
      <c r="M518" t="s">
        <v>7</v>
      </c>
      <c r="N518" t="s">
        <v>7</v>
      </c>
      <c r="P518">
        <f t="shared" ref="P518:P581" si="984">IF(C518=D518,0,((E518-D518)-(C518-E518))/(C518-D518))</f>
        <v>-0.83873825979089278</v>
      </c>
      <c r="Q518">
        <f t="shared" ref="Q518:Q581" si="985">F518*P518</f>
        <v>-143455259.803828</v>
      </c>
      <c r="R518">
        <f t="shared" ref="R518:R581" si="986">R519+Q518</f>
        <v>-10064245625.439495</v>
      </c>
      <c r="S518">
        <f t="shared" ref="S518:S581" si="987">R518/100000</f>
        <v>-100642.45625439496</v>
      </c>
      <c r="T518">
        <f t="shared" ref="T518:T581" si="988">S518/1000</f>
        <v>-100.64245625439496</v>
      </c>
    </row>
    <row r="519" spans="1:20" x14ac:dyDescent="0.25">
      <c r="A519" s="5">
        <v>44074</v>
      </c>
      <c r="B519">
        <v>6.8912000000000001E-3</v>
      </c>
      <c r="C519">
        <v>7.0010999999999997E-3</v>
      </c>
      <c r="D519">
        <v>6.7295999999999996E-3</v>
      </c>
      <c r="E519">
        <v>6.8690000000000001E-3</v>
      </c>
      <c r="F519">
        <v>66611870</v>
      </c>
      <c r="G519">
        <v>0</v>
      </c>
      <c r="L519" t="s">
        <v>7</v>
      </c>
      <c r="M519" t="s">
        <v>7</v>
      </c>
      <c r="N519" t="s">
        <v>7</v>
      </c>
      <c r="P519">
        <f t="shared" si="984"/>
        <v>2.6887661141808034E-2</v>
      </c>
      <c r="Q519">
        <f t="shared" si="985"/>
        <v>1791037.3885821684</v>
      </c>
      <c r="R519">
        <f t="shared" si="986"/>
        <v>-9920790365.6356678</v>
      </c>
      <c r="S519">
        <f t="shared" si="987"/>
        <v>-99207.903656356677</v>
      </c>
      <c r="T519">
        <f t="shared" si="988"/>
        <v>-99.207903656356677</v>
      </c>
    </row>
    <row r="520" spans="1:20" x14ac:dyDescent="0.25">
      <c r="A520" s="5">
        <v>44073</v>
      </c>
      <c r="B520">
        <v>6.9753999999999997E-3</v>
      </c>
      <c r="C520">
        <v>7.1599000000000003E-3</v>
      </c>
      <c r="D520">
        <v>6.7885000000000003E-3</v>
      </c>
      <c r="E520">
        <v>6.9143E-3</v>
      </c>
      <c r="F520">
        <v>93255557</v>
      </c>
      <c r="G520">
        <v>0</v>
      </c>
      <c r="L520" t="s">
        <v>7</v>
      </c>
      <c r="M520" t="s">
        <v>7</v>
      </c>
      <c r="N520" t="s">
        <v>7</v>
      </c>
      <c r="P520">
        <f t="shared" si="984"/>
        <v>-0.32256327409800922</v>
      </c>
      <c r="Q520">
        <f t="shared" si="985"/>
        <v>-30080817.793753523</v>
      </c>
      <c r="R520">
        <f t="shared" si="986"/>
        <v>-9922581403.02425</v>
      </c>
      <c r="S520">
        <f t="shared" si="987"/>
        <v>-99225.814030242502</v>
      </c>
      <c r="T520">
        <f t="shared" si="988"/>
        <v>-99.225814030242503</v>
      </c>
    </row>
    <row r="521" spans="1:20" x14ac:dyDescent="0.25">
      <c r="A521" s="5">
        <v>44072</v>
      </c>
      <c r="B521">
        <v>6.9249000000000003E-3</v>
      </c>
      <c r="C521">
        <v>7.1923000000000004E-3</v>
      </c>
      <c r="D521">
        <v>6.8912000000000001E-3</v>
      </c>
      <c r="E521">
        <v>6.9753999999999997E-3</v>
      </c>
      <c r="F521">
        <v>66551758</v>
      </c>
      <c r="G521">
        <v>0</v>
      </c>
      <c r="L521" t="s">
        <v>8</v>
      </c>
      <c r="M521" t="s">
        <v>7</v>
      </c>
      <c r="N521" t="s">
        <v>7</v>
      </c>
      <c r="P521">
        <f t="shared" si="984"/>
        <v>-0.44071736964463992</v>
      </c>
      <c r="Q521">
        <f t="shared" si="985"/>
        <v>-29330515.730986621</v>
      </c>
      <c r="R521">
        <f t="shared" si="986"/>
        <v>-9892500585.2304974</v>
      </c>
      <c r="S521">
        <f t="shared" si="987"/>
        <v>-98925.005852304967</v>
      </c>
      <c r="T521">
        <f t="shared" si="988"/>
        <v>-98.925005852304963</v>
      </c>
    </row>
    <row r="522" spans="1:20" x14ac:dyDescent="0.25">
      <c r="A522" s="5">
        <v>44071</v>
      </c>
      <c r="B522">
        <v>6.5307999999999998E-3</v>
      </c>
      <c r="C522">
        <v>7.28E-3</v>
      </c>
      <c r="D522">
        <v>6.4957000000000001E-3</v>
      </c>
      <c r="E522">
        <v>6.9249000000000003E-3</v>
      </c>
      <c r="F522">
        <v>151149323</v>
      </c>
      <c r="G522">
        <v>0</v>
      </c>
      <c r="L522" t="s">
        <v>8</v>
      </c>
      <c r="M522" t="s">
        <v>7</v>
      </c>
      <c r="N522" t="s">
        <v>7</v>
      </c>
      <c r="P522">
        <f t="shared" si="984"/>
        <v>9.447915338518495E-2</v>
      </c>
      <c r="Q522">
        <f t="shared" si="985"/>
        <v>14280460.071783863</v>
      </c>
      <c r="R522">
        <f t="shared" si="986"/>
        <v>-9863170069.4995098</v>
      </c>
      <c r="S522">
        <f t="shared" si="987"/>
        <v>-98631.700694995103</v>
      </c>
      <c r="T522">
        <f t="shared" si="988"/>
        <v>-98.631700694995104</v>
      </c>
    </row>
    <row r="523" spans="1:20" x14ac:dyDescent="0.25">
      <c r="A523" s="5">
        <v>44070</v>
      </c>
      <c r="B523">
        <v>6.6487999999999998E-3</v>
      </c>
      <c r="C523">
        <v>7.1992999999999996E-3</v>
      </c>
      <c r="D523">
        <v>6.3E-3</v>
      </c>
      <c r="E523">
        <v>6.5735999999999998E-3</v>
      </c>
      <c r="F523">
        <v>119491824</v>
      </c>
      <c r="G523">
        <v>0</v>
      </c>
      <c r="L523" t="s">
        <v>8</v>
      </c>
      <c r="M523" t="s">
        <v>7</v>
      </c>
      <c r="N523" t="s">
        <v>7</v>
      </c>
      <c r="P523">
        <f t="shared" si="984"/>
        <v>-0.39152674302235108</v>
      </c>
      <c r="Q523">
        <f t="shared" si="985"/>
        <v>-46784244.668520004</v>
      </c>
      <c r="R523">
        <f t="shared" si="986"/>
        <v>-9877450529.5712929</v>
      </c>
      <c r="S523">
        <f t="shared" si="987"/>
        <v>-98774.505295712923</v>
      </c>
      <c r="T523">
        <f t="shared" si="988"/>
        <v>-98.774505295712927</v>
      </c>
    </row>
    <row r="524" spans="1:20" x14ac:dyDescent="0.25">
      <c r="A524" s="5">
        <v>44069</v>
      </c>
      <c r="B524">
        <v>6.7809999999999997E-3</v>
      </c>
      <c r="C524">
        <v>6.9262000000000004E-3</v>
      </c>
      <c r="D524">
        <v>6.3623999999999998E-3</v>
      </c>
      <c r="E524">
        <v>6.6616999999999996E-3</v>
      </c>
      <c r="F524">
        <v>112571679</v>
      </c>
      <c r="G524">
        <v>0</v>
      </c>
      <c r="L524" t="s">
        <v>7</v>
      </c>
      <c r="M524" t="s">
        <v>7</v>
      </c>
      <c r="N524" t="s">
        <v>7</v>
      </c>
      <c r="P524">
        <f t="shared" si="984"/>
        <v>6.1724015608369737E-2</v>
      </c>
      <c r="Q524">
        <f t="shared" si="985"/>
        <v>6948376.0716563873</v>
      </c>
      <c r="R524">
        <f t="shared" si="986"/>
        <v>-9830666284.9027729</v>
      </c>
      <c r="S524">
        <f t="shared" si="987"/>
        <v>-98306.662849027736</v>
      </c>
      <c r="T524">
        <f t="shared" si="988"/>
        <v>-98.306662849027731</v>
      </c>
    </row>
    <row r="525" spans="1:20" x14ac:dyDescent="0.25">
      <c r="A525" s="5">
        <v>44068</v>
      </c>
      <c r="B525">
        <v>7.5195000000000001E-3</v>
      </c>
      <c r="C525">
        <v>7.5858000000000002E-3</v>
      </c>
      <c r="D525">
        <v>6.4501999999999997E-3</v>
      </c>
      <c r="E525">
        <v>6.8174999999999998E-3</v>
      </c>
      <c r="F525">
        <v>139244558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-0.35311729482212056</v>
      </c>
      <c r="Q525">
        <f t="shared" si="985"/>
        <v>-49169661.639661863</v>
      </c>
      <c r="R525">
        <f t="shared" si="986"/>
        <v>-9837614660.9744301</v>
      </c>
      <c r="S525">
        <f t="shared" si="987"/>
        <v>-98376.146609744304</v>
      </c>
      <c r="T525">
        <f t="shared" si="988"/>
        <v>-98.37614660974431</v>
      </c>
    </row>
    <row r="526" spans="1:20" x14ac:dyDescent="0.25">
      <c r="A526" s="5">
        <v>44067</v>
      </c>
      <c r="B526">
        <v>6.9143E-3</v>
      </c>
      <c r="C526">
        <v>7.6299999999999996E-3</v>
      </c>
      <c r="D526">
        <v>6.8542999999999998E-3</v>
      </c>
      <c r="E526">
        <v>7.5107999999999998E-3</v>
      </c>
      <c r="F526">
        <v>95081225</v>
      </c>
      <c r="G526">
        <v>0</v>
      </c>
      <c r="L526" t="s">
        <v>8</v>
      </c>
      <c r="M526" t="s">
        <v>7</v>
      </c>
      <c r="N526" t="s">
        <v>7</v>
      </c>
      <c r="P526">
        <f t="shared" si="984"/>
        <v>0.69266468995745811</v>
      </c>
      <c r="Q526">
        <f t="shared" si="985"/>
        <v>65859407.235400312</v>
      </c>
      <c r="R526">
        <f t="shared" si="986"/>
        <v>-9788444999.3347683</v>
      </c>
      <c r="S526">
        <f t="shared" si="987"/>
        <v>-97884.449993347676</v>
      </c>
      <c r="T526">
        <f t="shared" si="988"/>
        <v>-97.884449993347673</v>
      </c>
    </row>
    <row r="527" spans="1:20" x14ac:dyDescent="0.25">
      <c r="A527" s="5">
        <v>44066</v>
      </c>
      <c r="B527">
        <v>7.1196999999999996E-3</v>
      </c>
      <c r="C527">
        <v>7.1196999999999996E-3</v>
      </c>
      <c r="D527">
        <v>6.6499999999999997E-3</v>
      </c>
      <c r="E527">
        <v>6.9143E-3</v>
      </c>
      <c r="F527">
        <v>39988640</v>
      </c>
      <c r="G527">
        <v>0</v>
      </c>
      <c r="L527" t="s">
        <v>8</v>
      </c>
      <c r="M527" t="s">
        <v>7</v>
      </c>
      <c r="N527" t="s">
        <v>7</v>
      </c>
      <c r="P527">
        <f t="shared" si="984"/>
        <v>0.12539919097296279</v>
      </c>
      <c r="Q527">
        <f t="shared" si="985"/>
        <v>5014543.1041090591</v>
      </c>
      <c r="R527">
        <f t="shared" si="986"/>
        <v>-9854304406.5701694</v>
      </c>
      <c r="S527">
        <f t="shared" si="987"/>
        <v>-98543.044065701688</v>
      </c>
      <c r="T527">
        <f t="shared" si="988"/>
        <v>-98.543044065701693</v>
      </c>
    </row>
    <row r="528" spans="1:20" x14ac:dyDescent="0.25">
      <c r="A528" s="5">
        <v>44065</v>
      </c>
      <c r="B528">
        <v>6.8250000000000003E-3</v>
      </c>
      <c r="C528">
        <v>7.1300000000000001E-3</v>
      </c>
      <c r="D528">
        <v>6.5900999999999998E-3</v>
      </c>
      <c r="E528">
        <v>7.1244000000000004E-3</v>
      </c>
      <c r="F528">
        <v>63072654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0.97925541766993995</v>
      </c>
      <c r="Q528">
        <f t="shared" si="985"/>
        <v>61764238.136321612</v>
      </c>
      <c r="R528">
        <f t="shared" si="986"/>
        <v>-9859318949.6742783</v>
      </c>
      <c r="S528">
        <f t="shared" si="987"/>
        <v>-98593.18949674278</v>
      </c>
      <c r="T528">
        <f t="shared" si="988"/>
        <v>-98.593189496742781</v>
      </c>
    </row>
    <row r="529" spans="1:20" x14ac:dyDescent="0.25">
      <c r="A529" s="5">
        <v>44064</v>
      </c>
      <c r="B529">
        <v>7.9672000000000007E-3</v>
      </c>
      <c r="C529">
        <v>7.9696999999999997E-3</v>
      </c>
      <c r="D529">
        <v>6.7799999999999996E-3</v>
      </c>
      <c r="E529">
        <v>6.8127999999999999E-3</v>
      </c>
      <c r="F529">
        <v>96359894</v>
      </c>
      <c r="G529">
        <v>0</v>
      </c>
      <c r="L529" t="s">
        <v>7</v>
      </c>
      <c r="M529" t="s">
        <v>7</v>
      </c>
      <c r="N529" t="s">
        <v>7</v>
      </c>
      <c r="P529">
        <f t="shared" si="984"/>
        <v>-0.94486004875178553</v>
      </c>
      <c r="Q529">
        <f t="shared" si="985"/>
        <v>-91046614.142556891</v>
      </c>
      <c r="R529">
        <f t="shared" si="986"/>
        <v>-9921083187.8106003</v>
      </c>
      <c r="S529">
        <f t="shared" si="987"/>
        <v>-99210.831878106008</v>
      </c>
      <c r="T529">
        <f t="shared" si="988"/>
        <v>-99.210831878106006</v>
      </c>
    </row>
    <row r="530" spans="1:20" x14ac:dyDescent="0.25">
      <c r="A530" s="5">
        <v>44063</v>
      </c>
      <c r="B530">
        <v>7.4558000000000003E-3</v>
      </c>
      <c r="C530">
        <v>8.0000000000000002E-3</v>
      </c>
      <c r="D530">
        <v>7.1999999999999998E-3</v>
      </c>
      <c r="E530">
        <v>7.9681000000000005E-3</v>
      </c>
      <c r="F530">
        <v>64625634</v>
      </c>
      <c r="G530">
        <v>0</v>
      </c>
      <c r="L530" t="s">
        <v>8</v>
      </c>
      <c r="M530" t="s">
        <v>7</v>
      </c>
      <c r="N530" t="s">
        <v>7</v>
      </c>
      <c r="P530">
        <f t="shared" si="984"/>
        <v>0.9202500000000009</v>
      </c>
      <c r="Q530">
        <f t="shared" si="985"/>
        <v>59471739.688500062</v>
      </c>
      <c r="R530">
        <f t="shared" si="986"/>
        <v>-9830036573.6680431</v>
      </c>
      <c r="S530">
        <f t="shared" si="987"/>
        <v>-98300.365736680425</v>
      </c>
      <c r="T530">
        <f t="shared" si="988"/>
        <v>-98.300365736680419</v>
      </c>
    </row>
    <row r="531" spans="1:20" x14ac:dyDescent="0.25">
      <c r="A531" s="5">
        <v>44062</v>
      </c>
      <c r="B531">
        <v>7.7437000000000001E-3</v>
      </c>
      <c r="C531">
        <v>7.9438000000000009E-3</v>
      </c>
      <c r="D531">
        <v>7.0499999999999998E-3</v>
      </c>
      <c r="E531">
        <v>7.4557E-3</v>
      </c>
      <c r="F531">
        <v>146605876</v>
      </c>
      <c r="G531">
        <v>0</v>
      </c>
      <c r="L531" t="s">
        <v>7</v>
      </c>
      <c r="M531" t="s">
        <v>7</v>
      </c>
      <c r="N531" t="s">
        <v>7</v>
      </c>
      <c r="P531">
        <f t="shared" si="984"/>
        <v>-9.2190646677109647E-2</v>
      </c>
      <c r="Q531">
        <f t="shared" si="985"/>
        <v>-13515690.515104149</v>
      </c>
      <c r="R531">
        <f t="shared" si="986"/>
        <v>-9889508313.3565426</v>
      </c>
      <c r="S531">
        <f t="shared" si="987"/>
        <v>-98895.083133565422</v>
      </c>
      <c r="T531">
        <f t="shared" si="988"/>
        <v>-98.895083133565421</v>
      </c>
    </row>
    <row r="532" spans="1:20" x14ac:dyDescent="0.25">
      <c r="A532" s="5">
        <v>44061</v>
      </c>
      <c r="B532">
        <v>8.3333000000000001E-3</v>
      </c>
      <c r="C532">
        <v>8.6E-3</v>
      </c>
      <c r="D532">
        <v>7.6111E-3</v>
      </c>
      <c r="E532">
        <v>7.6972000000000004E-3</v>
      </c>
      <c r="F532">
        <v>155178405</v>
      </c>
      <c r="G532">
        <v>0</v>
      </c>
      <c r="L532" t="s">
        <v>7</v>
      </c>
      <c r="M532" t="s">
        <v>8</v>
      </c>
      <c r="N532" t="s">
        <v>7</v>
      </c>
      <c r="P532">
        <f t="shared" si="984"/>
        <v>-0.82586712508848137</v>
      </c>
      <c r="Q532">
        <f t="shared" si="985"/>
        <v>-128156743.21316603</v>
      </c>
      <c r="R532">
        <f t="shared" si="986"/>
        <v>-9875992622.8414383</v>
      </c>
      <c r="S532">
        <f t="shared" si="987"/>
        <v>-98759.926228414377</v>
      </c>
      <c r="T532">
        <f t="shared" si="988"/>
        <v>-98.759926228414372</v>
      </c>
    </row>
    <row r="533" spans="1:20" x14ac:dyDescent="0.25">
      <c r="A533" s="5">
        <v>44060</v>
      </c>
      <c r="B533">
        <v>8.2182000000000002E-3</v>
      </c>
      <c r="C533">
        <v>8.6E-3</v>
      </c>
      <c r="D533">
        <v>7.9000000000000008E-3</v>
      </c>
      <c r="E533">
        <v>8.3399000000000008E-3</v>
      </c>
      <c r="F533">
        <v>163575685</v>
      </c>
      <c r="G533">
        <v>0</v>
      </c>
      <c r="L533" t="s">
        <v>8</v>
      </c>
      <c r="M533" t="s">
        <v>8</v>
      </c>
      <c r="N533" t="s">
        <v>7</v>
      </c>
      <c r="P533">
        <f t="shared" si="984"/>
        <v>0.25685714285714428</v>
      </c>
      <c r="Q533">
        <f t="shared" si="985"/>
        <v>42015583.090000235</v>
      </c>
      <c r="R533">
        <f t="shared" si="986"/>
        <v>-9747835879.628273</v>
      </c>
      <c r="S533">
        <f t="shared" si="987"/>
        <v>-97478.35879628273</v>
      </c>
      <c r="T533">
        <f t="shared" si="988"/>
        <v>-97.478358796282734</v>
      </c>
    </row>
    <row r="534" spans="1:20" x14ac:dyDescent="0.25">
      <c r="A534" s="5">
        <v>44059</v>
      </c>
      <c r="B534">
        <v>8.2456000000000005E-3</v>
      </c>
      <c r="C534">
        <v>8.8678000000000003E-3</v>
      </c>
      <c r="D534">
        <v>7.9254000000000008E-3</v>
      </c>
      <c r="E534">
        <v>8.2175000000000008E-3</v>
      </c>
      <c r="F534">
        <v>154402875</v>
      </c>
      <c r="G534">
        <v>0</v>
      </c>
      <c r="L534" t="s">
        <v>7</v>
      </c>
      <c r="M534" t="s">
        <v>8</v>
      </c>
      <c r="N534" t="s">
        <v>7</v>
      </c>
      <c r="P534">
        <f t="shared" si="984"/>
        <v>-0.38009337860780951</v>
      </c>
      <c r="Q534">
        <f t="shared" si="985"/>
        <v>-58687510.425509289</v>
      </c>
      <c r="R534">
        <f t="shared" si="986"/>
        <v>-9789851462.7182732</v>
      </c>
      <c r="S534">
        <f t="shared" si="987"/>
        <v>-97898.514627182725</v>
      </c>
      <c r="T534">
        <f t="shared" si="988"/>
        <v>-97.89851462718272</v>
      </c>
    </row>
    <row r="535" spans="1:20" x14ac:dyDescent="0.25">
      <c r="A535" s="5">
        <v>44058</v>
      </c>
      <c r="B535">
        <v>8.5488000000000005E-3</v>
      </c>
      <c r="C535">
        <v>8.7858999999999993E-3</v>
      </c>
      <c r="D535">
        <v>8.1271999999999994E-3</v>
      </c>
      <c r="E535">
        <v>8.2482000000000007E-3</v>
      </c>
      <c r="F535">
        <v>130039485</v>
      </c>
      <c r="G535">
        <v>0</v>
      </c>
      <c r="L535" t="s">
        <v>7</v>
      </c>
      <c r="M535" t="s">
        <v>8</v>
      </c>
      <c r="N535" t="s">
        <v>7</v>
      </c>
      <c r="P535">
        <f t="shared" si="984"/>
        <v>-0.63260968574464449</v>
      </c>
      <c r="Q535">
        <f t="shared" si="985"/>
        <v>-82264237.740245417</v>
      </c>
      <c r="R535">
        <f t="shared" si="986"/>
        <v>-9731163952.2927647</v>
      </c>
      <c r="S535">
        <f t="shared" si="987"/>
        <v>-97311.639522927653</v>
      </c>
      <c r="T535">
        <f t="shared" si="988"/>
        <v>-97.311639522927649</v>
      </c>
    </row>
    <row r="536" spans="1:20" x14ac:dyDescent="0.25">
      <c r="A536" s="5">
        <v>44057</v>
      </c>
      <c r="B536">
        <v>7.6119999999999998E-3</v>
      </c>
      <c r="C536">
        <v>9.0500000000000008E-3</v>
      </c>
      <c r="D536">
        <v>7.5190999999999999E-3</v>
      </c>
      <c r="E536">
        <v>8.5488000000000005E-3</v>
      </c>
      <c r="F536">
        <v>317651179</v>
      </c>
      <c r="G536">
        <v>0</v>
      </c>
      <c r="L536" t="s">
        <v>8</v>
      </c>
      <c r="M536" t="s">
        <v>8</v>
      </c>
      <c r="N536" t="s">
        <v>7</v>
      </c>
      <c r="P536">
        <f t="shared" si="984"/>
        <v>0.34522176497485141</v>
      </c>
      <c r="Q536">
        <f t="shared" si="985"/>
        <v>109660100.66072245</v>
      </c>
      <c r="R536">
        <f t="shared" si="986"/>
        <v>-9648899714.5525188</v>
      </c>
      <c r="S536">
        <f t="shared" si="987"/>
        <v>-96488.997145525194</v>
      </c>
      <c r="T536">
        <f t="shared" si="988"/>
        <v>-96.48899714552519</v>
      </c>
    </row>
    <row r="537" spans="1:20" x14ac:dyDescent="0.25">
      <c r="A537" s="5">
        <v>44056</v>
      </c>
      <c r="B537">
        <v>7.8528000000000001E-3</v>
      </c>
      <c r="C537">
        <v>7.9792999999999999E-3</v>
      </c>
      <c r="D537">
        <v>7.2957999999999999E-3</v>
      </c>
      <c r="E537">
        <v>7.6135999999999999E-3</v>
      </c>
      <c r="F537">
        <v>186911215</v>
      </c>
      <c r="G537">
        <v>0</v>
      </c>
      <c r="L537" t="s">
        <v>8</v>
      </c>
      <c r="M537" t="s">
        <v>7</v>
      </c>
      <c r="N537" t="s">
        <v>7</v>
      </c>
      <c r="P537">
        <f t="shared" si="984"/>
        <v>-7.0080468178493074E-2</v>
      </c>
      <c r="Q537">
        <f t="shared" si="985"/>
        <v>-13098825.455010977</v>
      </c>
      <c r="R537">
        <f t="shared" si="986"/>
        <v>-9758559815.2132416</v>
      </c>
      <c r="S537">
        <f t="shared" si="987"/>
        <v>-97585.598152132414</v>
      </c>
      <c r="T537">
        <f t="shared" si="988"/>
        <v>-97.58559815213242</v>
      </c>
    </row>
    <row r="538" spans="1:20" x14ac:dyDescent="0.25">
      <c r="A538" s="5">
        <v>44055</v>
      </c>
      <c r="B538">
        <v>8.0701000000000002E-3</v>
      </c>
      <c r="C538">
        <v>8.2644999999999993E-3</v>
      </c>
      <c r="D538">
        <v>7.0163999999999999E-3</v>
      </c>
      <c r="E538">
        <v>7.8111999999999999E-3</v>
      </c>
      <c r="F538">
        <v>271969255</v>
      </c>
      <c r="G538">
        <v>0</v>
      </c>
      <c r="L538" t="s">
        <v>7</v>
      </c>
      <c r="M538" t="s">
        <v>7</v>
      </c>
      <c r="N538" t="s">
        <v>7</v>
      </c>
      <c r="P538">
        <f t="shared" si="984"/>
        <v>0.27361589616216714</v>
      </c>
      <c r="Q538">
        <f t="shared" si="985"/>
        <v>74415111.435381949</v>
      </c>
      <c r="R538">
        <f t="shared" si="986"/>
        <v>-9745460989.7582302</v>
      </c>
      <c r="S538">
        <f t="shared" si="987"/>
        <v>-97454.609897582297</v>
      </c>
      <c r="T538">
        <f t="shared" si="988"/>
        <v>-97.454609897582301</v>
      </c>
    </row>
    <row r="539" spans="1:20" x14ac:dyDescent="0.25">
      <c r="A539" s="5">
        <v>44054</v>
      </c>
      <c r="B539">
        <v>8.8555000000000005E-3</v>
      </c>
      <c r="C539">
        <v>9.8989999999999998E-3</v>
      </c>
      <c r="D539">
        <v>7.3939000000000001E-3</v>
      </c>
      <c r="E539">
        <v>8.0701000000000002E-3</v>
      </c>
      <c r="F539">
        <v>571907111</v>
      </c>
      <c r="G539">
        <v>0</v>
      </c>
      <c r="L539" t="s">
        <v>7</v>
      </c>
      <c r="M539" t="s">
        <v>7</v>
      </c>
      <c r="N539" t="s">
        <v>8</v>
      </c>
      <c r="P539">
        <f t="shared" si="984"/>
        <v>-0.46014131172408274</v>
      </c>
      <c r="Q539">
        <f t="shared" si="985"/>
        <v>-263158088.23987058</v>
      </c>
      <c r="R539">
        <f t="shared" si="986"/>
        <v>-9819876101.1936131</v>
      </c>
      <c r="S539">
        <f t="shared" si="987"/>
        <v>-98198.761011936134</v>
      </c>
      <c r="T539">
        <f t="shared" si="988"/>
        <v>-98.198761011936128</v>
      </c>
    </row>
    <row r="540" spans="1:20" x14ac:dyDescent="0.25">
      <c r="A540" s="5">
        <v>44053</v>
      </c>
      <c r="B540">
        <v>6.8399999999999997E-3</v>
      </c>
      <c r="C540">
        <v>9.9000000000000008E-3</v>
      </c>
      <c r="D540">
        <v>6.5154000000000002E-3</v>
      </c>
      <c r="E540">
        <v>8.8555000000000005E-3</v>
      </c>
      <c r="F540">
        <v>563266532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0.38279264905749566</v>
      </c>
      <c r="Q540">
        <f t="shared" si="985"/>
        <v>215614287.90970865</v>
      </c>
      <c r="R540">
        <f t="shared" si="986"/>
        <v>-9556718012.953743</v>
      </c>
      <c r="S540">
        <f t="shared" si="987"/>
        <v>-95567.180129537432</v>
      </c>
      <c r="T540">
        <f t="shared" si="988"/>
        <v>-95.567180129537434</v>
      </c>
    </row>
    <row r="541" spans="1:20" x14ac:dyDescent="0.25">
      <c r="A541" s="5">
        <v>44052</v>
      </c>
      <c r="B541">
        <v>6.3940999999999998E-3</v>
      </c>
      <c r="C541">
        <v>6.8979000000000002E-3</v>
      </c>
      <c r="D541">
        <v>6.2912000000000003E-3</v>
      </c>
      <c r="E541">
        <v>6.8500000000000002E-3</v>
      </c>
      <c r="F541">
        <v>221117572</v>
      </c>
      <c r="G541">
        <v>0</v>
      </c>
      <c r="L541" t="s">
        <v>7</v>
      </c>
      <c r="M541" t="s">
        <v>8</v>
      </c>
      <c r="N541" t="s">
        <v>8</v>
      </c>
      <c r="P541">
        <f t="shared" si="984"/>
        <v>0.8420965880995549</v>
      </c>
      <c r="Q541">
        <f t="shared" si="985"/>
        <v>186202352.95005769</v>
      </c>
      <c r="R541">
        <f t="shared" si="986"/>
        <v>-9772332300.863451</v>
      </c>
      <c r="S541">
        <f t="shared" si="987"/>
        <v>-97723.323008634514</v>
      </c>
      <c r="T541">
        <f t="shared" si="988"/>
        <v>-97.723323008634509</v>
      </c>
    </row>
    <row r="542" spans="1:20" x14ac:dyDescent="0.25">
      <c r="A542" s="5">
        <v>44051</v>
      </c>
      <c r="B542">
        <v>6.5296E-3</v>
      </c>
      <c r="C542">
        <v>7.0870999999999998E-3</v>
      </c>
      <c r="D542">
        <v>6.1500000000000001E-3</v>
      </c>
      <c r="E542">
        <v>6.3512999999999998E-3</v>
      </c>
      <c r="F542">
        <v>445105176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-0.57037669405613101</v>
      </c>
      <c r="Q542">
        <f t="shared" si="985"/>
        <v>-253877618.79415235</v>
      </c>
      <c r="R542">
        <f t="shared" si="986"/>
        <v>-9958534653.813509</v>
      </c>
      <c r="S542">
        <f t="shared" si="987"/>
        <v>-99585.346538135083</v>
      </c>
      <c r="T542">
        <f t="shared" si="988"/>
        <v>-99.585346538135084</v>
      </c>
    </row>
    <row r="543" spans="1:20" x14ac:dyDescent="0.25">
      <c r="A543" s="5">
        <v>44050</v>
      </c>
      <c r="B543">
        <v>6.8047000000000003E-3</v>
      </c>
      <c r="C543">
        <v>6.8385E-3</v>
      </c>
      <c r="D543">
        <v>6.1035999999999998E-3</v>
      </c>
      <c r="E543">
        <v>6.5294999999999997E-3</v>
      </c>
      <c r="F543">
        <v>147075850</v>
      </c>
      <c r="G543">
        <v>0</v>
      </c>
      <c r="L543" t="s">
        <v>7</v>
      </c>
      <c r="M543" t="s">
        <v>8</v>
      </c>
      <c r="N543" t="s">
        <v>7</v>
      </c>
      <c r="P543">
        <f t="shared" si="984"/>
        <v>0.15906926112396194</v>
      </c>
      <c r="Q543">
        <f t="shared" si="985"/>
        <v>23395246.788678657</v>
      </c>
      <c r="R543">
        <f t="shared" si="986"/>
        <v>-9704657035.0193558</v>
      </c>
      <c r="S543">
        <f t="shared" si="987"/>
        <v>-97046.570350193564</v>
      </c>
      <c r="T543">
        <f t="shared" si="988"/>
        <v>-97.046570350193562</v>
      </c>
    </row>
    <row r="544" spans="1:20" x14ac:dyDescent="0.25">
      <c r="A544" s="5">
        <v>44049</v>
      </c>
      <c r="B544">
        <v>6.4672999999999996E-3</v>
      </c>
      <c r="C544">
        <v>6.9715999999999997E-3</v>
      </c>
      <c r="D544">
        <v>6.4092999999999997E-3</v>
      </c>
      <c r="E544">
        <v>6.8047000000000003E-3</v>
      </c>
      <c r="F544">
        <v>140693448</v>
      </c>
      <c r="G544">
        <v>0</v>
      </c>
      <c r="L544" t="s">
        <v>8</v>
      </c>
      <c r="M544" t="s">
        <v>8</v>
      </c>
      <c r="N544" t="s">
        <v>7</v>
      </c>
      <c r="P544">
        <f t="shared" si="984"/>
        <v>0.40636670816290466</v>
      </c>
      <c r="Q544">
        <f t="shared" si="985"/>
        <v>57173133.323848799</v>
      </c>
      <c r="R544">
        <f t="shared" si="986"/>
        <v>-9728052281.8080349</v>
      </c>
      <c r="S544">
        <f t="shared" si="987"/>
        <v>-97280.522818080353</v>
      </c>
      <c r="T544">
        <f t="shared" si="988"/>
        <v>-97.280522818080357</v>
      </c>
    </row>
    <row r="545" spans="1:20" x14ac:dyDescent="0.25">
      <c r="A545" s="5">
        <v>44048</v>
      </c>
      <c r="B545">
        <v>6.0426999999999998E-3</v>
      </c>
      <c r="C545">
        <v>6.7330000000000003E-3</v>
      </c>
      <c r="D545">
        <v>5.9503000000000004E-3</v>
      </c>
      <c r="E545">
        <v>6.4672999999999996E-3</v>
      </c>
      <c r="F545">
        <v>157972617</v>
      </c>
      <c r="G545">
        <v>0</v>
      </c>
      <c r="L545" t="s">
        <v>8</v>
      </c>
      <c r="M545" t="s">
        <v>8</v>
      </c>
      <c r="N545" t="s">
        <v>7</v>
      </c>
      <c r="P545">
        <f t="shared" si="984"/>
        <v>0.32106809761083249</v>
      </c>
      <c r="Q545">
        <f t="shared" si="985"/>
        <v>50719967.614794657</v>
      </c>
      <c r="R545">
        <f t="shared" si="986"/>
        <v>-9785225415.1318836</v>
      </c>
      <c r="S545">
        <f t="shared" si="987"/>
        <v>-97852.254151318833</v>
      </c>
      <c r="T545">
        <f t="shared" si="988"/>
        <v>-97.852254151318832</v>
      </c>
    </row>
    <row r="546" spans="1:20" x14ac:dyDescent="0.25">
      <c r="A546" s="5">
        <v>44047</v>
      </c>
      <c r="B546">
        <v>5.6788000000000003E-3</v>
      </c>
      <c r="C546">
        <v>6.1996000000000004E-3</v>
      </c>
      <c r="D546">
        <v>5.5423E-3</v>
      </c>
      <c r="E546">
        <v>6.0267000000000003E-3</v>
      </c>
      <c r="F546">
        <v>126761614</v>
      </c>
      <c r="G546">
        <v>0</v>
      </c>
      <c r="L546" t="s">
        <v>8</v>
      </c>
      <c r="M546" t="s">
        <v>8</v>
      </c>
      <c r="N546" t="s">
        <v>7</v>
      </c>
      <c r="P546">
        <f t="shared" si="984"/>
        <v>0.47390841320553773</v>
      </c>
      <c r="Q546">
        <f t="shared" si="985"/>
        <v>60073395.346112877</v>
      </c>
      <c r="R546">
        <f t="shared" si="986"/>
        <v>-9835945382.7466774</v>
      </c>
      <c r="S546">
        <f t="shared" si="987"/>
        <v>-98359.453827466772</v>
      </c>
      <c r="T546">
        <f t="shared" si="988"/>
        <v>-98.359453827466766</v>
      </c>
    </row>
    <row r="547" spans="1:20" x14ac:dyDescent="0.25">
      <c r="A547" s="5">
        <v>44046</v>
      </c>
      <c r="B547">
        <v>5.5589999999999997E-3</v>
      </c>
      <c r="C547">
        <v>6.1599999999999997E-3</v>
      </c>
      <c r="D547">
        <v>5.3965000000000003E-3</v>
      </c>
      <c r="E547">
        <v>5.6962999999999996E-3</v>
      </c>
      <c r="F547">
        <v>131595266</v>
      </c>
      <c r="G547">
        <v>0</v>
      </c>
      <c r="L547" t="s">
        <v>8</v>
      </c>
      <c r="M547" t="s">
        <v>8</v>
      </c>
      <c r="N547" t="s">
        <v>7</v>
      </c>
      <c r="P547">
        <f t="shared" si="984"/>
        <v>-0.21466928618205736</v>
      </c>
      <c r="Q547">
        <f t="shared" si="985"/>
        <v>-28249461.817157961</v>
      </c>
      <c r="R547">
        <f t="shared" si="986"/>
        <v>-9896018778.0927906</v>
      </c>
      <c r="S547">
        <f t="shared" si="987"/>
        <v>-98960.18778092791</v>
      </c>
      <c r="T547">
        <f t="shared" si="988"/>
        <v>-98.96018778092791</v>
      </c>
    </row>
    <row r="548" spans="1:20" x14ac:dyDescent="0.25">
      <c r="A548" s="5">
        <v>44045</v>
      </c>
      <c r="B548">
        <v>6.0061999999999997E-3</v>
      </c>
      <c r="C548">
        <v>6.0328999999999999E-3</v>
      </c>
      <c r="D548">
        <v>5.0000000000000001E-3</v>
      </c>
      <c r="E548">
        <v>5.5573999999999997E-3</v>
      </c>
      <c r="F548">
        <v>181068760</v>
      </c>
      <c r="G548">
        <v>0</v>
      </c>
      <c r="L548" t="s">
        <v>7</v>
      </c>
      <c r="M548" t="s">
        <v>7</v>
      </c>
      <c r="N548" t="s">
        <v>7</v>
      </c>
      <c r="P548">
        <f t="shared" si="984"/>
        <v>7.9291315713040322E-2</v>
      </c>
      <c r="Q548">
        <f t="shared" si="985"/>
        <v>14357180.214928728</v>
      </c>
      <c r="R548">
        <f t="shared" si="986"/>
        <v>-9867769316.2756329</v>
      </c>
      <c r="S548">
        <f t="shared" si="987"/>
        <v>-98677.693162756332</v>
      </c>
      <c r="T548">
        <f t="shared" si="988"/>
        <v>-98.677693162756327</v>
      </c>
    </row>
    <row r="549" spans="1:20" x14ac:dyDescent="0.25">
      <c r="A549" s="5">
        <v>44044</v>
      </c>
      <c r="B549">
        <v>6.0390000000000001E-3</v>
      </c>
      <c r="C549">
        <v>6.1741000000000001E-3</v>
      </c>
      <c r="D549">
        <v>5.8970000000000003E-3</v>
      </c>
      <c r="E549">
        <v>5.9756000000000002E-3</v>
      </c>
      <c r="F549">
        <v>91471241</v>
      </c>
      <c r="G549">
        <v>0</v>
      </c>
      <c r="L549" t="s">
        <v>7</v>
      </c>
      <c r="M549" t="s">
        <v>7</v>
      </c>
      <c r="N549" t="s">
        <v>8</v>
      </c>
      <c r="P549">
        <f t="shared" si="984"/>
        <v>-0.43269577769758266</v>
      </c>
      <c r="Q549">
        <f t="shared" si="985"/>
        <v>-39579219.761458009</v>
      </c>
      <c r="R549">
        <f t="shared" si="986"/>
        <v>-9882126496.4905624</v>
      </c>
      <c r="S549">
        <f t="shared" si="987"/>
        <v>-98821.264964905626</v>
      </c>
      <c r="T549">
        <f t="shared" si="988"/>
        <v>-98.821264964905623</v>
      </c>
    </row>
    <row r="550" spans="1:20" x14ac:dyDescent="0.25">
      <c r="A550" s="5">
        <v>44043</v>
      </c>
      <c r="B550">
        <v>6.6400000000000001E-3</v>
      </c>
      <c r="C550">
        <v>6.8398E-3</v>
      </c>
      <c r="D550">
        <v>5.9126999999999999E-3</v>
      </c>
      <c r="E550">
        <v>6.0705999999999998E-3</v>
      </c>
      <c r="F550">
        <v>119759097</v>
      </c>
      <c r="G550">
        <v>0</v>
      </c>
      <c r="L550" t="s">
        <v>7</v>
      </c>
      <c r="M550" t="s">
        <v>7</v>
      </c>
      <c r="N550" t="s">
        <v>8</v>
      </c>
      <c r="P550">
        <f t="shared" si="984"/>
        <v>-0.65936792147556933</v>
      </c>
      <c r="Q550">
        <f t="shared" si="985"/>
        <v>-78965306.866681084</v>
      </c>
      <c r="R550">
        <f t="shared" si="986"/>
        <v>-9842547276.729105</v>
      </c>
      <c r="S550">
        <f t="shared" si="987"/>
        <v>-98425.472767291052</v>
      </c>
      <c r="T550">
        <f t="shared" si="988"/>
        <v>-98.425472767291055</v>
      </c>
    </row>
    <row r="551" spans="1:20" x14ac:dyDescent="0.25">
      <c r="A551" s="5">
        <v>44042</v>
      </c>
      <c r="B551">
        <v>6.3261999999999997E-3</v>
      </c>
      <c r="C551">
        <v>6.8498999999999999E-3</v>
      </c>
      <c r="D551">
        <v>6.2202000000000004E-3</v>
      </c>
      <c r="E551">
        <v>6.6425E-3</v>
      </c>
      <c r="F551">
        <v>112467859</v>
      </c>
      <c r="G551">
        <v>0</v>
      </c>
      <c r="L551" t="s">
        <v>7</v>
      </c>
      <c r="M551" t="s">
        <v>7</v>
      </c>
      <c r="N551" t="s">
        <v>8</v>
      </c>
      <c r="P551">
        <f t="shared" si="984"/>
        <v>0.34127362235985359</v>
      </c>
      <c r="Q551">
        <f t="shared" si="985"/>
        <v>38382313.63998726</v>
      </c>
      <c r="R551">
        <f t="shared" si="986"/>
        <v>-9763581969.8624249</v>
      </c>
      <c r="S551">
        <f t="shared" si="987"/>
        <v>-97635.819698624255</v>
      </c>
      <c r="T551">
        <f t="shared" si="988"/>
        <v>-97.63581969862426</v>
      </c>
    </row>
    <row r="552" spans="1:20" x14ac:dyDescent="0.25">
      <c r="A552" s="5">
        <v>44041</v>
      </c>
      <c r="B552">
        <v>6.7482000000000002E-3</v>
      </c>
      <c r="C552">
        <v>6.8504999999999998E-3</v>
      </c>
      <c r="D552">
        <v>6.3E-3</v>
      </c>
      <c r="E552">
        <v>6.3261000000000003E-3</v>
      </c>
      <c r="F552">
        <v>115890751</v>
      </c>
      <c r="G552">
        <v>0</v>
      </c>
      <c r="L552" t="s">
        <v>7</v>
      </c>
      <c r="M552" t="s">
        <v>8</v>
      </c>
      <c r="N552" t="s">
        <v>8</v>
      </c>
      <c r="P552">
        <f t="shared" si="984"/>
        <v>-0.9051771117166203</v>
      </c>
      <c r="Q552">
        <f t="shared" si="985"/>
        <v>-104901655.26485002</v>
      </c>
      <c r="R552">
        <f t="shared" si="986"/>
        <v>-9801964283.5024128</v>
      </c>
      <c r="S552">
        <f t="shared" si="987"/>
        <v>-98019.642835024133</v>
      </c>
      <c r="T552">
        <f t="shared" si="988"/>
        <v>-98.019642835024129</v>
      </c>
    </row>
    <row r="553" spans="1:20" x14ac:dyDescent="0.25">
      <c r="A553" s="5">
        <v>44040</v>
      </c>
      <c r="B553">
        <v>7.0996000000000002E-3</v>
      </c>
      <c r="C553">
        <v>7.4000000000000003E-3</v>
      </c>
      <c r="D553">
        <v>6.5313000000000003E-3</v>
      </c>
      <c r="E553">
        <v>6.7464999999999999E-3</v>
      </c>
      <c r="F553">
        <v>223875994</v>
      </c>
      <c r="G553">
        <v>0</v>
      </c>
      <c r="L553" t="s">
        <v>7</v>
      </c>
      <c r="M553" t="s">
        <v>8</v>
      </c>
      <c r="N553" t="s">
        <v>8</v>
      </c>
      <c r="P553">
        <f t="shared" si="984"/>
        <v>-0.50454702428916864</v>
      </c>
      <c r="Q553">
        <f t="shared" si="985"/>
        <v>-112955966.58247977</v>
      </c>
      <c r="R553">
        <f t="shared" si="986"/>
        <v>-9697062628.2375622</v>
      </c>
      <c r="S553">
        <f t="shared" si="987"/>
        <v>-96970.626282375626</v>
      </c>
      <c r="T553">
        <f t="shared" si="988"/>
        <v>-96.970626282375619</v>
      </c>
    </row>
    <row r="554" spans="1:20" x14ac:dyDescent="0.25">
      <c r="A554" s="5">
        <v>44039</v>
      </c>
      <c r="B554">
        <v>6.2624999999999998E-3</v>
      </c>
      <c r="C554">
        <v>7.5300000000000002E-3</v>
      </c>
      <c r="D554">
        <v>6.0400000000000002E-3</v>
      </c>
      <c r="E554">
        <v>7.0999000000000001E-3</v>
      </c>
      <c r="F554">
        <v>531927087</v>
      </c>
      <c r="G554">
        <v>0</v>
      </c>
      <c r="L554" t="s">
        <v>8</v>
      </c>
      <c r="M554" t="s">
        <v>8</v>
      </c>
      <c r="N554" t="s">
        <v>8</v>
      </c>
      <c r="P554">
        <f t="shared" si="984"/>
        <v>0.42268456375838914</v>
      </c>
      <c r="Q554">
        <f t="shared" si="985"/>
        <v>224837368.71986571</v>
      </c>
      <c r="R554">
        <f t="shared" si="986"/>
        <v>-9584106661.6550827</v>
      </c>
      <c r="S554">
        <f t="shared" si="987"/>
        <v>-95841.06661655083</v>
      </c>
      <c r="T554">
        <f t="shared" si="988"/>
        <v>-95.841066616550833</v>
      </c>
    </row>
    <row r="555" spans="1:20" x14ac:dyDescent="0.25">
      <c r="A555" s="5">
        <v>44038</v>
      </c>
      <c r="B555">
        <v>6.2240999999999998E-3</v>
      </c>
      <c r="C555">
        <v>6.3699999999999998E-3</v>
      </c>
      <c r="D555">
        <v>5.6600000000000001E-3</v>
      </c>
      <c r="E555">
        <v>6.2807999999999996E-3</v>
      </c>
      <c r="F555">
        <v>201120912</v>
      </c>
      <c r="G555">
        <v>0</v>
      </c>
      <c r="L555" t="s">
        <v>7</v>
      </c>
      <c r="M555" t="s">
        <v>7</v>
      </c>
      <c r="N555" t="s">
        <v>8</v>
      </c>
      <c r="P555">
        <f t="shared" si="984"/>
        <v>0.74873239436619643</v>
      </c>
      <c r="Q555">
        <f t="shared" si="985"/>
        <v>150585741.99887308</v>
      </c>
      <c r="R555">
        <f t="shared" si="986"/>
        <v>-9808944030.3749485</v>
      </c>
      <c r="S555">
        <f t="shared" si="987"/>
        <v>-98089.440303749492</v>
      </c>
      <c r="T555">
        <f t="shared" si="988"/>
        <v>-98.089440303749498</v>
      </c>
    </row>
    <row r="556" spans="1:20" x14ac:dyDescent="0.25">
      <c r="A556" s="5">
        <v>44037</v>
      </c>
      <c r="B556">
        <v>6.6325000000000004E-3</v>
      </c>
      <c r="C556">
        <v>6.8884000000000003E-3</v>
      </c>
      <c r="D556">
        <v>6.1812999999999998E-3</v>
      </c>
      <c r="E556">
        <v>6.2055000000000001E-3</v>
      </c>
      <c r="F556">
        <v>164471708</v>
      </c>
      <c r="G556">
        <v>0</v>
      </c>
      <c r="L556" t="s">
        <v>7</v>
      </c>
      <c r="M556" t="s">
        <v>8</v>
      </c>
      <c r="N556" t="s">
        <v>8</v>
      </c>
      <c r="P556">
        <f t="shared" si="984"/>
        <v>-0.9315514071559885</v>
      </c>
      <c r="Q556">
        <f t="shared" si="985"/>
        <v>-153213851.02474886</v>
      </c>
      <c r="R556">
        <f t="shared" si="986"/>
        <v>-9959529772.3738213</v>
      </c>
      <c r="S556">
        <f t="shared" si="987"/>
        <v>-99595.297723738215</v>
      </c>
      <c r="T556">
        <f t="shared" si="988"/>
        <v>-99.595297723738213</v>
      </c>
    </row>
    <row r="557" spans="1:20" x14ac:dyDescent="0.25">
      <c r="A557" s="5">
        <v>44036</v>
      </c>
      <c r="B557">
        <v>5.8983999999999998E-3</v>
      </c>
      <c r="C557">
        <v>7.0689000000000004E-3</v>
      </c>
      <c r="D557">
        <v>5.8142000000000003E-3</v>
      </c>
      <c r="E557">
        <v>6.6089E-3</v>
      </c>
      <c r="F557">
        <v>305277372</v>
      </c>
      <c r="G557">
        <v>0</v>
      </c>
      <c r="L557" t="s">
        <v>8</v>
      </c>
      <c r="M557" t="s">
        <v>8</v>
      </c>
      <c r="N557" t="s">
        <v>8</v>
      </c>
      <c r="P557">
        <f t="shared" si="984"/>
        <v>0.26675699370367367</v>
      </c>
      <c r="Q557">
        <f t="shared" si="985"/>
        <v>81434874.000478044</v>
      </c>
      <c r="R557">
        <f t="shared" si="986"/>
        <v>-9806315921.3490715</v>
      </c>
      <c r="S557">
        <f t="shared" si="987"/>
        <v>-98063.159213490711</v>
      </c>
      <c r="T557">
        <f t="shared" si="988"/>
        <v>-98.063159213490707</v>
      </c>
    </row>
    <row r="558" spans="1:20" x14ac:dyDescent="0.25">
      <c r="A558" s="5">
        <v>44035</v>
      </c>
      <c r="B558">
        <v>5.5475000000000003E-3</v>
      </c>
      <c r="C558">
        <v>6.2499000000000001E-3</v>
      </c>
      <c r="D558">
        <v>5.5174000000000004E-3</v>
      </c>
      <c r="E558">
        <v>5.934E-3</v>
      </c>
      <c r="F558">
        <v>290127965</v>
      </c>
      <c r="G558">
        <v>0</v>
      </c>
      <c r="L558" t="s">
        <v>7</v>
      </c>
      <c r="M558" t="s">
        <v>8</v>
      </c>
      <c r="N558" t="s">
        <v>8</v>
      </c>
      <c r="P558">
        <f t="shared" si="984"/>
        <v>0.13747440273037492</v>
      </c>
      <c r="Q558">
        <f t="shared" si="985"/>
        <v>39885168.70375412</v>
      </c>
      <c r="R558">
        <f t="shared" si="986"/>
        <v>-9887750795.3495502</v>
      </c>
      <c r="S558">
        <f t="shared" si="987"/>
        <v>-98877.5079534955</v>
      </c>
      <c r="T558">
        <f t="shared" si="988"/>
        <v>-98.877507953495495</v>
      </c>
    </row>
    <row r="559" spans="1:20" x14ac:dyDescent="0.25">
      <c r="A559" s="5">
        <v>44034</v>
      </c>
      <c r="B559">
        <v>5.5786000000000004E-3</v>
      </c>
      <c r="C559">
        <v>6.3200000000000001E-3</v>
      </c>
      <c r="D559">
        <v>5.3550000000000004E-3</v>
      </c>
      <c r="E559">
        <v>5.5450999999999999E-3</v>
      </c>
      <c r="F559">
        <v>348233918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-0.60601036269430153</v>
      </c>
      <c r="Q559">
        <f t="shared" si="985"/>
        <v>-211033362.94963765</v>
      </c>
      <c r="R559">
        <f t="shared" si="986"/>
        <v>-9927635964.0533047</v>
      </c>
      <c r="S559">
        <f t="shared" si="987"/>
        <v>-99276.359640533046</v>
      </c>
      <c r="T559">
        <f t="shared" si="988"/>
        <v>-99.276359640533045</v>
      </c>
    </row>
    <row r="560" spans="1:20" x14ac:dyDescent="0.25">
      <c r="A560" s="5">
        <v>44033</v>
      </c>
      <c r="B560">
        <v>4.8751999999999997E-3</v>
      </c>
      <c r="C560">
        <v>6.0999000000000001E-3</v>
      </c>
      <c r="D560">
        <v>4.8072000000000002E-3</v>
      </c>
      <c r="E560">
        <v>5.5874999999999996E-3</v>
      </c>
      <c r="F560">
        <v>488502306</v>
      </c>
      <c r="G560">
        <v>0</v>
      </c>
      <c r="L560" t="s">
        <v>8</v>
      </c>
      <c r="M560" t="s">
        <v>8</v>
      </c>
      <c r="N560" t="s">
        <v>8</v>
      </c>
      <c r="P560">
        <f t="shared" si="984"/>
        <v>0.20724065908563385</v>
      </c>
      <c r="Q560">
        <f t="shared" si="985"/>
        <v>101237539.86029199</v>
      </c>
      <c r="R560">
        <f t="shared" si="986"/>
        <v>-9716602601.1036663</v>
      </c>
      <c r="S560">
        <f t="shared" si="987"/>
        <v>-97166.026011036665</v>
      </c>
      <c r="T560">
        <f t="shared" si="988"/>
        <v>-97.166026011036664</v>
      </c>
    </row>
    <row r="561" spans="1:104" x14ac:dyDescent="0.25">
      <c r="A561" s="5">
        <v>44032</v>
      </c>
      <c r="B561">
        <v>4.8998999999999996E-3</v>
      </c>
      <c r="C561">
        <v>5.2500000000000003E-3</v>
      </c>
      <c r="D561">
        <v>4.6652999999999998E-3</v>
      </c>
      <c r="E561">
        <v>4.9107999999999999E-3</v>
      </c>
      <c r="F561">
        <v>321668886</v>
      </c>
      <c r="G561">
        <v>0</v>
      </c>
      <c r="L561" t="s">
        <v>7</v>
      </c>
      <c r="M561" t="s">
        <v>8</v>
      </c>
      <c r="N561" t="s">
        <v>8</v>
      </c>
      <c r="P561">
        <f t="shared" si="984"/>
        <v>-0.1602531212587657</v>
      </c>
      <c r="Q561">
        <f t="shared" si="985"/>
        <v>-51548442.993330084</v>
      </c>
      <c r="R561">
        <f t="shared" si="986"/>
        <v>-9817840140.9639587</v>
      </c>
      <c r="S561">
        <f t="shared" si="987"/>
        <v>-98178.401409639584</v>
      </c>
      <c r="T561">
        <f t="shared" si="988"/>
        <v>-98.178401409639591</v>
      </c>
      <c r="CZ561" t="s">
        <v>7</v>
      </c>
    </row>
    <row r="562" spans="1:104" x14ac:dyDescent="0.25">
      <c r="A562" s="5">
        <v>44031</v>
      </c>
      <c r="B562">
        <v>4.7651999999999998E-3</v>
      </c>
      <c r="C562">
        <v>5.1789000000000002E-3</v>
      </c>
      <c r="D562">
        <v>4.6086E-3</v>
      </c>
      <c r="E562">
        <v>4.8998999999999996E-3</v>
      </c>
      <c r="F562">
        <v>231953686</v>
      </c>
      <c r="G562">
        <v>0</v>
      </c>
      <c r="L562" t="s">
        <v>8</v>
      </c>
      <c r="M562" t="s">
        <v>8</v>
      </c>
      <c r="N562" t="s">
        <v>8</v>
      </c>
      <c r="P562">
        <f t="shared" si="984"/>
        <v>2.1567596002102299E-2</v>
      </c>
      <c r="Q562">
        <f t="shared" si="985"/>
        <v>5002683.3908464918</v>
      </c>
      <c r="R562">
        <f t="shared" si="986"/>
        <v>-9766291697.9706287</v>
      </c>
      <c r="S562">
        <f t="shared" si="987"/>
        <v>-97662.916979706293</v>
      </c>
      <c r="T562">
        <f t="shared" si="988"/>
        <v>-97.662916979706296</v>
      </c>
      <c r="CZ562" t="s">
        <v>7</v>
      </c>
    </row>
    <row r="563" spans="1:104" x14ac:dyDescent="0.25">
      <c r="A563" s="5">
        <v>44030</v>
      </c>
      <c r="B563">
        <v>4.5627000000000003E-3</v>
      </c>
      <c r="C563">
        <v>5.1495999999999998E-3</v>
      </c>
      <c r="D563">
        <v>4.3556999999999997E-3</v>
      </c>
      <c r="E563">
        <v>4.7812999999999996E-3</v>
      </c>
      <c r="F563">
        <v>210121904</v>
      </c>
      <c r="G563">
        <v>0</v>
      </c>
      <c r="L563" t="s">
        <v>8</v>
      </c>
      <c r="M563" t="s">
        <v>8</v>
      </c>
      <c r="N563" t="s">
        <v>8</v>
      </c>
      <c r="P563">
        <f t="shared" si="984"/>
        <v>7.2175336944199142E-2</v>
      </c>
      <c r="Q563">
        <f t="shared" si="985"/>
        <v>15165619.220556665</v>
      </c>
      <c r="R563">
        <f t="shared" si="986"/>
        <v>-9771294381.361475</v>
      </c>
      <c r="S563">
        <f t="shared" si="987"/>
        <v>-97712.943813614751</v>
      </c>
      <c r="T563">
        <f t="shared" si="988"/>
        <v>-97.712943813614757</v>
      </c>
      <c r="CZ563" t="s">
        <v>7</v>
      </c>
    </row>
    <row r="564" spans="1:104" x14ac:dyDescent="0.25">
      <c r="A564" s="5">
        <v>44029</v>
      </c>
      <c r="B564">
        <v>4.4961000000000003E-3</v>
      </c>
      <c r="C564">
        <v>4.8199999999999996E-3</v>
      </c>
      <c r="D564">
        <v>4.2087000000000001E-3</v>
      </c>
      <c r="E564">
        <v>4.5500000000000002E-3</v>
      </c>
      <c r="F564">
        <v>235226491</v>
      </c>
      <c r="G564">
        <v>0</v>
      </c>
      <c r="L564" t="s">
        <v>7</v>
      </c>
      <c r="M564" t="s">
        <v>7</v>
      </c>
      <c r="N564" t="s">
        <v>8</v>
      </c>
      <c r="P564">
        <f t="shared" si="984"/>
        <v>0.11663667593652995</v>
      </c>
      <c r="Q564">
        <f t="shared" si="985"/>
        <v>27436036.00245408</v>
      </c>
      <c r="R564">
        <f t="shared" si="986"/>
        <v>-9786460000.5820313</v>
      </c>
      <c r="S564">
        <f t="shared" si="987"/>
        <v>-97864.600005820306</v>
      </c>
      <c r="T564">
        <f t="shared" si="988"/>
        <v>-97.864600005820307</v>
      </c>
    </row>
    <row r="565" spans="1:104" x14ac:dyDescent="0.25">
      <c r="A565" s="5">
        <v>44028</v>
      </c>
      <c r="B565">
        <v>4.3290000000000004E-3</v>
      </c>
      <c r="C565">
        <v>5.1999999999999998E-3</v>
      </c>
      <c r="D565">
        <v>4.1269999999999996E-3</v>
      </c>
      <c r="E565">
        <v>4.509E-3</v>
      </c>
      <c r="F565">
        <v>779926031</v>
      </c>
      <c r="G565">
        <v>0</v>
      </c>
      <c r="L565" t="s">
        <v>8</v>
      </c>
      <c r="M565" t="s">
        <v>8</v>
      </c>
      <c r="N565" t="s">
        <v>8</v>
      </c>
      <c r="P565">
        <f t="shared" si="984"/>
        <v>-0.28797763280521838</v>
      </c>
      <c r="Q565">
        <f t="shared" si="985"/>
        <v>-224601252.17054936</v>
      </c>
      <c r="R565">
        <f t="shared" si="986"/>
        <v>-9813896036.584486</v>
      </c>
      <c r="S565">
        <f t="shared" si="987"/>
        <v>-98138.960365844861</v>
      </c>
      <c r="T565">
        <f t="shared" si="988"/>
        <v>-98.138960365844866</v>
      </c>
    </row>
    <row r="566" spans="1:104" x14ac:dyDescent="0.25">
      <c r="A566" s="5">
        <v>44027</v>
      </c>
      <c r="B566">
        <v>3.7973E-3</v>
      </c>
      <c r="C566">
        <v>4.3699999999999998E-3</v>
      </c>
      <c r="D566">
        <v>3.7553E-3</v>
      </c>
      <c r="E566">
        <v>4.3369999999999997E-3</v>
      </c>
      <c r="F566">
        <v>184019461</v>
      </c>
      <c r="G566">
        <v>0</v>
      </c>
      <c r="L566" t="s">
        <v>8</v>
      </c>
      <c r="M566" t="s">
        <v>8</v>
      </c>
      <c r="N566" t="s">
        <v>7</v>
      </c>
      <c r="P566">
        <f t="shared" si="984"/>
        <v>0.89263055148853077</v>
      </c>
      <c r="Q566">
        <f t="shared" si="985"/>
        <v>164261392.95705217</v>
      </c>
      <c r="R566">
        <f t="shared" si="986"/>
        <v>-9589294784.4139366</v>
      </c>
      <c r="S566">
        <f t="shared" si="987"/>
        <v>-95892.947844139373</v>
      </c>
      <c r="T566">
        <f t="shared" si="988"/>
        <v>-95.892947844139371</v>
      </c>
    </row>
    <row r="567" spans="1:104" x14ac:dyDescent="0.25">
      <c r="A567" s="5">
        <v>44026</v>
      </c>
      <c r="B567">
        <v>3.6624000000000001E-3</v>
      </c>
      <c r="C567">
        <v>3.8362000000000001E-3</v>
      </c>
      <c r="D567">
        <v>3.6099999999999999E-3</v>
      </c>
      <c r="E567">
        <v>3.7858000000000002E-3</v>
      </c>
      <c r="F567">
        <v>46473673</v>
      </c>
      <c r="G567">
        <v>0</v>
      </c>
      <c r="L567" t="s">
        <v>8</v>
      </c>
      <c r="M567" t="s">
        <v>8</v>
      </c>
      <c r="N567" t="s">
        <v>7</v>
      </c>
      <c r="P567">
        <f t="shared" si="984"/>
        <v>0.55437665782493473</v>
      </c>
      <c r="Q567">
        <f t="shared" si="985"/>
        <v>25763919.514588907</v>
      </c>
      <c r="R567">
        <f t="shared" si="986"/>
        <v>-9753556177.3709888</v>
      </c>
      <c r="S567">
        <f t="shared" si="987"/>
        <v>-97535.561773709895</v>
      </c>
      <c r="T567">
        <f t="shared" si="988"/>
        <v>-97.535561773709901</v>
      </c>
    </row>
    <row r="568" spans="1:104" x14ac:dyDescent="0.25">
      <c r="A568" s="5">
        <v>44025</v>
      </c>
      <c r="B568">
        <v>3.8149E-3</v>
      </c>
      <c r="C568">
        <v>3.8757000000000002E-3</v>
      </c>
      <c r="D568">
        <v>3.5860000000000002E-3</v>
      </c>
      <c r="E568">
        <v>3.6789000000000001E-3</v>
      </c>
      <c r="F568">
        <v>126027385</v>
      </c>
      <c r="G568">
        <v>0</v>
      </c>
      <c r="L568" t="s">
        <v>7</v>
      </c>
      <c r="M568" t="s">
        <v>8</v>
      </c>
      <c r="N568" t="s">
        <v>7</v>
      </c>
      <c r="P568">
        <f t="shared" si="984"/>
        <v>-0.35864687607870249</v>
      </c>
      <c r="Q568">
        <f t="shared" si="985"/>
        <v>-45199327.930617929</v>
      </c>
      <c r="R568">
        <f t="shared" si="986"/>
        <v>-9779320096.8855782</v>
      </c>
      <c r="S568">
        <f t="shared" si="987"/>
        <v>-97793.200968855788</v>
      </c>
      <c r="T568">
        <f t="shared" si="988"/>
        <v>-97.793200968855786</v>
      </c>
    </row>
    <row r="569" spans="1:104" x14ac:dyDescent="0.25">
      <c r="A569" s="5">
        <v>44024</v>
      </c>
      <c r="B569">
        <v>4.0499999999999998E-3</v>
      </c>
      <c r="C569">
        <v>4.065E-3</v>
      </c>
      <c r="D569">
        <v>3.7174E-3</v>
      </c>
      <c r="E569">
        <v>3.8149E-3</v>
      </c>
      <c r="F569">
        <v>82087453</v>
      </c>
      <c r="G569">
        <v>0</v>
      </c>
      <c r="L569" t="s">
        <v>7</v>
      </c>
      <c r="M569" t="s">
        <v>8</v>
      </c>
      <c r="N569" t="s">
        <v>7</v>
      </c>
      <c r="P569">
        <f t="shared" si="984"/>
        <v>-0.43901035673187611</v>
      </c>
      <c r="Q569">
        <f t="shared" si="985"/>
        <v>-36037242.024741113</v>
      </c>
      <c r="R569">
        <f t="shared" si="986"/>
        <v>-9734120768.9549599</v>
      </c>
      <c r="S569">
        <f t="shared" si="987"/>
        <v>-97341.207689549599</v>
      </c>
      <c r="T569">
        <f t="shared" si="988"/>
        <v>-97.341207689549606</v>
      </c>
    </row>
    <row r="570" spans="1:104" x14ac:dyDescent="0.25">
      <c r="A570" s="5">
        <v>44023</v>
      </c>
      <c r="B570">
        <v>3.9050999999999999E-3</v>
      </c>
      <c r="C570">
        <v>4.1466000000000003E-3</v>
      </c>
      <c r="D570">
        <v>3.7878999999999999E-3</v>
      </c>
      <c r="E570">
        <v>4.0499999999999998E-3</v>
      </c>
      <c r="F570">
        <v>92494272</v>
      </c>
      <c r="G570">
        <v>0</v>
      </c>
      <c r="L570" t="s">
        <v>8</v>
      </c>
      <c r="M570" t="s">
        <v>8</v>
      </c>
      <c r="N570" t="s">
        <v>7</v>
      </c>
      <c r="P570">
        <f t="shared" si="984"/>
        <v>0.46138834680791529</v>
      </c>
      <c r="Q570">
        <f t="shared" si="985"/>
        <v>42675779.247281648</v>
      </c>
      <c r="R570">
        <f t="shared" si="986"/>
        <v>-9698083526.9302197</v>
      </c>
      <c r="S570">
        <f t="shared" si="987"/>
        <v>-96980.835269302203</v>
      </c>
      <c r="T570">
        <f t="shared" si="988"/>
        <v>-96.980835269302204</v>
      </c>
    </row>
    <row r="571" spans="1:104" x14ac:dyDescent="0.25">
      <c r="A571" s="5">
        <v>44022</v>
      </c>
      <c r="B571">
        <v>3.7198000000000001E-3</v>
      </c>
      <c r="C571">
        <v>3.9500000000000004E-3</v>
      </c>
      <c r="D571">
        <v>3.6248000000000001E-3</v>
      </c>
      <c r="E571">
        <v>3.8999999999999998E-3</v>
      </c>
      <c r="F571">
        <v>155539077</v>
      </c>
      <c r="G571">
        <v>0</v>
      </c>
      <c r="L571" t="s">
        <v>8</v>
      </c>
      <c r="M571" t="s">
        <v>8</v>
      </c>
      <c r="N571" t="s">
        <v>7</v>
      </c>
      <c r="P571">
        <f t="shared" si="984"/>
        <v>0.69249692496924653</v>
      </c>
      <c r="Q571">
        <f t="shared" si="985"/>
        <v>107710332.53505486</v>
      </c>
      <c r="R571">
        <f t="shared" si="986"/>
        <v>-9740759306.1775017</v>
      </c>
      <c r="S571">
        <f t="shared" si="987"/>
        <v>-97407.593061775013</v>
      </c>
      <c r="T571">
        <f t="shared" si="988"/>
        <v>-97.407593061775017</v>
      </c>
    </row>
    <row r="572" spans="1:104" x14ac:dyDescent="0.25">
      <c r="A572" s="5">
        <v>44021</v>
      </c>
      <c r="B572">
        <v>3.6403E-3</v>
      </c>
      <c r="C572">
        <v>3.7799999999999999E-3</v>
      </c>
      <c r="D572">
        <v>3.4900999999999999E-3</v>
      </c>
      <c r="E572">
        <v>3.7200000000000002E-3</v>
      </c>
      <c r="F572">
        <v>92826758</v>
      </c>
      <c r="G572">
        <v>0</v>
      </c>
      <c r="L572" t="s">
        <v>8</v>
      </c>
      <c r="M572" t="s">
        <v>8</v>
      </c>
      <c r="N572" t="s">
        <v>7</v>
      </c>
      <c r="P572">
        <f t="shared" si="984"/>
        <v>0.58606416005519346</v>
      </c>
      <c r="Q572">
        <f t="shared" si="985"/>
        <v>54402435.957916707</v>
      </c>
      <c r="R572">
        <f t="shared" si="986"/>
        <v>-9848469638.7125568</v>
      </c>
      <c r="S572">
        <f t="shared" si="987"/>
        <v>-98484.696387125572</v>
      </c>
      <c r="T572">
        <f t="shared" si="988"/>
        <v>-98.484696387125567</v>
      </c>
    </row>
    <row r="573" spans="1:104" x14ac:dyDescent="0.25">
      <c r="A573" s="5">
        <v>44020</v>
      </c>
      <c r="B573">
        <v>3.6399000000000002E-3</v>
      </c>
      <c r="C573">
        <v>3.6887999999999999E-3</v>
      </c>
      <c r="D573">
        <v>3.5560000000000001E-3</v>
      </c>
      <c r="E573">
        <v>3.6411E-3</v>
      </c>
      <c r="F573">
        <v>72772411</v>
      </c>
      <c r="G573">
        <v>0</v>
      </c>
      <c r="L573" t="s">
        <v>8</v>
      </c>
      <c r="M573" t="s">
        <v>8</v>
      </c>
      <c r="N573" t="s">
        <v>7</v>
      </c>
      <c r="P573">
        <f t="shared" si="984"/>
        <v>0.28162650602409639</v>
      </c>
      <c r="Q573">
        <f t="shared" si="985"/>
        <v>20494639.844879519</v>
      </c>
      <c r="R573">
        <f t="shared" si="986"/>
        <v>-9902872074.6704731</v>
      </c>
      <c r="S573">
        <f t="shared" si="987"/>
        <v>-99028.720746704726</v>
      </c>
      <c r="T573">
        <f t="shared" si="988"/>
        <v>-99.028720746704721</v>
      </c>
    </row>
    <row r="574" spans="1:104" x14ac:dyDescent="0.25">
      <c r="A574" s="5">
        <v>44019</v>
      </c>
      <c r="B574">
        <v>3.5568000000000002E-3</v>
      </c>
      <c r="C574">
        <v>3.65E-3</v>
      </c>
      <c r="D574">
        <v>3.4499999999999999E-3</v>
      </c>
      <c r="E574">
        <v>3.6396000000000002E-3</v>
      </c>
      <c r="F574">
        <v>53639667</v>
      </c>
      <c r="G574">
        <v>0</v>
      </c>
      <c r="L574" t="s">
        <v>8</v>
      </c>
      <c r="M574" t="s">
        <v>8</v>
      </c>
      <c r="N574" t="s">
        <v>7</v>
      </c>
      <c r="P574">
        <f t="shared" si="984"/>
        <v>0.89600000000000191</v>
      </c>
      <c r="Q574">
        <f t="shared" si="985"/>
        <v>48061141.632000104</v>
      </c>
      <c r="R574">
        <f t="shared" si="986"/>
        <v>-9923366714.5153522</v>
      </c>
      <c r="S574">
        <f t="shared" si="987"/>
        <v>-99233.667145153522</v>
      </c>
      <c r="T574">
        <f t="shared" si="988"/>
        <v>-99.233667145153518</v>
      </c>
    </row>
    <row r="575" spans="1:104" x14ac:dyDescent="0.25">
      <c r="A575" s="5">
        <v>44018</v>
      </c>
      <c r="B575">
        <v>3.4321999999999998E-3</v>
      </c>
      <c r="C575">
        <v>3.6292999999999998E-3</v>
      </c>
      <c r="D575">
        <v>3.4321999999999998E-3</v>
      </c>
      <c r="E575">
        <v>3.5569E-3</v>
      </c>
      <c r="F575">
        <v>50839941</v>
      </c>
      <c r="G575">
        <v>0</v>
      </c>
      <c r="L575" t="s">
        <v>8</v>
      </c>
      <c r="M575" t="s">
        <v>8</v>
      </c>
      <c r="N575" t="s">
        <v>7</v>
      </c>
      <c r="P575">
        <f t="shared" si="984"/>
        <v>0.26534753932014388</v>
      </c>
      <c r="Q575">
        <f t="shared" si="985"/>
        <v>13490253.243531294</v>
      </c>
      <c r="R575">
        <f t="shared" si="986"/>
        <v>-9971427856.1473522</v>
      </c>
      <c r="S575">
        <f t="shared" si="987"/>
        <v>-99714.278561473518</v>
      </c>
      <c r="T575">
        <f t="shared" si="988"/>
        <v>-99.71427856147352</v>
      </c>
    </row>
    <row r="576" spans="1:104" x14ac:dyDescent="0.25">
      <c r="A576" s="5">
        <v>44017</v>
      </c>
      <c r="B576">
        <v>3.6299000000000001E-3</v>
      </c>
      <c r="C576">
        <v>3.6600000000000001E-3</v>
      </c>
      <c r="D576">
        <v>3.3771000000000001E-3</v>
      </c>
      <c r="E576">
        <v>3.4134E-3</v>
      </c>
      <c r="F576">
        <v>80888672</v>
      </c>
      <c r="G576">
        <v>0</v>
      </c>
      <c r="L576" t="s">
        <v>7</v>
      </c>
      <c r="M576" t="s">
        <v>8</v>
      </c>
      <c r="N576" t="s">
        <v>7</v>
      </c>
      <c r="P576">
        <f t="shared" si="984"/>
        <v>-0.74337221633085926</v>
      </c>
      <c r="Q576">
        <f t="shared" si="985"/>
        <v>-60130391.380699918</v>
      </c>
      <c r="R576">
        <f t="shared" si="986"/>
        <v>-9984918109.3908844</v>
      </c>
      <c r="S576">
        <f t="shared" si="987"/>
        <v>-99849.181093908846</v>
      </c>
      <c r="T576">
        <f t="shared" si="988"/>
        <v>-99.84918109390884</v>
      </c>
    </row>
    <row r="577" spans="1:20" x14ac:dyDescent="0.25">
      <c r="A577" s="5">
        <v>44016</v>
      </c>
      <c r="B577">
        <v>3.6995999999999999E-3</v>
      </c>
      <c r="C577">
        <v>3.8026000000000002E-3</v>
      </c>
      <c r="D577">
        <v>3.5599999999999998E-3</v>
      </c>
      <c r="E577">
        <v>3.6335E-3</v>
      </c>
      <c r="F577">
        <v>70427397</v>
      </c>
      <c r="G577">
        <v>0</v>
      </c>
      <c r="L577" t="s">
        <v>7</v>
      </c>
      <c r="M577" t="s">
        <v>8</v>
      </c>
      <c r="N577" t="s">
        <v>7</v>
      </c>
      <c r="P577">
        <f t="shared" si="984"/>
        <v>-0.39406430338004861</v>
      </c>
      <c r="Q577">
        <f t="shared" si="985"/>
        <v>-27752923.137675125</v>
      </c>
      <c r="R577">
        <f t="shared" si="986"/>
        <v>-9924787718.0101852</v>
      </c>
      <c r="S577">
        <f t="shared" si="987"/>
        <v>-99247.877180101859</v>
      </c>
      <c r="T577">
        <f t="shared" si="988"/>
        <v>-99.247877180101852</v>
      </c>
    </row>
    <row r="578" spans="1:20" x14ac:dyDescent="0.25">
      <c r="A578" s="5">
        <v>44015</v>
      </c>
      <c r="B578">
        <v>3.5847000000000001E-3</v>
      </c>
      <c r="C578">
        <v>3.8400000000000001E-3</v>
      </c>
      <c r="D578">
        <v>3.5057E-3</v>
      </c>
      <c r="E578">
        <v>3.6993999999999998E-3</v>
      </c>
      <c r="F578">
        <v>119876945</v>
      </c>
      <c r="G578">
        <v>0</v>
      </c>
      <c r="L578" t="s">
        <v>8</v>
      </c>
      <c r="M578" t="s">
        <v>8</v>
      </c>
      <c r="N578" t="s">
        <v>7</v>
      </c>
      <c r="P578">
        <f t="shared" si="984"/>
        <v>0.15883936583906519</v>
      </c>
      <c r="Q578">
        <f t="shared" si="985"/>
        <v>19041177.922524497</v>
      </c>
      <c r="R578">
        <f t="shared" si="986"/>
        <v>-9897034794.8725109</v>
      </c>
      <c r="S578">
        <f t="shared" si="987"/>
        <v>-98970.347948725102</v>
      </c>
      <c r="T578">
        <f t="shared" si="988"/>
        <v>-98.970347948725106</v>
      </c>
    </row>
    <row r="579" spans="1:20" x14ac:dyDescent="0.25">
      <c r="A579" s="5">
        <v>44014</v>
      </c>
      <c r="B579">
        <v>3.5961000000000001E-3</v>
      </c>
      <c r="C579">
        <v>3.7000000000000002E-3</v>
      </c>
      <c r="D579">
        <v>3.4123000000000001E-3</v>
      </c>
      <c r="E579">
        <v>3.5775999999999998E-3</v>
      </c>
      <c r="F579">
        <v>123646500</v>
      </c>
      <c r="G579">
        <v>0</v>
      </c>
      <c r="L579" t="s">
        <v>8</v>
      </c>
      <c r="M579" t="s">
        <v>8</v>
      </c>
      <c r="N579" t="s">
        <v>7</v>
      </c>
      <c r="P579">
        <f t="shared" si="984"/>
        <v>0.14911366006256291</v>
      </c>
      <c r="Q579">
        <f t="shared" si="985"/>
        <v>18437382.168925684</v>
      </c>
      <c r="R579">
        <f t="shared" si="986"/>
        <v>-9916075972.7950363</v>
      </c>
      <c r="S579">
        <f t="shared" si="987"/>
        <v>-99160.759727950368</v>
      </c>
      <c r="T579">
        <f t="shared" si="988"/>
        <v>-99.160759727950364</v>
      </c>
    </row>
    <row r="580" spans="1:20" x14ac:dyDescent="0.25">
      <c r="A580" s="5">
        <v>44013</v>
      </c>
      <c r="B580">
        <v>3.4930999999999999E-3</v>
      </c>
      <c r="C580">
        <v>3.6700000000000001E-3</v>
      </c>
      <c r="D580">
        <v>3.2975000000000001E-3</v>
      </c>
      <c r="E580">
        <v>3.6096000000000001E-3</v>
      </c>
      <c r="F580">
        <v>156598446</v>
      </c>
      <c r="G580">
        <v>0</v>
      </c>
      <c r="L580" t="s">
        <v>8</v>
      </c>
      <c r="M580" t="s">
        <v>8</v>
      </c>
      <c r="N580" t="s">
        <v>7</v>
      </c>
      <c r="P580">
        <f t="shared" si="984"/>
        <v>0.6757046979865774</v>
      </c>
      <c r="Q580">
        <f t="shared" si="985"/>
        <v>105814305.65959735</v>
      </c>
      <c r="R580">
        <f t="shared" si="986"/>
        <v>-9934513354.9639626</v>
      </c>
      <c r="S580">
        <f t="shared" si="987"/>
        <v>-99345.13354963962</v>
      </c>
      <c r="T580">
        <f t="shared" si="988"/>
        <v>-99.345133549639627</v>
      </c>
    </row>
    <row r="581" spans="1:20" x14ac:dyDescent="0.25">
      <c r="A581" s="5">
        <v>44012</v>
      </c>
      <c r="B581">
        <v>3.2177999999999998E-3</v>
      </c>
      <c r="C581">
        <v>3.5400000000000002E-3</v>
      </c>
      <c r="D581">
        <v>3.1392E-3</v>
      </c>
      <c r="E581">
        <v>3.4952E-3</v>
      </c>
      <c r="F581">
        <v>255586779</v>
      </c>
      <c r="G581">
        <v>0</v>
      </c>
      <c r="L581" t="s">
        <v>8</v>
      </c>
      <c r="M581" t="s">
        <v>7</v>
      </c>
      <c r="N581" t="s">
        <v>7</v>
      </c>
      <c r="P581">
        <f t="shared" si="984"/>
        <v>0.77644710578842213</v>
      </c>
      <c r="Q581">
        <f t="shared" si="985"/>
        <v>198449614.83233505</v>
      </c>
      <c r="R581">
        <f t="shared" si="986"/>
        <v>-10040327660.62356</v>
      </c>
      <c r="S581">
        <f t="shared" si="987"/>
        <v>-100403.27660623559</v>
      </c>
      <c r="T581">
        <f t="shared" si="988"/>
        <v>-100.40327660623559</v>
      </c>
    </row>
    <row r="582" spans="1:20" x14ac:dyDescent="0.25">
      <c r="A582" s="5">
        <v>44011</v>
      </c>
      <c r="B582">
        <v>3.2312999999999999E-3</v>
      </c>
      <c r="C582">
        <v>3.2737999999999999E-3</v>
      </c>
      <c r="D582">
        <v>3.0607999999999998E-3</v>
      </c>
      <c r="E582">
        <v>3.2152999999999999E-3</v>
      </c>
      <c r="F582">
        <v>47816635</v>
      </c>
      <c r="G582">
        <v>0</v>
      </c>
      <c r="L582" t="s">
        <v>7</v>
      </c>
      <c r="M582" t="s">
        <v>7</v>
      </c>
      <c r="N582" t="s">
        <v>7</v>
      </c>
      <c r="P582">
        <f t="shared" ref="P582:P645" si="989">IF(C582=D582,0,((E582-D582)-(C582-E582))/(C582-D582))</f>
        <v>0.4507042253521133</v>
      </c>
      <c r="Q582">
        <f t="shared" ref="Q582:Q645" si="990">F582*P582</f>
        <v>21551159.436619747</v>
      </c>
      <c r="R582">
        <f t="shared" ref="R582:R645" si="991">R583+Q582</f>
        <v>-10238777275.455894</v>
      </c>
      <c r="S582">
        <f t="shared" ref="S582:S645" si="992">R582/100000</f>
        <v>-102387.77275455894</v>
      </c>
      <c r="T582">
        <f t="shared" ref="T582:T645" si="993">S582/1000</f>
        <v>-102.38777275455894</v>
      </c>
    </row>
    <row r="583" spans="1:20" x14ac:dyDescent="0.25">
      <c r="A583" s="5">
        <v>44010</v>
      </c>
      <c r="B583">
        <v>3.0631E-3</v>
      </c>
      <c r="C583">
        <v>3.3129000000000001E-3</v>
      </c>
      <c r="D583">
        <v>3.0481000000000002E-3</v>
      </c>
      <c r="E583">
        <v>3.2683E-3</v>
      </c>
      <c r="F583">
        <v>50011838</v>
      </c>
      <c r="G583">
        <v>0</v>
      </c>
      <c r="L583" t="s">
        <v>8</v>
      </c>
      <c r="M583" t="s">
        <v>7</v>
      </c>
      <c r="N583" t="s">
        <v>7</v>
      </c>
      <c r="P583">
        <f t="shared" si="989"/>
        <v>0.66314199395770301</v>
      </c>
      <c r="Q583">
        <f t="shared" si="990"/>
        <v>33164949.97280962</v>
      </c>
      <c r="R583">
        <f t="shared" si="991"/>
        <v>-10260328434.892513</v>
      </c>
      <c r="S583">
        <f t="shared" si="992"/>
        <v>-102603.28434892514</v>
      </c>
      <c r="T583">
        <f t="shared" si="993"/>
        <v>-102.60328434892514</v>
      </c>
    </row>
    <row r="584" spans="1:20" x14ac:dyDescent="0.25">
      <c r="A584" s="5">
        <v>44009</v>
      </c>
      <c r="B584">
        <v>3.3075000000000001E-3</v>
      </c>
      <c r="C584">
        <v>3.3616000000000002E-3</v>
      </c>
      <c r="D584">
        <v>3.0200000000000001E-3</v>
      </c>
      <c r="E584">
        <v>3.0744000000000001E-3</v>
      </c>
      <c r="F584">
        <v>87287335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-0.68149882903981263</v>
      </c>
      <c r="Q584">
        <f t="shared" si="990"/>
        <v>-59486216.59250585</v>
      </c>
      <c r="R584">
        <f t="shared" si="991"/>
        <v>-10293493384.865322</v>
      </c>
      <c r="S584">
        <f t="shared" si="992"/>
        <v>-102934.93384865322</v>
      </c>
      <c r="T584">
        <f t="shared" si="993"/>
        <v>-102.93493384865322</v>
      </c>
    </row>
    <row r="585" spans="1:20" x14ac:dyDescent="0.25">
      <c r="A585" s="5">
        <v>44008</v>
      </c>
      <c r="B585">
        <v>3.5430000000000001E-3</v>
      </c>
      <c r="C585">
        <v>3.5569999999999998E-3</v>
      </c>
      <c r="D585">
        <v>3.2766000000000002E-3</v>
      </c>
      <c r="E585">
        <v>3.3251999999999999E-3</v>
      </c>
      <c r="F585">
        <v>65845531</v>
      </c>
      <c r="G585">
        <v>0</v>
      </c>
      <c r="L585" t="s">
        <v>7</v>
      </c>
      <c r="M585" t="s">
        <v>7</v>
      </c>
      <c r="N585" t="s">
        <v>7</v>
      </c>
      <c r="P585">
        <f t="shared" si="989"/>
        <v>-0.65335235378031509</v>
      </c>
      <c r="Q585">
        <f t="shared" si="990"/>
        <v>-43020332.664764702</v>
      </c>
      <c r="R585">
        <f t="shared" si="991"/>
        <v>-10234007168.272816</v>
      </c>
      <c r="S585">
        <f t="shared" si="992"/>
        <v>-102340.07168272816</v>
      </c>
      <c r="T585">
        <f t="shared" si="993"/>
        <v>-102.34007168272815</v>
      </c>
    </row>
    <row r="586" spans="1:20" x14ac:dyDescent="0.25">
      <c r="A586" s="5">
        <v>44007</v>
      </c>
      <c r="B586">
        <v>3.6175000000000001E-3</v>
      </c>
      <c r="C586">
        <v>3.6611999999999999E-3</v>
      </c>
      <c r="D586">
        <v>3.3873000000000002E-3</v>
      </c>
      <c r="E586">
        <v>3.5430000000000001E-3</v>
      </c>
      <c r="F586">
        <v>58645486</v>
      </c>
      <c r="G586">
        <v>0</v>
      </c>
      <c r="L586" t="s">
        <v>7</v>
      </c>
      <c r="M586" t="s">
        <v>7</v>
      </c>
      <c r="N586" t="s">
        <v>8</v>
      </c>
      <c r="P586">
        <f t="shared" si="989"/>
        <v>0.13691128148959567</v>
      </c>
      <c r="Q586">
        <f t="shared" si="990"/>
        <v>8029228.6418401422</v>
      </c>
      <c r="R586">
        <f t="shared" si="991"/>
        <v>-10190986835.608051</v>
      </c>
      <c r="S586">
        <f t="shared" si="992"/>
        <v>-101909.86835608051</v>
      </c>
      <c r="T586">
        <f t="shared" si="993"/>
        <v>-101.90986835608051</v>
      </c>
    </row>
    <row r="587" spans="1:20" x14ac:dyDescent="0.25">
      <c r="A587" s="5">
        <v>44006</v>
      </c>
      <c r="B587">
        <v>3.8533E-3</v>
      </c>
      <c r="C587">
        <v>3.8535000000000002E-3</v>
      </c>
      <c r="D587">
        <v>3.5417000000000001E-3</v>
      </c>
      <c r="E587">
        <v>3.6318000000000001E-3</v>
      </c>
      <c r="F587">
        <v>85815658</v>
      </c>
      <c r="G587">
        <v>0</v>
      </c>
      <c r="L587" t="s">
        <v>7</v>
      </c>
      <c r="M587" t="s">
        <v>7</v>
      </c>
      <c r="N587" t="s">
        <v>8</v>
      </c>
      <c r="P587">
        <f t="shared" si="989"/>
        <v>-0.42206542655548396</v>
      </c>
      <c r="Q587">
        <f t="shared" si="990"/>
        <v>-36219822.29890953</v>
      </c>
      <c r="R587">
        <f t="shared" si="991"/>
        <v>-10199016064.249891</v>
      </c>
      <c r="S587">
        <f t="shared" si="992"/>
        <v>-101990.16064249891</v>
      </c>
      <c r="T587">
        <f t="shared" si="993"/>
        <v>-101.99016064249892</v>
      </c>
    </row>
    <row r="588" spans="1:20" x14ac:dyDescent="0.25">
      <c r="A588" s="5">
        <v>44005</v>
      </c>
      <c r="B588">
        <v>3.875E-3</v>
      </c>
      <c r="C588">
        <v>3.9954999999999999E-3</v>
      </c>
      <c r="D588">
        <v>3.7926000000000001E-3</v>
      </c>
      <c r="E588">
        <v>3.8532000000000002E-3</v>
      </c>
      <c r="F588">
        <v>76121736</v>
      </c>
      <c r="G588">
        <v>0</v>
      </c>
      <c r="L588" t="s">
        <v>8</v>
      </c>
      <c r="M588" t="s">
        <v>7</v>
      </c>
      <c r="N588" t="s">
        <v>8</v>
      </c>
      <c r="P588">
        <f t="shared" si="989"/>
        <v>-0.40266140956135898</v>
      </c>
      <c r="Q588">
        <f t="shared" si="990"/>
        <v>-30651285.516017646</v>
      </c>
      <c r="R588">
        <f t="shared" si="991"/>
        <v>-10162796241.950981</v>
      </c>
      <c r="S588">
        <f t="shared" si="992"/>
        <v>-101627.96241950981</v>
      </c>
      <c r="T588">
        <f t="shared" si="993"/>
        <v>-101.62796241950981</v>
      </c>
    </row>
    <row r="589" spans="1:20" x14ac:dyDescent="0.25">
      <c r="A589" s="5">
        <v>44004</v>
      </c>
      <c r="B589">
        <v>3.9497999999999998E-3</v>
      </c>
      <c r="C589">
        <v>4.1643000000000001E-3</v>
      </c>
      <c r="D589">
        <v>3.7525000000000002E-3</v>
      </c>
      <c r="E589">
        <v>3.8747999999999999E-3</v>
      </c>
      <c r="F589">
        <v>145734099</v>
      </c>
      <c r="G589">
        <v>0</v>
      </c>
      <c r="L589" t="s">
        <v>7</v>
      </c>
      <c r="M589" t="s">
        <v>7</v>
      </c>
      <c r="N589" t="s">
        <v>8</v>
      </c>
      <c r="P589">
        <f t="shared" si="989"/>
        <v>-0.40602234094220646</v>
      </c>
      <c r="Q589">
        <f t="shared" si="990"/>
        <v>-59171300.031083271</v>
      </c>
      <c r="R589">
        <f t="shared" si="991"/>
        <v>-10132144956.434963</v>
      </c>
      <c r="S589">
        <f t="shared" si="992"/>
        <v>-101321.44956434963</v>
      </c>
      <c r="T589">
        <f t="shared" si="993"/>
        <v>-101.32144956434963</v>
      </c>
    </row>
    <row r="590" spans="1:20" x14ac:dyDescent="0.25">
      <c r="A590" s="5">
        <v>44003</v>
      </c>
      <c r="B590">
        <v>4.2277E-3</v>
      </c>
      <c r="C590">
        <v>4.4000000000000003E-3</v>
      </c>
      <c r="D590">
        <v>3.9003000000000002E-3</v>
      </c>
      <c r="E590">
        <v>3.9166000000000001E-3</v>
      </c>
      <c r="F590">
        <v>105559991</v>
      </c>
      <c r="G590">
        <v>0</v>
      </c>
      <c r="L590" t="s">
        <v>7</v>
      </c>
      <c r="M590" t="s">
        <v>8</v>
      </c>
      <c r="N590" t="s">
        <v>8</v>
      </c>
      <c r="P590">
        <f t="shared" si="989"/>
        <v>-0.93476085651390872</v>
      </c>
      <c r="Q590">
        <f t="shared" si="990"/>
        <v>-98673347.60076049</v>
      </c>
      <c r="R590">
        <f t="shared" si="991"/>
        <v>-10072973656.403879</v>
      </c>
      <c r="S590">
        <f t="shared" si="992"/>
        <v>-100729.73656403879</v>
      </c>
      <c r="T590">
        <f t="shared" si="993"/>
        <v>-100.72973656403879</v>
      </c>
    </row>
    <row r="591" spans="1:20" x14ac:dyDescent="0.25">
      <c r="A591" s="5">
        <v>44002</v>
      </c>
      <c r="B591">
        <v>4.3600000000000002E-3</v>
      </c>
      <c r="C591">
        <v>4.4844999999999998E-3</v>
      </c>
      <c r="D591">
        <v>4.0360999999999999E-3</v>
      </c>
      <c r="E591">
        <v>4.2227999999999996E-3</v>
      </c>
      <c r="F591">
        <v>127245443</v>
      </c>
      <c r="G591">
        <v>0</v>
      </c>
      <c r="L591" t="s">
        <v>8</v>
      </c>
      <c r="M591" t="s">
        <v>8</v>
      </c>
      <c r="N591" t="s">
        <v>8</v>
      </c>
      <c r="P591">
        <f t="shared" si="989"/>
        <v>-0.16726137377341757</v>
      </c>
      <c r="Q591">
        <f t="shared" si="990"/>
        <v>-21283247.6025871</v>
      </c>
      <c r="R591">
        <f t="shared" si="991"/>
        <v>-9974300308.8031178</v>
      </c>
      <c r="S591">
        <f t="shared" si="992"/>
        <v>-99743.003088031182</v>
      </c>
      <c r="T591">
        <f t="shared" si="993"/>
        <v>-99.743003088031188</v>
      </c>
    </row>
    <row r="592" spans="1:20" x14ac:dyDescent="0.25">
      <c r="A592" s="5">
        <v>44001</v>
      </c>
      <c r="B592">
        <v>3.9826999999999996E-3</v>
      </c>
      <c r="C592">
        <v>4.4000000000000003E-3</v>
      </c>
      <c r="D592">
        <v>3.8576000000000001E-3</v>
      </c>
      <c r="E592">
        <v>4.3340999999999996E-3</v>
      </c>
      <c r="F592">
        <v>219690326</v>
      </c>
      <c r="G592">
        <v>0</v>
      </c>
      <c r="L592" t="s">
        <v>8</v>
      </c>
      <c r="M592" t="s">
        <v>8</v>
      </c>
      <c r="N592" t="s">
        <v>8</v>
      </c>
      <c r="P592">
        <f t="shared" si="989"/>
        <v>0.75700589970501231</v>
      </c>
      <c r="Q592">
        <f t="shared" si="990"/>
        <v>166306872.89011747</v>
      </c>
      <c r="R592">
        <f t="shared" si="991"/>
        <v>-9953017061.200531</v>
      </c>
      <c r="S592">
        <f t="shared" si="992"/>
        <v>-99530.170612005313</v>
      </c>
      <c r="T592">
        <f t="shared" si="993"/>
        <v>-99.530170612005307</v>
      </c>
    </row>
    <row r="593" spans="1:20" x14ac:dyDescent="0.25">
      <c r="A593" s="5">
        <v>44000</v>
      </c>
      <c r="B593">
        <v>3.6478999999999999E-3</v>
      </c>
      <c r="C593">
        <v>4.1355999999999997E-3</v>
      </c>
      <c r="D593">
        <v>3.578E-3</v>
      </c>
      <c r="E593">
        <v>3.9836000000000003E-3</v>
      </c>
      <c r="F593">
        <v>246203983</v>
      </c>
      <c r="G593">
        <v>0</v>
      </c>
      <c r="L593" t="s">
        <v>8</v>
      </c>
      <c r="M593" t="s">
        <v>8</v>
      </c>
      <c r="N593" t="s">
        <v>7</v>
      </c>
      <c r="P593">
        <f t="shared" si="989"/>
        <v>0.45480631276901201</v>
      </c>
      <c r="Q593">
        <f t="shared" si="990"/>
        <v>111975125.69727452</v>
      </c>
      <c r="R593">
        <f t="shared" si="991"/>
        <v>-10119323934.090649</v>
      </c>
      <c r="S593">
        <f t="shared" si="992"/>
        <v>-101193.23934090648</v>
      </c>
      <c r="T593">
        <f t="shared" si="993"/>
        <v>-101.19323934090649</v>
      </c>
    </row>
    <row r="594" spans="1:20" x14ac:dyDescent="0.25">
      <c r="A594" s="5">
        <v>43999</v>
      </c>
      <c r="B594">
        <v>3.8803000000000002E-3</v>
      </c>
      <c r="C594">
        <v>3.9791000000000002E-3</v>
      </c>
      <c r="D594">
        <v>3.5208000000000001E-3</v>
      </c>
      <c r="E594">
        <v>3.6422999999999998E-3</v>
      </c>
      <c r="F594">
        <v>239814007</v>
      </c>
      <c r="G594">
        <v>0</v>
      </c>
      <c r="L594" t="s">
        <v>7</v>
      </c>
      <c r="M594" t="s">
        <v>8</v>
      </c>
      <c r="N594" t="s">
        <v>7</v>
      </c>
      <c r="P594">
        <f t="shared" si="989"/>
        <v>-0.46977962033602599</v>
      </c>
      <c r="Q594">
        <f t="shared" si="990"/>
        <v>-112659733.15972108</v>
      </c>
      <c r="R594">
        <f t="shared" si="991"/>
        <v>-10231299059.787924</v>
      </c>
      <c r="S594">
        <f t="shared" si="992"/>
        <v>-102312.99059787924</v>
      </c>
      <c r="T594">
        <f t="shared" si="993"/>
        <v>-102.31299059787924</v>
      </c>
    </row>
    <row r="595" spans="1:20" x14ac:dyDescent="0.25">
      <c r="A595" s="5">
        <v>43998</v>
      </c>
      <c r="B595">
        <v>3.5650999999999999E-3</v>
      </c>
      <c r="C595">
        <v>4.0184000000000001E-3</v>
      </c>
      <c r="D595">
        <v>3.4751999999999999E-3</v>
      </c>
      <c r="E595">
        <v>3.8769999999999998E-3</v>
      </c>
      <c r="F595">
        <v>138029919</v>
      </c>
      <c r="G595">
        <v>0</v>
      </c>
      <c r="L595" t="s">
        <v>8</v>
      </c>
      <c r="M595" t="s">
        <v>8</v>
      </c>
      <c r="N595" t="s">
        <v>7</v>
      </c>
      <c r="P595">
        <f t="shared" si="989"/>
        <v>0.4793814432989682</v>
      </c>
      <c r="Q595">
        <f t="shared" si="990"/>
        <v>66168981.788659677</v>
      </c>
      <c r="R595">
        <f t="shared" si="991"/>
        <v>-10118639326.628202</v>
      </c>
      <c r="S595">
        <f t="shared" si="992"/>
        <v>-101186.39326628203</v>
      </c>
      <c r="T595">
        <f t="shared" si="993"/>
        <v>-101.18639326628202</v>
      </c>
    </row>
    <row r="596" spans="1:20" x14ac:dyDescent="0.25">
      <c r="A596" s="5">
        <v>43997</v>
      </c>
      <c r="B596">
        <v>3.6120000000000002E-3</v>
      </c>
      <c r="C596">
        <v>3.7288E-3</v>
      </c>
      <c r="D596">
        <v>3.2269E-3</v>
      </c>
      <c r="E596">
        <v>3.5676000000000002E-3</v>
      </c>
      <c r="F596">
        <v>178935049</v>
      </c>
      <c r="G596">
        <v>0</v>
      </c>
      <c r="L596" t="s">
        <v>7</v>
      </c>
      <c r="M596" t="s">
        <v>7</v>
      </c>
      <c r="N596" t="s">
        <v>7</v>
      </c>
      <c r="P596">
        <f t="shared" si="989"/>
        <v>0.35764096433552583</v>
      </c>
      <c r="Q596">
        <f t="shared" si="990"/>
        <v>63994503.477784567</v>
      </c>
      <c r="R596">
        <f t="shared" si="991"/>
        <v>-10184808308.416862</v>
      </c>
      <c r="S596">
        <f t="shared" si="992"/>
        <v>-101848.08308416863</v>
      </c>
      <c r="T596">
        <f t="shared" si="993"/>
        <v>-101.84808308416862</v>
      </c>
    </row>
    <row r="597" spans="1:20" x14ac:dyDescent="0.25">
      <c r="A597" s="5">
        <v>43996</v>
      </c>
      <c r="B597">
        <v>3.8141999999999998E-3</v>
      </c>
      <c r="C597">
        <v>4.0800000000000003E-3</v>
      </c>
      <c r="D597">
        <v>3.3E-3</v>
      </c>
      <c r="E597">
        <v>3.6034999999999999E-3</v>
      </c>
      <c r="F597">
        <v>249647606</v>
      </c>
      <c r="G597">
        <v>0</v>
      </c>
      <c r="L597" t="s">
        <v>8</v>
      </c>
      <c r="M597" t="s">
        <v>8</v>
      </c>
      <c r="N597" t="s">
        <v>7</v>
      </c>
      <c r="P597">
        <f t="shared" si="989"/>
        <v>-0.22179487179487223</v>
      </c>
      <c r="Q597">
        <f t="shared" si="990"/>
        <v>-55370558.766666777</v>
      </c>
      <c r="R597">
        <f t="shared" si="991"/>
        <v>-10248802811.894648</v>
      </c>
      <c r="S597">
        <f t="shared" si="992"/>
        <v>-102488.02811894647</v>
      </c>
      <c r="T597">
        <f t="shared" si="993"/>
        <v>-102.48802811894647</v>
      </c>
    </row>
    <row r="598" spans="1:20" x14ac:dyDescent="0.25">
      <c r="A598" s="5">
        <v>43995</v>
      </c>
      <c r="B598">
        <v>3.5939000000000001E-3</v>
      </c>
      <c r="C598">
        <v>3.8922000000000002E-3</v>
      </c>
      <c r="D598">
        <v>3.5290999999999999E-3</v>
      </c>
      <c r="E598">
        <v>3.8141999999999998E-3</v>
      </c>
      <c r="F598">
        <v>218082253</v>
      </c>
      <c r="G598">
        <v>0</v>
      </c>
      <c r="L598" t="s">
        <v>8</v>
      </c>
      <c r="M598" t="s">
        <v>8</v>
      </c>
      <c r="N598" t="s">
        <v>7</v>
      </c>
      <c r="P598">
        <f t="shared" si="989"/>
        <v>0.57036629027815855</v>
      </c>
      <c r="Q598">
        <f t="shared" si="990"/>
        <v>124386765.61911282</v>
      </c>
      <c r="R598">
        <f t="shared" si="991"/>
        <v>-10193432253.127981</v>
      </c>
      <c r="S598">
        <f t="shared" si="992"/>
        <v>-101934.32253127982</v>
      </c>
      <c r="T598">
        <f t="shared" si="993"/>
        <v>-101.93432253127982</v>
      </c>
    </row>
    <row r="599" spans="1:20" x14ac:dyDescent="0.25">
      <c r="A599" s="5">
        <v>43994</v>
      </c>
      <c r="B599">
        <v>3.0722000000000002E-3</v>
      </c>
      <c r="C599">
        <v>3.6698E-3</v>
      </c>
      <c r="D599">
        <v>3.0479000000000001E-3</v>
      </c>
      <c r="E599">
        <v>3.5766000000000001E-3</v>
      </c>
      <c r="F599">
        <v>145121200</v>
      </c>
      <c r="G599">
        <v>0</v>
      </c>
      <c r="L599" t="s">
        <v>8</v>
      </c>
      <c r="M599" t="s">
        <v>8</v>
      </c>
      <c r="N599" t="s">
        <v>7</v>
      </c>
      <c r="P599">
        <f t="shared" si="989"/>
        <v>0.70027335584499151</v>
      </c>
      <c r="Q599">
        <f t="shared" si="990"/>
        <v>101624509.72825219</v>
      </c>
      <c r="R599">
        <f t="shared" si="991"/>
        <v>-10317819018.747093</v>
      </c>
      <c r="S599">
        <f t="shared" si="992"/>
        <v>-103178.19018747093</v>
      </c>
      <c r="T599">
        <f t="shared" si="993"/>
        <v>-103.17819018747093</v>
      </c>
    </row>
    <row r="600" spans="1:20" x14ac:dyDescent="0.25">
      <c r="A600" s="5">
        <v>43993</v>
      </c>
      <c r="B600">
        <v>3.4194999999999998E-3</v>
      </c>
      <c r="C600">
        <v>3.4949999999999998E-3</v>
      </c>
      <c r="D600">
        <v>3.0500000000000002E-3</v>
      </c>
      <c r="E600">
        <v>3.0817000000000002E-3</v>
      </c>
      <c r="F600">
        <v>148268867</v>
      </c>
      <c r="G600">
        <v>0</v>
      </c>
      <c r="L600" t="s">
        <v>7</v>
      </c>
      <c r="M600" t="s">
        <v>7</v>
      </c>
      <c r="N600" t="s">
        <v>7</v>
      </c>
      <c r="P600">
        <f t="shared" si="989"/>
        <v>-0.85752808988764051</v>
      </c>
      <c r="Q600">
        <f t="shared" si="990"/>
        <v>-127144718.30831462</v>
      </c>
      <c r="R600">
        <f t="shared" si="991"/>
        <v>-10419443528.475346</v>
      </c>
      <c r="S600">
        <f t="shared" si="992"/>
        <v>-104194.43528475346</v>
      </c>
      <c r="T600">
        <f t="shared" si="993"/>
        <v>-104.19443528475347</v>
      </c>
    </row>
    <row r="601" spans="1:20" x14ac:dyDescent="0.25">
      <c r="A601" s="5">
        <v>43992</v>
      </c>
      <c r="B601">
        <v>3.5200000000000001E-3</v>
      </c>
      <c r="C601">
        <v>3.6830000000000001E-3</v>
      </c>
      <c r="D601">
        <v>3.3782999999999999E-3</v>
      </c>
      <c r="E601">
        <v>3.4174000000000001E-3</v>
      </c>
      <c r="F601">
        <v>110888471</v>
      </c>
      <c r="G601">
        <v>0</v>
      </c>
      <c r="L601" t="s">
        <v>7</v>
      </c>
      <c r="M601" t="s">
        <v>7</v>
      </c>
      <c r="N601" t="s">
        <v>7</v>
      </c>
      <c r="P601">
        <f t="shared" si="989"/>
        <v>-0.74335411880538094</v>
      </c>
      <c r="Q601">
        <f t="shared" si="990"/>
        <v>-82429401.645881042</v>
      </c>
      <c r="R601">
        <f t="shared" si="991"/>
        <v>-10292298810.16703</v>
      </c>
      <c r="S601">
        <f t="shared" si="992"/>
        <v>-102922.9881016703</v>
      </c>
      <c r="T601">
        <f t="shared" si="993"/>
        <v>-102.9229881016703</v>
      </c>
    </row>
    <row r="602" spans="1:20" x14ac:dyDescent="0.25">
      <c r="A602" s="5">
        <v>43991</v>
      </c>
      <c r="B602">
        <v>3.712E-3</v>
      </c>
      <c r="C602">
        <v>3.7748999999999999E-3</v>
      </c>
      <c r="D602">
        <v>3.4545999999999999E-3</v>
      </c>
      <c r="E602">
        <v>3.5249999999999999E-3</v>
      </c>
      <c r="F602">
        <v>121150158</v>
      </c>
      <c r="G602">
        <v>0</v>
      </c>
      <c r="L602" t="s">
        <v>7</v>
      </c>
      <c r="M602" t="s">
        <v>7</v>
      </c>
      <c r="N602" t="s">
        <v>7</v>
      </c>
      <c r="P602">
        <f t="shared" si="989"/>
        <v>-0.56041211364345933</v>
      </c>
      <c r="Q602">
        <f t="shared" si="990"/>
        <v>-67894016.113019049</v>
      </c>
      <c r="R602">
        <f t="shared" si="991"/>
        <v>-10209869408.521149</v>
      </c>
      <c r="S602">
        <f t="shared" si="992"/>
        <v>-102098.69408521149</v>
      </c>
      <c r="T602">
        <f t="shared" si="993"/>
        <v>-102.09869408521149</v>
      </c>
    </row>
    <row r="603" spans="1:20" x14ac:dyDescent="0.25">
      <c r="A603" s="5">
        <v>43990</v>
      </c>
      <c r="B603">
        <v>3.4009000000000001E-3</v>
      </c>
      <c r="C603">
        <v>3.8E-3</v>
      </c>
      <c r="D603">
        <v>3.3987000000000002E-3</v>
      </c>
      <c r="E603">
        <v>3.702E-3</v>
      </c>
      <c r="F603">
        <v>115512075</v>
      </c>
      <c r="G603">
        <v>0</v>
      </c>
      <c r="L603" t="s">
        <v>8</v>
      </c>
      <c r="M603" t="s">
        <v>7</v>
      </c>
      <c r="N603" t="s">
        <v>7</v>
      </c>
      <c r="P603">
        <f t="shared" si="989"/>
        <v>0.51158734114129056</v>
      </c>
      <c r="Q603">
        <f t="shared" si="990"/>
        <v>59094515.318963341</v>
      </c>
      <c r="R603">
        <f t="shared" si="991"/>
        <v>-10141975392.408129</v>
      </c>
      <c r="S603">
        <f t="shared" si="992"/>
        <v>-101419.75392408129</v>
      </c>
      <c r="T603">
        <f t="shared" si="993"/>
        <v>-101.41975392408129</v>
      </c>
    </row>
    <row r="604" spans="1:20" x14ac:dyDescent="0.25">
      <c r="A604" s="5">
        <v>43989</v>
      </c>
      <c r="B604">
        <v>3.4659999999999999E-3</v>
      </c>
      <c r="C604">
        <v>3.5569999999999998E-3</v>
      </c>
      <c r="D604">
        <v>3.2599999999999999E-3</v>
      </c>
      <c r="E604">
        <v>3.4015E-3</v>
      </c>
      <c r="F604">
        <v>78061195</v>
      </c>
      <c r="G604">
        <v>0</v>
      </c>
      <c r="L604" t="s">
        <v>8</v>
      </c>
      <c r="M604" t="s">
        <v>7</v>
      </c>
      <c r="N604" t="s">
        <v>7</v>
      </c>
      <c r="P604">
        <f t="shared" si="989"/>
        <v>-4.7138047138046098E-2</v>
      </c>
      <c r="Q604">
        <f t="shared" si="990"/>
        <v>-3679652.2895622086</v>
      </c>
      <c r="R604">
        <f t="shared" si="991"/>
        <v>-10201069907.727093</v>
      </c>
      <c r="S604">
        <f t="shared" si="992"/>
        <v>-102010.69907727093</v>
      </c>
      <c r="T604">
        <f t="shared" si="993"/>
        <v>-102.01069907727093</v>
      </c>
    </row>
    <row r="605" spans="1:20" x14ac:dyDescent="0.25">
      <c r="A605" s="5">
        <v>43988</v>
      </c>
      <c r="B605">
        <v>3.2344000000000001E-3</v>
      </c>
      <c r="C605">
        <v>3.6110000000000001E-3</v>
      </c>
      <c r="D605">
        <v>3.2000000000000002E-3</v>
      </c>
      <c r="E605">
        <v>3.4524999999999998E-3</v>
      </c>
      <c r="F605">
        <v>136150354</v>
      </c>
      <c r="G605">
        <v>0</v>
      </c>
      <c r="L605" t="s">
        <v>7</v>
      </c>
      <c r="M605" t="s">
        <v>7</v>
      </c>
      <c r="N605" t="s">
        <v>7</v>
      </c>
      <c r="P605">
        <f t="shared" si="989"/>
        <v>0.22871046228710337</v>
      </c>
      <c r="Q605">
        <f t="shared" si="990"/>
        <v>31139010.403892774</v>
      </c>
      <c r="R605">
        <f t="shared" si="991"/>
        <v>-10197390255.437531</v>
      </c>
      <c r="S605">
        <f t="shared" si="992"/>
        <v>-101973.90255437531</v>
      </c>
      <c r="T605">
        <f t="shared" si="993"/>
        <v>-101.97390255437531</v>
      </c>
    </row>
    <row r="606" spans="1:20" x14ac:dyDescent="0.25">
      <c r="A606" s="5">
        <v>43987</v>
      </c>
      <c r="B606">
        <v>3.3509999999999998E-3</v>
      </c>
      <c r="C606">
        <v>3.3733000000000001E-3</v>
      </c>
      <c r="D606">
        <v>3.2100000000000002E-3</v>
      </c>
      <c r="E606">
        <v>3.2127000000000002E-3</v>
      </c>
      <c r="F606">
        <v>111033749</v>
      </c>
      <c r="G606">
        <v>0</v>
      </c>
      <c r="L606" t="s">
        <v>7</v>
      </c>
      <c r="M606" t="s">
        <v>7</v>
      </c>
      <c r="N606" t="s">
        <v>7</v>
      </c>
      <c r="P606">
        <f t="shared" si="989"/>
        <v>-0.96693202694427416</v>
      </c>
      <c r="Q606">
        <f t="shared" si="990"/>
        <v>-107362087.97979178</v>
      </c>
      <c r="R606">
        <f t="shared" si="991"/>
        <v>-10228529265.841423</v>
      </c>
      <c r="S606">
        <f t="shared" si="992"/>
        <v>-102285.29265841423</v>
      </c>
      <c r="T606">
        <f t="shared" si="993"/>
        <v>-102.28529265841422</v>
      </c>
    </row>
    <row r="607" spans="1:20" x14ac:dyDescent="0.25">
      <c r="A607" s="5">
        <v>43986</v>
      </c>
      <c r="B607">
        <v>3.4913000000000001E-3</v>
      </c>
      <c r="C607">
        <v>3.6751000000000002E-3</v>
      </c>
      <c r="D607">
        <v>3.2750000000000001E-3</v>
      </c>
      <c r="E607">
        <v>3.3511000000000001E-3</v>
      </c>
      <c r="F607">
        <v>194324142</v>
      </c>
      <c r="G607">
        <v>0</v>
      </c>
      <c r="L607" t="s">
        <v>8</v>
      </c>
      <c r="M607" t="s">
        <v>7</v>
      </c>
      <c r="N607" t="s">
        <v>7</v>
      </c>
      <c r="P607">
        <f t="shared" si="989"/>
        <v>-0.61959510122469408</v>
      </c>
      <c r="Q607">
        <f t="shared" si="990"/>
        <v>-120402286.43289183</v>
      </c>
      <c r="R607">
        <f t="shared" si="991"/>
        <v>-10121167177.861631</v>
      </c>
      <c r="S607">
        <f t="shared" si="992"/>
        <v>-101211.67177861632</v>
      </c>
      <c r="T607">
        <f t="shared" si="993"/>
        <v>-101.21167177861632</v>
      </c>
    </row>
    <row r="608" spans="1:20" x14ac:dyDescent="0.25">
      <c r="A608" s="5">
        <v>43985</v>
      </c>
      <c r="B608">
        <v>3.4489E-3</v>
      </c>
      <c r="C608">
        <v>3.5988999999999999E-3</v>
      </c>
      <c r="D608">
        <v>3.4155000000000001E-3</v>
      </c>
      <c r="E608">
        <v>3.4897999999999999E-3</v>
      </c>
      <c r="F608">
        <v>76144190</v>
      </c>
      <c r="G608">
        <v>0</v>
      </c>
      <c r="L608" t="s">
        <v>8</v>
      </c>
      <c r="M608" t="s">
        <v>7</v>
      </c>
      <c r="N608" t="s">
        <v>7</v>
      </c>
      <c r="P608">
        <f t="shared" si="989"/>
        <v>-0.1897491821155956</v>
      </c>
      <c r="Q608">
        <f t="shared" si="990"/>
        <v>-14448297.775354514</v>
      </c>
      <c r="R608">
        <f t="shared" si="991"/>
        <v>-10000764891.42874</v>
      </c>
      <c r="S608">
        <f t="shared" si="992"/>
        <v>-100007.64891428739</v>
      </c>
      <c r="T608">
        <f t="shared" si="993"/>
        <v>-100.00764891428739</v>
      </c>
    </row>
    <row r="609" spans="1:20" x14ac:dyDescent="0.25">
      <c r="A609" s="5">
        <v>43984</v>
      </c>
      <c r="B609">
        <v>3.5918E-3</v>
      </c>
      <c r="C609">
        <v>3.7000000000000002E-3</v>
      </c>
      <c r="D609">
        <v>3.1916000000000002E-3</v>
      </c>
      <c r="E609">
        <v>3.4489E-3</v>
      </c>
      <c r="F609">
        <v>117301413</v>
      </c>
      <c r="G609">
        <v>0</v>
      </c>
      <c r="L609" t="s">
        <v>7</v>
      </c>
      <c r="M609" t="s">
        <v>7</v>
      </c>
      <c r="N609" t="s">
        <v>7</v>
      </c>
      <c r="P609">
        <f t="shared" si="989"/>
        <v>1.2195121951218742E-2</v>
      </c>
      <c r="Q609">
        <f t="shared" si="990"/>
        <v>1430505.0365852755</v>
      </c>
      <c r="R609">
        <f t="shared" si="991"/>
        <v>-9986316593.6533852</v>
      </c>
      <c r="S609">
        <f t="shared" si="992"/>
        <v>-99863.165936533856</v>
      </c>
      <c r="T609">
        <f t="shared" si="993"/>
        <v>-99.863165936533861</v>
      </c>
    </row>
    <row r="610" spans="1:20" x14ac:dyDescent="0.25">
      <c r="A610" s="5">
        <v>43983</v>
      </c>
      <c r="B610">
        <v>3.3238E-3</v>
      </c>
      <c r="C610">
        <v>3.7185E-3</v>
      </c>
      <c r="D610">
        <v>3.3151000000000001E-3</v>
      </c>
      <c r="E610">
        <v>3.6088000000000001E-3</v>
      </c>
      <c r="F610">
        <v>66341343</v>
      </c>
      <c r="G610">
        <v>0</v>
      </c>
      <c r="L610" t="s">
        <v>8</v>
      </c>
      <c r="M610" t="s">
        <v>7</v>
      </c>
      <c r="N610" t="s">
        <v>7</v>
      </c>
      <c r="P610">
        <f t="shared" si="989"/>
        <v>0.45612295488349075</v>
      </c>
      <c r="Q610">
        <f t="shared" si="990"/>
        <v>30259809.400099184</v>
      </c>
      <c r="R610">
        <f t="shared" si="991"/>
        <v>-9987747098.68997</v>
      </c>
      <c r="S610">
        <f t="shared" si="992"/>
        <v>-99877.470986899702</v>
      </c>
      <c r="T610">
        <f t="shared" si="993"/>
        <v>-99.877470986899695</v>
      </c>
    </row>
    <row r="611" spans="1:20" x14ac:dyDescent="0.25">
      <c r="A611" s="5">
        <v>43982</v>
      </c>
      <c r="B611">
        <v>3.8195E-3</v>
      </c>
      <c r="C611">
        <v>3.8195E-3</v>
      </c>
      <c r="D611">
        <v>3.3173999999999999E-3</v>
      </c>
      <c r="E611">
        <v>3.3213000000000001E-3</v>
      </c>
      <c r="F611">
        <v>115565222</v>
      </c>
      <c r="G611">
        <v>0</v>
      </c>
      <c r="L611" t="s">
        <v>7</v>
      </c>
      <c r="M611" t="s">
        <v>7</v>
      </c>
      <c r="N611" t="s">
        <v>7</v>
      </c>
      <c r="P611">
        <f t="shared" si="989"/>
        <v>-0.98446524596693785</v>
      </c>
      <c r="Q611">
        <f t="shared" si="990"/>
        <v>-113769944.70145378</v>
      </c>
      <c r="R611">
        <f t="shared" si="991"/>
        <v>-10018006908.090069</v>
      </c>
      <c r="S611">
        <f t="shared" si="992"/>
        <v>-100180.06908090069</v>
      </c>
      <c r="T611">
        <f t="shared" si="993"/>
        <v>-100.18006908090069</v>
      </c>
    </row>
    <row r="612" spans="1:20" x14ac:dyDescent="0.25">
      <c r="A612" s="5">
        <v>43981</v>
      </c>
      <c r="B612">
        <v>3.9811999999999998E-3</v>
      </c>
      <c r="C612">
        <v>4.0226999999999997E-3</v>
      </c>
      <c r="D612">
        <v>3.7052999999999999E-3</v>
      </c>
      <c r="E612">
        <v>3.8021000000000001E-3</v>
      </c>
      <c r="F612">
        <v>106874861</v>
      </c>
      <c r="G612">
        <v>0</v>
      </c>
      <c r="L612" t="s">
        <v>8</v>
      </c>
      <c r="M612" t="s">
        <v>8</v>
      </c>
      <c r="N612" t="s">
        <v>7</v>
      </c>
      <c r="P612">
        <f t="shared" si="989"/>
        <v>-0.39004410838059078</v>
      </c>
      <c r="Q612">
        <f t="shared" si="990"/>
        <v>-41685909.867044576</v>
      </c>
      <c r="R612">
        <f t="shared" si="991"/>
        <v>-9904236963.3886147</v>
      </c>
      <c r="S612">
        <f t="shared" si="992"/>
        <v>-99042.369633886148</v>
      </c>
      <c r="T612">
        <f t="shared" si="993"/>
        <v>-99.042369633886153</v>
      </c>
    </row>
    <row r="613" spans="1:20" x14ac:dyDescent="0.25">
      <c r="A613" s="5">
        <v>43980</v>
      </c>
      <c r="B613">
        <v>3.5639999999999999E-3</v>
      </c>
      <c r="C613">
        <v>4.1999000000000003E-3</v>
      </c>
      <c r="D613">
        <v>3.5228999999999998E-3</v>
      </c>
      <c r="E613">
        <v>3.9811999999999998E-3</v>
      </c>
      <c r="F613">
        <v>174764980</v>
      </c>
      <c r="G613">
        <v>0</v>
      </c>
      <c r="L613" t="s">
        <v>7</v>
      </c>
      <c r="M613" t="s">
        <v>8</v>
      </c>
      <c r="N613" t="s">
        <v>7</v>
      </c>
      <c r="P613">
        <f t="shared" si="989"/>
        <v>0.35391432791728117</v>
      </c>
      <c r="Q613">
        <f t="shared" si="990"/>
        <v>61851830.440177083</v>
      </c>
      <c r="R613">
        <f t="shared" si="991"/>
        <v>-9862551053.5215702</v>
      </c>
      <c r="S613">
        <f t="shared" si="992"/>
        <v>-98625.510535215697</v>
      </c>
      <c r="T613">
        <f t="shared" si="993"/>
        <v>-98.625510535215696</v>
      </c>
    </row>
    <row r="614" spans="1:20" x14ac:dyDescent="0.25">
      <c r="A614" s="5">
        <v>43979</v>
      </c>
      <c r="B614">
        <v>3.5569999999999998E-3</v>
      </c>
      <c r="C614">
        <v>4.1869999999999997E-3</v>
      </c>
      <c r="D614">
        <v>3.5133E-3</v>
      </c>
      <c r="E614">
        <v>3.581E-3</v>
      </c>
      <c r="F614">
        <v>291712995</v>
      </c>
      <c r="G614">
        <v>0</v>
      </c>
      <c r="L614" t="s">
        <v>8</v>
      </c>
      <c r="M614" t="s">
        <v>8</v>
      </c>
      <c r="N614" t="s">
        <v>7</v>
      </c>
      <c r="P614">
        <f t="shared" si="989"/>
        <v>-0.79902033546088769</v>
      </c>
      <c r="Q614">
        <f t="shared" si="990"/>
        <v>-233084615.12320024</v>
      </c>
      <c r="R614">
        <f t="shared" si="991"/>
        <v>-9924402883.9617481</v>
      </c>
      <c r="S614">
        <f t="shared" si="992"/>
        <v>-99244.028839617487</v>
      </c>
      <c r="T614">
        <f t="shared" si="993"/>
        <v>-99.244028839617485</v>
      </c>
    </row>
    <row r="615" spans="1:20" x14ac:dyDescent="0.25">
      <c r="A615" s="5">
        <v>43978</v>
      </c>
      <c r="B615">
        <v>3.3501999999999998E-3</v>
      </c>
      <c r="C615">
        <v>3.7950000000000002E-3</v>
      </c>
      <c r="D615">
        <v>3.1652999999999998E-3</v>
      </c>
      <c r="E615">
        <v>3.5255999999999998E-3</v>
      </c>
      <c r="F615">
        <v>305549837</v>
      </c>
      <c r="G615">
        <v>0</v>
      </c>
      <c r="L615" t="s">
        <v>7</v>
      </c>
      <c r="M615" t="s">
        <v>7</v>
      </c>
      <c r="N615" t="s">
        <v>7</v>
      </c>
      <c r="P615">
        <f t="shared" si="989"/>
        <v>0.14435445450214324</v>
      </c>
      <c r="Q615">
        <f t="shared" si="990"/>
        <v>44107480.043353781</v>
      </c>
      <c r="R615">
        <f t="shared" si="991"/>
        <v>-9691318268.8385487</v>
      </c>
      <c r="S615">
        <f t="shared" si="992"/>
        <v>-96913.182688385481</v>
      </c>
      <c r="T615">
        <f t="shared" si="993"/>
        <v>-96.913182688385476</v>
      </c>
    </row>
    <row r="616" spans="1:20" x14ac:dyDescent="0.25">
      <c r="A616" s="5">
        <v>43977</v>
      </c>
      <c r="B616">
        <v>3.7355000000000001E-3</v>
      </c>
      <c r="C616">
        <v>3.8498E-3</v>
      </c>
      <c r="D616">
        <v>3.3471E-3</v>
      </c>
      <c r="E616">
        <v>3.3649000000000001E-3</v>
      </c>
      <c r="F616">
        <v>369121588</v>
      </c>
      <c r="G616">
        <v>0</v>
      </c>
      <c r="L616" t="s">
        <v>7</v>
      </c>
      <c r="M616" t="s">
        <v>7</v>
      </c>
      <c r="N616" t="s">
        <v>8</v>
      </c>
      <c r="P616">
        <f t="shared" si="989"/>
        <v>-0.92918241495921983</v>
      </c>
      <c r="Q616">
        <f t="shared" si="990"/>
        <v>-342981288.55142218</v>
      </c>
      <c r="R616">
        <f t="shared" si="991"/>
        <v>-9735425748.8819027</v>
      </c>
      <c r="S616">
        <f t="shared" si="992"/>
        <v>-97354.257488819028</v>
      </c>
      <c r="T616">
        <f t="shared" si="993"/>
        <v>-97.35425748881903</v>
      </c>
    </row>
    <row r="617" spans="1:20" x14ac:dyDescent="0.25">
      <c r="A617" s="5">
        <v>43976</v>
      </c>
      <c r="B617">
        <v>2.9082999999999999E-3</v>
      </c>
      <c r="C617">
        <v>4.3888E-3</v>
      </c>
      <c r="D617">
        <v>2.8727000000000002E-3</v>
      </c>
      <c r="E617">
        <v>3.7393000000000001E-3</v>
      </c>
      <c r="F617">
        <v>1039154805</v>
      </c>
      <c r="G617">
        <v>0</v>
      </c>
      <c r="L617" t="s">
        <v>8</v>
      </c>
      <c r="M617" t="s">
        <v>8</v>
      </c>
      <c r="N617" t="s">
        <v>8</v>
      </c>
      <c r="P617">
        <f t="shared" si="989"/>
        <v>0.14319635907921643</v>
      </c>
      <c r="Q617">
        <f t="shared" si="990"/>
        <v>148803184.59567314</v>
      </c>
      <c r="R617">
        <f t="shared" si="991"/>
        <v>-9392444460.3304806</v>
      </c>
      <c r="S617">
        <f t="shared" si="992"/>
        <v>-93924.444603304801</v>
      </c>
      <c r="T617">
        <f t="shared" si="993"/>
        <v>-93.924444603304806</v>
      </c>
    </row>
    <row r="618" spans="1:20" x14ac:dyDescent="0.25">
      <c r="A618" s="5">
        <v>43975</v>
      </c>
      <c r="B618">
        <v>2.7485999999999999E-3</v>
      </c>
      <c r="C618">
        <v>3.1989000000000002E-3</v>
      </c>
      <c r="D618">
        <v>2.7301000000000001E-3</v>
      </c>
      <c r="E618">
        <v>2.9090000000000001E-3</v>
      </c>
      <c r="F618">
        <v>158393441</v>
      </c>
      <c r="G618">
        <v>0</v>
      </c>
      <c r="L618" t="s">
        <v>8</v>
      </c>
      <c r="M618" t="s">
        <v>8</v>
      </c>
      <c r="N618" t="s">
        <v>8</v>
      </c>
      <c r="P618">
        <f t="shared" si="989"/>
        <v>-0.23677474402730367</v>
      </c>
      <c r="Q618">
        <f t="shared" si="990"/>
        <v>-37503566.448378824</v>
      </c>
      <c r="R618">
        <f t="shared" si="991"/>
        <v>-9541247644.9261532</v>
      </c>
      <c r="S618">
        <f t="shared" si="992"/>
        <v>-95412.476449261536</v>
      </c>
      <c r="T618">
        <f t="shared" si="993"/>
        <v>-95.412476449261533</v>
      </c>
    </row>
    <row r="619" spans="1:20" x14ac:dyDescent="0.25">
      <c r="A619" s="5">
        <v>43974</v>
      </c>
      <c r="B619">
        <v>2.7802E-3</v>
      </c>
      <c r="C619">
        <v>2.9780000000000002E-3</v>
      </c>
      <c r="D619">
        <v>2.6614E-3</v>
      </c>
      <c r="E619">
        <v>2.7301999999999999E-3</v>
      </c>
      <c r="F619">
        <v>61414207</v>
      </c>
      <c r="G619">
        <v>0</v>
      </c>
      <c r="L619" t="s">
        <v>8</v>
      </c>
      <c r="M619" t="s">
        <v>8</v>
      </c>
      <c r="N619" t="s">
        <v>8</v>
      </c>
      <c r="P619">
        <f t="shared" si="989"/>
        <v>-0.56538218572331089</v>
      </c>
      <c r="Q619">
        <f t="shared" si="990"/>
        <v>-34722498.588123858</v>
      </c>
      <c r="R619">
        <f t="shared" si="991"/>
        <v>-9503744078.4777737</v>
      </c>
      <c r="S619">
        <f t="shared" si="992"/>
        <v>-95037.440784777733</v>
      </c>
      <c r="T619">
        <f t="shared" si="993"/>
        <v>-95.037440784777729</v>
      </c>
    </row>
    <row r="620" spans="1:20" x14ac:dyDescent="0.25">
      <c r="A620" s="5">
        <v>43973</v>
      </c>
      <c r="B620">
        <v>2.6925999999999999E-3</v>
      </c>
      <c r="C620">
        <v>2.8205000000000001E-3</v>
      </c>
      <c r="D620">
        <v>2.6183999999999999E-3</v>
      </c>
      <c r="E620">
        <v>2.7726999999999999E-3</v>
      </c>
      <c r="F620">
        <v>64008381</v>
      </c>
      <c r="G620">
        <v>0</v>
      </c>
      <c r="L620" t="s">
        <v>7</v>
      </c>
      <c r="M620" t="s">
        <v>8</v>
      </c>
      <c r="N620" t="s">
        <v>8</v>
      </c>
      <c r="P620">
        <f t="shared" si="989"/>
        <v>0.52696684809500105</v>
      </c>
      <c r="Q620">
        <f t="shared" si="990"/>
        <v>33730294.787233949</v>
      </c>
      <c r="R620">
        <f t="shared" si="991"/>
        <v>-9469021579.8896503</v>
      </c>
      <c r="S620">
        <f t="shared" si="992"/>
        <v>-94690.215798896505</v>
      </c>
      <c r="T620">
        <f t="shared" si="993"/>
        <v>-94.690215798896503</v>
      </c>
    </row>
    <row r="621" spans="1:20" x14ac:dyDescent="0.25">
      <c r="A621" s="5">
        <v>43972</v>
      </c>
      <c r="B621">
        <v>2.6313E-3</v>
      </c>
      <c r="C621">
        <v>3.0799999999999998E-3</v>
      </c>
      <c r="D621">
        <v>2.5535000000000002E-3</v>
      </c>
      <c r="E621">
        <v>2.6894000000000002E-3</v>
      </c>
      <c r="F621">
        <v>205152024</v>
      </c>
      <c r="G621">
        <v>0</v>
      </c>
      <c r="L621" t="s">
        <v>8</v>
      </c>
      <c r="M621" t="s">
        <v>8</v>
      </c>
      <c r="N621" t="s">
        <v>8</v>
      </c>
      <c r="P621">
        <f t="shared" si="989"/>
        <v>-0.48376068376068343</v>
      </c>
      <c r="Q621">
        <f t="shared" si="990"/>
        <v>-99244483.405128136</v>
      </c>
      <c r="R621">
        <f t="shared" si="991"/>
        <v>-9502751874.6768837</v>
      </c>
      <c r="S621">
        <f t="shared" si="992"/>
        <v>-95027.518746768837</v>
      </c>
      <c r="T621">
        <f t="shared" si="993"/>
        <v>-95.027518746768834</v>
      </c>
    </row>
    <row r="622" spans="1:20" x14ac:dyDescent="0.25">
      <c r="A622" s="5">
        <v>43971</v>
      </c>
      <c r="B622">
        <v>2.6218999999999999E-3</v>
      </c>
      <c r="C622">
        <v>2.7899000000000001E-3</v>
      </c>
      <c r="D622">
        <v>2.5634999999999998E-3</v>
      </c>
      <c r="E622">
        <v>2.6315000000000002E-3</v>
      </c>
      <c r="F622">
        <v>45731632</v>
      </c>
      <c r="G622">
        <v>0</v>
      </c>
      <c r="L622" t="s">
        <v>7</v>
      </c>
      <c r="M622" t="s">
        <v>7</v>
      </c>
      <c r="N622" t="s">
        <v>8</v>
      </c>
      <c r="P622">
        <f t="shared" si="989"/>
        <v>-0.39929328621907895</v>
      </c>
      <c r="Q622">
        <f t="shared" si="990"/>
        <v>-18260333.625441588</v>
      </c>
      <c r="R622">
        <f t="shared" si="991"/>
        <v>-9403507391.2717552</v>
      </c>
      <c r="S622">
        <f t="shared" si="992"/>
        <v>-94035.073912717548</v>
      </c>
      <c r="T622">
        <f t="shared" si="993"/>
        <v>-94.03507391271755</v>
      </c>
    </row>
    <row r="623" spans="1:20" x14ac:dyDescent="0.25">
      <c r="A623" s="5">
        <v>43970</v>
      </c>
      <c r="B623">
        <v>2.6556000000000001E-3</v>
      </c>
      <c r="C623">
        <v>2.6673000000000001E-3</v>
      </c>
      <c r="D623">
        <v>2.5796999999999999E-3</v>
      </c>
      <c r="E623">
        <v>2.6218999999999999E-3</v>
      </c>
      <c r="F623">
        <v>35054722</v>
      </c>
      <c r="G623">
        <v>0</v>
      </c>
      <c r="L623" t="s">
        <v>7</v>
      </c>
      <c r="M623" t="s">
        <v>7</v>
      </c>
      <c r="N623" t="s">
        <v>8</v>
      </c>
      <c r="P623">
        <f t="shared" si="989"/>
        <v>-3.652968036529762E-2</v>
      </c>
      <c r="Q623">
        <f t="shared" si="990"/>
        <v>-1280537.7899543666</v>
      </c>
      <c r="R623">
        <f t="shared" si="991"/>
        <v>-9385247057.6463127</v>
      </c>
      <c r="S623">
        <f t="shared" si="992"/>
        <v>-93852.470576463122</v>
      </c>
      <c r="T623">
        <f t="shared" si="993"/>
        <v>-93.852470576463119</v>
      </c>
    </row>
    <row r="624" spans="1:20" x14ac:dyDescent="0.25">
      <c r="A624" s="5">
        <v>43969</v>
      </c>
      <c r="B624">
        <v>2.7192000000000002E-3</v>
      </c>
      <c r="C624">
        <v>2.7999000000000001E-3</v>
      </c>
      <c r="D624">
        <v>2.6224999999999998E-3</v>
      </c>
      <c r="E624">
        <v>2.6618000000000002E-3</v>
      </c>
      <c r="F624">
        <v>41393545</v>
      </c>
      <c r="G624">
        <v>0</v>
      </c>
      <c r="L624" t="s">
        <v>7</v>
      </c>
      <c r="M624" t="s">
        <v>7</v>
      </c>
      <c r="N624" t="s">
        <v>8</v>
      </c>
      <c r="P624">
        <f t="shared" si="989"/>
        <v>-0.55693348365275885</v>
      </c>
      <c r="Q624">
        <f t="shared" si="990"/>
        <v>-23053451.217587236</v>
      </c>
      <c r="R624">
        <f t="shared" si="991"/>
        <v>-9383966519.8563576</v>
      </c>
      <c r="S624">
        <f t="shared" si="992"/>
        <v>-93839.665198563569</v>
      </c>
      <c r="T624">
        <f t="shared" si="993"/>
        <v>-93.839665198563566</v>
      </c>
    </row>
    <row r="625" spans="1:20" x14ac:dyDescent="0.25">
      <c r="A625" s="5">
        <v>43968</v>
      </c>
      <c r="B625">
        <v>2.8343000000000001E-3</v>
      </c>
      <c r="C625">
        <v>2.9443999999999998E-3</v>
      </c>
      <c r="D625">
        <v>2.6721000000000002E-3</v>
      </c>
      <c r="E625">
        <v>2.7192000000000002E-3</v>
      </c>
      <c r="F625">
        <v>73081513</v>
      </c>
      <c r="G625">
        <v>0</v>
      </c>
      <c r="L625" t="s">
        <v>8</v>
      </c>
      <c r="M625" t="s">
        <v>7</v>
      </c>
      <c r="N625" t="s">
        <v>8</v>
      </c>
      <c r="P625">
        <f t="shared" si="989"/>
        <v>-0.65405802423797232</v>
      </c>
      <c r="Q625">
        <f t="shared" si="990"/>
        <v>-47799550.001101688</v>
      </c>
      <c r="R625">
        <f t="shared" si="991"/>
        <v>-9360913068.6387711</v>
      </c>
      <c r="S625">
        <f t="shared" si="992"/>
        <v>-93609.130686387711</v>
      </c>
      <c r="T625">
        <f t="shared" si="993"/>
        <v>-93.609130686387715</v>
      </c>
    </row>
    <row r="626" spans="1:20" x14ac:dyDescent="0.25">
      <c r="A626" s="5">
        <v>43967</v>
      </c>
      <c r="B626">
        <v>2.5598999999999999E-3</v>
      </c>
      <c r="C626">
        <v>3.0000000000000001E-3</v>
      </c>
      <c r="D626">
        <v>2.5213000000000002E-3</v>
      </c>
      <c r="E626">
        <v>2.8343000000000001E-3</v>
      </c>
      <c r="F626">
        <v>150191639</v>
      </c>
      <c r="G626">
        <v>0</v>
      </c>
      <c r="L626" t="s">
        <v>7</v>
      </c>
      <c r="M626" t="s">
        <v>7</v>
      </c>
      <c r="N626" t="s">
        <v>8</v>
      </c>
      <c r="P626">
        <f t="shared" si="989"/>
        <v>0.3077083768539795</v>
      </c>
      <c r="Q626">
        <f t="shared" si="990"/>
        <v>46215225.453728847</v>
      </c>
      <c r="R626">
        <f t="shared" si="991"/>
        <v>-9313113518.6376686</v>
      </c>
      <c r="S626">
        <f t="shared" si="992"/>
        <v>-93131.13518637669</v>
      </c>
      <c r="T626">
        <f t="shared" si="993"/>
        <v>-93.131135186376696</v>
      </c>
    </row>
    <row r="627" spans="1:20" x14ac:dyDescent="0.25">
      <c r="A627" s="5">
        <v>43966</v>
      </c>
      <c r="B627">
        <v>2.5999999999999999E-3</v>
      </c>
      <c r="C627">
        <v>3.2000000000000002E-3</v>
      </c>
      <c r="D627">
        <v>2.4767000000000001E-3</v>
      </c>
      <c r="E627">
        <v>2.5598999999999999E-3</v>
      </c>
      <c r="F627">
        <v>343868812</v>
      </c>
      <c r="G627">
        <v>0</v>
      </c>
      <c r="L627" t="s">
        <v>8</v>
      </c>
      <c r="M627" t="s">
        <v>8</v>
      </c>
      <c r="N627" t="s">
        <v>8</v>
      </c>
      <c r="P627">
        <f t="shared" si="989"/>
        <v>-0.76994331536015526</v>
      </c>
      <c r="Q627">
        <f t="shared" si="990"/>
        <v>-264759493.16023794</v>
      </c>
      <c r="R627">
        <f t="shared" si="991"/>
        <v>-9359328744.0913982</v>
      </c>
      <c r="S627">
        <f t="shared" si="992"/>
        <v>-93593.287440913977</v>
      </c>
      <c r="T627">
        <f t="shared" si="993"/>
        <v>-93.593287440913983</v>
      </c>
    </row>
    <row r="628" spans="1:20" x14ac:dyDescent="0.25">
      <c r="A628" s="5">
        <v>43965</v>
      </c>
      <c r="B628">
        <v>2.4301000000000001E-3</v>
      </c>
      <c r="C628">
        <v>2.7821999999999999E-3</v>
      </c>
      <c r="D628">
        <v>2.4169999999999999E-3</v>
      </c>
      <c r="E628">
        <v>2.5818999999999998E-3</v>
      </c>
      <c r="F628">
        <v>42158859</v>
      </c>
      <c r="G628">
        <v>0</v>
      </c>
      <c r="L628" t="s">
        <v>8</v>
      </c>
      <c r="M628" t="s">
        <v>8</v>
      </c>
      <c r="N628" t="s">
        <v>7</v>
      </c>
      <c r="P628">
        <f t="shared" si="989"/>
        <v>-9.6933187294633363E-2</v>
      </c>
      <c r="Q628">
        <f t="shared" si="990"/>
        <v>-4086592.5755750393</v>
      </c>
      <c r="R628">
        <f t="shared" si="991"/>
        <v>-9094569250.93116</v>
      </c>
      <c r="S628">
        <f t="shared" si="992"/>
        <v>-90945.692509311601</v>
      </c>
      <c r="T628">
        <f t="shared" si="993"/>
        <v>-90.945692509311598</v>
      </c>
    </row>
    <row r="629" spans="1:20" x14ac:dyDescent="0.25">
      <c r="A629" s="5">
        <v>43964</v>
      </c>
      <c r="B629">
        <v>2.3278999999999999E-3</v>
      </c>
      <c r="C629">
        <v>2.4499999999999999E-3</v>
      </c>
      <c r="D629">
        <v>2.3278000000000001E-3</v>
      </c>
      <c r="E629">
        <v>2.4299999999999999E-3</v>
      </c>
      <c r="F629">
        <v>27604872</v>
      </c>
      <c r="G629">
        <v>0</v>
      </c>
      <c r="L629" t="s">
        <v>8</v>
      </c>
      <c r="M629" t="s">
        <v>7</v>
      </c>
      <c r="N629" t="s">
        <v>7</v>
      </c>
      <c r="P629">
        <f t="shared" si="989"/>
        <v>0.67266775777413945</v>
      </c>
      <c r="Q629">
        <f t="shared" si="990"/>
        <v>18568907.351882126</v>
      </c>
      <c r="R629">
        <f t="shared" si="991"/>
        <v>-9090482658.3555851</v>
      </c>
      <c r="S629">
        <f t="shared" si="992"/>
        <v>-90904.826583555856</v>
      </c>
      <c r="T629">
        <f t="shared" si="993"/>
        <v>-90.90482658355586</v>
      </c>
    </row>
    <row r="630" spans="1:20" x14ac:dyDescent="0.25">
      <c r="A630" s="5">
        <v>43963</v>
      </c>
      <c r="B630">
        <v>2.2483999999999998E-3</v>
      </c>
      <c r="C630">
        <v>2.4166000000000001E-3</v>
      </c>
      <c r="D630">
        <v>2.2266E-3</v>
      </c>
      <c r="E630">
        <v>2.3276E-3</v>
      </c>
      <c r="F630">
        <v>28549312</v>
      </c>
      <c r="G630">
        <v>0</v>
      </c>
      <c r="L630" t="s">
        <v>8</v>
      </c>
      <c r="M630" t="s">
        <v>7</v>
      </c>
      <c r="N630" t="s">
        <v>7</v>
      </c>
      <c r="P630">
        <f t="shared" si="989"/>
        <v>6.315789473684133E-2</v>
      </c>
      <c r="Q630">
        <f t="shared" si="990"/>
        <v>1803114.4421052411</v>
      </c>
      <c r="R630">
        <f t="shared" si="991"/>
        <v>-9109051565.707468</v>
      </c>
      <c r="S630">
        <f t="shared" si="992"/>
        <v>-91090.515657074677</v>
      </c>
      <c r="T630">
        <f t="shared" si="993"/>
        <v>-91.090515657074675</v>
      </c>
    </row>
    <row r="631" spans="1:20" x14ac:dyDescent="0.25">
      <c r="A631" s="5">
        <v>43962</v>
      </c>
      <c r="B631">
        <v>2.3050000000000002E-3</v>
      </c>
      <c r="C631">
        <v>2.3900000000000002E-3</v>
      </c>
      <c r="D631">
        <v>2.0699E-3</v>
      </c>
      <c r="E631">
        <v>2.2797999999999998E-3</v>
      </c>
      <c r="F631">
        <v>49721523</v>
      </c>
      <c r="G631">
        <v>0</v>
      </c>
      <c r="L631" t="s">
        <v>7</v>
      </c>
      <c r="M631" t="s">
        <v>7</v>
      </c>
      <c r="N631" t="s">
        <v>7</v>
      </c>
      <c r="P631">
        <f t="shared" si="989"/>
        <v>0.31146516713526823</v>
      </c>
      <c r="Q631">
        <f t="shared" si="990"/>
        <v>15486522.471415084</v>
      </c>
      <c r="R631">
        <f t="shared" si="991"/>
        <v>-9110854680.1495724</v>
      </c>
      <c r="S631">
        <f t="shared" si="992"/>
        <v>-91108.54680149573</v>
      </c>
      <c r="T631">
        <f t="shared" si="993"/>
        <v>-91.108546801495734</v>
      </c>
    </row>
    <row r="632" spans="1:20" x14ac:dyDescent="0.25">
      <c r="A632" s="5">
        <v>43961</v>
      </c>
      <c r="B632">
        <v>2.5918999999999998E-3</v>
      </c>
      <c r="C632">
        <v>2.5918999999999998E-3</v>
      </c>
      <c r="D632">
        <v>2.1751000000000001E-3</v>
      </c>
      <c r="E632">
        <v>2.2850000000000001E-3</v>
      </c>
      <c r="F632">
        <v>53262108</v>
      </c>
      <c r="G632">
        <v>0</v>
      </c>
      <c r="L632" t="s">
        <v>7</v>
      </c>
      <c r="M632" t="s">
        <v>7</v>
      </c>
      <c r="N632" t="s">
        <v>7</v>
      </c>
      <c r="P632">
        <f t="shared" si="989"/>
        <v>-0.47264875239923182</v>
      </c>
      <c r="Q632">
        <f t="shared" si="990"/>
        <v>-25174268.896353144</v>
      </c>
      <c r="R632">
        <f t="shared" si="991"/>
        <v>-9126341202.6209869</v>
      </c>
      <c r="S632">
        <f t="shared" si="992"/>
        <v>-91263.412026209873</v>
      </c>
      <c r="T632">
        <f t="shared" si="993"/>
        <v>-91.263412026209878</v>
      </c>
    </row>
    <row r="633" spans="1:20" x14ac:dyDescent="0.25">
      <c r="A633" s="5">
        <v>43960</v>
      </c>
      <c r="B633">
        <v>2.6113999999999998E-3</v>
      </c>
      <c r="C633">
        <v>2.653E-3</v>
      </c>
      <c r="D633">
        <v>2.5216000000000001E-3</v>
      </c>
      <c r="E633">
        <v>2.5910999999999998E-3</v>
      </c>
      <c r="F633">
        <v>42551008</v>
      </c>
      <c r="G633">
        <v>0</v>
      </c>
      <c r="L633" t="s">
        <v>7</v>
      </c>
      <c r="M633" t="s">
        <v>7</v>
      </c>
      <c r="N633" t="s">
        <v>8</v>
      </c>
      <c r="P633">
        <f t="shared" si="989"/>
        <v>5.7838660578383133E-2</v>
      </c>
      <c r="Q633">
        <f t="shared" si="990"/>
        <v>2461093.3089800654</v>
      </c>
      <c r="R633">
        <f t="shared" si="991"/>
        <v>-9101166933.7246342</v>
      </c>
      <c r="S633">
        <f t="shared" si="992"/>
        <v>-91011.669337246349</v>
      </c>
      <c r="T633">
        <f t="shared" si="993"/>
        <v>-91.011669337246346</v>
      </c>
    </row>
    <row r="634" spans="1:20" x14ac:dyDescent="0.25">
      <c r="A634" s="5">
        <v>43959</v>
      </c>
      <c r="B634">
        <v>2.7035000000000002E-3</v>
      </c>
      <c r="C634">
        <v>2.7255000000000001E-3</v>
      </c>
      <c r="D634">
        <v>2.5450999999999998E-3</v>
      </c>
      <c r="E634">
        <v>2.6113999999999998E-3</v>
      </c>
      <c r="F634">
        <v>56829351</v>
      </c>
      <c r="G634">
        <v>0</v>
      </c>
      <c r="L634" t="s">
        <v>8</v>
      </c>
      <c r="M634" t="s">
        <v>7</v>
      </c>
      <c r="N634" t="s">
        <v>8</v>
      </c>
      <c r="P634">
        <f t="shared" si="989"/>
        <v>-0.26496674057649733</v>
      </c>
      <c r="Q634">
        <f t="shared" si="990"/>
        <v>-15057887.90354771</v>
      </c>
      <c r="R634">
        <f t="shared" si="991"/>
        <v>-9103628027.0336151</v>
      </c>
      <c r="S634">
        <f t="shared" si="992"/>
        <v>-91036.280270336152</v>
      </c>
      <c r="T634">
        <f t="shared" si="993"/>
        <v>-91.03628027033615</v>
      </c>
    </row>
    <row r="635" spans="1:20" x14ac:dyDescent="0.25">
      <c r="A635" s="5">
        <v>43958</v>
      </c>
      <c r="B635">
        <v>2.5584000000000002E-3</v>
      </c>
      <c r="C635">
        <v>2.738E-3</v>
      </c>
      <c r="D635">
        <v>2.4897999999999999E-3</v>
      </c>
      <c r="E635">
        <v>2.7315999999999998E-3</v>
      </c>
      <c r="F635">
        <v>67809297</v>
      </c>
      <c r="G635">
        <v>0</v>
      </c>
      <c r="L635" t="s">
        <v>7</v>
      </c>
      <c r="M635" t="s">
        <v>7</v>
      </c>
      <c r="N635" t="s">
        <v>8</v>
      </c>
      <c r="P635">
        <f t="shared" si="989"/>
        <v>0.94842868654310919</v>
      </c>
      <c r="Q635">
        <f t="shared" si="990"/>
        <v>64312282.489121594</v>
      </c>
      <c r="R635">
        <f t="shared" si="991"/>
        <v>-9088570139.1300678</v>
      </c>
      <c r="S635">
        <f t="shared" si="992"/>
        <v>-90885.701391300681</v>
      </c>
      <c r="T635">
        <f t="shared" si="993"/>
        <v>-90.885701391300685</v>
      </c>
    </row>
    <row r="636" spans="1:20" x14ac:dyDescent="0.25">
      <c r="A636" s="5">
        <v>43957</v>
      </c>
      <c r="B636">
        <v>2.6770000000000001E-3</v>
      </c>
      <c r="C636">
        <v>3.0000000000000001E-3</v>
      </c>
      <c r="D636">
        <v>2.5422999999999999E-3</v>
      </c>
      <c r="E636">
        <v>2.5785999999999999E-3</v>
      </c>
      <c r="F636">
        <v>173901366</v>
      </c>
      <c r="G636">
        <v>0</v>
      </c>
      <c r="L636" t="s">
        <v>7</v>
      </c>
      <c r="M636" t="s">
        <v>7</v>
      </c>
      <c r="N636" t="s">
        <v>8</v>
      </c>
      <c r="P636">
        <f t="shared" si="989"/>
        <v>-0.84138081712912405</v>
      </c>
      <c r="Q636">
        <f t="shared" si="990"/>
        <v>-146317273.42495087</v>
      </c>
      <c r="R636">
        <f t="shared" si="991"/>
        <v>-9152882421.6191902</v>
      </c>
      <c r="S636">
        <f t="shared" si="992"/>
        <v>-91528.824216191904</v>
      </c>
      <c r="T636">
        <f t="shared" si="993"/>
        <v>-91.528824216191907</v>
      </c>
    </row>
    <row r="637" spans="1:20" x14ac:dyDescent="0.25">
      <c r="A637" s="5">
        <v>43956</v>
      </c>
      <c r="B637">
        <v>2.4118E-3</v>
      </c>
      <c r="C637">
        <v>3.3272000000000002E-3</v>
      </c>
      <c r="D637">
        <v>2.3980999999999998E-3</v>
      </c>
      <c r="E637">
        <v>2.676E-3</v>
      </c>
      <c r="F637">
        <v>177100286</v>
      </c>
      <c r="G637">
        <v>0</v>
      </c>
      <c r="L637" t="s">
        <v>8</v>
      </c>
      <c r="M637" t="s">
        <v>8</v>
      </c>
      <c r="N637" t="s">
        <v>8</v>
      </c>
      <c r="P637">
        <f t="shared" si="989"/>
        <v>-0.40178667527714979</v>
      </c>
      <c r="Q637">
        <f t="shared" si="990"/>
        <v>-71156535.102572352</v>
      </c>
      <c r="R637">
        <f t="shared" si="991"/>
        <v>-9006565148.1942387</v>
      </c>
      <c r="S637">
        <f t="shared" si="992"/>
        <v>-90065.65148194239</v>
      </c>
      <c r="T637">
        <f t="shared" si="993"/>
        <v>-90.065651481942396</v>
      </c>
    </row>
    <row r="638" spans="1:20" x14ac:dyDescent="0.25">
      <c r="A638" s="5">
        <v>43955</v>
      </c>
      <c r="B638">
        <v>2.4252000000000002E-3</v>
      </c>
      <c r="C638">
        <v>2.4688000000000002E-3</v>
      </c>
      <c r="D638">
        <v>2.3113999999999999E-3</v>
      </c>
      <c r="E638">
        <v>2.4118E-3</v>
      </c>
      <c r="F638">
        <v>30849672</v>
      </c>
      <c r="G638">
        <v>0</v>
      </c>
      <c r="L638" t="s">
        <v>7</v>
      </c>
      <c r="M638" t="s">
        <v>7</v>
      </c>
      <c r="N638" t="s">
        <v>8</v>
      </c>
      <c r="P638">
        <f t="shared" si="989"/>
        <v>0.27573062261753362</v>
      </c>
      <c r="Q638">
        <f t="shared" si="990"/>
        <v>8506199.2681066934</v>
      </c>
      <c r="R638">
        <f t="shared" si="991"/>
        <v>-8935408613.0916672</v>
      </c>
      <c r="S638">
        <f t="shared" si="992"/>
        <v>-89354.086130916665</v>
      </c>
      <c r="T638">
        <f t="shared" si="993"/>
        <v>-89.35408613091667</v>
      </c>
    </row>
    <row r="639" spans="1:20" x14ac:dyDescent="0.25">
      <c r="A639" s="5">
        <v>43954</v>
      </c>
      <c r="B639">
        <v>2.4643E-3</v>
      </c>
      <c r="C639">
        <v>2.5500000000000002E-3</v>
      </c>
      <c r="D639">
        <v>2.3739999999999998E-3</v>
      </c>
      <c r="E639">
        <v>2.4345999999999999E-3</v>
      </c>
      <c r="F639">
        <v>41436672</v>
      </c>
      <c r="G639">
        <v>0</v>
      </c>
      <c r="L639" t="s">
        <v>8</v>
      </c>
      <c r="M639" t="s">
        <v>7</v>
      </c>
      <c r="N639" t="s">
        <v>8</v>
      </c>
      <c r="P639">
        <f t="shared" si="989"/>
        <v>-0.31136363636363712</v>
      </c>
      <c r="Q639">
        <f t="shared" si="990"/>
        <v>-12901872.872727305</v>
      </c>
      <c r="R639">
        <f t="shared" si="991"/>
        <v>-8943914812.3597736</v>
      </c>
      <c r="S639">
        <f t="shared" si="992"/>
        <v>-89439.148123597741</v>
      </c>
      <c r="T639">
        <f t="shared" si="993"/>
        <v>-89.439148123597747</v>
      </c>
    </row>
    <row r="640" spans="1:20" x14ac:dyDescent="0.25">
      <c r="A640" s="5">
        <v>43953</v>
      </c>
      <c r="B640">
        <v>2.4778000000000001E-3</v>
      </c>
      <c r="C640">
        <v>2.4978999999999999E-3</v>
      </c>
      <c r="D640">
        <v>2.4004999999999999E-3</v>
      </c>
      <c r="E640">
        <v>2.4639000000000002E-3</v>
      </c>
      <c r="F640">
        <v>23823098</v>
      </c>
      <c r="G640">
        <v>0</v>
      </c>
      <c r="L640" t="s">
        <v>8</v>
      </c>
      <c r="M640" t="s">
        <v>7</v>
      </c>
      <c r="N640" t="s">
        <v>8</v>
      </c>
      <c r="P640">
        <f t="shared" si="989"/>
        <v>0.30184804928132009</v>
      </c>
      <c r="Q640">
        <f t="shared" si="990"/>
        <v>7190955.6591377184</v>
      </c>
      <c r="R640">
        <f t="shared" si="991"/>
        <v>-8931012939.4870472</v>
      </c>
      <c r="S640">
        <f t="shared" si="992"/>
        <v>-89310.12939487047</v>
      </c>
      <c r="T640">
        <f t="shared" si="993"/>
        <v>-89.310129394870472</v>
      </c>
    </row>
    <row r="641" spans="1:20" x14ac:dyDescent="0.25">
      <c r="A641" s="5">
        <v>43952</v>
      </c>
      <c r="B641">
        <v>2.3751000000000002E-3</v>
      </c>
      <c r="C641">
        <v>2.5100000000000001E-3</v>
      </c>
      <c r="D641">
        <v>2.3551000000000002E-3</v>
      </c>
      <c r="E641">
        <v>2.4751999999999999E-3</v>
      </c>
      <c r="F641">
        <v>32272421</v>
      </c>
      <c r="G641">
        <v>0</v>
      </c>
      <c r="L641" t="s">
        <v>8</v>
      </c>
      <c r="M641" t="s">
        <v>7</v>
      </c>
      <c r="N641" t="s">
        <v>8</v>
      </c>
      <c r="P641">
        <f t="shared" si="989"/>
        <v>0.55067785668172742</v>
      </c>
      <c r="Q641">
        <f t="shared" si="990"/>
        <v>17771707.626210369</v>
      </c>
      <c r="R641">
        <f t="shared" si="991"/>
        <v>-8938203895.1461849</v>
      </c>
      <c r="S641">
        <f t="shared" si="992"/>
        <v>-89382.038951461844</v>
      </c>
      <c r="T641">
        <f t="shared" si="993"/>
        <v>-89.382038951461837</v>
      </c>
    </row>
    <row r="642" spans="1:20" x14ac:dyDescent="0.25">
      <c r="A642" s="5">
        <v>43951</v>
      </c>
      <c r="B642">
        <v>2.4815000000000002E-3</v>
      </c>
      <c r="C642">
        <v>2.5230000000000001E-3</v>
      </c>
      <c r="D642">
        <v>2.3070999999999999E-3</v>
      </c>
      <c r="E642">
        <v>2.3754000000000002E-3</v>
      </c>
      <c r="F642">
        <v>58080366</v>
      </c>
      <c r="G642">
        <v>0</v>
      </c>
      <c r="L642" t="s">
        <v>7</v>
      </c>
      <c r="M642" t="s">
        <v>7</v>
      </c>
      <c r="N642" t="s">
        <v>8</v>
      </c>
      <c r="P642">
        <f t="shared" si="989"/>
        <v>-0.3672996757758199</v>
      </c>
      <c r="Q642">
        <f t="shared" si="990"/>
        <v>-21332899.600740954</v>
      </c>
      <c r="R642">
        <f t="shared" si="991"/>
        <v>-8955975602.7723961</v>
      </c>
      <c r="S642">
        <f t="shared" si="992"/>
        <v>-89559.756027723968</v>
      </c>
      <c r="T642">
        <f t="shared" si="993"/>
        <v>-89.559756027723964</v>
      </c>
    </row>
    <row r="643" spans="1:20" x14ac:dyDescent="0.25">
      <c r="A643" s="5">
        <v>43950</v>
      </c>
      <c r="B643">
        <v>2.4012E-3</v>
      </c>
      <c r="C643">
        <v>2.5500000000000002E-3</v>
      </c>
      <c r="D643">
        <v>2.3701E-3</v>
      </c>
      <c r="E643">
        <v>2.4788000000000002E-3</v>
      </c>
      <c r="F643">
        <v>58200664</v>
      </c>
      <c r="G643">
        <v>0</v>
      </c>
      <c r="L643" t="s">
        <v>8</v>
      </c>
      <c r="M643" t="s">
        <v>7</v>
      </c>
      <c r="N643" t="s">
        <v>8</v>
      </c>
      <c r="P643">
        <f t="shared" si="989"/>
        <v>0.20844913841022883</v>
      </c>
      <c r="Q643">
        <f t="shared" si="990"/>
        <v>12131878.265703222</v>
      </c>
      <c r="R643">
        <f t="shared" si="991"/>
        <v>-8934642703.1716557</v>
      </c>
      <c r="S643">
        <f t="shared" si="992"/>
        <v>-89346.42703171655</v>
      </c>
      <c r="T643">
        <f t="shared" si="993"/>
        <v>-89.346427031716544</v>
      </c>
    </row>
    <row r="644" spans="1:20" x14ac:dyDescent="0.25">
      <c r="A644" s="5">
        <v>43949</v>
      </c>
      <c r="B644">
        <v>2.4599000000000001E-3</v>
      </c>
      <c r="C644">
        <v>2.4897999999999999E-3</v>
      </c>
      <c r="D644">
        <v>2.3808000000000002E-3</v>
      </c>
      <c r="E644">
        <v>2.3882E-3</v>
      </c>
      <c r="F644">
        <v>20310313</v>
      </c>
      <c r="G644">
        <v>0</v>
      </c>
      <c r="L644" t="s">
        <v>7</v>
      </c>
      <c r="M644" t="s">
        <v>7</v>
      </c>
      <c r="N644" t="s">
        <v>8</v>
      </c>
      <c r="P644">
        <f t="shared" si="989"/>
        <v>-0.86422018348624086</v>
      </c>
      <c r="Q644">
        <f t="shared" si="990"/>
        <v>-17552582.427522983</v>
      </c>
      <c r="R644">
        <f t="shared" si="991"/>
        <v>-8946774581.4373589</v>
      </c>
      <c r="S644">
        <f t="shared" si="992"/>
        <v>-89467.745814373586</v>
      </c>
      <c r="T644">
        <f t="shared" si="993"/>
        <v>-89.467745814373586</v>
      </c>
    </row>
    <row r="645" spans="1:20" x14ac:dyDescent="0.25">
      <c r="A645" s="5">
        <v>43948</v>
      </c>
      <c r="B645">
        <v>2.4486999999999998E-3</v>
      </c>
      <c r="C645">
        <v>2.493E-3</v>
      </c>
      <c r="D645">
        <v>2.3427999999999999E-3</v>
      </c>
      <c r="E645">
        <v>2.4402999999999998E-3</v>
      </c>
      <c r="F645">
        <v>38365786</v>
      </c>
      <c r="G645">
        <v>0</v>
      </c>
      <c r="L645" t="s">
        <v>7</v>
      </c>
      <c r="M645" t="s">
        <v>7</v>
      </c>
      <c r="N645" t="s">
        <v>8</v>
      </c>
      <c r="P645">
        <f t="shared" si="989"/>
        <v>0.29826897470039793</v>
      </c>
      <c r="Q645">
        <f t="shared" si="990"/>
        <v>11443323.653794881</v>
      </c>
      <c r="R645">
        <f t="shared" si="991"/>
        <v>-8929221999.0098362</v>
      </c>
      <c r="S645">
        <f t="shared" si="992"/>
        <v>-89292.219990098369</v>
      </c>
      <c r="T645">
        <f t="shared" si="993"/>
        <v>-89.292219990098374</v>
      </c>
    </row>
    <row r="646" spans="1:20" x14ac:dyDescent="0.25">
      <c r="A646" s="5">
        <v>43947</v>
      </c>
      <c r="B646">
        <v>2.4459E-3</v>
      </c>
      <c r="C646">
        <v>2.5896999999999999E-3</v>
      </c>
      <c r="D646">
        <v>2.4099E-3</v>
      </c>
      <c r="E646">
        <v>2.4486999999999998E-3</v>
      </c>
      <c r="F646">
        <v>62719121</v>
      </c>
      <c r="G646">
        <v>0</v>
      </c>
      <c r="L646" t="s">
        <v>8</v>
      </c>
      <c r="M646" t="s">
        <v>7</v>
      </c>
      <c r="N646" t="s">
        <v>8</v>
      </c>
      <c r="P646">
        <f t="shared" ref="P646:P709" si="994">IF(C646=D646,0,((E646-D646)-(C646-E646))/(C646-D646))</f>
        <v>-0.56840934371524054</v>
      </c>
      <c r="Q646">
        <f t="shared" ref="Q646:Q709" si="995">F646*P646</f>
        <v>-35650134.406006761</v>
      </c>
      <c r="R646">
        <f t="shared" ref="R646:R709" si="996">R647+Q646</f>
        <v>-8940665322.6636314</v>
      </c>
      <c r="S646">
        <f t="shared" ref="S646:S709" si="997">R646/100000</f>
        <v>-89406.653226636321</v>
      </c>
      <c r="T646">
        <f t="shared" ref="T646:T709" si="998">S646/1000</f>
        <v>-89.406653226636323</v>
      </c>
    </row>
    <row r="647" spans="1:20" x14ac:dyDescent="0.25">
      <c r="A647" s="5">
        <v>43946</v>
      </c>
      <c r="B647">
        <v>2.3441E-3</v>
      </c>
      <c r="C647">
        <v>2.5303000000000001E-3</v>
      </c>
      <c r="D647">
        <v>2.3119E-3</v>
      </c>
      <c r="E647">
        <v>2.4542000000000001E-3</v>
      </c>
      <c r="F647">
        <v>51877085</v>
      </c>
      <c r="G647">
        <v>0</v>
      </c>
      <c r="L647" t="s">
        <v>8</v>
      </c>
      <c r="M647" t="s">
        <v>7</v>
      </c>
      <c r="N647" t="s">
        <v>8</v>
      </c>
      <c r="P647">
        <f t="shared" si="994"/>
        <v>0.30311355311355387</v>
      </c>
      <c r="Q647">
        <f t="shared" si="995"/>
        <v>15724647.559523849</v>
      </c>
      <c r="R647">
        <f t="shared" si="996"/>
        <v>-8905015188.2576256</v>
      </c>
      <c r="S647">
        <f t="shared" si="997"/>
        <v>-89050.151882576261</v>
      </c>
      <c r="T647">
        <f t="shared" si="998"/>
        <v>-89.050151882576259</v>
      </c>
    </row>
    <row r="648" spans="1:20" x14ac:dyDescent="0.25">
      <c r="A648" s="5">
        <v>43945</v>
      </c>
      <c r="B648">
        <v>2.3249E-3</v>
      </c>
      <c r="C648">
        <v>2.3869999999999998E-3</v>
      </c>
      <c r="D648">
        <v>2.2553E-3</v>
      </c>
      <c r="E648">
        <v>2.3240000000000001E-3</v>
      </c>
      <c r="F648">
        <v>48049318</v>
      </c>
      <c r="G648">
        <v>0</v>
      </c>
      <c r="L648" t="s">
        <v>8</v>
      </c>
      <c r="M648" t="s">
        <v>7</v>
      </c>
      <c r="N648" t="s">
        <v>8</v>
      </c>
      <c r="P648">
        <f t="shared" si="994"/>
        <v>4.3280182232349425E-2</v>
      </c>
      <c r="Q648">
        <f t="shared" si="995"/>
        <v>2079583.2391801074</v>
      </c>
      <c r="R648">
        <f t="shared" si="996"/>
        <v>-8920739835.8171501</v>
      </c>
      <c r="S648">
        <f t="shared" si="997"/>
        <v>-89207.3983581715</v>
      </c>
      <c r="T648">
        <f t="shared" si="998"/>
        <v>-89.207398358171503</v>
      </c>
    </row>
    <row r="649" spans="1:20" x14ac:dyDescent="0.25">
      <c r="A649" s="5">
        <v>43944</v>
      </c>
      <c r="B649">
        <v>2.31E-3</v>
      </c>
      <c r="C649">
        <v>2.3479E-3</v>
      </c>
      <c r="D649">
        <v>2.215E-3</v>
      </c>
      <c r="E649">
        <v>2.3238999999999998E-3</v>
      </c>
      <c r="F649">
        <v>91501395</v>
      </c>
      <c r="G649">
        <v>0</v>
      </c>
      <c r="L649" t="s">
        <v>8</v>
      </c>
      <c r="M649" t="s">
        <v>7</v>
      </c>
      <c r="N649" t="s">
        <v>8</v>
      </c>
      <c r="P649">
        <f t="shared" si="994"/>
        <v>0.63882618510157796</v>
      </c>
      <c r="Q649">
        <f t="shared" si="995"/>
        <v>58453487.099322602</v>
      </c>
      <c r="R649">
        <f t="shared" si="996"/>
        <v>-8922819419.0563297</v>
      </c>
      <c r="S649">
        <f t="shared" si="997"/>
        <v>-89228.194190563299</v>
      </c>
      <c r="T649">
        <f t="shared" si="998"/>
        <v>-89.2281941905633</v>
      </c>
    </row>
    <row r="650" spans="1:20" x14ac:dyDescent="0.25">
      <c r="A650" s="5">
        <v>43943</v>
      </c>
      <c r="B650">
        <v>2.2065000000000001E-3</v>
      </c>
      <c r="C650">
        <v>2.3684999999999999E-3</v>
      </c>
      <c r="D650">
        <v>2.1900000000000001E-3</v>
      </c>
      <c r="E650">
        <v>2.2932999999999999E-3</v>
      </c>
      <c r="F650">
        <v>53486162</v>
      </c>
      <c r="G650">
        <v>0</v>
      </c>
      <c r="L650" t="s">
        <v>8</v>
      </c>
      <c r="M650" t="s">
        <v>7</v>
      </c>
      <c r="N650" t="s">
        <v>8</v>
      </c>
      <c r="P650">
        <f t="shared" si="994"/>
        <v>0.15742296918767326</v>
      </c>
      <c r="Q650">
        <f t="shared" si="995"/>
        <v>8419950.4324929006</v>
      </c>
      <c r="R650">
        <f t="shared" si="996"/>
        <v>-8981272906.155653</v>
      </c>
      <c r="S650">
        <f t="shared" si="997"/>
        <v>-89812.729061556529</v>
      </c>
      <c r="T650">
        <f t="shared" si="998"/>
        <v>-89.812729061556524</v>
      </c>
    </row>
    <row r="651" spans="1:20" x14ac:dyDescent="0.25">
      <c r="A651" s="5">
        <v>43942</v>
      </c>
      <c r="B651">
        <v>2.2423999999999999E-3</v>
      </c>
      <c r="C651">
        <v>2.3337000000000002E-3</v>
      </c>
      <c r="D651">
        <v>2.1901999999999998E-3</v>
      </c>
      <c r="E651">
        <v>2.2174E-3</v>
      </c>
      <c r="F651">
        <v>48395837</v>
      </c>
      <c r="G651">
        <v>0</v>
      </c>
      <c r="L651" t="s">
        <v>7</v>
      </c>
      <c r="M651" t="s">
        <v>7</v>
      </c>
      <c r="N651" t="s">
        <v>8</v>
      </c>
      <c r="P651">
        <f t="shared" si="994"/>
        <v>-0.62090592334494565</v>
      </c>
      <c r="Q651">
        <f t="shared" si="995"/>
        <v>-30049261.858536486</v>
      </c>
      <c r="R651">
        <f t="shared" si="996"/>
        <v>-8989692856.5881462</v>
      </c>
      <c r="S651">
        <f t="shared" si="997"/>
        <v>-89896.928565881462</v>
      </c>
      <c r="T651">
        <f t="shared" si="998"/>
        <v>-89.896928565881467</v>
      </c>
    </row>
    <row r="652" spans="1:20" x14ac:dyDescent="0.25">
      <c r="A652" s="5">
        <v>43941</v>
      </c>
      <c r="B652">
        <v>2.4778999999999999E-3</v>
      </c>
      <c r="C652">
        <v>2.5999999999999999E-3</v>
      </c>
      <c r="D652">
        <v>2.1681000000000001E-3</v>
      </c>
      <c r="E652">
        <v>2.2423999999999999E-3</v>
      </c>
      <c r="F652">
        <v>94798643</v>
      </c>
      <c r="G652">
        <v>0</v>
      </c>
      <c r="L652" t="s">
        <v>7</v>
      </c>
      <c r="M652" t="s">
        <v>8</v>
      </c>
      <c r="N652" t="s">
        <v>8</v>
      </c>
      <c r="P652">
        <f t="shared" si="994"/>
        <v>-0.65593887473952384</v>
      </c>
      <c r="Q652">
        <f t="shared" si="995"/>
        <v>-62182115.216253839</v>
      </c>
      <c r="R652">
        <f t="shared" si="996"/>
        <v>-8959643594.7296104</v>
      </c>
      <c r="S652">
        <f t="shared" si="997"/>
        <v>-89596.435947296108</v>
      </c>
      <c r="T652">
        <f t="shared" si="998"/>
        <v>-89.596435947296101</v>
      </c>
    </row>
    <row r="653" spans="1:20" x14ac:dyDescent="0.25">
      <c r="A653" s="5">
        <v>43940</v>
      </c>
      <c r="B653">
        <v>2.5008000000000001E-3</v>
      </c>
      <c r="C653">
        <v>2.5333999999999999E-3</v>
      </c>
      <c r="D653">
        <v>2.4004999999999999E-3</v>
      </c>
      <c r="E653">
        <v>2.4778999999999999E-3</v>
      </c>
      <c r="F653">
        <v>44318214</v>
      </c>
      <c r="G653">
        <v>0</v>
      </c>
      <c r="L653" t="s">
        <v>7</v>
      </c>
      <c r="M653" t="s">
        <v>8</v>
      </c>
      <c r="N653" t="s">
        <v>8</v>
      </c>
      <c r="P653">
        <f t="shared" si="994"/>
        <v>0.16478555304740436</v>
      </c>
      <c r="Q653">
        <f t="shared" si="995"/>
        <v>7303001.4040632183</v>
      </c>
      <c r="R653">
        <f t="shared" si="996"/>
        <v>-8897461479.5133572</v>
      </c>
      <c r="S653">
        <f t="shared" si="997"/>
        <v>-88974.614795133573</v>
      </c>
      <c r="T653">
        <f t="shared" si="998"/>
        <v>-88.974614795133576</v>
      </c>
    </row>
    <row r="654" spans="1:20" x14ac:dyDescent="0.25">
      <c r="A654" s="5">
        <v>43939</v>
      </c>
      <c r="B654">
        <v>2.3232000000000001E-3</v>
      </c>
      <c r="C654">
        <v>2.5790000000000001E-3</v>
      </c>
      <c r="D654">
        <v>2.3230999999999998E-3</v>
      </c>
      <c r="E654">
        <v>2.5008000000000001E-3</v>
      </c>
      <c r="F654">
        <v>55371361</v>
      </c>
      <c r="G654">
        <v>0</v>
      </c>
      <c r="L654" t="s">
        <v>8</v>
      </c>
      <c r="M654" t="s">
        <v>8</v>
      </c>
      <c r="N654" t="s">
        <v>8</v>
      </c>
      <c r="P654">
        <f t="shared" si="994"/>
        <v>0.38882375928096941</v>
      </c>
      <c r="Q654">
        <f t="shared" si="995"/>
        <v>21529700.740523659</v>
      </c>
      <c r="R654">
        <f t="shared" si="996"/>
        <v>-8904764480.9174194</v>
      </c>
      <c r="S654">
        <f t="shared" si="997"/>
        <v>-89047.644809174191</v>
      </c>
      <c r="T654">
        <f t="shared" si="998"/>
        <v>-89.047644809174187</v>
      </c>
    </row>
    <row r="655" spans="1:20" x14ac:dyDescent="0.25">
      <c r="A655" s="5">
        <v>43938</v>
      </c>
      <c r="B655">
        <v>2.3614999999999999E-3</v>
      </c>
      <c r="C655">
        <v>2.3706999999999999E-3</v>
      </c>
      <c r="D655">
        <v>2.2534999999999999E-3</v>
      </c>
      <c r="E655">
        <v>2.3086999999999999E-3</v>
      </c>
      <c r="F655">
        <v>34002563</v>
      </c>
      <c r="G655">
        <v>0</v>
      </c>
      <c r="L655" t="s">
        <v>8</v>
      </c>
      <c r="M655" t="s">
        <v>7</v>
      </c>
      <c r="N655" t="s">
        <v>8</v>
      </c>
      <c r="P655">
        <f t="shared" si="994"/>
        <v>-5.8020477815699203E-2</v>
      </c>
      <c r="Q655">
        <f t="shared" si="995"/>
        <v>-1972844.9522184145</v>
      </c>
      <c r="R655">
        <f t="shared" si="996"/>
        <v>-8926294181.6579437</v>
      </c>
      <c r="S655">
        <f t="shared" si="997"/>
        <v>-89262.941816579434</v>
      </c>
      <c r="T655">
        <f t="shared" si="998"/>
        <v>-89.262941816579428</v>
      </c>
    </row>
    <row r="656" spans="1:20" x14ac:dyDescent="0.25">
      <c r="A656" s="5">
        <v>43937</v>
      </c>
      <c r="B656">
        <v>2.1784999999999999E-3</v>
      </c>
      <c r="C656">
        <v>2.4074000000000001E-3</v>
      </c>
      <c r="D656">
        <v>2.0477E-3</v>
      </c>
      <c r="E656">
        <v>2.3614999999999999E-3</v>
      </c>
      <c r="F656">
        <v>102180449</v>
      </c>
      <c r="G656">
        <v>0</v>
      </c>
      <c r="L656" t="s">
        <v>7</v>
      </c>
      <c r="M656" t="s">
        <v>7</v>
      </c>
      <c r="N656" t="s">
        <v>8</v>
      </c>
      <c r="P656">
        <f t="shared" si="994"/>
        <v>0.74478732276897319</v>
      </c>
      <c r="Q656">
        <f t="shared" si="995"/>
        <v>76102703.050041601</v>
      </c>
      <c r="R656">
        <f t="shared" si="996"/>
        <v>-8924321336.7057247</v>
      </c>
      <c r="S656">
        <f t="shared" si="997"/>
        <v>-89243.213367057251</v>
      </c>
      <c r="T656">
        <f t="shared" si="998"/>
        <v>-89.243213367057251</v>
      </c>
    </row>
    <row r="657" spans="1:20" x14ac:dyDescent="0.25">
      <c r="A657" s="5">
        <v>43936</v>
      </c>
      <c r="B657">
        <v>2.3977E-3</v>
      </c>
      <c r="C657">
        <v>2.4818000000000002E-3</v>
      </c>
      <c r="D657">
        <v>2.1611999999999998E-3</v>
      </c>
      <c r="E657">
        <v>2.1787999999999998E-3</v>
      </c>
      <c r="F657">
        <v>94250090</v>
      </c>
      <c r="G657">
        <v>0</v>
      </c>
      <c r="L657" t="s">
        <v>7</v>
      </c>
      <c r="M657" t="s">
        <v>8</v>
      </c>
      <c r="N657" t="s">
        <v>8</v>
      </c>
      <c r="P657">
        <f t="shared" si="994"/>
        <v>-0.8902058640049908</v>
      </c>
      <c r="Q657">
        <f t="shared" si="995"/>
        <v>-83901982.800998136</v>
      </c>
      <c r="R657">
        <f t="shared" si="996"/>
        <v>-9000424039.7557659</v>
      </c>
      <c r="S657">
        <f t="shared" si="997"/>
        <v>-90004.24039755766</v>
      </c>
      <c r="T657">
        <f t="shared" si="998"/>
        <v>-90.004240397557666</v>
      </c>
    </row>
    <row r="658" spans="1:20" x14ac:dyDescent="0.25">
      <c r="A658" s="5">
        <v>43935</v>
      </c>
      <c r="B658">
        <v>2.1706999999999998E-3</v>
      </c>
      <c r="C658">
        <v>2.4799000000000002E-3</v>
      </c>
      <c r="D658">
        <v>2.1500999999999998E-3</v>
      </c>
      <c r="E658">
        <v>2.3977E-3</v>
      </c>
      <c r="F658">
        <v>97676750</v>
      </c>
      <c r="G658">
        <v>0</v>
      </c>
      <c r="L658" t="s">
        <v>8</v>
      </c>
      <c r="M658" t="s">
        <v>8</v>
      </c>
      <c r="N658" t="s">
        <v>8</v>
      </c>
      <c r="P658">
        <f t="shared" si="994"/>
        <v>0.50151607034566359</v>
      </c>
      <c r="Q658">
        <f t="shared" si="995"/>
        <v>48986459.824135795</v>
      </c>
      <c r="R658">
        <f t="shared" si="996"/>
        <v>-8916522056.9547672</v>
      </c>
      <c r="S658">
        <f t="shared" si="997"/>
        <v>-89165.220569547673</v>
      </c>
      <c r="T658">
        <f t="shared" si="998"/>
        <v>-89.165220569547671</v>
      </c>
    </row>
    <row r="659" spans="1:20" x14ac:dyDescent="0.25">
      <c r="A659" s="5">
        <v>43934</v>
      </c>
      <c r="B659">
        <v>2.2001E-3</v>
      </c>
      <c r="C659">
        <v>2.2144E-3</v>
      </c>
      <c r="D659">
        <v>2E-3</v>
      </c>
      <c r="E659">
        <v>2.1584E-3</v>
      </c>
      <c r="F659">
        <v>69596183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0.4776119402985069</v>
      </c>
      <c r="Q659">
        <f t="shared" si="995"/>
        <v>33239967.999999959</v>
      </c>
      <c r="R659">
        <f t="shared" si="996"/>
        <v>-8965508516.778904</v>
      </c>
      <c r="S659">
        <f t="shared" si="997"/>
        <v>-89655.085167789046</v>
      </c>
      <c r="T659">
        <f t="shared" si="998"/>
        <v>-89.655085167789039</v>
      </c>
    </row>
    <row r="660" spans="1:20" x14ac:dyDescent="0.25">
      <c r="A660" s="5">
        <v>43933</v>
      </c>
      <c r="B660">
        <v>2.2418999999999998E-3</v>
      </c>
      <c r="C660">
        <v>2.3410000000000002E-3</v>
      </c>
      <c r="D660">
        <v>2.1749999999999999E-3</v>
      </c>
      <c r="E660">
        <v>2.2001E-3</v>
      </c>
      <c r="F660">
        <v>60115368</v>
      </c>
      <c r="G660">
        <v>0</v>
      </c>
      <c r="L660" t="s">
        <v>7</v>
      </c>
      <c r="M660" t="s">
        <v>7</v>
      </c>
      <c r="N660" t="s">
        <v>8</v>
      </c>
      <c r="P660">
        <f t="shared" si="994"/>
        <v>-0.69759036144578235</v>
      </c>
      <c r="Q660">
        <f t="shared" si="995"/>
        <v>-41935901.291566215</v>
      </c>
      <c r="R660">
        <f t="shared" si="996"/>
        <v>-8998748484.778904</v>
      </c>
      <c r="S660">
        <f t="shared" si="997"/>
        <v>-89987.484847789034</v>
      </c>
      <c r="T660">
        <f t="shared" si="998"/>
        <v>-89.987484847789034</v>
      </c>
    </row>
    <row r="661" spans="1:20" x14ac:dyDescent="0.25">
      <c r="A661" s="5">
        <v>43932</v>
      </c>
      <c r="B661">
        <v>2.0649000000000002E-3</v>
      </c>
      <c r="C661">
        <v>2.5999999999999999E-3</v>
      </c>
      <c r="D661">
        <v>2.0535000000000002E-3</v>
      </c>
      <c r="E661">
        <v>2.2365000000000002E-3</v>
      </c>
      <c r="F661">
        <v>194744132</v>
      </c>
      <c r="G661">
        <v>0</v>
      </c>
      <c r="L661" t="s">
        <v>8</v>
      </c>
      <c r="M661" t="s">
        <v>8</v>
      </c>
      <c r="N661" t="s">
        <v>8</v>
      </c>
      <c r="P661">
        <f t="shared" si="994"/>
        <v>-0.33028362305580927</v>
      </c>
      <c r="Q661">
        <f t="shared" si="995"/>
        <v>-64320797.485818766</v>
      </c>
      <c r="R661">
        <f t="shared" si="996"/>
        <v>-8956812583.4873371</v>
      </c>
      <c r="S661">
        <f t="shared" si="997"/>
        <v>-89568.125834873368</v>
      </c>
      <c r="T661">
        <f t="shared" si="998"/>
        <v>-89.568125834873371</v>
      </c>
    </row>
    <row r="662" spans="1:20" x14ac:dyDescent="0.25">
      <c r="A662" s="5">
        <v>43931</v>
      </c>
      <c r="B662">
        <v>2.3376999999999998E-3</v>
      </c>
      <c r="C662">
        <v>2.3376999999999998E-3</v>
      </c>
      <c r="D662">
        <v>1.92E-3</v>
      </c>
      <c r="E662">
        <v>2.0649000000000002E-3</v>
      </c>
      <c r="F662">
        <v>184162514</v>
      </c>
      <c r="G662">
        <v>0</v>
      </c>
      <c r="L662" t="s">
        <v>8</v>
      </c>
      <c r="M662" t="s">
        <v>7</v>
      </c>
      <c r="N662" t="s">
        <v>8</v>
      </c>
      <c r="P662">
        <f t="shared" si="994"/>
        <v>-0.30620062245630753</v>
      </c>
      <c r="Q662">
        <f t="shared" si="995"/>
        <v>-56390676.419918448</v>
      </c>
      <c r="R662">
        <f t="shared" si="996"/>
        <v>-8892491786.0015182</v>
      </c>
      <c r="S662">
        <f t="shared" si="997"/>
        <v>-88924.917860015179</v>
      </c>
      <c r="T662">
        <f t="shared" si="998"/>
        <v>-88.924917860015185</v>
      </c>
    </row>
    <row r="663" spans="1:20" x14ac:dyDescent="0.25">
      <c r="A663" s="5">
        <v>43930</v>
      </c>
      <c r="B663">
        <v>2.0336999999999998E-3</v>
      </c>
      <c r="C663">
        <v>2.5528E-3</v>
      </c>
      <c r="D663">
        <v>1.9524E-3</v>
      </c>
      <c r="E663">
        <v>2.3376999999999998E-3</v>
      </c>
      <c r="F663">
        <v>209270483</v>
      </c>
      <c r="G663">
        <v>0</v>
      </c>
      <c r="L663" t="s">
        <v>7</v>
      </c>
      <c r="M663" t="s">
        <v>8</v>
      </c>
      <c r="N663" t="s">
        <v>8</v>
      </c>
      <c r="P663">
        <f t="shared" si="994"/>
        <v>0.28347768154563568</v>
      </c>
      <c r="Q663">
        <f t="shared" si="995"/>
        <v>59323511.33677537</v>
      </c>
      <c r="R663">
        <f t="shared" si="996"/>
        <v>-8836101109.5816002</v>
      </c>
      <c r="S663">
        <f t="shared" si="997"/>
        <v>-88361.011095816008</v>
      </c>
      <c r="T663">
        <f t="shared" si="998"/>
        <v>-88.361011095816011</v>
      </c>
    </row>
    <row r="664" spans="1:20" x14ac:dyDescent="0.25">
      <c r="A664" s="5">
        <v>43929</v>
      </c>
      <c r="B664">
        <v>2.0424000000000002E-3</v>
      </c>
      <c r="C664">
        <v>2.0999E-3</v>
      </c>
      <c r="D664">
        <v>1.9838999999999998E-3</v>
      </c>
      <c r="E664">
        <v>2.0338000000000001E-3</v>
      </c>
      <c r="F664">
        <v>39364995</v>
      </c>
      <c r="G664">
        <v>0</v>
      </c>
      <c r="L664" t="s">
        <v>7</v>
      </c>
      <c r="M664" t="s">
        <v>8</v>
      </c>
      <c r="N664" t="s">
        <v>8</v>
      </c>
      <c r="P664">
        <f t="shared" si="994"/>
        <v>-0.13965517241378969</v>
      </c>
      <c r="Q664">
        <f t="shared" si="995"/>
        <v>-5497525.1637929687</v>
      </c>
      <c r="R664">
        <f t="shared" si="996"/>
        <v>-8895424620.918375</v>
      </c>
      <c r="S664">
        <f t="shared" si="997"/>
        <v>-88954.246209183751</v>
      </c>
      <c r="T664">
        <f t="shared" si="998"/>
        <v>-88.954246209183751</v>
      </c>
    </row>
    <row r="665" spans="1:20" x14ac:dyDescent="0.25">
      <c r="A665" s="5">
        <v>43928</v>
      </c>
      <c r="B665">
        <v>1.99E-3</v>
      </c>
      <c r="C665">
        <v>2.1616999999999999E-3</v>
      </c>
      <c r="D665">
        <v>1.9413E-3</v>
      </c>
      <c r="E665">
        <v>2.0424000000000002E-3</v>
      </c>
      <c r="F665">
        <v>118225206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-8.2577132486385985E-2</v>
      </c>
      <c r="Q665">
        <f t="shared" si="995"/>
        <v>-9762698.4990922753</v>
      </c>
      <c r="R665">
        <f t="shared" si="996"/>
        <v>-8889927095.7545815</v>
      </c>
      <c r="S665">
        <f t="shared" si="997"/>
        <v>-88899.270957545814</v>
      </c>
      <c r="T665">
        <f t="shared" si="998"/>
        <v>-88.899270957545809</v>
      </c>
    </row>
    <row r="666" spans="1:20" x14ac:dyDescent="0.25">
      <c r="A666" s="5">
        <v>43927</v>
      </c>
      <c r="B666">
        <v>1.8871999999999999E-3</v>
      </c>
      <c r="C666">
        <v>2.0322000000000001E-3</v>
      </c>
      <c r="D666">
        <v>1.8400999999999999E-3</v>
      </c>
      <c r="E666">
        <v>1.9816E-3</v>
      </c>
      <c r="F666">
        <v>43660712</v>
      </c>
      <c r="G666">
        <v>0</v>
      </c>
      <c r="L666" t="s">
        <v>7</v>
      </c>
      <c r="M666" t="s">
        <v>8</v>
      </c>
      <c r="N666" t="s">
        <v>8</v>
      </c>
      <c r="P666">
        <f t="shared" si="994"/>
        <v>0.4731910463300365</v>
      </c>
      <c r="Q666">
        <f t="shared" si="995"/>
        <v>20659857.99479438</v>
      </c>
      <c r="R666">
        <f t="shared" si="996"/>
        <v>-8880164397.2554893</v>
      </c>
      <c r="S666">
        <f t="shared" si="997"/>
        <v>-88801.643972554899</v>
      </c>
      <c r="T666">
        <f t="shared" si="998"/>
        <v>-88.801643972554899</v>
      </c>
    </row>
    <row r="667" spans="1:20" x14ac:dyDescent="0.25">
      <c r="A667" s="5">
        <v>43926</v>
      </c>
      <c r="B667">
        <v>1.9341E-3</v>
      </c>
      <c r="C667">
        <v>1.9459E-3</v>
      </c>
      <c r="D667">
        <v>1.8500000000000001E-3</v>
      </c>
      <c r="E667">
        <v>1.8783999999999999E-3</v>
      </c>
      <c r="F667">
        <v>33305676</v>
      </c>
      <c r="G667">
        <v>0</v>
      </c>
      <c r="L667" t="s">
        <v>7</v>
      </c>
      <c r="M667" t="s">
        <v>8</v>
      </c>
      <c r="N667" t="s">
        <v>8</v>
      </c>
      <c r="P667">
        <f t="shared" si="994"/>
        <v>-0.40771637122002385</v>
      </c>
      <c r="Q667">
        <f t="shared" si="995"/>
        <v>-13579269.359749839</v>
      </c>
      <c r="R667">
        <f t="shared" si="996"/>
        <v>-8900824255.2502842</v>
      </c>
      <c r="S667">
        <f t="shared" si="997"/>
        <v>-89008.242552502837</v>
      </c>
      <c r="T667">
        <f t="shared" si="998"/>
        <v>-89.008242552502836</v>
      </c>
    </row>
    <row r="668" spans="1:20" x14ac:dyDescent="0.25">
      <c r="A668" s="5">
        <v>43925</v>
      </c>
      <c r="B668">
        <v>1.9227999999999999E-3</v>
      </c>
      <c r="C668">
        <v>1.9599000000000001E-3</v>
      </c>
      <c r="D668">
        <v>1.8664E-3</v>
      </c>
      <c r="E668">
        <v>1.9220000000000001E-3</v>
      </c>
      <c r="F668">
        <v>20789084</v>
      </c>
      <c r="G668">
        <v>0</v>
      </c>
      <c r="L668" t="s">
        <v>7</v>
      </c>
      <c r="M668" t="s">
        <v>8</v>
      </c>
      <c r="N668" t="s">
        <v>8</v>
      </c>
      <c r="P668">
        <f t="shared" si="994"/>
        <v>0.18930481283422504</v>
      </c>
      <c r="Q668">
        <f t="shared" si="995"/>
        <v>3935473.6556149824</v>
      </c>
      <c r="R668">
        <f t="shared" si="996"/>
        <v>-8887244985.8905334</v>
      </c>
      <c r="S668">
        <f t="shared" si="997"/>
        <v>-88872.44985890534</v>
      </c>
      <c r="T668">
        <f t="shared" si="998"/>
        <v>-88.872449858905341</v>
      </c>
    </row>
    <row r="669" spans="1:20" x14ac:dyDescent="0.25">
      <c r="A669" s="5">
        <v>43924</v>
      </c>
      <c r="B669">
        <v>1.9284E-3</v>
      </c>
      <c r="C669">
        <v>2.0014999999999998E-3</v>
      </c>
      <c r="D669">
        <v>1.8944999999999999E-3</v>
      </c>
      <c r="E669">
        <v>1.9227999999999999E-3</v>
      </c>
      <c r="F669">
        <v>30140670</v>
      </c>
      <c r="G669">
        <v>0</v>
      </c>
      <c r="L669" t="s">
        <v>8</v>
      </c>
      <c r="M669" t="s">
        <v>8</v>
      </c>
      <c r="N669" t="s">
        <v>8</v>
      </c>
      <c r="P669">
        <f t="shared" si="994"/>
        <v>-0.47102803738317733</v>
      </c>
      <c r="Q669">
        <f t="shared" si="995"/>
        <v>-14197100.635514012</v>
      </c>
      <c r="R669">
        <f t="shared" si="996"/>
        <v>-8891180459.5461483</v>
      </c>
      <c r="S669">
        <f t="shared" si="997"/>
        <v>-88911.804595461479</v>
      </c>
      <c r="T669">
        <f t="shared" si="998"/>
        <v>-88.911804595461476</v>
      </c>
    </row>
    <row r="670" spans="1:20" x14ac:dyDescent="0.25">
      <c r="A670" s="5">
        <v>43923</v>
      </c>
      <c r="B670">
        <v>1.8928E-3</v>
      </c>
      <c r="C670">
        <v>2.0301E-3</v>
      </c>
      <c r="D670">
        <v>1.8697E-3</v>
      </c>
      <c r="E670">
        <v>1.9294E-3</v>
      </c>
      <c r="F670">
        <v>83869953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-0.25561097256857868</v>
      </c>
      <c r="Q670">
        <f t="shared" si="995"/>
        <v>-21438080.255610984</v>
      </c>
      <c r="R670">
        <f t="shared" si="996"/>
        <v>-8876983358.910635</v>
      </c>
      <c r="S670">
        <f t="shared" si="997"/>
        <v>-88769.833589106347</v>
      </c>
      <c r="T670">
        <f t="shared" si="998"/>
        <v>-88.769833589106341</v>
      </c>
    </row>
    <row r="671" spans="1:20" x14ac:dyDescent="0.25">
      <c r="A671" s="5">
        <v>43922</v>
      </c>
      <c r="B671">
        <v>1.8874E-3</v>
      </c>
      <c r="C671">
        <v>1.8927E-3</v>
      </c>
      <c r="D671">
        <v>1.7799999999999999E-3</v>
      </c>
      <c r="E671">
        <v>1.8927E-3</v>
      </c>
      <c r="F671">
        <v>35620266</v>
      </c>
      <c r="G671">
        <v>0</v>
      </c>
      <c r="L671" t="s">
        <v>8</v>
      </c>
      <c r="M671" t="s">
        <v>7</v>
      </c>
      <c r="N671" t="s">
        <v>8</v>
      </c>
      <c r="P671">
        <f t="shared" si="994"/>
        <v>1</v>
      </c>
      <c r="Q671">
        <f t="shared" si="995"/>
        <v>35620266</v>
      </c>
      <c r="R671">
        <f t="shared" si="996"/>
        <v>-8855545278.6550236</v>
      </c>
      <c r="S671">
        <f t="shared" si="997"/>
        <v>-88555.452786550231</v>
      </c>
      <c r="T671">
        <f t="shared" si="998"/>
        <v>-88.555452786550234</v>
      </c>
    </row>
    <row r="672" spans="1:20" x14ac:dyDescent="0.25">
      <c r="A672" s="5">
        <v>43921</v>
      </c>
      <c r="B672">
        <v>1.8575E-3</v>
      </c>
      <c r="C672">
        <v>1.915E-3</v>
      </c>
      <c r="D672">
        <v>1.8403E-3</v>
      </c>
      <c r="E672">
        <v>1.8795999999999999E-3</v>
      </c>
      <c r="F672">
        <v>25525398</v>
      </c>
      <c r="G672">
        <v>0</v>
      </c>
      <c r="L672" t="s">
        <v>8</v>
      </c>
      <c r="M672" t="s">
        <v>7</v>
      </c>
      <c r="N672" t="s">
        <v>8</v>
      </c>
      <c r="P672">
        <f t="shared" si="994"/>
        <v>5.2208835341363086E-2</v>
      </c>
      <c r="Q672">
        <f t="shared" si="995"/>
        <v>1332651.3012047587</v>
      </c>
      <c r="R672">
        <f t="shared" si="996"/>
        <v>-8891165544.6550236</v>
      </c>
      <c r="S672">
        <f t="shared" si="997"/>
        <v>-88911.655446550241</v>
      </c>
      <c r="T672">
        <f t="shared" si="998"/>
        <v>-88.911655446550242</v>
      </c>
    </row>
    <row r="673" spans="1:20" x14ac:dyDescent="0.25">
      <c r="A673" s="5">
        <v>43920</v>
      </c>
      <c r="B673">
        <v>1.6708000000000001E-3</v>
      </c>
      <c r="C673">
        <v>1.9147000000000001E-3</v>
      </c>
      <c r="D673">
        <v>1.65E-3</v>
      </c>
      <c r="E673">
        <v>1.8603000000000001E-3</v>
      </c>
      <c r="F673">
        <v>57088985</v>
      </c>
      <c r="G673">
        <v>0</v>
      </c>
      <c r="L673" t="s">
        <v>8</v>
      </c>
      <c r="M673" t="s">
        <v>7</v>
      </c>
      <c r="N673" t="s">
        <v>8</v>
      </c>
      <c r="P673">
        <f t="shared" si="994"/>
        <v>0.5889686437476388</v>
      </c>
      <c r="Q673">
        <f t="shared" si="995"/>
        <v>33623622.068379298</v>
      </c>
      <c r="R673">
        <f t="shared" si="996"/>
        <v>-8892498195.9562283</v>
      </c>
      <c r="S673">
        <f t="shared" si="997"/>
        <v>-88924.981959562283</v>
      </c>
      <c r="T673">
        <f t="shared" si="998"/>
        <v>-88.924981959562288</v>
      </c>
    </row>
    <row r="674" spans="1:20" x14ac:dyDescent="0.25">
      <c r="A674" s="5">
        <v>43919</v>
      </c>
      <c r="B674">
        <v>1.8028E-3</v>
      </c>
      <c r="C674">
        <v>1.8456E-3</v>
      </c>
      <c r="D674">
        <v>1.6528000000000001E-3</v>
      </c>
      <c r="E674">
        <v>1.6711E-3</v>
      </c>
      <c r="F674">
        <v>22175271</v>
      </c>
      <c r="G674">
        <v>0</v>
      </c>
      <c r="L674" t="s">
        <v>8</v>
      </c>
      <c r="M674" t="s">
        <v>7</v>
      </c>
      <c r="N674" t="s">
        <v>8</v>
      </c>
      <c r="P674">
        <f t="shared" si="994"/>
        <v>-0.81016597510373478</v>
      </c>
      <c r="Q674">
        <f t="shared" si="995"/>
        <v>-17965650.052904572</v>
      </c>
      <c r="R674">
        <f t="shared" si="996"/>
        <v>-8926121818.0246067</v>
      </c>
      <c r="S674">
        <f t="shared" si="997"/>
        <v>-89261.218180246069</v>
      </c>
      <c r="T674">
        <f t="shared" si="998"/>
        <v>-89.261218180246075</v>
      </c>
    </row>
    <row r="675" spans="1:20" x14ac:dyDescent="0.25">
      <c r="A675" s="5">
        <v>43918</v>
      </c>
      <c r="B675">
        <v>1.7554999999999999E-3</v>
      </c>
      <c r="C675">
        <v>1.8247999999999999E-3</v>
      </c>
      <c r="D675">
        <v>1.6670999999999999E-3</v>
      </c>
      <c r="E675">
        <v>1.8028E-3</v>
      </c>
      <c r="F675">
        <v>46961902</v>
      </c>
      <c r="G675">
        <v>0</v>
      </c>
      <c r="L675" t="s">
        <v>7</v>
      </c>
      <c r="M675" t="s">
        <v>7</v>
      </c>
      <c r="N675" t="s">
        <v>8</v>
      </c>
      <c r="P675">
        <f t="shared" si="994"/>
        <v>0.72098922003804833</v>
      </c>
      <c r="Q675">
        <f t="shared" si="995"/>
        <v>33859025.094483264</v>
      </c>
      <c r="R675">
        <f t="shared" si="996"/>
        <v>-8908156167.9717026</v>
      </c>
      <c r="S675">
        <f t="shared" si="997"/>
        <v>-89081.561679717022</v>
      </c>
      <c r="T675">
        <f t="shared" si="998"/>
        <v>-89.081561679717026</v>
      </c>
    </row>
    <row r="676" spans="1:20" x14ac:dyDescent="0.25">
      <c r="A676" s="5">
        <v>43917</v>
      </c>
      <c r="B676">
        <v>1.9545000000000001E-3</v>
      </c>
      <c r="C676">
        <v>1.9951999999999999E-3</v>
      </c>
      <c r="D676">
        <v>1.7554999999999999E-3</v>
      </c>
      <c r="E676">
        <v>1.7589999999999999E-3</v>
      </c>
      <c r="F676">
        <v>85319171</v>
      </c>
      <c r="G676">
        <v>0</v>
      </c>
      <c r="L676" t="s">
        <v>7</v>
      </c>
      <c r="M676" t="s">
        <v>7</v>
      </c>
      <c r="N676" t="s">
        <v>8</v>
      </c>
      <c r="P676">
        <f t="shared" si="994"/>
        <v>-0.97079682937004563</v>
      </c>
      <c r="Q676">
        <f t="shared" si="995"/>
        <v>-82827580.691280752</v>
      </c>
      <c r="R676">
        <f t="shared" si="996"/>
        <v>-8942015193.066185</v>
      </c>
      <c r="S676">
        <f t="shared" si="997"/>
        <v>-89420.151930661843</v>
      </c>
      <c r="T676">
        <f t="shared" si="998"/>
        <v>-89.420151930661845</v>
      </c>
    </row>
    <row r="677" spans="1:20" x14ac:dyDescent="0.25">
      <c r="A677" s="5">
        <v>43916</v>
      </c>
      <c r="B677">
        <v>1.8299E-3</v>
      </c>
      <c r="C677">
        <v>2.0498999999999999E-3</v>
      </c>
      <c r="D677">
        <v>1.8299E-3</v>
      </c>
      <c r="E677">
        <v>1.9545000000000001E-3</v>
      </c>
      <c r="F677">
        <v>114577136</v>
      </c>
      <c r="G677">
        <v>0</v>
      </c>
      <c r="L677" t="s">
        <v>8</v>
      </c>
      <c r="M677" t="s">
        <v>8</v>
      </c>
      <c r="N677" t="s">
        <v>8</v>
      </c>
      <c r="P677">
        <f t="shared" si="994"/>
        <v>0.13272727272727403</v>
      </c>
      <c r="Q677">
        <f t="shared" si="995"/>
        <v>15207510.778181966</v>
      </c>
      <c r="R677">
        <f t="shared" si="996"/>
        <v>-8859187612.3749046</v>
      </c>
      <c r="S677">
        <f t="shared" si="997"/>
        <v>-88591.87612374904</v>
      </c>
      <c r="T677">
        <f t="shared" si="998"/>
        <v>-88.591876123749046</v>
      </c>
    </row>
    <row r="678" spans="1:20" x14ac:dyDescent="0.25">
      <c r="A678" s="5">
        <v>43915</v>
      </c>
      <c r="B678">
        <v>1.799E-3</v>
      </c>
      <c r="C678">
        <v>1.8699000000000001E-3</v>
      </c>
      <c r="D678">
        <v>1.75E-3</v>
      </c>
      <c r="E678">
        <v>1.8299E-3</v>
      </c>
      <c r="F678">
        <v>44875541</v>
      </c>
      <c r="G678">
        <v>0</v>
      </c>
      <c r="L678" t="s">
        <v>7</v>
      </c>
      <c r="M678" t="s">
        <v>7</v>
      </c>
      <c r="N678" t="s">
        <v>8</v>
      </c>
      <c r="P678">
        <f t="shared" si="994"/>
        <v>0.33277731442868907</v>
      </c>
      <c r="Q678">
        <f t="shared" si="995"/>
        <v>14933562.017514529</v>
      </c>
      <c r="R678">
        <f t="shared" si="996"/>
        <v>-8874395123.1530857</v>
      </c>
      <c r="S678">
        <f t="shared" si="997"/>
        <v>-88743.951231530853</v>
      </c>
      <c r="T678">
        <f t="shared" si="998"/>
        <v>-88.743951231530858</v>
      </c>
    </row>
    <row r="679" spans="1:20" x14ac:dyDescent="0.25">
      <c r="A679" s="5">
        <v>43914</v>
      </c>
      <c r="B679">
        <v>1.8243999999999999E-3</v>
      </c>
      <c r="C679">
        <v>1.8871999999999999E-3</v>
      </c>
      <c r="D679">
        <v>1.7661E-3</v>
      </c>
      <c r="E679">
        <v>1.8031E-3</v>
      </c>
      <c r="F679">
        <v>58043331</v>
      </c>
      <c r="G679">
        <v>0</v>
      </c>
      <c r="L679" t="s">
        <v>8</v>
      </c>
      <c r="M679" t="s">
        <v>7</v>
      </c>
      <c r="N679" t="s">
        <v>8</v>
      </c>
      <c r="P679">
        <f t="shared" si="994"/>
        <v>-0.38893476465730853</v>
      </c>
      <c r="Q679">
        <f t="shared" si="995"/>
        <v>-22575069.282411262</v>
      </c>
      <c r="R679">
        <f t="shared" si="996"/>
        <v>-8889328685.1706009</v>
      </c>
      <c r="S679">
        <f t="shared" si="997"/>
        <v>-88893.286851706012</v>
      </c>
      <c r="T679">
        <f t="shared" si="998"/>
        <v>-88.893286851706009</v>
      </c>
    </row>
    <row r="680" spans="1:20" x14ac:dyDescent="0.25">
      <c r="A680" s="5">
        <v>43913</v>
      </c>
      <c r="B680">
        <v>1.6331E-3</v>
      </c>
      <c r="C680">
        <v>1.8678E-3</v>
      </c>
      <c r="D680">
        <v>1.6165000000000001E-3</v>
      </c>
      <c r="E680">
        <v>1.8243999999999999E-3</v>
      </c>
      <c r="F680">
        <v>30402747</v>
      </c>
      <c r="G680">
        <v>0</v>
      </c>
      <c r="L680" t="s">
        <v>8</v>
      </c>
      <c r="M680" t="s">
        <v>7</v>
      </c>
      <c r="N680" t="s">
        <v>8</v>
      </c>
      <c r="P680">
        <f t="shared" si="994"/>
        <v>0.65459610027855075</v>
      </c>
      <c r="Q680">
        <f t="shared" si="995"/>
        <v>19901519.623955406</v>
      </c>
      <c r="R680">
        <f t="shared" si="996"/>
        <v>-8866753615.8881893</v>
      </c>
      <c r="S680">
        <f t="shared" si="997"/>
        <v>-88667.536158881892</v>
      </c>
      <c r="T680">
        <f t="shared" si="998"/>
        <v>-88.667536158881887</v>
      </c>
    </row>
    <row r="681" spans="1:20" x14ac:dyDescent="0.25">
      <c r="A681" s="5">
        <v>43912</v>
      </c>
      <c r="B681">
        <v>1.8483E-3</v>
      </c>
      <c r="C681">
        <v>1.9300999999999999E-3</v>
      </c>
      <c r="D681">
        <v>1.611E-3</v>
      </c>
      <c r="E681">
        <v>1.6632000000000001E-3</v>
      </c>
      <c r="F681">
        <v>92321181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-0.67282983390786533</v>
      </c>
      <c r="Q681">
        <f t="shared" si="995"/>
        <v>-62116444.87840797</v>
      </c>
      <c r="R681">
        <f t="shared" si="996"/>
        <v>-8886655135.5121441</v>
      </c>
      <c r="S681">
        <f t="shared" si="997"/>
        <v>-88866.551355121439</v>
      </c>
      <c r="T681">
        <f t="shared" si="998"/>
        <v>-88.866551355121445</v>
      </c>
    </row>
    <row r="682" spans="1:20" x14ac:dyDescent="0.25">
      <c r="A682" s="5">
        <v>43911</v>
      </c>
      <c r="B682">
        <v>1.8758E-3</v>
      </c>
      <c r="C682">
        <v>2E-3</v>
      </c>
      <c r="D682">
        <v>1.7064000000000001E-3</v>
      </c>
      <c r="E682">
        <v>1.8584999999999999E-3</v>
      </c>
      <c r="F682">
        <v>60064040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3.6103542234331459E-2</v>
      </c>
      <c r="Q682">
        <f t="shared" si="995"/>
        <v>2168524.6049045743</v>
      </c>
      <c r="R682">
        <f t="shared" si="996"/>
        <v>-8824538690.6337357</v>
      </c>
      <c r="S682">
        <f t="shared" si="997"/>
        <v>-88245.386906337357</v>
      </c>
      <c r="T682">
        <f t="shared" si="998"/>
        <v>-88.245386906337359</v>
      </c>
    </row>
    <row r="683" spans="1:20" x14ac:dyDescent="0.25">
      <c r="A683" s="5">
        <v>43910</v>
      </c>
      <c r="B683">
        <v>1.9059000000000001E-3</v>
      </c>
      <c r="C683">
        <v>2.1194999999999999E-3</v>
      </c>
      <c r="D683">
        <v>1.7049999999999999E-3</v>
      </c>
      <c r="E683">
        <v>1.8592000000000001E-3</v>
      </c>
      <c r="F683">
        <v>127162158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-0.25597104945717641</v>
      </c>
      <c r="Q683">
        <f t="shared" si="995"/>
        <v>-32549831.03449928</v>
      </c>
      <c r="R683">
        <f t="shared" si="996"/>
        <v>-8826707215.2386398</v>
      </c>
      <c r="S683">
        <f t="shared" si="997"/>
        <v>-88267.072152386405</v>
      </c>
      <c r="T683">
        <f t="shared" si="998"/>
        <v>-88.267072152386405</v>
      </c>
    </row>
    <row r="684" spans="1:20" x14ac:dyDescent="0.25">
      <c r="A684" s="5">
        <v>43909</v>
      </c>
      <c r="B684">
        <v>1.4839E-3</v>
      </c>
      <c r="C684">
        <v>1.9918000000000002E-3</v>
      </c>
      <c r="D684">
        <v>1.4701E-3</v>
      </c>
      <c r="E684">
        <v>1.8821E-3</v>
      </c>
      <c r="F684">
        <v>175319901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0.57945179221774934</v>
      </c>
      <c r="Q684">
        <f t="shared" si="995"/>
        <v>101589430.84588839</v>
      </c>
      <c r="R684">
        <f t="shared" si="996"/>
        <v>-8794157384.2041397</v>
      </c>
      <c r="S684">
        <f t="shared" si="997"/>
        <v>-87941.573842041398</v>
      </c>
      <c r="T684">
        <f t="shared" si="998"/>
        <v>-87.941573842041393</v>
      </c>
    </row>
    <row r="685" spans="1:20" x14ac:dyDescent="0.25">
      <c r="A685" s="5">
        <v>43908</v>
      </c>
      <c r="B685">
        <v>1.5786000000000001E-3</v>
      </c>
      <c r="C685">
        <v>1.6171E-3</v>
      </c>
      <c r="D685">
        <v>1.3607999999999999E-3</v>
      </c>
      <c r="E685">
        <v>1.4668000000000001E-3</v>
      </c>
      <c r="F685">
        <v>69438633</v>
      </c>
      <c r="G685">
        <v>0</v>
      </c>
      <c r="L685" t="s">
        <v>7</v>
      </c>
      <c r="M685" t="s">
        <v>7</v>
      </c>
      <c r="N685" t="s">
        <v>7</v>
      </c>
      <c r="P685">
        <f t="shared" si="994"/>
        <v>-0.17284432305891417</v>
      </c>
      <c r="Q685">
        <f t="shared" si="995"/>
        <v>-12002073.515021378</v>
      </c>
      <c r="R685">
        <f t="shared" si="996"/>
        <v>-8895746815.0500278</v>
      </c>
      <c r="S685">
        <f t="shared" si="997"/>
        <v>-88957.468150500281</v>
      </c>
      <c r="T685">
        <f t="shared" si="998"/>
        <v>-88.957468150500276</v>
      </c>
    </row>
    <row r="686" spans="1:20" x14ac:dyDescent="0.25">
      <c r="A686" s="5">
        <v>43907</v>
      </c>
      <c r="B686">
        <v>1.4521E-3</v>
      </c>
      <c r="C686">
        <v>1.6773999999999999E-3</v>
      </c>
      <c r="D686">
        <v>1.4521E-3</v>
      </c>
      <c r="E686">
        <v>1.5977999999999999E-3</v>
      </c>
      <c r="F686">
        <v>54848792</v>
      </c>
      <c r="G686">
        <v>0</v>
      </c>
      <c r="L686" t="s">
        <v>8</v>
      </c>
      <c r="M686" t="s">
        <v>8</v>
      </c>
      <c r="N686" t="s">
        <v>7</v>
      </c>
      <c r="P686">
        <f t="shared" si="994"/>
        <v>0.29338659565024394</v>
      </c>
      <c r="Q686">
        <f t="shared" si="995"/>
        <v>16091900.360408334</v>
      </c>
      <c r="R686">
        <f t="shared" si="996"/>
        <v>-8883744741.5350056</v>
      </c>
      <c r="S686">
        <f t="shared" si="997"/>
        <v>-88837.447415350049</v>
      </c>
      <c r="T686">
        <f t="shared" si="998"/>
        <v>-88.837447415350056</v>
      </c>
    </row>
    <row r="687" spans="1:20" x14ac:dyDescent="0.25">
      <c r="A687" s="5">
        <v>43906</v>
      </c>
      <c r="B687">
        <v>1.7477E-3</v>
      </c>
      <c r="C687">
        <v>1.7880999999999999E-3</v>
      </c>
      <c r="D687">
        <v>1.2666000000000001E-3</v>
      </c>
      <c r="E687">
        <v>1.4567E-3</v>
      </c>
      <c r="F687">
        <v>72527556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-0.27094918504314491</v>
      </c>
      <c r="Q687">
        <f t="shared" si="995"/>
        <v>-19651282.191371053</v>
      </c>
      <c r="R687">
        <f t="shared" si="996"/>
        <v>-8899836641.8954144</v>
      </c>
      <c r="S687">
        <f t="shared" si="997"/>
        <v>-88998.366418954145</v>
      </c>
      <c r="T687">
        <f t="shared" si="998"/>
        <v>-88.998366418954149</v>
      </c>
    </row>
    <row r="688" spans="1:20" x14ac:dyDescent="0.25">
      <c r="A688" s="5">
        <v>43905</v>
      </c>
      <c r="B688">
        <v>1.7159E-3</v>
      </c>
      <c r="C688">
        <v>1.92E-3</v>
      </c>
      <c r="D688">
        <v>1.6857E-3</v>
      </c>
      <c r="E688">
        <v>1.7477E-3</v>
      </c>
      <c r="F688">
        <v>68551061</v>
      </c>
      <c r="G688">
        <v>0</v>
      </c>
      <c r="L688" t="s">
        <v>7</v>
      </c>
      <c r="M688" t="s">
        <v>8</v>
      </c>
      <c r="N688" t="s">
        <v>8</v>
      </c>
      <c r="P688">
        <f t="shared" si="994"/>
        <v>-0.47076397780623142</v>
      </c>
      <c r="Q688">
        <f t="shared" si="995"/>
        <v>-32271370.159197617</v>
      </c>
      <c r="R688">
        <f t="shared" si="996"/>
        <v>-8880185359.7040424</v>
      </c>
      <c r="S688">
        <f t="shared" si="997"/>
        <v>-88801.853597040419</v>
      </c>
      <c r="T688">
        <f t="shared" si="998"/>
        <v>-88.80185359704042</v>
      </c>
    </row>
    <row r="689" spans="1:20" x14ac:dyDescent="0.25">
      <c r="A689" s="5">
        <v>43904</v>
      </c>
      <c r="B689">
        <v>1.8963000000000001E-3</v>
      </c>
      <c r="C689">
        <v>1.9919999999999998E-3</v>
      </c>
      <c r="D689">
        <v>1.6802E-3</v>
      </c>
      <c r="E689">
        <v>1.7156999999999999E-3</v>
      </c>
      <c r="F689">
        <v>66288417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-0.7722899294419503</v>
      </c>
      <c r="Q689">
        <f t="shared" si="995"/>
        <v>-51193876.887748577</v>
      </c>
      <c r="R689">
        <f t="shared" si="996"/>
        <v>-8847913989.5448456</v>
      </c>
      <c r="S689">
        <f t="shared" si="997"/>
        <v>-88479.139895448461</v>
      </c>
      <c r="T689">
        <f t="shared" si="998"/>
        <v>-88.479139895448455</v>
      </c>
    </row>
    <row r="690" spans="1:20" x14ac:dyDescent="0.25">
      <c r="A690" s="5">
        <v>43903</v>
      </c>
      <c r="B690">
        <v>1.676E-3</v>
      </c>
      <c r="C690">
        <v>2.1343E-3</v>
      </c>
      <c r="D690">
        <v>1.2922999999999999E-3</v>
      </c>
      <c r="E690">
        <v>1.9139999999999999E-3</v>
      </c>
      <c r="F690">
        <v>158355892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0.47672209026128248</v>
      </c>
      <c r="Q690">
        <f t="shared" si="995"/>
        <v>75491751.8394299</v>
      </c>
      <c r="R690">
        <f t="shared" si="996"/>
        <v>-8796720112.6570969</v>
      </c>
      <c r="S690">
        <f t="shared" si="997"/>
        <v>-87967.201126570973</v>
      </c>
      <c r="T690">
        <f t="shared" si="998"/>
        <v>-87.96720112657097</v>
      </c>
    </row>
    <row r="691" spans="1:20" x14ac:dyDescent="0.25">
      <c r="A691" s="5">
        <v>43902</v>
      </c>
      <c r="B691">
        <v>3.9801000000000003E-3</v>
      </c>
      <c r="C691">
        <v>4.3600000000000002E-3</v>
      </c>
      <c r="D691">
        <v>1.5636000000000001E-3</v>
      </c>
      <c r="E691">
        <v>1.676E-3</v>
      </c>
      <c r="F691">
        <v>335860210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-0.91961092833643265</v>
      </c>
      <c r="Q691">
        <f t="shared" si="995"/>
        <v>-308860719.50936919</v>
      </c>
      <c r="R691">
        <f t="shared" si="996"/>
        <v>-8872211864.4965267</v>
      </c>
      <c r="S691">
        <f t="shared" si="997"/>
        <v>-88722.118644965274</v>
      </c>
      <c r="T691">
        <f t="shared" si="998"/>
        <v>-88.722118644965278</v>
      </c>
    </row>
    <row r="692" spans="1:20" x14ac:dyDescent="0.25">
      <c r="A692" s="5">
        <v>43901</v>
      </c>
      <c r="B692">
        <v>3.5769999999999999E-3</v>
      </c>
      <c r="C692">
        <v>4.3949999999999996E-3</v>
      </c>
      <c r="D692">
        <v>3.4957999999999999E-3</v>
      </c>
      <c r="E692">
        <v>3.9803E-3</v>
      </c>
      <c r="F692">
        <v>287102110</v>
      </c>
      <c r="G692">
        <v>0</v>
      </c>
      <c r="L692" t="s">
        <v>8</v>
      </c>
      <c r="M692" t="s">
        <v>8</v>
      </c>
      <c r="N692" t="s">
        <v>7</v>
      </c>
      <c r="P692">
        <f t="shared" si="994"/>
        <v>7.7624555160142938E-2</v>
      </c>
      <c r="Q692">
        <f t="shared" si="995"/>
        <v>22286173.574288424</v>
      </c>
      <c r="R692">
        <f t="shared" si="996"/>
        <v>-8563351144.9871578</v>
      </c>
      <c r="S692">
        <f t="shared" si="997"/>
        <v>-85633.511449871585</v>
      </c>
      <c r="T692">
        <f t="shared" si="998"/>
        <v>-85.633511449871591</v>
      </c>
    </row>
    <row r="693" spans="1:20" x14ac:dyDescent="0.25">
      <c r="A693" s="5">
        <v>43900</v>
      </c>
      <c r="B693">
        <v>3.4280000000000001E-3</v>
      </c>
      <c r="C693">
        <v>3.666E-3</v>
      </c>
      <c r="D693">
        <v>3.3219999999999999E-3</v>
      </c>
      <c r="E693">
        <v>3.581E-3</v>
      </c>
      <c r="F693">
        <v>75532653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0.50581395348837221</v>
      </c>
      <c r="Q693">
        <f t="shared" si="995"/>
        <v>38205469.831395358</v>
      </c>
      <c r="R693">
        <f t="shared" si="996"/>
        <v>-8585637318.5614462</v>
      </c>
      <c r="S693">
        <f t="shared" si="997"/>
        <v>-85856.373185614459</v>
      </c>
      <c r="T693">
        <f t="shared" si="998"/>
        <v>-85.856373185614459</v>
      </c>
    </row>
    <row r="694" spans="1:20" x14ac:dyDescent="0.25">
      <c r="A694" s="5">
        <v>43899</v>
      </c>
      <c r="B694">
        <v>3.6078999999999998E-3</v>
      </c>
      <c r="C694">
        <v>3.7239E-3</v>
      </c>
      <c r="D694">
        <v>3.2851E-3</v>
      </c>
      <c r="E694">
        <v>3.4280000000000001E-3</v>
      </c>
      <c r="F694">
        <v>93175439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-0.34867821330902443</v>
      </c>
      <c r="Q694">
        <f t="shared" si="995"/>
        <v>-32488245.594803993</v>
      </c>
      <c r="R694">
        <f t="shared" si="996"/>
        <v>-8623842788.3928413</v>
      </c>
      <c r="S694">
        <f t="shared" si="997"/>
        <v>-86238.427883928409</v>
      </c>
      <c r="T694">
        <f t="shared" si="998"/>
        <v>-86.238427883928409</v>
      </c>
    </row>
    <row r="695" spans="1:20" x14ac:dyDescent="0.25">
      <c r="A695" s="5">
        <v>43898</v>
      </c>
      <c r="B695">
        <v>4.1869000000000003E-3</v>
      </c>
      <c r="C695">
        <v>4.1869000000000003E-3</v>
      </c>
      <c r="D695">
        <v>3.5685000000000001E-3</v>
      </c>
      <c r="E695">
        <v>3.5999999999999999E-3</v>
      </c>
      <c r="F695">
        <v>97175242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-0.89812419146183753</v>
      </c>
      <c r="Q695">
        <f t="shared" si="995"/>
        <v>-87275435.651358396</v>
      </c>
      <c r="R695">
        <f t="shared" si="996"/>
        <v>-8591354542.7980366</v>
      </c>
      <c r="S695">
        <f t="shared" si="997"/>
        <v>-85913.545427980367</v>
      </c>
      <c r="T695">
        <f t="shared" si="998"/>
        <v>-85.913545427980367</v>
      </c>
    </row>
    <row r="696" spans="1:20" x14ac:dyDescent="0.25">
      <c r="A696" s="5">
        <v>43897</v>
      </c>
      <c r="B696">
        <v>4.3499000000000003E-3</v>
      </c>
      <c r="C696">
        <v>4.4000000000000003E-3</v>
      </c>
      <c r="D696">
        <v>4.1000000000000003E-3</v>
      </c>
      <c r="E696">
        <v>4.1847999999999998E-3</v>
      </c>
      <c r="F696">
        <v>202601847</v>
      </c>
      <c r="G696">
        <v>0</v>
      </c>
      <c r="L696" t="s">
        <v>7</v>
      </c>
      <c r="M696" t="s">
        <v>7</v>
      </c>
      <c r="N696" t="s">
        <v>8</v>
      </c>
      <c r="P696">
        <f t="shared" si="994"/>
        <v>-0.43466666666667014</v>
      </c>
      <c r="Q696">
        <f t="shared" si="995"/>
        <v>-88064269.496000707</v>
      </c>
      <c r="R696">
        <f t="shared" si="996"/>
        <v>-8504079107.146678</v>
      </c>
      <c r="S696">
        <f t="shared" si="997"/>
        <v>-85040.791071466781</v>
      </c>
      <c r="T696">
        <f t="shared" si="998"/>
        <v>-85.040791071466785</v>
      </c>
    </row>
    <row r="697" spans="1:20" x14ac:dyDescent="0.25">
      <c r="A697" s="5">
        <v>43896</v>
      </c>
      <c r="B697">
        <v>4.8176E-3</v>
      </c>
      <c r="C697">
        <v>4.8177000000000003E-3</v>
      </c>
      <c r="D697">
        <v>4.2198000000000001E-3</v>
      </c>
      <c r="E697">
        <v>4.3499000000000003E-3</v>
      </c>
      <c r="F697">
        <v>157901511</v>
      </c>
      <c r="G697">
        <v>0</v>
      </c>
      <c r="L697" t="s">
        <v>7</v>
      </c>
      <c r="M697" t="s">
        <v>7</v>
      </c>
      <c r="N697" t="s">
        <v>8</v>
      </c>
      <c r="P697">
        <f t="shared" si="994"/>
        <v>-0.56481016892456881</v>
      </c>
      <c r="Q697">
        <f t="shared" si="995"/>
        <v>-89184379.101354659</v>
      </c>
      <c r="R697">
        <f t="shared" si="996"/>
        <v>-8416014837.6506777</v>
      </c>
      <c r="S697">
        <f t="shared" si="997"/>
        <v>-84160.148376506782</v>
      </c>
      <c r="T697">
        <f t="shared" si="998"/>
        <v>-84.160148376506783</v>
      </c>
    </row>
    <row r="698" spans="1:20" x14ac:dyDescent="0.25">
      <c r="A698" s="5">
        <v>43895</v>
      </c>
      <c r="B698">
        <v>4.8474E-3</v>
      </c>
      <c r="C698">
        <v>5.0623999999999999E-3</v>
      </c>
      <c r="D698">
        <v>4.7699999999999999E-3</v>
      </c>
      <c r="E698">
        <v>4.7699999999999999E-3</v>
      </c>
      <c r="F698">
        <v>77540933</v>
      </c>
      <c r="G698">
        <v>0</v>
      </c>
      <c r="L698" t="s">
        <v>8</v>
      </c>
      <c r="M698" t="s">
        <v>8</v>
      </c>
      <c r="N698" t="s">
        <v>8</v>
      </c>
      <c r="P698">
        <f t="shared" si="994"/>
        <v>-1</v>
      </c>
      <c r="Q698">
        <f t="shared" si="995"/>
        <v>-77540933</v>
      </c>
      <c r="R698">
        <f t="shared" si="996"/>
        <v>-8326830458.5493231</v>
      </c>
      <c r="S698">
        <f t="shared" si="997"/>
        <v>-83268.304585493228</v>
      </c>
      <c r="T698">
        <f t="shared" si="998"/>
        <v>-83.268304585493226</v>
      </c>
    </row>
    <row r="699" spans="1:20" x14ac:dyDescent="0.25">
      <c r="A699" s="5">
        <v>43894</v>
      </c>
      <c r="B699">
        <v>4.7104E-3</v>
      </c>
      <c r="C699">
        <v>5.1406000000000004E-3</v>
      </c>
      <c r="D699">
        <v>4.7000000000000002E-3</v>
      </c>
      <c r="E699">
        <v>4.8272000000000002E-3</v>
      </c>
      <c r="F699">
        <v>66320256</v>
      </c>
      <c r="G699">
        <v>0</v>
      </c>
      <c r="L699" t="s">
        <v>8</v>
      </c>
      <c r="M699" t="s">
        <v>8</v>
      </c>
      <c r="N699" t="s">
        <v>8</v>
      </c>
      <c r="P699">
        <f t="shared" si="994"/>
        <v>-0.42260553790285976</v>
      </c>
      <c r="Q699">
        <f t="shared" si="995"/>
        <v>-28027307.460735362</v>
      </c>
      <c r="R699">
        <f t="shared" si="996"/>
        <v>-8249289525.5493231</v>
      </c>
      <c r="S699">
        <f t="shared" si="997"/>
        <v>-82492.895255493233</v>
      </c>
      <c r="T699">
        <f t="shared" si="998"/>
        <v>-82.492895255493238</v>
      </c>
    </row>
    <row r="700" spans="1:20" x14ac:dyDescent="0.25">
      <c r="A700" s="5">
        <v>43893</v>
      </c>
      <c r="B700">
        <v>4.4900000000000001E-3</v>
      </c>
      <c r="C700">
        <v>4.9100000000000003E-3</v>
      </c>
      <c r="D700">
        <v>4.3331999999999997E-3</v>
      </c>
      <c r="E700">
        <v>4.7003000000000001E-3</v>
      </c>
      <c r="F700">
        <v>130349387</v>
      </c>
      <c r="G700">
        <v>0</v>
      </c>
      <c r="L700" t="s">
        <v>8</v>
      </c>
      <c r="M700" t="s">
        <v>8</v>
      </c>
      <c r="N700" t="s">
        <v>8</v>
      </c>
      <c r="P700">
        <f t="shared" si="994"/>
        <v>0.27288488210818324</v>
      </c>
      <c r="Q700">
        <f t="shared" si="995"/>
        <v>35570377.104368955</v>
      </c>
      <c r="R700">
        <f t="shared" si="996"/>
        <v>-8221262218.0885878</v>
      </c>
      <c r="S700">
        <f t="shared" si="997"/>
        <v>-82212.622180885883</v>
      </c>
      <c r="T700">
        <f t="shared" si="998"/>
        <v>-82.212622180885887</v>
      </c>
    </row>
    <row r="701" spans="1:20" x14ac:dyDescent="0.25">
      <c r="A701" s="5">
        <v>43892</v>
      </c>
      <c r="B701">
        <v>3.9175E-3</v>
      </c>
      <c r="C701">
        <v>4.5713000000000004E-3</v>
      </c>
      <c r="D701">
        <v>3.8725000000000001E-3</v>
      </c>
      <c r="E701">
        <v>4.4900000000000001E-3</v>
      </c>
      <c r="F701">
        <v>41000329</v>
      </c>
      <c r="G701">
        <v>0</v>
      </c>
      <c r="L701" t="s">
        <v>8</v>
      </c>
      <c r="M701" t="s">
        <v>8</v>
      </c>
      <c r="N701" t="s">
        <v>8</v>
      </c>
      <c r="P701">
        <f t="shared" si="994"/>
        <v>0.76731539782484182</v>
      </c>
      <c r="Q701">
        <f t="shared" si="995"/>
        <v>31460183.7575844</v>
      </c>
      <c r="R701">
        <f t="shared" si="996"/>
        <v>-8256832595.1929569</v>
      </c>
      <c r="S701">
        <f t="shared" si="997"/>
        <v>-82568.325951929568</v>
      </c>
      <c r="T701">
        <f t="shared" si="998"/>
        <v>-82.568325951929566</v>
      </c>
    </row>
    <row r="702" spans="1:20" x14ac:dyDescent="0.25">
      <c r="A702" s="5">
        <v>43891</v>
      </c>
      <c r="B702">
        <v>3.9058000000000001E-3</v>
      </c>
      <c r="C702">
        <v>4.1212999999999996E-3</v>
      </c>
      <c r="D702">
        <v>3.7593000000000001E-3</v>
      </c>
      <c r="E702">
        <v>3.9170000000000003E-3</v>
      </c>
      <c r="F702">
        <v>19519291</v>
      </c>
      <c r="G702">
        <v>0</v>
      </c>
      <c r="L702" t="s">
        <v>7</v>
      </c>
      <c r="M702" t="s">
        <v>7</v>
      </c>
      <c r="N702" t="s">
        <v>8</v>
      </c>
      <c r="P702">
        <f t="shared" si="994"/>
        <v>-0.12872928176795342</v>
      </c>
      <c r="Q702">
        <f t="shared" si="995"/>
        <v>-2512704.3110496774</v>
      </c>
      <c r="R702">
        <f t="shared" si="996"/>
        <v>-8288292778.9505415</v>
      </c>
      <c r="S702">
        <f t="shared" si="997"/>
        <v>-82882.927789505411</v>
      </c>
      <c r="T702">
        <f t="shared" si="998"/>
        <v>-82.882927789505416</v>
      </c>
    </row>
    <row r="703" spans="1:20" x14ac:dyDescent="0.25">
      <c r="A703" s="5">
        <v>43890</v>
      </c>
      <c r="B703">
        <v>3.9925999999999998E-3</v>
      </c>
      <c r="C703">
        <v>4.1212999999999996E-3</v>
      </c>
      <c r="D703">
        <v>3.9056999999999998E-3</v>
      </c>
      <c r="E703">
        <v>3.9056999999999998E-3</v>
      </c>
      <c r="F703">
        <v>15546373</v>
      </c>
      <c r="G703">
        <v>0</v>
      </c>
      <c r="L703" t="s">
        <v>8</v>
      </c>
      <c r="M703" t="s">
        <v>7</v>
      </c>
      <c r="N703" t="s">
        <v>8</v>
      </c>
      <c r="P703">
        <f t="shared" si="994"/>
        <v>-1</v>
      </c>
      <c r="Q703">
        <f t="shared" si="995"/>
        <v>-15546373</v>
      </c>
      <c r="R703">
        <f t="shared" si="996"/>
        <v>-8285780074.639492</v>
      </c>
      <c r="S703">
        <f t="shared" si="997"/>
        <v>-82857.800746394918</v>
      </c>
      <c r="T703">
        <f t="shared" si="998"/>
        <v>-82.857800746394915</v>
      </c>
    </row>
    <row r="704" spans="1:20" x14ac:dyDescent="0.25">
      <c r="A704" s="5">
        <v>43889</v>
      </c>
      <c r="B704">
        <v>4.0499000000000004E-3</v>
      </c>
      <c r="C704">
        <v>4.1580999999999996E-3</v>
      </c>
      <c r="D704">
        <v>3.6782999999999998E-3</v>
      </c>
      <c r="E704">
        <v>3.9706999999999998E-3</v>
      </c>
      <c r="F704">
        <v>32935802</v>
      </c>
      <c r="G704">
        <v>0</v>
      </c>
      <c r="L704" t="s">
        <v>7</v>
      </c>
      <c r="M704" t="s">
        <v>7</v>
      </c>
      <c r="N704" t="s">
        <v>8</v>
      </c>
      <c r="P704">
        <f t="shared" si="994"/>
        <v>0.21884118382659462</v>
      </c>
      <c r="Q704">
        <f t="shared" si="995"/>
        <v>7207709.8999583228</v>
      </c>
      <c r="R704">
        <f t="shared" si="996"/>
        <v>-8270233701.639492</v>
      </c>
      <c r="S704">
        <f t="shared" si="997"/>
        <v>-82702.337016394915</v>
      </c>
      <c r="T704">
        <f t="shared" si="998"/>
        <v>-82.702337016394921</v>
      </c>
    </row>
    <row r="705" spans="1:20" x14ac:dyDescent="0.25">
      <c r="A705" s="5">
        <v>43888</v>
      </c>
      <c r="B705">
        <v>3.9100000000000003E-3</v>
      </c>
      <c r="C705">
        <v>4.2541000000000002E-3</v>
      </c>
      <c r="D705">
        <v>3.6895000000000001E-3</v>
      </c>
      <c r="E705">
        <v>4.0153999999999997E-3</v>
      </c>
      <c r="F705">
        <v>37660425</v>
      </c>
      <c r="G705">
        <v>0</v>
      </c>
      <c r="L705" t="s">
        <v>7</v>
      </c>
      <c r="M705" t="s">
        <v>7</v>
      </c>
      <c r="N705" t="s">
        <v>8</v>
      </c>
      <c r="P705">
        <f t="shared" si="994"/>
        <v>0.15444562522139402</v>
      </c>
      <c r="Q705">
        <f t="shared" si="995"/>
        <v>5816487.8852284178</v>
      </c>
      <c r="R705">
        <f t="shared" si="996"/>
        <v>-8277441411.5394506</v>
      </c>
      <c r="S705">
        <f t="shared" si="997"/>
        <v>-82774.414115394509</v>
      </c>
      <c r="T705">
        <f t="shared" si="998"/>
        <v>-82.774414115394507</v>
      </c>
    </row>
    <row r="706" spans="1:20" x14ac:dyDescent="0.25">
      <c r="A706" s="5">
        <v>43887</v>
      </c>
      <c r="B706">
        <v>4.7324000000000003E-3</v>
      </c>
      <c r="C706">
        <v>4.7735E-3</v>
      </c>
      <c r="D706">
        <v>3.6717999999999998E-3</v>
      </c>
      <c r="E706">
        <v>3.9100000000000003E-3</v>
      </c>
      <c r="F706">
        <v>98395649</v>
      </c>
      <c r="G706">
        <v>0</v>
      </c>
      <c r="L706" t="s">
        <v>8</v>
      </c>
      <c r="M706" t="s">
        <v>8</v>
      </c>
      <c r="N706" t="s">
        <v>8</v>
      </c>
      <c r="P706">
        <f t="shared" si="994"/>
        <v>-0.5675773804120896</v>
      </c>
      <c r="Q706">
        <f t="shared" si="995"/>
        <v>-55847144.703367442</v>
      </c>
      <c r="R706">
        <f t="shared" si="996"/>
        <v>-8283257899.4246788</v>
      </c>
      <c r="S706">
        <f t="shared" si="997"/>
        <v>-82832.578994246782</v>
      </c>
      <c r="T706">
        <f t="shared" si="998"/>
        <v>-82.832578994246788</v>
      </c>
    </row>
    <row r="707" spans="1:20" x14ac:dyDescent="0.25">
      <c r="A707" s="5">
        <v>43886</v>
      </c>
      <c r="B707">
        <v>5.2049000000000002E-3</v>
      </c>
      <c r="C707">
        <v>5.2979999999999998E-3</v>
      </c>
      <c r="D707">
        <v>2.2200000000000002E-3</v>
      </c>
      <c r="E707">
        <v>4.7298000000000001E-3</v>
      </c>
      <c r="F707">
        <v>59036038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0.63079922027290469</v>
      </c>
      <c r="Q707">
        <f t="shared" si="995"/>
        <v>37239886.738401569</v>
      </c>
      <c r="R707">
        <f t="shared" si="996"/>
        <v>-8227410754.7213116</v>
      </c>
      <c r="S707">
        <f t="shared" si="997"/>
        <v>-82274.10754721312</v>
      </c>
      <c r="T707">
        <f t="shared" si="998"/>
        <v>-82.27410754721312</v>
      </c>
    </row>
    <row r="708" spans="1:20" x14ac:dyDescent="0.25">
      <c r="A708" s="5">
        <v>43885</v>
      </c>
      <c r="B708">
        <v>5.6904E-3</v>
      </c>
      <c r="C708">
        <v>5.7010999999999997E-3</v>
      </c>
      <c r="D708">
        <v>5.1501000000000003E-3</v>
      </c>
      <c r="E708">
        <v>5.2227999999999997E-3</v>
      </c>
      <c r="F708">
        <v>53919144</v>
      </c>
      <c r="G708">
        <v>0</v>
      </c>
      <c r="L708" t="s">
        <v>7</v>
      </c>
      <c r="M708" t="s">
        <v>7</v>
      </c>
      <c r="N708" t="s">
        <v>7</v>
      </c>
      <c r="P708">
        <f t="shared" si="994"/>
        <v>-0.73611615245009288</v>
      </c>
      <c r="Q708">
        <f t="shared" si="995"/>
        <v>-39690752.824682511</v>
      </c>
      <c r="R708">
        <f t="shared" si="996"/>
        <v>-8264650641.459713</v>
      </c>
      <c r="S708">
        <f t="shared" si="997"/>
        <v>-82646.506414597126</v>
      </c>
      <c r="T708">
        <f t="shared" si="998"/>
        <v>-82.646506414597127</v>
      </c>
    </row>
    <row r="709" spans="1:20" x14ac:dyDescent="0.25">
      <c r="A709" s="5">
        <v>43884</v>
      </c>
      <c r="B709">
        <v>5.3360999999999999E-3</v>
      </c>
      <c r="C709">
        <v>5.7381999999999997E-3</v>
      </c>
      <c r="D709">
        <v>5.3204000000000003E-3</v>
      </c>
      <c r="E709">
        <v>5.6906999999999999E-3</v>
      </c>
      <c r="F709">
        <v>24808059</v>
      </c>
      <c r="G709">
        <v>0</v>
      </c>
      <c r="L709" t="s">
        <v>8</v>
      </c>
      <c r="M709" t="s">
        <v>7</v>
      </c>
      <c r="N709" t="s">
        <v>7</v>
      </c>
      <c r="P709">
        <f t="shared" si="994"/>
        <v>0.77261847774054637</v>
      </c>
      <c r="Q709">
        <f t="shared" si="995"/>
        <v>19167164.780277662</v>
      </c>
      <c r="R709">
        <f t="shared" si="996"/>
        <v>-8224959888.6350307</v>
      </c>
      <c r="S709">
        <f t="shared" si="997"/>
        <v>-82249.598886350301</v>
      </c>
      <c r="T709">
        <f t="shared" si="998"/>
        <v>-82.249598886350299</v>
      </c>
    </row>
    <row r="710" spans="1:20" x14ac:dyDescent="0.25">
      <c r="A710" s="5">
        <v>43883</v>
      </c>
      <c r="B710">
        <v>5.1894999999999997E-3</v>
      </c>
      <c r="C710">
        <v>5.4710000000000002E-3</v>
      </c>
      <c r="D710">
        <v>5.0493999999999999E-3</v>
      </c>
      <c r="E710">
        <v>5.3099999999999996E-3</v>
      </c>
      <c r="F710">
        <v>55507387</v>
      </c>
      <c r="G710">
        <v>0</v>
      </c>
      <c r="L710" t="s">
        <v>7</v>
      </c>
      <c r="M710" t="s">
        <v>7</v>
      </c>
      <c r="N710" t="s">
        <v>7</v>
      </c>
      <c r="P710">
        <f t="shared" ref="P710:P766" si="999">IF(C710=D710,0,((E710-D710)-(C710-E710))/(C710-D710))</f>
        <v>0.23624288425047227</v>
      </c>
      <c r="Q710">
        <f t="shared" ref="Q710:Q766" si="1000">F710*P710</f>
        <v>13113225.20208717</v>
      </c>
      <c r="R710">
        <f t="shared" ref="R710:R766" si="1001">R711+Q710</f>
        <v>-8244127053.415308</v>
      </c>
      <c r="S710">
        <f t="shared" ref="S710:S766" si="1002">R710/100000</f>
        <v>-82441.270534153082</v>
      </c>
      <c r="T710">
        <f t="shared" ref="T710:T766" si="1003">S710/1000</f>
        <v>-82.441270534153077</v>
      </c>
    </row>
    <row r="711" spans="1:20" x14ac:dyDescent="0.25">
      <c r="A711" s="5">
        <v>43882</v>
      </c>
      <c r="B711">
        <v>5.2221999999999998E-3</v>
      </c>
      <c r="C711">
        <v>5.9500000000000004E-3</v>
      </c>
      <c r="D711">
        <v>5.0334999999999998E-3</v>
      </c>
      <c r="E711">
        <v>5.1878999999999996E-3</v>
      </c>
      <c r="F711">
        <v>60883998</v>
      </c>
      <c r="G711">
        <v>0</v>
      </c>
      <c r="L711" t="s">
        <v>8</v>
      </c>
      <c r="M711" t="s">
        <v>7</v>
      </c>
      <c r="N711" t="s">
        <v>7</v>
      </c>
      <c r="P711">
        <f t="shared" si="999"/>
        <v>-0.66306601200218274</v>
      </c>
      <c r="Q711">
        <f t="shared" si="1000"/>
        <v>-40370109.748608872</v>
      </c>
      <c r="R711">
        <f t="shared" si="1001"/>
        <v>-8257240278.6173954</v>
      </c>
      <c r="S711">
        <f t="shared" si="1002"/>
        <v>-82572.40278617396</v>
      </c>
      <c r="T711">
        <f t="shared" si="1003"/>
        <v>-82.572402786173953</v>
      </c>
    </row>
    <row r="712" spans="1:20" x14ac:dyDescent="0.25">
      <c r="A712" s="5">
        <v>43881</v>
      </c>
      <c r="B712">
        <v>5.6861999999999998E-3</v>
      </c>
      <c r="C712">
        <v>5.8095999999999998E-3</v>
      </c>
      <c r="D712">
        <v>4.9959000000000002E-3</v>
      </c>
      <c r="E712">
        <v>5.1887000000000001E-3</v>
      </c>
      <c r="F712">
        <v>85343326</v>
      </c>
      <c r="G712">
        <v>0</v>
      </c>
      <c r="L712" t="s">
        <v>7</v>
      </c>
      <c r="M712" t="s">
        <v>7</v>
      </c>
      <c r="N712" t="s">
        <v>7</v>
      </c>
      <c r="P712">
        <f t="shared" si="999"/>
        <v>-0.5261152759002089</v>
      </c>
      <c r="Q712">
        <f t="shared" si="1000"/>
        <v>-44900427.504731469</v>
      </c>
      <c r="R712">
        <f t="shared" si="1001"/>
        <v>-8216870168.8687868</v>
      </c>
      <c r="S712">
        <f t="shared" si="1002"/>
        <v>-82168.70168868787</v>
      </c>
      <c r="T712">
        <f t="shared" si="1003"/>
        <v>-82.168701688687875</v>
      </c>
    </row>
    <row r="713" spans="1:20" x14ac:dyDescent="0.25">
      <c r="A713" s="5">
        <v>43880</v>
      </c>
      <c r="B713">
        <v>5.8285000000000003E-3</v>
      </c>
      <c r="C713">
        <v>6.3407999999999997E-3</v>
      </c>
      <c r="D713">
        <v>5.5002000000000002E-3</v>
      </c>
      <c r="E713">
        <v>5.6861999999999998E-3</v>
      </c>
      <c r="F713">
        <v>46269141</v>
      </c>
      <c r="G713">
        <v>0</v>
      </c>
      <c r="L713" t="s">
        <v>8</v>
      </c>
      <c r="M713" t="s">
        <v>8</v>
      </c>
      <c r="N713" t="s">
        <v>7</v>
      </c>
      <c r="P713">
        <f t="shared" si="999"/>
        <v>-0.55745895788722422</v>
      </c>
      <c r="Q713">
        <f t="shared" si="1000"/>
        <v>-25793147.12419704</v>
      </c>
      <c r="R713">
        <f t="shared" si="1001"/>
        <v>-8171969741.3640556</v>
      </c>
      <c r="S713">
        <f t="shared" si="1002"/>
        <v>-81719.697413640562</v>
      </c>
      <c r="T713">
        <f t="shared" si="1003"/>
        <v>-81.71969741364056</v>
      </c>
    </row>
    <row r="714" spans="1:20" x14ac:dyDescent="0.25">
      <c r="A714" s="5">
        <v>43879</v>
      </c>
      <c r="B714">
        <v>5.6565000000000001E-3</v>
      </c>
      <c r="C714">
        <v>6.0480000000000004E-3</v>
      </c>
      <c r="D714">
        <v>5.4758999999999997E-3</v>
      </c>
      <c r="E714">
        <v>5.8285000000000003E-3</v>
      </c>
      <c r="F714">
        <v>59051690</v>
      </c>
      <c r="G714">
        <v>0</v>
      </c>
      <c r="L714" t="s">
        <v>8</v>
      </c>
      <c r="M714" t="s">
        <v>7</v>
      </c>
      <c r="N714" t="s">
        <v>7</v>
      </c>
      <c r="P714">
        <f t="shared" si="999"/>
        <v>0.23265163432966335</v>
      </c>
      <c r="Q714">
        <f t="shared" si="1000"/>
        <v>13738472.188428639</v>
      </c>
      <c r="R714">
        <f t="shared" si="1001"/>
        <v>-8146176594.2398586</v>
      </c>
      <c r="S714">
        <f t="shared" si="1002"/>
        <v>-81461.76594239859</v>
      </c>
      <c r="T714">
        <f t="shared" si="1003"/>
        <v>-81.461765942398586</v>
      </c>
    </row>
    <row r="715" spans="1:20" x14ac:dyDescent="0.25">
      <c r="A715" s="5">
        <v>43878</v>
      </c>
      <c r="B715">
        <v>5.7356999999999998E-3</v>
      </c>
      <c r="C715">
        <v>5.9182999999999996E-3</v>
      </c>
      <c r="D715">
        <v>5.2356E-3</v>
      </c>
      <c r="E715">
        <v>5.6563999999999998E-3</v>
      </c>
      <c r="F715">
        <v>59672925</v>
      </c>
      <c r="G715">
        <v>0</v>
      </c>
      <c r="L715" t="s">
        <v>7</v>
      </c>
      <c r="M715" t="s">
        <v>7</v>
      </c>
      <c r="N715" t="s">
        <v>7</v>
      </c>
      <c r="P715">
        <f t="shared" si="999"/>
        <v>0.23275230701625912</v>
      </c>
      <c r="Q715">
        <f t="shared" si="1000"/>
        <v>13889010.960158205</v>
      </c>
      <c r="R715">
        <f t="shared" si="1001"/>
        <v>-8159915066.4282875</v>
      </c>
      <c r="S715">
        <f t="shared" si="1002"/>
        <v>-81599.150664282875</v>
      </c>
      <c r="T715">
        <f t="shared" si="1003"/>
        <v>-81.599150664282874</v>
      </c>
    </row>
    <row r="716" spans="1:20" x14ac:dyDescent="0.25">
      <c r="A716" s="5">
        <v>43877</v>
      </c>
      <c r="B716">
        <v>6.1931E-3</v>
      </c>
      <c r="C716">
        <v>6.5497999999999997E-3</v>
      </c>
      <c r="D716">
        <v>5.4003999999999996E-3</v>
      </c>
      <c r="E716">
        <v>5.7606999999999997E-3</v>
      </c>
      <c r="F716">
        <v>91531319</v>
      </c>
      <c r="G716">
        <v>0</v>
      </c>
      <c r="L716" t="s">
        <v>7</v>
      </c>
      <c r="M716" t="s">
        <v>7</v>
      </c>
      <c r="N716" t="s">
        <v>8</v>
      </c>
      <c r="P716">
        <f t="shared" si="999"/>
        <v>-0.37306420741256308</v>
      </c>
      <c r="Q716">
        <f t="shared" si="1000"/>
        <v>-34147058.976161472</v>
      </c>
      <c r="R716">
        <f t="shared" si="1001"/>
        <v>-8173804077.3884459</v>
      </c>
      <c r="S716">
        <f t="shared" si="1002"/>
        <v>-81738.040773884451</v>
      </c>
      <c r="T716">
        <f t="shared" si="1003"/>
        <v>-81.73804077388445</v>
      </c>
    </row>
    <row r="717" spans="1:20" x14ac:dyDescent="0.25">
      <c r="A717" s="5">
        <v>43876</v>
      </c>
      <c r="B717">
        <v>6.9747999999999998E-3</v>
      </c>
      <c r="C717">
        <v>7.1919000000000002E-3</v>
      </c>
      <c r="D717">
        <v>6.0866000000000002E-3</v>
      </c>
      <c r="E717">
        <v>6.1564000000000002E-3</v>
      </c>
      <c r="F717">
        <v>93641582</v>
      </c>
      <c r="G717">
        <v>0</v>
      </c>
      <c r="L717" t="s">
        <v>7</v>
      </c>
      <c r="M717" t="s">
        <v>7</v>
      </c>
      <c r="N717" t="s">
        <v>8</v>
      </c>
      <c r="P717">
        <f t="shared" si="999"/>
        <v>-0.8736994481136342</v>
      </c>
      <c r="Q717">
        <f t="shared" si="1000"/>
        <v>-81814598.513887629</v>
      </c>
      <c r="R717">
        <f t="shared" si="1001"/>
        <v>-8139657018.4122849</v>
      </c>
      <c r="S717">
        <f t="shared" si="1002"/>
        <v>-81396.570184122844</v>
      </c>
      <c r="T717">
        <f t="shared" si="1003"/>
        <v>-81.396570184122851</v>
      </c>
    </row>
    <row r="718" spans="1:20" x14ac:dyDescent="0.25">
      <c r="A718" s="5">
        <v>43875</v>
      </c>
      <c r="B718">
        <v>6.6219E-3</v>
      </c>
      <c r="C718">
        <v>7.4999999999999997E-3</v>
      </c>
      <c r="D718">
        <v>6.4429999999999999E-3</v>
      </c>
      <c r="E718">
        <v>6.9747999999999998E-3</v>
      </c>
      <c r="F718">
        <v>100799377</v>
      </c>
      <c r="G718">
        <v>0</v>
      </c>
      <c r="L718" t="s">
        <v>8</v>
      </c>
      <c r="M718" t="s">
        <v>8</v>
      </c>
      <c r="N718" t="s">
        <v>8</v>
      </c>
      <c r="P718">
        <f t="shared" si="999"/>
        <v>6.2440870387888711E-3</v>
      </c>
      <c r="Q718">
        <f t="shared" si="1000"/>
        <v>629400.083443693</v>
      </c>
      <c r="R718">
        <f t="shared" si="1001"/>
        <v>-8057842419.8983974</v>
      </c>
      <c r="S718">
        <f t="shared" si="1002"/>
        <v>-80578.424198983979</v>
      </c>
      <c r="T718">
        <f t="shared" si="1003"/>
        <v>-80.578424198983981</v>
      </c>
    </row>
    <row r="719" spans="1:20" x14ac:dyDescent="0.25">
      <c r="A719" s="5">
        <v>43874</v>
      </c>
      <c r="B719">
        <v>6.9141000000000003E-3</v>
      </c>
      <c r="C719">
        <v>7.3333000000000001E-3</v>
      </c>
      <c r="D719">
        <v>6.2376999999999997E-3</v>
      </c>
      <c r="E719">
        <v>6.6201999999999997E-3</v>
      </c>
      <c r="F719">
        <v>162182541</v>
      </c>
      <c r="G719">
        <v>0</v>
      </c>
      <c r="L719" t="s">
        <v>7</v>
      </c>
      <c r="M719" t="s">
        <v>7</v>
      </c>
      <c r="N719" t="s">
        <v>8</v>
      </c>
      <c r="P719">
        <f t="shared" si="999"/>
        <v>-0.30175246440306702</v>
      </c>
      <c r="Q719">
        <f t="shared" si="1000"/>
        <v>-48938981.429901458</v>
      </c>
      <c r="R719">
        <f t="shared" si="1001"/>
        <v>-8058471819.9818411</v>
      </c>
      <c r="S719">
        <f t="shared" si="1002"/>
        <v>-80584.71819981841</v>
      </c>
      <c r="T719">
        <f t="shared" si="1003"/>
        <v>-80.584718199818411</v>
      </c>
    </row>
    <row r="720" spans="1:20" x14ac:dyDescent="0.25">
      <c r="A720" s="5">
        <v>43873</v>
      </c>
      <c r="B720">
        <v>5.8926999999999998E-3</v>
      </c>
      <c r="C720">
        <v>7.5599999999999999E-3</v>
      </c>
      <c r="D720">
        <v>5.8684000000000002E-3</v>
      </c>
      <c r="E720">
        <v>6.9151999999999998E-3</v>
      </c>
      <c r="F720">
        <v>215174236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0.23764483329392272</v>
      </c>
      <c r="Q720">
        <f t="shared" si="1000"/>
        <v>51135045.443367183</v>
      </c>
      <c r="R720">
        <f t="shared" si="1001"/>
        <v>-8009532838.55194</v>
      </c>
      <c r="S720">
        <f t="shared" si="1002"/>
        <v>-80095.328385519402</v>
      </c>
      <c r="T720">
        <f t="shared" si="1003"/>
        <v>-80.095328385519409</v>
      </c>
    </row>
    <row r="721" spans="1:20" x14ac:dyDescent="0.25">
      <c r="A721" s="5">
        <v>43872</v>
      </c>
      <c r="B721">
        <v>5.5804000000000001E-3</v>
      </c>
      <c r="C721">
        <v>5.9968E-3</v>
      </c>
      <c r="D721">
        <v>5.3131000000000003E-3</v>
      </c>
      <c r="E721">
        <v>5.8811999999999996E-3</v>
      </c>
      <c r="F721">
        <v>87854362</v>
      </c>
      <c r="G721">
        <v>0</v>
      </c>
      <c r="L721" t="s">
        <v>8</v>
      </c>
      <c r="M721" t="s">
        <v>8</v>
      </c>
      <c r="N721" t="s">
        <v>7</v>
      </c>
      <c r="P721">
        <f t="shared" si="999"/>
        <v>0.66183998829896018</v>
      </c>
      <c r="Q721">
        <f t="shared" si="1000"/>
        <v>58145529.918092608</v>
      </c>
      <c r="R721">
        <f t="shared" si="1001"/>
        <v>-8060667883.995307</v>
      </c>
      <c r="S721">
        <f t="shared" si="1002"/>
        <v>-80606.678839953063</v>
      </c>
      <c r="T721">
        <f t="shared" si="1003"/>
        <v>-80.606678839953062</v>
      </c>
    </row>
    <row r="722" spans="1:20" x14ac:dyDescent="0.25">
      <c r="A722" s="5">
        <v>43871</v>
      </c>
      <c r="B722">
        <v>5.4203999999999997E-3</v>
      </c>
      <c r="C722">
        <v>5.5998999999999997E-3</v>
      </c>
      <c r="D722">
        <v>5.1701999999999998E-3</v>
      </c>
      <c r="E722">
        <v>5.5804000000000001E-3</v>
      </c>
      <c r="F722">
        <v>72223853</v>
      </c>
      <c r="G722">
        <v>0</v>
      </c>
      <c r="L722" t="s">
        <v>8</v>
      </c>
      <c r="M722" t="s">
        <v>7</v>
      </c>
      <c r="N722" t="s">
        <v>7</v>
      </c>
      <c r="P722">
        <f t="shared" si="999"/>
        <v>0.90923900395625057</v>
      </c>
      <c r="Q722">
        <f t="shared" si="1000"/>
        <v>65668744.163602658</v>
      </c>
      <c r="R722">
        <f t="shared" si="1001"/>
        <v>-8118813413.9133997</v>
      </c>
      <c r="S722">
        <f t="shared" si="1002"/>
        <v>-81188.134139133996</v>
      </c>
      <c r="T722">
        <f t="shared" si="1003"/>
        <v>-81.188134139133993</v>
      </c>
    </row>
    <row r="723" spans="1:20" x14ac:dyDescent="0.25">
      <c r="A723" s="5">
        <v>43870</v>
      </c>
      <c r="B723">
        <v>5.2544000000000002E-3</v>
      </c>
      <c r="C723">
        <v>5.47E-3</v>
      </c>
      <c r="D723">
        <v>5.0025E-3</v>
      </c>
      <c r="E723">
        <v>5.3727999999999996E-3</v>
      </c>
      <c r="F723">
        <v>103174433</v>
      </c>
      <c r="G723">
        <v>0</v>
      </c>
      <c r="L723" t="s">
        <v>7</v>
      </c>
      <c r="M723" t="s">
        <v>7</v>
      </c>
      <c r="N723" t="s">
        <v>7</v>
      </c>
      <c r="P723">
        <f t="shared" si="999"/>
        <v>0.58417112299465068</v>
      </c>
      <c r="Q723">
        <f t="shared" si="1000"/>
        <v>60271524.389946349</v>
      </c>
      <c r="R723">
        <f t="shared" si="1001"/>
        <v>-8184482158.0770025</v>
      </c>
      <c r="S723">
        <f t="shared" si="1002"/>
        <v>-81844.821580770018</v>
      </c>
      <c r="T723">
        <f t="shared" si="1003"/>
        <v>-81.844821580770017</v>
      </c>
    </row>
    <row r="724" spans="1:20" x14ac:dyDescent="0.25">
      <c r="A724" s="5">
        <v>43869</v>
      </c>
      <c r="B724">
        <v>5.7175000000000004E-3</v>
      </c>
      <c r="C724">
        <v>5.7175000000000004E-3</v>
      </c>
      <c r="D724">
        <v>5.1549999999999999E-3</v>
      </c>
      <c r="E724">
        <v>5.2547000000000002E-3</v>
      </c>
      <c r="F724">
        <v>100880014</v>
      </c>
      <c r="G724">
        <v>0</v>
      </c>
      <c r="L724" t="s">
        <v>7</v>
      </c>
      <c r="M724" t="s">
        <v>7</v>
      </c>
      <c r="N724" t="s">
        <v>7</v>
      </c>
      <c r="P724">
        <f t="shared" si="999"/>
        <v>-0.64551111111111037</v>
      </c>
      <c r="Q724">
        <f t="shared" si="1000"/>
        <v>-65119169.926044367</v>
      </c>
      <c r="R724">
        <f t="shared" si="1001"/>
        <v>-8244753682.4669485</v>
      </c>
      <c r="S724">
        <f t="shared" si="1002"/>
        <v>-82447.536824669485</v>
      </c>
      <c r="T724">
        <f t="shared" si="1003"/>
        <v>-82.447536824669484</v>
      </c>
    </row>
    <row r="725" spans="1:20" x14ac:dyDescent="0.25">
      <c r="A725" s="5">
        <v>43868</v>
      </c>
      <c r="B725">
        <v>5.8504000000000004E-3</v>
      </c>
      <c r="C725">
        <v>6.0891000000000001E-3</v>
      </c>
      <c r="D725">
        <v>5.6026000000000001E-3</v>
      </c>
      <c r="E725">
        <v>5.7175000000000004E-3</v>
      </c>
      <c r="F725">
        <v>141146677</v>
      </c>
      <c r="G725">
        <v>0</v>
      </c>
      <c r="L725" t="s">
        <v>7</v>
      </c>
      <c r="M725" t="s">
        <v>8</v>
      </c>
      <c r="N725" t="s">
        <v>7</v>
      </c>
      <c r="P725">
        <f t="shared" si="999"/>
        <v>-0.52764645426515822</v>
      </c>
      <c r="Q725">
        <f t="shared" si="1000"/>
        <v>-74475543.650359556</v>
      </c>
      <c r="R725">
        <f t="shared" si="1001"/>
        <v>-8179634512.540904</v>
      </c>
      <c r="S725">
        <f t="shared" si="1002"/>
        <v>-81796.345125409047</v>
      </c>
      <c r="T725">
        <f t="shared" si="1003"/>
        <v>-81.796345125409047</v>
      </c>
    </row>
    <row r="726" spans="1:20" x14ac:dyDescent="0.25">
      <c r="A726" s="5">
        <v>43867</v>
      </c>
      <c r="B726">
        <v>4.8972E-3</v>
      </c>
      <c r="C726">
        <v>6.3800000000000003E-3</v>
      </c>
      <c r="D726">
        <v>4.8250000000000003E-3</v>
      </c>
      <c r="E726">
        <v>5.8504000000000004E-3</v>
      </c>
      <c r="F726">
        <v>296313355</v>
      </c>
      <c r="G726">
        <v>0</v>
      </c>
      <c r="L726" t="s">
        <v>8</v>
      </c>
      <c r="M726" t="s">
        <v>8</v>
      </c>
      <c r="N726" t="s">
        <v>7</v>
      </c>
      <c r="P726">
        <f t="shared" si="999"/>
        <v>0.31884244372990367</v>
      </c>
      <c r="Q726">
        <f t="shared" si="1000"/>
        <v>94477274.218006477</v>
      </c>
      <c r="R726">
        <f t="shared" si="1001"/>
        <v>-8105158968.8905449</v>
      </c>
      <c r="S726">
        <f t="shared" si="1002"/>
        <v>-81051.589688905442</v>
      </c>
      <c r="T726">
        <f t="shared" si="1003"/>
        <v>-81.051589688905437</v>
      </c>
    </row>
    <row r="727" spans="1:20" x14ac:dyDescent="0.25">
      <c r="A727" s="5">
        <v>43866</v>
      </c>
      <c r="B727">
        <v>4.8621000000000003E-3</v>
      </c>
      <c r="C727">
        <v>4.9499000000000001E-3</v>
      </c>
      <c r="D727">
        <v>4.7800000000000004E-3</v>
      </c>
      <c r="E727">
        <v>4.8520999999999998E-3</v>
      </c>
      <c r="F727">
        <v>43003073</v>
      </c>
      <c r="G727">
        <v>0</v>
      </c>
      <c r="L727" t="s">
        <v>8</v>
      </c>
      <c r="M727" t="s">
        <v>7</v>
      </c>
      <c r="N727" t="s">
        <v>7</v>
      </c>
      <c r="P727">
        <f t="shared" si="999"/>
        <v>-0.15126545026486718</v>
      </c>
      <c r="Q727">
        <f t="shared" si="1000"/>
        <v>-6504879.2001179522</v>
      </c>
      <c r="R727">
        <f t="shared" si="1001"/>
        <v>-8199636243.108551</v>
      </c>
      <c r="S727">
        <f t="shared" si="1002"/>
        <v>-81996.362431085508</v>
      </c>
      <c r="T727">
        <f t="shared" si="1003"/>
        <v>-81.996362431085515</v>
      </c>
    </row>
    <row r="728" spans="1:20" x14ac:dyDescent="0.25">
      <c r="A728" s="5">
        <v>43865</v>
      </c>
      <c r="B728">
        <v>4.7434E-3</v>
      </c>
      <c r="C728">
        <v>4.9893999999999997E-3</v>
      </c>
      <c r="D728">
        <v>4.6100000000000004E-3</v>
      </c>
      <c r="E728">
        <v>4.8859999999999997E-3</v>
      </c>
      <c r="F728">
        <v>55735551</v>
      </c>
      <c r="G728">
        <v>0</v>
      </c>
      <c r="L728" t="s">
        <v>8</v>
      </c>
      <c r="M728" t="s">
        <v>7</v>
      </c>
      <c r="N728" t="s">
        <v>7</v>
      </c>
      <c r="P728">
        <f t="shared" si="999"/>
        <v>0.4549288350026347</v>
      </c>
      <c r="Q728">
        <f t="shared" si="1000"/>
        <v>25355709.284659933</v>
      </c>
      <c r="R728">
        <f t="shared" si="1001"/>
        <v>-8193131363.908433</v>
      </c>
      <c r="S728">
        <f t="shared" si="1002"/>
        <v>-81931.313639084328</v>
      </c>
      <c r="T728">
        <f t="shared" si="1003"/>
        <v>-81.931313639084323</v>
      </c>
    </row>
    <row r="729" spans="1:20" x14ac:dyDescent="0.25">
      <c r="A729" s="5">
        <v>43864</v>
      </c>
      <c r="B729">
        <v>4.6407999999999996E-3</v>
      </c>
      <c r="C729">
        <v>5.0099999999999997E-3</v>
      </c>
      <c r="D729">
        <v>4.6004000000000001E-3</v>
      </c>
      <c r="E729">
        <v>4.7381000000000003E-3</v>
      </c>
      <c r="F729">
        <v>50931020</v>
      </c>
      <c r="G729">
        <v>0</v>
      </c>
      <c r="L729" t="s">
        <v>7</v>
      </c>
      <c r="M729" t="s">
        <v>7</v>
      </c>
      <c r="N729" t="s">
        <v>7</v>
      </c>
      <c r="P729">
        <f t="shared" si="999"/>
        <v>-0.32763671874999856</v>
      </c>
      <c r="Q729">
        <f t="shared" si="1000"/>
        <v>-16686872.275390552</v>
      </c>
      <c r="R729">
        <f t="shared" si="1001"/>
        <v>-8218487073.1930933</v>
      </c>
      <c r="S729">
        <f t="shared" si="1002"/>
        <v>-82184.870731930932</v>
      </c>
      <c r="T729">
        <f t="shared" si="1003"/>
        <v>-82.184870731930928</v>
      </c>
    </row>
    <row r="730" spans="1:20" x14ac:dyDescent="0.25">
      <c r="A730" s="5">
        <v>43863</v>
      </c>
      <c r="B730">
        <v>4.7080000000000004E-3</v>
      </c>
      <c r="C730">
        <v>5.0099999999999997E-3</v>
      </c>
      <c r="D730">
        <v>4.6223000000000002E-3</v>
      </c>
      <c r="E730">
        <v>4.6407999999999996E-3</v>
      </c>
      <c r="F730">
        <v>31891342</v>
      </c>
      <c r="G730">
        <v>0</v>
      </c>
      <c r="L730" t="s">
        <v>8</v>
      </c>
      <c r="M730" t="s">
        <v>7</v>
      </c>
      <c r="N730" t="s">
        <v>7</v>
      </c>
      <c r="P730">
        <f t="shared" si="999"/>
        <v>-0.90456538560743127</v>
      </c>
      <c r="Q730">
        <f t="shared" si="1000"/>
        <v>-28847804.073768467</v>
      </c>
      <c r="R730">
        <f t="shared" si="1001"/>
        <v>-8201800200.9177027</v>
      </c>
      <c r="S730">
        <f t="shared" si="1002"/>
        <v>-82018.002009177028</v>
      </c>
      <c r="T730">
        <f t="shared" si="1003"/>
        <v>-82.018002009177025</v>
      </c>
    </row>
    <row r="731" spans="1:20" x14ac:dyDescent="0.25">
      <c r="A731" s="5">
        <v>43862</v>
      </c>
      <c r="B731">
        <v>4.7201999999999999E-3</v>
      </c>
      <c r="C731">
        <v>4.7913000000000001E-3</v>
      </c>
      <c r="D731">
        <v>4.6105E-3</v>
      </c>
      <c r="E731">
        <v>4.7080000000000004E-3</v>
      </c>
      <c r="F731">
        <v>18101246</v>
      </c>
      <c r="G731">
        <v>0</v>
      </c>
      <c r="L731" t="s">
        <v>8</v>
      </c>
      <c r="M731" t="s">
        <v>7</v>
      </c>
      <c r="N731" t="s">
        <v>7</v>
      </c>
      <c r="P731">
        <f t="shared" si="999"/>
        <v>7.8539823008853246E-2</v>
      </c>
      <c r="Q731">
        <f t="shared" si="1000"/>
        <v>1421668.6570797127</v>
      </c>
      <c r="R731">
        <f t="shared" si="1001"/>
        <v>-8172952396.8439341</v>
      </c>
      <c r="S731">
        <f t="shared" si="1002"/>
        <v>-81729.523968439345</v>
      </c>
      <c r="T731">
        <f t="shared" si="1003"/>
        <v>-81.729523968439352</v>
      </c>
    </row>
    <row r="732" spans="1:20" x14ac:dyDescent="0.25">
      <c r="A732" s="5">
        <v>43861</v>
      </c>
      <c r="B732">
        <v>4.568E-3</v>
      </c>
      <c r="C732">
        <v>4.7574000000000002E-3</v>
      </c>
      <c r="D732">
        <v>4.4999999999999997E-3</v>
      </c>
      <c r="E732">
        <v>4.7225000000000001E-3</v>
      </c>
      <c r="F732">
        <v>26754458</v>
      </c>
      <c r="G732">
        <v>0</v>
      </c>
      <c r="L732" t="s">
        <v>7</v>
      </c>
      <c r="M732" t="s">
        <v>7</v>
      </c>
      <c r="N732" t="s">
        <v>7</v>
      </c>
      <c r="P732">
        <f t="shared" si="999"/>
        <v>0.72882672882672905</v>
      </c>
      <c r="Q732">
        <f t="shared" si="1000"/>
        <v>19499364.105672114</v>
      </c>
      <c r="R732">
        <f t="shared" si="1001"/>
        <v>-8174374065.5010138</v>
      </c>
      <c r="S732">
        <f t="shared" si="1002"/>
        <v>-81743.740655010144</v>
      </c>
      <c r="T732">
        <f t="shared" si="1003"/>
        <v>-81.743740655010143</v>
      </c>
    </row>
    <row r="733" spans="1:20" x14ac:dyDescent="0.25">
      <c r="A733" s="5">
        <v>43860</v>
      </c>
      <c r="B733">
        <v>4.6806E-3</v>
      </c>
      <c r="C733">
        <v>4.8291999999999996E-3</v>
      </c>
      <c r="D733">
        <v>4.4327000000000004E-3</v>
      </c>
      <c r="E733">
        <v>4.5503000000000002E-3</v>
      </c>
      <c r="F733">
        <v>38310483</v>
      </c>
      <c r="G733">
        <v>0</v>
      </c>
      <c r="L733" t="s">
        <v>7</v>
      </c>
      <c r="M733" t="s">
        <v>7</v>
      </c>
      <c r="N733" t="s">
        <v>7</v>
      </c>
      <c r="P733">
        <f t="shared" si="999"/>
        <v>-0.40680958385876403</v>
      </c>
      <c r="Q733">
        <f t="shared" si="1000"/>
        <v>-15585071.646658255</v>
      </c>
      <c r="R733">
        <f t="shared" si="1001"/>
        <v>-8193873429.6066856</v>
      </c>
      <c r="S733">
        <f t="shared" si="1002"/>
        <v>-81938.734296066861</v>
      </c>
      <c r="T733">
        <f t="shared" si="1003"/>
        <v>-81.938734296066855</v>
      </c>
    </row>
    <row r="734" spans="1:20" x14ac:dyDescent="0.25">
      <c r="A734" s="5">
        <v>43859</v>
      </c>
      <c r="B734">
        <v>4.7999999999999996E-3</v>
      </c>
      <c r="C734">
        <v>4.9100000000000003E-3</v>
      </c>
      <c r="D734">
        <v>4.6753000000000003E-3</v>
      </c>
      <c r="E734">
        <v>4.7042999999999998E-3</v>
      </c>
      <c r="F734">
        <v>36460603</v>
      </c>
      <c r="G734">
        <v>0</v>
      </c>
      <c r="L734" t="s">
        <v>7</v>
      </c>
      <c r="M734" t="s">
        <v>7</v>
      </c>
      <c r="N734" t="s">
        <v>7</v>
      </c>
      <c r="P734">
        <f t="shared" si="999"/>
        <v>-0.75287601193012776</v>
      </c>
      <c r="Q734">
        <f t="shared" si="1000"/>
        <v>-27450313.379207652</v>
      </c>
      <c r="R734">
        <f t="shared" si="1001"/>
        <v>-8178288357.9600277</v>
      </c>
      <c r="S734">
        <f t="shared" si="1002"/>
        <v>-81782.883579600282</v>
      </c>
      <c r="T734">
        <f t="shared" si="1003"/>
        <v>-81.782883579600281</v>
      </c>
    </row>
    <row r="735" spans="1:20" x14ac:dyDescent="0.25">
      <c r="A735" s="5">
        <v>43858</v>
      </c>
      <c r="B735">
        <v>5.045E-3</v>
      </c>
      <c r="C735">
        <v>5.1231999999999996E-3</v>
      </c>
      <c r="D735">
        <v>4.7012E-3</v>
      </c>
      <c r="E735">
        <v>4.7831000000000002E-3</v>
      </c>
      <c r="F735">
        <v>28458932</v>
      </c>
      <c r="G735">
        <v>0</v>
      </c>
      <c r="L735" t="s">
        <v>7</v>
      </c>
      <c r="M735" t="s">
        <v>7</v>
      </c>
      <c r="N735" t="s">
        <v>7</v>
      </c>
      <c r="P735">
        <f t="shared" si="999"/>
        <v>-0.6118483412322262</v>
      </c>
      <c r="Q735">
        <f t="shared" si="1000"/>
        <v>-17412550.337440722</v>
      </c>
      <c r="R735">
        <f t="shared" si="1001"/>
        <v>-8150838044.5808201</v>
      </c>
      <c r="S735">
        <f t="shared" si="1002"/>
        <v>-81508.380445808201</v>
      </c>
      <c r="T735">
        <f t="shared" si="1003"/>
        <v>-81.5083804458082</v>
      </c>
    </row>
    <row r="736" spans="1:20" x14ac:dyDescent="0.25">
      <c r="A736" s="5">
        <v>43857</v>
      </c>
      <c r="B736">
        <v>5.1222999999999998E-3</v>
      </c>
      <c r="C736">
        <v>5.1895999999999999E-3</v>
      </c>
      <c r="D736">
        <v>4.9049999999999996E-3</v>
      </c>
      <c r="E736">
        <v>5.045E-3</v>
      </c>
      <c r="F736">
        <v>25381247</v>
      </c>
      <c r="G736">
        <v>0</v>
      </c>
      <c r="L736" t="s">
        <v>7</v>
      </c>
      <c r="M736" t="s">
        <v>7</v>
      </c>
      <c r="N736" t="s">
        <v>7</v>
      </c>
      <c r="P736">
        <f t="shared" si="999"/>
        <v>-1.6163035839773594E-2</v>
      </c>
      <c r="Q736">
        <f t="shared" si="1000"/>
        <v>-410238.00491914601</v>
      </c>
      <c r="R736">
        <f t="shared" si="1001"/>
        <v>-8133425494.2433796</v>
      </c>
      <c r="S736">
        <f t="shared" si="1002"/>
        <v>-81334.254942433792</v>
      </c>
      <c r="T736">
        <f t="shared" si="1003"/>
        <v>-81.334254942433788</v>
      </c>
    </row>
    <row r="737" spans="1:20" x14ac:dyDescent="0.25">
      <c r="A737" s="5">
        <v>43856</v>
      </c>
      <c r="B737">
        <v>5.0956999999999999E-3</v>
      </c>
      <c r="C737">
        <v>5.3876000000000002E-3</v>
      </c>
      <c r="D737">
        <v>4.8728E-3</v>
      </c>
      <c r="E737">
        <v>5.1222999999999998E-3</v>
      </c>
      <c r="F737">
        <v>30175560</v>
      </c>
      <c r="G737">
        <v>0</v>
      </c>
      <c r="L737" t="s">
        <v>8</v>
      </c>
      <c r="M737" t="s">
        <v>7</v>
      </c>
      <c r="N737" t="s">
        <v>7</v>
      </c>
      <c r="P737">
        <f t="shared" si="999"/>
        <v>-3.0691530691532059E-2</v>
      </c>
      <c r="Q737">
        <f t="shared" si="1000"/>
        <v>-926134.12587416719</v>
      </c>
      <c r="R737">
        <f t="shared" si="1001"/>
        <v>-8133015256.2384605</v>
      </c>
      <c r="S737">
        <f t="shared" si="1002"/>
        <v>-81330.15256238461</v>
      </c>
      <c r="T737">
        <f t="shared" si="1003"/>
        <v>-81.330152562384612</v>
      </c>
    </row>
    <row r="738" spans="1:20" x14ac:dyDescent="0.25">
      <c r="A738" s="5">
        <v>43855</v>
      </c>
      <c r="B738">
        <v>4.7274999999999999E-3</v>
      </c>
      <c r="C738">
        <v>5.1114999999999997E-3</v>
      </c>
      <c r="D738">
        <v>4.6002999999999999E-3</v>
      </c>
      <c r="E738">
        <v>5.0983000000000001E-3</v>
      </c>
      <c r="F738">
        <v>32801058</v>
      </c>
      <c r="G738">
        <v>0</v>
      </c>
      <c r="L738" t="s">
        <v>8</v>
      </c>
      <c r="M738" t="s">
        <v>7</v>
      </c>
      <c r="N738" t="s">
        <v>7</v>
      </c>
      <c r="P738">
        <f t="shared" si="999"/>
        <v>0.94835680751173834</v>
      </c>
      <c r="Q738">
        <f t="shared" si="1000"/>
        <v>31107106.647887364</v>
      </c>
      <c r="R738">
        <f t="shared" si="1001"/>
        <v>-8132089122.112586</v>
      </c>
      <c r="S738">
        <f t="shared" si="1002"/>
        <v>-81320.891221125858</v>
      </c>
      <c r="T738">
        <f t="shared" si="1003"/>
        <v>-81.320891221125862</v>
      </c>
    </row>
    <row r="739" spans="1:20" x14ac:dyDescent="0.25">
      <c r="A739" s="5">
        <v>43854</v>
      </c>
      <c r="B739">
        <v>4.7162999999999997E-3</v>
      </c>
      <c r="C739">
        <v>4.8107999999999996E-3</v>
      </c>
      <c r="D739">
        <v>4.5369E-3</v>
      </c>
      <c r="E739">
        <v>4.7274999999999999E-3</v>
      </c>
      <c r="F739">
        <v>13189991</v>
      </c>
      <c r="G739">
        <v>0</v>
      </c>
      <c r="L739" t="s">
        <v>7</v>
      </c>
      <c r="M739" t="s">
        <v>7</v>
      </c>
      <c r="N739" t="s">
        <v>7</v>
      </c>
      <c r="P739">
        <f t="shared" si="999"/>
        <v>0.39174881343556189</v>
      </c>
      <c r="Q739">
        <f t="shared" si="1000"/>
        <v>5167163.3234757408</v>
      </c>
      <c r="R739">
        <f t="shared" si="1001"/>
        <v>-8163196228.7604733</v>
      </c>
      <c r="S739">
        <f t="shared" si="1002"/>
        <v>-81631.962287604736</v>
      </c>
      <c r="T739">
        <f t="shared" si="1003"/>
        <v>-81.631962287604736</v>
      </c>
    </row>
    <row r="740" spans="1:20" x14ac:dyDescent="0.25">
      <c r="A740" s="5">
        <v>43853</v>
      </c>
      <c r="B740">
        <v>4.9985999999999997E-3</v>
      </c>
      <c r="C740">
        <v>5.0615E-3</v>
      </c>
      <c r="D740">
        <v>4.7000000000000002E-3</v>
      </c>
      <c r="E740">
        <v>4.7140000000000003E-3</v>
      </c>
      <c r="F740">
        <v>25654006</v>
      </c>
      <c r="G740">
        <v>0</v>
      </c>
      <c r="L740" t="s">
        <v>7</v>
      </c>
      <c r="M740" t="s">
        <v>7</v>
      </c>
      <c r="N740" t="s">
        <v>7</v>
      </c>
      <c r="P740">
        <f t="shared" si="999"/>
        <v>-0.92254495159059402</v>
      </c>
      <c r="Q740">
        <f t="shared" si="1000"/>
        <v>-23666973.72337481</v>
      </c>
      <c r="R740">
        <f t="shared" si="1001"/>
        <v>-8168363392.0839491</v>
      </c>
      <c r="S740">
        <f t="shared" si="1002"/>
        <v>-81683.633920839493</v>
      </c>
      <c r="T740">
        <f t="shared" si="1003"/>
        <v>-81.683633920839497</v>
      </c>
    </row>
    <row r="741" spans="1:20" x14ac:dyDescent="0.25">
      <c r="A741" s="5">
        <v>43852</v>
      </c>
      <c r="B741">
        <v>5.1541E-3</v>
      </c>
      <c r="C741">
        <v>5.3252000000000004E-3</v>
      </c>
      <c r="D741">
        <v>4.8999999999999998E-3</v>
      </c>
      <c r="E741">
        <v>4.9670000000000001E-3</v>
      </c>
      <c r="F741">
        <v>40770699</v>
      </c>
      <c r="G741">
        <v>0</v>
      </c>
      <c r="L741" t="s">
        <v>7</v>
      </c>
      <c r="M741" t="s">
        <v>7</v>
      </c>
      <c r="N741" t="s">
        <v>7</v>
      </c>
      <c r="P741">
        <f t="shared" si="999"/>
        <v>-0.68485418626528627</v>
      </c>
      <c r="Q741">
        <f t="shared" si="1000"/>
        <v>-27921983.887111921</v>
      </c>
      <c r="R741">
        <f t="shared" si="1001"/>
        <v>-8144696418.3605747</v>
      </c>
      <c r="S741">
        <f t="shared" si="1002"/>
        <v>-81446.964183605742</v>
      </c>
      <c r="T741">
        <f t="shared" si="1003"/>
        <v>-81.446964183605743</v>
      </c>
    </row>
    <row r="742" spans="1:20" x14ac:dyDescent="0.25">
      <c r="A742" s="5">
        <v>43851</v>
      </c>
      <c r="B742">
        <v>4.8856000000000004E-3</v>
      </c>
      <c r="C742">
        <v>5.5377999999999998E-3</v>
      </c>
      <c r="D742">
        <v>4.7942999999999996E-3</v>
      </c>
      <c r="E742">
        <v>5.2043000000000002E-3</v>
      </c>
      <c r="F742">
        <v>71622147</v>
      </c>
      <c r="G742">
        <v>0</v>
      </c>
      <c r="L742" t="s">
        <v>8</v>
      </c>
      <c r="M742" t="s">
        <v>7</v>
      </c>
      <c r="N742" t="s">
        <v>7</v>
      </c>
      <c r="P742">
        <f t="shared" si="999"/>
        <v>0.10289172831203904</v>
      </c>
      <c r="Q742">
        <f t="shared" si="1000"/>
        <v>7369326.4902489213</v>
      </c>
      <c r="R742">
        <f t="shared" si="1001"/>
        <v>-8116774434.4734631</v>
      </c>
      <c r="S742">
        <f t="shared" si="1002"/>
        <v>-81167.74434473463</v>
      </c>
      <c r="T742">
        <f t="shared" si="1003"/>
        <v>-81.167744344734629</v>
      </c>
    </row>
    <row r="743" spans="1:20" x14ac:dyDescent="0.25">
      <c r="A743" s="5">
        <v>43850</v>
      </c>
      <c r="B743">
        <v>4.8999999999999998E-3</v>
      </c>
      <c r="C743">
        <v>5.0099999999999997E-3</v>
      </c>
      <c r="D743">
        <v>4.7999999999999996E-3</v>
      </c>
      <c r="E743">
        <v>4.8623E-3</v>
      </c>
      <c r="F743">
        <v>30804206</v>
      </c>
      <c r="G743">
        <v>0</v>
      </c>
      <c r="L743" t="s">
        <v>7</v>
      </c>
      <c r="M743" t="s">
        <v>7</v>
      </c>
      <c r="N743" t="s">
        <v>7</v>
      </c>
      <c r="P743">
        <f t="shared" si="999"/>
        <v>-0.4066666666666634</v>
      </c>
      <c r="Q743">
        <f t="shared" si="1000"/>
        <v>-12527043.773333233</v>
      </c>
      <c r="R743">
        <f t="shared" si="1001"/>
        <v>-8124143760.9637117</v>
      </c>
      <c r="S743">
        <f t="shared" si="1002"/>
        <v>-81241.437609637112</v>
      </c>
      <c r="T743">
        <f t="shared" si="1003"/>
        <v>-81.241437609637117</v>
      </c>
    </row>
    <row r="744" spans="1:20" x14ac:dyDescent="0.25">
      <c r="A744" s="5">
        <v>43849</v>
      </c>
      <c r="B744">
        <v>5.1495999999999998E-3</v>
      </c>
      <c r="C744">
        <v>5.2868000000000004E-3</v>
      </c>
      <c r="D744">
        <v>4.8005000000000001E-3</v>
      </c>
      <c r="E744">
        <v>4.8999999999999998E-3</v>
      </c>
      <c r="F744">
        <v>60456061</v>
      </c>
      <c r="G744">
        <v>0</v>
      </c>
      <c r="L744" t="s">
        <v>7</v>
      </c>
      <c r="M744" t="s">
        <v>7</v>
      </c>
      <c r="N744" t="s">
        <v>7</v>
      </c>
      <c r="P744">
        <f t="shared" si="999"/>
        <v>-0.59078757968332429</v>
      </c>
      <c r="Q744">
        <f t="shared" si="1000"/>
        <v>-35716689.955377415</v>
      </c>
      <c r="R744">
        <f t="shared" si="1001"/>
        <v>-8111616717.1903782</v>
      </c>
      <c r="S744">
        <f t="shared" si="1002"/>
        <v>-81116.167171903784</v>
      </c>
      <c r="T744">
        <f t="shared" si="1003"/>
        <v>-81.116167171903783</v>
      </c>
    </row>
    <row r="745" spans="1:20" x14ac:dyDescent="0.25">
      <c r="A745" s="5">
        <v>43848</v>
      </c>
      <c r="B745">
        <v>5.2252000000000002E-3</v>
      </c>
      <c r="C745">
        <v>5.3223999999999997E-3</v>
      </c>
      <c r="D745">
        <v>5.1479999999999998E-3</v>
      </c>
      <c r="E745">
        <v>5.1495999999999998E-3</v>
      </c>
      <c r="F745">
        <v>23894886</v>
      </c>
      <c r="G745">
        <v>0</v>
      </c>
      <c r="L745" t="s">
        <v>7</v>
      </c>
      <c r="M745" t="s">
        <v>7</v>
      </c>
      <c r="N745" t="s">
        <v>7</v>
      </c>
      <c r="P745">
        <f t="shared" si="999"/>
        <v>-0.98165137614678855</v>
      </c>
      <c r="Q745">
        <f t="shared" si="1000"/>
        <v>-23456447.724770632</v>
      </c>
      <c r="R745">
        <f t="shared" si="1001"/>
        <v>-8075900027.2350006</v>
      </c>
      <c r="S745">
        <f t="shared" si="1002"/>
        <v>-80759.000272350007</v>
      </c>
      <c r="T745">
        <f t="shared" si="1003"/>
        <v>-80.759000272350008</v>
      </c>
    </row>
    <row r="746" spans="1:20" x14ac:dyDescent="0.25">
      <c r="A746" s="5">
        <v>43847</v>
      </c>
      <c r="B746">
        <v>5.3669E-3</v>
      </c>
      <c r="C746">
        <v>5.5288999999999998E-3</v>
      </c>
      <c r="D746">
        <v>5.1000000000000004E-3</v>
      </c>
      <c r="E746">
        <v>5.2252000000000002E-3</v>
      </c>
      <c r="F746">
        <v>63554345</v>
      </c>
      <c r="G746">
        <v>0</v>
      </c>
      <c r="L746" t="s">
        <v>7</v>
      </c>
      <c r="M746" t="s">
        <v>7</v>
      </c>
      <c r="N746" t="s">
        <v>7</v>
      </c>
      <c r="P746">
        <f t="shared" si="999"/>
        <v>-0.41618092795523448</v>
      </c>
      <c r="Q746">
        <f t="shared" si="1000"/>
        <v>-26450106.277687117</v>
      </c>
      <c r="R746">
        <f t="shared" si="1001"/>
        <v>-8052443579.5102301</v>
      </c>
      <c r="S746">
        <f t="shared" si="1002"/>
        <v>-80524.435795102298</v>
      </c>
      <c r="T746">
        <f t="shared" si="1003"/>
        <v>-80.524435795102292</v>
      </c>
    </row>
    <row r="747" spans="1:20" x14ac:dyDescent="0.25">
      <c r="A747" s="5">
        <v>43846</v>
      </c>
      <c r="B747">
        <v>5.4009000000000001E-3</v>
      </c>
      <c r="C747">
        <v>5.6885E-3</v>
      </c>
      <c r="D747">
        <v>5.3E-3</v>
      </c>
      <c r="E747">
        <v>5.3705999999999997E-3</v>
      </c>
      <c r="F747">
        <v>55104973</v>
      </c>
      <c r="G747">
        <v>0</v>
      </c>
      <c r="L747" t="s">
        <v>7</v>
      </c>
      <c r="M747" t="s">
        <v>7</v>
      </c>
      <c r="N747" t="s">
        <v>7</v>
      </c>
      <c r="P747">
        <f t="shared" si="999"/>
        <v>-0.63655083655083833</v>
      </c>
      <c r="Q747">
        <f t="shared" si="1000"/>
        <v>-35077116.661261357</v>
      </c>
      <c r="R747">
        <f t="shared" si="1001"/>
        <v>-8025993473.232543</v>
      </c>
      <c r="S747">
        <f t="shared" si="1002"/>
        <v>-80259.934732325433</v>
      </c>
      <c r="T747">
        <f t="shared" si="1003"/>
        <v>-80.259934732325434</v>
      </c>
    </row>
    <row r="748" spans="1:20" x14ac:dyDescent="0.25">
      <c r="A748" s="5">
        <v>43845</v>
      </c>
      <c r="B748">
        <v>5.5777999999999999E-3</v>
      </c>
      <c r="C748">
        <v>5.7999999999999996E-3</v>
      </c>
      <c r="D748">
        <v>5.3614999999999999E-3</v>
      </c>
      <c r="E748">
        <v>5.4010000000000004E-3</v>
      </c>
      <c r="F748">
        <v>111888060</v>
      </c>
      <c r="G748">
        <v>0</v>
      </c>
      <c r="L748" t="s">
        <v>7</v>
      </c>
      <c r="M748" t="s">
        <v>7</v>
      </c>
      <c r="N748" t="s">
        <v>7</v>
      </c>
      <c r="P748">
        <f t="shared" si="999"/>
        <v>-0.81984036488027134</v>
      </c>
      <c r="Q748">
        <f t="shared" si="1000"/>
        <v>-91730347.936145693</v>
      </c>
      <c r="R748">
        <f t="shared" si="1001"/>
        <v>-7990916356.5712814</v>
      </c>
      <c r="S748">
        <f t="shared" si="1002"/>
        <v>-79909.163565712821</v>
      </c>
      <c r="T748">
        <f t="shared" si="1003"/>
        <v>-79.909163565712817</v>
      </c>
    </row>
    <row r="749" spans="1:20" x14ac:dyDescent="0.25">
      <c r="A749" s="5">
        <v>43844</v>
      </c>
      <c r="B749">
        <v>6.1698999999999999E-3</v>
      </c>
      <c r="C749">
        <v>6.4999999999999997E-3</v>
      </c>
      <c r="D749">
        <v>5.4888000000000003E-3</v>
      </c>
      <c r="E749">
        <v>5.5777999999999999E-3</v>
      </c>
      <c r="F749">
        <v>127204665</v>
      </c>
      <c r="G749">
        <v>0</v>
      </c>
      <c r="L749" t="s">
        <v>7</v>
      </c>
      <c r="M749" t="s">
        <v>7</v>
      </c>
      <c r="N749" t="s">
        <v>7</v>
      </c>
      <c r="P749">
        <f t="shared" si="999"/>
        <v>-0.82397151898734233</v>
      </c>
      <c r="Q749">
        <f t="shared" si="1000"/>
        <v>-104813021.04232602</v>
      </c>
      <c r="R749">
        <f t="shared" si="1001"/>
        <v>-7899186008.6351357</v>
      </c>
      <c r="S749">
        <f t="shared" si="1002"/>
        <v>-78991.860086351357</v>
      </c>
      <c r="T749">
        <f t="shared" si="1003"/>
        <v>-78.991860086351352</v>
      </c>
    </row>
    <row r="750" spans="1:20" x14ac:dyDescent="0.25">
      <c r="A750" s="5">
        <v>43843</v>
      </c>
      <c r="B750">
        <v>5.9027999999999997E-3</v>
      </c>
      <c r="C750">
        <v>6.4427E-3</v>
      </c>
      <c r="D750">
        <v>5.7356000000000004E-3</v>
      </c>
      <c r="E750">
        <v>6.1697000000000002E-3</v>
      </c>
      <c r="F750">
        <v>83931688</v>
      </c>
      <c r="G750">
        <v>0</v>
      </c>
      <c r="L750" t="s">
        <v>8</v>
      </c>
      <c r="M750" t="s">
        <v>7</v>
      </c>
      <c r="N750" t="s">
        <v>7</v>
      </c>
      <c r="P750">
        <f t="shared" si="999"/>
        <v>0.22783198981756478</v>
      </c>
      <c r="Q750">
        <f t="shared" si="1000"/>
        <v>19122323.485787023</v>
      </c>
      <c r="R750">
        <f t="shared" si="1001"/>
        <v>-7794372987.5928097</v>
      </c>
      <c r="S750">
        <f t="shared" si="1002"/>
        <v>-77943.729875928097</v>
      </c>
      <c r="T750">
        <f t="shared" si="1003"/>
        <v>-77.943729875928099</v>
      </c>
    </row>
    <row r="751" spans="1:20" x14ac:dyDescent="0.25">
      <c r="A751" s="5">
        <v>43842</v>
      </c>
      <c r="B751">
        <v>5.6350000000000003E-3</v>
      </c>
      <c r="C751">
        <v>6.1000000000000004E-3</v>
      </c>
      <c r="D751">
        <v>5.4686999999999999E-3</v>
      </c>
      <c r="E751">
        <v>5.9122999999999997E-3</v>
      </c>
      <c r="F751">
        <v>49806252</v>
      </c>
      <c r="G751">
        <v>0</v>
      </c>
      <c r="L751" t="s">
        <v>7</v>
      </c>
      <c r="M751" t="s">
        <v>7</v>
      </c>
      <c r="N751" t="s">
        <v>7</v>
      </c>
      <c r="P751">
        <f t="shared" si="999"/>
        <v>0.40535403136385051</v>
      </c>
      <c r="Q751">
        <f t="shared" si="1000"/>
        <v>20189165.035323843</v>
      </c>
      <c r="R751">
        <f t="shared" si="1001"/>
        <v>-7813495311.0785971</v>
      </c>
      <c r="S751">
        <f t="shared" si="1002"/>
        <v>-78134.953110785966</v>
      </c>
      <c r="T751">
        <f t="shared" si="1003"/>
        <v>-78.134953110785972</v>
      </c>
    </row>
    <row r="752" spans="1:20" x14ac:dyDescent="0.25">
      <c r="A752" s="5">
        <v>43841</v>
      </c>
      <c r="B752">
        <v>5.6598999999999998E-3</v>
      </c>
      <c r="C752">
        <v>5.7990000000000003E-3</v>
      </c>
      <c r="D752">
        <v>5.6211000000000004E-3</v>
      </c>
      <c r="E752">
        <v>5.6350999999999997E-3</v>
      </c>
      <c r="F752">
        <v>19082404</v>
      </c>
      <c r="G752">
        <v>0</v>
      </c>
      <c r="L752" t="s">
        <v>7</v>
      </c>
      <c r="M752" t="s">
        <v>7</v>
      </c>
      <c r="N752" t="s">
        <v>7</v>
      </c>
      <c r="P752">
        <f t="shared" si="999"/>
        <v>-0.84260820685779358</v>
      </c>
      <c r="Q752">
        <f t="shared" si="1000"/>
        <v>-16078990.216975987</v>
      </c>
      <c r="R752">
        <f t="shared" si="1001"/>
        <v>-7833684476.1139212</v>
      </c>
      <c r="S752">
        <f t="shared" si="1002"/>
        <v>-78336.844761139218</v>
      </c>
      <c r="T752">
        <f t="shared" si="1003"/>
        <v>-78.336844761139218</v>
      </c>
    </row>
    <row r="753" spans="1:20" x14ac:dyDescent="0.25">
      <c r="A753" s="5">
        <v>43840</v>
      </c>
      <c r="B753">
        <v>5.8694999999999997E-3</v>
      </c>
      <c r="C753">
        <v>6.0337000000000003E-3</v>
      </c>
      <c r="D753">
        <v>5.6448999999999996E-3</v>
      </c>
      <c r="E753">
        <v>5.7219000000000002E-3</v>
      </c>
      <c r="F753">
        <v>31854520</v>
      </c>
      <c r="G753">
        <v>0</v>
      </c>
      <c r="L753" t="s">
        <v>7</v>
      </c>
      <c r="M753" t="s">
        <v>7</v>
      </c>
      <c r="N753" t="s">
        <v>7</v>
      </c>
      <c r="P753">
        <f t="shared" si="999"/>
        <v>-0.60390946502057341</v>
      </c>
      <c r="Q753">
        <f t="shared" si="1000"/>
        <v>-19237246.131687157</v>
      </c>
      <c r="R753">
        <f t="shared" si="1001"/>
        <v>-7817605485.896945</v>
      </c>
      <c r="S753">
        <f t="shared" si="1002"/>
        <v>-78176.054858969452</v>
      </c>
      <c r="T753">
        <f t="shared" si="1003"/>
        <v>-78.176054858969451</v>
      </c>
    </row>
    <row r="754" spans="1:20" x14ac:dyDescent="0.25">
      <c r="A754" s="5">
        <v>43839</v>
      </c>
      <c r="B754">
        <v>5.8785E-3</v>
      </c>
      <c r="C754">
        <v>6.2687999999999997E-3</v>
      </c>
      <c r="D754">
        <v>5.7482999999999996E-3</v>
      </c>
      <c r="E754">
        <v>5.8720999999999999E-3</v>
      </c>
      <c r="F754">
        <v>40400460</v>
      </c>
      <c r="G754">
        <v>0</v>
      </c>
      <c r="L754" t="s">
        <v>8</v>
      </c>
      <c r="M754" t="s">
        <v>7</v>
      </c>
      <c r="N754" t="s">
        <v>7</v>
      </c>
      <c r="P754">
        <f t="shared" si="999"/>
        <v>-0.52430355427473485</v>
      </c>
      <c r="Q754">
        <f t="shared" si="1000"/>
        <v>-21182104.772334255</v>
      </c>
      <c r="R754">
        <f t="shared" si="1001"/>
        <v>-7798368239.7652578</v>
      </c>
      <c r="S754">
        <f t="shared" si="1002"/>
        <v>-77983.682397652577</v>
      </c>
      <c r="T754">
        <f t="shared" si="1003"/>
        <v>-77.983682397652572</v>
      </c>
    </row>
    <row r="755" spans="1:20" x14ac:dyDescent="0.25">
      <c r="A755" s="5">
        <v>43838</v>
      </c>
      <c r="B755">
        <v>6.1903000000000001E-3</v>
      </c>
      <c r="C755">
        <v>6.3857000000000002E-3</v>
      </c>
      <c r="D755">
        <v>5.6677999999999997E-3</v>
      </c>
      <c r="E755">
        <v>5.8789999999999997E-3</v>
      </c>
      <c r="F755">
        <v>35940219</v>
      </c>
      <c r="G755">
        <v>0</v>
      </c>
      <c r="L755" t="s">
        <v>7</v>
      </c>
      <c r="M755" t="s">
        <v>7</v>
      </c>
      <c r="N755" t="s">
        <v>7</v>
      </c>
      <c r="P755">
        <f t="shared" si="999"/>
        <v>-0.41161721688257474</v>
      </c>
      <c r="Q755">
        <f t="shared" si="1000"/>
        <v>-14793612.918930234</v>
      </c>
      <c r="R755">
        <f t="shared" si="1001"/>
        <v>-7777186134.9929237</v>
      </c>
      <c r="S755">
        <f t="shared" si="1002"/>
        <v>-77771.861349929241</v>
      </c>
      <c r="T755">
        <f t="shared" si="1003"/>
        <v>-77.771861349929239</v>
      </c>
    </row>
    <row r="756" spans="1:20" x14ac:dyDescent="0.25">
      <c r="A756" s="5">
        <v>43837</v>
      </c>
      <c r="B756">
        <v>6.4802999999999996E-3</v>
      </c>
      <c r="C756">
        <v>6.6270000000000001E-3</v>
      </c>
      <c r="D756">
        <v>6.1010999999999999E-3</v>
      </c>
      <c r="E756">
        <v>6.1624999999999996E-3</v>
      </c>
      <c r="F756">
        <v>52571012</v>
      </c>
      <c r="G756">
        <v>0</v>
      </c>
      <c r="L756" t="s">
        <v>7</v>
      </c>
      <c r="M756" t="s">
        <v>7</v>
      </c>
      <c r="N756" t="s">
        <v>7</v>
      </c>
      <c r="P756">
        <f t="shared" si="999"/>
        <v>-0.7664955314698626</v>
      </c>
      <c r="Q756">
        <f t="shared" si="1000"/>
        <v>-40295445.782848522</v>
      </c>
      <c r="R756">
        <f t="shared" si="1001"/>
        <v>-7762392522.0739937</v>
      </c>
      <c r="S756">
        <f t="shared" si="1002"/>
        <v>-77623.92522073994</v>
      </c>
      <c r="T756">
        <f t="shared" si="1003"/>
        <v>-77.623925220739935</v>
      </c>
    </row>
    <row r="757" spans="1:20" x14ac:dyDescent="0.25">
      <c r="A757" s="5">
        <v>43836</v>
      </c>
      <c r="B757">
        <v>6.5684000000000003E-3</v>
      </c>
      <c r="C757">
        <v>6.6039000000000002E-3</v>
      </c>
      <c r="D757">
        <v>6.3001999999999997E-3</v>
      </c>
      <c r="E757">
        <v>6.4441999999999998E-3</v>
      </c>
      <c r="F757">
        <v>32913870</v>
      </c>
      <c r="G757">
        <v>0</v>
      </c>
      <c r="L757" t="s">
        <v>8</v>
      </c>
      <c r="M757" t="s">
        <v>7</v>
      </c>
      <c r="N757" t="s">
        <v>7</v>
      </c>
      <c r="P757">
        <f t="shared" si="999"/>
        <v>-5.1695752387225583E-2</v>
      </c>
      <c r="Q757">
        <f t="shared" si="1000"/>
        <v>-1701507.2736253324</v>
      </c>
      <c r="R757">
        <f t="shared" si="1001"/>
        <v>-7722097076.2911453</v>
      </c>
      <c r="S757">
        <f t="shared" si="1002"/>
        <v>-77220.970762911456</v>
      </c>
      <c r="T757">
        <f t="shared" si="1003"/>
        <v>-77.220970762911463</v>
      </c>
    </row>
    <row r="758" spans="1:20" x14ac:dyDescent="0.25">
      <c r="A758" s="5">
        <v>43835</v>
      </c>
      <c r="B758">
        <v>6.4285000000000002E-3</v>
      </c>
      <c r="C758">
        <v>6.6112999999999996E-3</v>
      </c>
      <c r="D758">
        <v>6.3889999999999997E-3</v>
      </c>
      <c r="E758">
        <v>6.5684000000000003E-3</v>
      </c>
      <c r="F758">
        <v>31815968</v>
      </c>
      <c r="G758">
        <v>0</v>
      </c>
      <c r="L758" t="s">
        <v>8</v>
      </c>
      <c r="M758" t="s">
        <v>7</v>
      </c>
      <c r="N758" t="s">
        <v>7</v>
      </c>
      <c r="P758">
        <f t="shared" si="999"/>
        <v>0.61403508771930382</v>
      </c>
      <c r="Q758">
        <f t="shared" si="1000"/>
        <v>19536120.701754563</v>
      </c>
      <c r="R758">
        <f t="shared" si="1001"/>
        <v>-7720395569.01752</v>
      </c>
      <c r="S758">
        <f t="shared" si="1002"/>
        <v>-77203.955690175193</v>
      </c>
      <c r="T758">
        <f t="shared" si="1003"/>
        <v>-77.203955690175192</v>
      </c>
    </row>
    <row r="759" spans="1:20" x14ac:dyDescent="0.25">
      <c r="A759" s="5">
        <v>43834</v>
      </c>
      <c r="B759">
        <v>6.4320999999999996E-3</v>
      </c>
      <c r="C759">
        <v>6.5615999999999999E-3</v>
      </c>
      <c r="D759">
        <v>6.3876999999999996E-3</v>
      </c>
      <c r="E759">
        <v>6.4009999999999996E-3</v>
      </c>
      <c r="F759">
        <v>15531703</v>
      </c>
      <c r="G759">
        <v>0</v>
      </c>
      <c r="L759" t="s">
        <v>8</v>
      </c>
      <c r="M759" t="s">
        <v>7</v>
      </c>
      <c r="N759" t="s">
        <v>7</v>
      </c>
      <c r="P759">
        <f t="shared" si="999"/>
        <v>-0.84703852788959255</v>
      </c>
      <c r="Q759">
        <f t="shared" si="1000"/>
        <v>-13155950.844738368</v>
      </c>
      <c r="R759">
        <f t="shared" si="1001"/>
        <v>-7739931689.7192745</v>
      </c>
      <c r="S759">
        <f t="shared" si="1002"/>
        <v>-77399.316897192752</v>
      </c>
      <c r="T759">
        <f t="shared" si="1003"/>
        <v>-77.399316897192747</v>
      </c>
    </row>
    <row r="760" spans="1:20" x14ac:dyDescent="0.25">
      <c r="A760" s="5">
        <v>43833</v>
      </c>
      <c r="B760">
        <v>6.4800999999999999E-3</v>
      </c>
      <c r="C760">
        <v>6.7000000000000002E-3</v>
      </c>
      <c r="D760">
        <v>6.2754000000000004E-3</v>
      </c>
      <c r="E760">
        <v>6.4320999999999996E-3</v>
      </c>
      <c r="F760">
        <v>27757421</v>
      </c>
      <c r="G760">
        <v>0</v>
      </c>
      <c r="L760" t="s">
        <v>8</v>
      </c>
      <c r="M760" t="s">
        <v>7</v>
      </c>
      <c r="N760" t="s">
        <v>7</v>
      </c>
      <c r="P760">
        <f t="shared" si="999"/>
        <v>-0.26189354686764355</v>
      </c>
      <c r="Q760">
        <f t="shared" si="1000"/>
        <v>-7269489.4375884132</v>
      </c>
      <c r="R760">
        <f t="shared" si="1001"/>
        <v>-7726775738.8745365</v>
      </c>
      <c r="S760">
        <f t="shared" si="1002"/>
        <v>-77267.757388745362</v>
      </c>
      <c r="T760">
        <f t="shared" si="1003"/>
        <v>-77.267757388745366</v>
      </c>
    </row>
    <row r="761" spans="1:20" x14ac:dyDescent="0.25">
      <c r="A761" s="5">
        <v>43832</v>
      </c>
      <c r="B761">
        <v>6.7999999999999996E-3</v>
      </c>
      <c r="C761">
        <v>6.8009000000000003E-3</v>
      </c>
      <c r="D761">
        <v>6.28E-3</v>
      </c>
      <c r="E761">
        <v>6.4751000000000001E-3</v>
      </c>
      <c r="F761">
        <v>22419954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-0.25091188327894032</v>
      </c>
      <c r="Q761">
        <f t="shared" si="1000"/>
        <v>-5625432.8811672106</v>
      </c>
      <c r="R761">
        <f t="shared" si="1001"/>
        <v>-7719506249.4369478</v>
      </c>
      <c r="S761">
        <f t="shared" si="1002"/>
        <v>-77195.062494369471</v>
      </c>
      <c r="T761">
        <f t="shared" si="1003"/>
        <v>-77.195062494369466</v>
      </c>
    </row>
    <row r="762" spans="1:20" x14ac:dyDescent="0.25">
      <c r="A762" s="5">
        <v>43831</v>
      </c>
      <c r="B762">
        <v>6.6765000000000001E-3</v>
      </c>
      <c r="C762">
        <v>6.8643000000000003E-3</v>
      </c>
      <c r="D762">
        <v>6.5599999999999999E-3</v>
      </c>
      <c r="E762">
        <v>6.7787000000000004E-3</v>
      </c>
      <c r="F762">
        <v>23500710</v>
      </c>
      <c r="G762">
        <v>0</v>
      </c>
      <c r="L762" t="s">
        <v>7</v>
      </c>
      <c r="M762" t="s">
        <v>7</v>
      </c>
      <c r="N762" t="s">
        <v>7</v>
      </c>
      <c r="P762">
        <f t="shared" si="999"/>
        <v>0.43739730529083276</v>
      </c>
      <c r="Q762">
        <f t="shared" si="1000"/>
        <v>10279147.226421326</v>
      </c>
      <c r="R762">
        <f t="shared" si="1001"/>
        <v>-7713880816.5557804</v>
      </c>
      <c r="S762">
        <f t="shared" si="1002"/>
        <v>-77138.808165557799</v>
      </c>
      <c r="T762">
        <f t="shared" si="1003"/>
        <v>-77.138808165557805</v>
      </c>
    </row>
    <row r="763" spans="1:20" x14ac:dyDescent="0.25">
      <c r="A763" s="5">
        <v>43830</v>
      </c>
      <c r="B763">
        <v>6.803E-3</v>
      </c>
      <c r="C763">
        <v>7.0472E-3</v>
      </c>
      <c r="D763">
        <v>6.5799999999999999E-3</v>
      </c>
      <c r="E763">
        <v>6.6937999999999998E-3</v>
      </c>
      <c r="F763">
        <v>34254735</v>
      </c>
      <c r="G763">
        <v>0</v>
      </c>
      <c r="L763" t="s">
        <v>7</v>
      </c>
      <c r="M763" t="s">
        <v>7</v>
      </c>
      <c r="N763" t="s">
        <v>7</v>
      </c>
      <c r="P763">
        <f t="shared" si="999"/>
        <v>-0.5128424657534254</v>
      </c>
      <c r="Q763">
        <f t="shared" si="1000"/>
        <v>-17567282.761130162</v>
      </c>
      <c r="R763">
        <f t="shared" si="1001"/>
        <v>-7724159963.7822018</v>
      </c>
      <c r="S763">
        <f t="shared" si="1002"/>
        <v>-77241.599637822015</v>
      </c>
      <c r="T763">
        <f t="shared" si="1003"/>
        <v>-77.24159963782202</v>
      </c>
    </row>
    <row r="764" spans="1:20" x14ac:dyDescent="0.25">
      <c r="A764" s="5">
        <v>43829</v>
      </c>
      <c r="B764">
        <v>6.8934E-3</v>
      </c>
      <c r="C764">
        <v>7.2103000000000002E-3</v>
      </c>
      <c r="D764">
        <v>6.7299999999999999E-3</v>
      </c>
      <c r="E764">
        <v>6.803E-3</v>
      </c>
      <c r="F764">
        <v>58545232</v>
      </c>
      <c r="G764">
        <v>0</v>
      </c>
      <c r="L764" t="s">
        <v>7</v>
      </c>
      <c r="M764" t="s">
        <v>7</v>
      </c>
      <c r="N764" t="s">
        <v>7</v>
      </c>
      <c r="P764">
        <f t="shared" si="999"/>
        <v>-0.6960233187591085</v>
      </c>
      <c r="Q764">
        <f t="shared" si="1000"/>
        <v>-40748846.674161956</v>
      </c>
      <c r="R764">
        <f t="shared" si="1001"/>
        <v>-7706592681.0210714</v>
      </c>
      <c r="S764">
        <f t="shared" si="1002"/>
        <v>-77065.926810210716</v>
      </c>
      <c r="T764">
        <f t="shared" si="1003"/>
        <v>-77.065926810210712</v>
      </c>
    </row>
    <row r="765" spans="1:20" x14ac:dyDescent="0.25">
      <c r="A765" s="5">
        <v>43828</v>
      </c>
      <c r="B765">
        <v>7.1855E-3</v>
      </c>
      <c r="C765">
        <v>7.2576999999999997E-3</v>
      </c>
      <c r="D765">
        <v>6.8237000000000003E-3</v>
      </c>
      <c r="E765">
        <v>6.8769E-3</v>
      </c>
      <c r="F765">
        <v>4067250171</v>
      </c>
      <c r="G765">
        <v>0</v>
      </c>
      <c r="L765" t="s">
        <v>7</v>
      </c>
      <c r="M765" t="s">
        <v>7</v>
      </c>
      <c r="N765" t="s">
        <v>7</v>
      </c>
      <c r="P765">
        <f t="shared" si="999"/>
        <v>-0.75483870967742006</v>
      </c>
      <c r="Q765">
        <f t="shared" si="1000"/>
        <v>-3070117871.0129061</v>
      </c>
      <c r="R765">
        <f t="shared" si="1001"/>
        <v>-7665843834.3469095</v>
      </c>
      <c r="S765">
        <f t="shared" si="1002"/>
        <v>-76658.438343469097</v>
      </c>
      <c r="T765">
        <f t="shared" si="1003"/>
        <v>-76.658438343469101</v>
      </c>
    </row>
    <row r="766" spans="1:20" x14ac:dyDescent="0.25">
      <c r="A766" s="5">
        <v>43827</v>
      </c>
      <c r="B766">
        <v>7.2300000000000003E-3</v>
      </c>
      <c r="C766">
        <v>7.2927000000000001E-3</v>
      </c>
      <c r="D766">
        <v>7.1799999999999998E-3</v>
      </c>
      <c r="E766">
        <v>7.1799999999999998E-3</v>
      </c>
      <c r="F766">
        <v>103883067</v>
      </c>
      <c r="G766">
        <v>0</v>
      </c>
      <c r="L766" t="s">
        <v>7</v>
      </c>
      <c r="M766" t="s">
        <v>8</v>
      </c>
      <c r="N766" t="s">
        <v>7</v>
      </c>
      <c r="P766">
        <f t="shared" si="999"/>
        <v>-1</v>
      </c>
      <c r="Q766">
        <f t="shared" si="1000"/>
        <v>-103883067</v>
      </c>
      <c r="R766">
        <f t="shared" si="1001"/>
        <v>-4595725963.3340034</v>
      </c>
      <c r="S766">
        <f t="shared" si="1002"/>
        <v>-45957.259633340036</v>
      </c>
      <c r="T766">
        <f t="shared" si="1003"/>
        <v>-45.957259633340037</v>
      </c>
    </row>
    <row r="767" spans="1:20" x14ac:dyDescent="0.25">
      <c r="A767" s="5">
        <v>43826</v>
      </c>
      <c r="B767">
        <v>7.1710999999999997E-3</v>
      </c>
      <c r="C767">
        <v>7.3969999999999999E-3</v>
      </c>
      <c r="D767">
        <v>7.0569999999999999E-3</v>
      </c>
      <c r="E767">
        <v>7.2300000000000003E-3</v>
      </c>
      <c r="F767">
        <v>1026550747</v>
      </c>
      <c r="G767">
        <v>0</v>
      </c>
      <c r="L767" t="s">
        <v>7</v>
      </c>
      <c r="M767" t="s">
        <v>8</v>
      </c>
      <c r="N767" t="s">
        <v>7</v>
      </c>
      <c r="P767">
        <f t="shared" ref="P767:P789" si="1004">IF(C767=D767,0,((E767-D767)-(C767-E767))/(C767-D767))</f>
        <v>1.7647058823531753E-2</v>
      </c>
      <c r="Q767">
        <f t="shared" ref="Q767:Q789" si="1005">F767*P767</f>
        <v>18115601.417649463</v>
      </c>
      <c r="R767">
        <f t="shared" ref="R767:R789" si="1006">R768+Q767</f>
        <v>-4491842896.3340034</v>
      </c>
      <c r="S767">
        <f t="shared" ref="S767:S789" si="1007">R767/100000</f>
        <v>-44918.428963340033</v>
      </c>
      <c r="T767">
        <f t="shared" ref="T767:T789" si="1008">S767/1000</f>
        <v>-44.918428963340034</v>
      </c>
    </row>
    <row r="768" spans="1:20" x14ac:dyDescent="0.25">
      <c r="A768" s="5">
        <v>43825</v>
      </c>
      <c r="B768">
        <v>7.3632000000000003E-3</v>
      </c>
      <c r="C768">
        <v>7.5500000000000003E-3</v>
      </c>
      <c r="D768">
        <v>7.1199999999999996E-3</v>
      </c>
      <c r="E768">
        <v>7.162E-3</v>
      </c>
      <c r="F768">
        <v>2495603544</v>
      </c>
      <c r="G768">
        <v>0</v>
      </c>
      <c r="L768" t="s">
        <v>7</v>
      </c>
      <c r="M768" t="s">
        <v>8</v>
      </c>
      <c r="N768" t="s">
        <v>7</v>
      </c>
      <c r="P768">
        <f t="shared" si="1004"/>
        <v>-0.80465116279069626</v>
      </c>
      <c r="Q768">
        <f t="shared" si="1005"/>
        <v>-2008090293.5441825</v>
      </c>
      <c r="R768">
        <f t="shared" si="1006"/>
        <v>-4509958497.7516527</v>
      </c>
      <c r="S768">
        <f t="shared" si="1007"/>
        <v>-45099.584977516526</v>
      </c>
      <c r="T768">
        <f t="shared" si="1008"/>
        <v>-45.099584977516528</v>
      </c>
    </row>
    <row r="769" spans="1:20" x14ac:dyDescent="0.25">
      <c r="A769" s="5">
        <v>43824</v>
      </c>
      <c r="B769">
        <v>7.7368999999999997E-3</v>
      </c>
      <c r="C769">
        <v>7.7999999999999996E-3</v>
      </c>
      <c r="D769">
        <v>7.2156E-3</v>
      </c>
      <c r="E769">
        <v>7.3616000000000003E-3</v>
      </c>
      <c r="F769">
        <v>2241232781</v>
      </c>
      <c r="G769">
        <v>0</v>
      </c>
      <c r="L769" t="s">
        <v>7</v>
      </c>
      <c r="M769" t="s">
        <v>8</v>
      </c>
      <c r="N769" t="s">
        <v>7</v>
      </c>
      <c r="P769">
        <f t="shared" si="1004"/>
        <v>-0.50034223134839018</v>
      </c>
      <c r="Q769">
        <f t="shared" si="1005"/>
        <v>-1121383410.6166978</v>
      </c>
      <c r="R769">
        <f t="shared" si="1006"/>
        <v>-2501868204.2074699</v>
      </c>
      <c r="S769">
        <f t="shared" si="1007"/>
        <v>-25018.682042074699</v>
      </c>
      <c r="T769">
        <f t="shared" si="1008"/>
        <v>-25.018682042074698</v>
      </c>
    </row>
    <row r="770" spans="1:20" x14ac:dyDescent="0.25">
      <c r="A770" s="5">
        <v>43823</v>
      </c>
      <c r="B770">
        <v>7.5931000000000002E-3</v>
      </c>
      <c r="C770">
        <v>8.0637E-3</v>
      </c>
      <c r="D770">
        <v>7.378E-3</v>
      </c>
      <c r="E770">
        <v>7.7356999999999999E-3</v>
      </c>
      <c r="F770">
        <v>3000815652</v>
      </c>
      <c r="G770">
        <v>0</v>
      </c>
      <c r="L770" t="s">
        <v>7</v>
      </c>
      <c r="M770" t="s">
        <v>8</v>
      </c>
      <c r="N770" t="s">
        <v>7</v>
      </c>
      <c r="P770">
        <f t="shared" si="1004"/>
        <v>4.331340236254877E-2</v>
      </c>
      <c r="Q770">
        <f t="shared" si="1005"/>
        <v>129975535.75091013</v>
      </c>
      <c r="R770">
        <f t="shared" si="1006"/>
        <v>-1380484793.5907724</v>
      </c>
      <c r="S770">
        <f t="shared" si="1007"/>
        <v>-13804.847935907725</v>
      </c>
      <c r="T770">
        <f t="shared" si="1008"/>
        <v>-13.804847935907725</v>
      </c>
    </row>
    <row r="771" spans="1:20" x14ac:dyDescent="0.25">
      <c r="A771" s="5">
        <v>43822</v>
      </c>
      <c r="B771">
        <v>7.8227000000000001E-3</v>
      </c>
      <c r="C771">
        <v>8.1212000000000003E-3</v>
      </c>
      <c r="D771">
        <v>7.4526000000000002E-3</v>
      </c>
      <c r="E771">
        <v>7.5902000000000001E-3</v>
      </c>
      <c r="F771">
        <v>1960317994</v>
      </c>
      <c r="G771">
        <v>0</v>
      </c>
      <c r="L771" t="s">
        <v>8</v>
      </c>
      <c r="M771" t="s">
        <v>8</v>
      </c>
      <c r="N771" t="s">
        <v>7</v>
      </c>
      <c r="P771">
        <f t="shared" si="1004"/>
        <v>-0.58839365839066748</v>
      </c>
      <c r="Q771">
        <f t="shared" si="1005"/>
        <v>-1153438676.0987146</v>
      </c>
      <c r="R771">
        <f t="shared" si="1006"/>
        <v>-1510460329.3416824</v>
      </c>
      <c r="S771">
        <f t="shared" si="1007"/>
        <v>-15104.603293416825</v>
      </c>
      <c r="T771">
        <f t="shared" si="1008"/>
        <v>-15.104603293416826</v>
      </c>
    </row>
    <row r="772" spans="1:20" x14ac:dyDescent="0.25">
      <c r="A772" s="5">
        <v>43821</v>
      </c>
      <c r="B772">
        <v>7.8343000000000006E-3</v>
      </c>
      <c r="C772">
        <v>7.9492999999999994E-3</v>
      </c>
      <c r="D772">
        <v>7.4999999999999997E-3</v>
      </c>
      <c r="E772">
        <v>7.8261000000000008E-3</v>
      </c>
      <c r="F772">
        <v>81210274</v>
      </c>
      <c r="G772">
        <v>0</v>
      </c>
      <c r="L772" t="s">
        <v>7</v>
      </c>
      <c r="M772" t="s">
        <v>8</v>
      </c>
      <c r="N772" t="s">
        <v>7</v>
      </c>
      <c r="P772">
        <f t="shared" si="1004"/>
        <v>0.45159136434454156</v>
      </c>
      <c r="Q772">
        <f t="shared" si="1005"/>
        <v>36673858.434454054</v>
      </c>
      <c r="R772">
        <f t="shared" si="1006"/>
        <v>-357021653.24296772</v>
      </c>
      <c r="S772">
        <f t="shared" si="1007"/>
        <v>-3570.216532429677</v>
      </c>
      <c r="T772">
        <f t="shared" si="1008"/>
        <v>-3.5702165324296771</v>
      </c>
    </row>
    <row r="773" spans="1:20" x14ac:dyDescent="0.25">
      <c r="A773" s="5">
        <v>43820</v>
      </c>
      <c r="B773">
        <v>7.5182000000000001E-3</v>
      </c>
      <c r="C773">
        <v>7.9900000000000006E-3</v>
      </c>
      <c r="D773">
        <v>7.4212000000000002E-3</v>
      </c>
      <c r="E773">
        <v>7.8659999999999997E-3</v>
      </c>
      <c r="F773">
        <v>113252861</v>
      </c>
      <c r="G773">
        <v>0</v>
      </c>
      <c r="L773" t="s">
        <v>8</v>
      </c>
      <c r="M773" t="s">
        <v>8</v>
      </c>
      <c r="N773" t="s">
        <v>7</v>
      </c>
      <c r="P773">
        <f t="shared" si="1004"/>
        <v>0.56399437412095377</v>
      </c>
      <c r="Q773">
        <f t="shared" si="1005"/>
        <v>63873976.457102373</v>
      </c>
      <c r="R773">
        <f t="shared" si="1006"/>
        <v>-393695511.67742175</v>
      </c>
      <c r="S773">
        <f t="shared" si="1007"/>
        <v>-3936.9551167742175</v>
      </c>
      <c r="T773">
        <f t="shared" si="1008"/>
        <v>-3.9369551167742176</v>
      </c>
    </row>
    <row r="774" spans="1:20" x14ac:dyDescent="0.25">
      <c r="A774" s="5">
        <v>43819</v>
      </c>
      <c r="B774">
        <v>6.7580000000000001E-3</v>
      </c>
      <c r="C774">
        <v>7.5982000000000003E-3</v>
      </c>
      <c r="D774">
        <v>6.6782999999999999E-3</v>
      </c>
      <c r="E774">
        <v>7.5189000000000002E-3</v>
      </c>
      <c r="F774">
        <v>107982838</v>
      </c>
      <c r="G774">
        <v>0</v>
      </c>
      <c r="L774" t="s">
        <v>8</v>
      </c>
      <c r="M774" t="s">
        <v>8</v>
      </c>
      <c r="N774" t="s">
        <v>7</v>
      </c>
      <c r="P774">
        <f t="shared" si="1004"/>
        <v>0.82758995542993807</v>
      </c>
      <c r="Q774">
        <f t="shared" si="1005"/>
        <v>89365512.087618217</v>
      </c>
      <c r="R774">
        <f t="shared" si="1006"/>
        <v>-457569488.13452411</v>
      </c>
      <c r="S774">
        <f t="shared" si="1007"/>
        <v>-4575.6948813452409</v>
      </c>
      <c r="T774">
        <f t="shared" si="1008"/>
        <v>-4.5756948813452407</v>
      </c>
    </row>
    <row r="775" spans="1:20" x14ac:dyDescent="0.25">
      <c r="A775" s="5">
        <v>43818</v>
      </c>
      <c r="B775">
        <v>7.0780000000000001E-3</v>
      </c>
      <c r="C775">
        <v>7.1843000000000002E-3</v>
      </c>
      <c r="D775">
        <v>6.5233000000000001E-3</v>
      </c>
      <c r="E775">
        <v>6.7793999999999997E-3</v>
      </c>
      <c r="F775">
        <v>60495208</v>
      </c>
      <c r="G775">
        <v>0</v>
      </c>
      <c r="L775" t="s">
        <v>8</v>
      </c>
      <c r="M775" t="s">
        <v>7</v>
      </c>
      <c r="N775" t="s">
        <v>7</v>
      </c>
      <c r="P775">
        <f t="shared" si="1004"/>
        <v>-0.22511346444780783</v>
      </c>
      <c r="Q775">
        <f t="shared" si="1005"/>
        <v>-13618285.855370739</v>
      </c>
      <c r="R775">
        <f t="shared" si="1006"/>
        <v>-546935000.22214234</v>
      </c>
      <c r="S775">
        <f t="shared" si="1007"/>
        <v>-5469.350002221423</v>
      </c>
      <c r="T775">
        <f t="shared" si="1008"/>
        <v>-5.4693500022214234</v>
      </c>
    </row>
    <row r="776" spans="1:20" x14ac:dyDescent="0.25">
      <c r="A776" s="5">
        <v>43817</v>
      </c>
      <c r="B776">
        <v>6.6373999999999999E-3</v>
      </c>
      <c r="C776">
        <v>7.1999999999999998E-3</v>
      </c>
      <c r="D776">
        <v>6.2502E-3</v>
      </c>
      <c r="E776">
        <v>7.0006000000000001E-3</v>
      </c>
      <c r="F776">
        <v>53605278</v>
      </c>
      <c r="G776">
        <v>0</v>
      </c>
      <c r="L776" t="s">
        <v>7</v>
      </c>
      <c r="M776" t="s">
        <v>7</v>
      </c>
      <c r="N776" t="s">
        <v>7</v>
      </c>
      <c r="P776">
        <f t="shared" si="1004"/>
        <v>0.58012213097494247</v>
      </c>
      <c r="Q776">
        <f t="shared" si="1005"/>
        <v>31097608.104864202</v>
      </c>
      <c r="R776">
        <f t="shared" si="1006"/>
        <v>-533316714.36677164</v>
      </c>
      <c r="S776">
        <f t="shared" si="1007"/>
        <v>-5333.1671436677161</v>
      </c>
      <c r="T776">
        <f t="shared" si="1008"/>
        <v>-5.3331671436677164</v>
      </c>
    </row>
    <row r="777" spans="1:20" x14ac:dyDescent="0.25">
      <c r="A777" s="5">
        <v>43816</v>
      </c>
      <c r="B777">
        <v>7.0806999999999997E-3</v>
      </c>
      <c r="C777">
        <v>7.1878999999999997E-3</v>
      </c>
      <c r="D777">
        <v>6.5005000000000002E-3</v>
      </c>
      <c r="E777">
        <v>6.6373999999999999E-3</v>
      </c>
      <c r="F777">
        <v>52985874</v>
      </c>
      <c r="G777">
        <v>0</v>
      </c>
      <c r="L777" t="s">
        <v>7</v>
      </c>
      <c r="M777" t="s">
        <v>7</v>
      </c>
      <c r="N777" t="s">
        <v>7</v>
      </c>
      <c r="P777">
        <f t="shared" si="1004"/>
        <v>-0.60168751818446375</v>
      </c>
      <c r="Q777">
        <f t="shared" si="1005"/>
        <v>-31880939.025894705</v>
      </c>
      <c r="R777">
        <f t="shared" si="1006"/>
        <v>-564414322.47163582</v>
      </c>
      <c r="S777">
        <f t="shared" si="1007"/>
        <v>-5644.1432247163584</v>
      </c>
      <c r="T777">
        <f t="shared" si="1008"/>
        <v>-5.6441432247163581</v>
      </c>
    </row>
    <row r="778" spans="1:20" x14ac:dyDescent="0.25">
      <c r="A778" s="5">
        <v>43815</v>
      </c>
      <c r="B778">
        <v>7.4409999999999997E-3</v>
      </c>
      <c r="C778">
        <v>7.9769999999999997E-3</v>
      </c>
      <c r="D778">
        <v>6.9700999999999999E-3</v>
      </c>
      <c r="E778">
        <v>7.1027E-3</v>
      </c>
      <c r="F778">
        <v>104235205</v>
      </c>
      <c r="G778">
        <v>0</v>
      </c>
      <c r="L778" t="s">
        <v>8</v>
      </c>
      <c r="M778" t="s">
        <v>7</v>
      </c>
      <c r="N778" t="s">
        <v>7</v>
      </c>
      <c r="P778">
        <f t="shared" si="1004"/>
        <v>-0.73661734035157389</v>
      </c>
      <c r="Q778">
        <f t="shared" si="1005"/>
        <v>-76781459.478101075</v>
      </c>
      <c r="R778">
        <f t="shared" si="1006"/>
        <v>-532533383.44574106</v>
      </c>
      <c r="S778">
        <f t="shared" si="1007"/>
        <v>-5325.3338344574104</v>
      </c>
      <c r="T778">
        <f t="shared" si="1008"/>
        <v>-5.3253338344574104</v>
      </c>
    </row>
    <row r="779" spans="1:20" x14ac:dyDescent="0.25">
      <c r="A779" s="5">
        <v>43814</v>
      </c>
      <c r="B779">
        <v>6.9325999999999997E-3</v>
      </c>
      <c r="C779">
        <v>7.7628999999999997E-3</v>
      </c>
      <c r="D779">
        <v>6.8106E-3</v>
      </c>
      <c r="E779">
        <v>7.4793999999999998E-3</v>
      </c>
      <c r="F779">
        <v>79497827</v>
      </c>
      <c r="G779">
        <v>0</v>
      </c>
      <c r="L779" t="s">
        <v>8</v>
      </c>
      <c r="M779" t="s">
        <v>7</v>
      </c>
      <c r="N779" t="s">
        <v>7</v>
      </c>
      <c r="P779">
        <f t="shared" si="1004"/>
        <v>0.40459939094823061</v>
      </c>
      <c r="Q779">
        <f t="shared" si="1005"/>
        <v>32164772.385907803</v>
      </c>
      <c r="R779">
        <f t="shared" si="1006"/>
        <v>-455751923.96763998</v>
      </c>
      <c r="S779">
        <f t="shared" si="1007"/>
        <v>-4557.5192396763996</v>
      </c>
      <c r="T779">
        <f t="shared" si="1008"/>
        <v>-4.5575192396763997</v>
      </c>
    </row>
    <row r="780" spans="1:20" x14ac:dyDescent="0.25">
      <c r="A780" s="5">
        <v>43813</v>
      </c>
      <c r="B780">
        <v>7.2608000000000004E-3</v>
      </c>
      <c r="C780">
        <v>7.4777000000000003E-3</v>
      </c>
      <c r="D780">
        <v>6.8100000000000001E-3</v>
      </c>
      <c r="E780">
        <v>6.9376999999999998E-3</v>
      </c>
      <c r="F780">
        <v>51259489</v>
      </c>
      <c r="G780">
        <v>0</v>
      </c>
      <c r="L780" t="s">
        <v>7</v>
      </c>
      <c r="M780" t="s">
        <v>7</v>
      </c>
      <c r="N780" t="s">
        <v>7</v>
      </c>
      <c r="P780">
        <f t="shared" si="1004"/>
        <v>-0.61749288602665975</v>
      </c>
      <c r="Q780">
        <f t="shared" si="1005"/>
        <v>-31652369.79886182</v>
      </c>
      <c r="R780">
        <f t="shared" si="1006"/>
        <v>-487916696.35354781</v>
      </c>
      <c r="S780">
        <f t="shared" si="1007"/>
        <v>-4879.1669635354783</v>
      </c>
      <c r="T780">
        <f t="shared" si="1008"/>
        <v>-4.8791669635354786</v>
      </c>
    </row>
    <row r="781" spans="1:20" x14ac:dyDescent="0.25">
      <c r="A781" s="5">
        <v>43812</v>
      </c>
      <c r="B781">
        <v>7.2318E-3</v>
      </c>
      <c r="C781">
        <v>7.4346999999999998E-3</v>
      </c>
      <c r="D781">
        <v>7.1000000000000004E-3</v>
      </c>
      <c r="E781">
        <v>7.2889000000000001E-3</v>
      </c>
      <c r="F781">
        <v>37737070</v>
      </c>
      <c r="G781">
        <v>0</v>
      </c>
      <c r="L781" t="s">
        <v>7</v>
      </c>
      <c r="M781" t="s">
        <v>7</v>
      </c>
      <c r="N781" t="s">
        <v>7</v>
      </c>
      <c r="P781">
        <f t="shared" si="1004"/>
        <v>0.12877203465790255</v>
      </c>
      <c r="Q781">
        <f t="shared" si="1005"/>
        <v>4859479.2859276943</v>
      </c>
      <c r="R781">
        <f t="shared" si="1006"/>
        <v>-456264326.55468601</v>
      </c>
      <c r="S781">
        <f t="shared" si="1007"/>
        <v>-4562.6432655468598</v>
      </c>
      <c r="T781">
        <f t="shared" si="1008"/>
        <v>-4.5626432655468596</v>
      </c>
    </row>
    <row r="782" spans="1:20" x14ac:dyDescent="0.25">
      <c r="A782" s="5">
        <v>43811</v>
      </c>
      <c r="B782">
        <v>8.0724000000000004E-3</v>
      </c>
      <c r="C782">
        <v>8.1303999999999994E-3</v>
      </c>
      <c r="D782">
        <v>7.1701999999999998E-3</v>
      </c>
      <c r="E782">
        <v>7.2028999999999999E-3</v>
      </c>
      <c r="F782">
        <v>78803444</v>
      </c>
      <c r="G782">
        <v>0</v>
      </c>
      <c r="L782" t="s">
        <v>7</v>
      </c>
      <c r="M782" t="s">
        <v>7</v>
      </c>
      <c r="N782" t="s">
        <v>7</v>
      </c>
      <c r="P782">
        <f t="shared" si="1004"/>
        <v>-0.93188918975213475</v>
      </c>
      <c r="Q782">
        <f t="shared" si="1005"/>
        <v>-73436077.578837723</v>
      </c>
      <c r="R782">
        <f t="shared" si="1006"/>
        <v>-461123805.84061372</v>
      </c>
      <c r="S782">
        <f t="shared" si="1007"/>
        <v>-4611.2380584061375</v>
      </c>
      <c r="T782">
        <f t="shared" si="1008"/>
        <v>-4.6112380584061379</v>
      </c>
    </row>
    <row r="783" spans="1:20" x14ac:dyDescent="0.25">
      <c r="A783" s="5">
        <v>43810</v>
      </c>
      <c r="B783">
        <v>7.1450999999999997E-3</v>
      </c>
      <c r="C783">
        <v>8.2752999999999993E-3</v>
      </c>
      <c r="D783">
        <v>7.1449E-3</v>
      </c>
      <c r="E783">
        <v>8.0800000000000004E-3</v>
      </c>
      <c r="F783">
        <v>124184867</v>
      </c>
      <c r="G783">
        <v>0</v>
      </c>
      <c r="L783" t="s">
        <v>8</v>
      </c>
      <c r="M783" t="s">
        <v>7</v>
      </c>
      <c r="N783" t="s">
        <v>7</v>
      </c>
      <c r="P783">
        <f t="shared" si="1004"/>
        <v>0.65445859872611634</v>
      </c>
      <c r="Q783">
        <f t="shared" si="1005"/>
        <v>81273854.039809123</v>
      </c>
      <c r="R783">
        <f t="shared" si="1006"/>
        <v>-387687728.26177603</v>
      </c>
      <c r="S783">
        <f t="shared" si="1007"/>
        <v>-3876.8772826177601</v>
      </c>
      <c r="T783">
        <f t="shared" si="1008"/>
        <v>-3.8768772826177602</v>
      </c>
    </row>
    <row r="784" spans="1:20" x14ac:dyDescent="0.25">
      <c r="A784" s="5">
        <v>43809</v>
      </c>
      <c r="B784">
        <v>7.8601999999999995E-3</v>
      </c>
      <c r="C784">
        <v>7.9143000000000008E-3</v>
      </c>
      <c r="D784">
        <v>7.0000000000000001E-3</v>
      </c>
      <c r="E784">
        <v>7.2064E-3</v>
      </c>
      <c r="F784">
        <v>154962587</v>
      </c>
      <c r="G784">
        <v>0</v>
      </c>
      <c r="L784" t="s">
        <v>7</v>
      </c>
      <c r="M784" t="s">
        <v>7</v>
      </c>
      <c r="N784" t="s">
        <v>7</v>
      </c>
      <c r="P784">
        <f t="shared" si="1004"/>
        <v>-0.548507054577273</v>
      </c>
      <c r="Q784">
        <f t="shared" si="1005"/>
        <v>-84998072.165044412</v>
      </c>
      <c r="R784">
        <f t="shared" si="1006"/>
        <v>-468961582.30158514</v>
      </c>
      <c r="S784">
        <f t="shared" si="1007"/>
        <v>-4689.6158230158517</v>
      </c>
      <c r="T784">
        <f t="shared" si="1008"/>
        <v>-4.6896158230158518</v>
      </c>
    </row>
    <row r="785" spans="1:20" x14ac:dyDescent="0.25">
      <c r="A785" s="5">
        <v>43808</v>
      </c>
      <c r="B785">
        <v>8.3385000000000004E-3</v>
      </c>
      <c r="C785">
        <v>8.8900000000000003E-3</v>
      </c>
      <c r="D785">
        <v>7.8025000000000004E-3</v>
      </c>
      <c r="E785">
        <v>7.9430999999999998E-3</v>
      </c>
      <c r="F785">
        <v>119212833</v>
      </c>
      <c r="G785">
        <v>0</v>
      </c>
      <c r="L785" t="s">
        <v>8</v>
      </c>
      <c r="M785" t="s">
        <v>7</v>
      </c>
      <c r="N785" t="s">
        <v>7</v>
      </c>
      <c r="P785">
        <f t="shared" si="1004"/>
        <v>-0.74142528735632296</v>
      </c>
      <c r="Q785">
        <f t="shared" si="1005"/>
        <v>-88387408.963586345</v>
      </c>
      <c r="R785">
        <f t="shared" si="1006"/>
        <v>-383963510.13654071</v>
      </c>
      <c r="S785">
        <f t="shared" si="1007"/>
        <v>-3839.6351013654071</v>
      </c>
      <c r="T785">
        <f t="shared" si="1008"/>
        <v>-3.8396351013654071</v>
      </c>
    </row>
    <row r="786" spans="1:20" x14ac:dyDescent="0.25">
      <c r="A786" s="5">
        <v>43807</v>
      </c>
      <c r="B786">
        <v>8.1481000000000001E-3</v>
      </c>
      <c r="C786">
        <v>9.2919999999999999E-3</v>
      </c>
      <c r="D786">
        <v>7.6099999999999996E-3</v>
      </c>
      <c r="E786">
        <v>8.3496999999999998E-3</v>
      </c>
      <c r="F786">
        <v>338736904</v>
      </c>
      <c r="G786">
        <v>0</v>
      </c>
      <c r="L786" t="s">
        <v>7</v>
      </c>
      <c r="M786" t="s">
        <v>7</v>
      </c>
      <c r="N786" t="s">
        <v>7</v>
      </c>
      <c r="P786">
        <f t="shared" si="1004"/>
        <v>-0.12045184304399512</v>
      </c>
      <c r="Q786">
        <f t="shared" si="1005"/>
        <v>-40801484.393816844</v>
      </c>
      <c r="R786">
        <f t="shared" si="1006"/>
        <v>-295576101.17295438</v>
      </c>
      <c r="S786">
        <f t="shared" si="1007"/>
        <v>-2955.761011729544</v>
      </c>
      <c r="T786">
        <f t="shared" si="1008"/>
        <v>-2.9557610117295439</v>
      </c>
    </row>
    <row r="787" spans="1:20" x14ac:dyDescent="0.25">
      <c r="A787" s="5">
        <v>43806</v>
      </c>
      <c r="B787">
        <v>9.1988999999999994E-3</v>
      </c>
      <c r="C787">
        <v>9.4870000000000006E-3</v>
      </c>
      <c r="D787">
        <v>8.0231999999999994E-3</v>
      </c>
      <c r="E787">
        <v>8.1480000000000007E-3</v>
      </c>
      <c r="F787">
        <v>213799288</v>
      </c>
      <c r="G787">
        <v>0</v>
      </c>
      <c r="L787" t="s">
        <v>7</v>
      </c>
      <c r="M787" t="s">
        <v>7</v>
      </c>
      <c r="N787" t="s">
        <v>7</v>
      </c>
      <c r="P787">
        <f t="shared" si="1004"/>
        <v>-0.82948490230905703</v>
      </c>
      <c r="Q787">
        <f t="shared" si="1005"/>
        <v>-177343281.52042595</v>
      </c>
      <c r="R787">
        <f t="shared" si="1006"/>
        <v>-254774616.77913752</v>
      </c>
      <c r="S787">
        <f t="shared" si="1007"/>
        <v>-2547.7461677913752</v>
      </c>
      <c r="T787">
        <f t="shared" si="1008"/>
        <v>-2.5477461677913751</v>
      </c>
    </row>
    <row r="788" spans="1:20" x14ac:dyDescent="0.25">
      <c r="A788" s="5">
        <v>43805</v>
      </c>
      <c r="B788">
        <v>9.5648E-3</v>
      </c>
      <c r="C788">
        <v>1.077E-2</v>
      </c>
      <c r="D788">
        <v>9.0229999999999998E-3</v>
      </c>
      <c r="E788">
        <v>9.1990000000000006E-3</v>
      </c>
      <c r="F788">
        <v>465809207</v>
      </c>
      <c r="G788">
        <v>0</v>
      </c>
      <c r="L788" t="s">
        <v>7</v>
      </c>
      <c r="M788" t="s">
        <v>7</v>
      </c>
      <c r="N788" t="s">
        <v>7</v>
      </c>
      <c r="P788">
        <f t="shared" si="1004"/>
        <v>-0.79851173440183076</v>
      </c>
      <c r="Q788">
        <f t="shared" si="1005"/>
        <v>-371954117.78191143</v>
      </c>
      <c r="R788">
        <f t="shared" si="1006"/>
        <v>-77431335.258711576</v>
      </c>
      <c r="S788">
        <f t="shared" si="1007"/>
        <v>-774.31335258711579</v>
      </c>
      <c r="T788">
        <f t="shared" si="1008"/>
        <v>-0.77431335258711576</v>
      </c>
    </row>
    <row r="789" spans="1:20" x14ac:dyDescent="0.25">
      <c r="A789" s="5">
        <v>43804</v>
      </c>
      <c r="B789">
        <v>5.0000000000000001E-3</v>
      </c>
      <c r="C789">
        <v>1.2500000000000001E-2</v>
      </c>
      <c r="D789">
        <v>5.0000000000000001E-3</v>
      </c>
      <c r="E789">
        <v>9.5648E-3</v>
      </c>
      <c r="F789">
        <v>1355498815</v>
      </c>
      <c r="G789">
        <v>0</v>
      </c>
      <c r="P789">
        <f t="shared" si="1004"/>
        <v>0.21727999999999989</v>
      </c>
      <c r="Q789">
        <f t="shared" si="1005"/>
        <v>294522782.52319986</v>
      </c>
      <c r="R789">
        <f t="shared" si="1006"/>
        <v>294522782.52319986</v>
      </c>
      <c r="S789">
        <f t="shared" si="1007"/>
        <v>2945.2278252319984</v>
      </c>
      <c r="T789">
        <f t="shared" si="1008"/>
        <v>2.9452278252319983</v>
      </c>
    </row>
    <row r="790" spans="1:20" x14ac:dyDescent="0.25">
      <c r="A790" s="5"/>
      <c r="C790" s="4"/>
      <c r="D790" s="4"/>
    </row>
    <row r="791" spans="1:20" x14ac:dyDescent="0.25">
      <c r="A791" s="5"/>
      <c r="C791" s="4"/>
      <c r="D791" s="4"/>
    </row>
    <row r="792" spans="1:20" x14ac:dyDescent="0.25">
      <c r="A792" s="5"/>
      <c r="C792" s="4"/>
      <c r="D792" s="4"/>
    </row>
    <row r="793" spans="1:20" x14ac:dyDescent="0.25">
      <c r="A793" s="5"/>
      <c r="C793" s="4"/>
      <c r="D793" s="4"/>
    </row>
    <row r="794" spans="1:20" x14ac:dyDescent="0.25">
      <c r="A794" s="5"/>
      <c r="C794" s="4"/>
      <c r="D794" s="4"/>
    </row>
    <row r="795" spans="1:20" x14ac:dyDescent="0.25">
      <c r="A795" s="5"/>
      <c r="C795" s="4"/>
      <c r="D795" s="4"/>
    </row>
    <row r="796" spans="1:20" x14ac:dyDescent="0.25">
      <c r="A796" s="5"/>
      <c r="C796" s="4"/>
      <c r="D796" s="4"/>
    </row>
    <row r="797" spans="1:20" x14ac:dyDescent="0.25">
      <c r="A797" s="5"/>
      <c r="C797" s="4"/>
      <c r="D797" s="4"/>
    </row>
    <row r="798" spans="1:20" x14ac:dyDescent="0.25">
      <c r="A798" s="5"/>
      <c r="C798" s="4"/>
      <c r="D798" s="4"/>
    </row>
    <row r="799" spans="1:20" x14ac:dyDescent="0.25">
      <c r="A799" s="5"/>
      <c r="C799" s="4"/>
      <c r="D799" s="4"/>
    </row>
    <row r="800" spans="1:20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OF846" sqref="OF84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$A$845</v>
      </c>
      <c r="D111" s="1" t="str">
        <f>ADDRESS(C121-1,D121,1,1)</f>
        <v>$OF$845</v>
      </c>
      <c r="E111"/>
    </row>
    <row r="112" spans="1:5" x14ac:dyDescent="0.25">
      <c r="A112" s="7">
        <v>12164.144957890772</v>
      </c>
      <c r="C112" s="1" t="str">
        <f>ADDRESS(C121,1,1,1)</f>
        <v>$A$846</v>
      </c>
      <c r="D112" s="1" t="str">
        <f>ADDRESS(C121,D121-1,1,1)</f>
        <v>$OE$846</v>
      </c>
      <c r="E112"/>
    </row>
    <row r="113" spans="1:5" x14ac:dyDescent="0.25">
      <c r="A113" s="7">
        <v>11925.63231165762</v>
      </c>
      <c r="C113" s="1" t="str">
        <f>ADDRESS(C121+1,1,1,1)</f>
        <v>$A$847</v>
      </c>
      <c r="D113" s="1" t="str">
        <f>ADDRESS(C121-1,D121+1,1,1)</f>
        <v>$OG$845</v>
      </c>
    </row>
    <row r="114" spans="1:5" x14ac:dyDescent="0.25">
      <c r="A114" s="7">
        <v>11691.796383978059</v>
      </c>
      <c r="C114" s="1" t="str">
        <f>ADDRESS(C121,D121,1,1)</f>
        <v>$OF$846</v>
      </c>
      <c r="D114" s="1" t="str">
        <f>ADDRESS(C121+1,D121+1,1,1)</f>
        <v>$OG$847</v>
      </c>
    </row>
    <row r="115" spans="1:5" x14ac:dyDescent="0.25">
      <c r="A115" s="7">
        <v>11462.545474488292</v>
      </c>
      <c r="C115" s="1" t="str">
        <f>ADDRESS(C121+1,D121,1,1)</f>
        <v>$OF$847</v>
      </c>
    </row>
    <row r="116" spans="1:5" x14ac:dyDescent="0.25">
      <c r="A116" s="7">
        <v>11237.789680870874</v>
      </c>
      <c r="C116" s="1">
        <f>C117-1</f>
        <v>845</v>
      </c>
    </row>
    <row r="117" spans="1:5" x14ac:dyDescent="0.25">
      <c r="A117" s="7">
        <v>11017.440863598895</v>
      </c>
      <c r="C117" s="1">
        <f>C121</f>
        <v>846</v>
      </c>
      <c r="D117" s="1">
        <f>D121</f>
        <v>396</v>
      </c>
    </row>
    <row r="118" spans="1:5" x14ac:dyDescent="0.25">
      <c r="A118" s="7">
        <v>10801.412611371465</v>
      </c>
      <c r="C118" s="1">
        <f>C117+1</f>
        <v>847</v>
      </c>
      <c r="D118" s="1">
        <f>D117+1</f>
        <v>397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846</v>
      </c>
      <c r="D121" s="19">
        <v>396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R846</v>
      </c>
      <c r="D123" s="1" t="str">
        <f>"C"&amp;D121</f>
        <v>C396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5.9231879514803996E-3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6" x14ac:dyDescent="0.25">
      <c r="A641" s="7">
        <v>0.34323433454431179</v>
      </c>
      <c r="B641"/>
      <c r="C641"/>
      <c r="D641"/>
      <c r="E641"/>
      <c r="F641" s="27" t="s">
        <v>7</v>
      </c>
    </row>
    <row r="642" spans="1:6" x14ac:dyDescent="0.25">
      <c r="A642" s="7">
        <v>0.33650424955324681</v>
      </c>
      <c r="B642"/>
      <c r="C642"/>
      <c r="D642"/>
      <c r="E642"/>
      <c r="F642" s="27" t="s">
        <v>7</v>
      </c>
    </row>
    <row r="643" spans="1:6" x14ac:dyDescent="0.25">
      <c r="A643" s="7">
        <v>0.3299061270129871</v>
      </c>
      <c r="B643"/>
      <c r="C643"/>
      <c r="D643"/>
      <c r="E643"/>
      <c r="F643" s="27" t="s">
        <v>7</v>
      </c>
    </row>
    <row r="644" spans="1:6" x14ac:dyDescent="0.25">
      <c r="A644" s="7">
        <v>0.32343737942449713</v>
      </c>
      <c r="B644"/>
      <c r="C644"/>
      <c r="D644"/>
      <c r="E644"/>
      <c r="F644" s="27" t="s">
        <v>7</v>
      </c>
    </row>
    <row r="645" spans="1:6" x14ac:dyDescent="0.25">
      <c r="A645" s="7">
        <v>0.31709547002401678</v>
      </c>
      <c r="B645"/>
      <c r="C645"/>
      <c r="D645"/>
      <c r="E645"/>
      <c r="F645" s="27" t="s">
        <v>7</v>
      </c>
    </row>
    <row r="646" spans="1:6" x14ac:dyDescent="0.25">
      <c r="A646" s="7">
        <v>0.31087791178825175</v>
      </c>
      <c r="B646"/>
      <c r="C646"/>
      <c r="D646"/>
      <c r="E646"/>
      <c r="F646" s="27" t="s">
        <v>7</v>
      </c>
    </row>
    <row r="647" spans="1:6" x14ac:dyDescent="0.25">
      <c r="A647" s="7">
        <v>0.30478226645907036</v>
      </c>
      <c r="B647"/>
      <c r="C647"/>
      <c r="D647"/>
      <c r="E647"/>
      <c r="F647" s="27" t="s">
        <v>7</v>
      </c>
    </row>
    <row r="648" spans="1:6" x14ac:dyDescent="0.25">
      <c r="A648" s="7">
        <v>0.29880614358732388</v>
      </c>
      <c r="B648"/>
      <c r="C648"/>
      <c r="D648"/>
      <c r="E648"/>
      <c r="F648" s="27" t="s">
        <v>7</v>
      </c>
    </row>
    <row r="649" spans="1:6" x14ac:dyDescent="0.25">
      <c r="A649" s="7">
        <v>0.2929471995954156</v>
      </c>
      <c r="B649"/>
      <c r="C649"/>
      <c r="D649"/>
      <c r="E649"/>
      <c r="F649" s="27" t="s">
        <v>7</v>
      </c>
    </row>
    <row r="650" spans="1:6" x14ac:dyDescent="0.25">
      <c r="A650" s="7">
        <v>0.28720313685825055</v>
      </c>
      <c r="B650"/>
      <c r="C650"/>
      <c r="D650"/>
      <c r="E650"/>
      <c r="F650" s="27" t="s">
        <v>7</v>
      </c>
    </row>
    <row r="651" spans="1:6" x14ac:dyDescent="0.25">
      <c r="A651" s="7">
        <v>0.28157170280220645</v>
      </c>
      <c r="B651"/>
      <c r="C651"/>
      <c r="D651"/>
      <c r="E651"/>
      <c r="F651" s="27" t="s">
        <v>7</v>
      </c>
    </row>
    <row r="652" spans="1:6" x14ac:dyDescent="0.25">
      <c r="A652" s="7">
        <v>0.27605068902177105</v>
      </c>
      <c r="B652"/>
      <c r="C652"/>
      <c r="D652"/>
      <c r="E652"/>
      <c r="F652" s="27" t="s">
        <v>7</v>
      </c>
    </row>
    <row r="653" spans="1:6" x14ac:dyDescent="0.25">
      <c r="A653" s="7">
        <v>0.27063793041350104</v>
      </c>
      <c r="B653"/>
      <c r="C653"/>
      <c r="D653"/>
      <c r="E653"/>
      <c r="F653" s="27" t="s">
        <v>7</v>
      </c>
    </row>
    <row r="654" spans="1:6" x14ac:dyDescent="0.25">
      <c r="A654" s="7">
        <v>0.26533130432696184</v>
      </c>
      <c r="B654"/>
      <c r="C654"/>
      <c r="D654"/>
      <c r="E654"/>
      <c r="F654" s="27" t="s">
        <v>7</v>
      </c>
    </row>
    <row r="655" spans="1:6" x14ac:dyDescent="0.25">
      <c r="A655" s="7">
        <v>0.26012872973231554</v>
      </c>
      <c r="B655"/>
      <c r="C655"/>
      <c r="D655"/>
      <c r="E655"/>
      <c r="F655" s="27" t="s">
        <v>7</v>
      </c>
    </row>
    <row r="656" spans="1:6" x14ac:dyDescent="0.25">
      <c r="A656" s="7">
        <v>0.25502816640423093</v>
      </c>
      <c r="B656"/>
      <c r="C656"/>
      <c r="D656"/>
      <c r="E656"/>
      <c r="F656" s="27" t="s">
        <v>7</v>
      </c>
    </row>
    <row r="657" spans="1:6" x14ac:dyDescent="0.25">
      <c r="A657" s="7">
        <v>0.25002761412179503</v>
      </c>
      <c r="B657"/>
      <c r="C657"/>
      <c r="D657"/>
      <c r="E657"/>
      <c r="F657" s="27" t="s">
        <v>7</v>
      </c>
    </row>
    <row r="658" spans="1:6" x14ac:dyDescent="0.25">
      <c r="A658" s="7">
        <v>0.24512511188411276</v>
      </c>
      <c r="B658"/>
      <c r="C658"/>
      <c r="D658"/>
      <c r="E658"/>
      <c r="F658" s="27" t="s">
        <v>7</v>
      </c>
    </row>
    <row r="659" spans="1:6" x14ac:dyDescent="0.25">
      <c r="A659" s="7">
        <v>0.24031873714128701</v>
      </c>
      <c r="B659"/>
      <c r="C659"/>
      <c r="D659"/>
      <c r="E659"/>
      <c r="F659" s="27" t="s">
        <v>7</v>
      </c>
    </row>
    <row r="660" spans="1:6" x14ac:dyDescent="0.25">
      <c r="A660" s="7">
        <v>0.23560660504047748</v>
      </c>
      <c r="B660"/>
      <c r="C660"/>
      <c r="D660"/>
      <c r="E660"/>
      <c r="F660" s="27" t="s">
        <v>7</v>
      </c>
    </row>
    <row r="661" spans="1:6" x14ac:dyDescent="0.25">
      <c r="A661" s="7">
        <v>0.23098686768674265</v>
      </c>
      <c r="B661"/>
      <c r="C661"/>
      <c r="D661"/>
      <c r="E661"/>
      <c r="F661" s="27" t="s">
        <v>7</v>
      </c>
    </row>
    <row r="662" spans="1:6" x14ac:dyDescent="0.25">
      <c r="A662" s="7">
        <v>0.22645771341837515</v>
      </c>
      <c r="B662"/>
      <c r="C662"/>
      <c r="D662"/>
      <c r="E662"/>
      <c r="F662" s="27" t="s">
        <v>7</v>
      </c>
    </row>
    <row r="663" spans="1:6" x14ac:dyDescent="0.25">
      <c r="A663" s="7">
        <v>0.22201736609644623</v>
      </c>
      <c r="B663"/>
      <c r="C663"/>
      <c r="D663"/>
      <c r="E663"/>
      <c r="F663" s="27" t="s">
        <v>7</v>
      </c>
    </row>
    <row r="664" spans="1:6" x14ac:dyDescent="0.25">
      <c r="A664" s="7">
        <v>0.21766408440828061</v>
      </c>
      <c r="B664"/>
      <c r="C664"/>
      <c r="D664"/>
      <c r="E664"/>
      <c r="F664" s="27" t="s">
        <v>7</v>
      </c>
    </row>
    <row r="665" spans="1:6" x14ac:dyDescent="0.25">
      <c r="A665" s="7">
        <v>0.21339616118458882</v>
      </c>
      <c r="B665"/>
      <c r="C665"/>
      <c r="D665"/>
      <c r="E665"/>
      <c r="F665" s="27" t="s">
        <v>7</v>
      </c>
    </row>
    <row r="666" spans="1:6" x14ac:dyDescent="0.25">
      <c r="A666" s="7">
        <v>0.20921192272998904</v>
      </c>
      <c r="B666"/>
      <c r="C666"/>
      <c r="D666"/>
      <c r="E666"/>
      <c r="F666" s="27" t="s">
        <v>7</v>
      </c>
    </row>
    <row r="667" spans="1:6" x14ac:dyDescent="0.25">
      <c r="A667" s="7">
        <v>0.20510972816665593</v>
      </c>
      <c r="B667"/>
      <c r="C667"/>
      <c r="D667"/>
      <c r="E667"/>
      <c r="F667" s="27" t="s">
        <v>7</v>
      </c>
    </row>
    <row r="668" spans="1:6" x14ac:dyDescent="0.25">
      <c r="A668" s="7">
        <v>0.20108796879083912</v>
      </c>
      <c r="B668"/>
      <c r="C668"/>
      <c r="D668"/>
      <c r="E668"/>
      <c r="F668" s="27" t="s">
        <v>7</v>
      </c>
    </row>
    <row r="669" spans="1:6" x14ac:dyDescent="0.25">
      <c r="A669" s="7">
        <v>0.19714506744199917</v>
      </c>
      <c r="B669"/>
      <c r="C669"/>
      <c r="D669"/>
      <c r="E669"/>
      <c r="F669" s="27" t="s">
        <v>7</v>
      </c>
    </row>
    <row r="670" spans="1:6" x14ac:dyDescent="0.25">
      <c r="A670" s="7">
        <v>0.19327947788431293</v>
      </c>
      <c r="B670"/>
      <c r="C670"/>
      <c r="D670"/>
      <c r="E670"/>
      <c r="F670" s="27" t="s">
        <v>7</v>
      </c>
    </row>
    <row r="671" spans="1:6" x14ac:dyDescent="0.25">
      <c r="A671" s="7">
        <v>0.18948968420030682</v>
      </c>
      <c r="B671"/>
      <c r="C671"/>
      <c r="D671"/>
      <c r="E671"/>
      <c r="F671" s="27" t="s">
        <v>7</v>
      </c>
    </row>
    <row r="672" spans="1:6" x14ac:dyDescent="0.25">
      <c r="A672" s="7">
        <v>0.18577420019637925</v>
      </c>
      <c r="B672"/>
      <c r="C672"/>
      <c r="D672"/>
      <c r="E672"/>
      <c r="F672" s="27" t="s">
        <v>7</v>
      </c>
    </row>
    <row r="673" spans="1:6" x14ac:dyDescent="0.25">
      <c r="A673" s="7">
        <v>0.18213156881997963</v>
      </c>
      <c r="B673"/>
      <c r="C673"/>
      <c r="D673"/>
      <c r="E673"/>
      <c r="F673" s="27" t="s">
        <v>7</v>
      </c>
    </row>
    <row r="674" spans="1:6" x14ac:dyDescent="0.25">
      <c r="A674" s="7">
        <v>0.17856036158821534</v>
      </c>
      <c r="B674"/>
      <c r="C674"/>
      <c r="D674"/>
      <c r="E674"/>
      <c r="F674" s="27" t="s">
        <v>7</v>
      </c>
    </row>
    <row r="675" spans="1:6" x14ac:dyDescent="0.25">
      <c r="A675" s="7">
        <v>0.17505917802766208</v>
      </c>
      <c r="B675"/>
      <c r="C675"/>
      <c r="D675"/>
      <c r="E675"/>
      <c r="F675" s="27" t="s">
        <v>7</v>
      </c>
    </row>
    <row r="676" spans="1:6" x14ac:dyDescent="0.25">
      <c r="A676" s="7">
        <v>0.17162664512515888</v>
      </c>
      <c r="B676"/>
      <c r="C676"/>
      <c r="D676"/>
      <c r="E676"/>
      <c r="F676" s="27" t="s">
        <v>7</v>
      </c>
    </row>
    <row r="677" spans="1:6" x14ac:dyDescent="0.25">
      <c r="A677" s="7">
        <v>0.16826141678937145</v>
      </c>
      <c r="B677"/>
      <c r="C677"/>
      <c r="D677"/>
      <c r="E677"/>
      <c r="F677" s="27" t="s">
        <v>7</v>
      </c>
    </row>
    <row r="678" spans="1:6" x14ac:dyDescent="0.25">
      <c r="A678" s="7">
        <v>0.16496217332291319</v>
      </c>
      <c r="B678"/>
      <c r="C678"/>
      <c r="D678"/>
      <c r="E678"/>
      <c r="F678" s="27" t="s">
        <v>7</v>
      </c>
    </row>
    <row r="679" spans="1:6" x14ac:dyDescent="0.25">
      <c r="A679" s="7">
        <v>0.16172762090481685</v>
      </c>
      <c r="B679"/>
      <c r="C679"/>
      <c r="D679"/>
      <c r="E679"/>
      <c r="F679" s="27" t="s">
        <v>7</v>
      </c>
    </row>
    <row r="680" spans="1:6" x14ac:dyDescent="0.25">
      <c r="A680" s="7">
        <v>0.15855649108315376</v>
      </c>
      <c r="B680"/>
      <c r="C680"/>
      <c r="D680"/>
      <c r="E680"/>
      <c r="F680" s="27" t="s">
        <v>7</v>
      </c>
    </row>
    <row r="681" spans="1:6" x14ac:dyDescent="0.25">
      <c r="A681" s="7">
        <v>0.15544754027760171</v>
      </c>
      <c r="B681"/>
      <c r="C681"/>
      <c r="D681"/>
      <c r="E681"/>
      <c r="F681" s="27" t="s">
        <v>7</v>
      </c>
    </row>
    <row r="682" spans="1:6" x14ac:dyDescent="0.25">
      <c r="A682" s="7">
        <v>0.15239954929176638</v>
      </c>
      <c r="B682"/>
      <c r="C682"/>
      <c r="D682"/>
      <c r="E682"/>
      <c r="F682" s="27" t="s">
        <v>7</v>
      </c>
    </row>
    <row r="683" spans="1:6" x14ac:dyDescent="0.25">
      <c r="A683" s="7">
        <v>0.14941132283506509</v>
      </c>
      <c r="B683"/>
      <c r="C683"/>
      <c r="D683"/>
      <c r="E683"/>
      <c r="F683" s="27" t="s">
        <v>7</v>
      </c>
    </row>
    <row r="684" spans="1:6" x14ac:dyDescent="0.25">
      <c r="A684" s="7">
        <v>0.14648168905398537</v>
      </c>
      <c r="B684"/>
      <c r="C684"/>
      <c r="D684"/>
      <c r="E684"/>
      <c r="F684" s="27" t="s">
        <v>7</v>
      </c>
    </row>
    <row r="685" spans="1:6" x14ac:dyDescent="0.25">
      <c r="A685" s="7">
        <v>0.14360949907253467</v>
      </c>
      <c r="B685"/>
      <c r="C685"/>
      <c r="D685"/>
      <c r="E685"/>
      <c r="F685" s="27" t="s">
        <v>7</v>
      </c>
    </row>
    <row r="686" spans="1:6" x14ac:dyDescent="0.25">
      <c r="A686" s="7">
        <v>0.14079362654170066</v>
      </c>
      <c r="B686"/>
      <c r="C686"/>
      <c r="D686"/>
      <c r="E686"/>
      <c r="F686" s="27" t="s">
        <v>7</v>
      </c>
    </row>
    <row r="687" spans="1:6" x14ac:dyDescent="0.25">
      <c r="A687" s="7">
        <v>0.13803296719774574</v>
      </c>
      <c r="B687"/>
      <c r="C687"/>
      <c r="D687"/>
      <c r="E687"/>
      <c r="F687" s="27" t="s">
        <v>7</v>
      </c>
    </row>
    <row r="688" spans="1:6" x14ac:dyDescent="0.25">
      <c r="A688" s="7">
        <v>0.1353264384291625</v>
      </c>
      <c r="B688"/>
      <c r="C688"/>
      <c r="D688"/>
      <c r="E688"/>
      <c r="F688" s="27" t="s">
        <v>7</v>
      </c>
    </row>
    <row r="689" spans="1:6" x14ac:dyDescent="0.25">
      <c r="A689" s="7">
        <v>0.13267297885212009</v>
      </c>
      <c r="B689"/>
      <c r="C689"/>
      <c r="D689"/>
      <c r="E689"/>
      <c r="F689" s="27" t="s">
        <v>7</v>
      </c>
    </row>
    <row r="690" spans="1:6" x14ac:dyDescent="0.25">
      <c r="A690" s="7">
        <v>0.13007154789423539</v>
      </c>
      <c r="B690"/>
      <c r="C690"/>
      <c r="D690"/>
      <c r="E690"/>
      <c r="F690" s="27" t="s">
        <v>7</v>
      </c>
    </row>
    <row r="691" spans="1:6" x14ac:dyDescent="0.25">
      <c r="A691" s="7">
        <v>0.12752112538650529</v>
      </c>
      <c r="B691"/>
      <c r="C691"/>
      <c r="D691"/>
      <c r="E691"/>
      <c r="F691" s="27" t="s">
        <v>7</v>
      </c>
    </row>
    <row r="692" spans="1:6" x14ac:dyDescent="0.25">
      <c r="A692" s="7">
        <v>0.12502071116324048</v>
      </c>
      <c r="B692"/>
      <c r="C692"/>
      <c r="D692"/>
      <c r="E692"/>
      <c r="F692" s="27" t="s">
        <v>7</v>
      </c>
    </row>
    <row r="693" spans="1:6" x14ac:dyDescent="0.25">
      <c r="A693" s="7">
        <v>0.1225693246698436</v>
      </c>
      <c r="B693"/>
      <c r="C693"/>
      <c r="D693"/>
      <c r="E693"/>
      <c r="F693" s="27" t="s">
        <v>7</v>
      </c>
    </row>
    <row r="694" spans="1:6" x14ac:dyDescent="0.25">
      <c r="A694" s="7">
        <v>0.12016600457827803</v>
      </c>
      <c r="B694"/>
      <c r="C694"/>
      <c r="D694"/>
      <c r="E694"/>
      <c r="F694" s="27" t="s">
        <v>7</v>
      </c>
    </row>
    <row r="695" spans="1:6" x14ac:dyDescent="0.25">
      <c r="A695" s="7">
        <v>0.1178098084100765</v>
      </c>
      <c r="B695"/>
      <c r="C695"/>
      <c r="D695"/>
      <c r="E695"/>
      <c r="F695" s="27" t="s">
        <v>7</v>
      </c>
    </row>
    <row r="696" spans="1:6" x14ac:dyDescent="0.25">
      <c r="A696" s="7">
        <v>0.11549981216674166</v>
      </c>
      <c r="B696"/>
      <c r="C696"/>
      <c r="D696"/>
      <c r="E696"/>
      <c r="F696" s="27" t="s">
        <v>7</v>
      </c>
    </row>
    <row r="697" spans="1:6" x14ac:dyDescent="0.25">
      <c r="A697" s="7">
        <v>0.11323510996739378</v>
      </c>
      <c r="B697"/>
      <c r="C697"/>
      <c r="D697"/>
      <c r="E697"/>
      <c r="F697" s="27" t="s">
        <v>7</v>
      </c>
    </row>
    <row r="698" spans="1:6" x14ac:dyDescent="0.25">
      <c r="A698" s="7">
        <v>0.11101481369352331</v>
      </c>
      <c r="B698"/>
      <c r="C698"/>
      <c r="D698"/>
      <c r="E698"/>
      <c r="F698" s="27" t="s">
        <v>7</v>
      </c>
    </row>
    <row r="699" spans="1:6" x14ac:dyDescent="0.25">
      <c r="A699" s="7">
        <v>0.10883805264070913</v>
      </c>
      <c r="B699"/>
      <c r="C699"/>
      <c r="D699"/>
      <c r="E699"/>
      <c r="F699" s="27" t="s">
        <v>7</v>
      </c>
    </row>
    <row r="700" spans="1:6" x14ac:dyDescent="0.25">
      <c r="A700" s="7">
        <v>0.10670397317716582</v>
      </c>
      <c r="B700"/>
      <c r="C700"/>
      <c r="D700"/>
      <c r="E700"/>
      <c r="F700" s="27" t="s">
        <v>7</v>
      </c>
    </row>
    <row r="701" spans="1:6" x14ac:dyDescent="0.25">
      <c r="A701" s="7">
        <v>0.1046117384089861</v>
      </c>
      <c r="B701"/>
      <c r="C701"/>
      <c r="D701"/>
      <c r="E701"/>
      <c r="F701" s="27" t="s">
        <v>7</v>
      </c>
    </row>
    <row r="702" spans="1:6" x14ac:dyDescent="0.25">
      <c r="A702" s="7">
        <v>0.10256052785194716</v>
      </c>
      <c r="B702"/>
      <c r="C702"/>
      <c r="D702"/>
      <c r="E702"/>
      <c r="F702" s="27" t="s">
        <v>7</v>
      </c>
    </row>
    <row r="703" spans="1:6" x14ac:dyDescent="0.25">
      <c r="A703" s="7">
        <v>0.10054953710975212</v>
      </c>
      <c r="B703"/>
      <c r="C703"/>
      <c r="D703"/>
      <c r="E703"/>
      <c r="F703" s="27" t="s">
        <v>7</v>
      </c>
    </row>
    <row r="704" spans="1:6" x14ac:dyDescent="0.25">
      <c r="A704" s="7">
        <v>9.8577977558580512E-2</v>
      </c>
      <c r="B704"/>
      <c r="C704"/>
      <c r="D704"/>
      <c r="E704"/>
      <c r="F704" s="27" t="s">
        <v>7</v>
      </c>
    </row>
    <row r="705" spans="1:6" x14ac:dyDescent="0.25">
      <c r="A705" s="7">
        <v>9.6645076037824032E-2</v>
      </c>
      <c r="B705"/>
      <c r="C705"/>
      <c r="D705"/>
      <c r="E705"/>
      <c r="F705" s="27" t="s">
        <v>7</v>
      </c>
    </row>
    <row r="706" spans="1:6" x14ac:dyDescent="0.25">
      <c r="A706" s="7">
        <v>9.4750074546886304E-2</v>
      </c>
      <c r="B706"/>
      <c r="C706"/>
      <c r="D706"/>
      <c r="E706"/>
      <c r="F706" s="27" t="s">
        <v>7</v>
      </c>
    </row>
    <row r="707" spans="1:6" x14ac:dyDescent="0.25">
      <c r="A707" s="7">
        <v>9.2892229947927743E-2</v>
      </c>
      <c r="B707"/>
      <c r="C707"/>
      <c r="D707"/>
      <c r="E707"/>
      <c r="F707" s="27" t="s">
        <v>7</v>
      </c>
    </row>
    <row r="708" spans="1:6" x14ac:dyDescent="0.25">
      <c r="A708" s="7">
        <v>9.1070813674438963E-2</v>
      </c>
      <c r="B708"/>
      <c r="C708"/>
      <c r="D708"/>
      <c r="E708"/>
      <c r="F708" s="27" t="s">
        <v>7</v>
      </c>
    </row>
    <row r="709" spans="1:6" x14ac:dyDescent="0.25">
      <c r="A709" s="7">
        <v>8.9285111445528392E-2</v>
      </c>
      <c r="B709"/>
      <c r="C709"/>
      <c r="D709"/>
      <c r="E709"/>
      <c r="F709" s="27" t="s">
        <v>7</v>
      </c>
    </row>
    <row r="710" spans="1:6" x14ac:dyDescent="0.25">
      <c r="A710" s="7">
        <v>8.7534422985812155E-2</v>
      </c>
      <c r="B710"/>
      <c r="C710"/>
      <c r="D710"/>
      <c r="E710"/>
      <c r="F710" s="27" t="s">
        <v>7</v>
      </c>
    </row>
    <row r="711" spans="1:6" x14ac:dyDescent="0.25">
      <c r="A711" s="7">
        <v>8.5818061750796232E-2</v>
      </c>
      <c r="B711"/>
      <c r="C711"/>
      <c r="D711"/>
      <c r="E711"/>
      <c r="F711" s="27" t="s">
        <v>7</v>
      </c>
    </row>
    <row r="712" spans="1:6" x14ac:dyDescent="0.25">
      <c r="A712" s="7">
        <v>8.4135354657643366E-2</v>
      </c>
      <c r="B712"/>
      <c r="C712"/>
      <c r="D712"/>
      <c r="E712"/>
      <c r="F712" s="27" t="s">
        <v>7</v>
      </c>
    </row>
    <row r="713" spans="1:6" x14ac:dyDescent="0.25">
      <c r="A713" s="7">
        <v>8.248564182121898E-2</v>
      </c>
      <c r="B713"/>
      <c r="C713"/>
      <c r="D713"/>
      <c r="E713"/>
      <c r="F713" s="27" t="s">
        <v>7</v>
      </c>
    </row>
    <row r="714" spans="1:6" x14ac:dyDescent="0.25">
      <c r="A714" s="7">
        <v>8.0868276295312735E-2</v>
      </c>
      <c r="B714"/>
      <c r="C714"/>
      <c r="D714"/>
      <c r="E714"/>
      <c r="F714" s="27" t="s">
        <v>7</v>
      </c>
    </row>
    <row r="715" spans="1:6" x14ac:dyDescent="0.25">
      <c r="A715" s="7">
        <v>7.9282623818934056E-2</v>
      </c>
      <c r="B715"/>
      <c r="C715"/>
      <c r="D715"/>
      <c r="E715"/>
      <c r="F715" s="27" t="s">
        <v>7</v>
      </c>
    </row>
    <row r="716" spans="1:6" x14ac:dyDescent="0.25">
      <c r="A716" s="7">
        <v>7.7728062567582412E-2</v>
      </c>
      <c r="B716"/>
      <c r="C716"/>
      <c r="D716"/>
      <c r="E716"/>
      <c r="F716" s="27" t="s">
        <v>7</v>
      </c>
    </row>
    <row r="717" spans="1:6" x14ac:dyDescent="0.25">
      <c r="A717" s="7">
        <v>7.6203982909394521E-2</v>
      </c>
      <c r="B717"/>
      <c r="C717"/>
      <c r="D717"/>
      <c r="E717"/>
      <c r="F717" s="27" t="s">
        <v>7</v>
      </c>
    </row>
    <row r="718" spans="1:6" x14ac:dyDescent="0.25">
      <c r="A718" s="7">
        <v>7.4709787166073058E-2</v>
      </c>
      <c r="B718"/>
      <c r="C718"/>
      <c r="D718"/>
      <c r="E718"/>
      <c r="F718" s="27" t="s">
        <v>7</v>
      </c>
    </row>
    <row r="719" spans="1:6" x14ac:dyDescent="0.25">
      <c r="A719" s="7">
        <v>7.3244889378503E-2</v>
      </c>
      <c r="B719"/>
      <c r="C719"/>
      <c r="D719"/>
      <c r="E719"/>
      <c r="F719" s="27" t="s">
        <v>7</v>
      </c>
    </row>
    <row r="720" spans="1:6" x14ac:dyDescent="0.25">
      <c r="A720" s="7">
        <v>7.1808715076963722E-2</v>
      </c>
      <c r="B720"/>
      <c r="C720"/>
      <c r="D720"/>
      <c r="E720"/>
      <c r="F720" s="27" t="s">
        <v>7</v>
      </c>
    </row>
    <row r="721" spans="1:6" x14ac:dyDescent="0.25">
      <c r="A721" s="7">
        <v>7.0400701055846782E-2</v>
      </c>
      <c r="B721"/>
      <c r="C721"/>
      <c r="D721"/>
      <c r="E721"/>
      <c r="F721" s="27" t="s">
        <v>7</v>
      </c>
    </row>
    <row r="722" spans="1:6" x14ac:dyDescent="0.25">
      <c r="A722" s="7">
        <v>6.9020295152790956E-2</v>
      </c>
      <c r="B722"/>
      <c r="C722"/>
      <c r="D722"/>
      <c r="E722"/>
      <c r="F722" s="27" t="s">
        <v>7</v>
      </c>
    </row>
    <row r="723" spans="1:6" x14ac:dyDescent="0.25">
      <c r="A723" s="7">
        <v>6.7666956032147993E-2</v>
      </c>
      <c r="B723"/>
      <c r="C723"/>
      <c r="D723"/>
      <c r="E723"/>
      <c r="F723" s="27" t="s">
        <v>7</v>
      </c>
    </row>
    <row r="724" spans="1:6" x14ac:dyDescent="0.25">
      <c r="A724" s="7">
        <v>6.6340152972694105E-2</v>
      </c>
      <c r="B724"/>
      <c r="C724"/>
      <c r="D724"/>
      <c r="E724"/>
      <c r="F724" s="27" t="s">
        <v>7</v>
      </c>
    </row>
    <row r="725" spans="1:6" x14ac:dyDescent="0.25">
      <c r="A725" s="7">
        <v>6.5039365659504023E-2</v>
      </c>
      <c r="B725"/>
      <c r="C725"/>
      <c r="D725"/>
      <c r="E725"/>
      <c r="F725" s="27" t="s">
        <v>7</v>
      </c>
    </row>
    <row r="726" spans="1:6" x14ac:dyDescent="0.25">
      <c r="A726" s="7">
        <v>6.3764083979905906E-2</v>
      </c>
      <c r="B726"/>
      <c r="C726"/>
      <c r="D726"/>
      <c r="E726"/>
      <c r="F726" s="27" t="s">
        <v>7</v>
      </c>
    </row>
    <row r="727" spans="1:6" x14ac:dyDescent="0.25">
      <c r="A727" s="7">
        <v>6.251380782343717E-2</v>
      </c>
      <c r="B727"/>
      <c r="C727"/>
      <c r="D727"/>
      <c r="E727"/>
      <c r="F727" s="27" t="s">
        <v>7</v>
      </c>
    </row>
    <row r="728" spans="1:6" x14ac:dyDescent="0.25">
      <c r="A728" s="7">
        <v>6.1288046885722716E-2</v>
      </c>
      <c r="B728"/>
      <c r="C728"/>
      <c r="D728"/>
      <c r="E728"/>
      <c r="F728" s="27" t="s">
        <v>7</v>
      </c>
    </row>
    <row r="729" spans="1:6" x14ac:dyDescent="0.25">
      <c r="A729" s="7">
        <v>6.0086320476198739E-2</v>
      </c>
      <c r="B729"/>
      <c r="C729"/>
      <c r="D729"/>
      <c r="E729"/>
      <c r="F729" s="27" t="s">
        <v>7</v>
      </c>
    </row>
    <row r="730" spans="1:6" x14ac:dyDescent="0.25">
      <c r="A730" s="7">
        <v>5.8908157329606609E-2</v>
      </c>
      <c r="B730"/>
      <c r="C730"/>
      <c r="D730"/>
      <c r="E730"/>
      <c r="F730" s="27" t="s">
        <v>7</v>
      </c>
    </row>
    <row r="731" spans="1:6" x14ac:dyDescent="0.25">
      <c r="A731" s="7">
        <v>5.7753095421182947E-2</v>
      </c>
      <c r="B731"/>
      <c r="C731"/>
      <c r="D731"/>
      <c r="E731"/>
      <c r="F731" s="27" t="s">
        <v>7</v>
      </c>
    </row>
    <row r="732" spans="1:6" x14ac:dyDescent="0.25">
      <c r="A732" s="7">
        <v>5.6620681785473484E-2</v>
      </c>
      <c r="B732"/>
      <c r="C732"/>
      <c r="D732"/>
      <c r="E732"/>
      <c r="F732" s="27" t="s">
        <v>7</v>
      </c>
    </row>
    <row r="733" spans="1:6" x14ac:dyDescent="0.25">
      <c r="A733" s="7">
        <v>5.5510472338699497E-2</v>
      </c>
      <c r="B733"/>
      <c r="C733"/>
      <c r="D733"/>
      <c r="E733"/>
      <c r="F733" s="27" t="s">
        <v>7</v>
      </c>
    </row>
    <row r="734" spans="1:6" x14ac:dyDescent="0.25">
      <c r="A734" s="7">
        <v>5.4422031704607354E-2</v>
      </c>
      <c r="B734"/>
      <c r="C734"/>
      <c r="D734"/>
      <c r="E734"/>
      <c r="F734" s="27" t="s">
        <v>7</v>
      </c>
    </row>
    <row r="735" spans="1:6" x14ac:dyDescent="0.25">
      <c r="A735" s="7">
        <v>5.3354933043732705E-2</v>
      </c>
      <c r="B735"/>
      <c r="C735"/>
      <c r="D735"/>
      <c r="E735"/>
      <c r="F735" s="27" t="s">
        <v>7</v>
      </c>
    </row>
    <row r="736" spans="1:6" x14ac:dyDescent="0.25">
      <c r="A736" s="7">
        <v>5.2308757886012455E-2</v>
      </c>
      <c r="B736"/>
      <c r="C736"/>
      <c r="D736"/>
      <c r="E736"/>
      <c r="F736" s="27" t="s">
        <v>7</v>
      </c>
    </row>
    <row r="737" spans="1:330" x14ac:dyDescent="0.25">
      <c r="A737" s="7">
        <v>5.1283095966678877E-2</v>
      </c>
      <c r="B737"/>
      <c r="C737"/>
      <c r="D737"/>
      <c r="E737"/>
      <c r="F737" s="27" t="s">
        <v>7</v>
      </c>
    </row>
    <row r="738" spans="1:330" x14ac:dyDescent="0.25">
      <c r="A738" s="7">
        <v>5.0277545065371444E-2</v>
      </c>
      <c r="B738"/>
      <c r="C738"/>
      <c r="D738"/>
      <c r="E738"/>
      <c r="F738" s="27" t="s">
        <v>7</v>
      </c>
    </row>
    <row r="739" spans="1:330" x14ac:dyDescent="0.25">
      <c r="A739" s="7">
        <v>4.9291710848403378E-2</v>
      </c>
      <c r="B739"/>
      <c r="C739"/>
      <c r="D739"/>
      <c r="E739"/>
      <c r="F739" s="27" t="s">
        <v>7</v>
      </c>
    </row>
    <row r="740" spans="1:330" x14ac:dyDescent="0.25">
      <c r="A740" s="7">
        <v>4.8325206714120959E-2</v>
      </c>
      <c r="B740"/>
      <c r="C740"/>
      <c r="D740"/>
      <c r="E740"/>
      <c r="F740" s="27" t="s">
        <v>7</v>
      </c>
    </row>
    <row r="741" spans="1:330" x14ac:dyDescent="0.25">
      <c r="A741" s="7">
        <v>4.7377653641295057E-2</v>
      </c>
      <c r="B741"/>
      <c r="C741"/>
      <c r="D741"/>
      <c r="E741"/>
      <c r="F741" s="27" t="s">
        <v>7</v>
      </c>
    </row>
    <row r="742" spans="1:330" x14ac:dyDescent="0.25">
      <c r="A742" s="7">
        <v>4.644868004048535E-2</v>
      </c>
      <c r="B742"/>
      <c r="C742"/>
      <c r="D742"/>
      <c r="E742"/>
      <c r="F742" s="27" t="s">
        <v>7</v>
      </c>
    </row>
    <row r="743" spans="1:330" x14ac:dyDescent="0.25">
      <c r="A743" s="7">
        <v>4.5537921608318974E-2</v>
      </c>
      <c r="B743"/>
      <c r="C743"/>
      <c r="D743"/>
      <c r="E743"/>
      <c r="F743" s="27" t="s">
        <v>7</v>
      </c>
    </row>
    <row r="744" spans="1:330" x14ac:dyDescent="0.25">
      <c r="A744" s="7">
        <v>4.4645021184626446E-2</v>
      </c>
      <c r="B744"/>
      <c r="C744"/>
      <c r="D744"/>
      <c r="E744"/>
      <c r="F744" s="27" t="s">
        <v>7</v>
      </c>
    </row>
    <row r="745" spans="1:330" x14ac:dyDescent="0.25">
      <c r="A745" s="7">
        <v>4.3769628612378868E-2</v>
      </c>
      <c r="B745"/>
      <c r="C745"/>
      <c r="D745"/>
      <c r="E745"/>
      <c r="F745" s="27" t="s">
        <v>7</v>
      </c>
    </row>
    <row r="746" spans="1:330" x14ac:dyDescent="0.25">
      <c r="A746" s="7">
        <v>4.2911400600371442E-2</v>
      </c>
      <c r="B746"/>
      <c r="C746"/>
      <c r="D746"/>
      <c r="E746"/>
      <c r="F746" s="27" t="s">
        <v>7</v>
      </c>
    </row>
    <row r="747" spans="1:330" x14ac:dyDescent="0.25">
      <c r="A747" s="7">
        <v>4.2070000588599457E-2</v>
      </c>
      <c r="B747"/>
      <c r="C747"/>
      <c r="D747"/>
      <c r="E747"/>
      <c r="F747" s="27" t="s">
        <v>7</v>
      </c>
    </row>
    <row r="748" spans="1:330" x14ac:dyDescent="0.25">
      <c r="A748" s="7">
        <v>4.1245098616273977E-2</v>
      </c>
      <c r="B748"/>
      <c r="C748"/>
      <c r="D748"/>
      <c r="E748"/>
      <c r="F748" s="27" t="s">
        <v>7</v>
      </c>
    </row>
    <row r="749" spans="1:330" x14ac:dyDescent="0.25">
      <c r="A749" s="7">
        <v>4.043637119242547E-2</v>
      </c>
      <c r="B749"/>
      <c r="C749"/>
      <c r="D749"/>
      <c r="E749"/>
      <c r="F749" s="27" t="s">
        <v>7</v>
      </c>
    </row>
    <row r="750" spans="1:330" x14ac:dyDescent="0.25">
      <c r="A750" s="7">
        <v>3.9643501169044582E-2</v>
      </c>
      <c r="B750"/>
      <c r="C750"/>
      <c r="D750"/>
      <c r="E750"/>
      <c r="F750" s="27" t="s">
        <v>7</v>
      </c>
      <c r="LQ750" s="27" t="s">
        <v>8</v>
      </c>
    </row>
    <row r="751" spans="1:330" x14ac:dyDescent="0.25">
      <c r="A751" s="7">
        <v>3.8866177616710372E-2</v>
      </c>
      <c r="B751"/>
      <c r="C751"/>
      <c r="D751"/>
      <c r="E751"/>
      <c r="F751" s="27" t="s">
        <v>7</v>
      </c>
      <c r="LQ751" s="27" t="s">
        <v>8</v>
      </c>
      <c r="LR751" s="27" t="s">
        <v>7</v>
      </c>
    </row>
    <row r="752" spans="1:330" x14ac:dyDescent="0.25">
      <c r="A752" s="7">
        <v>3.8104095702657229E-2</v>
      </c>
      <c r="B752"/>
      <c r="C752"/>
      <c r="D752"/>
      <c r="E752"/>
      <c r="F752" s="27" t="s">
        <v>7</v>
      </c>
      <c r="LQ752" s="27" t="s">
        <v>8</v>
      </c>
      <c r="LR752" s="27" t="s">
        <v>7</v>
      </c>
    </row>
    <row r="753" spans="1:330" x14ac:dyDescent="0.25">
      <c r="A753" s="7">
        <v>3.7356956571232579E-2</v>
      </c>
      <c r="B753"/>
      <c r="C753"/>
      <c r="D753"/>
      <c r="E753"/>
      <c r="F753" s="27" t="s">
        <v>7</v>
      </c>
      <c r="IU753" s="27" t="s">
        <v>8</v>
      </c>
      <c r="LQ753" s="27" t="s">
        <v>8</v>
      </c>
      <c r="LR753" s="27" t="s">
        <v>7</v>
      </c>
    </row>
    <row r="754" spans="1:330" x14ac:dyDescent="0.25">
      <c r="A754" s="7">
        <v>3.6624467226698605E-2</v>
      </c>
      <c r="B754"/>
      <c r="C754"/>
      <c r="D754"/>
      <c r="E754"/>
      <c r="F754" s="27" t="s">
        <v>7</v>
      </c>
      <c r="IU754" s="27" t="s">
        <v>8</v>
      </c>
      <c r="IV754" s="27" t="s">
        <v>7</v>
      </c>
      <c r="LQ754" s="27" t="s">
        <v>8</v>
      </c>
      <c r="LR754" s="27" t="s">
        <v>7</v>
      </c>
    </row>
    <row r="755" spans="1:330" x14ac:dyDescent="0.25">
      <c r="A755" s="7">
        <v>3.5906340418331961E-2</v>
      </c>
      <c r="B755"/>
      <c r="C755"/>
      <c r="D755"/>
      <c r="E755"/>
      <c r="F755" s="27" t="s">
        <v>7</v>
      </c>
      <c r="IU755" s="27" t="s">
        <v>8</v>
      </c>
      <c r="IV755" s="27" t="s">
        <v>7</v>
      </c>
      <c r="LQ755" s="27" t="s">
        <v>8</v>
      </c>
      <c r="LR755" s="27" t="s">
        <v>7</v>
      </c>
    </row>
    <row r="756" spans="1:330" x14ac:dyDescent="0.25">
      <c r="A756" s="7">
        <v>3.5202294527776436E-2</v>
      </c>
      <c r="B756"/>
      <c r="C756"/>
      <c r="D756"/>
      <c r="E756"/>
      <c r="F756" s="27" t="s">
        <v>7</v>
      </c>
      <c r="IU756" s="27" t="s">
        <v>8</v>
      </c>
      <c r="IV756" s="27" t="s">
        <v>7</v>
      </c>
      <c r="LQ756" s="27" t="s">
        <v>8</v>
      </c>
      <c r="LR756" s="27" t="s">
        <v>7</v>
      </c>
    </row>
    <row r="757" spans="1:330" x14ac:dyDescent="0.25">
      <c r="A757" s="7">
        <v>3.451205345860435E-2</v>
      </c>
      <c r="B757"/>
      <c r="C757"/>
      <c r="D757"/>
      <c r="E757"/>
      <c r="F757" s="27" t="s">
        <v>7</v>
      </c>
      <c r="IU757" s="27" t="s">
        <v>8</v>
      </c>
      <c r="IV757" s="27" t="s">
        <v>7</v>
      </c>
      <c r="LQ757" s="27" t="s">
        <v>8</v>
      </c>
      <c r="LR757" s="27" t="s">
        <v>7</v>
      </c>
    </row>
    <row r="758" spans="1:330" x14ac:dyDescent="0.25">
      <c r="A758" s="7">
        <v>3.3835346528043479E-2</v>
      </c>
      <c r="B758"/>
      <c r="C758"/>
      <c r="D758"/>
      <c r="E758"/>
      <c r="F758" s="27" t="s">
        <v>7</v>
      </c>
      <c r="IU758" s="27" t="s">
        <v>8</v>
      </c>
      <c r="IV758" s="27" t="s">
        <v>7</v>
      </c>
      <c r="LQ758" s="27" t="s">
        <v>8</v>
      </c>
      <c r="LR758" s="27" t="s">
        <v>7</v>
      </c>
    </row>
    <row r="759" spans="1:330" x14ac:dyDescent="0.25">
      <c r="A759" s="7">
        <v>3.3171908360826938E-2</v>
      </c>
      <c r="B759"/>
      <c r="C759"/>
      <c r="D759"/>
      <c r="E759"/>
      <c r="F759" s="27" t="s">
        <v>7</v>
      </c>
      <c r="IU759" s="27" t="s">
        <v>8</v>
      </c>
      <c r="IV759" s="27" t="s">
        <v>7</v>
      </c>
      <c r="LQ759" s="27" t="s">
        <v>8</v>
      </c>
      <c r="LR759" s="27" t="s">
        <v>7</v>
      </c>
    </row>
    <row r="760" spans="1:330" x14ac:dyDescent="0.25">
      <c r="A760" s="7">
        <v>3.2521478785124451E-2</v>
      </c>
      <c r="B760"/>
      <c r="C760"/>
      <c r="D760"/>
      <c r="E760"/>
      <c r="F760" s="27" t="s">
        <v>7</v>
      </c>
      <c r="IO760" s="27" t="s">
        <v>8</v>
      </c>
      <c r="IU760" s="27" t="s">
        <v>8</v>
      </c>
      <c r="IV760" s="27" t="s">
        <v>7</v>
      </c>
      <c r="LQ760" s="27" t="s">
        <v>8</v>
      </c>
      <c r="LR760" s="27" t="s">
        <v>7</v>
      </c>
    </row>
    <row r="761" spans="1:330" x14ac:dyDescent="0.25">
      <c r="A761" s="7">
        <v>3.1883802730514173E-2</v>
      </c>
      <c r="B761"/>
      <c r="C761"/>
      <c r="D761"/>
      <c r="E761"/>
      <c r="F761" s="27" t="s">
        <v>7</v>
      </c>
      <c r="IO761" s="27" t="s">
        <v>8</v>
      </c>
      <c r="IP761" s="27" t="s">
        <v>7</v>
      </c>
      <c r="IU761" s="27" t="s">
        <v>8</v>
      </c>
      <c r="IV761" s="27" t="s">
        <v>7</v>
      </c>
      <c r="LQ761" s="27" t="s">
        <v>8</v>
      </c>
      <c r="LR761" s="27" t="s">
        <v>7</v>
      </c>
    </row>
    <row r="762" spans="1:330" x14ac:dyDescent="0.25">
      <c r="A762" s="7">
        <v>3.1258630127955073E-2</v>
      </c>
      <c r="B762"/>
      <c r="C762"/>
      <c r="D762"/>
      <c r="E762"/>
      <c r="F762" s="27" t="s">
        <v>7</v>
      </c>
      <c r="IO762" s="27" t="s">
        <v>8</v>
      </c>
      <c r="IP762" s="27" t="s">
        <v>7</v>
      </c>
      <c r="IU762" s="27" t="s">
        <v>8</v>
      </c>
      <c r="IV762" s="27" t="s">
        <v>7</v>
      </c>
      <c r="LQ762" s="27" t="s">
        <v>8</v>
      </c>
      <c r="LR762" s="27" t="s">
        <v>7</v>
      </c>
    </row>
    <row r="763" spans="1:330" x14ac:dyDescent="0.25">
      <c r="A763" s="7">
        <v>3.064571581172066E-2</v>
      </c>
      <c r="B763"/>
      <c r="C763"/>
      <c r="D763"/>
      <c r="E763"/>
      <c r="F763" s="27" t="s">
        <v>7</v>
      </c>
      <c r="IO763" s="27" t="s">
        <v>8</v>
      </c>
      <c r="IP763" s="27" t="s">
        <v>7</v>
      </c>
      <c r="IQ763" s="27" t="s">
        <v>8</v>
      </c>
      <c r="IU763" s="27" t="s">
        <v>8</v>
      </c>
      <c r="IV763" s="27" t="s">
        <v>7</v>
      </c>
      <c r="LQ763" s="27" t="s">
        <v>8</v>
      </c>
      <c r="LR763" s="27" t="s">
        <v>7</v>
      </c>
    </row>
    <row r="764" spans="1:330" x14ac:dyDescent="0.25">
      <c r="A764" s="7">
        <v>3.0044819423255549E-2</v>
      </c>
      <c r="B764"/>
      <c r="C764"/>
      <c r="D764"/>
      <c r="E764"/>
      <c r="F764" s="27" t="s">
        <v>7</v>
      </c>
      <c r="IO764" s="27" t="s">
        <v>8</v>
      </c>
      <c r="IP764" s="27" t="s">
        <v>7</v>
      </c>
      <c r="IQ764" s="27" t="s">
        <v>8</v>
      </c>
      <c r="IR764" s="27" t="s">
        <v>7</v>
      </c>
      <c r="IU764" s="27" t="s">
        <v>8</v>
      </c>
      <c r="IV764" s="27" t="s">
        <v>7</v>
      </c>
      <c r="LQ764" s="27" t="s">
        <v>8</v>
      </c>
      <c r="LR764" s="27" t="s">
        <v>7</v>
      </c>
    </row>
    <row r="765" spans="1:330" x14ac:dyDescent="0.25">
      <c r="A765" s="7">
        <v>2.9455705316917203E-2</v>
      </c>
      <c r="B765"/>
      <c r="C765"/>
      <c r="D765"/>
      <c r="E765"/>
      <c r="F765" s="27" t="s">
        <v>7</v>
      </c>
      <c r="IM765" s="27" t="s">
        <v>8</v>
      </c>
      <c r="IO765" s="27" t="s">
        <v>8</v>
      </c>
      <c r="IP765" s="27" t="s">
        <v>7</v>
      </c>
      <c r="IQ765" s="27" t="s">
        <v>8</v>
      </c>
      <c r="IR765" s="27" t="s">
        <v>7</v>
      </c>
      <c r="IU765" s="27" t="s">
        <v>8</v>
      </c>
      <c r="IV765" s="27" t="s">
        <v>7</v>
      </c>
      <c r="LQ765" s="27" t="s">
        <v>8</v>
      </c>
      <c r="LR765" s="27" t="s">
        <v>7</v>
      </c>
    </row>
    <row r="766" spans="1:330" x14ac:dyDescent="0.25">
      <c r="A766" s="7">
        <v>2.8878142467565884E-2</v>
      </c>
      <c r="B766"/>
      <c r="C766"/>
      <c r="D766"/>
      <c r="E766"/>
      <c r="F766" s="27" t="s">
        <v>7</v>
      </c>
      <c r="IM766" s="27" t="s">
        <v>8</v>
      </c>
      <c r="IN766" s="27" t="s">
        <v>7</v>
      </c>
      <c r="IO766" s="27" t="s">
        <v>8</v>
      </c>
      <c r="IP766" s="27" t="s">
        <v>7</v>
      </c>
      <c r="IQ766" s="27" t="s">
        <v>8</v>
      </c>
      <c r="IR766" s="27" t="s">
        <v>7</v>
      </c>
      <c r="IU766" s="27" t="s">
        <v>8</v>
      </c>
      <c r="IV766" s="27" t="s">
        <v>7</v>
      </c>
      <c r="IW766" s="27" t="s">
        <v>8</v>
      </c>
      <c r="LQ766" s="27" t="s">
        <v>8</v>
      </c>
      <c r="LR766" s="27" t="s">
        <v>7</v>
      </c>
    </row>
    <row r="767" spans="1:330" x14ac:dyDescent="0.25">
      <c r="A767" s="7">
        <v>2.8311904379966554E-2</v>
      </c>
      <c r="B767"/>
      <c r="C767"/>
      <c r="D767"/>
      <c r="E767"/>
      <c r="F767" s="27" t="s">
        <v>7</v>
      </c>
      <c r="IM767" s="27" t="s">
        <v>8</v>
      </c>
      <c r="IN767" s="27" t="s">
        <v>7</v>
      </c>
      <c r="IO767" s="27" t="s">
        <v>8</v>
      </c>
      <c r="IP767" s="27" t="s">
        <v>7</v>
      </c>
      <c r="IQ767" s="27" t="s">
        <v>8</v>
      </c>
      <c r="IR767" s="27" t="s">
        <v>7</v>
      </c>
      <c r="IU767" s="27" t="s">
        <v>8</v>
      </c>
      <c r="IV767" s="27" t="s">
        <v>7</v>
      </c>
      <c r="IW767" s="27" t="s">
        <v>8</v>
      </c>
      <c r="IX767" s="27" t="s">
        <v>7</v>
      </c>
      <c r="LQ767" s="27" t="s">
        <v>8</v>
      </c>
      <c r="LR767" s="27" t="s">
        <v>7</v>
      </c>
    </row>
    <row r="768" spans="1:330" x14ac:dyDescent="0.25">
      <c r="A768" s="7">
        <v>2.7756768999967207E-2</v>
      </c>
      <c r="B768"/>
      <c r="C768"/>
      <c r="D768"/>
      <c r="E768"/>
      <c r="F768" s="27" t="s">
        <v>7</v>
      </c>
      <c r="II768" s="27" t="s">
        <v>8</v>
      </c>
      <c r="IM768" s="27" t="s">
        <v>8</v>
      </c>
      <c r="IN768" s="27" t="s">
        <v>7</v>
      </c>
      <c r="IO768" s="27" t="s">
        <v>8</v>
      </c>
      <c r="IP768" s="27" t="s">
        <v>7</v>
      </c>
      <c r="IQ768" s="27" t="s">
        <v>8</v>
      </c>
      <c r="IR768" s="27" t="s">
        <v>7</v>
      </c>
      <c r="IU768" s="27" t="s">
        <v>8</v>
      </c>
      <c r="IV768" s="27" t="s">
        <v>7</v>
      </c>
      <c r="IW768" s="27" t="s">
        <v>8</v>
      </c>
      <c r="IX768" s="27" t="s">
        <v>7</v>
      </c>
      <c r="LQ768" s="27" t="s">
        <v>8</v>
      </c>
      <c r="LR768" s="27" t="s">
        <v>7</v>
      </c>
    </row>
    <row r="769" spans="1:346" x14ac:dyDescent="0.25">
      <c r="A769" s="7">
        <v>2.7212518627418834E-2</v>
      </c>
      <c r="B769"/>
      <c r="C769"/>
      <c r="D769"/>
      <c r="E769"/>
      <c r="F769" s="27" t="s">
        <v>7</v>
      </c>
      <c r="II769" s="27" t="s">
        <v>8</v>
      </c>
      <c r="IJ769" s="27" t="s">
        <v>7</v>
      </c>
      <c r="IM769" s="27" t="s">
        <v>8</v>
      </c>
      <c r="IN769" s="27" t="s">
        <v>7</v>
      </c>
      <c r="IO769" s="27" t="s">
        <v>8</v>
      </c>
      <c r="IP769" s="27" t="s">
        <v>7</v>
      </c>
      <c r="IQ769" s="27" t="s">
        <v>8</v>
      </c>
      <c r="IR769" s="27" t="s">
        <v>7</v>
      </c>
      <c r="IS769" s="27" t="s">
        <v>8</v>
      </c>
      <c r="IU769" s="27" t="s">
        <v>8</v>
      </c>
      <c r="IV769" s="27" t="s">
        <v>7</v>
      </c>
      <c r="IW769" s="27" t="s">
        <v>8</v>
      </c>
      <c r="IX769" s="27" t="s">
        <v>7</v>
      </c>
      <c r="LQ769" s="27" t="s">
        <v>8</v>
      </c>
      <c r="LR769" s="27" t="s">
        <v>7</v>
      </c>
    </row>
    <row r="770" spans="1:346" x14ac:dyDescent="0.25">
      <c r="A770" s="7">
        <v>2.6678939830802779E-2</v>
      </c>
      <c r="B770"/>
      <c r="C770"/>
      <c r="D770"/>
      <c r="E770"/>
      <c r="F770" s="27" t="s">
        <v>7</v>
      </c>
      <c r="IG770" s="27" t="s">
        <v>8</v>
      </c>
      <c r="II770" s="27" t="s">
        <v>8</v>
      </c>
      <c r="IJ770" s="27" t="s">
        <v>7</v>
      </c>
      <c r="IM770" s="27" t="s">
        <v>8</v>
      </c>
      <c r="IN770" s="27" t="s">
        <v>7</v>
      </c>
      <c r="IO770" s="27" t="s">
        <v>8</v>
      </c>
      <c r="IP770" s="27" t="s">
        <v>7</v>
      </c>
      <c r="IQ770" s="27" t="s">
        <v>8</v>
      </c>
      <c r="IR770" s="27" t="s">
        <v>7</v>
      </c>
      <c r="IS770" s="27" t="s">
        <v>8</v>
      </c>
      <c r="IT770" s="27" t="s">
        <v>7</v>
      </c>
      <c r="IU770" s="27" t="s">
        <v>8</v>
      </c>
      <c r="IV770" s="27" t="s">
        <v>7</v>
      </c>
      <c r="IW770" s="27" t="s">
        <v>8</v>
      </c>
      <c r="IX770" s="27" t="s">
        <v>7</v>
      </c>
      <c r="LQ770" s="27" t="s">
        <v>8</v>
      </c>
      <c r="LR770" s="27" t="s">
        <v>7</v>
      </c>
      <c r="MA770" s="27" t="s">
        <v>8</v>
      </c>
    </row>
    <row r="771" spans="1:346" x14ac:dyDescent="0.25">
      <c r="A771" s="7">
        <v>2.615582336353214E-2</v>
      </c>
      <c r="B771"/>
      <c r="C771"/>
      <c r="D771"/>
      <c r="E771"/>
      <c r="F771" s="27" t="s">
        <v>7</v>
      </c>
      <c r="IG771" s="27" t="s">
        <v>8</v>
      </c>
      <c r="IH771" s="27" t="s">
        <v>7</v>
      </c>
      <c r="II771" s="27" t="s">
        <v>8</v>
      </c>
      <c r="IJ771" s="27" t="s">
        <v>7</v>
      </c>
      <c r="IM771" s="27" t="s">
        <v>8</v>
      </c>
      <c r="IN771" s="27" t="s">
        <v>7</v>
      </c>
      <c r="IO771" s="27" t="s">
        <v>8</v>
      </c>
      <c r="IP771" s="27" t="s">
        <v>7</v>
      </c>
      <c r="IR771" s="27" t="s">
        <v>7</v>
      </c>
      <c r="IS771" s="27" t="s">
        <v>8</v>
      </c>
      <c r="IT771" s="27" t="s">
        <v>7</v>
      </c>
      <c r="IU771" s="27" t="s">
        <v>8</v>
      </c>
      <c r="IV771" s="27" t="s">
        <v>7</v>
      </c>
      <c r="IW771" s="27" t="s">
        <v>8</v>
      </c>
      <c r="IX771" s="27" t="s">
        <v>7</v>
      </c>
      <c r="LQ771" s="27" t="s">
        <v>8</v>
      </c>
      <c r="LR771" s="27" t="s">
        <v>7</v>
      </c>
      <c r="MA771" s="27" t="s">
        <v>8</v>
      </c>
      <c r="MB771" s="27" t="s">
        <v>7</v>
      </c>
    </row>
    <row r="772" spans="1:346" x14ac:dyDescent="0.25">
      <c r="A772" s="7">
        <v>2.5642964081894253E-2</v>
      </c>
      <c r="B772"/>
      <c r="C772"/>
      <c r="D772"/>
      <c r="E772"/>
      <c r="F772" s="27" t="s">
        <v>7</v>
      </c>
      <c r="IG772" s="27" t="s">
        <v>8</v>
      </c>
      <c r="IH772" s="27" t="s">
        <v>7</v>
      </c>
      <c r="II772" s="27" t="s">
        <v>8</v>
      </c>
      <c r="IJ772" s="27" t="s">
        <v>7</v>
      </c>
      <c r="IK772" s="27" t="s">
        <v>8</v>
      </c>
      <c r="IM772" s="27" t="s">
        <v>8</v>
      </c>
      <c r="IN772" s="27" t="s">
        <v>7</v>
      </c>
      <c r="IO772" s="27" t="s">
        <v>8</v>
      </c>
      <c r="IR772" s="27" t="s">
        <v>7</v>
      </c>
      <c r="IS772" s="27" t="s">
        <v>8</v>
      </c>
      <c r="IT772" s="27" t="s">
        <v>7</v>
      </c>
      <c r="IU772" s="27" t="s">
        <v>8</v>
      </c>
      <c r="IV772" s="27" t="s">
        <v>7</v>
      </c>
      <c r="IW772" s="27" t="s">
        <v>8</v>
      </c>
      <c r="IX772" s="27" t="s">
        <v>7</v>
      </c>
      <c r="IY772" s="27" t="s">
        <v>8</v>
      </c>
      <c r="LQ772" s="27" t="s">
        <v>8</v>
      </c>
      <c r="LR772" s="27" t="s">
        <v>7</v>
      </c>
      <c r="MA772" s="27" t="s">
        <v>8</v>
      </c>
      <c r="MB772" s="27" t="s">
        <v>7</v>
      </c>
    </row>
    <row r="773" spans="1:346" x14ac:dyDescent="0.25">
      <c r="A773" s="7">
        <v>2.5140160864602207E-2</v>
      </c>
      <c r="B773"/>
      <c r="C773"/>
      <c r="D773"/>
      <c r="E773"/>
      <c r="F773" s="27" t="s">
        <v>7</v>
      </c>
      <c r="IE773" s="27" t="s">
        <v>8</v>
      </c>
      <c r="IG773" s="27" t="s">
        <v>8</v>
      </c>
      <c r="IH773" s="27" t="s">
        <v>7</v>
      </c>
      <c r="II773" s="27" t="s">
        <v>8</v>
      </c>
      <c r="IJ773" s="27" t="s">
        <v>7</v>
      </c>
      <c r="IK773" s="27" t="s">
        <v>8</v>
      </c>
      <c r="IL773" s="27" t="s">
        <v>7</v>
      </c>
      <c r="IM773" s="27" t="s">
        <v>8</v>
      </c>
      <c r="IN773" s="27" t="s">
        <v>7</v>
      </c>
      <c r="IO773" s="27" t="s">
        <v>8</v>
      </c>
      <c r="IR773" s="27" t="s">
        <v>7</v>
      </c>
      <c r="IS773" s="27" t="s">
        <v>8</v>
      </c>
      <c r="IT773" s="27" t="s">
        <v>7</v>
      </c>
      <c r="IU773" s="27" t="s">
        <v>8</v>
      </c>
      <c r="IV773" s="27" t="s">
        <v>7</v>
      </c>
      <c r="IW773" s="27" t="s">
        <v>8</v>
      </c>
      <c r="IX773" s="27" t="s">
        <v>7</v>
      </c>
      <c r="IY773" s="27" t="s">
        <v>8</v>
      </c>
      <c r="IZ773" s="27" t="s">
        <v>7</v>
      </c>
      <c r="LQ773" s="27" t="s">
        <v>8</v>
      </c>
      <c r="LR773" s="27" t="s">
        <v>7</v>
      </c>
      <c r="MA773" s="27" t="s">
        <v>8</v>
      </c>
      <c r="MB773" s="27" t="s">
        <v>7</v>
      </c>
      <c r="ME773" s="27" t="s">
        <v>8</v>
      </c>
    </row>
    <row r="774" spans="1:346" x14ac:dyDescent="0.25">
      <c r="A774" s="7">
        <v>2.4647216533923735E-2</v>
      </c>
      <c r="B774"/>
      <c r="C774"/>
      <c r="D774"/>
      <c r="E774"/>
      <c r="F774" s="27" t="s">
        <v>7</v>
      </c>
      <c r="IE774" s="27" t="s">
        <v>8</v>
      </c>
      <c r="IF774" s="27" t="s">
        <v>7</v>
      </c>
      <c r="IG774" s="27" t="s">
        <v>8</v>
      </c>
      <c r="IH774" s="27" t="s">
        <v>7</v>
      </c>
      <c r="II774" s="27" t="s">
        <v>8</v>
      </c>
      <c r="IJ774" s="27" t="s">
        <v>7</v>
      </c>
      <c r="IK774" s="27" t="s">
        <v>8</v>
      </c>
      <c r="IL774" s="27" t="s">
        <v>7</v>
      </c>
      <c r="IM774" s="27" t="s">
        <v>8</v>
      </c>
      <c r="IN774" s="27" t="s">
        <v>7</v>
      </c>
      <c r="IO774" s="27" t="s">
        <v>8</v>
      </c>
      <c r="IR774" s="27" t="s">
        <v>7</v>
      </c>
      <c r="IS774" s="27" t="s">
        <v>8</v>
      </c>
      <c r="IT774" s="27" t="s">
        <v>7</v>
      </c>
      <c r="IV774" s="27" t="s">
        <v>7</v>
      </c>
      <c r="IW774" s="27" t="s">
        <v>8</v>
      </c>
      <c r="IX774" s="27" t="s">
        <v>7</v>
      </c>
      <c r="IY774" s="27" t="s">
        <v>8</v>
      </c>
      <c r="IZ774" s="27" t="s">
        <v>7</v>
      </c>
      <c r="JI774" s="27" t="s">
        <v>8</v>
      </c>
      <c r="LQ774" s="27" t="s">
        <v>8</v>
      </c>
      <c r="LR774" s="27" t="s">
        <v>7</v>
      </c>
      <c r="MA774" s="27" t="s">
        <v>8</v>
      </c>
      <c r="MB774" s="27" t="s">
        <v>7</v>
      </c>
      <c r="ME774" s="27" t="s">
        <v>8</v>
      </c>
      <c r="MF774" s="27" t="s">
        <v>7</v>
      </c>
    </row>
    <row r="775" spans="1:346" x14ac:dyDescent="0.25">
      <c r="A775" s="7">
        <v>2.4163937778356601E-2</v>
      </c>
      <c r="B775"/>
      <c r="C775"/>
      <c r="D775"/>
      <c r="E775"/>
      <c r="F775" s="27" t="s">
        <v>7</v>
      </c>
      <c r="IE775" s="27" t="s">
        <v>8</v>
      </c>
      <c r="IF775" s="27" t="s">
        <v>7</v>
      </c>
      <c r="IG775" s="27" t="s">
        <v>8</v>
      </c>
      <c r="IH775" s="27" t="s">
        <v>7</v>
      </c>
      <c r="II775" s="27" t="s">
        <v>8</v>
      </c>
      <c r="IJ775" s="27" t="s">
        <v>7</v>
      </c>
      <c r="IK775" s="27" t="s">
        <v>8</v>
      </c>
      <c r="IL775" s="27" t="s">
        <v>7</v>
      </c>
      <c r="IM775" s="27" t="s">
        <v>8</v>
      </c>
      <c r="IN775" s="27" t="s">
        <v>7</v>
      </c>
      <c r="IO775" s="27" t="s">
        <v>8</v>
      </c>
      <c r="IR775" s="27" t="s">
        <v>7</v>
      </c>
      <c r="IS775" s="27" t="s">
        <v>8</v>
      </c>
      <c r="IV775" s="27" t="s">
        <v>7</v>
      </c>
      <c r="IW775" s="27" t="s">
        <v>8</v>
      </c>
      <c r="IX775" s="27" t="s">
        <v>7</v>
      </c>
      <c r="IY775" s="27" t="s">
        <v>8</v>
      </c>
      <c r="IZ775" s="27" t="s">
        <v>7</v>
      </c>
      <c r="JE775" s="27" t="s">
        <v>8</v>
      </c>
      <c r="JG775" s="27" t="s">
        <v>8</v>
      </c>
      <c r="JI775" s="27" t="s">
        <v>8</v>
      </c>
      <c r="JJ775" s="27" t="s">
        <v>7</v>
      </c>
      <c r="LQ775" s="27" t="s">
        <v>8</v>
      </c>
      <c r="LR775" s="27" t="s">
        <v>7</v>
      </c>
      <c r="MA775" s="27" t="s">
        <v>8</v>
      </c>
      <c r="MB775" s="27" t="s">
        <v>7</v>
      </c>
      <c r="ME775" s="27" t="s">
        <v>8</v>
      </c>
      <c r="MF775" s="27" t="s">
        <v>7</v>
      </c>
    </row>
    <row r="776" spans="1:346" x14ac:dyDescent="0.25">
      <c r="A776" s="7">
        <v>2.3690135076820197E-2</v>
      </c>
      <c r="B776"/>
      <c r="C776"/>
      <c r="D776"/>
      <c r="E776"/>
      <c r="F776" s="27" t="s">
        <v>7</v>
      </c>
      <c r="IE776" s="27" t="s">
        <v>8</v>
      </c>
      <c r="IF776" s="27" t="s">
        <v>7</v>
      </c>
      <c r="IG776" s="27" t="s">
        <v>8</v>
      </c>
      <c r="IH776" s="27" t="s">
        <v>7</v>
      </c>
      <c r="II776" s="27" t="s">
        <v>8</v>
      </c>
      <c r="IJ776" s="27" t="s">
        <v>7</v>
      </c>
      <c r="IK776" s="27" t="s">
        <v>8</v>
      </c>
      <c r="IL776" s="27" t="s">
        <v>7</v>
      </c>
      <c r="IN776" s="27" t="s">
        <v>7</v>
      </c>
      <c r="IR776" s="27" t="s">
        <v>7</v>
      </c>
      <c r="IS776" s="27" t="s">
        <v>8</v>
      </c>
      <c r="IV776" s="27" t="s">
        <v>7</v>
      </c>
      <c r="IX776" s="27" t="s">
        <v>7</v>
      </c>
      <c r="IY776" s="27" t="s">
        <v>8</v>
      </c>
      <c r="IZ776" s="27" t="s">
        <v>7</v>
      </c>
      <c r="JC776" s="27" t="s">
        <v>8</v>
      </c>
      <c r="JE776" s="27" t="s">
        <v>8</v>
      </c>
      <c r="JF776" s="27" t="s">
        <v>7</v>
      </c>
      <c r="JG776" s="27" t="s">
        <v>8</v>
      </c>
      <c r="JH776" s="27" t="s">
        <v>7</v>
      </c>
      <c r="JI776" s="27" t="s">
        <v>8</v>
      </c>
      <c r="JJ776" s="27" t="s">
        <v>7</v>
      </c>
      <c r="LQ776" s="27" t="s">
        <v>8</v>
      </c>
      <c r="LR776" s="27" t="s">
        <v>7</v>
      </c>
      <c r="MA776" s="27" t="s">
        <v>8</v>
      </c>
      <c r="MB776" s="27" t="s">
        <v>7</v>
      </c>
      <c r="ME776" s="27" t="s">
        <v>8</v>
      </c>
      <c r="MF776" s="27" t="s">
        <v>7</v>
      </c>
    </row>
    <row r="777" spans="1:346" x14ac:dyDescent="0.25">
      <c r="A777" s="7">
        <v>2.3225622624333527E-2</v>
      </c>
      <c r="B777"/>
      <c r="C777"/>
      <c r="D777"/>
      <c r="E777"/>
      <c r="F777" s="27" t="s">
        <v>7</v>
      </c>
      <c r="IE777" s="27" t="s">
        <v>8</v>
      </c>
      <c r="IF777" s="27" t="s">
        <v>7</v>
      </c>
      <c r="IG777" s="27" t="s">
        <v>8</v>
      </c>
      <c r="IH777" s="27" t="s">
        <v>7</v>
      </c>
      <c r="II777" s="27" t="s">
        <v>8</v>
      </c>
      <c r="IJ777" s="27" t="s">
        <v>7</v>
      </c>
      <c r="IK777" s="27" t="s">
        <v>8</v>
      </c>
      <c r="IR777" s="27" t="s">
        <v>7</v>
      </c>
      <c r="IX777" s="27" t="s">
        <v>7</v>
      </c>
      <c r="IY777" s="27" t="s">
        <v>8</v>
      </c>
      <c r="IZ777" s="27" t="s">
        <v>7</v>
      </c>
      <c r="JC777" s="27" t="s">
        <v>8</v>
      </c>
      <c r="JD777" s="27" t="s">
        <v>7</v>
      </c>
      <c r="JE777" s="27" t="s">
        <v>8</v>
      </c>
      <c r="JF777" s="27" t="s">
        <v>7</v>
      </c>
      <c r="JG777" s="27" t="s">
        <v>8</v>
      </c>
      <c r="JH777" s="27" t="s">
        <v>7</v>
      </c>
      <c r="JI777" s="27" t="s">
        <v>8</v>
      </c>
      <c r="JJ777" s="27" t="s">
        <v>7</v>
      </c>
      <c r="LQ777" s="27" t="s">
        <v>8</v>
      </c>
      <c r="LR777" s="27" t="s">
        <v>7</v>
      </c>
      <c r="MA777" s="27" t="s">
        <v>8</v>
      </c>
      <c r="MB777" s="27" t="s">
        <v>7</v>
      </c>
      <c r="ME777" s="27" t="s">
        <v>8</v>
      </c>
      <c r="MF777" s="27" t="s">
        <v>7</v>
      </c>
    </row>
    <row r="778" spans="1:346" x14ac:dyDescent="0.25">
      <c r="A778" s="7">
        <v>2.2770218259150519E-2</v>
      </c>
      <c r="B778"/>
      <c r="C778"/>
      <c r="D778"/>
      <c r="E778"/>
      <c r="F778" s="27" t="s">
        <v>7</v>
      </c>
      <c r="IE778" s="27" t="s">
        <v>8</v>
      </c>
      <c r="IF778" s="27" t="s">
        <v>7</v>
      </c>
      <c r="IG778" s="27" t="s">
        <v>8</v>
      </c>
      <c r="IH778" s="27" t="s">
        <v>7</v>
      </c>
      <c r="II778" s="27" t="s">
        <v>8</v>
      </c>
      <c r="IJ778" s="27" t="s">
        <v>7</v>
      </c>
      <c r="IK778" s="27" t="s">
        <v>8</v>
      </c>
      <c r="IX778" s="27" t="s">
        <v>7</v>
      </c>
      <c r="IY778" s="27" t="s">
        <v>8</v>
      </c>
      <c r="IZ778" s="27" t="s">
        <v>7</v>
      </c>
      <c r="JC778" s="27" t="s">
        <v>8</v>
      </c>
      <c r="JD778" s="27" t="s">
        <v>7</v>
      </c>
      <c r="JE778" s="27" t="s">
        <v>8</v>
      </c>
      <c r="JF778" s="27" t="s">
        <v>7</v>
      </c>
      <c r="JG778" s="27" t="s">
        <v>8</v>
      </c>
      <c r="JH778" s="27" t="s">
        <v>7</v>
      </c>
      <c r="JI778" s="27" t="s">
        <v>8</v>
      </c>
      <c r="JJ778" s="27" t="s">
        <v>7</v>
      </c>
      <c r="LQ778" s="27" t="s">
        <v>8</v>
      </c>
      <c r="LR778" s="27" t="s">
        <v>7</v>
      </c>
      <c r="MA778" s="27" t="s">
        <v>8</v>
      </c>
      <c r="MB778" s="27" t="s">
        <v>7</v>
      </c>
      <c r="ME778" s="27" t="s">
        <v>8</v>
      </c>
      <c r="MF778" s="27" t="s">
        <v>7</v>
      </c>
    </row>
    <row r="779" spans="1:346" x14ac:dyDescent="0.25">
      <c r="A779" s="7">
        <v>2.2323743391324039E-2</v>
      </c>
      <c r="B779"/>
      <c r="C779"/>
      <c r="D779"/>
      <c r="E779"/>
      <c r="F779" s="27" t="s">
        <v>7</v>
      </c>
      <c r="IE779" s="27" t="s">
        <v>8</v>
      </c>
      <c r="IF779" s="27" t="s">
        <v>7</v>
      </c>
      <c r="IG779" s="27" t="s">
        <v>8</v>
      </c>
      <c r="IH779" s="27" t="s">
        <v>7</v>
      </c>
      <c r="II779" s="27" t="s">
        <v>8</v>
      </c>
      <c r="IJ779" s="27" t="s">
        <v>7</v>
      </c>
      <c r="IK779" s="27" t="s">
        <v>8</v>
      </c>
      <c r="IX779" s="27" t="s">
        <v>7</v>
      </c>
      <c r="IY779" s="27" t="s">
        <v>8</v>
      </c>
      <c r="IZ779" s="27" t="s">
        <v>7</v>
      </c>
      <c r="JC779" s="27" t="s">
        <v>8</v>
      </c>
      <c r="JD779" s="27" t="s">
        <v>7</v>
      </c>
      <c r="JE779" s="27" t="s">
        <v>8</v>
      </c>
      <c r="JF779" s="27" t="s">
        <v>7</v>
      </c>
      <c r="JH779" s="27" t="s">
        <v>7</v>
      </c>
      <c r="JI779" s="27" t="s">
        <v>8</v>
      </c>
      <c r="JJ779" s="27" t="s">
        <v>7</v>
      </c>
      <c r="LQ779" s="27" t="s">
        <v>8</v>
      </c>
      <c r="LR779" s="27" t="s">
        <v>7</v>
      </c>
      <c r="MA779" s="27" t="s">
        <v>8</v>
      </c>
      <c r="MB779" s="27" t="s">
        <v>7</v>
      </c>
      <c r="ME779" s="27" t="s">
        <v>8</v>
      </c>
      <c r="MF779" s="27" t="s">
        <v>7</v>
      </c>
    </row>
    <row r="780" spans="1:346" x14ac:dyDescent="0.25">
      <c r="A780" s="7">
        <v>2.188602293267063E-2</v>
      </c>
      <c r="B780"/>
      <c r="C780"/>
      <c r="D780"/>
      <c r="E780"/>
      <c r="F780" s="27" t="s">
        <v>7</v>
      </c>
      <c r="IE780" s="27" t="s">
        <v>8</v>
      </c>
      <c r="IF780" s="27" t="s">
        <v>7</v>
      </c>
      <c r="IG780" s="27" t="s">
        <v>8</v>
      </c>
      <c r="IH780" s="27" t="s">
        <v>7</v>
      </c>
      <c r="II780" s="27" t="s">
        <v>8</v>
      </c>
      <c r="IJ780" s="27" t="s">
        <v>7</v>
      </c>
      <c r="IK780" s="27" t="s">
        <v>8</v>
      </c>
      <c r="IX780" s="27" t="s">
        <v>7</v>
      </c>
      <c r="IZ780" s="27" t="s">
        <v>7</v>
      </c>
      <c r="JC780" s="27" t="s">
        <v>8</v>
      </c>
      <c r="JD780" s="27" t="s">
        <v>7</v>
      </c>
      <c r="JE780" s="27" t="s">
        <v>8</v>
      </c>
      <c r="JH780" s="27" t="s">
        <v>7</v>
      </c>
      <c r="JI780" s="27" t="s">
        <v>8</v>
      </c>
      <c r="JJ780" s="27" t="s">
        <v>7</v>
      </c>
      <c r="JK780" s="27" t="s">
        <v>8</v>
      </c>
      <c r="LQ780" s="27" t="s">
        <v>8</v>
      </c>
      <c r="LR780" s="27" t="s">
        <v>7</v>
      </c>
      <c r="MA780" s="27" t="s">
        <v>8</v>
      </c>
      <c r="MB780" s="27" t="s">
        <v>7</v>
      </c>
      <c r="ME780" s="27" t="s">
        <v>8</v>
      </c>
      <c r="MF780" s="27" t="s">
        <v>7</v>
      </c>
    </row>
    <row r="781" spans="1:346" x14ac:dyDescent="0.25">
      <c r="A781" s="7">
        <v>2.1456885228108461E-2</v>
      </c>
      <c r="B781"/>
      <c r="C781"/>
      <c r="D781"/>
      <c r="E781"/>
      <c r="F781" s="27" t="s">
        <v>7</v>
      </c>
      <c r="IE781" s="27" t="s">
        <v>8</v>
      </c>
      <c r="IF781" s="27" t="s">
        <v>7</v>
      </c>
      <c r="IG781" s="27" t="s">
        <v>8</v>
      </c>
      <c r="IH781" s="27" t="s">
        <v>7</v>
      </c>
      <c r="II781" s="27" t="s">
        <v>8</v>
      </c>
      <c r="IJ781" s="27" t="s">
        <v>7</v>
      </c>
      <c r="IK781" s="27" t="s">
        <v>8</v>
      </c>
      <c r="IZ781" s="27" t="s">
        <v>7</v>
      </c>
      <c r="JC781" s="27" t="s">
        <v>8</v>
      </c>
      <c r="JD781" s="27" t="s">
        <v>7</v>
      </c>
      <c r="JE781" s="27" t="s">
        <v>8</v>
      </c>
      <c r="JH781" s="27" t="s">
        <v>7</v>
      </c>
      <c r="JI781" s="27" t="s">
        <v>8</v>
      </c>
      <c r="JJ781" s="27" t="s">
        <v>7</v>
      </c>
      <c r="JK781" s="27" t="s">
        <v>8</v>
      </c>
      <c r="JL781" s="27" t="s">
        <v>7</v>
      </c>
      <c r="LQ781" s="27" t="s">
        <v>8</v>
      </c>
      <c r="LR781" s="27" t="s">
        <v>7</v>
      </c>
      <c r="MA781" s="27" t="s">
        <v>8</v>
      </c>
      <c r="MB781" s="27" t="s">
        <v>7</v>
      </c>
      <c r="ME781" s="27" t="s">
        <v>8</v>
      </c>
      <c r="MF781" s="27" t="s">
        <v>7</v>
      </c>
      <c r="MG781" s="27" t="s">
        <v>8</v>
      </c>
    </row>
    <row r="782" spans="1:346" x14ac:dyDescent="0.25">
      <c r="A782" s="7">
        <v>2.1036161988341632E-2</v>
      </c>
      <c r="B782"/>
      <c r="C782"/>
      <c r="D782"/>
      <c r="E782"/>
      <c r="F782" s="27" t="s">
        <v>7</v>
      </c>
      <c r="IE782" s="27" t="s">
        <v>8</v>
      </c>
      <c r="IF782" s="27" t="s">
        <v>7</v>
      </c>
      <c r="IG782" s="27" t="s">
        <v>8</v>
      </c>
      <c r="IH782" s="27" t="s">
        <v>7</v>
      </c>
      <c r="IJ782" s="27" t="s">
        <v>7</v>
      </c>
      <c r="IK782" s="27" t="s">
        <v>8</v>
      </c>
      <c r="IZ782" s="27" t="s">
        <v>7</v>
      </c>
      <c r="JC782" s="27" t="s">
        <v>8</v>
      </c>
      <c r="JD782" s="27" t="s">
        <v>7</v>
      </c>
      <c r="JE782" s="27" t="s">
        <v>8</v>
      </c>
      <c r="JH782" s="27" t="s">
        <v>7</v>
      </c>
      <c r="JI782" s="27" t="s">
        <v>8</v>
      </c>
      <c r="JJ782" s="27" t="s">
        <v>7</v>
      </c>
      <c r="JK782" s="27" t="s">
        <v>8</v>
      </c>
      <c r="JL782" s="27" t="s">
        <v>7</v>
      </c>
      <c r="LQ782" s="27" t="s">
        <v>8</v>
      </c>
      <c r="LR782" s="27" t="s">
        <v>7</v>
      </c>
      <c r="MA782" s="27" t="s">
        <v>8</v>
      </c>
      <c r="MB782" s="27" t="s">
        <v>7</v>
      </c>
      <c r="ME782" s="27" t="s">
        <v>8</v>
      </c>
      <c r="MF782" s="27" t="s">
        <v>7</v>
      </c>
      <c r="MG782" s="27" t="s">
        <v>8</v>
      </c>
      <c r="MH782" s="27" t="s">
        <v>7</v>
      </c>
    </row>
    <row r="783" spans="1:346" x14ac:dyDescent="0.25">
      <c r="A783" s="7">
        <v>2.0623688223864345E-2</v>
      </c>
      <c r="B783"/>
      <c r="C783"/>
      <c r="D783"/>
      <c r="E783"/>
      <c r="F783" s="27" t="s">
        <v>7</v>
      </c>
      <c r="IE783" s="27" t="s">
        <v>8</v>
      </c>
      <c r="IF783" s="27" t="s">
        <v>7</v>
      </c>
      <c r="IG783" s="27" t="s">
        <v>8</v>
      </c>
      <c r="IJ783" s="27" t="s">
        <v>7</v>
      </c>
      <c r="IK783" s="27" t="s">
        <v>8</v>
      </c>
      <c r="IZ783" s="27" t="s">
        <v>7</v>
      </c>
      <c r="JC783" s="27" t="s">
        <v>8</v>
      </c>
      <c r="JD783" s="27" t="s">
        <v>7</v>
      </c>
      <c r="JH783" s="27" t="s">
        <v>7</v>
      </c>
      <c r="JI783" s="27" t="s">
        <v>8</v>
      </c>
      <c r="JJ783" s="27" t="s">
        <v>7</v>
      </c>
      <c r="JK783" s="27" t="s">
        <v>8</v>
      </c>
      <c r="JL783" s="27" t="s">
        <v>7</v>
      </c>
      <c r="JM783" s="27" t="s">
        <v>8</v>
      </c>
      <c r="LQ783" s="27" t="s">
        <v>8</v>
      </c>
      <c r="LR783" s="27" t="s">
        <v>7</v>
      </c>
      <c r="MA783" s="27" t="s">
        <v>8</v>
      </c>
      <c r="MB783" s="27" t="s">
        <v>7</v>
      </c>
      <c r="ME783" s="27" t="s">
        <v>8</v>
      </c>
      <c r="MF783" s="27" t="s">
        <v>7</v>
      </c>
      <c r="MG783" s="27" t="s">
        <v>8</v>
      </c>
      <c r="MH783" s="27" t="s">
        <v>7</v>
      </c>
    </row>
    <row r="784" spans="1:346" x14ac:dyDescent="0.25">
      <c r="A784" s="7">
        <v>2.021930218025916E-2</v>
      </c>
      <c r="B784"/>
      <c r="C784"/>
      <c r="D784"/>
      <c r="E784"/>
      <c r="F784" s="27" t="s">
        <v>7</v>
      </c>
      <c r="IE784" s="27" t="s">
        <v>8</v>
      </c>
      <c r="IF784" s="27" t="s">
        <v>7</v>
      </c>
      <c r="IG784" s="27" t="s">
        <v>8</v>
      </c>
      <c r="IJ784" s="27" t="s">
        <v>7</v>
      </c>
      <c r="IK784" s="27" t="s">
        <v>8</v>
      </c>
      <c r="IZ784" s="27" t="s">
        <v>7</v>
      </c>
      <c r="JC784" s="27" t="s">
        <v>8</v>
      </c>
      <c r="JH784" s="27" t="s">
        <v>7</v>
      </c>
      <c r="JI784" s="27" t="s">
        <v>8</v>
      </c>
      <c r="JJ784" s="27" t="s">
        <v>7</v>
      </c>
      <c r="JK784" s="27" t="s">
        <v>8</v>
      </c>
      <c r="JL784" s="27" t="s">
        <v>7</v>
      </c>
      <c r="JM784" s="27" t="s">
        <v>8</v>
      </c>
      <c r="JN784" s="27" t="s">
        <v>7</v>
      </c>
      <c r="LQ784" s="27" t="s">
        <v>8</v>
      </c>
      <c r="LR784" s="27" t="s">
        <v>7</v>
      </c>
      <c r="MA784" s="27" t="s">
        <v>8</v>
      </c>
      <c r="MB784" s="27" t="s">
        <v>7</v>
      </c>
      <c r="ME784" s="27" t="s">
        <v>8</v>
      </c>
      <c r="MF784" s="27" t="s">
        <v>7</v>
      </c>
      <c r="MG784" s="27" t="s">
        <v>8</v>
      </c>
      <c r="MH784" s="27" t="s">
        <v>7</v>
      </c>
    </row>
    <row r="785" spans="1:372" x14ac:dyDescent="0.25">
      <c r="A785" s="7">
        <v>1.9822845274763884E-2</v>
      </c>
      <c r="B785"/>
      <c r="C785"/>
      <c r="D785"/>
      <c r="E785"/>
      <c r="F785" s="27" t="s">
        <v>7</v>
      </c>
      <c r="IE785" s="27" t="s">
        <v>8</v>
      </c>
      <c r="IF785" s="27" t="s">
        <v>7</v>
      </c>
      <c r="IG785" s="27" t="s">
        <v>8</v>
      </c>
      <c r="IJ785" s="27" t="s">
        <v>7</v>
      </c>
      <c r="IZ785" s="27" t="s">
        <v>7</v>
      </c>
      <c r="JC785" s="27" t="s">
        <v>8</v>
      </c>
      <c r="JH785" s="27" t="s">
        <v>7</v>
      </c>
      <c r="JI785" s="27" t="s">
        <v>8</v>
      </c>
      <c r="JJ785" s="27" t="s">
        <v>7</v>
      </c>
      <c r="JK785" s="27" t="s">
        <v>8</v>
      </c>
      <c r="JL785" s="27" t="s">
        <v>7</v>
      </c>
      <c r="JM785" s="27" t="s">
        <v>8</v>
      </c>
      <c r="JN785" s="27" t="s">
        <v>7</v>
      </c>
      <c r="LQ785" s="27" t="s">
        <v>8</v>
      </c>
      <c r="LR785" s="27" t="s">
        <v>7</v>
      </c>
      <c r="MA785" s="27" t="s">
        <v>8</v>
      </c>
      <c r="MB785" s="27" t="s">
        <v>7</v>
      </c>
      <c r="ME785" s="27" t="s">
        <v>8</v>
      </c>
      <c r="MF785" s="27" t="s">
        <v>7</v>
      </c>
      <c r="MG785" s="27" t="s">
        <v>8</v>
      </c>
      <c r="MH785" s="27" t="s">
        <v>7</v>
      </c>
      <c r="MI785" s="27" t="s">
        <v>8</v>
      </c>
    </row>
    <row r="786" spans="1:372" x14ac:dyDescent="0.25">
      <c r="A786" s="7">
        <v>1.9434162034082238E-2</v>
      </c>
      <c r="B786"/>
      <c r="C786"/>
      <c r="D786"/>
      <c r="E786"/>
      <c r="F786" s="27" t="s">
        <v>7</v>
      </c>
      <c r="IE786" s="27" t="s">
        <v>8</v>
      </c>
      <c r="IF786" s="27" t="s">
        <v>7</v>
      </c>
      <c r="IG786" s="27" t="s">
        <v>8</v>
      </c>
      <c r="IZ786" s="27" t="s">
        <v>7</v>
      </c>
      <c r="JA786" s="27" t="s">
        <v>8</v>
      </c>
      <c r="JC786" s="27" t="s">
        <v>8</v>
      </c>
      <c r="JH786" s="27" t="s">
        <v>7</v>
      </c>
      <c r="JJ786" s="27" t="s">
        <v>7</v>
      </c>
      <c r="JK786" s="27" t="s">
        <v>8</v>
      </c>
      <c r="JL786" s="27" t="s">
        <v>7</v>
      </c>
      <c r="JM786" s="27" t="s">
        <v>8</v>
      </c>
      <c r="JN786" s="27" t="s">
        <v>7</v>
      </c>
      <c r="LQ786" s="27" t="s">
        <v>8</v>
      </c>
      <c r="LR786" s="27" t="s">
        <v>7</v>
      </c>
      <c r="MA786" s="27" t="s">
        <v>8</v>
      </c>
      <c r="MB786" s="27" t="s">
        <v>7</v>
      </c>
      <c r="ME786" s="27" t="s">
        <v>8</v>
      </c>
      <c r="MF786" s="27" t="s">
        <v>7</v>
      </c>
      <c r="MG786" s="27" t="s">
        <v>8</v>
      </c>
      <c r="MH786" s="27" t="s">
        <v>7</v>
      </c>
      <c r="MI786" s="27" t="s">
        <v>8</v>
      </c>
      <c r="MJ786" s="27" t="s">
        <v>7</v>
      </c>
      <c r="MK786" s="27" t="s">
        <v>8</v>
      </c>
      <c r="NE786" s="27" t="s">
        <v>8</v>
      </c>
    </row>
    <row r="787" spans="1:372" x14ac:dyDescent="0.25">
      <c r="A787" s="7">
        <v>1.9053100033413959E-2</v>
      </c>
      <c r="B787"/>
      <c r="C787"/>
      <c r="D787"/>
      <c r="E787"/>
      <c r="F787" s="27" t="s">
        <v>7</v>
      </c>
      <c r="IE787" s="27" t="s">
        <v>8</v>
      </c>
      <c r="IF787" s="27" t="s">
        <v>7</v>
      </c>
      <c r="IG787" s="27" t="s">
        <v>8</v>
      </c>
      <c r="IZ787" s="27" t="s">
        <v>7</v>
      </c>
      <c r="JA787" s="27" t="s">
        <v>8</v>
      </c>
      <c r="JB787" s="27" t="s">
        <v>7</v>
      </c>
      <c r="JC787" s="27" t="s">
        <v>8</v>
      </c>
      <c r="JJ787" s="27" t="s">
        <v>7</v>
      </c>
      <c r="JK787" s="27" t="s">
        <v>8</v>
      </c>
      <c r="JL787" s="27" t="s">
        <v>7</v>
      </c>
      <c r="JM787" s="27" t="s">
        <v>8</v>
      </c>
      <c r="JN787" s="27" t="s">
        <v>7</v>
      </c>
      <c r="LQ787" s="27" t="s">
        <v>8</v>
      </c>
      <c r="LR787" s="27" t="s">
        <v>7</v>
      </c>
      <c r="MA787" s="27" t="s">
        <v>8</v>
      </c>
      <c r="MB787" s="27" t="s">
        <v>7</v>
      </c>
      <c r="ME787" s="27" t="s">
        <v>8</v>
      </c>
      <c r="MF787" s="27" t="s">
        <v>7</v>
      </c>
      <c r="MG787" s="27" t="s">
        <v>8</v>
      </c>
      <c r="MH787" s="27" t="s">
        <v>7</v>
      </c>
      <c r="MI787" s="27" t="s">
        <v>8</v>
      </c>
      <c r="MJ787" s="27" t="s">
        <v>7</v>
      </c>
      <c r="MK787" s="27" t="s">
        <v>8</v>
      </c>
      <c r="ML787" s="27" t="s">
        <v>7</v>
      </c>
      <c r="NE787" s="27" t="s">
        <v>8</v>
      </c>
      <c r="NF787" s="27" t="s">
        <v>7</v>
      </c>
    </row>
    <row r="788" spans="1:372" x14ac:dyDescent="0.25">
      <c r="A788" s="7">
        <v>1.867950983668035E-2</v>
      </c>
      <c r="B788"/>
      <c r="C788"/>
      <c r="D788"/>
      <c r="E788"/>
      <c r="F788" s="27" t="s">
        <v>7</v>
      </c>
      <c r="IE788" s="27" t="s">
        <v>8</v>
      </c>
      <c r="IF788" s="27" t="s">
        <v>7</v>
      </c>
      <c r="IG788" s="27" t="s">
        <v>8</v>
      </c>
      <c r="IZ788" s="27" t="s">
        <v>7</v>
      </c>
      <c r="JA788" s="27" t="s">
        <v>8</v>
      </c>
      <c r="JB788" s="27" t="s">
        <v>7</v>
      </c>
      <c r="JC788" s="27" t="s">
        <v>8</v>
      </c>
      <c r="JJ788" s="27" t="s">
        <v>7</v>
      </c>
      <c r="JK788" s="27" t="s">
        <v>8</v>
      </c>
      <c r="JL788" s="27" t="s">
        <v>7</v>
      </c>
      <c r="JM788" s="27" t="s">
        <v>8</v>
      </c>
      <c r="JN788" s="27" t="s">
        <v>7</v>
      </c>
      <c r="LQ788" s="27" t="s">
        <v>8</v>
      </c>
      <c r="LR788" s="27" t="s">
        <v>7</v>
      </c>
      <c r="MA788" s="27" t="s">
        <v>8</v>
      </c>
      <c r="MB788" s="27" t="s">
        <v>7</v>
      </c>
      <c r="MC788" s="27" t="s">
        <v>8</v>
      </c>
      <c r="ME788" s="27" t="s">
        <v>8</v>
      </c>
      <c r="MF788" s="27" t="s">
        <v>7</v>
      </c>
      <c r="MH788" s="27" t="s">
        <v>7</v>
      </c>
      <c r="MI788" s="27" t="s">
        <v>8</v>
      </c>
      <c r="MJ788" s="27" t="s">
        <v>7</v>
      </c>
      <c r="MK788" s="27" t="s">
        <v>8</v>
      </c>
      <c r="ML788" s="27" t="s">
        <v>7</v>
      </c>
      <c r="MO788" s="27" t="s">
        <v>8</v>
      </c>
      <c r="NE788" s="27" t="s">
        <v>8</v>
      </c>
      <c r="NF788" s="27" t="s">
        <v>7</v>
      </c>
    </row>
    <row r="789" spans="1:372" x14ac:dyDescent="0.25">
      <c r="A789" s="7">
        <v>1.8313244937921913E-2</v>
      </c>
      <c r="B789"/>
      <c r="C789"/>
      <c r="D789"/>
      <c r="E789"/>
      <c r="F789" s="27" t="s">
        <v>7</v>
      </c>
      <c r="IE789" s="27" t="s">
        <v>8</v>
      </c>
      <c r="IF789" s="27" t="s">
        <v>7</v>
      </c>
      <c r="IZ789" s="27" t="s">
        <v>7</v>
      </c>
      <c r="JA789" s="27" t="s">
        <v>8</v>
      </c>
      <c r="JB789" s="27" t="s">
        <v>7</v>
      </c>
      <c r="JC789" s="27" t="s">
        <v>8</v>
      </c>
      <c r="JJ789" s="27" t="s">
        <v>7</v>
      </c>
      <c r="JL789" s="27" t="s">
        <v>7</v>
      </c>
      <c r="JM789" s="27" t="s">
        <v>8</v>
      </c>
      <c r="JN789" s="27" t="s">
        <v>7</v>
      </c>
      <c r="LQ789" s="27" t="s">
        <v>8</v>
      </c>
      <c r="LR789" s="27" t="s">
        <v>7</v>
      </c>
      <c r="MA789" s="27" t="s">
        <v>8</v>
      </c>
      <c r="MB789" s="27" t="s">
        <v>7</v>
      </c>
      <c r="MC789" s="27" t="s">
        <v>8</v>
      </c>
      <c r="MD789" s="27" t="s">
        <v>7</v>
      </c>
      <c r="ME789" s="27" t="s">
        <v>8</v>
      </c>
      <c r="MH789" s="27" t="s">
        <v>7</v>
      </c>
      <c r="MJ789" s="27" t="s">
        <v>7</v>
      </c>
      <c r="MK789" s="27" t="s">
        <v>8</v>
      </c>
      <c r="ML789" s="27" t="s">
        <v>7</v>
      </c>
      <c r="MO789" s="27" t="s">
        <v>8</v>
      </c>
      <c r="MP789" s="27" t="s">
        <v>7</v>
      </c>
      <c r="NE789" s="27" t="s">
        <v>8</v>
      </c>
      <c r="NF789" s="27" t="s">
        <v>7</v>
      </c>
    </row>
    <row r="790" spans="1:372" x14ac:dyDescent="0.25">
      <c r="A790" s="7">
        <v>1.7954161703845013E-2</v>
      </c>
      <c r="B790"/>
      <c r="C790"/>
      <c r="D790"/>
      <c r="E790"/>
      <c r="F790" s="27" t="s">
        <v>7</v>
      </c>
      <c r="IE790" s="27" t="s">
        <v>8</v>
      </c>
      <c r="IZ790" s="27" t="s">
        <v>7</v>
      </c>
      <c r="JA790" s="27" t="s">
        <v>8</v>
      </c>
      <c r="JB790" s="27" t="s">
        <v>7</v>
      </c>
      <c r="JC790" s="27" t="s">
        <v>8</v>
      </c>
      <c r="JL790" s="27" t="s">
        <v>7</v>
      </c>
      <c r="JM790" s="27" t="s">
        <v>8</v>
      </c>
      <c r="JN790" s="27" t="s">
        <v>7</v>
      </c>
      <c r="LQ790" s="27" t="s">
        <v>8</v>
      </c>
      <c r="LR790" s="27" t="s">
        <v>7</v>
      </c>
      <c r="MA790" s="27" t="s">
        <v>8</v>
      </c>
      <c r="MB790" s="27" t="s">
        <v>7</v>
      </c>
      <c r="MC790" s="27" t="s">
        <v>8</v>
      </c>
      <c r="MD790" s="27" t="s">
        <v>7</v>
      </c>
      <c r="ME790" s="27" t="s">
        <v>8</v>
      </c>
      <c r="MJ790" s="27" t="s">
        <v>7</v>
      </c>
      <c r="MK790" s="27" t="s">
        <v>8</v>
      </c>
      <c r="ML790" s="27" t="s">
        <v>7</v>
      </c>
      <c r="MO790" s="27" t="s">
        <v>8</v>
      </c>
      <c r="MP790" s="27" t="s">
        <v>7</v>
      </c>
      <c r="NE790" s="27" t="s">
        <v>8</v>
      </c>
      <c r="NF790" s="27" t="s">
        <v>7</v>
      </c>
    </row>
    <row r="791" spans="1:372" x14ac:dyDescent="0.25">
      <c r="A791" s="7">
        <v>1.7602119317495109E-2</v>
      </c>
      <c r="B791"/>
      <c r="C791"/>
      <c r="D791"/>
      <c r="E791"/>
      <c r="F791" s="27" t="s">
        <v>7</v>
      </c>
      <c r="IE791" s="27" t="s">
        <v>8</v>
      </c>
      <c r="IZ791" s="27" t="s">
        <v>7</v>
      </c>
      <c r="JA791" s="27" t="s">
        <v>8</v>
      </c>
      <c r="JB791" s="27" t="s">
        <v>7</v>
      </c>
      <c r="JC791" s="27" t="s">
        <v>8</v>
      </c>
      <c r="JL791" s="27" t="s">
        <v>7</v>
      </c>
      <c r="JM791" s="27" t="s">
        <v>8</v>
      </c>
      <c r="JN791" s="27" t="s">
        <v>7</v>
      </c>
      <c r="JO791" s="27" t="s">
        <v>8</v>
      </c>
      <c r="LQ791" s="27" t="s">
        <v>8</v>
      </c>
      <c r="LR791" s="27" t="s">
        <v>7</v>
      </c>
      <c r="LY791" s="27" t="s">
        <v>8</v>
      </c>
      <c r="MA791" s="27" t="s">
        <v>8</v>
      </c>
      <c r="MB791" s="27" t="s">
        <v>7</v>
      </c>
      <c r="MC791" s="27" t="s">
        <v>8</v>
      </c>
      <c r="MD791" s="27" t="s">
        <v>7</v>
      </c>
      <c r="ME791" s="27" t="s">
        <v>8</v>
      </c>
      <c r="MJ791" s="27" t="s">
        <v>7</v>
      </c>
      <c r="MK791" s="27" t="s">
        <v>8</v>
      </c>
      <c r="ML791" s="27" t="s">
        <v>7</v>
      </c>
      <c r="MO791" s="27" t="s">
        <v>8</v>
      </c>
      <c r="MP791" s="27" t="s">
        <v>7</v>
      </c>
      <c r="MW791" s="27" t="s">
        <v>8</v>
      </c>
      <c r="NE791" s="27" t="s">
        <v>8</v>
      </c>
      <c r="NF791" s="27" t="s">
        <v>7</v>
      </c>
    </row>
    <row r="792" spans="1:372" x14ac:dyDescent="0.25">
      <c r="A792" s="7">
        <v>1.7256979723034419E-2</v>
      </c>
      <c r="B792"/>
      <c r="C792"/>
      <c r="D792"/>
      <c r="E792"/>
      <c r="F792" s="27" t="s">
        <v>7</v>
      </c>
      <c r="IE792" s="27" t="s">
        <v>8</v>
      </c>
      <c r="IZ792" s="27" t="s">
        <v>7</v>
      </c>
      <c r="JA792" s="27" t="s">
        <v>8</v>
      </c>
      <c r="JB792" s="27" t="s">
        <v>7</v>
      </c>
      <c r="JC792" s="27" t="s">
        <v>8</v>
      </c>
      <c r="JL792" s="27" t="s">
        <v>7</v>
      </c>
      <c r="JM792" s="27" t="s">
        <v>8</v>
      </c>
      <c r="JN792" s="27" t="s">
        <v>7</v>
      </c>
      <c r="JO792" s="27" t="s">
        <v>8</v>
      </c>
      <c r="JP792" s="27" t="s">
        <v>7</v>
      </c>
      <c r="LQ792" s="27" t="s">
        <v>8</v>
      </c>
      <c r="LR792" s="27" t="s">
        <v>7</v>
      </c>
      <c r="LY792" s="27" t="s">
        <v>8</v>
      </c>
      <c r="LZ792" s="27" t="s">
        <v>7</v>
      </c>
      <c r="MA792" s="27" t="s">
        <v>8</v>
      </c>
      <c r="MB792" s="27" t="s">
        <v>7</v>
      </c>
      <c r="MC792" s="27" t="s">
        <v>8</v>
      </c>
      <c r="MD792" s="27" t="s">
        <v>7</v>
      </c>
      <c r="MJ792" s="27" t="s">
        <v>7</v>
      </c>
      <c r="MK792" s="27" t="s">
        <v>8</v>
      </c>
      <c r="ML792" s="27" t="s">
        <v>7</v>
      </c>
      <c r="MO792" s="27" t="s">
        <v>8</v>
      </c>
      <c r="MP792" s="27" t="s">
        <v>7</v>
      </c>
      <c r="MW792" s="27" t="s">
        <v>8</v>
      </c>
      <c r="MX792" s="27" t="s">
        <v>7</v>
      </c>
      <c r="NE792" s="27" t="s">
        <v>8</v>
      </c>
      <c r="NF792" s="27" t="s">
        <v>7</v>
      </c>
    </row>
    <row r="793" spans="1:372" x14ac:dyDescent="0.25">
      <c r="A793" s="7">
        <v>1.6918607571602372E-2</v>
      </c>
      <c r="B793"/>
      <c r="C793"/>
      <c r="D793"/>
      <c r="E793"/>
      <c r="F793" s="27" t="s">
        <v>7</v>
      </c>
      <c r="IE793" s="27" t="s">
        <v>8</v>
      </c>
      <c r="IZ793" s="27" t="s">
        <v>7</v>
      </c>
      <c r="JA793" s="27" t="s">
        <v>8</v>
      </c>
      <c r="JB793" s="27" t="s">
        <v>7</v>
      </c>
      <c r="JC793" s="27" t="s">
        <v>8</v>
      </c>
      <c r="JL793" s="27" t="s">
        <v>7</v>
      </c>
      <c r="JM793" s="27" t="s">
        <v>8</v>
      </c>
      <c r="JN793" s="27" t="s">
        <v>7</v>
      </c>
      <c r="JO793" s="27" t="s">
        <v>8</v>
      </c>
      <c r="JP793" s="27" t="s">
        <v>7</v>
      </c>
      <c r="LQ793" s="27" t="s">
        <v>8</v>
      </c>
      <c r="LR793" s="27" t="s">
        <v>7</v>
      </c>
      <c r="LY793" s="27" t="s">
        <v>8</v>
      </c>
      <c r="LZ793" s="27" t="s">
        <v>7</v>
      </c>
      <c r="MA793" s="27" t="s">
        <v>8</v>
      </c>
      <c r="MB793" s="27" t="s">
        <v>7</v>
      </c>
      <c r="MJ793" s="27" t="s">
        <v>7</v>
      </c>
      <c r="MK793" s="27" t="s">
        <v>8</v>
      </c>
      <c r="ML793" s="27" t="s">
        <v>7</v>
      </c>
      <c r="MO793" s="27" t="s">
        <v>8</v>
      </c>
      <c r="MP793" s="27" t="s">
        <v>7</v>
      </c>
      <c r="MW793" s="27" t="s">
        <v>8</v>
      </c>
      <c r="MX793" s="27" t="s">
        <v>7</v>
      </c>
      <c r="NE793" s="27" t="s">
        <v>8</v>
      </c>
      <c r="NF793" s="27" t="s">
        <v>7</v>
      </c>
    </row>
    <row r="794" spans="1:372" x14ac:dyDescent="0.25">
      <c r="A794" s="7">
        <v>1.6586870168237622E-2</v>
      </c>
      <c r="B794"/>
      <c r="C794"/>
      <c r="D794"/>
      <c r="E794"/>
      <c r="F794" s="27" t="s">
        <v>7</v>
      </c>
      <c r="IE794" s="27" t="s">
        <v>8</v>
      </c>
      <c r="IZ794" s="27" t="s">
        <v>7</v>
      </c>
      <c r="JA794" s="27" t="s">
        <v>8</v>
      </c>
      <c r="JB794" s="27" t="s">
        <v>7</v>
      </c>
      <c r="JL794" s="27" t="s">
        <v>7</v>
      </c>
      <c r="JM794" s="27" t="s">
        <v>8</v>
      </c>
      <c r="JN794" s="27" t="s">
        <v>7</v>
      </c>
      <c r="JO794" s="27" t="s">
        <v>8</v>
      </c>
      <c r="JP794" s="27" t="s">
        <v>7</v>
      </c>
      <c r="LQ794" s="27" t="s">
        <v>8</v>
      </c>
      <c r="LR794" s="27" t="s">
        <v>7</v>
      </c>
      <c r="LY794" s="27" t="s">
        <v>8</v>
      </c>
      <c r="LZ794" s="27" t="s">
        <v>7</v>
      </c>
      <c r="MA794" s="27" t="s">
        <v>8</v>
      </c>
      <c r="MJ794" s="27" t="s">
        <v>7</v>
      </c>
      <c r="MK794" s="27" t="s">
        <v>8</v>
      </c>
      <c r="ML794" s="27" t="s">
        <v>7</v>
      </c>
      <c r="MM794" s="27" t="s">
        <v>8</v>
      </c>
      <c r="MO794" s="27" t="s">
        <v>8</v>
      </c>
      <c r="MP794" s="27" t="s">
        <v>7</v>
      </c>
      <c r="MW794" s="27" t="s">
        <v>8</v>
      </c>
      <c r="MX794" s="27" t="s">
        <v>7</v>
      </c>
      <c r="NE794" s="27" t="s">
        <v>8</v>
      </c>
      <c r="NF794" s="27" t="s">
        <v>7</v>
      </c>
    </row>
    <row r="795" spans="1:372" x14ac:dyDescent="0.25">
      <c r="A795" s="7">
        <v>1.6261637419840807E-2</v>
      </c>
      <c r="B795"/>
      <c r="C795"/>
      <c r="D795"/>
      <c r="E795"/>
      <c r="F795" s="27" t="s">
        <v>7</v>
      </c>
      <c r="IE795" s="27" t="s">
        <v>8</v>
      </c>
      <c r="IZ795" s="27" t="s">
        <v>7</v>
      </c>
      <c r="JA795" s="27" t="s">
        <v>8</v>
      </c>
      <c r="JL795" s="27" t="s">
        <v>7</v>
      </c>
      <c r="JM795" s="27" t="s">
        <v>8</v>
      </c>
      <c r="JN795" s="27" t="s">
        <v>7</v>
      </c>
      <c r="JO795" s="27" t="s">
        <v>8</v>
      </c>
      <c r="JP795" s="27" t="s">
        <v>7</v>
      </c>
      <c r="LQ795" s="27" t="s">
        <v>8</v>
      </c>
      <c r="LR795" s="27" t="s">
        <v>7</v>
      </c>
      <c r="LY795" s="27" t="s">
        <v>8</v>
      </c>
      <c r="LZ795" s="27" t="s">
        <v>7</v>
      </c>
      <c r="MA795" s="27" t="s">
        <v>8</v>
      </c>
      <c r="MJ795" s="27" t="s">
        <v>7</v>
      </c>
      <c r="MK795" s="27" t="s">
        <v>8</v>
      </c>
      <c r="ML795" s="27" t="s">
        <v>7</v>
      </c>
      <c r="MM795" s="27" t="s">
        <v>8</v>
      </c>
      <c r="MN795" s="27" t="s">
        <v>7</v>
      </c>
      <c r="MO795" s="27" t="s">
        <v>8</v>
      </c>
      <c r="MP795" s="27" t="s">
        <v>7</v>
      </c>
      <c r="MW795" s="27" t="s">
        <v>8</v>
      </c>
      <c r="MX795" s="27" t="s">
        <v>7</v>
      </c>
      <c r="NE795" s="27" t="s">
        <v>8</v>
      </c>
      <c r="NF795" s="27" t="s">
        <v>7</v>
      </c>
    </row>
    <row r="796" spans="1:372" x14ac:dyDescent="0.25">
      <c r="A796" s="7">
        <v>1.5942781784157655E-2</v>
      </c>
      <c r="B796"/>
      <c r="C796"/>
      <c r="D796"/>
      <c r="E796"/>
      <c r="F796" s="27" t="s">
        <v>7</v>
      </c>
      <c r="IC796" s="27" t="s">
        <v>8</v>
      </c>
      <c r="IE796" s="27" t="s">
        <v>8</v>
      </c>
      <c r="IZ796" s="27" t="s">
        <v>7</v>
      </c>
      <c r="JA796" s="27" t="s">
        <v>8</v>
      </c>
      <c r="JL796" s="27" t="s">
        <v>7</v>
      </c>
      <c r="JN796" s="27" t="s">
        <v>7</v>
      </c>
      <c r="JO796" s="27" t="s">
        <v>8</v>
      </c>
      <c r="JP796" s="27" t="s">
        <v>7</v>
      </c>
      <c r="LQ796" s="27" t="s">
        <v>8</v>
      </c>
      <c r="LR796" s="27" t="s">
        <v>7</v>
      </c>
      <c r="LY796" s="27" t="s">
        <v>8</v>
      </c>
      <c r="LZ796" s="27" t="s">
        <v>7</v>
      </c>
      <c r="MA796" s="27" t="s">
        <v>8</v>
      </c>
      <c r="MJ796" s="27" t="s">
        <v>7</v>
      </c>
      <c r="MK796" s="27" t="s">
        <v>8</v>
      </c>
      <c r="ML796" s="27" t="s">
        <v>7</v>
      </c>
      <c r="MM796" s="27" t="s">
        <v>8</v>
      </c>
      <c r="MN796" s="27" t="s">
        <v>7</v>
      </c>
      <c r="MO796" s="27" t="s">
        <v>8</v>
      </c>
      <c r="MP796" s="27" t="s">
        <v>7</v>
      </c>
      <c r="MQ796" s="27" t="s">
        <v>8</v>
      </c>
      <c r="MW796" s="27" t="s">
        <v>8</v>
      </c>
      <c r="MX796" s="27" t="s">
        <v>7</v>
      </c>
      <c r="NE796" s="27" t="s">
        <v>8</v>
      </c>
      <c r="NF796" s="27" t="s">
        <v>7</v>
      </c>
    </row>
    <row r="797" spans="1:372" x14ac:dyDescent="0.25">
      <c r="A797" s="7">
        <v>1.5630178219762408E-2</v>
      </c>
      <c r="B797"/>
      <c r="C797"/>
      <c r="D797"/>
      <c r="E797"/>
      <c r="F797" s="27" t="s">
        <v>7</v>
      </c>
      <c r="IC797" s="27" t="s">
        <v>8</v>
      </c>
      <c r="ID797" s="27" t="s">
        <v>7</v>
      </c>
      <c r="IE797" s="27" t="s">
        <v>8</v>
      </c>
      <c r="IZ797" s="27" t="s">
        <v>7</v>
      </c>
      <c r="JA797" s="27" t="s">
        <v>8</v>
      </c>
      <c r="JN797" s="27" t="s">
        <v>7</v>
      </c>
      <c r="JO797" s="27" t="s">
        <v>8</v>
      </c>
      <c r="JP797" s="27" t="s">
        <v>7</v>
      </c>
      <c r="LQ797" s="27" t="s">
        <v>8</v>
      </c>
      <c r="LR797" s="27" t="s">
        <v>7</v>
      </c>
      <c r="LY797" s="27" t="s">
        <v>8</v>
      </c>
      <c r="LZ797" s="27" t="s">
        <v>7</v>
      </c>
      <c r="MA797" s="27" t="s">
        <v>8</v>
      </c>
      <c r="MJ797" s="27" t="s">
        <v>7</v>
      </c>
      <c r="MK797" s="27" t="s">
        <v>8</v>
      </c>
      <c r="ML797" s="27" t="s">
        <v>7</v>
      </c>
      <c r="MM797" s="27" t="s">
        <v>8</v>
      </c>
      <c r="MN797" s="27" t="s">
        <v>7</v>
      </c>
      <c r="MO797" s="27" t="s">
        <v>8</v>
      </c>
      <c r="MP797" s="27" t="s">
        <v>7</v>
      </c>
      <c r="MQ797" s="27" t="s">
        <v>8</v>
      </c>
      <c r="MR797" s="27" t="s">
        <v>7</v>
      </c>
      <c r="MU797" s="27" t="s">
        <v>8</v>
      </c>
      <c r="MW797" s="27" t="s">
        <v>8</v>
      </c>
      <c r="MX797" s="27" t="s">
        <v>7</v>
      </c>
      <c r="NE797" s="27" t="s">
        <v>8</v>
      </c>
      <c r="NF797" s="27" t="s">
        <v>7</v>
      </c>
    </row>
    <row r="798" spans="1:372" x14ac:dyDescent="0.25">
      <c r="A798" s="7">
        <v>1.5323704137021967E-2</v>
      </c>
      <c r="B798"/>
      <c r="C798"/>
      <c r="D798"/>
      <c r="E798"/>
      <c r="F798" s="27" t="s">
        <v>7</v>
      </c>
      <c r="IC798" s="27" t="s">
        <v>8</v>
      </c>
      <c r="ID798" s="27" t="s">
        <v>7</v>
      </c>
      <c r="IE798" s="27" t="s">
        <v>8</v>
      </c>
      <c r="IZ798" s="27" t="s">
        <v>7</v>
      </c>
      <c r="JA798" s="27" t="s">
        <v>8</v>
      </c>
      <c r="JN798" s="27" t="s">
        <v>7</v>
      </c>
      <c r="JO798" s="27" t="s">
        <v>8</v>
      </c>
      <c r="JP798" s="27" t="s">
        <v>7</v>
      </c>
      <c r="LQ798" s="27" t="s">
        <v>8</v>
      </c>
      <c r="LR798" s="27" t="s">
        <v>7</v>
      </c>
      <c r="LU798" s="27" t="s">
        <v>8</v>
      </c>
      <c r="LY798" s="27" t="s">
        <v>8</v>
      </c>
      <c r="LZ798" s="27" t="s">
        <v>7</v>
      </c>
      <c r="MA798" s="27" t="s">
        <v>8</v>
      </c>
      <c r="MJ798" s="27" t="s">
        <v>7</v>
      </c>
      <c r="MK798" s="27" t="s">
        <v>8</v>
      </c>
      <c r="ML798" s="27" t="s">
        <v>7</v>
      </c>
      <c r="MM798" s="27" t="s">
        <v>8</v>
      </c>
      <c r="MN798" s="27" t="s">
        <v>7</v>
      </c>
      <c r="MO798" s="27" t="s">
        <v>8</v>
      </c>
      <c r="MP798" s="27" t="s">
        <v>7</v>
      </c>
      <c r="MQ798" s="27" t="s">
        <v>8</v>
      </c>
      <c r="MR798" s="27" t="s">
        <v>7</v>
      </c>
      <c r="MS798" s="27" t="s">
        <v>8</v>
      </c>
      <c r="MU798" s="27" t="s">
        <v>8</v>
      </c>
      <c r="MV798" s="27" t="s">
        <v>7</v>
      </c>
      <c r="MW798" s="27" t="s">
        <v>8</v>
      </c>
      <c r="MX798" s="27" t="s">
        <v>7</v>
      </c>
      <c r="NA798" s="27" t="s">
        <v>8</v>
      </c>
      <c r="NE798" s="27" t="s">
        <v>8</v>
      </c>
      <c r="NF798" s="27" t="s">
        <v>7</v>
      </c>
      <c r="NG798" s="27" t="s">
        <v>8</v>
      </c>
    </row>
    <row r="799" spans="1:372" x14ac:dyDescent="0.25">
      <c r="A799" s="7">
        <v>1.5023239350021535E-2</v>
      </c>
      <c r="B799"/>
      <c r="C799"/>
      <c r="D799"/>
      <c r="E799"/>
      <c r="F799" s="27" t="s">
        <v>7</v>
      </c>
      <c r="IC799" s="27" t="s">
        <v>8</v>
      </c>
      <c r="ID799" s="27" t="s">
        <v>7</v>
      </c>
      <c r="IE799" s="27" t="s">
        <v>8</v>
      </c>
      <c r="IZ799" s="27" t="s">
        <v>7</v>
      </c>
      <c r="JA799" s="27" t="s">
        <v>8</v>
      </c>
      <c r="JN799" s="27" t="s">
        <v>7</v>
      </c>
      <c r="JP799" s="27" t="s">
        <v>7</v>
      </c>
      <c r="LQ799" s="27" t="s">
        <v>8</v>
      </c>
      <c r="LR799" s="27" t="s">
        <v>7</v>
      </c>
      <c r="LU799" s="27" t="s">
        <v>8</v>
      </c>
      <c r="LV799" s="27" t="s">
        <v>7</v>
      </c>
      <c r="LY799" s="27" t="s">
        <v>8</v>
      </c>
      <c r="LZ799" s="27" t="s">
        <v>7</v>
      </c>
      <c r="MA799" s="27" t="s">
        <v>8</v>
      </c>
      <c r="MJ799" s="27" t="s">
        <v>7</v>
      </c>
      <c r="MK799" s="27" t="s">
        <v>8</v>
      </c>
      <c r="ML799" s="27" t="s">
        <v>7</v>
      </c>
      <c r="MM799" s="27" t="s">
        <v>8</v>
      </c>
      <c r="MN799" s="27" t="s">
        <v>7</v>
      </c>
      <c r="MO799" s="27" t="s">
        <v>8</v>
      </c>
      <c r="MP799" s="27" t="s">
        <v>7</v>
      </c>
      <c r="MQ799" s="27" t="s">
        <v>8</v>
      </c>
      <c r="MR799" s="27" t="s">
        <v>7</v>
      </c>
      <c r="MS799" s="27" t="s">
        <v>8</v>
      </c>
      <c r="MT799" s="27" t="s">
        <v>7</v>
      </c>
      <c r="MU799" s="27" t="s">
        <v>8</v>
      </c>
      <c r="MV799" s="27" t="s">
        <v>7</v>
      </c>
      <c r="MW799" s="27" t="s">
        <v>8</v>
      </c>
      <c r="MX799" s="27" t="s">
        <v>7</v>
      </c>
      <c r="NA799" s="27" t="s">
        <v>8</v>
      </c>
      <c r="NB799" s="27" t="s">
        <v>7</v>
      </c>
      <c r="NE799" s="27" t="s">
        <v>8</v>
      </c>
      <c r="NF799" s="27" t="s">
        <v>7</v>
      </c>
      <c r="NG799" s="27" t="s">
        <v>8</v>
      </c>
      <c r="NH799" s="27" t="s">
        <v>7</v>
      </c>
    </row>
    <row r="800" spans="1:372" x14ac:dyDescent="0.25">
      <c r="A800" s="7">
        <v>1.4728666029432878E-2</v>
      </c>
      <c r="B800"/>
      <c r="C800"/>
      <c r="D800"/>
      <c r="E800"/>
      <c r="F800" s="27" t="s">
        <v>7</v>
      </c>
      <c r="IC800" s="27" t="s">
        <v>8</v>
      </c>
      <c r="ID800" s="27" t="s">
        <v>7</v>
      </c>
      <c r="IE800" s="27" t="s">
        <v>8</v>
      </c>
      <c r="IZ800" s="27" t="s">
        <v>7</v>
      </c>
      <c r="JA800" s="27" t="s">
        <v>8</v>
      </c>
      <c r="JP800" s="27" t="s">
        <v>7</v>
      </c>
      <c r="LQ800" s="27" t="s">
        <v>8</v>
      </c>
      <c r="LR800" s="27" t="s">
        <v>7</v>
      </c>
      <c r="LU800" s="27" t="s">
        <v>8</v>
      </c>
      <c r="LV800" s="27" t="s">
        <v>7</v>
      </c>
      <c r="LY800" s="27" t="s">
        <v>8</v>
      </c>
      <c r="LZ800" s="27" t="s">
        <v>7</v>
      </c>
      <c r="MA800" s="27" t="s">
        <v>8</v>
      </c>
      <c r="MJ800" s="27" t="s">
        <v>7</v>
      </c>
      <c r="MK800" s="27" t="s">
        <v>8</v>
      </c>
      <c r="ML800" s="27" t="s">
        <v>7</v>
      </c>
      <c r="MM800" s="27" t="s">
        <v>8</v>
      </c>
      <c r="MN800" s="27" t="s">
        <v>7</v>
      </c>
      <c r="MP800" s="27" t="s">
        <v>7</v>
      </c>
      <c r="MQ800" s="27" t="s">
        <v>8</v>
      </c>
      <c r="MR800" s="27" t="s">
        <v>7</v>
      </c>
      <c r="MS800" s="27" t="s">
        <v>8</v>
      </c>
      <c r="MT800" s="27" t="s">
        <v>7</v>
      </c>
      <c r="MU800" s="27" t="s">
        <v>8</v>
      </c>
      <c r="MV800" s="27" t="s">
        <v>7</v>
      </c>
      <c r="MW800" s="27" t="s">
        <v>8</v>
      </c>
      <c r="MX800" s="27" t="s">
        <v>7</v>
      </c>
      <c r="NA800" s="27" t="s">
        <v>8</v>
      </c>
      <c r="NB800" s="27" t="s">
        <v>7</v>
      </c>
      <c r="NE800" s="27" t="s">
        <v>8</v>
      </c>
      <c r="NF800" s="27" t="s">
        <v>7</v>
      </c>
      <c r="NG800" s="27" t="s">
        <v>8</v>
      </c>
      <c r="NH800" s="27" t="s">
        <v>7</v>
      </c>
    </row>
    <row r="801" spans="1:389" x14ac:dyDescent="0.25">
      <c r="A801" s="7">
        <v>1.4439868656306743E-2</v>
      </c>
      <c r="B801"/>
      <c r="C801"/>
      <c r="D801"/>
      <c r="E801"/>
      <c r="F801" s="27" t="s">
        <v>7</v>
      </c>
      <c r="IC801" s="27" t="s">
        <v>8</v>
      </c>
      <c r="ID801" s="27" t="s">
        <v>7</v>
      </c>
      <c r="IE801" s="27" t="s">
        <v>8</v>
      </c>
      <c r="IZ801" s="27" t="s">
        <v>7</v>
      </c>
      <c r="JA801" s="27" t="s">
        <v>8</v>
      </c>
      <c r="JP801" s="27" t="s">
        <v>7</v>
      </c>
      <c r="LQ801" s="27" t="s">
        <v>8</v>
      </c>
      <c r="LR801" s="27" t="s">
        <v>7</v>
      </c>
      <c r="LU801" s="27" t="s">
        <v>8</v>
      </c>
      <c r="LV801" s="27" t="s">
        <v>7</v>
      </c>
      <c r="LY801" s="27" t="s">
        <v>8</v>
      </c>
      <c r="LZ801" s="27" t="s">
        <v>7</v>
      </c>
      <c r="MA801" s="27" t="s">
        <v>8</v>
      </c>
      <c r="MJ801" s="27" t="s">
        <v>7</v>
      </c>
      <c r="MK801" s="27" t="s">
        <v>8</v>
      </c>
      <c r="ML801" s="27" t="s">
        <v>7</v>
      </c>
      <c r="MP801" s="27" t="s">
        <v>7</v>
      </c>
      <c r="MQ801" s="27" t="s">
        <v>8</v>
      </c>
      <c r="MR801" s="27" t="s">
        <v>7</v>
      </c>
      <c r="MT801" s="27" t="s">
        <v>7</v>
      </c>
      <c r="MU801" s="27" t="s">
        <v>8</v>
      </c>
      <c r="MV801" s="27" t="s">
        <v>7</v>
      </c>
      <c r="MW801" s="27" t="s">
        <v>8</v>
      </c>
      <c r="MX801" s="27" t="s">
        <v>7</v>
      </c>
      <c r="NA801" s="27" t="s">
        <v>8</v>
      </c>
      <c r="NB801" s="27" t="s">
        <v>7</v>
      </c>
      <c r="NC801" s="27" t="s">
        <v>8</v>
      </c>
      <c r="NE801" s="27" t="s">
        <v>8</v>
      </c>
      <c r="NF801" s="27" t="s">
        <v>7</v>
      </c>
      <c r="NG801" s="27" t="s">
        <v>8</v>
      </c>
      <c r="NH801" s="27" t="s">
        <v>7</v>
      </c>
    </row>
    <row r="802" spans="1:389" x14ac:dyDescent="0.25">
      <c r="A802" s="7">
        <v>1.4156733976771318E-2</v>
      </c>
      <c r="B802"/>
      <c r="C802"/>
      <c r="D802"/>
      <c r="E802"/>
      <c r="F802" s="27" t="s">
        <v>7</v>
      </c>
      <c r="IC802" s="27" t="s">
        <v>8</v>
      </c>
      <c r="ID802" s="27" t="s">
        <v>7</v>
      </c>
      <c r="IE802" s="27" t="s">
        <v>8</v>
      </c>
      <c r="IZ802" s="27" t="s">
        <v>7</v>
      </c>
      <c r="JA802" s="27" t="s">
        <v>8</v>
      </c>
      <c r="JP802" s="27" t="s">
        <v>7</v>
      </c>
      <c r="JQ802" s="27" t="s">
        <v>8</v>
      </c>
      <c r="LQ802" s="27" t="s">
        <v>8</v>
      </c>
      <c r="LR802" s="27" t="s">
        <v>7</v>
      </c>
      <c r="LU802" s="27" t="s">
        <v>8</v>
      </c>
      <c r="LV802" s="27" t="s">
        <v>7</v>
      </c>
      <c r="LY802" s="27" t="s">
        <v>8</v>
      </c>
      <c r="LZ802" s="27" t="s">
        <v>7</v>
      </c>
      <c r="MA802" s="27" t="s">
        <v>8</v>
      </c>
      <c r="MJ802" s="27" t="s">
        <v>7</v>
      </c>
      <c r="MK802" s="27" t="s">
        <v>8</v>
      </c>
      <c r="MP802" s="27" t="s">
        <v>7</v>
      </c>
      <c r="MQ802" s="27" t="s">
        <v>8</v>
      </c>
      <c r="MT802" s="27" t="s">
        <v>7</v>
      </c>
      <c r="MU802" s="27" t="s">
        <v>8</v>
      </c>
      <c r="MV802" s="27" t="s">
        <v>7</v>
      </c>
      <c r="MW802" s="27" t="s">
        <v>8</v>
      </c>
      <c r="MX802" s="27" t="s">
        <v>7</v>
      </c>
      <c r="MY802" s="27" t="s">
        <v>8</v>
      </c>
      <c r="NA802" s="27" t="s">
        <v>8</v>
      </c>
      <c r="NB802" s="27" t="s">
        <v>7</v>
      </c>
      <c r="NC802" s="27" t="s">
        <v>8</v>
      </c>
      <c r="ND802" s="27" t="s">
        <v>7</v>
      </c>
      <c r="NE802" s="27" t="s">
        <v>8</v>
      </c>
      <c r="NF802" s="27" t="s">
        <v>7</v>
      </c>
      <c r="NG802" s="27" t="s">
        <v>8</v>
      </c>
      <c r="NH802" s="27" t="s">
        <v>7</v>
      </c>
    </row>
    <row r="803" spans="1:389" x14ac:dyDescent="0.25">
      <c r="A803" s="7">
        <v>1.3879150957618939E-2</v>
      </c>
      <c r="B803"/>
      <c r="C803"/>
      <c r="D803"/>
      <c r="E803"/>
      <c r="F803" s="27" t="s">
        <v>7</v>
      </c>
      <c r="IC803" s="27" t="s">
        <v>8</v>
      </c>
      <c r="ID803" s="27" t="s">
        <v>7</v>
      </c>
      <c r="IE803" s="27" t="s">
        <v>8</v>
      </c>
      <c r="IZ803" s="27" t="s">
        <v>7</v>
      </c>
      <c r="JA803" s="27" t="s">
        <v>8</v>
      </c>
      <c r="JP803" s="27" t="s">
        <v>7</v>
      </c>
      <c r="JQ803" s="27" t="s">
        <v>8</v>
      </c>
      <c r="JR803" s="27" t="s">
        <v>7</v>
      </c>
      <c r="JW803" s="27" t="s">
        <v>8</v>
      </c>
      <c r="LQ803" s="27" t="s">
        <v>8</v>
      </c>
      <c r="LR803" s="27" t="s">
        <v>7</v>
      </c>
      <c r="LU803" s="27" t="s">
        <v>8</v>
      </c>
      <c r="LV803" s="27" t="s">
        <v>7</v>
      </c>
      <c r="LY803" s="27" t="s">
        <v>8</v>
      </c>
      <c r="LZ803" s="27" t="s">
        <v>7</v>
      </c>
      <c r="MA803" s="27" t="s">
        <v>8</v>
      </c>
      <c r="MJ803" s="27" t="s">
        <v>7</v>
      </c>
      <c r="MK803" s="27" t="s">
        <v>8</v>
      </c>
      <c r="MP803" s="27" t="s">
        <v>7</v>
      </c>
      <c r="MT803" s="27" t="s">
        <v>7</v>
      </c>
      <c r="MU803" s="27" t="s">
        <v>8</v>
      </c>
      <c r="MV803" s="27" t="s">
        <v>7</v>
      </c>
      <c r="MW803" s="27" t="s">
        <v>8</v>
      </c>
      <c r="MX803" s="27" t="s">
        <v>7</v>
      </c>
      <c r="MY803" s="27" t="s">
        <v>8</v>
      </c>
      <c r="MZ803" s="27" t="s">
        <v>7</v>
      </c>
      <c r="NA803" s="27" t="s">
        <v>8</v>
      </c>
      <c r="NB803" s="27" t="s">
        <v>7</v>
      </c>
      <c r="NC803" s="27" t="s">
        <v>8</v>
      </c>
      <c r="ND803" s="27" t="s">
        <v>7</v>
      </c>
      <c r="NE803" s="27" t="s">
        <v>8</v>
      </c>
      <c r="NF803" s="27" t="s">
        <v>7</v>
      </c>
      <c r="NG803" s="27" t="s">
        <v>8</v>
      </c>
      <c r="NH803" s="27" t="s">
        <v>7</v>
      </c>
    </row>
    <row r="804" spans="1:389" x14ac:dyDescent="0.25">
      <c r="A804" s="7">
        <v>1.3607010742763666E-2</v>
      </c>
      <c r="B804"/>
      <c r="C804"/>
      <c r="D804"/>
      <c r="E804"/>
      <c r="F804" s="27" t="s">
        <v>7</v>
      </c>
      <c r="IC804" s="27" t="s">
        <v>8</v>
      </c>
      <c r="ID804" s="27" t="s">
        <v>7</v>
      </c>
      <c r="IE804" s="27" t="s">
        <v>8</v>
      </c>
      <c r="IZ804" s="27" t="s">
        <v>7</v>
      </c>
      <c r="JA804" s="27" t="s">
        <v>8</v>
      </c>
      <c r="JP804" s="27" t="s">
        <v>7</v>
      </c>
      <c r="JQ804" s="27" t="s">
        <v>8</v>
      </c>
      <c r="JR804" s="27" t="s">
        <v>7</v>
      </c>
      <c r="JW804" s="27" t="s">
        <v>8</v>
      </c>
      <c r="JX804" s="27" t="s">
        <v>7</v>
      </c>
      <c r="LQ804" s="27" t="s">
        <v>8</v>
      </c>
      <c r="LR804" s="27" t="s">
        <v>7</v>
      </c>
      <c r="LU804" s="27" t="s">
        <v>8</v>
      </c>
      <c r="LV804" s="27" t="s">
        <v>7</v>
      </c>
      <c r="LY804" s="27" t="s">
        <v>8</v>
      </c>
      <c r="LZ804" s="27" t="s">
        <v>7</v>
      </c>
      <c r="MA804" s="27" t="s">
        <v>8</v>
      </c>
      <c r="MJ804" s="27" t="s">
        <v>7</v>
      </c>
      <c r="MT804" s="27" t="s">
        <v>7</v>
      </c>
      <c r="MU804" s="27" t="s">
        <v>8</v>
      </c>
      <c r="MV804" s="27" t="s">
        <v>7</v>
      </c>
      <c r="MW804" s="27" t="s">
        <v>8</v>
      </c>
      <c r="MX804" s="27" t="s">
        <v>7</v>
      </c>
      <c r="MY804" s="27" t="s">
        <v>8</v>
      </c>
      <c r="MZ804" s="27" t="s">
        <v>7</v>
      </c>
      <c r="NA804" s="27" t="s">
        <v>8</v>
      </c>
      <c r="NB804" s="27" t="s">
        <v>7</v>
      </c>
      <c r="NC804" s="27" t="s">
        <v>8</v>
      </c>
      <c r="ND804" s="27" t="s">
        <v>7</v>
      </c>
      <c r="NE804" s="27" t="s">
        <v>8</v>
      </c>
      <c r="NF804" s="27" t="s">
        <v>7</v>
      </c>
      <c r="NG804" s="27" t="s">
        <v>8</v>
      </c>
      <c r="NH804" s="27" t="s">
        <v>7</v>
      </c>
    </row>
    <row r="805" spans="1:389" x14ac:dyDescent="0.25">
      <c r="A805" s="7">
        <v>1.3340206610552614E-2</v>
      </c>
      <c r="B805"/>
      <c r="C805"/>
      <c r="D805"/>
      <c r="E805"/>
      <c r="F805" s="27" t="s">
        <v>7</v>
      </c>
      <c r="IC805" s="27" t="s">
        <v>8</v>
      </c>
      <c r="ID805" s="27" t="s">
        <v>7</v>
      </c>
      <c r="IE805" s="27" t="s">
        <v>8</v>
      </c>
      <c r="IZ805" s="27" t="s">
        <v>7</v>
      </c>
      <c r="JA805" s="27" t="s">
        <v>8</v>
      </c>
      <c r="JP805" s="27" t="s">
        <v>7</v>
      </c>
      <c r="JQ805" s="27" t="s">
        <v>8</v>
      </c>
      <c r="JR805" s="27" t="s">
        <v>7</v>
      </c>
      <c r="JW805" s="27" t="s">
        <v>8</v>
      </c>
      <c r="JX805" s="27" t="s">
        <v>7</v>
      </c>
      <c r="LQ805" s="27" t="s">
        <v>8</v>
      </c>
      <c r="LR805" s="27" t="s">
        <v>7</v>
      </c>
      <c r="LU805" s="27" t="s">
        <v>8</v>
      </c>
      <c r="LV805" s="27" t="s">
        <v>7</v>
      </c>
      <c r="LY805" s="27" t="s">
        <v>8</v>
      </c>
      <c r="LZ805" s="27" t="s">
        <v>7</v>
      </c>
      <c r="MA805" s="27" t="s">
        <v>8</v>
      </c>
      <c r="MT805" s="27" t="s">
        <v>7</v>
      </c>
      <c r="MU805" s="27" t="s">
        <v>8</v>
      </c>
      <c r="MV805" s="27" t="s">
        <v>7</v>
      </c>
      <c r="MW805" s="27" t="s">
        <v>8</v>
      </c>
      <c r="MX805" s="27" t="s">
        <v>7</v>
      </c>
      <c r="MZ805" s="27" t="s">
        <v>7</v>
      </c>
      <c r="NA805" s="27" t="s">
        <v>8</v>
      </c>
      <c r="NB805" s="27" t="s">
        <v>7</v>
      </c>
      <c r="NC805" s="27" t="s">
        <v>8</v>
      </c>
      <c r="ND805" s="27" t="s">
        <v>7</v>
      </c>
      <c r="NE805" s="27" t="s">
        <v>8</v>
      </c>
      <c r="NF805" s="27" t="s">
        <v>7</v>
      </c>
      <c r="NG805" s="27" t="s">
        <v>8</v>
      </c>
      <c r="NH805" s="27" t="s">
        <v>7</v>
      </c>
      <c r="NI805" s="27" t="s">
        <v>8</v>
      </c>
    </row>
    <row r="806" spans="1:389" x14ac:dyDescent="0.25">
      <c r="A806" s="7">
        <v>1.3078633931914328E-2</v>
      </c>
      <c r="B806"/>
      <c r="C806"/>
      <c r="D806"/>
      <c r="E806"/>
      <c r="F806" s="27" t="s">
        <v>7</v>
      </c>
      <c r="IC806" s="27" t="s">
        <v>8</v>
      </c>
      <c r="ID806" s="27" t="s">
        <v>7</v>
      </c>
      <c r="IE806" s="27" t="s">
        <v>8</v>
      </c>
      <c r="IZ806" s="27" t="s">
        <v>7</v>
      </c>
      <c r="JA806" s="27" t="s">
        <v>8</v>
      </c>
      <c r="JP806" s="27" t="s">
        <v>7</v>
      </c>
      <c r="JQ806" s="27" t="s">
        <v>8</v>
      </c>
      <c r="JR806" s="27" t="s">
        <v>7</v>
      </c>
      <c r="JW806" s="27" t="s">
        <v>8</v>
      </c>
      <c r="JX806" s="27" t="s">
        <v>7</v>
      </c>
      <c r="LQ806" s="27" t="s">
        <v>8</v>
      </c>
      <c r="LR806" s="27" t="s">
        <v>7</v>
      </c>
      <c r="LU806" s="27" t="s">
        <v>8</v>
      </c>
      <c r="LV806" s="27" t="s">
        <v>7</v>
      </c>
      <c r="LY806" s="27" t="s">
        <v>8</v>
      </c>
      <c r="LZ806" s="27" t="s">
        <v>7</v>
      </c>
      <c r="MA806" s="27" t="s">
        <v>8</v>
      </c>
      <c r="MT806" s="27" t="s">
        <v>7</v>
      </c>
      <c r="MU806" s="27" t="s">
        <v>8</v>
      </c>
      <c r="MV806" s="27" t="s">
        <v>7</v>
      </c>
      <c r="MW806" s="27" t="s">
        <v>8</v>
      </c>
      <c r="MZ806" s="27" t="s">
        <v>7</v>
      </c>
      <c r="NA806" s="27" t="s">
        <v>8</v>
      </c>
      <c r="NB806" s="27" t="s">
        <v>7</v>
      </c>
      <c r="NC806" s="27" t="s">
        <v>8</v>
      </c>
      <c r="ND806" s="27" t="s">
        <v>7</v>
      </c>
      <c r="NE806" s="27" t="s">
        <v>8</v>
      </c>
      <c r="NF806" s="27" t="s">
        <v>7</v>
      </c>
      <c r="NG806" s="27" t="s">
        <v>8</v>
      </c>
      <c r="NH806" s="27" t="s">
        <v>7</v>
      </c>
      <c r="NI806" s="27" t="s">
        <v>8</v>
      </c>
      <c r="NJ806" s="27" t="s">
        <v>7</v>
      </c>
    </row>
    <row r="807" spans="1:389" x14ac:dyDescent="0.25">
      <c r="A807" s="7">
        <v>1.2822190129327771E-2</v>
      </c>
      <c r="B807"/>
      <c r="C807"/>
      <c r="D807"/>
      <c r="E807"/>
      <c r="F807" s="27" t="s">
        <v>7</v>
      </c>
      <c r="IC807" s="27" t="s">
        <v>8</v>
      </c>
      <c r="ID807" s="27" t="s">
        <v>7</v>
      </c>
      <c r="IE807" s="27" t="s">
        <v>8</v>
      </c>
      <c r="IZ807" s="27" t="s">
        <v>7</v>
      </c>
      <c r="JA807" s="27" t="s">
        <v>8</v>
      </c>
      <c r="JP807" s="27" t="s">
        <v>7</v>
      </c>
      <c r="JQ807" s="27" t="s">
        <v>8</v>
      </c>
      <c r="JR807" s="27" t="s">
        <v>7</v>
      </c>
      <c r="JW807" s="27" t="s">
        <v>8</v>
      </c>
      <c r="JX807" s="27" t="s">
        <v>7</v>
      </c>
      <c r="LQ807" s="27" t="s">
        <v>8</v>
      </c>
      <c r="LR807" s="27" t="s">
        <v>7</v>
      </c>
      <c r="LU807" s="27" t="s">
        <v>8</v>
      </c>
      <c r="LV807" s="27" t="s">
        <v>7</v>
      </c>
      <c r="LW807" s="27" t="s">
        <v>8</v>
      </c>
      <c r="LY807" s="27" t="s">
        <v>8</v>
      </c>
      <c r="LZ807" s="27" t="s">
        <v>7</v>
      </c>
      <c r="MA807" s="27" t="s">
        <v>8</v>
      </c>
      <c r="MT807" s="27" t="s">
        <v>7</v>
      </c>
      <c r="MV807" s="27" t="s">
        <v>7</v>
      </c>
      <c r="MW807" s="27" t="s">
        <v>8</v>
      </c>
      <c r="MZ807" s="27" t="s">
        <v>7</v>
      </c>
      <c r="NB807" s="27" t="s">
        <v>7</v>
      </c>
      <c r="NC807" s="27" t="s">
        <v>8</v>
      </c>
      <c r="ND807" s="27" t="s">
        <v>7</v>
      </c>
      <c r="NE807" s="27" t="s">
        <v>8</v>
      </c>
      <c r="NF807" s="27" t="s">
        <v>7</v>
      </c>
      <c r="NG807" s="27" t="s">
        <v>8</v>
      </c>
      <c r="NH807" s="27" t="s">
        <v>7</v>
      </c>
      <c r="NI807" s="27" t="s">
        <v>8</v>
      </c>
      <c r="NJ807" s="27" t="s">
        <v>7</v>
      </c>
    </row>
    <row r="808" spans="1:389" x14ac:dyDescent="0.25">
      <c r="A808" s="7">
        <v>1.2570774636595854E-2</v>
      </c>
      <c r="B808"/>
      <c r="C808"/>
      <c r="D808"/>
      <c r="E808"/>
      <c r="F808" s="27" t="s">
        <v>7</v>
      </c>
      <c r="IC808" s="27" t="s">
        <v>8</v>
      </c>
      <c r="ID808" s="27" t="s">
        <v>7</v>
      </c>
      <c r="IE808" s="27" t="s">
        <v>8</v>
      </c>
      <c r="IZ808" s="27" t="s">
        <v>7</v>
      </c>
      <c r="JA808" s="27" t="s">
        <v>8</v>
      </c>
      <c r="JP808" s="27" t="s">
        <v>7</v>
      </c>
      <c r="JQ808" s="27" t="s">
        <v>8</v>
      </c>
      <c r="JR808" s="27" t="s">
        <v>7</v>
      </c>
      <c r="JW808" s="27" t="s">
        <v>8</v>
      </c>
      <c r="JX808" s="27" t="s">
        <v>7</v>
      </c>
      <c r="JY808" s="27" t="s">
        <v>8</v>
      </c>
      <c r="LQ808" s="27" t="s">
        <v>8</v>
      </c>
      <c r="LR808" s="27" t="s">
        <v>7</v>
      </c>
      <c r="LU808" s="27" t="s">
        <v>8</v>
      </c>
      <c r="LV808" s="27" t="s">
        <v>7</v>
      </c>
      <c r="LW808" s="27" t="s">
        <v>8</v>
      </c>
      <c r="LX808" s="27" t="s">
        <v>7</v>
      </c>
      <c r="LY808" s="27" t="s">
        <v>8</v>
      </c>
      <c r="LZ808" s="27" t="s">
        <v>7</v>
      </c>
      <c r="MV808" s="27" t="s">
        <v>7</v>
      </c>
      <c r="NB808" s="27" t="s">
        <v>7</v>
      </c>
      <c r="ND808" s="27" t="s">
        <v>7</v>
      </c>
      <c r="NF808" s="27" t="s">
        <v>7</v>
      </c>
      <c r="NG808" s="27" t="s">
        <v>8</v>
      </c>
      <c r="NH808" s="27" t="s">
        <v>7</v>
      </c>
      <c r="NI808" s="27" t="s">
        <v>8</v>
      </c>
      <c r="NJ808" s="27" t="s">
        <v>7</v>
      </c>
    </row>
    <row r="809" spans="1:389" x14ac:dyDescent="0.25">
      <c r="A809" s="7">
        <v>1.23242888594077E-2</v>
      </c>
      <c r="B809"/>
      <c r="C809"/>
      <c r="D809"/>
      <c r="E809"/>
      <c r="F809" s="27" t="s">
        <v>7</v>
      </c>
      <c r="IC809" s="27" t="s">
        <v>8</v>
      </c>
      <c r="ID809" s="27" t="s">
        <v>7</v>
      </c>
      <c r="IE809" s="27" t="s">
        <v>8</v>
      </c>
      <c r="IZ809" s="27" t="s">
        <v>7</v>
      </c>
      <c r="JA809" s="27" t="s">
        <v>8</v>
      </c>
      <c r="JP809" s="27" t="s">
        <v>7</v>
      </c>
      <c r="JQ809" s="27" t="s">
        <v>8</v>
      </c>
      <c r="JR809" s="27" t="s">
        <v>7</v>
      </c>
      <c r="JW809" s="27" t="s">
        <v>8</v>
      </c>
      <c r="JX809" s="27" t="s">
        <v>7</v>
      </c>
      <c r="JY809" s="27" t="s">
        <v>8</v>
      </c>
      <c r="JZ809" s="27" t="s">
        <v>7</v>
      </c>
      <c r="LQ809" s="27" t="s">
        <v>8</v>
      </c>
      <c r="LR809" s="27" t="s">
        <v>7</v>
      </c>
      <c r="LS809" s="27" t="s">
        <v>8</v>
      </c>
      <c r="LU809" s="27" t="s">
        <v>8</v>
      </c>
      <c r="LV809" s="27" t="s">
        <v>7</v>
      </c>
      <c r="LW809" s="27" t="s">
        <v>8</v>
      </c>
      <c r="LX809" s="27" t="s">
        <v>7</v>
      </c>
      <c r="LY809" s="27" t="s">
        <v>8</v>
      </c>
      <c r="NF809" s="27" t="s">
        <v>7</v>
      </c>
      <c r="NG809" s="27" t="s">
        <v>8</v>
      </c>
      <c r="NH809" s="27" t="s">
        <v>7</v>
      </c>
      <c r="NI809" s="27" t="s">
        <v>8</v>
      </c>
      <c r="NJ809" s="27" t="s">
        <v>7</v>
      </c>
      <c r="NM809" s="27" t="s">
        <v>8</v>
      </c>
    </row>
    <row r="810" spans="1:389" x14ac:dyDescent="0.25">
      <c r="A810" s="7">
        <v>1.2082636136674216E-2</v>
      </c>
      <c r="B810"/>
      <c r="C810"/>
      <c r="D810"/>
      <c r="E810"/>
      <c r="F810" s="27" t="s">
        <v>7</v>
      </c>
      <c r="IC810" s="27" t="s">
        <v>8</v>
      </c>
      <c r="ID810" s="27" t="s">
        <v>7</v>
      </c>
      <c r="IE810" s="27" t="s">
        <v>8</v>
      </c>
      <c r="IZ810" s="27" t="s">
        <v>7</v>
      </c>
      <c r="JA810" s="27" t="s">
        <v>8</v>
      </c>
      <c r="JP810" s="27" t="s">
        <v>7</v>
      </c>
      <c r="JQ810" s="27" t="s">
        <v>8</v>
      </c>
      <c r="JR810" s="27" t="s">
        <v>7</v>
      </c>
      <c r="JW810" s="27" t="s">
        <v>8</v>
      </c>
      <c r="JX810" s="27" t="s">
        <v>7</v>
      </c>
      <c r="JY810" s="27" t="s">
        <v>8</v>
      </c>
      <c r="JZ810" s="27" t="s">
        <v>7</v>
      </c>
      <c r="LC810" s="27" t="s">
        <v>8</v>
      </c>
      <c r="LQ810" s="27" t="s">
        <v>8</v>
      </c>
      <c r="LR810" s="27" t="s">
        <v>7</v>
      </c>
      <c r="LS810" s="27" t="s">
        <v>8</v>
      </c>
      <c r="LT810" s="27" t="s">
        <v>7</v>
      </c>
      <c r="LU810" s="27" t="s">
        <v>8</v>
      </c>
      <c r="LV810" s="27" t="s">
        <v>7</v>
      </c>
      <c r="LW810" s="27" t="s">
        <v>8</v>
      </c>
      <c r="LX810" s="27" t="s">
        <v>7</v>
      </c>
      <c r="LY810" s="27" t="s">
        <v>8</v>
      </c>
      <c r="NF810" s="27" t="s">
        <v>7</v>
      </c>
      <c r="NG810" s="27" t="s">
        <v>8</v>
      </c>
      <c r="NH810" s="27" t="s">
        <v>7</v>
      </c>
      <c r="NI810" s="27" t="s">
        <v>8</v>
      </c>
      <c r="NJ810" s="27" t="s">
        <v>7</v>
      </c>
      <c r="NM810" s="27" t="s">
        <v>8</v>
      </c>
      <c r="NN810" s="27" t="s">
        <v>7</v>
      </c>
      <c r="NO810" s="27" t="s">
        <v>8</v>
      </c>
    </row>
    <row r="811" spans="1:389" x14ac:dyDescent="0.25">
      <c r="A811" s="7">
        <v>1.184572170262178E-2</v>
      </c>
      <c r="B811"/>
      <c r="C811"/>
      <c r="D811"/>
      <c r="E811"/>
      <c r="F811" s="27" t="s">
        <v>7</v>
      </c>
      <c r="IC811" s="27" t="s">
        <v>8</v>
      </c>
      <c r="ID811" s="27" t="s">
        <v>7</v>
      </c>
      <c r="IE811" s="27" t="s">
        <v>8</v>
      </c>
      <c r="IZ811" s="27" t="s">
        <v>7</v>
      </c>
      <c r="JP811" s="27" t="s">
        <v>7</v>
      </c>
      <c r="JQ811" s="27" t="s">
        <v>8</v>
      </c>
      <c r="JR811" s="27" t="s">
        <v>7</v>
      </c>
      <c r="JW811" s="27" t="s">
        <v>8</v>
      </c>
      <c r="JX811" s="27" t="s">
        <v>7</v>
      </c>
      <c r="JY811" s="27" t="s">
        <v>8</v>
      </c>
      <c r="JZ811" s="27" t="s">
        <v>7</v>
      </c>
      <c r="LC811" s="27" t="s">
        <v>8</v>
      </c>
      <c r="LD811" s="27" t="s">
        <v>7</v>
      </c>
      <c r="LG811" s="27" t="s">
        <v>8</v>
      </c>
      <c r="LQ811" s="27" t="s">
        <v>8</v>
      </c>
      <c r="LR811" s="27" t="s">
        <v>7</v>
      </c>
      <c r="LS811" s="27" t="s">
        <v>8</v>
      </c>
      <c r="LT811" s="27" t="s">
        <v>7</v>
      </c>
      <c r="LU811" s="27" t="s">
        <v>8</v>
      </c>
      <c r="LV811" s="27" t="s">
        <v>7</v>
      </c>
      <c r="LX811" s="27" t="s">
        <v>7</v>
      </c>
      <c r="NF811" s="27" t="s">
        <v>7</v>
      </c>
      <c r="NG811" s="27" t="s">
        <v>8</v>
      </c>
      <c r="NH811" s="27" t="s">
        <v>7</v>
      </c>
      <c r="NI811" s="27" t="s">
        <v>8</v>
      </c>
      <c r="NJ811" s="27" t="s">
        <v>7</v>
      </c>
      <c r="NM811" s="27" t="s">
        <v>8</v>
      </c>
      <c r="NN811" s="27" t="s">
        <v>7</v>
      </c>
      <c r="NO811" s="27" t="s">
        <v>8</v>
      </c>
      <c r="NP811" s="27" t="s">
        <v>7</v>
      </c>
    </row>
    <row r="812" spans="1:389" x14ac:dyDescent="0.25">
      <c r="A812" s="7">
        <v>1.1613452649629196E-2</v>
      </c>
      <c r="B812"/>
      <c r="C812"/>
      <c r="D812"/>
      <c r="E812"/>
      <c r="F812" s="27" t="s">
        <v>7</v>
      </c>
      <c r="IC812" s="27" t="s">
        <v>8</v>
      </c>
      <c r="ID812" s="27" t="s">
        <v>7</v>
      </c>
      <c r="IE812" s="27" t="s">
        <v>8</v>
      </c>
      <c r="JP812" s="27" t="s">
        <v>7</v>
      </c>
      <c r="JQ812" s="27" t="s">
        <v>8</v>
      </c>
      <c r="JR812" s="27" t="s">
        <v>7</v>
      </c>
      <c r="JW812" s="27" t="s">
        <v>8</v>
      </c>
      <c r="JX812" s="27" t="s">
        <v>7</v>
      </c>
      <c r="JY812" s="27" t="s">
        <v>8</v>
      </c>
      <c r="JZ812" s="27" t="s">
        <v>7</v>
      </c>
      <c r="LC812" s="27" t="s">
        <v>8</v>
      </c>
      <c r="LD812" s="27" t="s">
        <v>7</v>
      </c>
      <c r="LG812" s="27" t="s">
        <v>8</v>
      </c>
      <c r="LH812" s="27" t="s">
        <v>7</v>
      </c>
      <c r="LQ812" s="27" t="s">
        <v>8</v>
      </c>
      <c r="LR812" s="27" t="s">
        <v>7</v>
      </c>
      <c r="LS812" s="27" t="s">
        <v>8</v>
      </c>
      <c r="LT812" s="27" t="s">
        <v>7</v>
      </c>
      <c r="LU812" s="27" t="s">
        <v>8</v>
      </c>
      <c r="NF812" s="27" t="s">
        <v>7</v>
      </c>
      <c r="NG812" s="27" t="s">
        <v>8</v>
      </c>
      <c r="NH812" s="27" t="s">
        <v>7</v>
      </c>
      <c r="NI812" s="27" t="s">
        <v>8</v>
      </c>
      <c r="NJ812" s="27" t="s">
        <v>7</v>
      </c>
      <c r="NM812" s="27" t="s">
        <v>8</v>
      </c>
      <c r="NN812" s="27" t="s">
        <v>7</v>
      </c>
      <c r="NO812" s="27" t="s">
        <v>8</v>
      </c>
      <c r="NP812" s="27" t="s">
        <v>7</v>
      </c>
    </row>
    <row r="813" spans="1:389" x14ac:dyDescent="0.25">
      <c r="A813" s="7">
        <v>1.138573789179333E-2</v>
      </c>
      <c r="B813"/>
      <c r="C813"/>
      <c r="D813"/>
      <c r="E813"/>
      <c r="F813" s="27" t="s">
        <v>7</v>
      </c>
      <c r="IC813" s="27" t="s">
        <v>8</v>
      </c>
      <c r="ID813" s="27" t="s">
        <v>7</v>
      </c>
      <c r="IE813" s="27" t="s">
        <v>8</v>
      </c>
      <c r="JP813" s="27" t="s">
        <v>7</v>
      </c>
      <c r="JQ813" s="27" t="s">
        <v>8</v>
      </c>
      <c r="JR813" s="27" t="s">
        <v>7</v>
      </c>
      <c r="JS813" s="27" t="s">
        <v>8</v>
      </c>
      <c r="JW813" s="27" t="s">
        <v>8</v>
      </c>
      <c r="JX813" s="27" t="s">
        <v>7</v>
      </c>
      <c r="JY813" s="27" t="s">
        <v>8</v>
      </c>
      <c r="JZ813" s="27" t="s">
        <v>7</v>
      </c>
      <c r="LC813" s="27" t="s">
        <v>8</v>
      </c>
      <c r="LD813" s="27" t="s">
        <v>7</v>
      </c>
      <c r="LG813" s="27" t="s">
        <v>8</v>
      </c>
      <c r="LH813" s="27" t="s">
        <v>7</v>
      </c>
      <c r="LI813" s="27" t="s">
        <v>8</v>
      </c>
      <c r="LQ813" s="27" t="s">
        <v>8</v>
      </c>
      <c r="LR813" s="27" t="s">
        <v>7</v>
      </c>
      <c r="LS813" s="27" t="s">
        <v>8</v>
      </c>
      <c r="LT813" s="27" t="s">
        <v>7</v>
      </c>
      <c r="LU813" s="27" t="s">
        <v>8</v>
      </c>
      <c r="NF813" s="27" t="s">
        <v>7</v>
      </c>
      <c r="NG813" s="27" t="s">
        <v>8</v>
      </c>
      <c r="NH813" s="27" t="s">
        <v>7</v>
      </c>
      <c r="NI813" s="27" t="s">
        <v>8</v>
      </c>
      <c r="NJ813" s="27" t="s">
        <v>7</v>
      </c>
      <c r="NK813" s="27" t="s">
        <v>8</v>
      </c>
      <c r="NM813" s="27" t="s">
        <v>8</v>
      </c>
      <c r="NN813" s="27" t="s">
        <v>7</v>
      </c>
      <c r="NO813" s="27" t="s">
        <v>8</v>
      </c>
      <c r="NP813" s="27" t="s">
        <v>7</v>
      </c>
    </row>
    <row r="814" spans="1:389" x14ac:dyDescent="0.25">
      <c r="A814" s="7">
        <v>1.1162488129209149E-2</v>
      </c>
      <c r="B814"/>
      <c r="C814"/>
      <c r="D814"/>
      <c r="E814"/>
      <c r="F814" s="27" t="s">
        <v>7</v>
      </c>
      <c r="IC814" s="27" t="s">
        <v>8</v>
      </c>
      <c r="ID814" s="27" t="s">
        <v>7</v>
      </c>
      <c r="JP814" s="27" t="s">
        <v>7</v>
      </c>
      <c r="JQ814" s="27" t="s">
        <v>8</v>
      </c>
      <c r="JR814" s="27" t="s">
        <v>7</v>
      </c>
      <c r="JS814" s="27" t="s">
        <v>8</v>
      </c>
      <c r="JT814" s="27" t="s">
        <v>7</v>
      </c>
      <c r="JW814" s="27" t="s">
        <v>8</v>
      </c>
      <c r="JX814" s="27" t="s">
        <v>7</v>
      </c>
      <c r="JY814" s="27" t="s">
        <v>8</v>
      </c>
      <c r="JZ814" s="27" t="s">
        <v>7</v>
      </c>
      <c r="KA814" s="27" t="s">
        <v>8</v>
      </c>
      <c r="LC814" s="27" t="s">
        <v>8</v>
      </c>
      <c r="LD814" s="27" t="s">
        <v>7</v>
      </c>
      <c r="LG814" s="27" t="s">
        <v>8</v>
      </c>
      <c r="LH814" s="27" t="s">
        <v>7</v>
      </c>
      <c r="LI814" s="27" t="s">
        <v>8</v>
      </c>
      <c r="LJ814" s="27" t="s">
        <v>7</v>
      </c>
      <c r="LQ814" s="27" t="s">
        <v>8</v>
      </c>
      <c r="LR814" s="27" t="s">
        <v>7</v>
      </c>
      <c r="LS814" s="27" t="s">
        <v>8</v>
      </c>
      <c r="LT814" s="27" t="s">
        <v>7</v>
      </c>
      <c r="LU814" s="27" t="s">
        <v>8</v>
      </c>
      <c r="NF814" s="27" t="s">
        <v>7</v>
      </c>
      <c r="NH814" s="27" t="s">
        <v>7</v>
      </c>
      <c r="NI814" s="27" t="s">
        <v>8</v>
      </c>
      <c r="NJ814" s="27" t="s">
        <v>7</v>
      </c>
      <c r="NK814" s="27" t="s">
        <v>8</v>
      </c>
      <c r="NL814" s="27" t="s">
        <v>7</v>
      </c>
      <c r="NM814" s="27" t="s">
        <v>8</v>
      </c>
      <c r="NN814" s="27" t="s">
        <v>7</v>
      </c>
      <c r="NO814" s="27" t="s">
        <v>8</v>
      </c>
      <c r="NP814" s="27" t="s">
        <v>7</v>
      </c>
      <c r="NQ814" s="27" t="s">
        <v>8</v>
      </c>
      <c r="NS814" s="27" t="s">
        <v>8</v>
      </c>
    </row>
    <row r="815" spans="1:389" x14ac:dyDescent="0.25">
      <c r="A815" s="7">
        <v>1.0943615812950145E-2</v>
      </c>
      <c r="B815"/>
      <c r="C815"/>
      <c r="D815"/>
      <c r="E815"/>
      <c r="F815" s="27" t="s">
        <v>7</v>
      </c>
      <c r="HO815" s="27" t="s">
        <v>8</v>
      </c>
      <c r="IC815" s="27" t="s">
        <v>8</v>
      </c>
      <c r="JP815" s="27" t="s">
        <v>7</v>
      </c>
      <c r="JQ815" s="27" t="s">
        <v>8</v>
      </c>
      <c r="JR815" s="27" t="s">
        <v>7</v>
      </c>
      <c r="JS815" s="27" t="s">
        <v>8</v>
      </c>
      <c r="JT815" s="27" t="s">
        <v>7</v>
      </c>
      <c r="JW815" s="27" t="s">
        <v>8</v>
      </c>
      <c r="JX815" s="27" t="s">
        <v>7</v>
      </c>
      <c r="JY815" s="27" t="s">
        <v>8</v>
      </c>
      <c r="JZ815" s="27" t="s">
        <v>7</v>
      </c>
      <c r="KA815" s="27" t="s">
        <v>8</v>
      </c>
      <c r="KB815" s="27" t="s">
        <v>7</v>
      </c>
      <c r="LC815" s="27" t="s">
        <v>8</v>
      </c>
      <c r="LD815" s="27" t="s">
        <v>7</v>
      </c>
      <c r="LG815" s="27" t="s">
        <v>8</v>
      </c>
      <c r="LH815" s="27" t="s">
        <v>7</v>
      </c>
      <c r="LI815" s="27" t="s">
        <v>8</v>
      </c>
      <c r="LJ815" s="27" t="s">
        <v>7</v>
      </c>
      <c r="LQ815" s="27" t="s">
        <v>8</v>
      </c>
      <c r="LR815" s="27" t="s">
        <v>7</v>
      </c>
      <c r="LS815" s="27" t="s">
        <v>8</v>
      </c>
      <c r="LT815" s="27" t="s">
        <v>7</v>
      </c>
      <c r="LU815" s="27" t="s">
        <v>8</v>
      </c>
      <c r="NH815" s="27" t="s">
        <v>7</v>
      </c>
      <c r="NI815" s="27" t="s">
        <v>8</v>
      </c>
      <c r="NJ815" s="27" t="s">
        <v>7</v>
      </c>
      <c r="NK815" s="27" t="s">
        <v>8</v>
      </c>
      <c r="NL815" s="27" t="s">
        <v>7</v>
      </c>
      <c r="NM815" s="27" t="s">
        <v>8</v>
      </c>
      <c r="NN815" s="27" t="s">
        <v>7</v>
      </c>
      <c r="NO815" s="27" t="s">
        <v>8</v>
      </c>
      <c r="NP815" s="27" t="s">
        <v>7</v>
      </c>
      <c r="NQ815" s="27" t="s">
        <v>8</v>
      </c>
      <c r="NR815" s="27" t="s">
        <v>7</v>
      </c>
      <c r="NS815" s="27" t="s">
        <v>8</v>
      </c>
      <c r="NT815" s="27" t="s">
        <v>7</v>
      </c>
    </row>
    <row r="816" spans="1:389" x14ac:dyDescent="0.25">
      <c r="A816" s="7">
        <v>1.0729035110735436E-2</v>
      </c>
      <c r="B816"/>
      <c r="C816"/>
      <c r="D816"/>
      <c r="E816"/>
      <c r="F816" s="27" t="s">
        <v>7</v>
      </c>
      <c r="HO816" s="27" t="s">
        <v>8</v>
      </c>
      <c r="HP816" s="27" t="s">
        <v>7</v>
      </c>
      <c r="IC816" s="27" t="s">
        <v>8</v>
      </c>
      <c r="JP816" s="27" t="s">
        <v>7</v>
      </c>
      <c r="JQ816" s="27" t="s">
        <v>8</v>
      </c>
      <c r="JR816" s="27" t="s">
        <v>7</v>
      </c>
      <c r="JS816" s="27" t="s">
        <v>8</v>
      </c>
      <c r="JT816" s="27" t="s">
        <v>7</v>
      </c>
      <c r="JW816" s="27" t="s">
        <v>8</v>
      </c>
      <c r="JX816" s="27" t="s">
        <v>7</v>
      </c>
      <c r="JY816" s="27" t="s">
        <v>8</v>
      </c>
      <c r="JZ816" s="27" t="s">
        <v>7</v>
      </c>
      <c r="KA816" s="27" t="s">
        <v>8</v>
      </c>
      <c r="KB816" s="27" t="s">
        <v>7</v>
      </c>
      <c r="KY816" s="27" t="s">
        <v>8</v>
      </c>
      <c r="LC816" s="27" t="s">
        <v>8</v>
      </c>
      <c r="LD816" s="27" t="s">
        <v>7</v>
      </c>
      <c r="LG816" s="27" t="s">
        <v>8</v>
      </c>
      <c r="LH816" s="27" t="s">
        <v>7</v>
      </c>
      <c r="LI816" s="27" t="s">
        <v>8</v>
      </c>
      <c r="LJ816" s="27" t="s">
        <v>7</v>
      </c>
      <c r="LQ816" s="27" t="s">
        <v>8</v>
      </c>
      <c r="LR816" s="27" t="s">
        <v>7</v>
      </c>
      <c r="LT816" s="27" t="s">
        <v>7</v>
      </c>
      <c r="LU816" s="27" t="s">
        <v>8</v>
      </c>
      <c r="NH816" s="27" t="s">
        <v>7</v>
      </c>
      <c r="NI816" s="27" t="s">
        <v>8</v>
      </c>
      <c r="NJ816" s="27" t="s">
        <v>7</v>
      </c>
      <c r="NK816" s="27" t="s">
        <v>8</v>
      </c>
      <c r="NL816" s="27" t="s">
        <v>7</v>
      </c>
      <c r="NM816" s="27" t="s">
        <v>8</v>
      </c>
      <c r="NN816" s="27" t="s">
        <v>7</v>
      </c>
      <c r="NO816" s="27" t="s">
        <v>8</v>
      </c>
      <c r="NP816" s="27" t="s">
        <v>7</v>
      </c>
      <c r="NQ816" s="27" t="s">
        <v>8</v>
      </c>
      <c r="NR816" s="27" t="s">
        <v>7</v>
      </c>
      <c r="NS816" s="27" t="s">
        <v>8</v>
      </c>
      <c r="NT816" s="27" t="s">
        <v>7</v>
      </c>
      <c r="NY816" s="27" t="s">
        <v>8</v>
      </c>
    </row>
    <row r="817" spans="1:392" x14ac:dyDescent="0.25">
      <c r="A817" s="7">
        <v>1.0518661873270036E-2</v>
      </c>
      <c r="B817"/>
      <c r="C817"/>
      <c r="D817"/>
      <c r="E817"/>
      <c r="F817" s="27" t="s">
        <v>7</v>
      </c>
      <c r="HO817" s="27" t="s">
        <v>8</v>
      </c>
      <c r="HP817" s="27" t="s">
        <v>7</v>
      </c>
      <c r="IC817" s="27" t="s">
        <v>8</v>
      </c>
      <c r="JP817" s="27" t="s">
        <v>7</v>
      </c>
      <c r="JQ817" s="27" t="s">
        <v>8</v>
      </c>
      <c r="JR817" s="27" t="s">
        <v>7</v>
      </c>
      <c r="JS817" s="27" t="s">
        <v>8</v>
      </c>
      <c r="JT817" s="27" t="s">
        <v>7</v>
      </c>
      <c r="JU817" s="27" t="s">
        <v>8</v>
      </c>
      <c r="JW817" s="27" t="s">
        <v>8</v>
      </c>
      <c r="JX817" s="27" t="s">
        <v>7</v>
      </c>
      <c r="JY817" s="27" t="s">
        <v>8</v>
      </c>
      <c r="JZ817" s="27" t="s">
        <v>7</v>
      </c>
      <c r="KA817" s="27" t="s">
        <v>8</v>
      </c>
      <c r="KB817" s="27" t="s">
        <v>7</v>
      </c>
      <c r="KY817" s="27" t="s">
        <v>8</v>
      </c>
      <c r="KZ817" s="27" t="s">
        <v>7</v>
      </c>
      <c r="LA817" s="27" t="s">
        <v>8</v>
      </c>
      <c r="LC817" s="27" t="s">
        <v>8</v>
      </c>
      <c r="LD817" s="27" t="s">
        <v>7</v>
      </c>
      <c r="LG817" s="27" t="s">
        <v>8</v>
      </c>
      <c r="LH817" s="27" t="s">
        <v>7</v>
      </c>
      <c r="LI817" s="27" t="s">
        <v>8</v>
      </c>
      <c r="LJ817" s="27" t="s">
        <v>7</v>
      </c>
      <c r="LQ817" s="27" t="s">
        <v>8</v>
      </c>
      <c r="LT817" s="27" t="s">
        <v>7</v>
      </c>
      <c r="LU817" s="27" t="s">
        <v>8</v>
      </c>
      <c r="NH817" s="27" t="s">
        <v>7</v>
      </c>
      <c r="NJ817" s="27" t="s">
        <v>7</v>
      </c>
      <c r="NK817" s="27" t="s">
        <v>8</v>
      </c>
      <c r="NL817" s="27" t="s">
        <v>7</v>
      </c>
      <c r="NM817" s="27" t="s">
        <v>8</v>
      </c>
      <c r="NN817" s="27" t="s">
        <v>7</v>
      </c>
      <c r="NO817" s="27" t="s">
        <v>8</v>
      </c>
      <c r="NP817" s="27" t="s">
        <v>7</v>
      </c>
      <c r="NR817" s="27" t="s">
        <v>7</v>
      </c>
      <c r="NT817" s="27" t="s">
        <v>7</v>
      </c>
      <c r="NY817" s="27" t="s">
        <v>8</v>
      </c>
      <c r="NZ817" s="27" t="s">
        <v>7</v>
      </c>
    </row>
    <row r="818" spans="1:392" x14ac:dyDescent="0.25">
      <c r="A818" s="7">
        <v>1.0312413601245135E-2</v>
      </c>
      <c r="B818"/>
      <c r="C818"/>
      <c r="D818"/>
      <c r="E818"/>
      <c r="F818" s="27" t="s">
        <v>7</v>
      </c>
      <c r="HO818" s="27" t="s">
        <v>8</v>
      </c>
      <c r="HP818" s="27" t="s">
        <v>7</v>
      </c>
      <c r="IC818" s="27" t="s">
        <v>8</v>
      </c>
      <c r="JP818" s="27" t="s">
        <v>7</v>
      </c>
      <c r="JQ818" s="27" t="s">
        <v>8</v>
      </c>
      <c r="JR818" s="27" t="s">
        <v>7</v>
      </c>
      <c r="JS818" s="27" t="s">
        <v>8</v>
      </c>
      <c r="JT818" s="27" t="s">
        <v>7</v>
      </c>
      <c r="JU818" s="27" t="s">
        <v>8</v>
      </c>
      <c r="JV818" s="27" t="s">
        <v>7</v>
      </c>
      <c r="JW818" s="27" t="s">
        <v>8</v>
      </c>
      <c r="JX818" s="27" t="s">
        <v>7</v>
      </c>
      <c r="JY818" s="27" t="s">
        <v>8</v>
      </c>
      <c r="JZ818" s="27" t="s">
        <v>7</v>
      </c>
      <c r="KA818" s="27" t="s">
        <v>8</v>
      </c>
      <c r="KB818" s="27" t="s">
        <v>7</v>
      </c>
      <c r="KY818" s="27" t="s">
        <v>8</v>
      </c>
      <c r="KZ818" s="27" t="s">
        <v>7</v>
      </c>
      <c r="LA818" s="27" t="s">
        <v>8</v>
      </c>
      <c r="LB818" s="27" t="s">
        <v>7</v>
      </c>
      <c r="LC818" s="27" t="s">
        <v>8</v>
      </c>
      <c r="LD818" s="27" t="s">
        <v>7</v>
      </c>
      <c r="LE818" s="27" t="s">
        <v>8</v>
      </c>
      <c r="LG818" s="27" t="s">
        <v>8</v>
      </c>
      <c r="LH818" s="27" t="s">
        <v>7</v>
      </c>
      <c r="LI818" s="27" t="s">
        <v>8</v>
      </c>
      <c r="LJ818" s="27" t="s">
        <v>7</v>
      </c>
      <c r="LQ818" s="27" t="s">
        <v>8</v>
      </c>
      <c r="LT818" s="27" t="s">
        <v>7</v>
      </c>
      <c r="LU818" s="27" t="s">
        <v>8</v>
      </c>
      <c r="NJ818" s="27" t="s">
        <v>7</v>
      </c>
      <c r="NK818" s="27" t="s">
        <v>8</v>
      </c>
      <c r="NL818" s="27" t="s">
        <v>7</v>
      </c>
      <c r="NM818" s="27" t="s">
        <v>8</v>
      </c>
      <c r="NN818" s="27" t="s">
        <v>7</v>
      </c>
      <c r="NO818" s="27" t="s">
        <v>8</v>
      </c>
      <c r="NT818" s="27" t="s">
        <v>7</v>
      </c>
      <c r="NU818" s="27" t="s">
        <v>8</v>
      </c>
      <c r="NY818" s="27" t="s">
        <v>8</v>
      </c>
      <c r="NZ818" s="27" t="s">
        <v>7</v>
      </c>
    </row>
    <row r="819" spans="1:392" x14ac:dyDescent="0.25">
      <c r="A819" s="7">
        <v>1.0110209412985426E-2</v>
      </c>
      <c r="B819"/>
      <c r="C819"/>
      <c r="D819"/>
      <c r="E819"/>
      <c r="F819" s="27" t="s">
        <v>7</v>
      </c>
      <c r="HO819" s="27" t="s">
        <v>8</v>
      </c>
      <c r="HP819" s="27" t="s">
        <v>7</v>
      </c>
      <c r="IC819" s="27" t="s">
        <v>8</v>
      </c>
      <c r="JP819" s="27" t="s">
        <v>7</v>
      </c>
      <c r="JQ819" s="27" t="s">
        <v>8</v>
      </c>
      <c r="JR819" s="27" t="s">
        <v>7</v>
      </c>
      <c r="JS819" s="27" t="s">
        <v>8</v>
      </c>
      <c r="JT819" s="27" t="s">
        <v>7</v>
      </c>
      <c r="JU819" s="27" t="s">
        <v>8</v>
      </c>
      <c r="JV819" s="27" t="s">
        <v>7</v>
      </c>
      <c r="JW819" s="27" t="s">
        <v>8</v>
      </c>
      <c r="JX819" s="27" t="s">
        <v>7</v>
      </c>
      <c r="JY819" s="27" t="s">
        <v>8</v>
      </c>
      <c r="JZ819" s="27" t="s">
        <v>7</v>
      </c>
      <c r="KA819" s="27" t="s">
        <v>8</v>
      </c>
      <c r="KB819" s="27" t="s">
        <v>7</v>
      </c>
      <c r="KY819" s="27" t="s">
        <v>8</v>
      </c>
      <c r="KZ819" s="27" t="s">
        <v>7</v>
      </c>
      <c r="LA819" s="27" t="s">
        <v>8</v>
      </c>
      <c r="LB819" s="27" t="s">
        <v>7</v>
      </c>
      <c r="LC819" s="27" t="s">
        <v>8</v>
      </c>
      <c r="LD819" s="27" t="s">
        <v>7</v>
      </c>
      <c r="LE819" s="27" t="s">
        <v>8</v>
      </c>
      <c r="LF819" s="27" t="s">
        <v>7</v>
      </c>
      <c r="LG819" s="27" t="s">
        <v>8</v>
      </c>
      <c r="LH819" s="27" t="s">
        <v>7</v>
      </c>
      <c r="LI819" s="27" t="s">
        <v>8</v>
      </c>
      <c r="LJ819" s="27" t="s">
        <v>7</v>
      </c>
      <c r="LQ819" s="27" t="s">
        <v>8</v>
      </c>
      <c r="LT819" s="27" t="s">
        <v>7</v>
      </c>
      <c r="LU819" s="27" t="s">
        <v>8</v>
      </c>
      <c r="NJ819" s="27" t="s">
        <v>7</v>
      </c>
      <c r="NL819" s="27" t="s">
        <v>7</v>
      </c>
      <c r="NN819" s="27" t="s">
        <v>7</v>
      </c>
      <c r="NO819" s="27" t="s">
        <v>8</v>
      </c>
      <c r="NT819" s="27" t="s">
        <v>7</v>
      </c>
      <c r="NU819" s="27" t="s">
        <v>8</v>
      </c>
      <c r="NV819" s="27" t="s">
        <v>7</v>
      </c>
      <c r="NY819" s="27" t="s">
        <v>8</v>
      </c>
      <c r="NZ819" s="27" t="s">
        <v>7</v>
      </c>
    </row>
    <row r="820" spans="1:392" x14ac:dyDescent="0.25">
      <c r="A820" s="7">
        <v>9.9119700127308103E-3</v>
      </c>
      <c r="B820"/>
      <c r="C820"/>
      <c r="D820"/>
      <c r="E820"/>
      <c r="F820" s="27" t="s">
        <v>7</v>
      </c>
      <c r="HO820" s="27" t="s">
        <v>8</v>
      </c>
      <c r="HP820" s="27" t="s">
        <v>7</v>
      </c>
      <c r="HS820" s="27" t="s">
        <v>8</v>
      </c>
      <c r="IC820" s="27" t="s">
        <v>8</v>
      </c>
      <c r="JP820" s="27" t="s">
        <v>7</v>
      </c>
      <c r="JQ820" s="27" t="s">
        <v>8</v>
      </c>
      <c r="JR820" s="27" t="s">
        <v>7</v>
      </c>
      <c r="JS820" s="27" t="s">
        <v>8</v>
      </c>
      <c r="JT820" s="27" t="s">
        <v>7</v>
      </c>
      <c r="JU820" s="27" t="s">
        <v>8</v>
      </c>
      <c r="JV820" s="27" t="s">
        <v>7</v>
      </c>
      <c r="JW820" s="27" t="s">
        <v>8</v>
      </c>
      <c r="JX820" s="27" t="s">
        <v>7</v>
      </c>
      <c r="JY820" s="27" t="s">
        <v>8</v>
      </c>
      <c r="JZ820" s="27" t="s">
        <v>7</v>
      </c>
      <c r="KA820" s="27" t="s">
        <v>8</v>
      </c>
      <c r="KB820" s="27" t="s">
        <v>7</v>
      </c>
      <c r="KY820" s="27" t="s">
        <v>8</v>
      </c>
      <c r="KZ820" s="27" t="s">
        <v>7</v>
      </c>
      <c r="LA820" s="27" t="s">
        <v>8</v>
      </c>
      <c r="LB820" s="27" t="s">
        <v>7</v>
      </c>
      <c r="LC820" s="27" t="s">
        <v>8</v>
      </c>
      <c r="LD820" s="27" t="s">
        <v>7</v>
      </c>
      <c r="LE820" s="27" t="s">
        <v>8</v>
      </c>
      <c r="LF820" s="27" t="s">
        <v>7</v>
      </c>
      <c r="LG820" s="27" t="s">
        <v>8</v>
      </c>
      <c r="LH820" s="27" t="s">
        <v>7</v>
      </c>
      <c r="LJ820" s="27" t="s">
        <v>7</v>
      </c>
      <c r="LQ820" s="27" t="s">
        <v>8</v>
      </c>
      <c r="LT820" s="27" t="s">
        <v>7</v>
      </c>
      <c r="LU820" s="27" t="s">
        <v>8</v>
      </c>
      <c r="NN820" s="27" t="s">
        <v>7</v>
      </c>
      <c r="NO820" s="27" t="s">
        <v>8</v>
      </c>
      <c r="NT820" s="27" t="s">
        <v>7</v>
      </c>
      <c r="NU820" s="27" t="s">
        <v>8</v>
      </c>
      <c r="NV820" s="27" t="s">
        <v>7</v>
      </c>
      <c r="NY820" s="27" t="s">
        <v>8</v>
      </c>
      <c r="NZ820" s="27" t="s">
        <v>7</v>
      </c>
    </row>
    <row r="821" spans="1:392" x14ac:dyDescent="0.25">
      <c r="A821" s="7">
        <v>9.717617659540009E-3</v>
      </c>
      <c r="B821"/>
      <c r="C821"/>
      <c r="D821"/>
      <c r="E821"/>
      <c r="F821" s="27" t="s">
        <v>7</v>
      </c>
      <c r="DU821" s="27" t="s">
        <v>8</v>
      </c>
      <c r="HO821" s="27" t="s">
        <v>8</v>
      </c>
      <c r="HP821" s="27" t="s">
        <v>7</v>
      </c>
      <c r="HS821" s="27" t="s">
        <v>8</v>
      </c>
      <c r="HT821" s="27" t="s">
        <v>7</v>
      </c>
      <c r="IA821" s="27" t="s">
        <v>8</v>
      </c>
      <c r="IC821" s="27" t="s">
        <v>8</v>
      </c>
      <c r="JP821" s="27" t="s">
        <v>7</v>
      </c>
      <c r="JQ821" s="27" t="s">
        <v>8</v>
      </c>
      <c r="JR821" s="27" t="s">
        <v>7</v>
      </c>
      <c r="JS821" s="27" t="s">
        <v>8</v>
      </c>
      <c r="JT821" s="27" t="s">
        <v>7</v>
      </c>
      <c r="JU821" s="27" t="s">
        <v>8</v>
      </c>
      <c r="JV821" s="27" t="s">
        <v>7</v>
      </c>
      <c r="JW821" s="27" t="s">
        <v>8</v>
      </c>
      <c r="JX821" s="27" t="s">
        <v>7</v>
      </c>
      <c r="JY821" s="27" t="s">
        <v>8</v>
      </c>
      <c r="JZ821" s="27" t="s">
        <v>7</v>
      </c>
      <c r="KA821" s="27" t="s">
        <v>8</v>
      </c>
      <c r="KB821" s="27" t="s">
        <v>7</v>
      </c>
      <c r="KY821" s="27" t="s">
        <v>8</v>
      </c>
      <c r="KZ821" s="27" t="s">
        <v>7</v>
      </c>
      <c r="LA821" s="27" t="s">
        <v>8</v>
      </c>
      <c r="LB821" s="27" t="s">
        <v>7</v>
      </c>
      <c r="LC821" s="27" t="s">
        <v>8</v>
      </c>
      <c r="LD821" s="27" t="s">
        <v>7</v>
      </c>
      <c r="LE821" s="27" t="s">
        <v>8</v>
      </c>
      <c r="LF821" s="27" t="s">
        <v>7</v>
      </c>
      <c r="LG821" s="27" t="s">
        <v>8</v>
      </c>
      <c r="LJ821" s="27" t="s">
        <v>7</v>
      </c>
      <c r="LQ821" s="27" t="s">
        <v>8</v>
      </c>
      <c r="LT821" s="27" t="s">
        <v>7</v>
      </c>
      <c r="LU821" s="27" t="s">
        <v>8</v>
      </c>
      <c r="NN821" s="27" t="s">
        <v>7</v>
      </c>
      <c r="NT821" s="27" t="s">
        <v>7</v>
      </c>
      <c r="NU821" s="27" t="s">
        <v>8</v>
      </c>
      <c r="NV821" s="27" t="s">
        <v>7</v>
      </c>
      <c r="NY821" s="27" t="s">
        <v>8</v>
      </c>
      <c r="NZ821" s="27" t="s">
        <v>7</v>
      </c>
    </row>
    <row r="822" spans="1:392" x14ac:dyDescent="0.25">
      <c r="A822" s="7">
        <v>9.5270761368039299E-3</v>
      </c>
      <c r="B822"/>
      <c r="C822"/>
      <c r="D822"/>
      <c r="E822"/>
      <c r="F822" s="27" t="s">
        <v>7</v>
      </c>
      <c r="DU822" s="27" t="s">
        <v>8</v>
      </c>
      <c r="DV822" s="27" t="s">
        <v>7</v>
      </c>
      <c r="HO822" s="27" t="s">
        <v>8</v>
      </c>
      <c r="HP822" s="27" t="s">
        <v>7</v>
      </c>
      <c r="HS822" s="27" t="s">
        <v>8</v>
      </c>
      <c r="HT822" s="27" t="s">
        <v>7</v>
      </c>
      <c r="IA822" s="27" t="s">
        <v>8</v>
      </c>
      <c r="IB822" s="27" t="s">
        <v>7</v>
      </c>
      <c r="IC822" s="27" t="s">
        <v>8</v>
      </c>
      <c r="JP822" s="27" t="s">
        <v>7</v>
      </c>
      <c r="JQ822" s="27" t="s">
        <v>8</v>
      </c>
      <c r="JR822" s="27" t="s">
        <v>7</v>
      </c>
      <c r="JS822" s="27" t="s">
        <v>8</v>
      </c>
      <c r="JT822" s="27" t="s">
        <v>7</v>
      </c>
      <c r="JU822" s="27" t="s">
        <v>8</v>
      </c>
      <c r="JV822" s="27" t="s">
        <v>7</v>
      </c>
      <c r="JW822" s="27" t="s">
        <v>8</v>
      </c>
      <c r="JX822" s="27" t="s">
        <v>7</v>
      </c>
      <c r="JY822" s="27" t="s">
        <v>8</v>
      </c>
      <c r="JZ822" s="27" t="s">
        <v>7</v>
      </c>
      <c r="KA822" s="27" t="s">
        <v>8</v>
      </c>
      <c r="KB822" s="27" t="s">
        <v>7</v>
      </c>
      <c r="KY822" s="27" t="s">
        <v>8</v>
      </c>
      <c r="KZ822" s="27" t="s">
        <v>7</v>
      </c>
      <c r="LA822" s="27" t="s">
        <v>8</v>
      </c>
      <c r="LB822" s="27" t="s">
        <v>7</v>
      </c>
      <c r="LC822" s="27" t="s">
        <v>8</v>
      </c>
      <c r="LD822" s="27" t="s">
        <v>7</v>
      </c>
      <c r="LE822" s="27" t="s">
        <v>8</v>
      </c>
      <c r="LF822" s="27" t="s">
        <v>7</v>
      </c>
      <c r="LG822" s="27" t="s">
        <v>8</v>
      </c>
      <c r="LJ822" s="27" t="s">
        <v>7</v>
      </c>
      <c r="LQ822" s="27" t="s">
        <v>8</v>
      </c>
      <c r="LT822" s="27" t="s">
        <v>7</v>
      </c>
      <c r="LU822" s="27" t="s">
        <v>8</v>
      </c>
      <c r="NT822" s="27" t="s">
        <v>7</v>
      </c>
      <c r="NV822" s="27" t="s">
        <v>7</v>
      </c>
      <c r="NY822" s="27" t="s">
        <v>8</v>
      </c>
      <c r="NZ822" s="27" t="s">
        <v>7</v>
      </c>
    </row>
    <row r="823" spans="1:392" x14ac:dyDescent="0.25">
      <c r="A823" s="7">
        <v>9.3402707223567936E-3</v>
      </c>
      <c r="B823"/>
      <c r="C823"/>
      <c r="D823"/>
      <c r="E823"/>
      <c r="F823" s="27" t="s">
        <v>7</v>
      </c>
      <c r="DU823" s="27" t="s">
        <v>8</v>
      </c>
      <c r="DV823" s="27" t="s">
        <v>7</v>
      </c>
      <c r="HO823" s="27" t="s">
        <v>8</v>
      </c>
      <c r="HP823" s="27" t="s">
        <v>7</v>
      </c>
      <c r="HQ823" s="27" t="s">
        <v>8</v>
      </c>
      <c r="HS823" s="27" t="s">
        <v>8</v>
      </c>
      <c r="HT823" s="27" t="s">
        <v>7</v>
      </c>
      <c r="IA823" s="27" t="s">
        <v>8</v>
      </c>
      <c r="IB823" s="27" t="s">
        <v>7</v>
      </c>
      <c r="IC823" s="27" t="s">
        <v>8</v>
      </c>
      <c r="JP823" s="27" t="s">
        <v>7</v>
      </c>
      <c r="JQ823" s="27" t="s">
        <v>8</v>
      </c>
      <c r="JR823" s="27" t="s">
        <v>7</v>
      </c>
      <c r="JS823" s="27" t="s">
        <v>8</v>
      </c>
      <c r="JT823" s="27" t="s">
        <v>7</v>
      </c>
      <c r="JU823" s="27" t="s">
        <v>8</v>
      </c>
      <c r="JV823" s="27" t="s">
        <v>7</v>
      </c>
      <c r="JW823" s="27" t="s">
        <v>8</v>
      </c>
      <c r="JX823" s="27" t="s">
        <v>7</v>
      </c>
      <c r="JY823" s="27" t="s">
        <v>8</v>
      </c>
      <c r="JZ823" s="27" t="s">
        <v>7</v>
      </c>
      <c r="KB823" s="27" t="s">
        <v>7</v>
      </c>
      <c r="KW823" s="27" t="s">
        <v>8</v>
      </c>
      <c r="KY823" s="27" t="s">
        <v>8</v>
      </c>
      <c r="KZ823" s="27" t="s">
        <v>7</v>
      </c>
      <c r="LB823" s="27" t="s">
        <v>7</v>
      </c>
      <c r="LC823" s="27" t="s">
        <v>8</v>
      </c>
      <c r="LD823" s="27" t="s">
        <v>7</v>
      </c>
      <c r="LE823" s="27" t="s">
        <v>8</v>
      </c>
      <c r="LF823" s="27" t="s">
        <v>7</v>
      </c>
      <c r="LJ823" s="27" t="s">
        <v>7</v>
      </c>
      <c r="LQ823" s="27" t="s">
        <v>8</v>
      </c>
      <c r="LT823" s="27" t="s">
        <v>7</v>
      </c>
      <c r="NV823" s="27" t="s">
        <v>7</v>
      </c>
      <c r="NY823" s="27" t="s">
        <v>8</v>
      </c>
      <c r="NZ823" s="27" t="s">
        <v>7</v>
      </c>
    </row>
    <row r="824" spans="1:392" x14ac:dyDescent="0.25">
      <c r="A824" s="7">
        <v>9.1571281591733261E-3</v>
      </c>
      <c r="B824"/>
      <c r="C824"/>
      <c r="D824"/>
      <c r="E824"/>
      <c r="F824" s="27" t="s">
        <v>7</v>
      </c>
      <c r="DU824" s="27" t="s">
        <v>8</v>
      </c>
      <c r="DV824" s="27" t="s">
        <v>7</v>
      </c>
      <c r="HO824" s="27" t="s">
        <v>8</v>
      </c>
      <c r="HP824" s="27" t="s">
        <v>7</v>
      </c>
      <c r="HQ824" s="27" t="s">
        <v>8</v>
      </c>
      <c r="HR824" s="27" t="s">
        <v>7</v>
      </c>
      <c r="HS824" s="27" t="s">
        <v>8</v>
      </c>
      <c r="HT824" s="27" t="s">
        <v>7</v>
      </c>
      <c r="IA824" s="27" t="s">
        <v>8</v>
      </c>
      <c r="IB824" s="27" t="s">
        <v>7</v>
      </c>
      <c r="IC824" s="27" t="s">
        <v>8</v>
      </c>
      <c r="JP824" s="27" t="s">
        <v>7</v>
      </c>
      <c r="JQ824" s="27" t="s">
        <v>8</v>
      </c>
      <c r="JR824" s="27" t="s">
        <v>7</v>
      </c>
      <c r="JS824" s="27" t="s">
        <v>8</v>
      </c>
      <c r="JT824" s="27" t="s">
        <v>7</v>
      </c>
      <c r="JU824" s="27" t="s">
        <v>8</v>
      </c>
      <c r="JV824" s="27" t="s">
        <v>7</v>
      </c>
      <c r="JW824" s="27" t="s">
        <v>8</v>
      </c>
      <c r="JX824" s="27" t="s">
        <v>7</v>
      </c>
      <c r="JY824" s="27" t="s">
        <v>8</v>
      </c>
      <c r="KB824" s="27" t="s">
        <v>7</v>
      </c>
      <c r="KW824" s="27" t="s">
        <v>8</v>
      </c>
      <c r="KX824" s="27" t="s">
        <v>7</v>
      </c>
      <c r="KY824" s="27" t="s">
        <v>8</v>
      </c>
      <c r="LB824" s="27" t="s">
        <v>7</v>
      </c>
      <c r="LC824" s="27" t="s">
        <v>8</v>
      </c>
      <c r="LD824" s="27" t="s">
        <v>7</v>
      </c>
      <c r="LJ824" s="27" t="s">
        <v>7</v>
      </c>
      <c r="LQ824" s="27" t="s">
        <v>8</v>
      </c>
      <c r="NV824" s="27" t="s">
        <v>7</v>
      </c>
      <c r="NY824" s="27" t="s">
        <v>8</v>
      </c>
      <c r="NZ824" s="27" t="s">
        <v>7</v>
      </c>
      <c r="OA824" s="27" t="s">
        <v>8</v>
      </c>
    </row>
    <row r="825" spans="1:392" x14ac:dyDescent="0.25">
      <c r="A825" s="7">
        <v>8.9775766266405148E-3</v>
      </c>
      <c r="B825"/>
      <c r="C825"/>
      <c r="D825"/>
      <c r="E825"/>
      <c r="F825" s="27" t="s">
        <v>7</v>
      </c>
      <c r="DU825" s="27" t="s">
        <v>8</v>
      </c>
      <c r="DV825" s="27" t="s">
        <v>7</v>
      </c>
      <c r="DW825" s="27" t="s">
        <v>8</v>
      </c>
      <c r="HO825" s="27" t="s">
        <v>8</v>
      </c>
      <c r="HP825" s="27" t="s">
        <v>7</v>
      </c>
      <c r="HQ825" s="27" t="s">
        <v>8</v>
      </c>
      <c r="HR825" s="27" t="s">
        <v>7</v>
      </c>
      <c r="HS825" s="27" t="s">
        <v>8</v>
      </c>
      <c r="HT825" s="27" t="s">
        <v>7</v>
      </c>
      <c r="IA825" s="27" t="s">
        <v>8</v>
      </c>
      <c r="IB825" s="27" t="s">
        <v>7</v>
      </c>
      <c r="IC825" s="27" t="s">
        <v>8</v>
      </c>
      <c r="JP825" s="27" t="s">
        <v>7</v>
      </c>
      <c r="JR825" s="27" t="s">
        <v>7</v>
      </c>
      <c r="JS825" s="27" t="s">
        <v>8</v>
      </c>
      <c r="JT825" s="27" t="s">
        <v>7</v>
      </c>
      <c r="JU825" s="27" t="s">
        <v>8</v>
      </c>
      <c r="JV825" s="27" t="s">
        <v>7</v>
      </c>
      <c r="JW825" s="27" t="s">
        <v>8</v>
      </c>
      <c r="JX825" s="27" t="s">
        <v>7</v>
      </c>
      <c r="JY825" s="27" t="s">
        <v>8</v>
      </c>
      <c r="KB825" s="27" t="s">
        <v>7</v>
      </c>
      <c r="KG825" s="27" t="s">
        <v>8</v>
      </c>
      <c r="KU825" s="27" t="s">
        <v>8</v>
      </c>
      <c r="KW825" s="27" t="s">
        <v>8</v>
      </c>
      <c r="KX825" s="27" t="s">
        <v>7</v>
      </c>
      <c r="KY825" s="27" t="s">
        <v>8</v>
      </c>
      <c r="LB825" s="27" t="s">
        <v>7</v>
      </c>
      <c r="LC825" s="27" t="s">
        <v>8</v>
      </c>
      <c r="LJ825" s="27" t="s">
        <v>7</v>
      </c>
      <c r="LK825" s="27" t="s">
        <v>8</v>
      </c>
      <c r="LQ825" s="27" t="s">
        <v>8</v>
      </c>
      <c r="NV825" s="27" t="s">
        <v>7</v>
      </c>
      <c r="NW825" s="27" t="s">
        <v>8</v>
      </c>
      <c r="NY825" s="27" t="s">
        <v>8</v>
      </c>
      <c r="NZ825" s="27" t="s">
        <v>7</v>
      </c>
      <c r="OA825" s="27" t="s">
        <v>8</v>
      </c>
      <c r="OB825" s="27" t="s">
        <v>7</v>
      </c>
    </row>
    <row r="826" spans="1:392" x14ac:dyDescent="0.25">
      <c r="A826" s="7">
        <v>8.8015457123926614E-3</v>
      </c>
      <c r="B826"/>
      <c r="C826"/>
      <c r="D826"/>
      <c r="E826"/>
      <c r="F826" s="27" t="s">
        <v>7</v>
      </c>
      <c r="G826" s="27" t="s">
        <v>8</v>
      </c>
      <c r="DU826" s="27" t="s">
        <v>8</v>
      </c>
      <c r="DV826" s="27" t="s">
        <v>7</v>
      </c>
      <c r="DW826" s="27" t="s">
        <v>8</v>
      </c>
      <c r="DX826" s="27" t="s">
        <v>7</v>
      </c>
      <c r="HM826" s="27" t="s">
        <v>8</v>
      </c>
      <c r="HO826" s="27" t="s">
        <v>8</v>
      </c>
      <c r="HP826" s="27" t="s">
        <v>7</v>
      </c>
      <c r="HQ826" s="27" t="s">
        <v>8</v>
      </c>
      <c r="HR826" s="27" t="s">
        <v>7</v>
      </c>
      <c r="HT826" s="27" t="s">
        <v>7</v>
      </c>
      <c r="IA826" s="27" t="s">
        <v>8</v>
      </c>
      <c r="IB826" s="27" t="s">
        <v>7</v>
      </c>
      <c r="IC826" s="27" t="s">
        <v>8</v>
      </c>
      <c r="JR826" s="27" t="s">
        <v>7</v>
      </c>
      <c r="JS826" s="27" t="s">
        <v>8</v>
      </c>
      <c r="JT826" s="27" t="s">
        <v>7</v>
      </c>
      <c r="JU826" s="27" t="s">
        <v>8</v>
      </c>
      <c r="JV826" s="27" t="s">
        <v>7</v>
      </c>
      <c r="JW826" s="27" t="s">
        <v>8</v>
      </c>
      <c r="JX826" s="27" t="s">
        <v>7</v>
      </c>
      <c r="JY826" s="27" t="s">
        <v>8</v>
      </c>
      <c r="KB826" s="27" t="s">
        <v>7</v>
      </c>
      <c r="KE826" s="27" t="s">
        <v>8</v>
      </c>
      <c r="KG826" s="27" t="s">
        <v>8</v>
      </c>
      <c r="KH826" s="27" t="s">
        <v>7</v>
      </c>
      <c r="KI826" s="27" t="s">
        <v>8</v>
      </c>
      <c r="KU826" s="27" t="s">
        <v>8</v>
      </c>
      <c r="KV826" s="27" t="s">
        <v>7</v>
      </c>
      <c r="KW826" s="27" t="s">
        <v>8</v>
      </c>
      <c r="KX826" s="27" t="s">
        <v>7</v>
      </c>
      <c r="KY826" s="27" t="s">
        <v>8</v>
      </c>
      <c r="LB826" s="27" t="s">
        <v>7</v>
      </c>
      <c r="LC826" s="27" t="s">
        <v>8</v>
      </c>
      <c r="LJ826" s="27" t="s">
        <v>7</v>
      </c>
      <c r="LK826" s="27" t="s">
        <v>8</v>
      </c>
      <c r="LL826" s="27" t="s">
        <v>7</v>
      </c>
      <c r="LQ826" s="27" t="s">
        <v>8</v>
      </c>
      <c r="NV826" s="27" t="s">
        <v>7</v>
      </c>
      <c r="NW826" s="27" t="s">
        <v>8</v>
      </c>
      <c r="NX826" s="27" t="s">
        <v>7</v>
      </c>
      <c r="NY826" s="27" t="s">
        <v>8</v>
      </c>
      <c r="NZ826" s="27" t="s">
        <v>7</v>
      </c>
      <c r="OA826" s="27" t="s">
        <v>8</v>
      </c>
      <c r="OB826" s="27" t="s">
        <v>7</v>
      </c>
    </row>
    <row r="827" spans="1:392" x14ac:dyDescent="0.25">
      <c r="A827" s="7">
        <v>8.6289663846986879E-3</v>
      </c>
      <c r="B827"/>
      <c r="C827"/>
      <c r="D827"/>
      <c r="E827"/>
      <c r="F827" s="27" t="s">
        <v>7</v>
      </c>
      <c r="G827" s="27" t="s">
        <v>8</v>
      </c>
      <c r="H827" s="27" t="s">
        <v>7</v>
      </c>
      <c r="DU827" s="27" t="s">
        <v>8</v>
      </c>
      <c r="DV827" s="27" t="s">
        <v>7</v>
      </c>
      <c r="DW827" s="27" t="s">
        <v>8</v>
      </c>
      <c r="DX827" s="27" t="s">
        <v>7</v>
      </c>
      <c r="HM827" s="27" t="s">
        <v>8</v>
      </c>
      <c r="HN827" s="27" t="s">
        <v>7</v>
      </c>
      <c r="HO827" s="27" t="s">
        <v>8</v>
      </c>
      <c r="HP827" s="27" t="s">
        <v>7</v>
      </c>
      <c r="HQ827" s="27" t="s">
        <v>8</v>
      </c>
      <c r="HT827" s="27" t="s">
        <v>7</v>
      </c>
      <c r="HU827" s="27" t="s">
        <v>8</v>
      </c>
      <c r="IA827" s="27" t="s">
        <v>8</v>
      </c>
      <c r="IB827" s="27" t="s">
        <v>7</v>
      </c>
      <c r="JR827" s="27" t="s">
        <v>7</v>
      </c>
      <c r="JS827" s="27" t="s">
        <v>8</v>
      </c>
      <c r="JT827" s="27" t="s">
        <v>7</v>
      </c>
      <c r="JU827" s="27" t="s">
        <v>8</v>
      </c>
      <c r="JV827" s="27" t="s">
        <v>7</v>
      </c>
      <c r="JW827" s="27" t="s">
        <v>8</v>
      </c>
      <c r="JX827" s="27" t="s">
        <v>7</v>
      </c>
      <c r="JY827" s="27" t="s">
        <v>8</v>
      </c>
      <c r="KB827" s="27" t="s">
        <v>7</v>
      </c>
      <c r="KE827" s="27" t="s">
        <v>8</v>
      </c>
      <c r="KF827" s="27" t="s">
        <v>7</v>
      </c>
      <c r="KG827" s="27" t="s">
        <v>8</v>
      </c>
      <c r="KH827" s="27" t="s">
        <v>7</v>
      </c>
      <c r="KI827" s="27" t="s">
        <v>8</v>
      </c>
      <c r="KJ827" s="27" t="s">
        <v>7</v>
      </c>
      <c r="KU827" s="27" t="s">
        <v>8</v>
      </c>
      <c r="KV827" s="27" t="s">
        <v>7</v>
      </c>
      <c r="KW827" s="27" t="s">
        <v>8</v>
      </c>
      <c r="KX827" s="27" t="s">
        <v>7</v>
      </c>
      <c r="KY827" s="27" t="s">
        <v>8</v>
      </c>
      <c r="LB827" s="27" t="s">
        <v>7</v>
      </c>
      <c r="LJ827" s="27" t="s">
        <v>7</v>
      </c>
      <c r="LK827" s="27" t="s">
        <v>8</v>
      </c>
      <c r="LL827" s="27" t="s">
        <v>7</v>
      </c>
      <c r="LM827" s="27" t="s">
        <v>8</v>
      </c>
      <c r="LO827" s="27" t="s">
        <v>8</v>
      </c>
      <c r="LQ827" s="27" t="s">
        <v>8</v>
      </c>
      <c r="NV827" s="27" t="s">
        <v>7</v>
      </c>
      <c r="NW827" s="27" t="s">
        <v>8</v>
      </c>
      <c r="NX827" s="27" t="s">
        <v>7</v>
      </c>
      <c r="NY827" s="27" t="s">
        <v>8</v>
      </c>
      <c r="NZ827" s="27" t="s">
        <v>7</v>
      </c>
      <c r="OA827" s="27" t="s">
        <v>8</v>
      </c>
      <c r="OB827" s="27" t="s">
        <v>7</v>
      </c>
    </row>
    <row r="828" spans="1:392" x14ac:dyDescent="0.25">
      <c r="A828" s="7">
        <v>8.4597709653908715E-3</v>
      </c>
      <c r="B828"/>
      <c r="C828"/>
      <c r="D828"/>
      <c r="E828"/>
      <c r="F828" s="27" t="s">
        <v>7</v>
      </c>
      <c r="G828" s="27" t="s">
        <v>8</v>
      </c>
      <c r="H828" s="27" t="s">
        <v>7</v>
      </c>
      <c r="DU828" s="27" t="s">
        <v>8</v>
      </c>
      <c r="DV828" s="27" t="s">
        <v>7</v>
      </c>
      <c r="DW828" s="27" t="s">
        <v>8</v>
      </c>
      <c r="DX828" s="27" t="s">
        <v>7</v>
      </c>
      <c r="DY828" s="27" t="s">
        <v>8</v>
      </c>
      <c r="HM828" s="27" t="s">
        <v>8</v>
      </c>
      <c r="HN828" s="27" t="s">
        <v>7</v>
      </c>
      <c r="HO828" s="27" t="s">
        <v>8</v>
      </c>
      <c r="HP828" s="27" t="s">
        <v>7</v>
      </c>
      <c r="HQ828" s="27" t="s">
        <v>8</v>
      </c>
      <c r="HT828" s="27" t="s">
        <v>7</v>
      </c>
      <c r="HU828" s="27" t="s">
        <v>8</v>
      </c>
      <c r="HV828" s="27" t="s">
        <v>7</v>
      </c>
      <c r="IA828" s="27" t="s">
        <v>8</v>
      </c>
      <c r="JR828" s="27" t="s">
        <v>7</v>
      </c>
      <c r="JS828" s="27" t="s">
        <v>8</v>
      </c>
      <c r="JT828" s="27" t="s">
        <v>7</v>
      </c>
      <c r="JU828" s="27" t="s">
        <v>8</v>
      </c>
      <c r="JV828" s="27" t="s">
        <v>7</v>
      </c>
      <c r="JX828" s="27" t="s">
        <v>7</v>
      </c>
      <c r="KB828" s="27" t="s">
        <v>7</v>
      </c>
      <c r="KE828" s="27" t="s">
        <v>8</v>
      </c>
      <c r="KF828" s="27" t="s">
        <v>7</v>
      </c>
      <c r="KG828" s="27" t="s">
        <v>8</v>
      </c>
      <c r="KH828" s="27" t="s">
        <v>7</v>
      </c>
      <c r="KI828" s="27" t="s">
        <v>8</v>
      </c>
      <c r="KJ828" s="27" t="s">
        <v>7</v>
      </c>
      <c r="KU828" s="27" t="s">
        <v>8</v>
      </c>
      <c r="KV828" s="27" t="s">
        <v>7</v>
      </c>
      <c r="KW828" s="27" t="s">
        <v>8</v>
      </c>
      <c r="KX828" s="27" t="s">
        <v>7</v>
      </c>
      <c r="KY828" s="27" t="s">
        <v>8</v>
      </c>
      <c r="LJ828" s="27" t="s">
        <v>7</v>
      </c>
      <c r="LK828" s="27" t="s">
        <v>8</v>
      </c>
      <c r="LL828" s="27" t="s">
        <v>7</v>
      </c>
      <c r="LM828" s="27" t="s">
        <v>8</v>
      </c>
      <c r="LN828" s="27" t="s">
        <v>7</v>
      </c>
      <c r="LO828" s="27" t="s">
        <v>8</v>
      </c>
      <c r="LP828" s="27" t="s">
        <v>7</v>
      </c>
      <c r="LQ828" s="27" t="s">
        <v>8</v>
      </c>
      <c r="NV828" s="27" t="s">
        <v>7</v>
      </c>
      <c r="NW828" s="27" t="s">
        <v>8</v>
      </c>
      <c r="NX828" s="27" t="s">
        <v>7</v>
      </c>
      <c r="NY828" s="27" t="s">
        <v>8</v>
      </c>
      <c r="NZ828" s="27" t="s">
        <v>7</v>
      </c>
      <c r="OA828" s="27" t="s">
        <v>8</v>
      </c>
      <c r="OB828" s="27" t="s">
        <v>7</v>
      </c>
    </row>
    <row r="829" spans="1:392" x14ac:dyDescent="0.25">
      <c r="A829" s="7">
        <v>8.2938931033243839E-3</v>
      </c>
      <c r="B829"/>
      <c r="C829"/>
      <c r="D829"/>
      <c r="E829"/>
      <c r="F829" s="27" t="s">
        <v>7</v>
      </c>
      <c r="G829" s="27" t="s">
        <v>8</v>
      </c>
      <c r="H829" s="27" t="s">
        <v>7</v>
      </c>
      <c r="DU829" s="27" t="s">
        <v>8</v>
      </c>
      <c r="DV829" s="27" t="s">
        <v>7</v>
      </c>
      <c r="DW829" s="27" t="s">
        <v>8</v>
      </c>
      <c r="DX829" s="27" t="s">
        <v>7</v>
      </c>
      <c r="DY829" s="27" t="s">
        <v>8</v>
      </c>
      <c r="DZ829" s="27" t="s">
        <v>7</v>
      </c>
      <c r="HM829" s="27" t="s">
        <v>8</v>
      </c>
      <c r="HN829" s="27" t="s">
        <v>7</v>
      </c>
      <c r="HO829" s="27" t="s">
        <v>8</v>
      </c>
      <c r="HP829" s="27" t="s">
        <v>7</v>
      </c>
      <c r="HQ829" s="27" t="s">
        <v>8</v>
      </c>
      <c r="HT829" s="27" t="s">
        <v>7</v>
      </c>
      <c r="HU829" s="27" t="s">
        <v>8</v>
      </c>
      <c r="HV829" s="27" t="s">
        <v>7</v>
      </c>
      <c r="IA829" s="27" t="s">
        <v>8</v>
      </c>
      <c r="JR829" s="27" t="s">
        <v>7</v>
      </c>
      <c r="JS829" s="27" t="s">
        <v>8</v>
      </c>
      <c r="JT829" s="27" t="s">
        <v>7</v>
      </c>
      <c r="JU829" s="27" t="s">
        <v>8</v>
      </c>
      <c r="KB829" s="27" t="s">
        <v>7</v>
      </c>
      <c r="KE829" s="27" t="s">
        <v>8</v>
      </c>
      <c r="KF829" s="27" t="s">
        <v>7</v>
      </c>
      <c r="KG829" s="27" t="s">
        <v>8</v>
      </c>
      <c r="KH829" s="27" t="s">
        <v>7</v>
      </c>
      <c r="KI829" s="27" t="s">
        <v>8</v>
      </c>
      <c r="KJ829" s="27" t="s">
        <v>7</v>
      </c>
      <c r="KS829" s="27" t="s">
        <v>8</v>
      </c>
      <c r="KU829" s="27" t="s">
        <v>8</v>
      </c>
      <c r="KV829" s="27" t="s">
        <v>7</v>
      </c>
      <c r="KW829" s="27" t="s">
        <v>8</v>
      </c>
      <c r="KX829" s="27" t="s">
        <v>7</v>
      </c>
      <c r="KY829" s="27" t="s">
        <v>8</v>
      </c>
      <c r="LJ829" s="27" t="s">
        <v>7</v>
      </c>
      <c r="LK829" s="27" t="s">
        <v>8</v>
      </c>
      <c r="LL829" s="27" t="s">
        <v>7</v>
      </c>
      <c r="LM829" s="27" t="s">
        <v>8</v>
      </c>
      <c r="LN829" s="27" t="s">
        <v>7</v>
      </c>
      <c r="LO829" s="27" t="s">
        <v>8</v>
      </c>
      <c r="LP829" s="27" t="s">
        <v>7</v>
      </c>
      <c r="LQ829" s="27" t="s">
        <v>8</v>
      </c>
      <c r="NV829" s="27" t="s">
        <v>7</v>
      </c>
      <c r="NW829" s="27" t="s">
        <v>8</v>
      </c>
      <c r="NX829" s="27" t="s">
        <v>7</v>
      </c>
      <c r="NZ829" s="27" t="s">
        <v>7</v>
      </c>
      <c r="OB829" s="27" t="s">
        <v>7</v>
      </c>
    </row>
    <row r="830" spans="1:392" x14ac:dyDescent="0.25">
      <c r="A830" s="7">
        <v>8.1312677483572383E-3</v>
      </c>
      <c r="B830"/>
      <c r="C830"/>
      <c r="D830"/>
      <c r="E830"/>
      <c r="F830" s="27" t="s">
        <v>7</v>
      </c>
      <c r="G830" s="27" t="s">
        <v>8</v>
      </c>
      <c r="H830" s="27" t="s">
        <v>7</v>
      </c>
      <c r="I830" s="27" t="s">
        <v>8</v>
      </c>
      <c r="DU830" s="27" t="s">
        <v>8</v>
      </c>
      <c r="DV830" s="27" t="s">
        <v>7</v>
      </c>
      <c r="DW830" s="27" t="s">
        <v>8</v>
      </c>
      <c r="DX830" s="27" t="s">
        <v>7</v>
      </c>
      <c r="DY830" s="27" t="s">
        <v>8</v>
      </c>
      <c r="DZ830" s="27" t="s">
        <v>7</v>
      </c>
      <c r="HM830" s="27" t="s">
        <v>8</v>
      </c>
      <c r="HN830" s="27" t="s">
        <v>7</v>
      </c>
      <c r="HO830" s="27" t="s">
        <v>8</v>
      </c>
      <c r="HP830" s="27" t="s">
        <v>7</v>
      </c>
      <c r="HQ830" s="27" t="s">
        <v>8</v>
      </c>
      <c r="HT830" s="27" t="s">
        <v>7</v>
      </c>
      <c r="HU830" s="27" t="s">
        <v>8</v>
      </c>
      <c r="HV830" s="27" t="s">
        <v>7</v>
      </c>
      <c r="IA830" s="27" t="s">
        <v>8</v>
      </c>
      <c r="JR830" s="27" t="s">
        <v>7</v>
      </c>
      <c r="JS830" s="27" t="s">
        <v>8</v>
      </c>
      <c r="JT830" s="27" t="s">
        <v>7</v>
      </c>
      <c r="JU830" s="27" t="s">
        <v>8</v>
      </c>
      <c r="KB830" s="27" t="s">
        <v>7</v>
      </c>
      <c r="KC830" s="27" t="s">
        <v>8</v>
      </c>
      <c r="KE830" s="27" t="s">
        <v>8</v>
      </c>
      <c r="KF830" s="27" t="s">
        <v>7</v>
      </c>
      <c r="KG830" s="27" t="s">
        <v>8</v>
      </c>
      <c r="KH830" s="27" t="s">
        <v>7</v>
      </c>
      <c r="KJ830" s="27" t="s">
        <v>7</v>
      </c>
      <c r="KK830" s="27" t="s">
        <v>8</v>
      </c>
      <c r="KS830" s="27" t="s">
        <v>8</v>
      </c>
      <c r="KT830" s="27" t="s">
        <v>7</v>
      </c>
      <c r="KU830" s="27" t="s">
        <v>8</v>
      </c>
      <c r="KV830" s="27" t="s">
        <v>7</v>
      </c>
      <c r="KW830" s="27" t="s">
        <v>8</v>
      </c>
      <c r="KX830" s="27" t="s">
        <v>7</v>
      </c>
      <c r="LJ830" s="27" t="s">
        <v>7</v>
      </c>
      <c r="LK830" s="27" t="s">
        <v>8</v>
      </c>
      <c r="LL830" s="27" t="s">
        <v>7</v>
      </c>
      <c r="LM830" s="27" t="s">
        <v>8</v>
      </c>
      <c r="LN830" s="27" t="s">
        <v>7</v>
      </c>
      <c r="LO830" s="27" t="s">
        <v>8</v>
      </c>
      <c r="LP830" s="27" t="s">
        <v>7</v>
      </c>
      <c r="LQ830" s="27" t="s">
        <v>8</v>
      </c>
      <c r="NV830" s="27" t="s">
        <v>7</v>
      </c>
      <c r="NW830" s="27" t="s">
        <v>8</v>
      </c>
      <c r="OB830" s="27" t="s">
        <v>7</v>
      </c>
    </row>
    <row r="831" spans="1:392" x14ac:dyDescent="0.25">
      <c r="A831" s="7">
        <v>7.9718311258404305E-3</v>
      </c>
      <c r="B831"/>
      <c r="C831"/>
      <c r="D831"/>
      <c r="E831"/>
      <c r="F831" s="27" t="s">
        <v>7</v>
      </c>
      <c r="G831" s="27" t="s">
        <v>8</v>
      </c>
      <c r="H831" s="27" t="s">
        <v>7</v>
      </c>
      <c r="I831" s="27" t="s">
        <v>8</v>
      </c>
      <c r="J831" s="27" t="s">
        <v>7</v>
      </c>
      <c r="K831" s="27" t="s">
        <v>8</v>
      </c>
      <c r="M831" s="27" t="s">
        <v>8</v>
      </c>
      <c r="O831" s="27" t="s">
        <v>8</v>
      </c>
      <c r="DU831" s="27" t="s">
        <v>8</v>
      </c>
      <c r="DV831" s="27" t="s">
        <v>7</v>
      </c>
      <c r="DW831" s="27" t="s">
        <v>8</v>
      </c>
      <c r="DX831" s="27" t="s">
        <v>7</v>
      </c>
      <c r="DZ831" s="27" t="s">
        <v>7</v>
      </c>
      <c r="EA831" s="27" t="s">
        <v>8</v>
      </c>
      <c r="HM831" s="27" t="s">
        <v>8</v>
      </c>
      <c r="HN831" s="27" t="s">
        <v>7</v>
      </c>
      <c r="HO831" s="27" t="s">
        <v>8</v>
      </c>
      <c r="HP831" s="27" t="s">
        <v>7</v>
      </c>
      <c r="HQ831" s="27" t="s">
        <v>8</v>
      </c>
      <c r="HT831" s="27" t="s">
        <v>7</v>
      </c>
      <c r="HU831" s="27" t="s">
        <v>8</v>
      </c>
      <c r="HV831" s="27" t="s">
        <v>7</v>
      </c>
      <c r="IA831" s="27" t="s">
        <v>8</v>
      </c>
      <c r="JR831" s="27" t="s">
        <v>7</v>
      </c>
      <c r="JS831" s="27" t="s">
        <v>8</v>
      </c>
      <c r="JT831" s="27" t="s">
        <v>7</v>
      </c>
      <c r="JU831" s="27" t="s">
        <v>8</v>
      </c>
      <c r="KB831" s="27" t="s">
        <v>7</v>
      </c>
      <c r="KC831" s="27" t="s">
        <v>8</v>
      </c>
      <c r="KD831" s="27" t="s">
        <v>7</v>
      </c>
      <c r="KE831" s="27" t="s">
        <v>8</v>
      </c>
      <c r="KF831" s="27" t="s">
        <v>7</v>
      </c>
      <c r="KG831" s="27" t="s">
        <v>8</v>
      </c>
      <c r="KJ831" s="27" t="s">
        <v>7</v>
      </c>
      <c r="KK831" s="27" t="s">
        <v>8</v>
      </c>
      <c r="KL831" s="27" t="s">
        <v>7</v>
      </c>
      <c r="KS831" s="27" t="s">
        <v>8</v>
      </c>
      <c r="KT831" s="27" t="s">
        <v>7</v>
      </c>
      <c r="KU831" s="27" t="s">
        <v>8</v>
      </c>
      <c r="KV831" s="27" t="s">
        <v>7</v>
      </c>
      <c r="KW831" s="27" t="s">
        <v>8</v>
      </c>
      <c r="LJ831" s="27" t="s">
        <v>7</v>
      </c>
      <c r="LK831" s="27" t="s">
        <v>8</v>
      </c>
      <c r="LL831" s="27" t="s">
        <v>7</v>
      </c>
      <c r="LM831" s="27" t="s">
        <v>8</v>
      </c>
      <c r="LN831" s="27" t="s">
        <v>7</v>
      </c>
      <c r="LO831" s="27" t="s">
        <v>8</v>
      </c>
      <c r="LP831" s="27" t="s">
        <v>7</v>
      </c>
      <c r="NV831" s="27" t="s">
        <v>7</v>
      </c>
      <c r="NW831" s="27" t="s">
        <v>8</v>
      </c>
      <c r="OB831" s="27" t="s">
        <v>7</v>
      </c>
    </row>
    <row r="832" spans="1:392" x14ac:dyDescent="0.25">
      <c r="A832" s="7">
        <v>7.8155207116082648E-3</v>
      </c>
      <c r="B832"/>
      <c r="C832"/>
      <c r="D832"/>
      <c r="E832"/>
      <c r="F832" s="27" t="s">
        <v>7</v>
      </c>
      <c r="G832" s="27" t="s">
        <v>8</v>
      </c>
      <c r="H832" s="27" t="s">
        <v>7</v>
      </c>
      <c r="I832" s="27" t="s">
        <v>8</v>
      </c>
      <c r="J832" s="27" t="s">
        <v>7</v>
      </c>
      <c r="K832" s="27" t="s">
        <v>8</v>
      </c>
      <c r="L832" s="27" t="s">
        <v>7</v>
      </c>
      <c r="M832" s="27" t="s">
        <v>8</v>
      </c>
      <c r="N832" s="27" t="s">
        <v>7</v>
      </c>
      <c r="O832" s="27" t="s">
        <v>8</v>
      </c>
      <c r="P832" s="27" t="s">
        <v>7</v>
      </c>
      <c r="DU832" s="27" t="s">
        <v>8</v>
      </c>
      <c r="DV832" s="27" t="s">
        <v>7</v>
      </c>
      <c r="DW832" s="27" t="s">
        <v>8</v>
      </c>
      <c r="DZ832" s="27" t="s">
        <v>7</v>
      </c>
      <c r="EA832" s="27" t="s">
        <v>8</v>
      </c>
      <c r="EB832" s="27" t="s">
        <v>7</v>
      </c>
      <c r="HM832" s="27" t="s">
        <v>8</v>
      </c>
      <c r="HN832" s="27" t="s">
        <v>7</v>
      </c>
      <c r="HO832" s="27" t="s">
        <v>8</v>
      </c>
      <c r="HP832" s="27" t="s">
        <v>7</v>
      </c>
      <c r="HQ832" s="27" t="s">
        <v>8</v>
      </c>
      <c r="HT832" s="27" t="s">
        <v>7</v>
      </c>
      <c r="HU832" s="27" t="s">
        <v>8</v>
      </c>
      <c r="HV832" s="27" t="s">
        <v>7</v>
      </c>
      <c r="IA832" s="27" t="s">
        <v>8</v>
      </c>
      <c r="JR832" s="27" t="s">
        <v>7</v>
      </c>
      <c r="JS832" s="27" t="s">
        <v>8</v>
      </c>
      <c r="JT832" s="27" t="s">
        <v>7</v>
      </c>
      <c r="KB832" s="27" t="s">
        <v>7</v>
      </c>
      <c r="KC832" s="27" t="s">
        <v>8</v>
      </c>
      <c r="KD832" s="27" t="s">
        <v>7</v>
      </c>
      <c r="KE832" s="27" t="s">
        <v>8</v>
      </c>
      <c r="KF832" s="27" t="s">
        <v>7</v>
      </c>
      <c r="KJ832" s="27" t="s">
        <v>7</v>
      </c>
      <c r="KK832" s="27" t="s">
        <v>8</v>
      </c>
      <c r="KL832" s="27" t="s">
        <v>7</v>
      </c>
      <c r="KM832" s="27" t="s">
        <v>8</v>
      </c>
      <c r="KS832" s="27" t="s">
        <v>8</v>
      </c>
      <c r="KT832" s="27" t="s">
        <v>7</v>
      </c>
      <c r="KU832" s="27" t="s">
        <v>8</v>
      </c>
      <c r="KV832" s="27" t="s">
        <v>7</v>
      </c>
      <c r="KW832" s="27" t="s">
        <v>8</v>
      </c>
      <c r="LJ832" s="27" t="s">
        <v>7</v>
      </c>
      <c r="LK832" s="27" t="s">
        <v>8</v>
      </c>
      <c r="LL832" s="27" t="s">
        <v>7</v>
      </c>
      <c r="LM832" s="27" t="s">
        <v>8</v>
      </c>
      <c r="LN832" s="27" t="s">
        <v>7</v>
      </c>
      <c r="NV832" s="27" t="s">
        <v>7</v>
      </c>
      <c r="OB832" s="27" t="s">
        <v>7</v>
      </c>
    </row>
    <row r="833" spans="1:396" x14ac:dyDescent="0.25">
      <c r="A833" s="7">
        <v>7.6622752074590825E-3</v>
      </c>
      <c r="B833"/>
      <c r="C833"/>
      <c r="D833"/>
      <c r="E833"/>
      <c r="F833" s="27" t="s">
        <v>7</v>
      </c>
      <c r="H833" s="27" t="s">
        <v>7</v>
      </c>
      <c r="I833" s="27" t="s">
        <v>8</v>
      </c>
      <c r="J833" s="27" t="s">
        <v>7</v>
      </c>
      <c r="K833" s="27" t="s">
        <v>8</v>
      </c>
      <c r="L833" s="27" t="s">
        <v>7</v>
      </c>
      <c r="M833" s="27" t="s">
        <v>8</v>
      </c>
      <c r="N833" s="27" t="s">
        <v>7</v>
      </c>
      <c r="O833" s="27" t="s">
        <v>8</v>
      </c>
      <c r="P833" s="27" t="s">
        <v>7</v>
      </c>
      <c r="DU833" s="27" t="s">
        <v>8</v>
      </c>
      <c r="DV833" s="27" t="s">
        <v>7</v>
      </c>
      <c r="DW833" s="27" t="s">
        <v>8</v>
      </c>
      <c r="DZ833" s="27" t="s">
        <v>7</v>
      </c>
      <c r="EA833" s="27" t="s">
        <v>8</v>
      </c>
      <c r="EB833" s="27" t="s">
        <v>7</v>
      </c>
      <c r="HM833" s="27" t="s">
        <v>8</v>
      </c>
      <c r="HN833" s="27" t="s">
        <v>7</v>
      </c>
      <c r="HO833" s="27" t="s">
        <v>8</v>
      </c>
      <c r="HP833" s="27" t="s">
        <v>7</v>
      </c>
      <c r="HQ833" s="27" t="s">
        <v>8</v>
      </c>
      <c r="HT833" s="27" t="s">
        <v>7</v>
      </c>
      <c r="HU833" s="27" t="s">
        <v>8</v>
      </c>
      <c r="HV833" s="27" t="s">
        <v>7</v>
      </c>
      <c r="HW833" s="27" t="s">
        <v>8</v>
      </c>
      <c r="HY833" s="27" t="s">
        <v>8</v>
      </c>
      <c r="IA833" s="27" t="s">
        <v>8</v>
      </c>
      <c r="JR833" s="27" t="s">
        <v>7</v>
      </c>
      <c r="JS833" s="27" t="s">
        <v>8</v>
      </c>
      <c r="KB833" s="27" t="s">
        <v>7</v>
      </c>
      <c r="KC833" s="27" t="s">
        <v>8</v>
      </c>
      <c r="KD833" s="27" t="s">
        <v>7</v>
      </c>
      <c r="KE833" s="27" t="s">
        <v>8</v>
      </c>
      <c r="KJ833" s="27" t="s">
        <v>7</v>
      </c>
      <c r="KL833" s="27" t="s">
        <v>7</v>
      </c>
      <c r="KM833" s="27" t="s">
        <v>8</v>
      </c>
      <c r="KN833" s="27" t="s">
        <v>7</v>
      </c>
      <c r="KS833" s="27" t="s">
        <v>8</v>
      </c>
      <c r="KT833" s="27" t="s">
        <v>7</v>
      </c>
      <c r="KU833" s="27" t="s">
        <v>8</v>
      </c>
      <c r="KV833" s="27" t="s">
        <v>7</v>
      </c>
      <c r="KW833" s="27" t="s">
        <v>8</v>
      </c>
      <c r="LJ833" s="27" t="s">
        <v>7</v>
      </c>
      <c r="LK833" s="27" t="s">
        <v>8</v>
      </c>
      <c r="LL833" s="27" t="s">
        <v>7</v>
      </c>
      <c r="OB833" s="27" t="s">
        <v>7</v>
      </c>
    </row>
    <row r="834" spans="1:396" x14ac:dyDescent="0.25">
      <c r="A834" s="7">
        <v>7.5120345171167469E-3</v>
      </c>
      <c r="B834"/>
      <c r="C834"/>
      <c r="D834"/>
      <c r="E834"/>
      <c r="H834" s="27" t="s">
        <v>7</v>
      </c>
      <c r="I834" s="27" t="s">
        <v>8</v>
      </c>
      <c r="J834" s="27" t="s">
        <v>7</v>
      </c>
      <c r="K834" s="27" t="s">
        <v>8</v>
      </c>
      <c r="L834" s="27" t="s">
        <v>7</v>
      </c>
      <c r="M834" s="27" t="s">
        <v>8</v>
      </c>
      <c r="N834" s="27" t="s">
        <v>7</v>
      </c>
      <c r="P834" s="27" t="s">
        <v>7</v>
      </c>
      <c r="AE834" s="27" t="s">
        <v>8</v>
      </c>
      <c r="DO834" s="27" t="s">
        <v>8</v>
      </c>
      <c r="DU834" s="27" t="s">
        <v>8</v>
      </c>
      <c r="DV834" s="27" t="s">
        <v>7</v>
      </c>
      <c r="DW834" s="27" t="s">
        <v>8</v>
      </c>
      <c r="DZ834" s="27" t="s">
        <v>7</v>
      </c>
      <c r="EA834" s="27" t="s">
        <v>8</v>
      </c>
      <c r="EB834" s="27" t="s">
        <v>7</v>
      </c>
      <c r="EC834" s="27" t="s">
        <v>8</v>
      </c>
      <c r="HM834" s="27" t="s">
        <v>8</v>
      </c>
      <c r="HN834" s="27" t="s">
        <v>7</v>
      </c>
      <c r="HO834" s="27" t="s">
        <v>8</v>
      </c>
      <c r="HP834" s="27" t="s">
        <v>7</v>
      </c>
      <c r="HQ834" s="27" t="s">
        <v>8</v>
      </c>
      <c r="HT834" s="27" t="s">
        <v>7</v>
      </c>
      <c r="HU834" s="27" t="s">
        <v>8</v>
      </c>
      <c r="HV834" s="27" t="s">
        <v>7</v>
      </c>
      <c r="HW834" s="27" t="s">
        <v>8</v>
      </c>
      <c r="HX834" s="27" t="s">
        <v>7</v>
      </c>
      <c r="HY834" s="27" t="s">
        <v>8</v>
      </c>
      <c r="HZ834" s="27" t="s">
        <v>7</v>
      </c>
      <c r="IA834" s="27" t="s">
        <v>8</v>
      </c>
      <c r="JR834" s="27" t="s">
        <v>7</v>
      </c>
      <c r="JS834" s="27" t="s">
        <v>8</v>
      </c>
      <c r="KB834" s="27" t="s">
        <v>7</v>
      </c>
      <c r="KC834" s="27" t="s">
        <v>8</v>
      </c>
      <c r="KD834" s="27" t="s">
        <v>7</v>
      </c>
      <c r="KE834" s="27" t="s">
        <v>8</v>
      </c>
      <c r="KL834" s="27" t="s">
        <v>7</v>
      </c>
      <c r="KM834" s="27" t="s">
        <v>8</v>
      </c>
      <c r="KN834" s="27" t="s">
        <v>7</v>
      </c>
      <c r="KS834" s="27" t="s">
        <v>8</v>
      </c>
      <c r="KT834" s="27" t="s">
        <v>7</v>
      </c>
      <c r="KU834" s="27" t="s">
        <v>8</v>
      </c>
      <c r="KV834" s="27" t="s">
        <v>7</v>
      </c>
      <c r="KW834" s="27" t="s">
        <v>8</v>
      </c>
      <c r="LJ834" s="27" t="s">
        <v>7</v>
      </c>
      <c r="LK834" s="27" t="s">
        <v>8</v>
      </c>
      <c r="OB834" s="27" t="s">
        <v>7</v>
      </c>
    </row>
    <row r="835" spans="1:396" x14ac:dyDescent="0.25">
      <c r="A835" s="7">
        <v>7.3647397226634772E-3</v>
      </c>
      <c r="B835"/>
      <c r="C835"/>
      <c r="D835"/>
      <c r="E835"/>
      <c r="H835" s="27" t="s">
        <v>7</v>
      </c>
      <c r="I835" s="27" t="s">
        <v>8</v>
      </c>
      <c r="J835" s="27" t="s">
        <v>7</v>
      </c>
      <c r="K835" s="27" t="s">
        <v>8</v>
      </c>
      <c r="L835" s="27" t="s">
        <v>7</v>
      </c>
      <c r="M835" s="27" t="s">
        <v>8</v>
      </c>
      <c r="P835" s="27" t="s">
        <v>7</v>
      </c>
      <c r="AE835" s="27" t="s">
        <v>8</v>
      </c>
      <c r="AF835" s="27" t="s">
        <v>7</v>
      </c>
      <c r="AG835" s="27" t="s">
        <v>8</v>
      </c>
      <c r="DO835" s="27" t="s">
        <v>8</v>
      </c>
      <c r="DP835" s="27" t="s">
        <v>7</v>
      </c>
      <c r="DU835" s="27" t="s">
        <v>8</v>
      </c>
      <c r="DV835" s="27" t="s">
        <v>7</v>
      </c>
      <c r="DW835" s="27" t="s">
        <v>8</v>
      </c>
      <c r="DZ835" s="27" t="s">
        <v>7</v>
      </c>
      <c r="EA835" s="27" t="s">
        <v>8</v>
      </c>
      <c r="EB835" s="27" t="s">
        <v>7</v>
      </c>
      <c r="EC835" s="27" t="s">
        <v>8</v>
      </c>
      <c r="ED835" s="27" t="s">
        <v>7</v>
      </c>
      <c r="HM835" s="27" t="s">
        <v>8</v>
      </c>
      <c r="HN835" s="27" t="s">
        <v>7</v>
      </c>
      <c r="HO835" s="27" t="s">
        <v>8</v>
      </c>
      <c r="HP835" s="27" t="s">
        <v>7</v>
      </c>
      <c r="HT835" s="27" t="s">
        <v>7</v>
      </c>
      <c r="HU835" s="27" t="s">
        <v>8</v>
      </c>
      <c r="HV835" s="27" t="s">
        <v>7</v>
      </c>
      <c r="HW835" s="27" t="s">
        <v>8</v>
      </c>
      <c r="HX835" s="27" t="s">
        <v>7</v>
      </c>
      <c r="HY835" s="27" t="s">
        <v>8</v>
      </c>
      <c r="HZ835" s="27" t="s">
        <v>7</v>
      </c>
      <c r="IA835" s="27" t="s">
        <v>8</v>
      </c>
      <c r="JR835" s="27" t="s">
        <v>7</v>
      </c>
      <c r="JS835" s="27" t="s">
        <v>8</v>
      </c>
      <c r="KB835" s="27" t="s">
        <v>7</v>
      </c>
      <c r="KC835" s="27" t="s">
        <v>8</v>
      </c>
      <c r="KD835" s="27" t="s">
        <v>7</v>
      </c>
      <c r="KE835" s="27" t="s">
        <v>8</v>
      </c>
      <c r="KL835" s="27" t="s">
        <v>7</v>
      </c>
      <c r="KM835" s="27" t="s">
        <v>8</v>
      </c>
      <c r="KN835" s="27" t="s">
        <v>7</v>
      </c>
      <c r="KO835" s="27" t="s">
        <v>8</v>
      </c>
      <c r="KS835" s="27" t="s">
        <v>8</v>
      </c>
      <c r="KT835" s="27" t="s">
        <v>7</v>
      </c>
      <c r="KU835" s="27" t="s">
        <v>8</v>
      </c>
      <c r="KV835" s="27" t="s">
        <v>7</v>
      </c>
      <c r="KW835" s="27" t="s">
        <v>8</v>
      </c>
      <c r="LJ835" s="27" t="s">
        <v>7</v>
      </c>
      <c r="OB835" s="27" t="s">
        <v>7</v>
      </c>
    </row>
    <row r="836" spans="1:396" x14ac:dyDescent="0.25">
      <c r="A836" s="7">
        <v>7.2203330614347815E-3</v>
      </c>
      <c r="B836"/>
      <c r="C836"/>
      <c r="D836"/>
      <c r="E836"/>
      <c r="H836" s="27" t="s">
        <v>7</v>
      </c>
      <c r="I836" s="27" t="s">
        <v>8</v>
      </c>
      <c r="J836" s="27" t="s">
        <v>7</v>
      </c>
      <c r="K836" s="27" t="s">
        <v>8</v>
      </c>
      <c r="L836" s="27" t="s">
        <v>7</v>
      </c>
      <c r="M836" s="27" t="s">
        <v>8</v>
      </c>
      <c r="P836" s="27" t="s">
        <v>7</v>
      </c>
      <c r="AE836" s="27" t="s">
        <v>8</v>
      </c>
      <c r="AF836" s="27" t="s">
        <v>7</v>
      </c>
      <c r="AG836" s="27" t="s">
        <v>8</v>
      </c>
      <c r="AH836" s="27" t="s">
        <v>7</v>
      </c>
      <c r="DO836" s="27" t="s">
        <v>8</v>
      </c>
      <c r="DP836" s="27" t="s">
        <v>7</v>
      </c>
      <c r="DU836" s="27" t="s">
        <v>8</v>
      </c>
      <c r="DV836" s="27" t="s">
        <v>7</v>
      </c>
      <c r="DW836" s="27" t="s">
        <v>8</v>
      </c>
      <c r="DZ836" s="27" t="s">
        <v>7</v>
      </c>
      <c r="EA836" s="27" t="s">
        <v>8</v>
      </c>
      <c r="EB836" s="27" t="s">
        <v>7</v>
      </c>
      <c r="EC836" s="27" t="s">
        <v>8</v>
      </c>
      <c r="ED836" s="27" t="s">
        <v>7</v>
      </c>
      <c r="EE836" s="27" t="s">
        <v>8</v>
      </c>
      <c r="HM836" s="27" t="s">
        <v>8</v>
      </c>
      <c r="HN836" s="27" t="s">
        <v>7</v>
      </c>
      <c r="HO836" s="27" t="s">
        <v>8</v>
      </c>
      <c r="HT836" s="27" t="s">
        <v>7</v>
      </c>
      <c r="HU836" s="27" t="s">
        <v>8</v>
      </c>
      <c r="HV836" s="27" t="s">
        <v>7</v>
      </c>
      <c r="HW836" s="27" t="s">
        <v>8</v>
      </c>
      <c r="HX836" s="27" t="s">
        <v>7</v>
      </c>
      <c r="HY836" s="27" t="s">
        <v>8</v>
      </c>
      <c r="HZ836" s="27" t="s">
        <v>7</v>
      </c>
      <c r="IA836" s="27" t="s">
        <v>8</v>
      </c>
      <c r="JR836" s="27" t="s">
        <v>7</v>
      </c>
      <c r="JS836" s="27" t="s">
        <v>8</v>
      </c>
      <c r="KB836" s="27" t="s">
        <v>7</v>
      </c>
      <c r="KC836" s="27" t="s">
        <v>8</v>
      </c>
      <c r="KD836" s="27" t="s">
        <v>7</v>
      </c>
      <c r="KE836" s="27" t="s">
        <v>8</v>
      </c>
      <c r="KL836" s="27" t="s">
        <v>7</v>
      </c>
      <c r="KM836" s="27" t="s">
        <v>8</v>
      </c>
      <c r="KN836" s="27" t="s">
        <v>7</v>
      </c>
      <c r="KO836" s="27" t="s">
        <v>8</v>
      </c>
      <c r="KP836" s="27" t="s">
        <v>7</v>
      </c>
      <c r="KS836" s="27" t="s">
        <v>8</v>
      </c>
      <c r="KT836" s="27" t="s">
        <v>7</v>
      </c>
      <c r="KV836" s="27" t="s">
        <v>7</v>
      </c>
      <c r="KW836" s="27" t="s">
        <v>8</v>
      </c>
      <c r="OB836" s="27" t="s">
        <v>7</v>
      </c>
    </row>
    <row r="837" spans="1:396" x14ac:dyDescent="0.25">
      <c r="A837" s="7">
        <v>7.0787579033674327E-3</v>
      </c>
      <c r="B837"/>
      <c r="C837"/>
      <c r="D837"/>
      <c r="E837"/>
      <c r="H837" s="27" t="s">
        <v>7</v>
      </c>
      <c r="J837" s="27" t="s">
        <v>7</v>
      </c>
      <c r="K837" s="27" t="s">
        <v>8</v>
      </c>
      <c r="L837" s="27" t="s">
        <v>7</v>
      </c>
      <c r="M837" s="27" t="s">
        <v>8</v>
      </c>
      <c r="P837" s="27" t="s">
        <v>7</v>
      </c>
      <c r="AE837" s="27" t="s">
        <v>8</v>
      </c>
      <c r="AF837" s="27" t="s">
        <v>7</v>
      </c>
      <c r="AG837" s="27" t="s">
        <v>8</v>
      </c>
      <c r="AH837" s="27" t="s">
        <v>7</v>
      </c>
      <c r="DO837" s="27" t="s">
        <v>8</v>
      </c>
      <c r="DP837" s="27" t="s">
        <v>7</v>
      </c>
      <c r="DS837" s="27" t="s">
        <v>8</v>
      </c>
      <c r="DU837" s="27" t="s">
        <v>8</v>
      </c>
      <c r="DV837" s="27" t="s">
        <v>7</v>
      </c>
      <c r="DZ837" s="27" t="s">
        <v>7</v>
      </c>
      <c r="EB837" s="27" t="s">
        <v>7</v>
      </c>
      <c r="EC837" s="27" t="s">
        <v>8</v>
      </c>
      <c r="ED837" s="27" t="s">
        <v>7</v>
      </c>
      <c r="EE837" s="27" t="s">
        <v>8</v>
      </c>
      <c r="EF837" s="27" t="s">
        <v>7</v>
      </c>
      <c r="HM837" s="27" t="s">
        <v>8</v>
      </c>
      <c r="HN837" s="27" t="s">
        <v>7</v>
      </c>
      <c r="HO837" s="27" t="s">
        <v>8</v>
      </c>
      <c r="HT837" s="27" t="s">
        <v>7</v>
      </c>
      <c r="HU837" s="27" t="s">
        <v>8</v>
      </c>
      <c r="HV837" s="27" t="s">
        <v>7</v>
      </c>
      <c r="HW837" s="27" t="s">
        <v>8</v>
      </c>
      <c r="HX837" s="27" t="s">
        <v>7</v>
      </c>
      <c r="HY837" s="27" t="s">
        <v>8</v>
      </c>
      <c r="HZ837" s="27" t="s">
        <v>7</v>
      </c>
      <c r="IA837" s="27" t="s">
        <v>8</v>
      </c>
      <c r="JR837" s="27" t="s">
        <v>7</v>
      </c>
      <c r="JS837" s="27" t="s">
        <v>8</v>
      </c>
      <c r="KB837" s="27" t="s">
        <v>7</v>
      </c>
      <c r="KC837" s="27" t="s">
        <v>8</v>
      </c>
      <c r="KD837" s="27" t="s">
        <v>7</v>
      </c>
      <c r="KE837" s="27" t="s">
        <v>8</v>
      </c>
      <c r="KL837" s="27" t="s">
        <v>7</v>
      </c>
      <c r="KM837" s="27" t="s">
        <v>8</v>
      </c>
      <c r="KN837" s="27" t="s">
        <v>7</v>
      </c>
      <c r="KO837" s="27" t="s">
        <v>8</v>
      </c>
      <c r="KP837" s="27" t="s">
        <v>7</v>
      </c>
      <c r="KS837" s="27" t="s">
        <v>8</v>
      </c>
      <c r="KV837" s="27" t="s">
        <v>7</v>
      </c>
      <c r="KW837" s="27" t="s">
        <v>8</v>
      </c>
      <c r="OB837" s="27" t="s">
        <v>7</v>
      </c>
    </row>
    <row r="838" spans="1:396" x14ac:dyDescent="0.25">
      <c r="A838" s="7">
        <v>6.9399587287916013E-3</v>
      </c>
      <c r="B838"/>
      <c r="C838"/>
      <c r="D838"/>
      <c r="E838"/>
      <c r="J838" s="27" t="s">
        <v>7</v>
      </c>
      <c r="L838" s="27" t="s">
        <v>7</v>
      </c>
      <c r="M838" s="27" t="s">
        <v>8</v>
      </c>
      <c r="P838" s="27" t="s">
        <v>7</v>
      </c>
      <c r="AE838" s="27" t="s">
        <v>8</v>
      </c>
      <c r="AF838" s="27" t="s">
        <v>7</v>
      </c>
      <c r="AG838" s="27" t="s">
        <v>8</v>
      </c>
      <c r="AH838" s="27" t="s">
        <v>7</v>
      </c>
      <c r="DM838" s="27" t="s">
        <v>8</v>
      </c>
      <c r="DO838" s="27" t="s">
        <v>8</v>
      </c>
      <c r="DP838" s="27" t="s">
        <v>7</v>
      </c>
      <c r="DQ838" s="27" t="s">
        <v>8</v>
      </c>
      <c r="DS838" s="27" t="s">
        <v>8</v>
      </c>
      <c r="DT838" s="27" t="s">
        <v>7</v>
      </c>
      <c r="DU838" s="27" t="s">
        <v>8</v>
      </c>
      <c r="EB838" s="27" t="s">
        <v>7</v>
      </c>
      <c r="EC838" s="27" t="s">
        <v>8</v>
      </c>
      <c r="ED838" s="27" t="s">
        <v>7</v>
      </c>
      <c r="EE838" s="27" t="s">
        <v>8</v>
      </c>
      <c r="EF838" s="27" t="s">
        <v>7</v>
      </c>
      <c r="HM838" s="27" t="s">
        <v>8</v>
      </c>
      <c r="HN838" s="27" t="s">
        <v>7</v>
      </c>
      <c r="HO838" s="27" t="s">
        <v>8</v>
      </c>
      <c r="HT838" s="27" t="s">
        <v>7</v>
      </c>
      <c r="HU838" s="27" t="s">
        <v>8</v>
      </c>
      <c r="HV838" s="27" t="s">
        <v>7</v>
      </c>
      <c r="HW838" s="27" t="s">
        <v>8</v>
      </c>
      <c r="HX838" s="27" t="s">
        <v>7</v>
      </c>
      <c r="HY838" s="27" t="s">
        <v>8</v>
      </c>
      <c r="HZ838" s="27" t="s">
        <v>7</v>
      </c>
      <c r="JR838" s="27" t="s">
        <v>7</v>
      </c>
      <c r="JS838" s="27" t="s">
        <v>8</v>
      </c>
      <c r="KB838" s="27" t="s">
        <v>7</v>
      </c>
      <c r="KC838" s="27" t="s">
        <v>8</v>
      </c>
      <c r="KD838" s="27" t="s">
        <v>7</v>
      </c>
      <c r="KE838" s="27" t="s">
        <v>8</v>
      </c>
      <c r="KL838" s="27" t="s">
        <v>7</v>
      </c>
      <c r="KM838" s="27" t="s">
        <v>8</v>
      </c>
      <c r="KN838" s="27" t="s">
        <v>7</v>
      </c>
      <c r="KP838" s="27" t="s">
        <v>7</v>
      </c>
      <c r="KS838" s="27" t="s">
        <v>8</v>
      </c>
      <c r="KV838" s="27" t="s">
        <v>7</v>
      </c>
      <c r="KW838" s="27" t="s">
        <v>8</v>
      </c>
      <c r="OB838" s="27" t="s">
        <v>7</v>
      </c>
    </row>
    <row r="839" spans="1:396" x14ac:dyDescent="0.25">
      <c r="A839" s="7">
        <v>6.8038811066584333E-3</v>
      </c>
      <c r="B839"/>
      <c r="C839"/>
      <c r="D839"/>
      <c r="E839"/>
      <c r="L839" s="27" t="s">
        <v>7</v>
      </c>
      <c r="M839" s="27" t="s">
        <v>8</v>
      </c>
      <c r="P839" s="27" t="s">
        <v>7</v>
      </c>
      <c r="AE839" s="27" t="s">
        <v>8</v>
      </c>
      <c r="AF839" s="27" t="s">
        <v>7</v>
      </c>
      <c r="AG839" s="27" t="s">
        <v>8</v>
      </c>
      <c r="AH839" s="27" t="s">
        <v>7</v>
      </c>
      <c r="DM839" s="27" t="s">
        <v>8</v>
      </c>
      <c r="DN839" s="27" t="s">
        <v>7</v>
      </c>
      <c r="DO839" s="27" t="s">
        <v>8</v>
      </c>
      <c r="DP839" s="27" t="s">
        <v>7</v>
      </c>
      <c r="DQ839" s="27" t="s">
        <v>8</v>
      </c>
      <c r="DR839" s="27" t="s">
        <v>7</v>
      </c>
      <c r="DS839" s="27" t="s">
        <v>8</v>
      </c>
      <c r="DT839" s="27" t="s">
        <v>7</v>
      </c>
      <c r="DU839" s="27" t="s">
        <v>8</v>
      </c>
      <c r="EB839" s="27" t="s">
        <v>7</v>
      </c>
      <c r="EC839" s="27" t="s">
        <v>8</v>
      </c>
      <c r="ED839" s="27" t="s">
        <v>7</v>
      </c>
      <c r="EE839" s="27" t="s">
        <v>8</v>
      </c>
      <c r="EF839" s="27" t="s">
        <v>7</v>
      </c>
      <c r="HM839" s="27" t="s">
        <v>8</v>
      </c>
      <c r="HN839" s="27" t="s">
        <v>7</v>
      </c>
      <c r="HO839" s="27" t="s">
        <v>8</v>
      </c>
      <c r="HT839" s="27" t="s">
        <v>7</v>
      </c>
      <c r="HU839" s="27" t="s">
        <v>8</v>
      </c>
      <c r="HV839" s="27" t="s">
        <v>7</v>
      </c>
      <c r="HW839" s="27" t="s">
        <v>8</v>
      </c>
      <c r="HX839" s="27" t="s">
        <v>7</v>
      </c>
      <c r="HY839" s="27" t="s">
        <v>8</v>
      </c>
      <c r="JR839" s="27" t="s">
        <v>7</v>
      </c>
      <c r="JS839" s="27" t="s">
        <v>8</v>
      </c>
      <c r="KB839" s="27" t="s">
        <v>7</v>
      </c>
      <c r="KC839" s="27" t="s">
        <v>8</v>
      </c>
      <c r="KD839" s="27" t="s">
        <v>7</v>
      </c>
      <c r="KE839" s="27" t="s">
        <v>8</v>
      </c>
      <c r="KL839" s="27" t="s">
        <v>7</v>
      </c>
      <c r="KM839" s="27" t="s">
        <v>8</v>
      </c>
      <c r="KP839" s="27" t="s">
        <v>7</v>
      </c>
      <c r="KQ839" s="27" t="s">
        <v>8</v>
      </c>
      <c r="KS839" s="27" t="s">
        <v>8</v>
      </c>
      <c r="KV839" s="27" t="s">
        <v>7</v>
      </c>
      <c r="OB839" s="27" t="s">
        <v>7</v>
      </c>
    </row>
    <row r="840" spans="1:396" x14ac:dyDescent="0.25">
      <c r="A840" s="7">
        <v>6.6704716731945425E-3</v>
      </c>
      <c r="B840"/>
      <c r="C840"/>
      <c r="D840"/>
      <c r="E840"/>
      <c r="L840" s="27" t="s">
        <v>7</v>
      </c>
      <c r="M840" s="27" t="s">
        <v>8</v>
      </c>
      <c r="P840" s="27" t="s">
        <v>7</v>
      </c>
      <c r="Q840" s="27" t="s">
        <v>8</v>
      </c>
      <c r="AE840" s="27" t="s">
        <v>8</v>
      </c>
      <c r="AF840" s="27" t="s">
        <v>7</v>
      </c>
      <c r="AG840" s="27" t="s">
        <v>8</v>
      </c>
      <c r="AH840" s="27" t="s">
        <v>7</v>
      </c>
      <c r="DM840" s="27" t="s">
        <v>8</v>
      </c>
      <c r="DN840" s="27" t="s">
        <v>7</v>
      </c>
      <c r="DO840" s="27" t="s">
        <v>8</v>
      </c>
      <c r="DP840" s="27" t="s">
        <v>7</v>
      </c>
      <c r="DQ840" s="27" t="s">
        <v>8</v>
      </c>
      <c r="DR840" s="27" t="s">
        <v>7</v>
      </c>
      <c r="DS840" s="27" t="s">
        <v>8</v>
      </c>
      <c r="DT840" s="27" t="s">
        <v>7</v>
      </c>
      <c r="DU840" s="27" t="s">
        <v>8</v>
      </c>
      <c r="EB840" s="27" t="s">
        <v>7</v>
      </c>
      <c r="ED840" s="27" t="s">
        <v>7</v>
      </c>
      <c r="EE840" s="27" t="s">
        <v>8</v>
      </c>
      <c r="EF840" s="27" t="s">
        <v>7</v>
      </c>
      <c r="HM840" s="27" t="s">
        <v>8</v>
      </c>
      <c r="HN840" s="27" t="s">
        <v>7</v>
      </c>
      <c r="HO840" s="27" t="s">
        <v>8</v>
      </c>
      <c r="HT840" s="27" t="s">
        <v>7</v>
      </c>
      <c r="HU840" s="27" t="s">
        <v>8</v>
      </c>
      <c r="HV840" s="27" t="s">
        <v>7</v>
      </c>
      <c r="HW840" s="27" t="s">
        <v>8</v>
      </c>
      <c r="HX840" s="27" t="s">
        <v>7</v>
      </c>
      <c r="HY840" s="27" t="s">
        <v>8</v>
      </c>
      <c r="JR840" s="27" t="s">
        <v>7</v>
      </c>
      <c r="KB840" s="27" t="s">
        <v>7</v>
      </c>
      <c r="KC840" s="27" t="s">
        <v>8</v>
      </c>
      <c r="KD840" s="27" t="s">
        <v>7</v>
      </c>
      <c r="KE840" s="27" t="s">
        <v>8</v>
      </c>
      <c r="KL840" s="27" t="s">
        <v>7</v>
      </c>
      <c r="KP840" s="27" t="s">
        <v>7</v>
      </c>
      <c r="KQ840" s="27" t="s">
        <v>8</v>
      </c>
      <c r="KR840" s="27" t="s">
        <v>7</v>
      </c>
      <c r="KS840" s="27" t="s">
        <v>8</v>
      </c>
      <c r="OB840" s="27" t="s">
        <v>7</v>
      </c>
      <c r="OC840" s="27" t="s">
        <v>8</v>
      </c>
    </row>
    <row r="841" spans="1:396" x14ac:dyDescent="0.25">
      <c r="A841" s="7">
        <v>6.5396781109750427E-3</v>
      </c>
      <c r="B841"/>
      <c r="C841"/>
      <c r="D841"/>
      <c r="E841"/>
      <c r="L841" s="27" t="s">
        <v>7</v>
      </c>
      <c r="M841" s="27" t="s">
        <v>8</v>
      </c>
      <c r="P841" s="27" t="s">
        <v>7</v>
      </c>
      <c r="Q841" s="27" t="s">
        <v>8</v>
      </c>
      <c r="R841" s="27" t="s">
        <v>7</v>
      </c>
      <c r="AE841" s="27" t="s">
        <v>8</v>
      </c>
      <c r="AF841" s="27" t="s">
        <v>7</v>
      </c>
      <c r="AG841" s="27" t="s">
        <v>8</v>
      </c>
      <c r="AH841" s="27" t="s">
        <v>7</v>
      </c>
      <c r="DM841" s="27" t="s">
        <v>8</v>
      </c>
      <c r="DN841" s="27" t="s">
        <v>7</v>
      </c>
      <c r="DO841" s="27" t="s">
        <v>8</v>
      </c>
      <c r="DP841" s="27" t="s">
        <v>7</v>
      </c>
      <c r="DQ841" s="27" t="s">
        <v>8</v>
      </c>
      <c r="DR841" s="27" t="s">
        <v>7</v>
      </c>
      <c r="DS841" s="27" t="s">
        <v>8</v>
      </c>
      <c r="DT841" s="27" t="s">
        <v>7</v>
      </c>
      <c r="DU841" s="27" t="s">
        <v>8</v>
      </c>
      <c r="ED841" s="27" t="s">
        <v>7</v>
      </c>
      <c r="EE841" s="27" t="s">
        <v>8</v>
      </c>
      <c r="EF841" s="27" t="s">
        <v>7</v>
      </c>
      <c r="HI841" s="27" t="s">
        <v>8</v>
      </c>
      <c r="HM841" s="27" t="s">
        <v>8</v>
      </c>
      <c r="HN841" s="27" t="s">
        <v>7</v>
      </c>
      <c r="HO841" s="27" t="s">
        <v>8</v>
      </c>
      <c r="HT841" s="27" t="s">
        <v>7</v>
      </c>
      <c r="HU841" s="27" t="s">
        <v>8</v>
      </c>
      <c r="HV841" s="27" t="s">
        <v>7</v>
      </c>
      <c r="HX841" s="27" t="s">
        <v>7</v>
      </c>
      <c r="HY841" s="27" t="s">
        <v>8</v>
      </c>
      <c r="KB841" s="27" t="s">
        <v>7</v>
      </c>
      <c r="KC841" s="27" t="s">
        <v>8</v>
      </c>
      <c r="KD841" s="27" t="s">
        <v>7</v>
      </c>
      <c r="KE841" s="27" t="s">
        <v>8</v>
      </c>
      <c r="KP841" s="27" t="s">
        <v>7</v>
      </c>
      <c r="KQ841" s="27" t="s">
        <v>8</v>
      </c>
      <c r="KR841" s="27" t="s">
        <v>7</v>
      </c>
      <c r="KS841" s="27" t="s">
        <v>8</v>
      </c>
      <c r="OB841" s="27" t="s">
        <v>7</v>
      </c>
      <c r="OC841" s="27" t="s">
        <v>8</v>
      </c>
      <c r="OD841" s="27" t="s">
        <v>7</v>
      </c>
    </row>
    <row r="842" spans="1:396" x14ac:dyDescent="0.25">
      <c r="A842" s="7">
        <v>6.4114491284069045E-3</v>
      </c>
      <c r="B842"/>
      <c r="C842"/>
      <c r="D842"/>
      <c r="E842"/>
      <c r="L842" s="27" t="s">
        <v>7</v>
      </c>
      <c r="M842" s="27" t="s">
        <v>8</v>
      </c>
      <c r="P842" s="27" t="s">
        <v>7</v>
      </c>
      <c r="Q842" s="27" t="s">
        <v>8</v>
      </c>
      <c r="R842" s="27" t="s">
        <v>7</v>
      </c>
      <c r="U842" s="27" t="s">
        <v>8</v>
      </c>
      <c r="AE842" s="27" t="s">
        <v>8</v>
      </c>
      <c r="AF842" s="27" t="s">
        <v>7</v>
      </c>
      <c r="AG842" s="27" t="s">
        <v>8</v>
      </c>
      <c r="AH842" s="27" t="s">
        <v>7</v>
      </c>
      <c r="DM842" s="27" t="s">
        <v>8</v>
      </c>
      <c r="DN842" s="27" t="s">
        <v>7</v>
      </c>
      <c r="DO842" s="27" t="s">
        <v>8</v>
      </c>
      <c r="DP842" s="27" t="s">
        <v>7</v>
      </c>
      <c r="DQ842" s="27" t="s">
        <v>8</v>
      </c>
      <c r="DR842" s="27" t="s">
        <v>7</v>
      </c>
      <c r="DS842" s="27" t="s">
        <v>8</v>
      </c>
      <c r="DT842" s="27" t="s">
        <v>7</v>
      </c>
      <c r="ED842" s="27" t="s">
        <v>7</v>
      </c>
      <c r="EF842" s="27" t="s">
        <v>7</v>
      </c>
      <c r="HI842" s="27" t="s">
        <v>8</v>
      </c>
      <c r="HJ842" s="27" t="s">
        <v>7</v>
      </c>
      <c r="HK842" s="27" t="s">
        <v>8</v>
      </c>
      <c r="HM842" s="27" t="s">
        <v>8</v>
      </c>
      <c r="HN842" s="27" t="s">
        <v>7</v>
      </c>
      <c r="HT842" s="27" t="s">
        <v>7</v>
      </c>
      <c r="HU842" s="27" t="s">
        <v>8</v>
      </c>
      <c r="HX842" s="27" t="s">
        <v>7</v>
      </c>
      <c r="KB842" s="27" t="s">
        <v>7</v>
      </c>
      <c r="KC842" s="27" t="s">
        <v>8</v>
      </c>
      <c r="KD842" s="27" t="s">
        <v>7</v>
      </c>
      <c r="KP842" s="27" t="s">
        <v>7</v>
      </c>
      <c r="KQ842" s="27" t="s">
        <v>8</v>
      </c>
      <c r="KR842" s="27" t="s">
        <v>7</v>
      </c>
      <c r="OB842" s="27" t="s">
        <v>7</v>
      </c>
      <c r="OC842" s="27" t="s">
        <v>8</v>
      </c>
      <c r="OD842" s="27" t="s">
        <v>7</v>
      </c>
      <c r="OE842" s="27" t="s">
        <v>8</v>
      </c>
    </row>
    <row r="843" spans="1:396" x14ac:dyDescent="0.25">
      <c r="A843" s="7">
        <v>6.2857344396146115E-3</v>
      </c>
      <c r="B843"/>
      <c r="C843"/>
      <c r="D843"/>
      <c r="E843"/>
      <c r="L843" s="27" t="s">
        <v>7</v>
      </c>
      <c r="P843" s="27" t="s">
        <v>7</v>
      </c>
      <c r="R843" s="27" t="s">
        <v>7</v>
      </c>
      <c r="U843" s="27" t="s">
        <v>8</v>
      </c>
      <c r="V843" s="27" t="s">
        <v>7</v>
      </c>
      <c r="AC843" s="27" t="s">
        <v>8</v>
      </c>
      <c r="AE843" s="27" t="s">
        <v>8</v>
      </c>
      <c r="AF843" s="27" t="s">
        <v>7</v>
      </c>
      <c r="AH843" s="27" t="s">
        <v>7</v>
      </c>
      <c r="AI843" s="27" t="s">
        <v>8</v>
      </c>
      <c r="DK843" s="27" t="s">
        <v>8</v>
      </c>
      <c r="DM843" s="27" t="s">
        <v>8</v>
      </c>
      <c r="DN843" s="27" t="s">
        <v>7</v>
      </c>
      <c r="DO843" s="27" t="s">
        <v>8</v>
      </c>
      <c r="DP843" s="27" t="s">
        <v>7</v>
      </c>
      <c r="DQ843" s="27" t="s">
        <v>8</v>
      </c>
      <c r="DR843" s="27" t="s">
        <v>7</v>
      </c>
      <c r="DS843" s="27" t="s">
        <v>8</v>
      </c>
      <c r="EF843" s="27" t="s">
        <v>7</v>
      </c>
      <c r="HI843" s="27" t="s">
        <v>8</v>
      </c>
      <c r="HJ843" s="27" t="s">
        <v>7</v>
      </c>
      <c r="HK843" s="27" t="s">
        <v>8</v>
      </c>
      <c r="HL843" s="27" t="s">
        <v>7</v>
      </c>
      <c r="HM843" s="27" t="s">
        <v>8</v>
      </c>
      <c r="HT843" s="27" t="s">
        <v>7</v>
      </c>
      <c r="HU843" s="27" t="s">
        <v>8</v>
      </c>
      <c r="KB843" s="27" t="s">
        <v>7</v>
      </c>
      <c r="KC843" s="27" t="s">
        <v>8</v>
      </c>
      <c r="KP843" s="18" t="s">
        <v>7</v>
      </c>
      <c r="KQ843" s="27" t="s">
        <v>8</v>
      </c>
      <c r="OB843" s="27" t="s">
        <v>7</v>
      </c>
      <c r="OC843" s="27" t="s">
        <v>8</v>
      </c>
      <c r="OD843" s="27" t="s">
        <v>7</v>
      </c>
      <c r="OE843" s="27" t="s">
        <v>8</v>
      </c>
      <c r="OF843" s="27" t="s">
        <v>7</v>
      </c>
    </row>
    <row r="844" spans="1:396" x14ac:dyDescent="0.25">
      <c r="A844" s="7">
        <v>6.1624847447202076E-3</v>
      </c>
      <c r="B844"/>
      <c r="C844"/>
      <c r="D844"/>
      <c r="E844"/>
      <c r="R844" s="27" t="s">
        <v>7</v>
      </c>
      <c r="S844" s="27" t="s">
        <v>8</v>
      </c>
      <c r="U844" s="27" t="s">
        <v>8</v>
      </c>
      <c r="V844" s="27" t="s">
        <v>7</v>
      </c>
      <c r="AC844" s="27" t="s">
        <v>8</v>
      </c>
      <c r="AD844" s="27" t="s">
        <v>7</v>
      </c>
      <c r="AE844" s="27" t="s">
        <v>8</v>
      </c>
      <c r="AH844" s="27" t="s">
        <v>7</v>
      </c>
      <c r="AI844" s="27" t="s">
        <v>8</v>
      </c>
      <c r="AJ844" s="27" t="s">
        <v>7</v>
      </c>
      <c r="DK844" s="27" t="s">
        <v>8</v>
      </c>
      <c r="DL844" s="27" t="s">
        <v>7</v>
      </c>
      <c r="DM844" s="27" t="s">
        <v>8</v>
      </c>
      <c r="DN844" s="27" t="s">
        <v>7</v>
      </c>
      <c r="DO844" s="27" t="s">
        <v>8</v>
      </c>
      <c r="DP844" s="27" t="s">
        <v>7</v>
      </c>
      <c r="DQ844" s="27" t="s">
        <v>8</v>
      </c>
      <c r="DR844" s="27" t="s">
        <v>7</v>
      </c>
      <c r="EF844" s="27" t="s">
        <v>7</v>
      </c>
      <c r="HI844" s="27" t="s">
        <v>8</v>
      </c>
      <c r="HJ844" s="27" t="s">
        <v>7</v>
      </c>
      <c r="HK844" s="27" t="s">
        <v>8</v>
      </c>
      <c r="HL844" s="27" t="s">
        <v>7</v>
      </c>
      <c r="HM844" s="27" t="s">
        <v>8</v>
      </c>
      <c r="HT844" s="27" t="s">
        <v>7</v>
      </c>
      <c r="HU844" s="27" t="s">
        <v>8</v>
      </c>
      <c r="KB844" s="27" t="s">
        <v>7</v>
      </c>
      <c r="KC844" s="27" t="s">
        <v>8</v>
      </c>
      <c r="KP844" s="27" t="s">
        <v>7</v>
      </c>
      <c r="KQ844" s="27" t="s">
        <v>8</v>
      </c>
      <c r="OB844" s="27" t="s">
        <v>7</v>
      </c>
      <c r="OC844" s="27" t="s">
        <v>8</v>
      </c>
      <c r="OD844" s="27" t="s">
        <v>7</v>
      </c>
      <c r="OE844" s="27" t="s">
        <v>8</v>
      </c>
      <c r="OF844" s="27" t="s">
        <v>7</v>
      </c>
    </row>
    <row r="845" spans="1:396" x14ac:dyDescent="0.25">
      <c r="A845" s="7">
        <v>6.0416517105100079E-3</v>
      </c>
      <c r="B845"/>
      <c r="C845"/>
      <c r="D845"/>
      <c r="E845"/>
      <c r="R845" s="27" t="s">
        <v>7</v>
      </c>
      <c r="S845" s="27" t="s">
        <v>8</v>
      </c>
      <c r="T845" s="27" t="s">
        <v>7</v>
      </c>
      <c r="U845" s="27" t="s">
        <v>8</v>
      </c>
      <c r="V845" s="27" t="s">
        <v>7</v>
      </c>
      <c r="AC845" s="27" t="s">
        <v>8</v>
      </c>
      <c r="AD845" s="27" t="s">
        <v>7</v>
      </c>
      <c r="AE845" s="27" t="s">
        <v>8</v>
      </c>
      <c r="AH845" s="27" t="s">
        <v>7</v>
      </c>
      <c r="AI845" s="27" t="s">
        <v>8</v>
      </c>
      <c r="AJ845" s="27" t="s">
        <v>7</v>
      </c>
      <c r="DK845" s="27" t="s">
        <v>8</v>
      </c>
      <c r="DL845" s="27" t="s">
        <v>7</v>
      </c>
      <c r="DM845" s="27" t="s">
        <v>8</v>
      </c>
      <c r="DN845" s="27" t="s">
        <v>7</v>
      </c>
      <c r="DO845" s="27" t="s">
        <v>8</v>
      </c>
      <c r="DP845" s="27" t="s">
        <v>7</v>
      </c>
      <c r="DQ845" s="27" t="s">
        <v>8</v>
      </c>
      <c r="EF845" s="27" t="s">
        <v>7</v>
      </c>
      <c r="HI845" s="27" t="s">
        <v>8</v>
      </c>
      <c r="HJ845" s="27" t="s">
        <v>7</v>
      </c>
      <c r="HK845" s="27" t="s">
        <v>8</v>
      </c>
      <c r="HL845" s="27" t="s">
        <v>7</v>
      </c>
      <c r="HM845" s="27" t="s">
        <v>8</v>
      </c>
      <c r="HT845" s="27" t="s">
        <v>7</v>
      </c>
      <c r="KB845" s="27" t="s">
        <v>7</v>
      </c>
      <c r="KC845" s="27" t="s">
        <v>8</v>
      </c>
      <c r="KP845" s="27" t="s">
        <v>7</v>
      </c>
      <c r="KQ845" s="27" t="s">
        <v>8</v>
      </c>
      <c r="OB845" s="27" t="s">
        <v>7</v>
      </c>
      <c r="OC845" s="27" t="s">
        <v>8</v>
      </c>
      <c r="OD845" s="27" t="s">
        <v>7</v>
      </c>
      <c r="OE845" s="27" t="s">
        <v>8</v>
      </c>
      <c r="OF845" s="27" t="s">
        <v>7</v>
      </c>
    </row>
    <row r="846" spans="1:396" x14ac:dyDescent="0.25">
      <c r="A846" s="7">
        <v>5.9231879514803996E-3</v>
      </c>
      <c r="B846"/>
      <c r="C846"/>
      <c r="D846"/>
      <c r="E846"/>
      <c r="R846" s="27" t="s">
        <v>7</v>
      </c>
      <c r="S846" s="27" t="s">
        <v>8</v>
      </c>
      <c r="T846" s="27" t="s">
        <v>7</v>
      </c>
      <c r="U846" s="27" t="s">
        <v>8</v>
      </c>
      <c r="V846" s="27" t="s">
        <v>7</v>
      </c>
      <c r="AC846" s="27" t="s">
        <v>8</v>
      </c>
      <c r="AD846" s="27" t="s">
        <v>7</v>
      </c>
      <c r="AE846" s="27" t="s">
        <v>8</v>
      </c>
      <c r="AH846" s="27" t="s">
        <v>7</v>
      </c>
      <c r="AI846" s="27" t="s">
        <v>8</v>
      </c>
      <c r="AJ846" s="27" t="s">
        <v>7</v>
      </c>
      <c r="AK846" s="27" t="s">
        <v>8</v>
      </c>
      <c r="DK846" s="27" t="s">
        <v>8</v>
      </c>
      <c r="DL846" s="27" t="s">
        <v>7</v>
      </c>
      <c r="DM846" s="27" t="s">
        <v>8</v>
      </c>
      <c r="DN846" s="27" t="s">
        <v>7</v>
      </c>
      <c r="DO846" s="27" t="s">
        <v>8</v>
      </c>
      <c r="DP846" s="27" t="s">
        <v>7</v>
      </c>
      <c r="DQ846" s="27" t="s">
        <v>8</v>
      </c>
      <c r="EF846" s="27" t="s">
        <v>7</v>
      </c>
      <c r="HI846" s="27" t="s">
        <v>8</v>
      </c>
      <c r="HJ846" s="27" t="s">
        <v>7</v>
      </c>
      <c r="HK846" s="27" t="s">
        <v>8</v>
      </c>
      <c r="HL846" s="27" t="s">
        <v>7</v>
      </c>
      <c r="HM846" s="27" t="s">
        <v>8</v>
      </c>
      <c r="KB846" s="27" t="s">
        <v>7</v>
      </c>
      <c r="KC846" s="27" t="s">
        <v>8</v>
      </c>
      <c r="KP846" s="27" t="s">
        <v>7</v>
      </c>
      <c r="KQ846" s="27" t="s">
        <v>8</v>
      </c>
      <c r="OB846" s="27" t="s">
        <v>7</v>
      </c>
      <c r="OC846" s="27" t="s">
        <v>8</v>
      </c>
      <c r="OD846" s="27" t="s">
        <v>7</v>
      </c>
      <c r="OE846" s="27" t="s">
        <v>8</v>
      </c>
      <c r="OF846" s="27" t="s">
        <v>7</v>
      </c>
    </row>
    <row r="847" spans="1:396" x14ac:dyDescent="0.25">
      <c r="A847" s="7">
        <v>5.8070470112552936E-3</v>
      </c>
      <c r="B847"/>
      <c r="C847"/>
      <c r="D847"/>
      <c r="E847"/>
      <c r="R847" s="27" t="s">
        <v>7</v>
      </c>
      <c r="S847" s="27" t="s">
        <v>8</v>
      </c>
      <c r="T847" s="27" t="s">
        <v>7</v>
      </c>
      <c r="U847" s="27" t="s">
        <v>8</v>
      </c>
      <c r="V847" s="27" t="s">
        <v>7</v>
      </c>
      <c r="AC847" s="27" t="s">
        <v>8</v>
      </c>
      <c r="AD847" s="27" t="s">
        <v>7</v>
      </c>
      <c r="AE847" s="27" t="s">
        <v>8</v>
      </c>
      <c r="AH847" s="27" t="s">
        <v>7</v>
      </c>
      <c r="AI847" s="27" t="s">
        <v>8</v>
      </c>
      <c r="AJ847" s="27" t="s">
        <v>7</v>
      </c>
      <c r="AK847" s="27" t="s">
        <v>8</v>
      </c>
      <c r="AL847" s="27" t="s">
        <v>7</v>
      </c>
      <c r="DK847" s="27" t="s">
        <v>8</v>
      </c>
      <c r="DL847" s="27" t="s">
        <v>7</v>
      </c>
      <c r="DM847" s="27" t="s">
        <v>8</v>
      </c>
      <c r="DN847" s="27" t="s">
        <v>7</v>
      </c>
      <c r="DO847" s="27" t="s">
        <v>8</v>
      </c>
      <c r="DP847" s="27" t="s">
        <v>7</v>
      </c>
      <c r="DQ847" s="27" t="s">
        <v>8</v>
      </c>
      <c r="EF847" s="27" t="s">
        <v>7</v>
      </c>
      <c r="HI847" s="27" t="s">
        <v>8</v>
      </c>
      <c r="HJ847" s="27" t="s">
        <v>7</v>
      </c>
      <c r="HK847" s="27" t="s">
        <v>8</v>
      </c>
      <c r="HL847" s="27" t="s">
        <v>7</v>
      </c>
      <c r="HM847" s="27" t="s">
        <v>8</v>
      </c>
      <c r="KB847" s="27" t="s">
        <v>7</v>
      </c>
      <c r="KC847" s="27" t="s">
        <v>8</v>
      </c>
      <c r="KP847" s="27" t="s">
        <v>7</v>
      </c>
      <c r="KQ847" s="27" t="s">
        <v>8</v>
      </c>
      <c r="OB847" s="27" t="s">
        <v>7</v>
      </c>
      <c r="OC847" s="27" t="s">
        <v>8</v>
      </c>
      <c r="OD847" s="27" t="s">
        <v>7</v>
      </c>
      <c r="OE847" s="27" t="s">
        <v>8</v>
      </c>
    </row>
    <row r="848" spans="1:396" x14ac:dyDescent="0.25">
      <c r="A848" s="7">
        <v>5.6931833443679353E-3</v>
      </c>
      <c r="B848"/>
      <c r="C848"/>
      <c r="D848"/>
      <c r="E848"/>
      <c r="R848" s="27" t="s">
        <v>7</v>
      </c>
      <c r="T848" s="27" t="s">
        <v>7</v>
      </c>
      <c r="U848" s="27" t="s">
        <v>8</v>
      </c>
      <c r="V848" s="27" t="s">
        <v>7</v>
      </c>
      <c r="AC848" s="27" t="s">
        <v>8</v>
      </c>
      <c r="AD848" s="27" t="s">
        <v>7</v>
      </c>
      <c r="AE848" s="27" t="s">
        <v>8</v>
      </c>
      <c r="AH848" s="27" t="s">
        <v>7</v>
      </c>
      <c r="AI848" s="27" t="s">
        <v>8</v>
      </c>
      <c r="AJ848" s="27" t="s">
        <v>7</v>
      </c>
      <c r="AK848" s="27" t="s">
        <v>8</v>
      </c>
      <c r="AL848" s="27" t="s">
        <v>7</v>
      </c>
      <c r="AM848" s="27" t="s">
        <v>8</v>
      </c>
      <c r="DK848" s="27" t="s">
        <v>8</v>
      </c>
      <c r="DL848" s="27" t="s">
        <v>7</v>
      </c>
      <c r="DM848" s="27" t="s">
        <v>8</v>
      </c>
      <c r="DN848" s="27" t="s">
        <v>7</v>
      </c>
      <c r="DP848" s="27" t="s">
        <v>7</v>
      </c>
      <c r="DQ848" s="27" t="s">
        <v>8</v>
      </c>
      <c r="EF848" s="27" t="s">
        <v>7</v>
      </c>
      <c r="HI848" s="27" t="s">
        <v>8</v>
      </c>
      <c r="HJ848" s="27" t="s">
        <v>7</v>
      </c>
      <c r="HK848" s="27" t="s">
        <v>8</v>
      </c>
      <c r="HL848" s="27" t="s">
        <v>7</v>
      </c>
      <c r="HM848" s="27" t="s">
        <v>8</v>
      </c>
      <c r="KB848" s="27" t="s">
        <v>7</v>
      </c>
      <c r="KC848" s="27" t="s">
        <v>8</v>
      </c>
      <c r="KP848" s="27" t="s">
        <v>7</v>
      </c>
      <c r="OB848" s="27" t="s">
        <v>7</v>
      </c>
      <c r="OC848" s="27" t="s">
        <v>8</v>
      </c>
      <c r="OD848" s="27" t="s">
        <v>7</v>
      </c>
      <c r="OE848" s="27" t="s">
        <v>8</v>
      </c>
    </row>
    <row r="849" spans="1:395" x14ac:dyDescent="0.25">
      <c r="A849" s="7">
        <v>5.5815522983999367E-3</v>
      </c>
      <c r="B849"/>
      <c r="C849"/>
      <c r="D849"/>
      <c r="E849"/>
      <c r="T849" s="27" t="s">
        <v>7</v>
      </c>
      <c r="U849" s="27" t="s">
        <v>8</v>
      </c>
      <c r="V849" s="27" t="s">
        <v>7</v>
      </c>
      <c r="AC849" s="27" t="s">
        <v>8</v>
      </c>
      <c r="AD849" s="27" t="s">
        <v>7</v>
      </c>
      <c r="AE849" s="27" t="s">
        <v>8</v>
      </c>
      <c r="AH849" s="27" t="s">
        <v>7</v>
      </c>
      <c r="AI849" s="27" t="s">
        <v>8</v>
      </c>
      <c r="AJ849" s="27" t="s">
        <v>7</v>
      </c>
      <c r="AK849" s="27" t="s">
        <v>8</v>
      </c>
      <c r="AL849" s="27" t="s">
        <v>7</v>
      </c>
      <c r="AM849" s="27" t="s">
        <v>8</v>
      </c>
      <c r="AN849" s="27" t="s">
        <v>7</v>
      </c>
      <c r="DK849" s="27" t="s">
        <v>8</v>
      </c>
      <c r="DL849" s="27" t="s">
        <v>7</v>
      </c>
      <c r="DP849" s="27" t="s">
        <v>7</v>
      </c>
      <c r="DQ849" s="27" t="s">
        <v>8</v>
      </c>
      <c r="EF849" s="27" t="s">
        <v>7</v>
      </c>
      <c r="HI849" s="27" t="s">
        <v>8</v>
      </c>
      <c r="HJ849" s="27" t="s">
        <v>7</v>
      </c>
      <c r="HK849" s="27" t="s">
        <v>8</v>
      </c>
      <c r="HL849" s="27" t="s">
        <v>7</v>
      </c>
      <c r="HM849" s="27" t="s">
        <v>8</v>
      </c>
      <c r="KB849" s="27" t="s">
        <v>7</v>
      </c>
      <c r="OB849" s="27" t="s">
        <v>7</v>
      </c>
      <c r="OC849" s="27" t="s">
        <v>8</v>
      </c>
      <c r="OD849" s="27" t="s">
        <v>7</v>
      </c>
      <c r="OE849" s="27" t="s">
        <v>8</v>
      </c>
    </row>
    <row r="850" spans="1:395" x14ac:dyDescent="0.25">
      <c r="A850" s="7">
        <v>5.4721100964705257E-3</v>
      </c>
      <c r="B850"/>
      <c r="C850"/>
      <c r="D850"/>
      <c r="E850"/>
      <c r="T850" s="27" t="s">
        <v>7</v>
      </c>
      <c r="V850" s="27" t="s">
        <v>7</v>
      </c>
      <c r="W850" s="27" t="s">
        <v>8</v>
      </c>
      <c r="AC850" s="27" t="s">
        <v>8</v>
      </c>
      <c r="AD850" s="27" t="s">
        <v>7</v>
      </c>
      <c r="AE850" s="27" t="s">
        <v>8</v>
      </c>
      <c r="AH850" s="27" t="s">
        <v>7</v>
      </c>
      <c r="AI850" s="27" t="s">
        <v>8</v>
      </c>
      <c r="AJ850" s="27" t="s">
        <v>7</v>
      </c>
      <c r="AK850" s="27" t="s">
        <v>8</v>
      </c>
      <c r="AL850" s="27" t="s">
        <v>7</v>
      </c>
      <c r="AM850" s="27" t="s">
        <v>8</v>
      </c>
      <c r="AN850" s="27" t="s">
        <v>7</v>
      </c>
      <c r="DK850" s="27" t="s">
        <v>8</v>
      </c>
      <c r="DP850" s="27" t="s">
        <v>7</v>
      </c>
      <c r="DQ850" s="27" t="s">
        <v>8</v>
      </c>
      <c r="EF850" s="27" t="s">
        <v>7</v>
      </c>
      <c r="HI850" s="27" t="s">
        <v>8</v>
      </c>
      <c r="HJ850" s="27" t="s">
        <v>7</v>
      </c>
      <c r="HK850" s="27" t="s">
        <v>8</v>
      </c>
      <c r="HL850" s="27" t="s">
        <v>7</v>
      </c>
      <c r="HM850" s="27" t="s">
        <v>8</v>
      </c>
      <c r="OB850" s="27" t="s">
        <v>7</v>
      </c>
      <c r="OC850" s="27" t="s">
        <v>8</v>
      </c>
      <c r="OD850" s="27" t="s">
        <v>7</v>
      </c>
    </row>
    <row r="851" spans="1:395" x14ac:dyDescent="0.25">
      <c r="A851" s="7">
        <v>5.3648138200691423E-3</v>
      </c>
      <c r="B851"/>
      <c r="C851"/>
      <c r="D851"/>
      <c r="E851"/>
      <c r="V851" s="27" t="s">
        <v>7</v>
      </c>
      <c r="W851" s="27" t="s">
        <v>8</v>
      </c>
      <c r="X851" s="27" t="s">
        <v>7</v>
      </c>
      <c r="Y851" s="27" t="s">
        <v>8</v>
      </c>
      <c r="AC851" s="27" t="s">
        <v>8</v>
      </c>
      <c r="AD851" s="27" t="s">
        <v>7</v>
      </c>
      <c r="AE851" s="27" t="s">
        <v>8</v>
      </c>
      <c r="AH851" s="27" t="s">
        <v>7</v>
      </c>
      <c r="AI851" s="27" t="s">
        <v>8</v>
      </c>
      <c r="AJ851" s="27" t="s">
        <v>7</v>
      </c>
      <c r="AK851" s="27" t="s">
        <v>8</v>
      </c>
      <c r="AL851" s="27" t="s">
        <v>7</v>
      </c>
      <c r="AM851" s="27" t="s">
        <v>8</v>
      </c>
      <c r="AN851" s="27" t="s">
        <v>7</v>
      </c>
      <c r="DK851" s="27" t="s">
        <v>8</v>
      </c>
      <c r="DP851" s="27" t="s">
        <v>7</v>
      </c>
      <c r="DQ851" s="27" t="s">
        <v>8</v>
      </c>
      <c r="EF851" s="27" t="s">
        <v>7</v>
      </c>
      <c r="HI851" s="27" t="s">
        <v>8</v>
      </c>
      <c r="HJ851" s="27" t="s">
        <v>7</v>
      </c>
      <c r="HK851" s="27" t="s">
        <v>8</v>
      </c>
      <c r="HL851" s="27" t="s">
        <v>7</v>
      </c>
      <c r="HM851" s="27" t="s">
        <v>8</v>
      </c>
      <c r="OB851" s="27" t="s">
        <v>7</v>
      </c>
    </row>
    <row r="852" spans="1:395" x14ac:dyDescent="0.25">
      <c r="A852" s="7">
        <v>5.2596213922246494E-3</v>
      </c>
      <c r="B852"/>
      <c r="C852"/>
      <c r="D852"/>
      <c r="E852"/>
      <c r="V852" s="27" t="s">
        <v>7</v>
      </c>
      <c r="W852" s="27" t="s">
        <v>8</v>
      </c>
      <c r="X852" s="27" t="s">
        <v>7</v>
      </c>
      <c r="Y852" s="27" t="s">
        <v>8</v>
      </c>
      <c r="Z852" s="27" t="s">
        <v>7</v>
      </c>
      <c r="AC852" s="27" t="s">
        <v>8</v>
      </c>
      <c r="AD852" s="27" t="s">
        <v>7</v>
      </c>
      <c r="AE852" s="27" t="s">
        <v>8</v>
      </c>
      <c r="AH852" s="27" t="s">
        <v>7</v>
      </c>
      <c r="AJ852" s="27" t="s">
        <v>7</v>
      </c>
      <c r="AK852" s="27" t="s">
        <v>8</v>
      </c>
      <c r="AL852" s="27" t="s">
        <v>7</v>
      </c>
      <c r="AM852" s="27" t="s">
        <v>8</v>
      </c>
      <c r="AN852" s="27" t="s">
        <v>7</v>
      </c>
      <c r="DK852" s="27" t="s">
        <v>8</v>
      </c>
      <c r="DP852" s="27" t="s">
        <v>7</v>
      </c>
      <c r="DQ852" s="27" t="s">
        <v>8</v>
      </c>
      <c r="EF852" s="27" t="s">
        <v>7</v>
      </c>
      <c r="HI852" s="27" t="s">
        <v>8</v>
      </c>
      <c r="HJ852" s="27" t="s">
        <v>7</v>
      </c>
      <c r="HL852" s="27" t="s">
        <v>7</v>
      </c>
      <c r="HM852" s="27" t="s">
        <v>8</v>
      </c>
    </row>
    <row r="853" spans="1:395" x14ac:dyDescent="0.25">
      <c r="A853" s="7">
        <v>5.1564915610045588E-3</v>
      </c>
      <c r="B853"/>
      <c r="C853"/>
      <c r="D853"/>
      <c r="E853"/>
      <c r="V853" s="27" t="s">
        <v>7</v>
      </c>
      <c r="W853" s="27" t="s">
        <v>8</v>
      </c>
      <c r="X853" s="27" t="s">
        <v>7</v>
      </c>
      <c r="Y853" s="27" t="s">
        <v>8</v>
      </c>
      <c r="Z853" s="27" t="s">
        <v>7</v>
      </c>
      <c r="AC853" s="27" t="s">
        <v>8</v>
      </c>
      <c r="AD853" s="27" t="s">
        <v>7</v>
      </c>
      <c r="AE853" s="27" t="s">
        <v>8</v>
      </c>
      <c r="AJ853" s="27" t="s">
        <v>7</v>
      </c>
      <c r="AK853" s="27" t="s">
        <v>8</v>
      </c>
      <c r="AL853" s="27" t="s">
        <v>7</v>
      </c>
      <c r="AM853" s="27" t="s">
        <v>8</v>
      </c>
      <c r="AN853" s="27" t="s">
        <v>7</v>
      </c>
      <c r="DG853" s="27" t="s">
        <v>8</v>
      </c>
      <c r="DI853" s="27" t="s">
        <v>8</v>
      </c>
      <c r="DK853" s="27" t="s">
        <v>8</v>
      </c>
      <c r="DP853" s="27" t="s">
        <v>7</v>
      </c>
      <c r="DQ853" s="27" t="s">
        <v>8</v>
      </c>
      <c r="EF853" s="27" t="s">
        <v>7</v>
      </c>
      <c r="HI853" s="27" t="s">
        <v>8</v>
      </c>
      <c r="HL853" s="27" t="s">
        <v>7</v>
      </c>
      <c r="HM853" s="27" t="s">
        <v>8</v>
      </c>
    </row>
    <row r="854" spans="1:395" x14ac:dyDescent="0.25">
      <c r="A854" s="7">
        <v>5.0553838833378023E-3</v>
      </c>
      <c r="B854"/>
      <c r="C854"/>
      <c r="D854"/>
      <c r="E854"/>
      <c r="V854" s="27" t="s">
        <v>7</v>
      </c>
      <c r="W854" s="27" t="s">
        <v>8</v>
      </c>
      <c r="X854" s="27" t="s">
        <v>7</v>
      </c>
      <c r="Y854" s="27" t="s">
        <v>8</v>
      </c>
      <c r="Z854" s="27" t="s">
        <v>7</v>
      </c>
      <c r="AC854" s="27" t="s">
        <v>8</v>
      </c>
      <c r="AD854" s="27" t="s">
        <v>7</v>
      </c>
      <c r="AJ854" s="27" t="s">
        <v>7</v>
      </c>
      <c r="AL854" s="27" t="s">
        <v>7</v>
      </c>
      <c r="AN854" s="27" t="s">
        <v>7</v>
      </c>
      <c r="AS854" s="27" t="s">
        <v>8</v>
      </c>
      <c r="DG854" s="27" t="s">
        <v>8</v>
      </c>
      <c r="DH854" s="27" t="s">
        <v>7</v>
      </c>
      <c r="DI854" s="27" t="s">
        <v>8</v>
      </c>
      <c r="DJ854" s="27" t="s">
        <v>7</v>
      </c>
      <c r="DK854" s="27" t="s">
        <v>8</v>
      </c>
      <c r="DP854" s="27" t="s">
        <v>7</v>
      </c>
      <c r="EF854" s="27" t="s">
        <v>7</v>
      </c>
      <c r="HI854" s="27" t="s">
        <v>8</v>
      </c>
      <c r="HL854" s="27" t="s">
        <v>7</v>
      </c>
      <c r="HM854" s="27" t="s">
        <v>8</v>
      </c>
    </row>
    <row r="855" spans="1:395" x14ac:dyDescent="0.25">
      <c r="A855" s="7">
        <v>4.9562587091547079E-3</v>
      </c>
      <c r="B855"/>
      <c r="C855"/>
      <c r="D855"/>
      <c r="E855"/>
      <c r="V855" s="27" t="s">
        <v>7</v>
      </c>
      <c r="W855" s="27" t="s">
        <v>8</v>
      </c>
      <c r="X855" s="27" t="s">
        <v>7</v>
      </c>
      <c r="Y855" s="27" t="s">
        <v>8</v>
      </c>
      <c r="Z855" s="27" t="s">
        <v>7</v>
      </c>
      <c r="AA855" s="27" t="s">
        <v>8</v>
      </c>
      <c r="AC855" s="27" t="s">
        <v>8</v>
      </c>
      <c r="AN855" s="27" t="s">
        <v>7</v>
      </c>
      <c r="AS855" s="27" t="s">
        <v>8</v>
      </c>
      <c r="AT855" s="27" t="s">
        <v>7</v>
      </c>
      <c r="DG855" s="27" t="s">
        <v>8</v>
      </c>
      <c r="DH855" s="27" t="s">
        <v>7</v>
      </c>
      <c r="DI855" s="27" t="s">
        <v>8</v>
      </c>
      <c r="DJ855" s="27" t="s">
        <v>7</v>
      </c>
      <c r="DK855" s="27" t="s">
        <v>8</v>
      </c>
      <c r="EF855" s="27" t="s">
        <v>7</v>
      </c>
      <c r="HI855" s="27" t="s">
        <v>8</v>
      </c>
      <c r="HL855" s="27" t="s">
        <v>7</v>
      </c>
    </row>
    <row r="856" spans="1:395" x14ac:dyDescent="0.25">
      <c r="A856" s="7">
        <v>4.8590771658379491E-3</v>
      </c>
      <c r="B856"/>
      <c r="C856"/>
      <c r="D856"/>
      <c r="E856"/>
      <c r="V856" s="27" t="s">
        <v>7</v>
      </c>
      <c r="X856" s="27" t="s">
        <v>7</v>
      </c>
      <c r="Y856" s="27" t="s">
        <v>8</v>
      </c>
      <c r="Z856" s="27" t="s">
        <v>7</v>
      </c>
      <c r="AA856" s="27" t="s">
        <v>8</v>
      </c>
      <c r="AB856" s="27" t="s">
        <v>7</v>
      </c>
      <c r="AC856" s="27" t="s">
        <v>8</v>
      </c>
      <c r="AN856" s="27" t="s">
        <v>7</v>
      </c>
      <c r="AS856" s="27" t="s">
        <v>8</v>
      </c>
      <c r="AT856" s="27" t="s">
        <v>7</v>
      </c>
      <c r="DG856" s="27" t="s">
        <v>8</v>
      </c>
      <c r="DH856" s="27" t="s">
        <v>7</v>
      </c>
      <c r="DI856" s="27" t="s">
        <v>8</v>
      </c>
      <c r="DJ856" s="27" t="s">
        <v>7</v>
      </c>
      <c r="DK856" s="27" t="s">
        <v>8</v>
      </c>
      <c r="EF856" s="27" t="s">
        <v>7</v>
      </c>
      <c r="HI856" s="27" t="s">
        <v>8</v>
      </c>
    </row>
    <row r="857" spans="1:395" x14ac:dyDescent="0.25">
      <c r="A857" s="7">
        <v>4.7638011429783815E-3</v>
      </c>
      <c r="B857"/>
      <c r="C857"/>
      <c r="D857"/>
      <c r="E857"/>
      <c r="X857" s="27" t="s">
        <v>7</v>
      </c>
      <c r="Y857" s="27" t="s">
        <v>8</v>
      </c>
      <c r="Z857" s="27" t="s">
        <v>7</v>
      </c>
      <c r="AA857" s="27" t="s">
        <v>8</v>
      </c>
      <c r="AB857" s="27" t="s">
        <v>7</v>
      </c>
      <c r="AC857" s="27" t="s">
        <v>8</v>
      </c>
      <c r="AN857" s="27" t="s">
        <v>7</v>
      </c>
      <c r="AO857" s="27" t="s">
        <v>8</v>
      </c>
      <c r="AS857" s="27" t="s">
        <v>8</v>
      </c>
      <c r="AT857" s="27" t="s">
        <v>7</v>
      </c>
      <c r="DG857" s="27" t="s">
        <v>8</v>
      </c>
      <c r="DH857" s="27" t="s">
        <v>7</v>
      </c>
      <c r="DI857" s="27" t="s">
        <v>8</v>
      </c>
      <c r="DJ857" s="27" t="s">
        <v>7</v>
      </c>
      <c r="DK857" s="27" t="s">
        <v>8</v>
      </c>
      <c r="EF857" s="27" t="s">
        <v>7</v>
      </c>
      <c r="HI857" s="27" t="s">
        <v>8</v>
      </c>
    </row>
    <row r="858" spans="1:395" x14ac:dyDescent="0.25">
      <c r="A858" s="7">
        <v>4.6703932774297859E-3</v>
      </c>
      <c r="B858"/>
      <c r="C858"/>
      <c r="D858"/>
      <c r="E858"/>
      <c r="X858" s="27" t="s">
        <v>7</v>
      </c>
      <c r="Y858" s="27" t="s">
        <v>8</v>
      </c>
      <c r="Z858" s="27" t="s">
        <v>7</v>
      </c>
      <c r="AA858" s="27" t="s">
        <v>8</v>
      </c>
      <c r="AB858" s="27" t="s">
        <v>7</v>
      </c>
      <c r="AN858" s="27" t="s">
        <v>7</v>
      </c>
      <c r="AO858" s="27" t="s">
        <v>8</v>
      </c>
      <c r="AP858" s="27" t="s">
        <v>7</v>
      </c>
      <c r="AS858" s="27" t="s">
        <v>8</v>
      </c>
      <c r="AT858" s="27" t="s">
        <v>7</v>
      </c>
      <c r="DG858" s="27" t="s">
        <v>8</v>
      </c>
      <c r="DH858" s="27" t="s">
        <v>7</v>
      </c>
      <c r="DI858" s="27" t="s">
        <v>8</v>
      </c>
      <c r="DJ858" s="27" t="s">
        <v>7</v>
      </c>
      <c r="EF858" s="27" t="s">
        <v>7</v>
      </c>
      <c r="HI858" s="27" t="s">
        <v>8</v>
      </c>
    </row>
    <row r="859" spans="1:395" x14ac:dyDescent="0.25">
      <c r="A859" s="7">
        <v>4.5788169386566527E-3</v>
      </c>
      <c r="B859"/>
      <c r="C859"/>
      <c r="D859"/>
      <c r="E859"/>
      <c r="X859" s="27" t="s">
        <v>7</v>
      </c>
      <c r="Z859" s="27" t="s">
        <v>7</v>
      </c>
      <c r="AA859" s="27" t="s">
        <v>8</v>
      </c>
      <c r="AN859" s="27" t="s">
        <v>7</v>
      </c>
      <c r="AO859" s="27" t="s">
        <v>8</v>
      </c>
      <c r="AP859" s="27" t="s">
        <v>7</v>
      </c>
      <c r="AS859" s="27" t="s">
        <v>8</v>
      </c>
      <c r="AT859" s="27" t="s">
        <v>7</v>
      </c>
      <c r="DG859" s="27" t="s">
        <v>8</v>
      </c>
      <c r="DH859" s="27" t="s">
        <v>7</v>
      </c>
      <c r="DI859" s="27" t="s">
        <v>8</v>
      </c>
      <c r="EF859" s="27" t="s">
        <v>7</v>
      </c>
      <c r="HI859" s="27" t="s">
        <v>8</v>
      </c>
    </row>
    <row r="860" spans="1:395" x14ac:dyDescent="0.25">
      <c r="A860" s="7">
        <v>4.4890362143692672E-3</v>
      </c>
      <c r="B860"/>
      <c r="C860"/>
      <c r="D860"/>
      <c r="E860"/>
      <c r="Z860" s="27" t="s">
        <v>7</v>
      </c>
      <c r="AN860" s="27" t="s">
        <v>7</v>
      </c>
      <c r="AO860" s="27" t="s">
        <v>8</v>
      </c>
      <c r="AP860" s="27" t="s">
        <v>7</v>
      </c>
      <c r="AS860" s="27" t="s">
        <v>8</v>
      </c>
      <c r="AT860" s="27" t="s">
        <v>7</v>
      </c>
      <c r="DG860" s="27" t="s">
        <v>8</v>
      </c>
      <c r="DH860" s="27" t="s">
        <v>7</v>
      </c>
      <c r="DI860" s="27" t="s">
        <v>8</v>
      </c>
      <c r="EF860" s="27" t="s">
        <v>7</v>
      </c>
      <c r="HI860" s="27" t="s">
        <v>8</v>
      </c>
    </row>
    <row r="861" spans="1:395" x14ac:dyDescent="0.25">
      <c r="A861" s="7">
        <v>4.4010158964404578E-3</v>
      </c>
      <c r="B861"/>
      <c r="C861"/>
      <c r="D861"/>
      <c r="E861"/>
      <c r="AN861" s="27" t="s">
        <v>7</v>
      </c>
      <c r="AO861" s="27" t="s">
        <v>8</v>
      </c>
      <c r="AP861" s="27" t="s">
        <v>7</v>
      </c>
      <c r="AS861" s="27" t="s">
        <v>8</v>
      </c>
      <c r="AT861" s="27" t="s">
        <v>7</v>
      </c>
      <c r="CW861" s="27" t="s">
        <v>8</v>
      </c>
      <c r="DG861" s="27" t="s">
        <v>8</v>
      </c>
      <c r="DH861" s="27" t="s">
        <v>7</v>
      </c>
      <c r="DI861" s="27" t="s">
        <v>8</v>
      </c>
      <c r="EF861" s="27" t="s">
        <v>7</v>
      </c>
      <c r="HG861" s="27" t="s">
        <v>8</v>
      </c>
      <c r="HI861" s="27" t="s">
        <v>8</v>
      </c>
    </row>
    <row r="862" spans="1:395" x14ac:dyDescent="0.25">
      <c r="A862" s="7">
        <v>4.314721467098488E-3</v>
      </c>
      <c r="B862"/>
      <c r="C862"/>
      <c r="D862"/>
      <c r="E862"/>
      <c r="AN862" s="27" t="s">
        <v>7</v>
      </c>
      <c r="AO862" s="27" t="s">
        <v>8</v>
      </c>
      <c r="AP862" s="27" t="s">
        <v>7</v>
      </c>
      <c r="AS862" s="27" t="s">
        <v>8</v>
      </c>
      <c r="AT862" s="27" t="s">
        <v>7</v>
      </c>
      <c r="AU862" s="27" t="s">
        <v>8</v>
      </c>
      <c r="CG862" s="27" t="s">
        <v>8</v>
      </c>
      <c r="CW862" s="27" t="s">
        <v>8</v>
      </c>
      <c r="CX862" s="27" t="s">
        <v>7</v>
      </c>
      <c r="DG862" s="27" t="s">
        <v>8</v>
      </c>
      <c r="DH862" s="27" t="s">
        <v>7</v>
      </c>
      <c r="DI862" s="27" t="s">
        <v>8</v>
      </c>
      <c r="EF862" s="27" t="s">
        <v>7</v>
      </c>
      <c r="EK862" s="27" t="s">
        <v>8</v>
      </c>
      <c r="HG862" s="27" t="s">
        <v>8</v>
      </c>
      <c r="HH862" s="27" t="s">
        <v>7</v>
      </c>
      <c r="HI862" s="27" t="s">
        <v>8</v>
      </c>
    </row>
    <row r="863" spans="1:395" x14ac:dyDescent="0.25">
      <c r="A863" s="7">
        <v>4.2301190853906746E-3</v>
      </c>
      <c r="B863"/>
      <c r="C863"/>
      <c r="D863"/>
      <c r="E863"/>
      <c r="AN863" s="27" t="s">
        <v>7</v>
      </c>
      <c r="AO863" s="27" t="s">
        <v>8</v>
      </c>
      <c r="AP863" s="27" t="s">
        <v>7</v>
      </c>
      <c r="AS863" s="27" t="s">
        <v>8</v>
      </c>
      <c r="AT863" s="27" t="s">
        <v>7</v>
      </c>
      <c r="AU863" s="27" t="s">
        <v>8</v>
      </c>
      <c r="AV863" s="27" t="s">
        <v>7</v>
      </c>
      <c r="CG863" s="27" t="s">
        <v>8</v>
      </c>
      <c r="CH863" s="27" t="s">
        <v>7</v>
      </c>
      <c r="CW863" s="27" t="s">
        <v>8</v>
      </c>
      <c r="CX863" s="27" t="s">
        <v>7</v>
      </c>
      <c r="DG863" s="27" t="s">
        <v>8</v>
      </c>
      <c r="DH863" s="27" t="s">
        <v>7</v>
      </c>
      <c r="EF863" s="27" t="s">
        <v>7</v>
      </c>
      <c r="EG863" s="27" t="s">
        <v>8</v>
      </c>
      <c r="EI863" s="27" t="s">
        <v>8</v>
      </c>
      <c r="EK863" s="27" t="s">
        <v>8</v>
      </c>
      <c r="EL863" s="27" t="s">
        <v>7</v>
      </c>
      <c r="HG863" s="27" t="s">
        <v>8</v>
      </c>
      <c r="HH863" s="27" t="s">
        <v>7</v>
      </c>
      <c r="HI863" s="27" t="s">
        <v>8</v>
      </c>
    </row>
    <row r="864" spans="1:395" x14ac:dyDescent="0.25">
      <c r="A864" s="7">
        <v>4.1471755739124266E-3</v>
      </c>
      <c r="B864"/>
      <c r="C864"/>
      <c r="D864"/>
      <c r="E864"/>
      <c r="AN864" s="27" t="s">
        <v>7</v>
      </c>
      <c r="AO864" s="27" t="s">
        <v>8</v>
      </c>
      <c r="AP864" s="27" t="s">
        <v>7</v>
      </c>
      <c r="AS864" s="27" t="s">
        <v>8</v>
      </c>
      <c r="AT864" s="27" t="s">
        <v>7</v>
      </c>
      <c r="AU864" s="27" t="s">
        <v>8</v>
      </c>
      <c r="AV864" s="27" t="s">
        <v>7</v>
      </c>
      <c r="CG864" s="27" t="s">
        <v>8</v>
      </c>
      <c r="CH864" s="27" t="s">
        <v>7</v>
      </c>
      <c r="CI864" s="27" t="s">
        <v>8</v>
      </c>
      <c r="CW864" s="27" t="s">
        <v>8</v>
      </c>
      <c r="CX864" s="27" t="s">
        <v>7</v>
      </c>
      <c r="DG864" s="27" t="s">
        <v>8</v>
      </c>
      <c r="EF864" s="27" t="s">
        <v>7</v>
      </c>
      <c r="EG864" s="27" t="s">
        <v>8</v>
      </c>
      <c r="EH864" s="27" t="s">
        <v>7</v>
      </c>
      <c r="EI864" s="27" t="s">
        <v>8</v>
      </c>
      <c r="EJ864" s="27" t="s">
        <v>7</v>
      </c>
      <c r="EK864" s="27" t="s">
        <v>8</v>
      </c>
      <c r="EL864" s="27" t="s">
        <v>7</v>
      </c>
      <c r="GW864" s="27" t="s">
        <v>8</v>
      </c>
      <c r="HG864" s="27" t="s">
        <v>8</v>
      </c>
      <c r="HH864" s="27" t="s">
        <v>7</v>
      </c>
      <c r="HI864" s="27" t="s">
        <v>8</v>
      </c>
    </row>
    <row r="865" spans="1:217" x14ac:dyDescent="0.25">
      <c r="A865" s="7">
        <v>4.0658584057964966E-3</v>
      </c>
      <c r="B865"/>
      <c r="C865"/>
      <c r="D865"/>
      <c r="E865"/>
      <c r="AN865" s="27" t="s">
        <v>7</v>
      </c>
      <c r="AO865" s="27" t="s">
        <v>8</v>
      </c>
      <c r="AP865" s="27" t="s">
        <v>7</v>
      </c>
      <c r="AQ865" s="27" t="s">
        <v>8</v>
      </c>
      <c r="AS865" s="27" t="s">
        <v>8</v>
      </c>
      <c r="AT865" s="27" t="s">
        <v>7</v>
      </c>
      <c r="AU865" s="27" t="s">
        <v>8</v>
      </c>
      <c r="AV865" s="27" t="s">
        <v>7</v>
      </c>
      <c r="CG865" s="27" t="s">
        <v>8</v>
      </c>
      <c r="CH865" s="27" t="s">
        <v>7</v>
      </c>
      <c r="CI865" s="27" t="s">
        <v>8</v>
      </c>
      <c r="CJ865" s="27" t="s">
        <v>7</v>
      </c>
      <c r="CS865" s="27" t="s">
        <v>8</v>
      </c>
      <c r="CW865" s="27" t="s">
        <v>8</v>
      </c>
      <c r="CX865" s="27" t="s">
        <v>7</v>
      </c>
      <c r="DE865" s="27" t="s">
        <v>8</v>
      </c>
      <c r="DG865" s="27" t="s">
        <v>8</v>
      </c>
      <c r="EF865" s="27" t="s">
        <v>7</v>
      </c>
      <c r="EG865" s="27" t="s">
        <v>8</v>
      </c>
      <c r="EH865" s="27" t="s">
        <v>7</v>
      </c>
      <c r="EI865" s="27" t="s">
        <v>8</v>
      </c>
      <c r="EJ865" s="27" t="s">
        <v>7</v>
      </c>
      <c r="EK865" s="27" t="s">
        <v>8</v>
      </c>
      <c r="EL865" s="27" t="s">
        <v>7</v>
      </c>
      <c r="GW865" s="27" t="s">
        <v>8</v>
      </c>
      <c r="GX865" s="27" t="s">
        <v>7</v>
      </c>
      <c r="HA865" s="27" t="s">
        <v>8</v>
      </c>
      <c r="HC865" s="27" t="s">
        <v>8</v>
      </c>
      <c r="HG865" s="27" t="s">
        <v>8</v>
      </c>
      <c r="HH865" s="27" t="s">
        <v>7</v>
      </c>
      <c r="HI865" s="27" t="s">
        <v>8</v>
      </c>
    </row>
    <row r="866" spans="1:217" x14ac:dyDescent="0.25">
      <c r="A866" s="7">
        <v>3.9861356919573491E-3</v>
      </c>
      <c r="B866"/>
      <c r="C866"/>
      <c r="D866"/>
      <c r="E866"/>
      <c r="AN866" s="27" t="s">
        <v>7</v>
      </c>
      <c r="AO866" s="27" t="s">
        <v>8</v>
      </c>
      <c r="AP866" s="27" t="s">
        <v>7</v>
      </c>
      <c r="AQ866" s="27" t="s">
        <v>8</v>
      </c>
      <c r="AR866" s="27" t="s">
        <v>7</v>
      </c>
      <c r="AS866" s="27" t="s">
        <v>8</v>
      </c>
      <c r="AT866" s="27" t="s">
        <v>7</v>
      </c>
      <c r="AU866" s="27" t="s">
        <v>8</v>
      </c>
      <c r="AV866" s="27" t="s">
        <v>7</v>
      </c>
      <c r="CG866" s="27" t="s">
        <v>8</v>
      </c>
      <c r="CH866" s="27" t="s">
        <v>7</v>
      </c>
      <c r="CI866" s="27" t="s">
        <v>8</v>
      </c>
      <c r="CJ866" s="27" t="s">
        <v>7</v>
      </c>
      <c r="CK866" s="27" t="s">
        <v>8</v>
      </c>
      <c r="CS866" s="27" t="s">
        <v>8</v>
      </c>
      <c r="CT866" s="27" t="s">
        <v>7</v>
      </c>
      <c r="CU866" s="27" t="s">
        <v>8</v>
      </c>
      <c r="CW866" s="27" t="s">
        <v>8</v>
      </c>
      <c r="CX866" s="27" t="s">
        <v>7</v>
      </c>
      <c r="CY866" s="27" t="s">
        <v>8</v>
      </c>
      <c r="DE866" s="27" t="s">
        <v>8</v>
      </c>
      <c r="DF866" s="27" t="s">
        <v>7</v>
      </c>
      <c r="DG866" s="27" t="s">
        <v>8</v>
      </c>
      <c r="EF866" s="27" t="s">
        <v>7</v>
      </c>
      <c r="EG866" s="27" t="s">
        <v>8</v>
      </c>
      <c r="EH866" s="27" t="s">
        <v>7</v>
      </c>
      <c r="EI866" s="27" t="s">
        <v>8</v>
      </c>
      <c r="EJ866" s="27" t="s">
        <v>7</v>
      </c>
      <c r="EK866" s="27" t="s">
        <v>8</v>
      </c>
      <c r="EL866" s="27" t="s">
        <v>7</v>
      </c>
      <c r="EM866" s="27" t="s">
        <v>8</v>
      </c>
      <c r="GW866" s="27" t="s">
        <v>8</v>
      </c>
      <c r="GX866" s="27" t="s">
        <v>7</v>
      </c>
      <c r="HA866" s="27" t="s">
        <v>8</v>
      </c>
      <c r="HB866" s="27" t="s">
        <v>7</v>
      </c>
      <c r="HC866" s="27" t="s">
        <v>8</v>
      </c>
      <c r="HD866" s="27" t="s">
        <v>7</v>
      </c>
      <c r="HE866" s="27" t="s">
        <v>8</v>
      </c>
      <c r="HG866" s="27" t="s">
        <v>8</v>
      </c>
      <c r="HH866" s="27" t="s">
        <v>7</v>
      </c>
      <c r="HI866" s="27" t="s">
        <v>8</v>
      </c>
    </row>
    <row r="867" spans="1:217" x14ac:dyDescent="0.25">
      <c r="A867" s="7">
        <v>3.9079761685856364E-3</v>
      </c>
      <c r="B867"/>
      <c r="C867"/>
      <c r="D867"/>
      <c r="E867"/>
      <c r="AN867" s="27" t="s">
        <v>7</v>
      </c>
      <c r="AO867" s="27" t="s">
        <v>8</v>
      </c>
      <c r="AP867" s="27" t="s">
        <v>7</v>
      </c>
      <c r="AQ867" s="27" t="s">
        <v>8</v>
      </c>
      <c r="AR867" s="27" t="s">
        <v>7</v>
      </c>
      <c r="AS867" s="27" t="s">
        <v>8</v>
      </c>
      <c r="AT867" s="27" t="s">
        <v>7</v>
      </c>
      <c r="AU867" s="27" t="s">
        <v>8</v>
      </c>
      <c r="AV867" s="27" t="s">
        <v>7</v>
      </c>
      <c r="CG867" s="27" t="s">
        <v>8</v>
      </c>
      <c r="CH867" s="27" t="s">
        <v>7</v>
      </c>
      <c r="CI867" s="27" t="s">
        <v>8</v>
      </c>
      <c r="CJ867" s="27" t="s">
        <v>7</v>
      </c>
      <c r="CK867" s="27" t="s">
        <v>8</v>
      </c>
      <c r="CL867" s="27" t="s">
        <v>7</v>
      </c>
      <c r="CS867" s="27" t="s">
        <v>8</v>
      </c>
      <c r="CT867" s="27" t="s">
        <v>7</v>
      </c>
      <c r="CU867" s="27" t="s">
        <v>8</v>
      </c>
      <c r="CV867" s="27" t="s">
        <v>7</v>
      </c>
      <c r="CW867" s="27" t="s">
        <v>8</v>
      </c>
      <c r="CX867" s="27" t="s">
        <v>7</v>
      </c>
      <c r="CY867" s="27" t="s">
        <v>8</v>
      </c>
      <c r="CZ867" s="27" t="s">
        <v>7</v>
      </c>
      <c r="DE867" s="27" t="s">
        <v>8</v>
      </c>
      <c r="DF867" s="27" t="s">
        <v>7</v>
      </c>
      <c r="DG867" s="27" t="s">
        <v>8</v>
      </c>
      <c r="EF867" s="27" t="s">
        <v>7</v>
      </c>
      <c r="EG867" s="27" t="s">
        <v>8</v>
      </c>
      <c r="EH867" s="27" t="s">
        <v>7</v>
      </c>
      <c r="EI867" s="27" t="s">
        <v>8</v>
      </c>
      <c r="EJ867" s="27" t="s">
        <v>7</v>
      </c>
      <c r="EL867" s="27" t="s">
        <v>7</v>
      </c>
      <c r="EM867" s="27" t="s">
        <v>8</v>
      </c>
      <c r="EN867" s="27" t="s">
        <v>7</v>
      </c>
      <c r="GW867" s="27" t="s">
        <v>8</v>
      </c>
      <c r="GX867" s="27" t="s">
        <v>7</v>
      </c>
      <c r="GY867" s="27" t="s">
        <v>8</v>
      </c>
      <c r="HA867" s="27" t="s">
        <v>8</v>
      </c>
      <c r="HB867" s="27" t="s">
        <v>7</v>
      </c>
      <c r="HC867" s="27" t="s">
        <v>8</v>
      </c>
      <c r="HD867" s="27" t="s">
        <v>7</v>
      </c>
      <c r="HE867" s="27" t="s">
        <v>8</v>
      </c>
      <c r="HF867" s="27" t="s">
        <v>7</v>
      </c>
      <c r="HG867" s="27" t="s">
        <v>8</v>
      </c>
      <c r="HH867" s="27" t="s">
        <v>7</v>
      </c>
      <c r="HI867" s="27" t="s">
        <v>8</v>
      </c>
    </row>
    <row r="868" spans="1:217" x14ac:dyDescent="0.25">
      <c r="A868" s="7">
        <v>3.8313491848878793E-3</v>
      </c>
      <c r="B868"/>
      <c r="C868"/>
      <c r="D868"/>
      <c r="E868"/>
      <c r="AN868" s="27" t="s">
        <v>7</v>
      </c>
      <c r="AO868" s="27" t="s">
        <v>8</v>
      </c>
      <c r="AP868" s="27" t="s">
        <v>7</v>
      </c>
      <c r="AQ868" s="27" t="s">
        <v>8</v>
      </c>
      <c r="AR868" s="27" t="s">
        <v>7</v>
      </c>
      <c r="AT868" s="27" t="s">
        <v>7</v>
      </c>
      <c r="AU868" s="27" t="s">
        <v>8</v>
      </c>
      <c r="AV868" s="27" t="s">
        <v>7</v>
      </c>
      <c r="CG868" s="27" t="s">
        <v>8</v>
      </c>
      <c r="CH868" s="27" t="s">
        <v>7</v>
      </c>
      <c r="CI868" s="27" t="s">
        <v>8</v>
      </c>
      <c r="CJ868" s="27" t="s">
        <v>7</v>
      </c>
      <c r="CK868" s="27" t="s">
        <v>8</v>
      </c>
      <c r="CL868" s="27" t="s">
        <v>7</v>
      </c>
      <c r="CS868" s="27" t="s">
        <v>8</v>
      </c>
      <c r="CT868" s="27" t="s">
        <v>7</v>
      </c>
      <c r="CU868" s="27" t="s">
        <v>8</v>
      </c>
      <c r="CV868" s="27" t="s">
        <v>7</v>
      </c>
      <c r="CW868" s="27" t="s">
        <v>8</v>
      </c>
      <c r="CX868" s="27" t="s">
        <v>7</v>
      </c>
      <c r="CY868" s="27" t="s">
        <v>8</v>
      </c>
      <c r="CZ868" s="27" t="s">
        <v>7</v>
      </c>
      <c r="DC868" s="27" t="s">
        <v>8</v>
      </c>
      <c r="DE868" s="27" t="s">
        <v>8</v>
      </c>
      <c r="DF868" s="27" t="s">
        <v>7</v>
      </c>
      <c r="DG868" s="27" t="s">
        <v>8</v>
      </c>
      <c r="EF868" s="27" t="s">
        <v>7</v>
      </c>
      <c r="EG868" s="27" t="s">
        <v>8</v>
      </c>
      <c r="EH868" s="27" t="s">
        <v>7</v>
      </c>
      <c r="EI868" s="27" t="s">
        <v>8</v>
      </c>
      <c r="EL868" s="27" t="s">
        <v>7</v>
      </c>
      <c r="EM868" s="27" t="s">
        <v>8</v>
      </c>
      <c r="EN868" s="27" t="s">
        <v>7</v>
      </c>
      <c r="GW868" s="27" t="s">
        <v>8</v>
      </c>
      <c r="GX868" s="27" t="s">
        <v>7</v>
      </c>
      <c r="GY868" s="27" t="s">
        <v>8</v>
      </c>
      <c r="GZ868" s="27" t="s">
        <v>7</v>
      </c>
      <c r="HA868" s="27" t="s">
        <v>8</v>
      </c>
      <c r="HB868" s="27" t="s">
        <v>7</v>
      </c>
      <c r="HC868" s="27" t="s">
        <v>8</v>
      </c>
      <c r="HD868" s="27" t="s">
        <v>7</v>
      </c>
      <c r="HE868" s="27" t="s">
        <v>8</v>
      </c>
      <c r="HF868" s="27" t="s">
        <v>7</v>
      </c>
      <c r="HG868" s="27" t="s">
        <v>8</v>
      </c>
      <c r="HH868" s="27" t="s">
        <v>7</v>
      </c>
      <c r="HI868" s="27" t="s">
        <v>8</v>
      </c>
    </row>
    <row r="869" spans="1:217" x14ac:dyDescent="0.25">
      <c r="A869" s="7">
        <v>3.7562246910665485E-3</v>
      </c>
      <c r="B869"/>
      <c r="C869"/>
      <c r="D869"/>
      <c r="E869"/>
      <c r="AN869" s="27" t="s">
        <v>7</v>
      </c>
      <c r="AO869" s="27" t="s">
        <v>8</v>
      </c>
      <c r="AP869" s="27" t="s">
        <v>7</v>
      </c>
      <c r="AQ869" s="27" t="s">
        <v>8</v>
      </c>
      <c r="AT869" s="27" t="s">
        <v>7</v>
      </c>
      <c r="AU869" s="27" t="s">
        <v>8</v>
      </c>
      <c r="AV869" s="27" t="s">
        <v>7</v>
      </c>
      <c r="CG869" s="27" t="s">
        <v>8</v>
      </c>
      <c r="CH869" s="27" t="s">
        <v>7</v>
      </c>
      <c r="CI869" s="27" t="s">
        <v>8</v>
      </c>
      <c r="CJ869" s="27" t="s">
        <v>7</v>
      </c>
      <c r="CK869" s="27" t="s">
        <v>8</v>
      </c>
      <c r="CL869" s="27" t="s">
        <v>7</v>
      </c>
      <c r="CQ869" s="27" t="s">
        <v>8</v>
      </c>
      <c r="CS869" s="27" t="s">
        <v>8</v>
      </c>
      <c r="CT869" s="27" t="s">
        <v>7</v>
      </c>
      <c r="CU869" s="27" t="s">
        <v>8</v>
      </c>
      <c r="CV869" s="27" t="s">
        <v>7</v>
      </c>
      <c r="CW869" s="27" t="s">
        <v>8</v>
      </c>
      <c r="CX869" s="27" t="s">
        <v>7</v>
      </c>
      <c r="CZ869" s="27" t="s">
        <v>7</v>
      </c>
      <c r="DC869" s="27" t="s">
        <v>8</v>
      </c>
      <c r="DD869" s="27" t="s">
        <v>7</v>
      </c>
      <c r="DE869" s="27" t="s">
        <v>8</v>
      </c>
      <c r="DF869" s="27" t="s">
        <v>7</v>
      </c>
      <c r="DG869" s="27" t="s">
        <v>8</v>
      </c>
      <c r="EF869" s="27" t="s">
        <v>7</v>
      </c>
      <c r="EG869" s="27" t="s">
        <v>8</v>
      </c>
      <c r="EH869" s="27" t="s">
        <v>7</v>
      </c>
      <c r="EL869" s="27" t="s">
        <v>7</v>
      </c>
      <c r="EN869" s="27" t="s">
        <v>7</v>
      </c>
      <c r="GS869" s="27" t="s">
        <v>8</v>
      </c>
      <c r="GW869" s="27" t="s">
        <v>8</v>
      </c>
      <c r="GX869" s="27" t="s">
        <v>7</v>
      </c>
      <c r="GY869" s="27" t="s">
        <v>8</v>
      </c>
      <c r="GZ869" s="27" t="s">
        <v>7</v>
      </c>
      <c r="HA869" s="27" t="s">
        <v>8</v>
      </c>
      <c r="HB869" s="27" t="s">
        <v>7</v>
      </c>
      <c r="HC869" s="27" t="s">
        <v>8</v>
      </c>
      <c r="HD869" s="27" t="s">
        <v>7</v>
      </c>
      <c r="HF869" s="27" t="s">
        <v>7</v>
      </c>
      <c r="HG869" s="27" t="s">
        <v>8</v>
      </c>
      <c r="HH869" s="27" t="s">
        <v>7</v>
      </c>
    </row>
    <row r="870" spans="1:217" x14ac:dyDescent="0.25">
      <c r="A870" s="7">
        <v>3.6825732265358315E-3</v>
      </c>
      <c r="B870"/>
      <c r="C870"/>
      <c r="D870"/>
      <c r="E870"/>
      <c r="AN870" s="27" t="s">
        <v>7</v>
      </c>
      <c r="AO870" s="27" t="s">
        <v>8</v>
      </c>
      <c r="AP870" s="27" t="s">
        <v>7</v>
      </c>
      <c r="AT870" s="27" t="s">
        <v>7</v>
      </c>
      <c r="AU870" s="27" t="s">
        <v>8</v>
      </c>
      <c r="AV870" s="27" t="s">
        <v>7</v>
      </c>
      <c r="CG870" s="27" t="s">
        <v>8</v>
      </c>
      <c r="CH870" s="27" t="s">
        <v>7</v>
      </c>
      <c r="CI870" s="27" t="s">
        <v>8</v>
      </c>
      <c r="CJ870" s="27" t="s">
        <v>7</v>
      </c>
      <c r="CK870" s="27" t="s">
        <v>8</v>
      </c>
      <c r="CL870" s="27" t="s">
        <v>7</v>
      </c>
      <c r="CM870" s="27" t="s">
        <v>8</v>
      </c>
      <c r="CQ870" s="27" t="s">
        <v>8</v>
      </c>
      <c r="CR870" s="27" t="s">
        <v>7</v>
      </c>
      <c r="CS870" s="27" t="s">
        <v>8</v>
      </c>
      <c r="CT870" s="27" t="s">
        <v>7</v>
      </c>
      <c r="CU870" s="27" t="s">
        <v>8</v>
      </c>
      <c r="CV870" s="27" t="s">
        <v>7</v>
      </c>
      <c r="CW870" s="27" t="s">
        <v>8</v>
      </c>
      <c r="CZ870" s="27" t="s">
        <v>7</v>
      </c>
      <c r="DC870" s="27" t="s">
        <v>8</v>
      </c>
      <c r="DD870" s="27" t="s">
        <v>7</v>
      </c>
      <c r="DE870" s="27" t="s">
        <v>8</v>
      </c>
      <c r="DF870" s="27" t="s">
        <v>7</v>
      </c>
      <c r="DG870" s="27" t="s">
        <v>8</v>
      </c>
      <c r="EF870" s="27" t="s">
        <v>7</v>
      </c>
      <c r="EG870" s="27" t="s">
        <v>8</v>
      </c>
      <c r="EN870" s="27" t="s">
        <v>7</v>
      </c>
      <c r="EO870" s="27" t="s">
        <v>8</v>
      </c>
      <c r="GQ870" s="27" t="s">
        <v>8</v>
      </c>
      <c r="GS870" s="27" t="s">
        <v>8</v>
      </c>
      <c r="GT870" s="27" t="s">
        <v>7</v>
      </c>
      <c r="GU870" s="27" t="s">
        <v>8</v>
      </c>
      <c r="GW870" s="27" t="s">
        <v>8</v>
      </c>
      <c r="GX870" s="27" t="s">
        <v>7</v>
      </c>
      <c r="GZ870" s="27" t="s">
        <v>7</v>
      </c>
      <c r="HA870" s="27" t="s">
        <v>8</v>
      </c>
      <c r="HB870" s="27" t="s">
        <v>7</v>
      </c>
      <c r="HC870" s="27" t="s">
        <v>8</v>
      </c>
      <c r="HF870" s="27" t="s">
        <v>7</v>
      </c>
      <c r="HG870" s="27" t="s">
        <v>8</v>
      </c>
    </row>
    <row r="871" spans="1:217" x14ac:dyDescent="0.25">
      <c r="A871" s="7">
        <v>3.6103659083684624E-3</v>
      </c>
      <c r="B871"/>
      <c r="C871"/>
      <c r="D871"/>
      <c r="E871"/>
      <c r="AN871" s="27" t="s">
        <v>7</v>
      </c>
      <c r="AO871" s="27" t="s">
        <v>8</v>
      </c>
      <c r="AT871" s="27" t="s">
        <v>7</v>
      </c>
      <c r="AU871" s="27" t="s">
        <v>8</v>
      </c>
      <c r="AV871" s="27" t="s">
        <v>7</v>
      </c>
      <c r="CG871" s="27" t="s">
        <v>8</v>
      </c>
      <c r="CH871" s="27" t="s">
        <v>7</v>
      </c>
      <c r="CI871" s="27" t="s">
        <v>8</v>
      </c>
      <c r="CJ871" s="27" t="s">
        <v>7</v>
      </c>
      <c r="CK871" s="27" t="s">
        <v>8</v>
      </c>
      <c r="CL871" s="27" t="s">
        <v>7</v>
      </c>
      <c r="CM871" s="27" t="s">
        <v>8</v>
      </c>
      <c r="CN871" s="27" t="s">
        <v>7</v>
      </c>
      <c r="CO871" s="27" t="s">
        <v>8</v>
      </c>
      <c r="CQ871" s="27" t="s">
        <v>8</v>
      </c>
      <c r="CR871" s="27" t="s">
        <v>7</v>
      </c>
      <c r="CS871" s="27" t="s">
        <v>8</v>
      </c>
      <c r="CT871" s="27" t="s">
        <v>7</v>
      </c>
      <c r="CU871" s="27" t="s">
        <v>8</v>
      </c>
      <c r="CV871" s="27" t="s">
        <v>7</v>
      </c>
      <c r="CW871" s="27" t="s">
        <v>8</v>
      </c>
      <c r="CZ871" s="27" t="s">
        <v>7</v>
      </c>
      <c r="DC871" s="27" t="s">
        <v>8</v>
      </c>
      <c r="DD871" s="27" t="s">
        <v>7</v>
      </c>
      <c r="DE871" s="27" t="s">
        <v>8</v>
      </c>
      <c r="DF871" s="27" t="s">
        <v>7</v>
      </c>
      <c r="EF871" s="27" t="s">
        <v>7</v>
      </c>
      <c r="EG871" s="27" t="s">
        <v>8</v>
      </c>
      <c r="EN871" s="27" t="s">
        <v>7</v>
      </c>
      <c r="EO871" s="27" t="s">
        <v>8</v>
      </c>
      <c r="EP871" s="27" t="s">
        <v>7</v>
      </c>
      <c r="GE871" s="27" t="s">
        <v>8</v>
      </c>
      <c r="GQ871" s="27" t="s">
        <v>8</v>
      </c>
      <c r="GR871" s="27" t="s">
        <v>7</v>
      </c>
      <c r="GS871" s="27" t="s">
        <v>8</v>
      </c>
      <c r="GT871" s="27" t="s">
        <v>7</v>
      </c>
      <c r="GU871" s="27" t="s">
        <v>8</v>
      </c>
      <c r="GV871" s="27" t="s">
        <v>7</v>
      </c>
      <c r="GW871" s="27" t="s">
        <v>8</v>
      </c>
      <c r="GZ871" s="27" t="s">
        <v>7</v>
      </c>
      <c r="HB871" s="27" t="s">
        <v>7</v>
      </c>
      <c r="HC871" s="27" t="s">
        <v>8</v>
      </c>
      <c r="HF871" s="27" t="s">
        <v>7</v>
      </c>
      <c r="HG871" s="27" t="s">
        <v>8</v>
      </c>
    </row>
    <row r="872" spans="1:217" x14ac:dyDescent="0.25">
      <c r="A872" s="7">
        <v>3.539574419969081E-3</v>
      </c>
      <c r="B872"/>
      <c r="C872"/>
      <c r="D872"/>
      <c r="E872"/>
      <c r="AN872" s="27" t="s">
        <v>7</v>
      </c>
      <c r="AO872" s="27" t="s">
        <v>8</v>
      </c>
      <c r="AT872" s="27" t="s">
        <v>7</v>
      </c>
      <c r="AU872" s="27" t="s">
        <v>8</v>
      </c>
      <c r="AV872" s="27" t="s">
        <v>7</v>
      </c>
      <c r="CG872" s="27" t="s">
        <v>8</v>
      </c>
      <c r="CH872" s="27" t="s">
        <v>7</v>
      </c>
      <c r="CI872" s="27" t="s">
        <v>8</v>
      </c>
      <c r="CJ872" s="27" t="s">
        <v>7</v>
      </c>
      <c r="CL872" s="27" t="s">
        <v>7</v>
      </c>
      <c r="CM872" s="27" t="s">
        <v>8</v>
      </c>
      <c r="CN872" s="27" t="s">
        <v>7</v>
      </c>
      <c r="CO872" s="27" t="s">
        <v>8</v>
      </c>
      <c r="CP872" s="27" t="s">
        <v>7</v>
      </c>
      <c r="CQ872" s="27" t="s">
        <v>8</v>
      </c>
      <c r="CR872" s="27" t="s">
        <v>7</v>
      </c>
      <c r="CS872" s="27" t="s">
        <v>8</v>
      </c>
      <c r="CT872" s="27" t="s">
        <v>7</v>
      </c>
      <c r="CU872" s="27" t="s">
        <v>8</v>
      </c>
      <c r="CV872" s="27" t="s">
        <v>7</v>
      </c>
      <c r="CZ872" s="27" t="s">
        <v>7</v>
      </c>
      <c r="DC872" s="27" t="s">
        <v>8</v>
      </c>
      <c r="DD872" s="27" t="s">
        <v>7</v>
      </c>
      <c r="DE872" s="27" t="s">
        <v>8</v>
      </c>
      <c r="EF872" s="27" t="s">
        <v>7</v>
      </c>
      <c r="EN872" s="27" t="s">
        <v>7</v>
      </c>
      <c r="EO872" s="27" t="s">
        <v>8</v>
      </c>
      <c r="EP872" s="27" t="s">
        <v>7</v>
      </c>
      <c r="EY872" s="27" t="s">
        <v>8</v>
      </c>
      <c r="GE872" s="27" t="s">
        <v>8</v>
      </c>
      <c r="GF872" s="27" t="s">
        <v>7</v>
      </c>
      <c r="GQ872" s="27" t="s">
        <v>8</v>
      </c>
      <c r="GR872" s="27" t="s">
        <v>7</v>
      </c>
      <c r="GS872" s="27" t="s">
        <v>8</v>
      </c>
      <c r="GT872" s="27" t="s">
        <v>7</v>
      </c>
      <c r="GU872" s="27" t="s">
        <v>8</v>
      </c>
      <c r="GV872" s="27" t="s">
        <v>7</v>
      </c>
      <c r="GW872" s="27" t="s">
        <v>8</v>
      </c>
      <c r="HB872" s="27" t="s">
        <v>7</v>
      </c>
      <c r="HC872" s="27" t="s">
        <v>8</v>
      </c>
      <c r="HF872" s="27" t="s">
        <v>7</v>
      </c>
      <c r="HG872" s="27" t="s">
        <v>8</v>
      </c>
    </row>
    <row r="873" spans="1:217" x14ac:dyDescent="0.25">
      <c r="A873" s="7">
        <v>3.4701709999696872E-3</v>
      </c>
      <c r="B873"/>
      <c r="C873"/>
      <c r="D873"/>
      <c r="E873"/>
      <c r="AN873" s="27" t="s">
        <v>7</v>
      </c>
      <c r="AO873" s="27" t="s">
        <v>8</v>
      </c>
      <c r="AT873" s="27" t="s">
        <v>7</v>
      </c>
      <c r="AU873" s="27" t="s">
        <v>8</v>
      </c>
      <c r="AV873" s="27" t="s">
        <v>7</v>
      </c>
      <c r="CG873" s="27" t="s">
        <v>8</v>
      </c>
      <c r="CH873" s="27" t="s">
        <v>7</v>
      </c>
      <c r="CI873" s="27" t="s">
        <v>8</v>
      </c>
      <c r="CL873" s="27" t="s">
        <v>7</v>
      </c>
      <c r="CM873" s="27" t="s">
        <v>8</v>
      </c>
      <c r="CN873" s="27" t="s">
        <v>7</v>
      </c>
      <c r="CO873" s="27" t="s">
        <v>8</v>
      </c>
      <c r="CP873" s="27" t="s">
        <v>7</v>
      </c>
      <c r="CQ873" s="27" t="s">
        <v>8</v>
      </c>
      <c r="CR873" s="27" t="s">
        <v>7</v>
      </c>
      <c r="CS873" s="27" t="s">
        <v>8</v>
      </c>
      <c r="CT873" s="27" t="s">
        <v>7</v>
      </c>
      <c r="CU873" s="27" t="s">
        <v>8</v>
      </c>
      <c r="CZ873" s="27" t="s">
        <v>7</v>
      </c>
      <c r="DC873" s="27" t="s">
        <v>8</v>
      </c>
      <c r="DD873" s="27" t="s">
        <v>7</v>
      </c>
      <c r="DE873" s="27" t="s">
        <v>8</v>
      </c>
      <c r="EN873" s="27" t="s">
        <v>7</v>
      </c>
      <c r="EP873" s="27" t="s">
        <v>7</v>
      </c>
      <c r="EU873" s="27" t="s">
        <v>8</v>
      </c>
      <c r="EY873" s="27" t="s">
        <v>8</v>
      </c>
      <c r="EZ873" s="27" t="s">
        <v>7</v>
      </c>
      <c r="FQ873" s="27" t="s">
        <v>8</v>
      </c>
      <c r="GE873" s="27" t="s">
        <v>8</v>
      </c>
      <c r="GF873" s="27" t="s">
        <v>7</v>
      </c>
      <c r="GQ873" s="27" t="s">
        <v>8</v>
      </c>
      <c r="GR873" s="27" t="s">
        <v>7</v>
      </c>
      <c r="GS873" s="27" t="s">
        <v>8</v>
      </c>
      <c r="GT873" s="27" t="s">
        <v>7</v>
      </c>
      <c r="GU873" s="27" t="s">
        <v>8</v>
      </c>
      <c r="GV873" s="27" t="s">
        <v>7</v>
      </c>
      <c r="GW873" s="27" t="s">
        <v>8</v>
      </c>
      <c r="HB873" s="27" t="s">
        <v>7</v>
      </c>
      <c r="HF873" s="27" t="s">
        <v>7</v>
      </c>
      <c r="HG873" s="27" t="s">
        <v>8</v>
      </c>
    </row>
    <row r="874" spans="1:217" x14ac:dyDescent="0.25">
      <c r="A874" s="7">
        <v>3.4021284313428307E-3</v>
      </c>
      <c r="B874"/>
      <c r="C874"/>
      <c r="D874"/>
      <c r="E874"/>
      <c r="AN874" s="27" t="s">
        <v>7</v>
      </c>
      <c r="AO874" s="27" t="s">
        <v>8</v>
      </c>
      <c r="AT874" s="27" t="s">
        <v>7</v>
      </c>
      <c r="AU874" s="27" t="s">
        <v>8</v>
      </c>
      <c r="AV874" s="27" t="s">
        <v>7</v>
      </c>
      <c r="CG874" s="27" t="s">
        <v>8</v>
      </c>
      <c r="CH874" s="27" t="s">
        <v>7</v>
      </c>
      <c r="CI874" s="27" t="s">
        <v>8</v>
      </c>
      <c r="CL874" s="27" t="s">
        <v>7</v>
      </c>
      <c r="CM874" s="27" t="s">
        <v>8</v>
      </c>
      <c r="CN874" s="27" t="s">
        <v>7</v>
      </c>
      <c r="CO874" s="27" t="s">
        <v>8</v>
      </c>
      <c r="CP874" s="27" t="s">
        <v>7</v>
      </c>
      <c r="CQ874" s="27" t="s">
        <v>8</v>
      </c>
      <c r="CR874" s="27" t="s">
        <v>7</v>
      </c>
      <c r="CS874" s="27" t="s">
        <v>8</v>
      </c>
      <c r="CT874" s="27" t="s">
        <v>7</v>
      </c>
      <c r="CU874" s="27" t="s">
        <v>8</v>
      </c>
      <c r="CZ874" s="27" t="s">
        <v>7</v>
      </c>
      <c r="DC874" s="27" t="s">
        <v>8</v>
      </c>
      <c r="DD874" s="27" t="s">
        <v>7</v>
      </c>
      <c r="EP874" s="27" t="s">
        <v>7</v>
      </c>
      <c r="EU874" s="27" t="s">
        <v>8</v>
      </c>
      <c r="EV874" s="27" t="s">
        <v>7</v>
      </c>
      <c r="EY874" s="27" t="s">
        <v>8</v>
      </c>
      <c r="EZ874" s="27" t="s">
        <v>7</v>
      </c>
      <c r="FQ874" s="27" t="s">
        <v>8</v>
      </c>
      <c r="FR874" s="27" t="s">
        <v>7</v>
      </c>
      <c r="GE874" s="27" t="s">
        <v>8</v>
      </c>
      <c r="GF874" s="27" t="s">
        <v>7</v>
      </c>
      <c r="GQ874" s="27" t="s">
        <v>8</v>
      </c>
      <c r="GR874" s="27" t="s">
        <v>7</v>
      </c>
      <c r="GS874" s="27" t="s">
        <v>8</v>
      </c>
      <c r="GT874" s="27" t="s">
        <v>7</v>
      </c>
      <c r="GU874" s="27" t="s">
        <v>8</v>
      </c>
      <c r="GV874" s="27" t="s">
        <v>7</v>
      </c>
      <c r="GW874" s="27" t="s">
        <v>8</v>
      </c>
      <c r="HF874" s="27" t="s">
        <v>7</v>
      </c>
      <c r="HG874" s="27" t="s">
        <v>8</v>
      </c>
    </row>
    <row r="875" spans="1:217" x14ac:dyDescent="0.25">
      <c r="A875" s="7">
        <v>3.3354200307282654E-3</v>
      </c>
      <c r="B875"/>
      <c r="C875"/>
      <c r="D875"/>
      <c r="E875"/>
      <c r="AN875" s="27" t="s">
        <v>7</v>
      </c>
      <c r="AO875" s="27" t="s">
        <v>8</v>
      </c>
      <c r="AT875" s="27" t="s">
        <v>7</v>
      </c>
      <c r="AV875" s="27" t="s">
        <v>7</v>
      </c>
      <c r="CG875" s="27" t="s">
        <v>8</v>
      </c>
      <c r="CH875" s="27" t="s">
        <v>7</v>
      </c>
      <c r="CI875" s="27" t="s">
        <v>8</v>
      </c>
      <c r="CL875" s="27" t="s">
        <v>7</v>
      </c>
      <c r="CN875" s="27" t="s">
        <v>7</v>
      </c>
      <c r="CO875" s="27" t="s">
        <v>8</v>
      </c>
      <c r="CP875" s="27" t="s">
        <v>7</v>
      </c>
      <c r="CQ875" s="27" t="s">
        <v>8</v>
      </c>
      <c r="CR875" s="27" t="s">
        <v>7</v>
      </c>
      <c r="CS875" s="27" t="s">
        <v>8</v>
      </c>
      <c r="CT875" s="27" t="s">
        <v>7</v>
      </c>
      <c r="CU875" s="27" t="s">
        <v>8</v>
      </c>
      <c r="CZ875" s="27" t="s">
        <v>7</v>
      </c>
      <c r="DC875" s="27" t="s">
        <v>8</v>
      </c>
      <c r="EP875" s="27" t="s">
        <v>7</v>
      </c>
      <c r="EU875" s="27" t="s">
        <v>8</v>
      </c>
      <c r="EV875" s="27" t="s">
        <v>7</v>
      </c>
      <c r="EW875" s="27" t="s">
        <v>8</v>
      </c>
      <c r="EY875" s="27" t="s">
        <v>8</v>
      </c>
      <c r="EZ875" s="27" t="s">
        <v>7</v>
      </c>
      <c r="FQ875" s="27" t="s">
        <v>8</v>
      </c>
      <c r="FR875" s="27" t="s">
        <v>7</v>
      </c>
      <c r="GE875" s="27" t="s">
        <v>8</v>
      </c>
      <c r="GF875" s="27" t="s">
        <v>7</v>
      </c>
      <c r="GQ875" s="27" t="s">
        <v>8</v>
      </c>
      <c r="GR875" s="27" t="s">
        <v>7</v>
      </c>
      <c r="GS875" s="27" t="s">
        <v>8</v>
      </c>
      <c r="GT875" s="27" t="s">
        <v>7</v>
      </c>
      <c r="GU875" s="27" t="s">
        <v>8</v>
      </c>
      <c r="GV875" s="27" t="s">
        <v>7</v>
      </c>
      <c r="GW875" s="27" t="s">
        <v>8</v>
      </c>
      <c r="HF875" s="27" t="s">
        <v>7</v>
      </c>
      <c r="HG875" s="27" t="s">
        <v>8</v>
      </c>
    </row>
    <row r="876" spans="1:217" x14ac:dyDescent="0.25">
      <c r="A876" s="7">
        <v>3.2700196379688881E-3</v>
      </c>
      <c r="B876"/>
      <c r="C876"/>
      <c r="D876"/>
      <c r="E876"/>
      <c r="AN876" s="27" t="s">
        <v>7</v>
      </c>
      <c r="AO876" s="27" t="s">
        <v>8</v>
      </c>
      <c r="AV876" s="27" t="s">
        <v>7</v>
      </c>
      <c r="BW876" s="27" t="s">
        <v>8</v>
      </c>
      <c r="CG876" s="27" t="s">
        <v>8</v>
      </c>
      <c r="CH876" s="27" t="s">
        <v>7</v>
      </c>
      <c r="CI876" s="27" t="s">
        <v>8</v>
      </c>
      <c r="CN876" s="27" t="s">
        <v>7</v>
      </c>
      <c r="CO876" s="27" t="s">
        <v>8</v>
      </c>
      <c r="CP876" s="27" t="s">
        <v>7</v>
      </c>
      <c r="CQ876" s="27" t="s">
        <v>8</v>
      </c>
      <c r="CR876" s="27" t="s">
        <v>7</v>
      </c>
      <c r="CS876" s="27" t="s">
        <v>8</v>
      </c>
      <c r="CT876" s="27" t="s">
        <v>7</v>
      </c>
      <c r="CZ876" s="27" t="s">
        <v>7</v>
      </c>
      <c r="DA876" s="27" t="s">
        <v>8</v>
      </c>
      <c r="DC876" s="27" t="s">
        <v>8</v>
      </c>
      <c r="EP876" s="27" t="s">
        <v>7</v>
      </c>
      <c r="EU876" s="27" t="s">
        <v>8</v>
      </c>
      <c r="EV876" s="27" t="s">
        <v>7</v>
      </c>
      <c r="EW876" s="27" t="s">
        <v>8</v>
      </c>
      <c r="EX876" s="27" t="s">
        <v>7</v>
      </c>
      <c r="EY876" s="27" t="s">
        <v>8</v>
      </c>
      <c r="EZ876" s="27" t="s">
        <v>7</v>
      </c>
      <c r="FA876" s="27" t="s">
        <v>8</v>
      </c>
      <c r="FQ876" s="27" t="s">
        <v>8</v>
      </c>
      <c r="FR876" s="27" t="s">
        <v>7</v>
      </c>
      <c r="GE876" s="27" t="s">
        <v>8</v>
      </c>
      <c r="GF876" s="27" t="s">
        <v>7</v>
      </c>
      <c r="GG876" s="27" t="s">
        <v>8</v>
      </c>
      <c r="GQ876" s="27" t="s">
        <v>8</v>
      </c>
      <c r="GR876" s="27" t="s">
        <v>7</v>
      </c>
      <c r="GS876" s="27" t="s">
        <v>8</v>
      </c>
      <c r="GT876" s="27" t="s">
        <v>7</v>
      </c>
      <c r="GU876" s="27" t="s">
        <v>8</v>
      </c>
      <c r="GV876" s="27" t="s">
        <v>7</v>
      </c>
      <c r="HF876" s="27" t="s">
        <v>7</v>
      </c>
    </row>
    <row r="877" spans="1:217" x14ac:dyDescent="0.25">
      <c r="A877" s="7">
        <v>3.205901605851851E-3</v>
      </c>
      <c r="B877"/>
      <c r="C877"/>
      <c r="D877"/>
      <c r="E877"/>
      <c r="AN877" s="27" t="s">
        <v>7</v>
      </c>
      <c r="AO877" s="27" t="s">
        <v>8</v>
      </c>
      <c r="AV877" s="27" t="s">
        <v>7</v>
      </c>
      <c r="BW877" s="27" t="s">
        <v>8</v>
      </c>
      <c r="BX877" s="27" t="s">
        <v>7</v>
      </c>
      <c r="CG877" s="27" t="s">
        <v>8</v>
      </c>
      <c r="CH877" s="27" t="s">
        <v>7</v>
      </c>
      <c r="CN877" s="27" t="s">
        <v>7</v>
      </c>
      <c r="CP877" s="27" t="s">
        <v>7</v>
      </c>
      <c r="CR877" s="27" t="s">
        <v>7</v>
      </c>
      <c r="CS877" s="27" t="s">
        <v>8</v>
      </c>
      <c r="CZ877" s="27" t="s">
        <v>7</v>
      </c>
      <c r="DA877" s="27" t="s">
        <v>8</v>
      </c>
      <c r="DB877" s="27" t="s">
        <v>7</v>
      </c>
      <c r="DC877" s="27" t="s">
        <v>8</v>
      </c>
      <c r="EP877" s="27" t="s">
        <v>7</v>
      </c>
      <c r="ES877" s="27" t="s">
        <v>8</v>
      </c>
      <c r="EU877" s="27" t="s">
        <v>8</v>
      </c>
      <c r="EV877" s="27" t="s">
        <v>7</v>
      </c>
      <c r="EW877" s="27" t="s">
        <v>8</v>
      </c>
      <c r="EX877" s="27" t="s">
        <v>7</v>
      </c>
      <c r="EY877" s="27" t="s">
        <v>8</v>
      </c>
      <c r="EZ877" s="27" t="s">
        <v>7</v>
      </c>
      <c r="FA877" s="27" t="s">
        <v>8</v>
      </c>
      <c r="FB877" s="27" t="s">
        <v>7</v>
      </c>
      <c r="FQ877" s="27" t="s">
        <v>8</v>
      </c>
      <c r="FR877" s="27" t="s">
        <v>7</v>
      </c>
      <c r="GE877" s="27" t="s">
        <v>8</v>
      </c>
      <c r="GF877" s="27" t="s">
        <v>7</v>
      </c>
      <c r="GG877" s="27" t="s">
        <v>8</v>
      </c>
      <c r="GH877" s="27" t="s">
        <v>7</v>
      </c>
      <c r="GQ877" s="27" t="s">
        <v>8</v>
      </c>
      <c r="GR877" s="27" t="s">
        <v>7</v>
      </c>
      <c r="GS877" s="27" t="s">
        <v>8</v>
      </c>
      <c r="GT877" s="27" t="s">
        <v>7</v>
      </c>
      <c r="GU877" s="27" t="s">
        <v>8</v>
      </c>
    </row>
    <row r="878" spans="1:217" x14ac:dyDescent="0.25">
      <c r="A878" s="7">
        <v>3.1430407900508344E-3</v>
      </c>
      <c r="B878"/>
      <c r="C878"/>
      <c r="D878"/>
      <c r="E878"/>
      <c r="AN878" s="27" t="s">
        <v>7</v>
      </c>
      <c r="AO878" s="27" t="s">
        <v>8</v>
      </c>
      <c r="AV878" s="27" t="s">
        <v>7</v>
      </c>
      <c r="BW878" s="27" t="s">
        <v>8</v>
      </c>
      <c r="BX878" s="27" t="s">
        <v>7</v>
      </c>
      <c r="CA878" s="27" t="s">
        <v>8</v>
      </c>
      <c r="CG878" s="27" t="s">
        <v>8</v>
      </c>
      <c r="CR878" s="27" t="s">
        <v>7</v>
      </c>
      <c r="CS878" s="27" t="s">
        <v>8</v>
      </c>
      <c r="CZ878" s="27" t="s">
        <v>7</v>
      </c>
      <c r="DA878" s="27" t="s">
        <v>8</v>
      </c>
      <c r="DB878" s="27" t="s">
        <v>7</v>
      </c>
      <c r="DC878" s="27" t="s">
        <v>8</v>
      </c>
      <c r="EP878" s="27" t="s">
        <v>7</v>
      </c>
      <c r="ES878" s="27" t="s">
        <v>8</v>
      </c>
      <c r="ET878" s="27" t="s">
        <v>7</v>
      </c>
      <c r="EU878" s="27" t="s">
        <v>8</v>
      </c>
      <c r="EV878" s="27" t="s">
        <v>7</v>
      </c>
      <c r="EW878" s="27" t="s">
        <v>8</v>
      </c>
      <c r="EX878" s="27" t="s">
        <v>7</v>
      </c>
      <c r="EY878" s="27" t="s">
        <v>8</v>
      </c>
      <c r="EZ878" s="27" t="s">
        <v>7</v>
      </c>
      <c r="FA878" s="27" t="s">
        <v>8</v>
      </c>
      <c r="FB878" s="27" t="s">
        <v>7</v>
      </c>
      <c r="FC878" s="27" t="s">
        <v>8</v>
      </c>
      <c r="FQ878" s="27" t="s">
        <v>8</v>
      </c>
      <c r="FR878" s="27" t="s">
        <v>7</v>
      </c>
      <c r="GE878" s="27" t="s">
        <v>8</v>
      </c>
      <c r="GF878" s="27" t="s">
        <v>7</v>
      </c>
      <c r="GG878" s="27" t="s">
        <v>8</v>
      </c>
      <c r="GH878" s="27" t="s">
        <v>7</v>
      </c>
      <c r="GQ878" s="27" t="s">
        <v>8</v>
      </c>
      <c r="GR878" s="27" t="s">
        <v>7</v>
      </c>
      <c r="GS878" s="27" t="s">
        <v>8</v>
      </c>
      <c r="GT878" s="27" t="s">
        <v>7</v>
      </c>
      <c r="GU878" s="27" t="s">
        <v>8</v>
      </c>
    </row>
    <row r="879" spans="1:217" x14ac:dyDescent="0.25">
      <c r="A879" s="7">
        <v>3.0814125392655241E-3</v>
      </c>
      <c r="B879"/>
      <c r="C879"/>
      <c r="D879"/>
      <c r="E879"/>
      <c r="AN879" s="27" t="s">
        <v>7</v>
      </c>
      <c r="AO879" s="27" t="s">
        <v>8</v>
      </c>
      <c r="AV879" s="27" t="s">
        <v>7</v>
      </c>
      <c r="BW879" s="27" t="s">
        <v>8</v>
      </c>
      <c r="BX879" s="27" t="s">
        <v>7</v>
      </c>
      <c r="CA879" s="27" t="s">
        <v>8</v>
      </c>
      <c r="CB879" s="27" t="s">
        <v>7</v>
      </c>
      <c r="CG879" s="27" t="s">
        <v>8</v>
      </c>
      <c r="CR879" s="27" t="s">
        <v>7</v>
      </c>
      <c r="CZ879" s="27" t="s">
        <v>7</v>
      </c>
      <c r="DA879" s="27" t="s">
        <v>8</v>
      </c>
      <c r="DB879" s="27" t="s">
        <v>7</v>
      </c>
      <c r="EP879" s="27" t="s">
        <v>7</v>
      </c>
      <c r="ES879" s="27" t="s">
        <v>8</v>
      </c>
      <c r="ET879" s="27" t="s">
        <v>7</v>
      </c>
      <c r="EU879" s="27" t="s">
        <v>8</v>
      </c>
      <c r="EV879" s="27" t="s">
        <v>7</v>
      </c>
      <c r="EW879" s="27" t="s">
        <v>8</v>
      </c>
      <c r="EX879" s="27" t="s">
        <v>7</v>
      </c>
      <c r="EY879" s="27" t="s">
        <v>8</v>
      </c>
      <c r="EZ879" s="27" t="s">
        <v>7</v>
      </c>
      <c r="FA879" s="27" t="s">
        <v>8</v>
      </c>
      <c r="FB879" s="27" t="s">
        <v>7</v>
      </c>
      <c r="FC879" s="27" t="s">
        <v>8</v>
      </c>
      <c r="FD879" s="27" t="s">
        <v>7</v>
      </c>
      <c r="FQ879" s="27" t="s">
        <v>8</v>
      </c>
      <c r="FR879" s="27" t="s">
        <v>7</v>
      </c>
      <c r="FU879" s="27" t="s">
        <v>8</v>
      </c>
      <c r="GC879" s="27" t="s">
        <v>8</v>
      </c>
      <c r="GE879" s="27" t="s">
        <v>8</v>
      </c>
      <c r="GF879" s="27" t="s">
        <v>7</v>
      </c>
      <c r="GG879" s="27" t="s">
        <v>8</v>
      </c>
      <c r="GH879" s="27" t="s">
        <v>7</v>
      </c>
      <c r="GQ879" s="27" t="s">
        <v>8</v>
      </c>
      <c r="GR879" s="27" t="s">
        <v>7</v>
      </c>
      <c r="GS879" s="27" t="s">
        <v>8</v>
      </c>
      <c r="GT879" s="27" t="s">
        <v>7</v>
      </c>
    </row>
    <row r="880" spans="1:217" x14ac:dyDescent="0.25">
      <c r="A880" s="7">
        <v>3.0209926855544354E-3</v>
      </c>
      <c r="B880"/>
      <c r="C880"/>
      <c r="D880"/>
      <c r="E880"/>
      <c r="AN880" s="27" t="s">
        <v>7</v>
      </c>
      <c r="AO880" s="27" t="s">
        <v>8</v>
      </c>
      <c r="AV880" s="27" t="s">
        <v>7</v>
      </c>
      <c r="BW880" s="27" t="s">
        <v>8</v>
      </c>
      <c r="BX880" s="27" t="s">
        <v>7</v>
      </c>
      <c r="CA880" s="27" t="s">
        <v>8</v>
      </c>
      <c r="CB880" s="27" t="s">
        <v>7</v>
      </c>
      <c r="CE880" s="27" t="s">
        <v>8</v>
      </c>
      <c r="CG880" s="27" t="s">
        <v>8</v>
      </c>
      <c r="CZ880" s="27" t="s">
        <v>7</v>
      </c>
      <c r="EP880" s="27" t="s">
        <v>7</v>
      </c>
      <c r="ES880" s="27" t="s">
        <v>8</v>
      </c>
      <c r="ET880" s="27" t="s">
        <v>7</v>
      </c>
      <c r="EU880" s="27" t="s">
        <v>8</v>
      </c>
      <c r="EV880" s="27" t="s">
        <v>7</v>
      </c>
      <c r="EW880" s="27" t="s">
        <v>8</v>
      </c>
      <c r="EX880" s="27" t="s">
        <v>7</v>
      </c>
      <c r="EY880" s="27" t="s">
        <v>8</v>
      </c>
      <c r="EZ880" s="27" t="s">
        <v>7</v>
      </c>
      <c r="FA880" s="27" t="s">
        <v>8</v>
      </c>
      <c r="FB880" s="27" t="s">
        <v>7</v>
      </c>
      <c r="FC880" s="27" t="s">
        <v>8</v>
      </c>
      <c r="FD880" s="27" t="s">
        <v>7</v>
      </c>
      <c r="FG880" s="27" t="s">
        <v>8</v>
      </c>
      <c r="FI880" s="27" t="s">
        <v>8</v>
      </c>
      <c r="FQ880" s="27" t="s">
        <v>8</v>
      </c>
      <c r="FR880" s="27" t="s">
        <v>7</v>
      </c>
      <c r="FU880" s="27" t="s">
        <v>8</v>
      </c>
      <c r="FV880" s="27" t="s">
        <v>7</v>
      </c>
      <c r="FW880" s="27" t="s">
        <v>8</v>
      </c>
      <c r="GC880" s="27" t="s">
        <v>8</v>
      </c>
      <c r="GD880" s="27" t="s">
        <v>7</v>
      </c>
      <c r="GE880" s="27" t="s">
        <v>8</v>
      </c>
      <c r="GF880" s="27" t="s">
        <v>7</v>
      </c>
      <c r="GG880" s="27" t="s">
        <v>8</v>
      </c>
      <c r="GH880" s="27" t="s">
        <v>7</v>
      </c>
      <c r="GQ880" s="27" t="s">
        <v>8</v>
      </c>
      <c r="GR880" s="27" t="s">
        <v>7</v>
      </c>
      <c r="GS880" s="27" t="s">
        <v>8</v>
      </c>
    </row>
    <row r="881" spans="1:201" x14ac:dyDescent="0.25">
      <c r="A881" s="7">
        <v>2.9617575348572897E-3</v>
      </c>
      <c r="B881"/>
      <c r="C881"/>
      <c r="D881"/>
      <c r="E881"/>
      <c r="AN881" s="27" t="s">
        <v>7</v>
      </c>
      <c r="AO881" s="27" t="s">
        <v>8</v>
      </c>
      <c r="AV881" s="27" t="s">
        <v>7</v>
      </c>
      <c r="BW881" s="27" t="s">
        <v>8</v>
      </c>
      <c r="BX881" s="27" t="s">
        <v>7</v>
      </c>
      <c r="CA881" s="27" t="s">
        <v>8</v>
      </c>
      <c r="CB881" s="27" t="s">
        <v>7</v>
      </c>
      <c r="CE881" s="27" t="s">
        <v>8</v>
      </c>
      <c r="CF881" s="27" t="s">
        <v>7</v>
      </c>
      <c r="CG881" s="27" t="s">
        <v>8</v>
      </c>
      <c r="EP881" s="27" t="s">
        <v>7</v>
      </c>
      <c r="EQ881" s="27" t="s">
        <v>8</v>
      </c>
      <c r="ES881" s="27" t="s">
        <v>8</v>
      </c>
      <c r="ET881" s="27" t="s">
        <v>7</v>
      </c>
      <c r="EV881" s="27" t="s">
        <v>7</v>
      </c>
      <c r="EX881" s="27" t="s">
        <v>7</v>
      </c>
      <c r="EY881" s="27" t="s">
        <v>8</v>
      </c>
      <c r="EZ881" s="27" t="s">
        <v>7</v>
      </c>
      <c r="FB881" s="27" t="s">
        <v>7</v>
      </c>
      <c r="FD881" s="27" t="s">
        <v>7</v>
      </c>
      <c r="FG881" s="27" t="s">
        <v>8</v>
      </c>
      <c r="FH881" s="27" t="s">
        <v>7</v>
      </c>
      <c r="FI881" s="27" t="s">
        <v>8</v>
      </c>
      <c r="FJ881" s="27" t="s">
        <v>7</v>
      </c>
      <c r="FQ881" s="27" t="s">
        <v>8</v>
      </c>
      <c r="FR881" s="27" t="s">
        <v>7</v>
      </c>
      <c r="FU881" s="27" t="s">
        <v>8</v>
      </c>
      <c r="FV881" s="27" t="s">
        <v>7</v>
      </c>
      <c r="FW881" s="27" t="s">
        <v>8</v>
      </c>
      <c r="FX881" s="27" t="s">
        <v>7</v>
      </c>
      <c r="GC881" s="27" t="s">
        <v>8</v>
      </c>
      <c r="GD881" s="27" t="s">
        <v>7</v>
      </c>
      <c r="GE881" s="27" t="s">
        <v>8</v>
      </c>
      <c r="GF881" s="27" t="s">
        <v>7</v>
      </c>
      <c r="GG881" s="27" t="s">
        <v>8</v>
      </c>
      <c r="GH881" s="27" t="s">
        <v>7</v>
      </c>
      <c r="GI881" s="27" t="s">
        <v>8</v>
      </c>
      <c r="GK881" s="27" t="s">
        <v>8</v>
      </c>
      <c r="GO881" s="27" t="s">
        <v>8</v>
      </c>
      <c r="GQ881" s="27" t="s">
        <v>8</v>
      </c>
      <c r="GR881" s="27" t="s">
        <v>7</v>
      </c>
      <c r="GS881" s="27" t="s">
        <v>8</v>
      </c>
    </row>
    <row r="882" spans="1:201" x14ac:dyDescent="0.25">
      <c r="A882" s="7">
        <v>2.9036838577032251E-3</v>
      </c>
      <c r="B882"/>
      <c r="C882"/>
      <c r="D882"/>
      <c r="E882"/>
      <c r="AN882" s="27" t="s">
        <v>7</v>
      </c>
      <c r="AO882" s="27" t="s">
        <v>8</v>
      </c>
      <c r="AV882" s="27" t="s">
        <v>7</v>
      </c>
      <c r="BW882" s="27" t="s">
        <v>8</v>
      </c>
      <c r="BX882" s="27" t="s">
        <v>7</v>
      </c>
      <c r="CA882" s="27" t="s">
        <v>8</v>
      </c>
      <c r="CB882" s="27" t="s">
        <v>7</v>
      </c>
      <c r="CC882" s="27" t="s">
        <v>8</v>
      </c>
      <c r="CE882" s="27" t="s">
        <v>8</v>
      </c>
      <c r="CF882" s="27" t="s">
        <v>7</v>
      </c>
      <c r="CG882" s="27" t="s">
        <v>8</v>
      </c>
      <c r="EP882" s="27" t="s">
        <v>7</v>
      </c>
      <c r="EQ882" s="27" t="s">
        <v>8</v>
      </c>
      <c r="ER882" s="27" t="s">
        <v>7</v>
      </c>
      <c r="ES882" s="27" t="s">
        <v>8</v>
      </c>
      <c r="EX882" s="27" t="s">
        <v>7</v>
      </c>
      <c r="EY882" s="27" t="s">
        <v>8</v>
      </c>
      <c r="FD882" s="27" t="s">
        <v>7</v>
      </c>
      <c r="FG882" s="27" t="s">
        <v>8</v>
      </c>
      <c r="FH882" s="27" t="s">
        <v>7</v>
      </c>
      <c r="FI882" s="27" t="s">
        <v>8</v>
      </c>
      <c r="FJ882" s="27" t="s">
        <v>7</v>
      </c>
      <c r="FK882" s="27" t="s">
        <v>8</v>
      </c>
      <c r="FM882" s="27" t="s">
        <v>8</v>
      </c>
      <c r="FO882" s="27" t="s">
        <v>8</v>
      </c>
      <c r="FQ882" s="27" t="s">
        <v>8</v>
      </c>
      <c r="FR882" s="27" t="s">
        <v>7</v>
      </c>
      <c r="FS882" s="27" t="s">
        <v>8</v>
      </c>
      <c r="FU882" s="27" t="s">
        <v>8</v>
      </c>
      <c r="FV882" s="27" t="s">
        <v>7</v>
      </c>
      <c r="FW882" s="27" t="s">
        <v>8</v>
      </c>
      <c r="FX882" s="27" t="s">
        <v>7</v>
      </c>
      <c r="GC882" s="27" t="s">
        <v>8</v>
      </c>
      <c r="GD882" s="27" t="s">
        <v>7</v>
      </c>
      <c r="GE882" s="27" t="s">
        <v>8</v>
      </c>
      <c r="GF882" s="27" t="s">
        <v>7</v>
      </c>
      <c r="GG882" s="27" t="s">
        <v>8</v>
      </c>
      <c r="GH882" s="27" t="s">
        <v>7</v>
      </c>
      <c r="GI882" s="27" t="s">
        <v>8</v>
      </c>
      <c r="GJ882" s="27" t="s">
        <v>7</v>
      </c>
      <c r="GK882" s="27" t="s">
        <v>8</v>
      </c>
      <c r="GL882" s="27" t="s">
        <v>7</v>
      </c>
      <c r="GO882" s="27" t="s">
        <v>8</v>
      </c>
      <c r="GP882" s="27" t="s">
        <v>7</v>
      </c>
      <c r="GQ882" s="27" t="s">
        <v>8</v>
      </c>
      <c r="GR882" s="27" t="s">
        <v>7</v>
      </c>
      <c r="GS882" s="27" t="s">
        <v>8</v>
      </c>
    </row>
    <row r="883" spans="1:201" x14ac:dyDescent="0.25">
      <c r="A883" s="7">
        <v>2.8467488801012012E-3</v>
      </c>
      <c r="B883"/>
      <c r="C883"/>
      <c r="D883"/>
      <c r="E883"/>
      <c r="AN883" s="27" t="s">
        <v>7</v>
      </c>
      <c r="AO883" s="27" t="s">
        <v>8</v>
      </c>
      <c r="AV883" s="27" t="s">
        <v>7</v>
      </c>
      <c r="BW883" s="27" t="s">
        <v>8</v>
      </c>
      <c r="BX883" s="27" t="s">
        <v>7</v>
      </c>
      <c r="CA883" s="27" t="s">
        <v>8</v>
      </c>
      <c r="CB883" s="27" t="s">
        <v>7</v>
      </c>
      <c r="CC883" s="27" t="s">
        <v>8</v>
      </c>
      <c r="CD883" s="27" t="s">
        <v>7</v>
      </c>
      <c r="CE883" s="27" t="s">
        <v>8</v>
      </c>
      <c r="CF883" s="27" t="s">
        <v>7</v>
      </c>
      <c r="CG883" s="27" t="s">
        <v>8</v>
      </c>
      <c r="EP883" s="27" t="s">
        <v>7</v>
      </c>
      <c r="EQ883" s="27" t="s">
        <v>8</v>
      </c>
      <c r="ER883" s="27" t="s">
        <v>7</v>
      </c>
      <c r="ES883" s="27" t="s">
        <v>8</v>
      </c>
      <c r="EX883" s="27" t="s">
        <v>7</v>
      </c>
      <c r="EY883" s="27" t="s">
        <v>8</v>
      </c>
      <c r="FD883" s="27" t="s">
        <v>7</v>
      </c>
      <c r="FE883" s="27" t="s">
        <v>8</v>
      </c>
      <c r="FG883" s="27" t="s">
        <v>8</v>
      </c>
      <c r="FH883" s="27" t="s">
        <v>7</v>
      </c>
      <c r="FI883" s="27" t="s">
        <v>8</v>
      </c>
      <c r="FJ883" s="27" t="s">
        <v>7</v>
      </c>
      <c r="FK883" s="27" t="s">
        <v>8</v>
      </c>
      <c r="FL883" s="27" t="s">
        <v>7</v>
      </c>
      <c r="FM883" s="27" t="s">
        <v>8</v>
      </c>
      <c r="FN883" s="27" t="s">
        <v>7</v>
      </c>
      <c r="FO883" s="27" t="s">
        <v>8</v>
      </c>
      <c r="FP883" s="27" t="s">
        <v>7</v>
      </c>
      <c r="FQ883" s="27" t="s">
        <v>8</v>
      </c>
      <c r="FR883" s="27" t="s">
        <v>7</v>
      </c>
      <c r="FS883" s="27" t="s">
        <v>8</v>
      </c>
      <c r="FT883" s="27" t="s">
        <v>7</v>
      </c>
      <c r="FU883" s="27" t="s">
        <v>8</v>
      </c>
      <c r="FV883" s="27" t="s">
        <v>7</v>
      </c>
      <c r="FX883" s="27" t="s">
        <v>7</v>
      </c>
      <c r="FY883" s="27" t="s">
        <v>8</v>
      </c>
      <c r="GA883" s="27" t="s">
        <v>8</v>
      </c>
      <c r="GC883" s="27" t="s">
        <v>8</v>
      </c>
      <c r="GD883" s="27" t="s">
        <v>7</v>
      </c>
      <c r="GF883" s="27" t="s">
        <v>7</v>
      </c>
      <c r="GG883" s="27" t="s">
        <v>8</v>
      </c>
      <c r="GH883" s="27" t="s">
        <v>7</v>
      </c>
      <c r="GI883" s="27" t="s">
        <v>8</v>
      </c>
      <c r="GJ883" s="27" t="s">
        <v>7</v>
      </c>
      <c r="GK883" s="27" t="s">
        <v>8</v>
      </c>
      <c r="GL883" s="27" t="s">
        <v>7</v>
      </c>
      <c r="GO883" s="27" t="s">
        <v>8</v>
      </c>
      <c r="GP883" s="27" t="s">
        <v>7</v>
      </c>
      <c r="GQ883" s="27" t="s">
        <v>8</v>
      </c>
      <c r="GR883" s="27" t="s">
        <v>7</v>
      </c>
      <c r="GS883" s="27" t="s">
        <v>8</v>
      </c>
    </row>
    <row r="884" spans="1:201" x14ac:dyDescent="0.25">
      <c r="A884" s="7">
        <v>2.7909302746090209E-3</v>
      </c>
      <c r="B884"/>
      <c r="C884"/>
      <c r="D884"/>
      <c r="E884"/>
      <c r="AN884" s="27" t="s">
        <v>7</v>
      </c>
      <c r="AO884" s="27" t="s">
        <v>8</v>
      </c>
      <c r="AV884" s="27" t="s">
        <v>7</v>
      </c>
      <c r="BW884" s="27" t="s">
        <v>8</v>
      </c>
      <c r="BX884" s="27" t="s">
        <v>7</v>
      </c>
      <c r="CA884" s="27" t="s">
        <v>8</v>
      </c>
      <c r="CB884" s="27" t="s">
        <v>7</v>
      </c>
      <c r="CC884" s="27" t="s">
        <v>8</v>
      </c>
      <c r="CD884" s="27" t="s">
        <v>7</v>
      </c>
      <c r="CE884" s="27" t="s">
        <v>8</v>
      </c>
      <c r="CF884" s="27" t="s">
        <v>7</v>
      </c>
      <c r="CG884" s="27" t="s">
        <v>8</v>
      </c>
      <c r="EP884" s="27" t="s">
        <v>7</v>
      </c>
      <c r="EQ884" s="27" t="s">
        <v>8</v>
      </c>
      <c r="ER884" s="27" t="s">
        <v>7</v>
      </c>
      <c r="ES884" s="27" t="s">
        <v>8</v>
      </c>
      <c r="EX884" s="27" t="s">
        <v>7</v>
      </c>
      <c r="EY884" s="27" t="s">
        <v>8</v>
      </c>
      <c r="FD884" s="27" t="s">
        <v>7</v>
      </c>
      <c r="FE884" s="27" t="s">
        <v>8</v>
      </c>
      <c r="FF884" s="27" t="s">
        <v>7</v>
      </c>
      <c r="FG884" s="27" t="s">
        <v>8</v>
      </c>
      <c r="FH884" s="27" t="s">
        <v>7</v>
      </c>
      <c r="FI884" s="27" t="s">
        <v>8</v>
      </c>
      <c r="FJ884" s="27" t="s">
        <v>7</v>
      </c>
      <c r="FK884" s="27" t="s">
        <v>8</v>
      </c>
      <c r="FL884" s="27" t="s">
        <v>7</v>
      </c>
      <c r="FM884" s="27" t="s">
        <v>8</v>
      </c>
      <c r="FN884" s="27" t="s">
        <v>7</v>
      </c>
      <c r="FO884" s="27" t="s">
        <v>8</v>
      </c>
      <c r="FP884" s="27" t="s">
        <v>7</v>
      </c>
      <c r="FQ884" s="27" t="s">
        <v>8</v>
      </c>
      <c r="FR884" s="27" t="s">
        <v>7</v>
      </c>
      <c r="FS884" s="27" t="s">
        <v>8</v>
      </c>
      <c r="FT884" s="27" t="s">
        <v>7</v>
      </c>
      <c r="FU884" s="27" t="s">
        <v>8</v>
      </c>
      <c r="FX884" s="27" t="s">
        <v>7</v>
      </c>
      <c r="FY884" s="27" t="s">
        <v>8</v>
      </c>
      <c r="FZ884" s="27" t="s">
        <v>7</v>
      </c>
      <c r="GA884" s="27" t="s">
        <v>8</v>
      </c>
      <c r="GB884" s="27" t="s">
        <v>7</v>
      </c>
      <c r="GC884" s="27" t="s">
        <v>8</v>
      </c>
      <c r="GF884" s="27" t="s">
        <v>7</v>
      </c>
      <c r="GH884" s="27" t="s">
        <v>7</v>
      </c>
      <c r="GI884" s="27" t="s">
        <v>8</v>
      </c>
      <c r="GJ884" s="27" t="s">
        <v>7</v>
      </c>
      <c r="GK884" s="27" t="s">
        <v>8</v>
      </c>
      <c r="GL884" s="27" t="s">
        <v>7</v>
      </c>
      <c r="GO884" s="27" t="s">
        <v>8</v>
      </c>
      <c r="GP884" s="27" t="s">
        <v>7</v>
      </c>
      <c r="GQ884" s="27" t="s">
        <v>8</v>
      </c>
      <c r="GR884" s="27" t="s">
        <v>7</v>
      </c>
      <c r="GS884" s="27" t="s">
        <v>8</v>
      </c>
    </row>
    <row r="885" spans="1:201" x14ac:dyDescent="0.25">
      <c r="A885" s="7">
        <v>2.7362061515774716E-3</v>
      </c>
      <c r="B885"/>
      <c r="C885"/>
      <c r="D885"/>
      <c r="E885"/>
      <c r="AN885" s="27" t="s">
        <v>7</v>
      </c>
      <c r="AO885" s="27" t="s">
        <v>8</v>
      </c>
      <c r="AV885" s="27" t="s">
        <v>7</v>
      </c>
      <c r="BW885" s="27" t="s">
        <v>8</v>
      </c>
      <c r="BX885" s="27" t="s">
        <v>7</v>
      </c>
      <c r="CA885" s="27" t="s">
        <v>8</v>
      </c>
      <c r="CB885" s="27" t="s">
        <v>7</v>
      </c>
      <c r="CC885" s="27" t="s">
        <v>8</v>
      </c>
      <c r="CD885" s="27" t="s">
        <v>7</v>
      </c>
      <c r="CE885" s="27" t="s">
        <v>8</v>
      </c>
      <c r="CF885" s="27" t="s">
        <v>7</v>
      </c>
      <c r="CG885" s="27" t="s">
        <v>8</v>
      </c>
      <c r="EP885" s="27" t="s">
        <v>7</v>
      </c>
      <c r="ER885" s="27" t="s">
        <v>7</v>
      </c>
      <c r="ES885" s="27" t="s">
        <v>8</v>
      </c>
      <c r="EX885" s="27" t="s">
        <v>7</v>
      </c>
      <c r="EY885" s="27" t="s">
        <v>8</v>
      </c>
      <c r="FD885" s="27" t="s">
        <v>7</v>
      </c>
      <c r="FE885" s="27" t="s">
        <v>8</v>
      </c>
      <c r="FF885" s="27" t="s">
        <v>7</v>
      </c>
      <c r="FG885" s="27" t="s">
        <v>8</v>
      </c>
      <c r="FH885" s="27" t="s">
        <v>7</v>
      </c>
      <c r="FI885" s="27" t="s">
        <v>8</v>
      </c>
      <c r="FJ885" s="27" t="s">
        <v>7</v>
      </c>
      <c r="FL885" s="27" t="s">
        <v>7</v>
      </c>
      <c r="FM885" s="27" t="s">
        <v>8</v>
      </c>
      <c r="FN885" s="27" t="s">
        <v>7</v>
      </c>
      <c r="FO885" s="27" t="s">
        <v>8</v>
      </c>
      <c r="FP885" s="27" t="s">
        <v>7</v>
      </c>
      <c r="FQ885" s="27" t="s">
        <v>8</v>
      </c>
      <c r="FR885" s="27" t="s">
        <v>7</v>
      </c>
      <c r="FS885" s="27" t="s">
        <v>8</v>
      </c>
      <c r="FT885" s="27" t="s">
        <v>7</v>
      </c>
      <c r="FX885" s="27" t="s">
        <v>7</v>
      </c>
      <c r="FY885" s="27" t="s">
        <v>8</v>
      </c>
      <c r="FZ885" s="27" t="s">
        <v>7</v>
      </c>
      <c r="GA885" s="27" t="s">
        <v>8</v>
      </c>
      <c r="GB885" s="27" t="s">
        <v>7</v>
      </c>
      <c r="GC885" s="27" t="s">
        <v>8</v>
      </c>
      <c r="GH885" s="27" t="s">
        <v>7</v>
      </c>
      <c r="GI885" s="27" t="s">
        <v>8</v>
      </c>
      <c r="GJ885" s="27" t="s">
        <v>7</v>
      </c>
      <c r="GK885" s="27" t="s">
        <v>8</v>
      </c>
      <c r="GL885" s="27" t="s">
        <v>7</v>
      </c>
      <c r="GO885" s="27" t="s">
        <v>8</v>
      </c>
      <c r="GP885" s="27" t="s">
        <v>7</v>
      </c>
      <c r="GQ885" s="27" t="s">
        <v>8</v>
      </c>
      <c r="GR885" s="27" t="s">
        <v>7</v>
      </c>
    </row>
    <row r="886" spans="1:201" x14ac:dyDescent="0.25">
      <c r="A886" s="7">
        <v>2.6825550505661486E-3</v>
      </c>
      <c r="B886"/>
      <c r="C886"/>
      <c r="D886"/>
      <c r="E886"/>
      <c r="AN886" s="27" t="s">
        <v>7</v>
      </c>
      <c r="AO886" s="27" t="s">
        <v>8</v>
      </c>
      <c r="AV886" s="27" t="s">
        <v>7</v>
      </c>
      <c r="BW886" s="27" t="s">
        <v>8</v>
      </c>
      <c r="BX886" s="27" t="s">
        <v>7</v>
      </c>
      <c r="BY886" s="27" t="s">
        <v>8</v>
      </c>
      <c r="CA886" s="27" t="s">
        <v>8</v>
      </c>
      <c r="CB886" s="27" t="s">
        <v>7</v>
      </c>
      <c r="CC886" s="27" t="s">
        <v>8</v>
      </c>
      <c r="CD886" s="27" t="s">
        <v>7</v>
      </c>
      <c r="CE886" s="27" t="s">
        <v>8</v>
      </c>
      <c r="CF886" s="27" t="s">
        <v>7</v>
      </c>
      <c r="CG886" s="27" t="s">
        <v>8</v>
      </c>
      <c r="ER886" s="27" t="s">
        <v>7</v>
      </c>
      <c r="EX886" s="27" t="s">
        <v>7</v>
      </c>
      <c r="FD886" s="27" t="s">
        <v>7</v>
      </c>
      <c r="FE886" s="27" t="s">
        <v>8</v>
      </c>
      <c r="FF886" s="27" t="s">
        <v>7</v>
      </c>
      <c r="FG886" s="27" t="s">
        <v>8</v>
      </c>
      <c r="FH886" s="27" t="s">
        <v>7</v>
      </c>
      <c r="FI886" s="27" t="s">
        <v>8</v>
      </c>
      <c r="FL886" s="27" t="s">
        <v>7</v>
      </c>
      <c r="FN886" s="27" t="s">
        <v>7</v>
      </c>
      <c r="FO886" s="27" t="s">
        <v>8</v>
      </c>
      <c r="FP886" s="27" t="s">
        <v>7</v>
      </c>
      <c r="FR886" s="27" t="s">
        <v>7</v>
      </c>
      <c r="FS886" s="27" t="s">
        <v>8</v>
      </c>
      <c r="FX886" s="27" t="s">
        <v>7</v>
      </c>
      <c r="FY886" s="27" t="s">
        <v>8</v>
      </c>
      <c r="FZ886" s="27" t="s">
        <v>7</v>
      </c>
      <c r="GA886" s="27" t="s">
        <v>8</v>
      </c>
      <c r="GB886" s="27" t="s">
        <v>7</v>
      </c>
      <c r="GC886" s="27" t="s">
        <v>8</v>
      </c>
      <c r="GH886" s="27" t="s">
        <v>7</v>
      </c>
      <c r="GI886" s="27" t="s">
        <v>8</v>
      </c>
      <c r="GJ886" s="27" t="s">
        <v>7</v>
      </c>
      <c r="GL886" s="27" t="s">
        <v>7</v>
      </c>
      <c r="GO886" s="27" t="s">
        <v>8</v>
      </c>
      <c r="GP886" s="27" t="s">
        <v>7</v>
      </c>
      <c r="GQ886" s="27" t="s">
        <v>8</v>
      </c>
    </row>
    <row r="887" spans="1:201" x14ac:dyDescent="0.25">
      <c r="A887" s="7">
        <v>2.6299559319275965E-3</v>
      </c>
      <c r="B887"/>
      <c r="C887"/>
      <c r="D887"/>
      <c r="E887"/>
      <c r="AN887" s="27" t="s">
        <v>7</v>
      </c>
      <c r="AO887" s="27" t="s">
        <v>8</v>
      </c>
      <c r="AV887" s="27" t="s">
        <v>7</v>
      </c>
      <c r="BW887" s="27" t="s">
        <v>8</v>
      </c>
      <c r="BX887" s="27" t="s">
        <v>7</v>
      </c>
      <c r="BY887" s="27" t="s">
        <v>8</v>
      </c>
      <c r="BZ887" s="27" t="s">
        <v>7</v>
      </c>
      <c r="CA887" s="27" t="s">
        <v>8</v>
      </c>
      <c r="CB887" s="27" t="s">
        <v>7</v>
      </c>
      <c r="CC887" s="27" t="s">
        <v>8</v>
      </c>
      <c r="CD887" s="27" t="s">
        <v>7</v>
      </c>
      <c r="CE887" s="27" t="s">
        <v>8</v>
      </c>
      <c r="CF887" s="27" t="s">
        <v>7</v>
      </c>
      <c r="FD887" s="27" t="s">
        <v>7</v>
      </c>
      <c r="FE887" s="27" t="s">
        <v>8</v>
      </c>
      <c r="FF887" s="27" t="s">
        <v>7</v>
      </c>
      <c r="FG887" s="27" t="s">
        <v>8</v>
      </c>
      <c r="FH887" s="27" t="s">
        <v>7</v>
      </c>
      <c r="FI887" s="27" t="s">
        <v>8</v>
      </c>
      <c r="FN887" s="27" t="s">
        <v>7</v>
      </c>
      <c r="FO887" s="27" t="s">
        <v>8</v>
      </c>
      <c r="FR887" s="27" t="s">
        <v>7</v>
      </c>
      <c r="FX887" s="27" t="s">
        <v>7</v>
      </c>
      <c r="FZ887" s="27" t="s">
        <v>7</v>
      </c>
      <c r="GA887" s="27" t="s">
        <v>8</v>
      </c>
      <c r="GB887" s="27" t="s">
        <v>7</v>
      </c>
      <c r="GH887" s="27" t="s">
        <v>7</v>
      </c>
      <c r="GI887" s="27" t="s">
        <v>8</v>
      </c>
      <c r="GL887" s="27" t="s">
        <v>7</v>
      </c>
      <c r="GM887" s="27" t="s">
        <v>8</v>
      </c>
      <c r="GO887" s="27" t="s">
        <v>8</v>
      </c>
      <c r="GP887" s="27" t="s">
        <v>7</v>
      </c>
      <c r="GQ887" s="27" t="s">
        <v>8</v>
      </c>
    </row>
    <row r="888" spans="1:201" x14ac:dyDescent="0.25">
      <c r="A888" s="7">
        <v>2.578388168556467E-3</v>
      </c>
      <c r="B888"/>
      <c r="C888"/>
      <c r="D888"/>
      <c r="E888"/>
      <c r="AN888" s="27" t="s">
        <v>7</v>
      </c>
      <c r="AO888" s="27" t="s">
        <v>8</v>
      </c>
      <c r="AV888" s="27" t="s">
        <v>7</v>
      </c>
      <c r="BK888" s="27" t="s">
        <v>8</v>
      </c>
      <c r="BO888" s="27" t="s">
        <v>8</v>
      </c>
      <c r="BQ888" s="27" t="s">
        <v>8</v>
      </c>
      <c r="BW888" s="27" t="s">
        <v>8</v>
      </c>
      <c r="BX888" s="27" t="s">
        <v>7</v>
      </c>
      <c r="BY888" s="27" t="s">
        <v>8</v>
      </c>
      <c r="BZ888" s="27" t="s">
        <v>7</v>
      </c>
      <c r="CA888" s="27" t="s">
        <v>8</v>
      </c>
      <c r="CB888" s="27" t="s">
        <v>7</v>
      </c>
      <c r="CC888" s="27" t="s">
        <v>8</v>
      </c>
      <c r="CD888" s="27" t="s">
        <v>7</v>
      </c>
      <c r="FD888" s="27" t="s">
        <v>7</v>
      </c>
      <c r="FE888" s="27" t="s">
        <v>8</v>
      </c>
      <c r="FF888" s="27" t="s">
        <v>7</v>
      </c>
      <c r="FG888" s="27" t="s">
        <v>8</v>
      </c>
      <c r="FH888" s="27" t="s">
        <v>7</v>
      </c>
      <c r="FN888" s="27" t="s">
        <v>7</v>
      </c>
      <c r="FZ888" s="27" t="s">
        <v>7</v>
      </c>
      <c r="GA888" s="27" t="s">
        <v>8</v>
      </c>
      <c r="GH888" s="27" t="s">
        <v>7</v>
      </c>
      <c r="GI888" s="27" t="s">
        <v>8</v>
      </c>
      <c r="GL888" s="27" t="s">
        <v>7</v>
      </c>
      <c r="GM888" s="27" t="s">
        <v>8</v>
      </c>
      <c r="GN888" s="27" t="s">
        <v>7</v>
      </c>
      <c r="GO888" s="27" t="s">
        <v>8</v>
      </c>
      <c r="GP888" s="27" t="s">
        <v>7</v>
      </c>
      <c r="GQ888" s="27" t="s">
        <v>8</v>
      </c>
    </row>
    <row r="889" spans="1:201" x14ac:dyDescent="0.25">
      <c r="A889" s="7">
        <v>2.5278315378004577E-3</v>
      </c>
      <c r="B889"/>
      <c r="C889"/>
      <c r="D889"/>
      <c r="E889"/>
      <c r="AN889" s="27" t="s">
        <v>7</v>
      </c>
      <c r="AO889" s="27" t="s">
        <v>8</v>
      </c>
      <c r="AV889" s="27" t="s">
        <v>7</v>
      </c>
      <c r="BK889" s="27" t="s">
        <v>8</v>
      </c>
      <c r="BL889" s="27" t="s">
        <v>7</v>
      </c>
      <c r="BO889" s="27" t="s">
        <v>8</v>
      </c>
      <c r="BP889" s="27" t="s">
        <v>7</v>
      </c>
      <c r="BQ889" s="27" t="s">
        <v>8</v>
      </c>
      <c r="BR889" s="27" t="s">
        <v>7</v>
      </c>
      <c r="BS889" s="27" t="s">
        <v>8</v>
      </c>
      <c r="BU889" s="27" t="s">
        <v>8</v>
      </c>
      <c r="BW889" s="27" t="s">
        <v>8</v>
      </c>
      <c r="BX889" s="27" t="s">
        <v>7</v>
      </c>
      <c r="BZ889" s="27" t="s">
        <v>7</v>
      </c>
      <c r="CA889" s="27" t="s">
        <v>8</v>
      </c>
      <c r="CB889" s="27" t="s">
        <v>7</v>
      </c>
      <c r="FD889" s="27" t="s">
        <v>7</v>
      </c>
      <c r="FF889" s="27" t="s">
        <v>7</v>
      </c>
      <c r="FG889" s="27" t="s">
        <v>8</v>
      </c>
      <c r="FZ889" s="27" t="s">
        <v>7</v>
      </c>
      <c r="GH889" s="27" t="s">
        <v>7</v>
      </c>
      <c r="GI889" s="27" t="s">
        <v>8</v>
      </c>
      <c r="GL889" s="27" t="s">
        <v>7</v>
      </c>
      <c r="GM889" s="27" t="s">
        <v>8</v>
      </c>
      <c r="GN889" s="27" t="s">
        <v>7</v>
      </c>
      <c r="GO889" s="27" t="s">
        <v>8</v>
      </c>
      <c r="GP889" s="27" t="s">
        <v>7</v>
      </c>
    </row>
    <row r="890" spans="1:201" x14ac:dyDescent="0.25">
      <c r="A890" s="7">
        <v>2.4782662135298603E-3</v>
      </c>
      <c r="B890"/>
      <c r="C890"/>
      <c r="D890"/>
      <c r="E890"/>
      <c r="AN890" s="27" t="s">
        <v>7</v>
      </c>
      <c r="AO890" s="27" t="s">
        <v>8</v>
      </c>
      <c r="AV890" s="27" t="s">
        <v>7</v>
      </c>
      <c r="BK890" s="27" t="s">
        <v>8</v>
      </c>
      <c r="BL890" s="27" t="s">
        <v>7</v>
      </c>
      <c r="BM890" s="27" t="s">
        <v>8</v>
      </c>
      <c r="BO890" s="27" t="s">
        <v>8</v>
      </c>
      <c r="BP890" s="27" t="s">
        <v>7</v>
      </c>
      <c r="BQ890" s="27" t="s">
        <v>8</v>
      </c>
      <c r="BR890" s="27" t="s">
        <v>7</v>
      </c>
      <c r="BS890" s="27" t="s">
        <v>8</v>
      </c>
      <c r="BT890" s="27" t="s">
        <v>7</v>
      </c>
      <c r="BU890" s="27" t="s">
        <v>8</v>
      </c>
      <c r="BV890" s="27" t="s">
        <v>7</v>
      </c>
      <c r="BW890" s="27" t="s">
        <v>8</v>
      </c>
      <c r="BZ890" s="27" t="s">
        <v>7</v>
      </c>
      <c r="CA890" s="27" t="s">
        <v>8</v>
      </c>
      <c r="FF890" s="27" t="s">
        <v>7</v>
      </c>
      <c r="FG890" s="27" t="s">
        <v>8</v>
      </c>
      <c r="GH890" s="27" t="s">
        <v>7</v>
      </c>
      <c r="GI890" s="27" t="s">
        <v>8</v>
      </c>
      <c r="GL890" s="27" t="s">
        <v>7</v>
      </c>
      <c r="GM890" s="27" t="s">
        <v>8</v>
      </c>
      <c r="GN890" s="27" t="s">
        <v>7</v>
      </c>
      <c r="GO890" s="27" t="s">
        <v>8</v>
      </c>
    </row>
    <row r="891" spans="1:201" x14ac:dyDescent="0.25">
      <c r="A891" s="7">
        <v>2.4296727583626083E-3</v>
      </c>
      <c r="B891"/>
      <c r="C891"/>
      <c r="D891"/>
      <c r="E891"/>
      <c r="AN891" s="27" t="s">
        <v>7</v>
      </c>
      <c r="AO891" s="27" t="s">
        <v>8</v>
      </c>
      <c r="AV891" s="27" t="s">
        <v>7</v>
      </c>
      <c r="BK891" s="27" t="s">
        <v>8</v>
      </c>
      <c r="BL891" s="27" t="s">
        <v>7</v>
      </c>
      <c r="BM891" s="27" t="s">
        <v>8</v>
      </c>
      <c r="BN891" s="27" t="s">
        <v>7</v>
      </c>
      <c r="BO891" s="27" t="s">
        <v>8</v>
      </c>
      <c r="BP891" s="27" t="s">
        <v>7</v>
      </c>
      <c r="BQ891" s="27" t="s">
        <v>8</v>
      </c>
      <c r="BR891" s="27" t="s">
        <v>7</v>
      </c>
      <c r="BS891" s="27" t="s">
        <v>8</v>
      </c>
      <c r="BT891" s="27" t="s">
        <v>7</v>
      </c>
      <c r="BU891" s="27" t="s">
        <v>8</v>
      </c>
      <c r="BV891" s="27" t="s">
        <v>7</v>
      </c>
      <c r="BW891" s="27" t="s">
        <v>8</v>
      </c>
      <c r="BZ891" s="27" t="s">
        <v>7</v>
      </c>
      <c r="CA891" s="27" t="s">
        <v>8</v>
      </c>
      <c r="FF891" s="27" t="s">
        <v>7</v>
      </c>
      <c r="FG891" s="27" t="s">
        <v>8</v>
      </c>
      <c r="GH891" s="27" t="s">
        <v>7</v>
      </c>
      <c r="GI891" s="27" t="s">
        <v>8</v>
      </c>
      <c r="GL891" s="27" t="s">
        <v>7</v>
      </c>
      <c r="GM891" s="27" t="s">
        <v>8</v>
      </c>
      <c r="GN891" s="27" t="s">
        <v>7</v>
      </c>
    </row>
    <row r="892" spans="1:201" x14ac:dyDescent="0.25">
      <c r="A892" s="7">
        <v>2.3820321160417726E-3</v>
      </c>
      <c r="B892"/>
      <c r="C892"/>
      <c r="D892"/>
      <c r="E892"/>
      <c r="AN892" s="27" t="s">
        <v>7</v>
      </c>
      <c r="AO892" s="27" t="s">
        <v>8</v>
      </c>
      <c r="AV892" s="27" t="s">
        <v>7</v>
      </c>
      <c r="BK892" s="27" t="s">
        <v>8</v>
      </c>
      <c r="BL892" s="27" t="s">
        <v>7</v>
      </c>
      <c r="BM892" s="27" t="s">
        <v>8</v>
      </c>
      <c r="BN892" s="27" t="s">
        <v>7</v>
      </c>
      <c r="BO892" s="27" t="s">
        <v>8</v>
      </c>
      <c r="BP892" s="27" t="s">
        <v>7</v>
      </c>
      <c r="BQ892" s="27" t="s">
        <v>8</v>
      </c>
      <c r="BR892" s="27" t="s">
        <v>7</v>
      </c>
      <c r="BT892" s="27" t="s">
        <v>7</v>
      </c>
      <c r="BU892" s="27" t="s">
        <v>8</v>
      </c>
      <c r="BV892" s="27" t="s">
        <v>7</v>
      </c>
      <c r="BW892" s="27" t="s">
        <v>8</v>
      </c>
      <c r="BZ892" s="27" t="s">
        <v>7</v>
      </c>
      <c r="CA892" s="27" t="s">
        <v>8</v>
      </c>
      <c r="FF892" s="27" t="s">
        <v>7</v>
      </c>
      <c r="FG892" s="27" t="s">
        <v>8</v>
      </c>
      <c r="GH892" s="27" t="s">
        <v>7</v>
      </c>
      <c r="GI892" s="27" t="s">
        <v>8</v>
      </c>
      <c r="GL892" s="27" t="s">
        <v>7</v>
      </c>
      <c r="GM892" s="27" t="s">
        <v>8</v>
      </c>
    </row>
    <row r="893" spans="1:201" x14ac:dyDescent="0.25">
      <c r="A893" s="7">
        <v>2.3353256039625224E-3</v>
      </c>
      <c r="B893"/>
      <c r="C893"/>
      <c r="D893"/>
      <c r="E893"/>
      <c r="AN893" s="27" t="s">
        <v>7</v>
      </c>
      <c r="AO893" s="27" t="s">
        <v>8</v>
      </c>
      <c r="AV893" s="27" t="s">
        <v>7</v>
      </c>
      <c r="BK893" s="27" t="s">
        <v>8</v>
      </c>
      <c r="BL893" s="27" t="s">
        <v>7</v>
      </c>
      <c r="BM893" s="27" t="s">
        <v>8</v>
      </c>
      <c r="BN893" s="27" t="s">
        <v>7</v>
      </c>
      <c r="BO893" s="27" t="s">
        <v>8</v>
      </c>
      <c r="BP893" s="27" t="s">
        <v>7</v>
      </c>
      <c r="BQ893" s="27" t="s">
        <v>8</v>
      </c>
      <c r="BT893" s="27" t="s">
        <v>7</v>
      </c>
      <c r="BV893" s="27" t="s">
        <v>7</v>
      </c>
      <c r="BZ893" s="27" t="s">
        <v>7</v>
      </c>
      <c r="CA893" s="27" t="s">
        <v>8</v>
      </c>
      <c r="FF893" s="27" t="s">
        <v>7</v>
      </c>
      <c r="GH893" s="27" t="s">
        <v>7</v>
      </c>
      <c r="GI893" s="27" t="s">
        <v>8</v>
      </c>
      <c r="GL893" s="27" t="s">
        <v>7</v>
      </c>
      <c r="GM893" s="27" t="s">
        <v>8</v>
      </c>
    </row>
    <row r="894" spans="1:201" x14ac:dyDescent="0.25">
      <c r="A894" s="7">
        <v>2.2895349058456101E-3</v>
      </c>
      <c r="B894"/>
      <c r="C894"/>
      <c r="D894"/>
      <c r="E894"/>
      <c r="AN894" s="27" t="s">
        <v>7</v>
      </c>
      <c r="AO894" s="27" t="s">
        <v>8</v>
      </c>
      <c r="AV894" s="27" t="s">
        <v>7</v>
      </c>
      <c r="BK894" s="27" t="s">
        <v>8</v>
      </c>
      <c r="BL894" s="27" t="s">
        <v>7</v>
      </c>
      <c r="BM894" s="27" t="s">
        <v>8</v>
      </c>
      <c r="BN894" s="27" t="s">
        <v>7</v>
      </c>
      <c r="BO894" s="27" t="s">
        <v>8</v>
      </c>
      <c r="BP894" s="27" t="s">
        <v>7</v>
      </c>
      <c r="BQ894" s="27" t="s">
        <v>8</v>
      </c>
      <c r="BZ894" s="27" t="s">
        <v>7</v>
      </c>
      <c r="CA894" s="27" t="s">
        <v>8</v>
      </c>
      <c r="GH894" s="27" t="s">
        <v>7</v>
      </c>
      <c r="GL894" s="27" t="s">
        <v>7</v>
      </c>
      <c r="GM894" s="27" t="s">
        <v>8</v>
      </c>
    </row>
    <row r="895" spans="1:201" x14ac:dyDescent="0.25">
      <c r="A895" s="7">
        <v>2.24464206455452E-3</v>
      </c>
      <c r="B895"/>
      <c r="C895"/>
      <c r="D895"/>
      <c r="E895"/>
      <c r="AN895" s="27" t="s">
        <v>7</v>
      </c>
      <c r="AV895" s="27" t="s">
        <v>7</v>
      </c>
      <c r="BK895" s="27" t="s">
        <v>8</v>
      </c>
      <c r="BL895" s="27" t="s">
        <v>7</v>
      </c>
      <c r="BM895" s="27" t="s">
        <v>8</v>
      </c>
      <c r="BN895" s="27" t="s">
        <v>7</v>
      </c>
      <c r="BO895" s="27" t="s">
        <v>8</v>
      </c>
      <c r="BP895" s="27" t="s">
        <v>7</v>
      </c>
      <c r="BQ895" s="27" t="s">
        <v>8</v>
      </c>
      <c r="BZ895" s="27" t="s">
        <v>7</v>
      </c>
      <c r="CA895" s="27" t="s">
        <v>8</v>
      </c>
      <c r="GL895" s="27" t="s">
        <v>7</v>
      </c>
    </row>
    <row r="896" spans="1:201" x14ac:dyDescent="0.25">
      <c r="A896" s="7">
        <v>2.200629475053451E-3</v>
      </c>
      <c r="B896"/>
      <c r="C896"/>
      <c r="D896"/>
      <c r="E896"/>
      <c r="AV896" s="27" t="s">
        <v>7</v>
      </c>
      <c r="BK896" s="27" t="s">
        <v>8</v>
      </c>
      <c r="BL896" s="27" t="s">
        <v>7</v>
      </c>
      <c r="BM896" s="27" t="s">
        <v>8</v>
      </c>
      <c r="BN896" s="27" t="s">
        <v>7</v>
      </c>
      <c r="BO896" s="27" t="s">
        <v>8</v>
      </c>
      <c r="BP896" s="27" t="s">
        <v>7</v>
      </c>
      <c r="BZ896" s="27" t="s">
        <v>7</v>
      </c>
      <c r="CA896" s="27" t="s">
        <v>8</v>
      </c>
    </row>
    <row r="897" spans="1:79" x14ac:dyDescent="0.25">
      <c r="A897" s="7">
        <v>2.1574798775033832E-3</v>
      </c>
      <c r="B897"/>
      <c r="C897"/>
      <c r="D897"/>
      <c r="E897"/>
      <c r="AV897" s="27" t="s">
        <v>7</v>
      </c>
      <c r="BI897" s="27" t="s">
        <v>8</v>
      </c>
      <c r="BK897" s="27" t="s">
        <v>8</v>
      </c>
      <c r="BL897" s="27" t="s">
        <v>7</v>
      </c>
      <c r="BM897" s="27" t="s">
        <v>8</v>
      </c>
      <c r="BN897" s="27" t="s">
        <v>7</v>
      </c>
      <c r="BO897" s="27" t="s">
        <v>8</v>
      </c>
      <c r="BZ897" s="27" t="s">
        <v>7</v>
      </c>
      <c r="CA897" s="27" t="s">
        <v>8</v>
      </c>
    </row>
    <row r="898" spans="1:79" x14ac:dyDescent="0.25">
      <c r="A898" s="7">
        <v>2.115176350493513E-3</v>
      </c>
      <c r="B898"/>
      <c r="C898"/>
      <c r="D898"/>
      <c r="E898"/>
      <c r="AV898" s="27" t="s">
        <v>7</v>
      </c>
      <c r="BA898" s="27" t="s">
        <v>8</v>
      </c>
      <c r="BI898" s="27" t="s">
        <v>8</v>
      </c>
      <c r="BJ898" s="27" t="s">
        <v>7</v>
      </c>
      <c r="BK898" s="27" t="s">
        <v>8</v>
      </c>
      <c r="BL898" s="27" t="s">
        <v>7</v>
      </c>
      <c r="BM898" s="27" t="s">
        <v>8</v>
      </c>
      <c r="BN898" s="27" t="s">
        <v>7</v>
      </c>
      <c r="BO898" s="27" t="s">
        <v>8</v>
      </c>
      <c r="BZ898" s="27" t="s">
        <v>7</v>
      </c>
      <c r="CA898" s="27" t="s">
        <v>8</v>
      </c>
    </row>
    <row r="899" spans="1:79" x14ac:dyDescent="0.25">
      <c r="A899" s="7">
        <v>2.0737023044054047E-3</v>
      </c>
      <c r="B899"/>
      <c r="C899"/>
      <c r="D899"/>
      <c r="E899"/>
      <c r="AV899" s="27" t="s">
        <v>7</v>
      </c>
      <c r="BA899" s="27" t="s">
        <v>8</v>
      </c>
      <c r="BB899" s="27" t="s">
        <v>7</v>
      </c>
      <c r="BI899" s="27" t="s">
        <v>8</v>
      </c>
      <c r="BJ899" s="27" t="s">
        <v>7</v>
      </c>
      <c r="BK899" s="27" t="s">
        <v>8</v>
      </c>
      <c r="BL899" s="27" t="s">
        <v>7</v>
      </c>
      <c r="BM899" s="27" t="s">
        <v>8</v>
      </c>
      <c r="BN899" s="27" t="s">
        <v>7</v>
      </c>
      <c r="BZ899" s="27" t="s">
        <v>7</v>
      </c>
    </row>
    <row r="900" spans="1:79" x14ac:dyDescent="0.25">
      <c r="A900" s="7">
        <v>2.0330414749072595E-3</v>
      </c>
      <c r="B900"/>
      <c r="C900"/>
      <c r="D900"/>
      <c r="E900"/>
      <c r="AV900" s="27" t="s">
        <v>7</v>
      </c>
      <c r="BA900" s="27" t="s">
        <v>8</v>
      </c>
      <c r="BB900" s="27" t="s">
        <v>7</v>
      </c>
      <c r="BE900" s="27" t="s">
        <v>8</v>
      </c>
      <c r="BI900" s="27" t="s">
        <v>8</v>
      </c>
      <c r="BJ900" s="27" t="s">
        <v>7</v>
      </c>
      <c r="BK900" s="27" t="s">
        <v>8</v>
      </c>
      <c r="BL900" s="27" t="s">
        <v>7</v>
      </c>
    </row>
    <row r="901" spans="1:79" x14ac:dyDescent="0.25">
      <c r="A901" s="7">
        <v>1.9931779165757446E-3</v>
      </c>
      <c r="B901"/>
      <c r="C901"/>
      <c r="D901"/>
      <c r="E901"/>
      <c r="AV901" s="27" t="s">
        <v>7</v>
      </c>
      <c r="BA901" s="27" t="s">
        <v>8</v>
      </c>
      <c r="BB901" s="27" t="s">
        <v>7</v>
      </c>
      <c r="BE901" s="27" t="s">
        <v>8</v>
      </c>
      <c r="BF901" s="27" t="s">
        <v>7</v>
      </c>
      <c r="BG901" s="27" t="s">
        <v>8</v>
      </c>
      <c r="BI901" s="27" t="s">
        <v>8</v>
      </c>
      <c r="BJ901" s="27" t="s">
        <v>7</v>
      </c>
      <c r="BK901" s="27" t="s">
        <v>8</v>
      </c>
    </row>
    <row r="902" spans="1:79" x14ac:dyDescent="0.25">
      <c r="A902" s="7">
        <v>1.954095996642887E-3</v>
      </c>
      <c r="B902"/>
      <c r="C902"/>
      <c r="D902"/>
      <c r="E902"/>
      <c r="AV902" s="27" t="s">
        <v>7</v>
      </c>
      <c r="AW902" s="27" t="s">
        <v>8</v>
      </c>
      <c r="BA902" s="27" t="s">
        <v>8</v>
      </c>
      <c r="BB902" s="27" t="s">
        <v>7</v>
      </c>
      <c r="BE902" s="27" t="s">
        <v>8</v>
      </c>
      <c r="BF902" s="27" t="s">
        <v>7</v>
      </c>
      <c r="BG902" s="27" t="s">
        <v>8</v>
      </c>
      <c r="BH902" s="27" t="s">
        <v>7</v>
      </c>
      <c r="BI902" s="27" t="s">
        <v>8</v>
      </c>
      <c r="BJ902" s="27" t="s">
        <v>7</v>
      </c>
    </row>
    <row r="903" spans="1:79" x14ac:dyDescent="0.25">
      <c r="A903" s="7">
        <v>1.9157803888655755E-3</v>
      </c>
      <c r="B903"/>
      <c r="C903"/>
      <c r="D903"/>
      <c r="E903"/>
      <c r="AV903" s="27" t="s">
        <v>7</v>
      </c>
      <c r="AW903" s="27" t="s">
        <v>8</v>
      </c>
      <c r="AX903" s="27" t="s">
        <v>7</v>
      </c>
      <c r="BA903" s="27" t="s">
        <v>8</v>
      </c>
      <c r="BB903" s="27" t="s">
        <v>7</v>
      </c>
      <c r="BE903" s="27" t="s">
        <v>8</v>
      </c>
      <c r="BF903" s="27" t="s">
        <v>7</v>
      </c>
      <c r="BG903" s="27" t="s">
        <v>8</v>
      </c>
      <c r="BH903" s="27" t="s">
        <v>7</v>
      </c>
      <c r="BI903" s="27" t="s">
        <v>8</v>
      </c>
    </row>
    <row r="904" spans="1:79" x14ac:dyDescent="0.25">
      <c r="A904" s="7">
        <v>1.8782160675152703E-3</v>
      </c>
      <c r="B904"/>
      <c r="C904"/>
      <c r="D904"/>
      <c r="E904"/>
      <c r="AV904" s="27" t="s">
        <v>7</v>
      </c>
      <c r="AW904" s="27" t="s">
        <v>8</v>
      </c>
      <c r="AX904" s="27" t="s">
        <v>7</v>
      </c>
      <c r="BA904" s="27" t="s">
        <v>8</v>
      </c>
      <c r="BB904" s="27" t="s">
        <v>7</v>
      </c>
      <c r="BC904" s="27" t="s">
        <v>8</v>
      </c>
      <c r="BE904" s="27" t="s">
        <v>8</v>
      </c>
      <c r="BF904" s="27" t="s">
        <v>7</v>
      </c>
      <c r="BG904" s="27" t="s">
        <v>8</v>
      </c>
      <c r="BH904" s="27" t="s">
        <v>7</v>
      </c>
      <c r="BI904" s="27" t="s">
        <v>8</v>
      </c>
    </row>
    <row r="905" spans="1:79" x14ac:dyDescent="0.25">
      <c r="A905" s="7">
        <v>1.8413883014855592E-3</v>
      </c>
      <c r="B905"/>
      <c r="C905"/>
      <c r="D905"/>
      <c r="E905"/>
      <c r="AV905" s="27" t="s">
        <v>7</v>
      </c>
      <c r="AW905" s="27" t="s">
        <v>8</v>
      </c>
      <c r="AX905" s="27" t="s">
        <v>7</v>
      </c>
      <c r="BA905" s="27" t="s">
        <v>8</v>
      </c>
      <c r="BB905" s="27" t="s">
        <v>7</v>
      </c>
      <c r="BC905" s="27" t="s">
        <v>8</v>
      </c>
      <c r="BD905" s="27" t="s">
        <v>7</v>
      </c>
      <c r="BE905" s="27" t="s">
        <v>8</v>
      </c>
      <c r="BF905" s="27" t="s">
        <v>7</v>
      </c>
      <c r="BG905" s="27" t="s">
        <v>8</v>
      </c>
      <c r="BH905" s="27" t="s">
        <v>7</v>
      </c>
    </row>
    <row r="906" spans="1:79" x14ac:dyDescent="0.25">
      <c r="A906" s="7">
        <v>1.8052826485152542E-3</v>
      </c>
      <c r="B906"/>
      <c r="C906"/>
      <c r="D906"/>
      <c r="E906"/>
      <c r="AV906" s="27" t="s">
        <v>7</v>
      </c>
      <c r="AW906" s="27" t="s">
        <v>8</v>
      </c>
      <c r="AX906" s="27" t="s">
        <v>7</v>
      </c>
      <c r="BA906" s="27" t="s">
        <v>8</v>
      </c>
      <c r="BB906" s="27" t="s">
        <v>7</v>
      </c>
      <c r="BC906" s="27" t="s">
        <v>8</v>
      </c>
      <c r="BD906" s="27" t="s">
        <v>7</v>
      </c>
      <c r="BE906" s="27" t="s">
        <v>8</v>
      </c>
      <c r="BF906" s="27" t="s">
        <v>7</v>
      </c>
      <c r="BG906" s="27" t="s">
        <v>8</v>
      </c>
    </row>
    <row r="907" spans="1:79" x14ac:dyDescent="0.25">
      <c r="A907" s="7">
        <v>1.7698849495247592E-3</v>
      </c>
      <c r="B907"/>
      <c r="C907"/>
      <c r="D907"/>
      <c r="E907"/>
      <c r="AV907" s="27" t="s">
        <v>7</v>
      </c>
      <c r="AW907" s="27" t="s">
        <v>8</v>
      </c>
      <c r="AX907" s="27" t="s">
        <v>7</v>
      </c>
      <c r="BA907" s="27" t="s">
        <v>8</v>
      </c>
      <c r="BB907" s="27" t="s">
        <v>7</v>
      </c>
      <c r="BC907" s="27" t="s">
        <v>8</v>
      </c>
      <c r="BD907" s="27" t="s">
        <v>7</v>
      </c>
      <c r="BF907" s="27" t="s">
        <v>7</v>
      </c>
      <c r="BG907" s="27" t="s">
        <v>8</v>
      </c>
    </row>
    <row r="908" spans="1:79" x14ac:dyDescent="0.25">
      <c r="A908" s="7">
        <v>1.7351813230634893E-3</v>
      </c>
      <c r="B908"/>
      <c r="C908"/>
      <c r="D908"/>
      <c r="E908"/>
      <c r="AV908" s="27" t="s">
        <v>7</v>
      </c>
      <c r="AW908" s="27" t="s">
        <v>8</v>
      </c>
      <c r="AX908" s="27" t="s">
        <v>7</v>
      </c>
      <c r="BA908" s="27" t="s">
        <v>8</v>
      </c>
      <c r="BB908" s="27" t="s">
        <v>7</v>
      </c>
      <c r="BC908" s="27" t="s">
        <v>8</v>
      </c>
      <c r="BF908" s="27" t="s">
        <v>7</v>
      </c>
      <c r="BG908" s="27" t="s">
        <v>8</v>
      </c>
    </row>
    <row r="909" spans="1:79" x14ac:dyDescent="0.25">
      <c r="A909" s="7">
        <v>1.701158159866166E-3</v>
      </c>
      <c r="B909"/>
      <c r="C909"/>
      <c r="D909"/>
      <c r="E909"/>
      <c r="AV909" s="27" t="s">
        <v>7</v>
      </c>
      <c r="AW909" s="27" t="s">
        <v>8</v>
      </c>
      <c r="AX909" s="27" t="s">
        <v>7</v>
      </c>
      <c r="BA909" s="27" t="s">
        <v>8</v>
      </c>
      <c r="BB909" s="27" t="s">
        <v>7</v>
      </c>
      <c r="BC909" s="27" t="s">
        <v>8</v>
      </c>
      <c r="BF909" s="27" t="s">
        <v>7</v>
      </c>
      <c r="BG909" s="27" t="s">
        <v>8</v>
      </c>
    </row>
    <row r="910" spans="1:79" x14ac:dyDescent="0.25">
      <c r="A910" s="7">
        <v>1.6678021175158492E-3</v>
      </c>
      <c r="B910"/>
      <c r="C910"/>
      <c r="D910"/>
      <c r="E910"/>
      <c r="AV910" s="27" t="s">
        <v>7</v>
      </c>
      <c r="AW910" s="27" t="s">
        <v>8</v>
      </c>
      <c r="AX910" s="27" t="s">
        <v>7</v>
      </c>
      <c r="AY910" s="27" t="s">
        <v>8</v>
      </c>
      <c r="BA910" s="27" t="s">
        <v>8</v>
      </c>
      <c r="BB910" s="27" t="s">
        <v>7</v>
      </c>
      <c r="BC910" s="27" t="s">
        <v>8</v>
      </c>
      <c r="BF910" s="27" t="s">
        <v>7</v>
      </c>
    </row>
    <row r="911" spans="1:79" x14ac:dyDescent="0.25">
      <c r="A911" s="7">
        <v>1.6351001152116167E-3</v>
      </c>
      <c r="B911"/>
      <c r="C911"/>
      <c r="D911"/>
      <c r="E911"/>
      <c r="AV911" s="27" t="s">
        <v>7</v>
      </c>
      <c r="AW911" s="27" t="s">
        <v>8</v>
      </c>
      <c r="AX911" s="27" t="s">
        <v>7</v>
      </c>
      <c r="AY911" s="27" t="s">
        <v>8</v>
      </c>
      <c r="AZ911" s="27" t="s">
        <v>7</v>
      </c>
      <c r="BA911" s="27" t="s">
        <v>8</v>
      </c>
      <c r="BB911" s="27" t="s">
        <v>7</v>
      </c>
    </row>
    <row r="912" spans="1:79" x14ac:dyDescent="0.25">
      <c r="A912" s="7">
        <v>1.60303932863884E-3</v>
      </c>
      <c r="B912"/>
      <c r="C912"/>
      <c r="D912"/>
      <c r="E912"/>
      <c r="AV912" s="27" t="s">
        <v>7</v>
      </c>
      <c r="AW912" s="27" t="s">
        <v>8</v>
      </c>
      <c r="AX912" s="27" t="s">
        <v>7</v>
      </c>
      <c r="AY912" s="27" t="s">
        <v>8</v>
      </c>
      <c r="AZ912" s="27" t="s">
        <v>7</v>
      </c>
      <c r="BA912" s="27" t="s">
        <v>8</v>
      </c>
    </row>
    <row r="913" spans="1:53" x14ac:dyDescent="0.25">
      <c r="A913" s="7">
        <v>1.5716071849400392E-3</v>
      </c>
      <c r="B913"/>
      <c r="C913"/>
      <c r="D913"/>
      <c r="E913"/>
      <c r="AV913" s="27" t="s">
        <v>7</v>
      </c>
      <c r="AW913" s="27" t="s">
        <v>8</v>
      </c>
      <c r="AX913" s="27" t="s">
        <v>7</v>
      </c>
      <c r="AY913" s="27" t="s">
        <v>8</v>
      </c>
      <c r="AZ913" s="27" t="s">
        <v>7</v>
      </c>
      <c r="BA913" s="27" t="s">
        <v>8</v>
      </c>
    </row>
    <row r="914" spans="1:53" x14ac:dyDescent="0.25">
      <c r="A914" s="7">
        <v>1.5407913577843522E-3</v>
      </c>
      <c r="B914"/>
      <c r="C914"/>
      <c r="D914"/>
      <c r="E914"/>
      <c r="AV914" s="27" t="s">
        <v>7</v>
      </c>
      <c r="AW914" s="27" t="s">
        <v>8</v>
      </c>
      <c r="AX914" s="27" t="s">
        <v>7</v>
      </c>
      <c r="AY914" s="27" t="s">
        <v>8</v>
      </c>
      <c r="AZ914" s="27" t="s">
        <v>7</v>
      </c>
      <c r="BA914" s="27" t="s">
        <v>8</v>
      </c>
    </row>
    <row r="915" spans="1:53" x14ac:dyDescent="0.25">
      <c r="A915" s="7">
        <v>1.5105797625336785E-3</v>
      </c>
      <c r="B915"/>
      <c r="C915"/>
      <c r="D915"/>
      <c r="E915"/>
      <c r="AV915" s="27" t="s">
        <v>7</v>
      </c>
      <c r="AW915" s="27" t="s">
        <v>8</v>
      </c>
      <c r="AX915" s="27" t="s">
        <v>7</v>
      </c>
      <c r="AY915" s="27" t="s">
        <v>8</v>
      </c>
      <c r="AZ915" s="27" t="s">
        <v>7</v>
      </c>
      <c r="BA915" s="27" t="s">
        <v>8</v>
      </c>
    </row>
    <row r="916" spans="1:53" x14ac:dyDescent="0.25">
      <c r="A916" s="7">
        <v>1.4809605515036064E-3</v>
      </c>
      <c r="B916"/>
      <c r="C916"/>
      <c r="D916"/>
      <c r="E916"/>
      <c r="AV916" s="27" t="s">
        <v>7</v>
      </c>
      <c r="AW916" s="27" t="s">
        <v>8</v>
      </c>
      <c r="AX916" s="27" t="s">
        <v>7</v>
      </c>
      <c r="AY916" s="27" t="s">
        <v>8</v>
      </c>
      <c r="AZ916" s="27" t="s">
        <v>7</v>
      </c>
      <c r="BA916" s="27" t="s">
        <v>8</v>
      </c>
    </row>
    <row r="917" spans="1:53" x14ac:dyDescent="0.25">
      <c r="A917" s="7">
        <v>1.4519221093172612E-3</v>
      </c>
      <c r="B917"/>
      <c r="C917"/>
      <c r="D917"/>
      <c r="E917"/>
      <c r="AV917" s="27" t="s">
        <v>7</v>
      </c>
      <c r="AW917" s="27" t="s">
        <v>8</v>
      </c>
      <c r="AX917" s="27" t="s">
        <v>7</v>
      </c>
      <c r="AY917" s="27" t="s">
        <v>8</v>
      </c>
      <c r="AZ917" s="27" t="s">
        <v>7</v>
      </c>
      <c r="BA917" s="27" t="s">
        <v>8</v>
      </c>
    </row>
    <row r="918" spans="1:53" x14ac:dyDescent="0.25">
      <c r="A918" s="7">
        <v>1.423453048350256E-3</v>
      </c>
      <c r="B918"/>
      <c r="C918"/>
      <c r="D918"/>
      <c r="E918"/>
      <c r="AV918" s="27" t="s">
        <v>7</v>
      </c>
      <c r="AW918" s="27" t="s">
        <v>8</v>
      </c>
      <c r="AX918" s="27" t="s">
        <v>7</v>
      </c>
      <c r="AY918" s="27" t="s">
        <v>8</v>
      </c>
      <c r="AZ918" s="27" t="s">
        <v>7</v>
      </c>
      <c r="BA918" s="27" t="s">
        <v>8</v>
      </c>
    </row>
    <row r="919" spans="1:53" x14ac:dyDescent="0.25">
      <c r="A919" s="7">
        <v>1.3955422042649568E-3</v>
      </c>
      <c r="B919"/>
      <c r="C919"/>
      <c r="D919"/>
      <c r="E919"/>
      <c r="AV919" s="27" t="s">
        <v>7</v>
      </c>
      <c r="AW919" s="27" t="s">
        <v>8</v>
      </c>
      <c r="AX919" s="27" t="s">
        <v>7</v>
      </c>
      <c r="AY919" s="27" t="s">
        <v>8</v>
      </c>
      <c r="AZ919" s="27" t="s">
        <v>7</v>
      </c>
      <c r="BA919" s="27" t="s">
        <v>8</v>
      </c>
    </row>
    <row r="920" spans="1:53" x14ac:dyDescent="0.25">
      <c r="A920" s="7">
        <v>1.3681786316323105E-3</v>
      </c>
      <c r="B920"/>
      <c r="C920"/>
      <c r="D920"/>
      <c r="E920"/>
      <c r="AV920" s="27" t="s">
        <v>7</v>
      </c>
      <c r="AW920" s="27" t="s">
        <v>8</v>
      </c>
      <c r="AX920" s="27" t="s">
        <v>7</v>
      </c>
      <c r="AY920" s="27" t="s">
        <v>8</v>
      </c>
      <c r="AZ920" s="27" t="s">
        <v>7</v>
      </c>
    </row>
    <row r="921" spans="1:53" x14ac:dyDescent="0.25">
      <c r="A921" s="7">
        <v>1.3413515996395203E-3</v>
      </c>
      <c r="B921"/>
      <c r="C921"/>
      <c r="D921"/>
      <c r="E921"/>
      <c r="AV921" s="27" t="s">
        <v>7</v>
      </c>
      <c r="AW921" s="27" t="s">
        <v>8</v>
      </c>
      <c r="AX921" s="27" t="s">
        <v>7</v>
      </c>
      <c r="AY921" s="27" t="s">
        <v>8</v>
      </c>
    </row>
    <row r="922" spans="1:53" x14ac:dyDescent="0.25">
      <c r="A922" s="7">
        <v>1.3150505878818826E-3</v>
      </c>
      <c r="B922"/>
      <c r="C922"/>
      <c r="D922"/>
      <c r="E922"/>
      <c r="AV922" s="27" t="s">
        <v>7</v>
      </c>
      <c r="AX922" s="27" t="s">
        <v>7</v>
      </c>
      <c r="AY922" s="27" t="s">
        <v>8</v>
      </c>
    </row>
    <row r="923" spans="1:53" x14ac:dyDescent="0.25">
      <c r="A923" s="7">
        <v>1.2892652822371396E-3</v>
      </c>
      <c r="B923"/>
      <c r="C923"/>
      <c r="D923"/>
      <c r="E923"/>
      <c r="AX923" s="27" t="s">
        <v>7</v>
      </c>
    </row>
    <row r="924" spans="1:53" x14ac:dyDescent="0.25">
      <c r="A924" s="7">
        <v>1.2639855708207251E-3</v>
      </c>
      <c r="B924"/>
      <c r="C924"/>
      <c r="D924"/>
      <c r="E924"/>
    </row>
    <row r="925" spans="1:53" x14ac:dyDescent="0.25">
      <c r="A925" s="7">
        <v>1.2392015400203187E-3</v>
      </c>
      <c r="B925"/>
      <c r="C925"/>
      <c r="D925"/>
      <c r="E925"/>
    </row>
    <row r="926" spans="1:53" x14ac:dyDescent="0.25">
      <c r="A926" s="7">
        <v>1.2149034706081556E-3</v>
      </c>
      <c r="B926"/>
      <c r="C926"/>
      <c r="D926"/>
      <c r="E926"/>
    </row>
    <row r="927" spans="1:53" x14ac:dyDescent="0.25">
      <c r="A927" s="7">
        <v>1.1910818339295644E-3</v>
      </c>
      <c r="B927"/>
      <c r="C927"/>
      <c r="D927"/>
      <c r="E927"/>
    </row>
    <row r="928" spans="1:53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190" operator="equal">
      <formula>$U$1</formula>
    </cfRule>
    <cfRule type="cellIs" dxfId="89" priority="1191" operator="equal">
      <formula>$S$1</formula>
    </cfRule>
  </conditionalFormatting>
  <conditionalFormatting sqref="D27">
    <cfRule type="cellIs" dxfId="88" priority="1188" operator="equal">
      <formula>$S$1</formula>
    </cfRule>
    <cfRule type="cellIs" dxfId="87" priority="1189" operator="equal">
      <formula>$U$1</formula>
    </cfRule>
  </conditionalFormatting>
  <conditionalFormatting sqref="C164">
    <cfRule type="cellIs" dxfId="86" priority="1186" operator="equal">
      <formula>$U$1</formula>
    </cfRule>
    <cfRule type="cellIs" dxfId="85" priority="1187" operator="equal">
      <formula>$S$1</formula>
    </cfRule>
  </conditionalFormatting>
  <conditionalFormatting sqref="D164">
    <cfRule type="cellIs" dxfId="84" priority="1184" operator="equal">
      <formula>$S$1</formula>
    </cfRule>
    <cfRule type="cellIs" dxfId="83" priority="1185" operator="equal">
      <formula>$U$1</formula>
    </cfRule>
  </conditionalFormatting>
  <conditionalFormatting sqref="C55">
    <cfRule type="cellIs" dxfId="82" priority="1182" operator="equal">
      <formula>$U$1</formula>
    </cfRule>
    <cfRule type="cellIs" dxfId="81" priority="1183" operator="equal">
      <formula>$S$1</formula>
    </cfRule>
  </conditionalFormatting>
  <conditionalFormatting sqref="D55">
    <cfRule type="cellIs" dxfId="80" priority="1180" operator="equal">
      <formula>$S$1</formula>
    </cfRule>
    <cfRule type="cellIs" dxfId="79" priority="1181" operator="equal">
      <formula>$U$1</formula>
    </cfRule>
  </conditionalFormatting>
  <conditionalFormatting sqref="C89">
    <cfRule type="cellIs" dxfId="78" priority="1178" operator="equal">
      <formula>$U$1</formula>
    </cfRule>
    <cfRule type="cellIs" dxfId="77" priority="1179" operator="equal">
      <formula>$S$1</formula>
    </cfRule>
  </conditionalFormatting>
  <conditionalFormatting sqref="D89">
    <cfRule type="cellIs" dxfId="76" priority="1176" operator="equal">
      <formula>$S$1</formula>
    </cfRule>
    <cfRule type="cellIs" dxfId="75" priority="1177" operator="equal">
      <formula>$U$1</formula>
    </cfRule>
  </conditionalFormatting>
  <conditionalFormatting sqref="C136">
    <cfRule type="cellIs" dxfId="74" priority="1174" operator="equal">
      <formula>$U$1</formula>
    </cfRule>
    <cfRule type="cellIs" dxfId="73" priority="1175" operator="equal">
      <formula>$S$1</formula>
    </cfRule>
  </conditionalFormatting>
  <conditionalFormatting sqref="D136">
    <cfRule type="cellIs" dxfId="72" priority="1172" operator="equal">
      <formula>$S$1</formula>
    </cfRule>
    <cfRule type="cellIs" dxfId="71" priority="1173" operator="equal">
      <formula>$U$1</formula>
    </cfRule>
  </conditionalFormatting>
  <conditionalFormatting sqref="C1">
    <cfRule type="cellIs" dxfId="70" priority="117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16" zoomScale="90" zoomScaleNormal="90" workbookViewId="0">
      <pane xSplit="4" topLeftCell="CS1" activePane="topRight" state="frozen"/>
      <selection activeCell="A109" sqref="A109"/>
      <selection pane="topRight" activeCell="GK344" sqref="GK344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$A$343</v>
      </c>
      <c r="D111" s="1" t="str">
        <f>ADDRESS(C121-1,D121,1,1)</f>
        <v>$GK$343</v>
      </c>
      <c r="E111"/>
    </row>
    <row r="112" spans="1:5" x14ac:dyDescent="0.25">
      <c r="A112" s="30">
        <v>515.50191262726139</v>
      </c>
      <c r="C112" s="1" t="str">
        <f>ADDRESS(C121,1,1,1)</f>
        <v>$A$344</v>
      </c>
      <c r="D112" s="1" t="str">
        <f>ADDRESS(C121,D121-1,1,1)</f>
        <v>$GJ$344</v>
      </c>
      <c r="E112"/>
    </row>
    <row r="113" spans="1:5" x14ac:dyDescent="0.25">
      <c r="A113" s="30">
        <v>490.95420250215363</v>
      </c>
      <c r="C113" s="1" t="str">
        <f>ADDRESS(C121+1,1,1,1)</f>
        <v>$A$345</v>
      </c>
      <c r="D113" s="1" t="str">
        <f>ADDRESS(C121-1,D121+1,1,1)</f>
        <v>$GL$343</v>
      </c>
    </row>
    <row r="114" spans="1:5" x14ac:dyDescent="0.25">
      <c r="A114" s="30">
        <v>467.57543095443202</v>
      </c>
      <c r="C114" s="1" t="str">
        <f>ADDRESS(C121,D121,1,1)</f>
        <v>$GK$344</v>
      </c>
      <c r="D114" s="1" t="str">
        <f>ADDRESS(C121+1,D121+1,1,1)</f>
        <v>$GL$345</v>
      </c>
    </row>
    <row r="115" spans="1:5" x14ac:dyDescent="0.25">
      <c r="A115" s="30">
        <v>445.30993424231622</v>
      </c>
      <c r="C115" s="1" t="str">
        <f>ADDRESS(C121+1,D121,1,1)</f>
        <v>$GK$345</v>
      </c>
    </row>
    <row r="116" spans="1:5" x14ac:dyDescent="0.25">
      <c r="A116" s="30">
        <v>424.10469927839637</v>
      </c>
      <c r="C116" s="1">
        <f>C117-1</f>
        <v>343</v>
      </c>
    </row>
    <row r="117" spans="1:5" x14ac:dyDescent="0.25">
      <c r="A117" s="30">
        <v>403.9092374079965</v>
      </c>
      <c r="C117" s="1">
        <f>C121</f>
        <v>344</v>
      </c>
      <c r="D117" s="1">
        <f>D121</f>
        <v>193</v>
      </c>
    </row>
    <row r="118" spans="1:5" x14ac:dyDescent="0.25">
      <c r="A118" s="30">
        <v>384.6754641980919</v>
      </c>
      <c r="C118" s="1">
        <f>C117+1</f>
        <v>345</v>
      </c>
      <c r="D118" s="1">
        <f>D117+1</f>
        <v>194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344</v>
      </c>
      <c r="D121" s="19">
        <v>193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R344</v>
      </c>
      <c r="D123" s="1" t="str">
        <f>"C"&amp;D121</f>
        <v>C193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6.2562327407803897E-3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6" x14ac:dyDescent="0.25">
      <c r="A257" s="30">
        <v>0.43629668761085438</v>
      </c>
      <c r="B257"/>
      <c r="C257"/>
      <c r="D257"/>
      <c r="E257"/>
      <c r="F257" s="27" t="s">
        <v>7</v>
      </c>
    </row>
    <row r="258" spans="1:6" x14ac:dyDescent="0.25">
      <c r="A258" s="30">
        <v>0.41552065486748019</v>
      </c>
      <c r="B258"/>
      <c r="C258"/>
      <c r="D258"/>
      <c r="E258"/>
      <c r="F258" s="27" t="s">
        <v>7</v>
      </c>
    </row>
    <row r="259" spans="1:6" x14ac:dyDescent="0.25">
      <c r="A259" s="30">
        <v>0.39573395701664765</v>
      </c>
      <c r="B259"/>
      <c r="C259"/>
      <c r="D259"/>
      <c r="E259"/>
      <c r="F259" s="27" t="s">
        <v>7</v>
      </c>
    </row>
    <row r="260" spans="1:6" x14ac:dyDescent="0.25">
      <c r="A260" s="30">
        <v>0.37688948287299762</v>
      </c>
      <c r="B260"/>
      <c r="C260"/>
      <c r="D260"/>
      <c r="E260"/>
      <c r="F260" s="27" t="s">
        <v>7</v>
      </c>
    </row>
    <row r="261" spans="1:6" x14ac:dyDescent="0.25">
      <c r="A261" s="30">
        <v>0.35894236464094997</v>
      </c>
      <c r="B261"/>
      <c r="C261"/>
      <c r="D261"/>
      <c r="E261"/>
      <c r="F261" s="27" t="s">
        <v>7</v>
      </c>
    </row>
    <row r="262" spans="1:6" x14ac:dyDescent="0.25">
      <c r="A262" s="30">
        <v>0.34184987108661891</v>
      </c>
      <c r="B262"/>
      <c r="C262"/>
      <c r="D262"/>
      <c r="E262"/>
      <c r="F262" s="27" t="s">
        <v>7</v>
      </c>
    </row>
    <row r="263" spans="1:6" x14ac:dyDescent="0.25">
      <c r="A263" s="30">
        <v>0.32557130579677979</v>
      </c>
      <c r="B263"/>
      <c r="C263"/>
      <c r="D263"/>
      <c r="E263"/>
      <c r="F263" s="27" t="s">
        <v>7</v>
      </c>
    </row>
    <row r="264" spans="1:6" x14ac:dyDescent="0.25">
      <c r="A264" s="30">
        <v>0.3100679102826473</v>
      </c>
      <c r="B264"/>
      <c r="C264"/>
      <c r="D264"/>
      <c r="E264"/>
      <c r="F264" s="27" t="s">
        <v>7</v>
      </c>
    </row>
    <row r="265" spans="1:6" x14ac:dyDescent="0.25">
      <c r="A265" s="30">
        <v>0.2953027716977592</v>
      </c>
      <c r="B265"/>
      <c r="C265"/>
      <c r="D265"/>
      <c r="E265"/>
      <c r="F265" s="27" t="s">
        <v>7</v>
      </c>
    </row>
    <row r="266" spans="1:6" x14ac:dyDescent="0.25">
      <c r="A266" s="30">
        <v>0.28124073495024676</v>
      </c>
      <c r="B266"/>
      <c r="C266"/>
      <c r="D266"/>
      <c r="E266"/>
      <c r="F266" s="27" t="s">
        <v>7</v>
      </c>
    </row>
    <row r="267" spans="1:6" x14ac:dyDescent="0.25">
      <c r="A267" s="30">
        <v>0.26784831900023492</v>
      </c>
      <c r="B267"/>
      <c r="C267"/>
      <c r="D267"/>
      <c r="E267"/>
      <c r="F267" s="27" t="s">
        <v>7</v>
      </c>
    </row>
    <row r="268" spans="1:6" x14ac:dyDescent="0.25">
      <c r="A268" s="30">
        <v>0.25509363714308075</v>
      </c>
      <c r="B268"/>
      <c r="C268"/>
      <c r="D268"/>
      <c r="E268"/>
      <c r="F268" s="27" t="s">
        <v>7</v>
      </c>
    </row>
    <row r="269" spans="1:6" x14ac:dyDescent="0.25">
      <c r="A269" s="30">
        <v>0.24294632108864825</v>
      </c>
      <c r="B269"/>
      <c r="C269"/>
      <c r="D269"/>
      <c r="E269"/>
      <c r="F269" s="27" t="s">
        <v>7</v>
      </c>
    </row>
    <row r="270" spans="1:6" x14ac:dyDescent="0.25">
      <c r="A270" s="30">
        <v>0.23137744865585538</v>
      </c>
      <c r="B270"/>
      <c r="C270"/>
      <c r="D270"/>
      <c r="E270"/>
      <c r="F270" s="27" t="s">
        <v>7</v>
      </c>
    </row>
    <row r="271" spans="1:6" x14ac:dyDescent="0.25">
      <c r="A271" s="30">
        <v>0.22035947491033836</v>
      </c>
      <c r="B271"/>
      <c r="C271"/>
      <c r="D271"/>
      <c r="E271"/>
      <c r="F271" s="27" t="s">
        <v>7</v>
      </c>
    </row>
    <row r="272" spans="1:6" x14ac:dyDescent="0.25">
      <c r="A272" s="30">
        <v>0.20986616658127455</v>
      </c>
      <c r="B272"/>
      <c r="C272"/>
      <c r="D272"/>
      <c r="E272"/>
      <c r="F272" s="27" t="s">
        <v>7</v>
      </c>
    </row>
    <row r="273" spans="1:6" x14ac:dyDescent="0.25">
      <c r="A273" s="30">
        <v>0.19987253960121379</v>
      </c>
      <c r="B273"/>
      <c r="C273"/>
      <c r="D273"/>
      <c r="E273"/>
      <c r="F273" s="27" t="s">
        <v>7</v>
      </c>
    </row>
    <row r="274" spans="1:6" x14ac:dyDescent="0.25">
      <c r="A274" s="30">
        <v>0.19035479962020352</v>
      </c>
      <c r="B274"/>
      <c r="C274"/>
      <c r="D274"/>
      <c r="E274"/>
      <c r="F274" s="27" t="s">
        <v>7</v>
      </c>
    </row>
    <row r="275" spans="1:6" x14ac:dyDescent="0.25">
      <c r="A275" s="30">
        <v>0.18129028535257471</v>
      </c>
      <c r="B275"/>
      <c r="C275"/>
      <c r="D275"/>
      <c r="E275"/>
      <c r="F275" s="27" t="s">
        <v>7</v>
      </c>
    </row>
    <row r="276" spans="1:6" x14ac:dyDescent="0.25">
      <c r="A276" s="30">
        <v>0.17265741462149967</v>
      </c>
      <c r="B276"/>
      <c r="C276"/>
      <c r="D276"/>
      <c r="E276"/>
      <c r="F276" s="27" t="s">
        <v>7</v>
      </c>
    </row>
    <row r="277" spans="1:6" x14ac:dyDescent="0.25">
      <c r="A277" s="30">
        <v>0.16443563297285677</v>
      </c>
      <c r="B277"/>
      <c r="C277"/>
      <c r="D277"/>
      <c r="E277"/>
      <c r="F277" s="27" t="s">
        <v>7</v>
      </c>
    </row>
    <row r="278" spans="1:6" x14ac:dyDescent="0.25">
      <c r="A278" s="30">
        <v>0.15660536473605399</v>
      </c>
      <c r="B278"/>
      <c r="C278"/>
      <c r="D278"/>
      <c r="E278"/>
      <c r="F278" s="27" t="s">
        <v>7</v>
      </c>
    </row>
    <row r="279" spans="1:6" x14ac:dyDescent="0.25">
      <c r="A279" s="30">
        <v>0.14914796641528946</v>
      </c>
      <c r="B279"/>
      <c r="C279"/>
      <c r="D279"/>
      <c r="E279"/>
      <c r="F279" s="27" t="s">
        <v>7</v>
      </c>
    </row>
    <row r="280" spans="1:6" x14ac:dyDescent="0.25">
      <c r="A280" s="30">
        <v>0.14204568230027562</v>
      </c>
      <c r="B280"/>
      <c r="C280"/>
      <c r="D280"/>
      <c r="E280"/>
      <c r="F280" s="27" t="s">
        <v>7</v>
      </c>
    </row>
    <row r="281" spans="1:6" x14ac:dyDescent="0.25">
      <c r="A281" s="30">
        <v>0.13528160219073862</v>
      </c>
      <c r="B281"/>
      <c r="C281"/>
      <c r="D281"/>
      <c r="E281"/>
      <c r="F281" s="27" t="s">
        <v>7</v>
      </c>
    </row>
    <row r="282" spans="1:6" x14ac:dyDescent="0.25">
      <c r="A282" s="30">
        <v>0.12883962113403674</v>
      </c>
      <c r="B282"/>
      <c r="C282"/>
      <c r="D282"/>
      <c r="E282"/>
      <c r="F282" s="27" t="s">
        <v>7</v>
      </c>
    </row>
    <row r="283" spans="1:6" x14ac:dyDescent="0.25">
      <c r="A283" s="30">
        <v>0.12270440108003494</v>
      </c>
      <c r="B283"/>
      <c r="C283"/>
      <c r="D283"/>
      <c r="E283"/>
      <c r="F283" s="27" t="s">
        <v>7</v>
      </c>
    </row>
    <row r="284" spans="1:6" x14ac:dyDescent="0.25">
      <c r="A284" s="30">
        <v>0.11686133436193799</v>
      </c>
      <c r="B284"/>
      <c r="C284"/>
      <c r="D284"/>
      <c r="E284"/>
      <c r="F284" s="27" t="s">
        <v>7</v>
      </c>
    </row>
    <row r="285" spans="1:6" x14ac:dyDescent="0.25">
      <c r="A285" s="30">
        <v>0.11129650891613138</v>
      </c>
      <c r="B285"/>
      <c r="C285"/>
      <c r="D285"/>
      <c r="E285"/>
      <c r="F285" s="27" t="s">
        <v>7</v>
      </c>
    </row>
    <row r="286" spans="1:6" x14ac:dyDescent="0.25">
      <c r="A286" s="30">
        <v>0.10599667515822032</v>
      </c>
      <c r="B286"/>
      <c r="C286"/>
      <c r="D286"/>
      <c r="E286"/>
      <c r="F286" s="27" t="s">
        <v>7</v>
      </c>
    </row>
    <row r="287" spans="1:6" x14ac:dyDescent="0.25">
      <c r="A287" s="30">
        <v>0.10094921443640027</v>
      </c>
      <c r="B287"/>
      <c r="C287"/>
      <c r="D287"/>
      <c r="E287"/>
      <c r="F287" s="27" t="s">
        <v>7</v>
      </c>
    </row>
    <row r="288" spans="1:6" x14ac:dyDescent="0.25">
      <c r="A288" s="30">
        <v>9.6142108987047836E-2</v>
      </c>
      <c r="B288"/>
      <c r="C288"/>
      <c r="D288"/>
      <c r="E288"/>
      <c r="F288" s="27" t="s">
        <v>7</v>
      </c>
    </row>
    <row r="289" spans="1:6" x14ac:dyDescent="0.25">
      <c r="A289" s="30">
        <v>9.1563913320997906E-2</v>
      </c>
      <c r="B289"/>
      <c r="C289"/>
      <c r="D289"/>
      <c r="E289"/>
      <c r="F289" s="27" t="s">
        <v>7</v>
      </c>
    </row>
    <row r="290" spans="1:6" x14ac:dyDescent="0.25">
      <c r="A290" s="30">
        <v>8.7203726972378923E-2</v>
      </c>
      <c r="B290"/>
      <c r="C290"/>
      <c r="D290"/>
      <c r="E290"/>
      <c r="F290" s="27" t="s">
        <v>7</v>
      </c>
    </row>
    <row r="291" spans="1:6" x14ac:dyDescent="0.25">
      <c r="A291" s="30">
        <v>8.3051168545122747E-2</v>
      </c>
      <c r="B291"/>
      <c r="C291"/>
      <c r="D291"/>
      <c r="E291"/>
      <c r="F291" s="27" t="s">
        <v>7</v>
      </c>
    </row>
    <row r="292" spans="1:6" x14ac:dyDescent="0.25">
      <c r="A292" s="30">
        <v>7.9096350995354961E-2</v>
      </c>
      <c r="B292"/>
      <c r="C292"/>
      <c r="D292"/>
      <c r="E292"/>
      <c r="F292" s="27" t="s">
        <v>7</v>
      </c>
    </row>
    <row r="293" spans="1:6" x14ac:dyDescent="0.25">
      <c r="A293" s="30">
        <v>7.5329858090814217E-2</v>
      </c>
      <c r="B293"/>
      <c r="C293"/>
      <c r="D293"/>
      <c r="E293"/>
      <c r="F293" s="27" t="s">
        <v>7</v>
      </c>
    </row>
    <row r="294" spans="1:6" x14ac:dyDescent="0.25">
      <c r="A294" s="30">
        <v>7.1742721991251604E-2</v>
      </c>
      <c r="B294"/>
      <c r="C294"/>
      <c r="D294"/>
      <c r="E294"/>
      <c r="F294" s="27" t="s">
        <v>7</v>
      </c>
    </row>
    <row r="295" spans="1:6" x14ac:dyDescent="0.25">
      <c r="A295" s="30">
        <v>6.8326401896430078E-2</v>
      </c>
      <c r="B295"/>
      <c r="C295"/>
      <c r="D295"/>
      <c r="E295"/>
      <c r="F295" s="27" t="s">
        <v>7</v>
      </c>
    </row>
    <row r="296" spans="1:6" x14ac:dyDescent="0.25">
      <c r="A296" s="30">
        <v>6.5072763710885759E-2</v>
      </c>
      <c r="B296"/>
      <c r="C296"/>
      <c r="D296"/>
      <c r="E296"/>
      <c r="F296" s="27" t="s">
        <v>7</v>
      </c>
    </row>
    <row r="297" spans="1:6" x14ac:dyDescent="0.25">
      <c r="A297" s="30">
        <v>6.197406067703403E-2</v>
      </c>
      <c r="B297"/>
      <c r="C297"/>
      <c r="D297"/>
      <c r="E297"/>
      <c r="F297" s="27" t="s">
        <v>7</v>
      </c>
    </row>
    <row r="298" spans="1:6" x14ac:dyDescent="0.25">
      <c r="A298" s="30">
        <v>5.9022914930508576E-2</v>
      </c>
      <c r="B298"/>
      <c r="C298"/>
      <c r="D298"/>
      <c r="E298"/>
      <c r="F298" s="27" t="s">
        <v>7</v>
      </c>
    </row>
    <row r="299" spans="1:6" x14ac:dyDescent="0.25">
      <c r="A299" s="30">
        <v>5.6212299933817669E-2</v>
      </c>
      <c r="B299"/>
      <c r="C299"/>
      <c r="D299"/>
      <c r="E299"/>
      <c r="F299" s="27" t="s">
        <v>7</v>
      </c>
    </row>
    <row r="300" spans="1:6" x14ac:dyDescent="0.25">
      <c r="A300" s="30">
        <v>5.3535523746492994E-2</v>
      </c>
      <c r="B300"/>
      <c r="C300"/>
      <c r="D300"/>
      <c r="E300"/>
      <c r="F300" s="27" t="s">
        <v>7</v>
      </c>
    </row>
    <row r="301" spans="1:6" x14ac:dyDescent="0.25">
      <c r="A301" s="30">
        <v>5.0986213091898068E-2</v>
      </c>
      <c r="B301"/>
      <c r="C301"/>
      <c r="D301"/>
      <c r="E301"/>
      <c r="F301" s="27" t="s">
        <v>7</v>
      </c>
    </row>
    <row r="302" spans="1:6" x14ac:dyDescent="0.25">
      <c r="A302" s="30">
        <v>4.8558298182760043E-2</v>
      </c>
      <c r="B302"/>
      <c r="C302"/>
      <c r="D302"/>
      <c r="E302"/>
      <c r="F302" s="27" t="s">
        <v>7</v>
      </c>
    </row>
    <row r="303" spans="1:6" x14ac:dyDescent="0.25">
      <c r="A303" s="30">
        <v>4.6245998269295263E-2</v>
      </c>
      <c r="B303"/>
      <c r="C303"/>
      <c r="D303"/>
      <c r="E303"/>
      <c r="F303" s="27" t="s">
        <v>7</v>
      </c>
    </row>
    <row r="304" spans="1:6" x14ac:dyDescent="0.25">
      <c r="A304" s="30">
        <v>4.4043807875519279E-2</v>
      </c>
      <c r="B304"/>
      <c r="C304"/>
      <c r="D304"/>
      <c r="E304"/>
      <c r="F304" s="27" t="s">
        <v>7</v>
      </c>
    </row>
    <row r="305" spans="1:168" x14ac:dyDescent="0.25">
      <c r="A305" s="30">
        <v>4.1946483690970725E-2</v>
      </c>
      <c r="B305"/>
      <c r="C305"/>
      <c r="D305"/>
      <c r="E305"/>
      <c r="F305" s="27" t="s">
        <v>7</v>
      </c>
    </row>
    <row r="306" spans="1:168" x14ac:dyDescent="0.25">
      <c r="A306" s="30">
        <v>3.9949032086638768E-2</v>
      </c>
      <c r="B306"/>
      <c r="C306"/>
      <c r="D306"/>
      <c r="E306"/>
      <c r="F306" s="27" t="s">
        <v>7</v>
      </c>
      <c r="FA306" s="27" t="s">
        <v>8</v>
      </c>
    </row>
    <row r="307" spans="1:168" x14ac:dyDescent="0.25">
      <c r="A307" s="30">
        <v>3.8046697225370241E-2</v>
      </c>
      <c r="B307"/>
      <c r="C307"/>
      <c r="D307"/>
      <c r="E307"/>
      <c r="F307" s="27" t="s">
        <v>7</v>
      </c>
      <c r="FA307" s="27" t="s">
        <v>8</v>
      </c>
      <c r="FB307" s="27" t="s">
        <v>7</v>
      </c>
    </row>
    <row r="308" spans="1:168" x14ac:dyDescent="0.25">
      <c r="A308" s="30">
        <v>3.6234949738447833E-2</v>
      </c>
      <c r="B308"/>
      <c r="C308"/>
      <c r="D308"/>
      <c r="E308"/>
      <c r="F308" s="27" t="s">
        <v>7</v>
      </c>
      <c r="DI308" s="31" t="s">
        <v>8</v>
      </c>
      <c r="FA308" s="27" t="s">
        <v>8</v>
      </c>
      <c r="FB308" s="27" t="s">
        <v>7</v>
      </c>
    </row>
    <row r="309" spans="1:168" x14ac:dyDescent="0.25">
      <c r="A309" s="30">
        <v>3.4509475941378875E-2</v>
      </c>
      <c r="B309"/>
      <c r="C309"/>
      <c r="D309"/>
      <c r="E309"/>
      <c r="F309" s="27" t="s">
        <v>7</v>
      </c>
      <c r="DI309" s="27" t="s">
        <v>8</v>
      </c>
      <c r="DJ309" s="31" t="s">
        <v>7</v>
      </c>
      <c r="FA309" s="27" t="s">
        <v>8</v>
      </c>
      <c r="FB309" s="27" t="s">
        <v>7</v>
      </c>
    </row>
    <row r="310" spans="1:168" x14ac:dyDescent="0.25">
      <c r="A310" s="30">
        <v>3.286616756321796E-2</v>
      </c>
      <c r="B310"/>
      <c r="C310"/>
      <c r="D310"/>
      <c r="E310"/>
      <c r="F310" s="27" t="s">
        <v>7</v>
      </c>
      <c r="DG310" s="27" t="s">
        <v>8</v>
      </c>
      <c r="DI310" s="27" t="s">
        <v>8</v>
      </c>
      <c r="DJ310" s="27" t="s">
        <v>7</v>
      </c>
      <c r="DK310" s="31"/>
      <c r="FA310" s="27" t="s">
        <v>8</v>
      </c>
      <c r="FB310" s="27" t="s">
        <v>7</v>
      </c>
    </row>
    <row r="311" spans="1:168" x14ac:dyDescent="0.25">
      <c r="A311" s="30">
        <v>3.1301111964969472E-2</v>
      </c>
      <c r="B311"/>
      <c r="C311"/>
      <c r="D311"/>
      <c r="E311"/>
      <c r="F311" s="27" t="s">
        <v>7</v>
      </c>
      <c r="DG311" s="27" t="s">
        <v>8</v>
      </c>
      <c r="DH311" s="27" t="s">
        <v>7</v>
      </c>
      <c r="DI311" s="27" t="s">
        <v>8</v>
      </c>
      <c r="DJ311" s="27" t="s">
        <v>7</v>
      </c>
      <c r="DL311" s="31"/>
      <c r="FA311" s="27" t="s">
        <v>8</v>
      </c>
      <c r="FB311" s="27" t="s">
        <v>7</v>
      </c>
    </row>
    <row r="312" spans="1:168" x14ac:dyDescent="0.25">
      <c r="A312" s="30">
        <v>2.9810582823780438E-2</v>
      </c>
      <c r="B312"/>
      <c r="C312"/>
      <c r="D312"/>
      <c r="E312"/>
      <c r="F312" s="27" t="s">
        <v>7</v>
      </c>
      <c r="DE312" s="27" t="s">
        <v>8</v>
      </c>
      <c r="DG312" s="27" t="s">
        <v>8</v>
      </c>
      <c r="DH312" s="27" t="s">
        <v>7</v>
      </c>
      <c r="DI312" s="27" t="s">
        <v>8</v>
      </c>
      <c r="DJ312" s="27" t="s">
        <v>7</v>
      </c>
      <c r="DM312" s="31"/>
      <c r="FA312" s="27" t="s">
        <v>8</v>
      </c>
      <c r="FB312" s="27" t="s">
        <v>7</v>
      </c>
    </row>
    <row r="313" spans="1:168" x14ac:dyDescent="0.25">
      <c r="A313" s="30">
        <v>2.8391031260743264E-2</v>
      </c>
      <c r="B313"/>
      <c r="C313"/>
      <c r="D313"/>
      <c r="E313"/>
      <c r="F313" s="27" t="s">
        <v>7</v>
      </c>
      <c r="DE313" s="27" t="s">
        <v>8</v>
      </c>
      <c r="DF313" s="27" t="s">
        <v>7</v>
      </c>
      <c r="DG313" s="27" t="s">
        <v>8</v>
      </c>
      <c r="DH313" s="27" t="s">
        <v>7</v>
      </c>
      <c r="DI313" s="27" t="s">
        <v>8</v>
      </c>
      <c r="DJ313" s="27" t="s">
        <v>7</v>
      </c>
      <c r="DK313" s="27" t="s">
        <v>8</v>
      </c>
      <c r="DN313" s="31"/>
      <c r="FA313" s="27" t="s">
        <v>8</v>
      </c>
      <c r="FB313" s="27" t="s">
        <v>7</v>
      </c>
    </row>
    <row r="314" spans="1:168" x14ac:dyDescent="0.25">
      <c r="A314" s="30">
        <v>2.7039077391184052E-2</v>
      </c>
      <c r="B314"/>
      <c r="C314"/>
      <c r="D314"/>
      <c r="E314"/>
      <c r="F314" s="27" t="s">
        <v>7</v>
      </c>
      <c r="DC314" s="27" t="s">
        <v>8</v>
      </c>
      <c r="DE314" s="27" t="s">
        <v>8</v>
      </c>
      <c r="DF314" s="27" t="s">
        <v>7</v>
      </c>
      <c r="DG314" s="27" t="s">
        <v>8</v>
      </c>
      <c r="DH314" s="27" t="s">
        <v>7</v>
      </c>
      <c r="DI314" s="27" t="s">
        <v>8</v>
      </c>
      <c r="DJ314" s="27" t="s">
        <v>7</v>
      </c>
      <c r="DK314" s="27" t="s">
        <v>8</v>
      </c>
      <c r="DL314" s="27" t="s">
        <v>7</v>
      </c>
      <c r="DO314" s="31"/>
      <c r="FA314" s="27" t="s">
        <v>8</v>
      </c>
      <c r="FB314" s="27" t="s">
        <v>7</v>
      </c>
    </row>
    <row r="315" spans="1:168" x14ac:dyDescent="0.25">
      <c r="A315" s="30">
        <v>2.5751502277318133E-2</v>
      </c>
      <c r="B315"/>
      <c r="C315"/>
      <c r="D315"/>
      <c r="E315"/>
      <c r="F315" s="27" t="s">
        <v>7</v>
      </c>
      <c r="DA315" s="27" t="s">
        <v>8</v>
      </c>
      <c r="DC315" s="27" t="s">
        <v>8</v>
      </c>
      <c r="DD315" s="27" t="s">
        <v>7</v>
      </c>
      <c r="DE315" s="27" t="s">
        <v>8</v>
      </c>
      <c r="DF315" s="27" t="s">
        <v>7</v>
      </c>
      <c r="DG315" s="27" t="s">
        <v>8</v>
      </c>
      <c r="DH315" s="27" t="s">
        <v>7</v>
      </c>
      <c r="DI315" s="27" t="s">
        <v>8</v>
      </c>
      <c r="DJ315" s="27" t="s">
        <v>7</v>
      </c>
      <c r="DK315" s="27" t="s">
        <v>8</v>
      </c>
      <c r="DL315" s="27" t="s">
        <v>7</v>
      </c>
      <c r="DM315" s="27" t="s">
        <v>8</v>
      </c>
      <c r="DP315" s="31"/>
      <c r="FA315" s="27" t="s">
        <v>8</v>
      </c>
      <c r="FB315" s="27" t="s">
        <v>7</v>
      </c>
      <c r="FI315" s="27" t="s">
        <v>8</v>
      </c>
    </row>
    <row r="316" spans="1:168" x14ac:dyDescent="0.25">
      <c r="A316" s="30">
        <v>2.4525240264112496E-2</v>
      </c>
      <c r="B316"/>
      <c r="C316"/>
      <c r="D316"/>
      <c r="E316"/>
      <c r="F316" s="27" t="s">
        <v>7</v>
      </c>
      <c r="CY316" s="27" t="s">
        <v>8</v>
      </c>
      <c r="DA316" s="27" t="s">
        <v>8</v>
      </c>
      <c r="DB316" s="27" t="s">
        <v>7</v>
      </c>
      <c r="DC316" s="27" t="s">
        <v>8</v>
      </c>
      <c r="DD316" s="27" t="s">
        <v>7</v>
      </c>
      <c r="DE316" s="27" t="s">
        <v>8</v>
      </c>
      <c r="DF316" s="27" t="s">
        <v>7</v>
      </c>
      <c r="DH316" s="27" t="s">
        <v>7</v>
      </c>
      <c r="DI316" s="27" t="s">
        <v>8</v>
      </c>
      <c r="DJ316" s="27" t="s">
        <v>7</v>
      </c>
      <c r="DL316" s="27" t="s">
        <v>7</v>
      </c>
      <c r="DM316" s="27" t="s">
        <v>8</v>
      </c>
      <c r="DN316" s="27" t="s">
        <v>7</v>
      </c>
      <c r="DQ316" s="31"/>
      <c r="DS316" s="27" t="s">
        <v>8</v>
      </c>
      <c r="FA316" s="27" t="s">
        <v>8</v>
      </c>
      <c r="FB316" s="27" t="s">
        <v>7</v>
      </c>
      <c r="FI316" s="27" t="s">
        <v>8</v>
      </c>
      <c r="FJ316" s="27" t="s">
        <v>7</v>
      </c>
      <c r="FK316" s="27" t="s">
        <v>8</v>
      </c>
    </row>
    <row r="317" spans="1:168" x14ac:dyDescent="0.25">
      <c r="A317" s="30">
        <v>2.3357371680107129E-2</v>
      </c>
      <c r="B317"/>
      <c r="C317"/>
      <c r="D317"/>
      <c r="E317"/>
      <c r="F317" s="27" t="s">
        <v>7</v>
      </c>
      <c r="CY317" s="27" t="s">
        <v>8</v>
      </c>
      <c r="CZ317" s="27" t="s">
        <v>7</v>
      </c>
      <c r="DA317" s="27" t="s">
        <v>8</v>
      </c>
      <c r="DB317" s="27" t="s">
        <v>7</v>
      </c>
      <c r="DC317" s="27" t="s">
        <v>8</v>
      </c>
      <c r="DD317" s="27" t="s">
        <v>7</v>
      </c>
      <c r="DE317" s="27" t="s">
        <v>8</v>
      </c>
      <c r="DH317" s="27" t="s">
        <v>7</v>
      </c>
      <c r="DL317" s="27" t="s">
        <v>7</v>
      </c>
      <c r="DM317" s="27" t="s">
        <v>8</v>
      </c>
      <c r="DN317" s="27" t="s">
        <v>7</v>
      </c>
      <c r="DQ317" s="27" t="s">
        <v>8</v>
      </c>
      <c r="DR317" s="31"/>
      <c r="DS317" s="27" t="s">
        <v>8</v>
      </c>
      <c r="DT317" s="31" t="s">
        <v>7</v>
      </c>
      <c r="FA317" s="27" t="s">
        <v>8</v>
      </c>
      <c r="FB317" s="27" t="s">
        <v>7</v>
      </c>
      <c r="FI317" s="27" t="s">
        <v>8</v>
      </c>
      <c r="FJ317" s="27" t="s">
        <v>7</v>
      </c>
      <c r="FK317" s="27" t="s">
        <v>8</v>
      </c>
      <c r="FL317" s="27" t="s">
        <v>7</v>
      </c>
    </row>
    <row r="318" spans="1:168" x14ac:dyDescent="0.25">
      <c r="A318" s="30">
        <v>2.2245115885816305E-2</v>
      </c>
      <c r="B318"/>
      <c r="C318"/>
      <c r="D318"/>
      <c r="E318"/>
      <c r="F318" s="27" t="s">
        <v>7</v>
      </c>
      <c r="CY318" s="27" t="s">
        <v>8</v>
      </c>
      <c r="CZ318" s="27" t="s">
        <v>7</v>
      </c>
      <c r="DA318" s="27" t="s">
        <v>8</v>
      </c>
      <c r="DB318" s="27" t="s">
        <v>7</v>
      </c>
      <c r="DC318" s="27" t="s">
        <v>8</v>
      </c>
      <c r="DD318" s="27" t="s">
        <v>7</v>
      </c>
      <c r="DE318" s="27" t="s">
        <v>8</v>
      </c>
      <c r="DL318" s="27" t="s">
        <v>7</v>
      </c>
      <c r="DN318" s="27" t="s">
        <v>7</v>
      </c>
      <c r="DQ318" s="27" t="s">
        <v>8</v>
      </c>
      <c r="DR318" s="27" t="s">
        <v>7</v>
      </c>
      <c r="DS318" s="31" t="s">
        <v>8</v>
      </c>
      <c r="DT318" s="27" t="s">
        <v>7</v>
      </c>
      <c r="DU318" s="31"/>
      <c r="FA318" s="27" t="s">
        <v>8</v>
      </c>
      <c r="FB318" s="27" t="s">
        <v>7</v>
      </c>
      <c r="FI318" s="27" t="s">
        <v>8</v>
      </c>
      <c r="FJ318" s="27" t="s">
        <v>7</v>
      </c>
      <c r="FK318" s="27" t="s">
        <v>8</v>
      </c>
      <c r="FL318" s="27" t="s">
        <v>7</v>
      </c>
    </row>
    <row r="319" spans="1:168" x14ac:dyDescent="0.25">
      <c r="A319" s="30">
        <v>2.1185824653158377E-2</v>
      </c>
      <c r="B319"/>
      <c r="C319"/>
      <c r="D319"/>
      <c r="E319"/>
      <c r="F319" s="27" t="s">
        <v>7</v>
      </c>
      <c r="CY319" s="27" t="s">
        <v>8</v>
      </c>
      <c r="CZ319" s="27" t="s">
        <v>7</v>
      </c>
      <c r="DA319" s="27" t="s">
        <v>8</v>
      </c>
      <c r="DB319" s="27" t="s">
        <v>7</v>
      </c>
      <c r="DD319" s="27" t="s">
        <v>7</v>
      </c>
      <c r="DE319" s="27" t="s">
        <v>8</v>
      </c>
      <c r="DN319" s="27" t="s">
        <v>7</v>
      </c>
      <c r="DQ319" s="27" t="s">
        <v>8</v>
      </c>
      <c r="DR319" s="27" t="s">
        <v>7</v>
      </c>
      <c r="DS319" s="27" t="s">
        <v>8</v>
      </c>
      <c r="DT319" s="27" t="s">
        <v>7</v>
      </c>
      <c r="DV319" s="31"/>
      <c r="FA319" s="27" t="s">
        <v>8</v>
      </c>
      <c r="FB319" s="27" t="s">
        <v>7</v>
      </c>
      <c r="FI319" s="27" t="s">
        <v>8</v>
      </c>
      <c r="FJ319" s="27" t="s">
        <v>7</v>
      </c>
      <c r="FK319" s="27" t="s">
        <v>8</v>
      </c>
      <c r="FL319" s="27" t="s">
        <v>7</v>
      </c>
    </row>
    <row r="320" spans="1:168" x14ac:dyDescent="0.25">
      <c r="A320" s="30">
        <v>2.0176975860150829E-2</v>
      </c>
      <c r="B320"/>
      <c r="C320"/>
      <c r="D320"/>
      <c r="E320"/>
      <c r="F320" s="27" t="s">
        <v>7</v>
      </c>
      <c r="CY320" s="27" t="s">
        <v>8</v>
      </c>
      <c r="CZ320" s="27" t="s">
        <v>7</v>
      </c>
      <c r="DA320" s="27" t="s">
        <v>8</v>
      </c>
      <c r="DD320" s="27" t="s">
        <v>7</v>
      </c>
      <c r="DN320" s="27" t="s">
        <v>7</v>
      </c>
      <c r="DQ320" s="27" t="s">
        <v>8</v>
      </c>
      <c r="DR320" s="27" t="s">
        <v>7</v>
      </c>
      <c r="DT320" s="27" t="s">
        <v>7</v>
      </c>
      <c r="DU320" s="27" t="s">
        <v>8</v>
      </c>
      <c r="DW320" s="31"/>
      <c r="FA320" s="27" t="s">
        <v>8</v>
      </c>
      <c r="FB320" s="27" t="s">
        <v>7</v>
      </c>
      <c r="FI320" s="27" t="s">
        <v>8</v>
      </c>
      <c r="FJ320" s="27" t="s">
        <v>7</v>
      </c>
      <c r="FK320" s="27" t="s">
        <v>8</v>
      </c>
      <c r="FL320" s="27" t="s">
        <v>7</v>
      </c>
    </row>
    <row r="321" spans="1:190" x14ac:dyDescent="0.25">
      <c r="A321" s="30">
        <v>1.9216167485857926E-2</v>
      </c>
      <c r="B321"/>
      <c r="C321"/>
      <c r="D321"/>
      <c r="E321"/>
      <c r="F321" s="27" t="s">
        <v>7</v>
      </c>
      <c r="CY321" s="27" t="s">
        <v>8</v>
      </c>
      <c r="CZ321" s="27" t="s">
        <v>7</v>
      </c>
      <c r="DA321" s="27" t="s">
        <v>8</v>
      </c>
      <c r="DN321" s="27" t="s">
        <v>7</v>
      </c>
      <c r="DO321" s="27" t="s">
        <v>8</v>
      </c>
      <c r="DQ321" s="27" t="s">
        <v>8</v>
      </c>
      <c r="DT321" s="27" t="s">
        <v>7</v>
      </c>
      <c r="DU321" s="27" t="s">
        <v>8</v>
      </c>
      <c r="DV321" s="27" t="s">
        <v>7</v>
      </c>
      <c r="DX321" s="31"/>
      <c r="FA321" s="27" t="s">
        <v>8</v>
      </c>
      <c r="FB321" s="27" t="s">
        <v>7</v>
      </c>
      <c r="FI321" s="27" t="s">
        <v>8</v>
      </c>
      <c r="FJ321" s="27" t="s">
        <v>7</v>
      </c>
      <c r="FK321" s="27" t="s">
        <v>8</v>
      </c>
      <c r="FL321" s="27" t="s">
        <v>7</v>
      </c>
      <c r="FM321" s="27" t="s">
        <v>8</v>
      </c>
      <c r="FW321" s="27" t="s">
        <v>8</v>
      </c>
    </row>
    <row r="322" spans="1:190" x14ac:dyDescent="0.25">
      <c r="A322" s="30">
        <v>1.8301111891293256E-2</v>
      </c>
      <c r="B322"/>
      <c r="C322"/>
      <c r="D322"/>
      <c r="E322"/>
      <c r="F322" s="27" t="s">
        <v>7</v>
      </c>
      <c r="CY322" s="27" t="s">
        <v>8</v>
      </c>
      <c r="CZ322" s="27" t="s">
        <v>7</v>
      </c>
      <c r="DN322" s="27" t="s">
        <v>7</v>
      </c>
      <c r="DO322" s="27" t="s">
        <v>8</v>
      </c>
      <c r="DP322" s="27" t="s">
        <v>7</v>
      </c>
      <c r="DQ322" s="27" t="s">
        <v>8</v>
      </c>
      <c r="DT322" s="27" t="s">
        <v>7</v>
      </c>
      <c r="DU322" s="27" t="s">
        <v>8</v>
      </c>
      <c r="DV322" s="27" t="s">
        <v>7</v>
      </c>
      <c r="DY322" s="31"/>
      <c r="FA322" s="27" t="s">
        <v>8</v>
      </c>
      <c r="FB322" s="27" t="s">
        <v>7</v>
      </c>
      <c r="FI322" s="27" t="s">
        <v>8</v>
      </c>
      <c r="FJ322" s="27" t="s">
        <v>7</v>
      </c>
      <c r="FK322" s="27" t="s">
        <v>8</v>
      </c>
      <c r="FL322" s="27" t="s">
        <v>7</v>
      </c>
      <c r="FM322" s="27" t="s">
        <v>8</v>
      </c>
      <c r="FN322" s="27" t="s">
        <v>7</v>
      </c>
      <c r="FO322" s="27" t="s">
        <v>8</v>
      </c>
      <c r="FW322" s="27" t="s">
        <v>8</v>
      </c>
      <c r="FX322" s="27" t="s">
        <v>7</v>
      </c>
    </row>
    <row r="323" spans="1:190" x14ac:dyDescent="0.25">
      <c r="A323" s="30">
        <v>1.7429630372660238E-2</v>
      </c>
      <c r="B323"/>
      <c r="C323"/>
      <c r="D323"/>
      <c r="E323"/>
      <c r="F323" s="27" t="s">
        <v>7</v>
      </c>
      <c r="CY323" s="27" t="s">
        <v>8</v>
      </c>
      <c r="DN323" s="27" t="s">
        <v>7</v>
      </c>
      <c r="DO323" s="27" t="s">
        <v>8</v>
      </c>
      <c r="DP323" s="27" t="s">
        <v>7</v>
      </c>
      <c r="DQ323" s="27" t="s">
        <v>8</v>
      </c>
      <c r="DT323" s="27" t="s">
        <v>7</v>
      </c>
      <c r="DU323" s="27" t="s">
        <v>8</v>
      </c>
      <c r="DV323" s="27" t="s">
        <v>7</v>
      </c>
      <c r="DW323" s="27" t="s">
        <v>8</v>
      </c>
      <c r="DZ323" s="31"/>
      <c r="FA323" s="27" t="s">
        <v>8</v>
      </c>
      <c r="FB323" s="27" t="s">
        <v>7</v>
      </c>
      <c r="FG323" s="27" t="s">
        <v>8</v>
      </c>
      <c r="FI323" s="27" t="s">
        <v>8</v>
      </c>
      <c r="FJ323" s="27" t="s">
        <v>7</v>
      </c>
      <c r="FL323" s="27" t="s">
        <v>7</v>
      </c>
      <c r="FM323" s="27" t="s">
        <v>8</v>
      </c>
      <c r="FN323" s="27" t="s">
        <v>7</v>
      </c>
      <c r="FO323" s="27" t="s">
        <v>8</v>
      </c>
      <c r="FP323" s="27" t="s">
        <v>7</v>
      </c>
      <c r="FS323" s="27" t="s">
        <v>8</v>
      </c>
      <c r="FW323" s="27" t="s">
        <v>8</v>
      </c>
      <c r="FX323" s="27" t="s">
        <v>7</v>
      </c>
    </row>
    <row r="324" spans="1:190" x14ac:dyDescent="0.25">
      <c r="A324" s="30">
        <v>1.6599647973962125E-2</v>
      </c>
      <c r="B324"/>
      <c r="C324"/>
      <c r="D324"/>
      <c r="E324"/>
      <c r="F324" s="27" t="s">
        <v>7</v>
      </c>
      <c r="CY324" s="27" t="s">
        <v>8</v>
      </c>
      <c r="DN324" s="27" t="s">
        <v>7</v>
      </c>
      <c r="DO324" s="27" t="s">
        <v>8</v>
      </c>
      <c r="DP324" s="27" t="s">
        <v>7</v>
      </c>
      <c r="DT324" s="27" t="s">
        <v>7</v>
      </c>
      <c r="DU324" s="27" t="s">
        <v>8</v>
      </c>
      <c r="DV324" s="27" t="s">
        <v>7</v>
      </c>
      <c r="DW324" s="27" t="s">
        <v>8</v>
      </c>
      <c r="DX324" s="27" t="s">
        <v>7</v>
      </c>
      <c r="EA324" s="31"/>
      <c r="FA324" s="27" t="s">
        <v>8</v>
      </c>
      <c r="FB324" s="27" t="s">
        <v>7</v>
      </c>
      <c r="FG324" s="27" t="s">
        <v>8</v>
      </c>
      <c r="FH324" s="27" t="s">
        <v>7</v>
      </c>
      <c r="FI324" s="27" t="s">
        <v>8</v>
      </c>
      <c r="FL324" s="27" t="s">
        <v>7</v>
      </c>
      <c r="FM324" s="27" t="s">
        <v>8</v>
      </c>
      <c r="FN324" s="27" t="s">
        <v>7</v>
      </c>
      <c r="FO324" s="27" t="s">
        <v>8</v>
      </c>
      <c r="FP324" s="27" t="s">
        <v>7</v>
      </c>
      <c r="FS324" s="27" t="s">
        <v>8</v>
      </c>
      <c r="FT324" s="27" t="s">
        <v>7</v>
      </c>
      <c r="FW324" s="27" t="s">
        <v>8</v>
      </c>
      <c r="FX324" s="27" t="s">
        <v>7</v>
      </c>
    </row>
    <row r="325" spans="1:190" x14ac:dyDescent="0.25">
      <c r="A325" s="30">
        <v>1.580918854663059E-2</v>
      </c>
      <c r="B325"/>
      <c r="C325"/>
      <c r="D325"/>
      <c r="E325"/>
      <c r="F325" s="27" t="s">
        <v>7</v>
      </c>
      <c r="CW325" s="27" t="s">
        <v>8</v>
      </c>
      <c r="CY325" s="27" t="s">
        <v>8</v>
      </c>
      <c r="DN325" s="27" t="s">
        <v>7</v>
      </c>
      <c r="DO325" s="27" t="s">
        <v>8</v>
      </c>
      <c r="DT325" s="27" t="s">
        <v>7</v>
      </c>
      <c r="DV325" s="27" t="s">
        <v>7</v>
      </c>
      <c r="DW325" s="27" t="s">
        <v>8</v>
      </c>
      <c r="DX325" s="27" t="s">
        <v>7</v>
      </c>
      <c r="EB325" s="31"/>
      <c r="FA325" s="27" t="s">
        <v>8</v>
      </c>
      <c r="FB325" s="27" t="s">
        <v>7</v>
      </c>
      <c r="FG325" s="27" t="s">
        <v>8</v>
      </c>
      <c r="FH325" s="27" t="s">
        <v>7</v>
      </c>
      <c r="FI325" s="27" t="s">
        <v>8</v>
      </c>
      <c r="FL325" s="27" t="s">
        <v>7</v>
      </c>
      <c r="FM325" s="27" t="s">
        <v>8</v>
      </c>
      <c r="FN325" s="27" t="s">
        <v>7</v>
      </c>
      <c r="FO325" s="27" t="s">
        <v>8</v>
      </c>
      <c r="FP325" s="27" t="s">
        <v>7</v>
      </c>
      <c r="FS325" s="27" t="s">
        <v>8</v>
      </c>
      <c r="FT325" s="27" t="s">
        <v>7</v>
      </c>
      <c r="FW325" s="27" t="s">
        <v>8</v>
      </c>
      <c r="FX325" s="27" t="s">
        <v>7</v>
      </c>
    </row>
    <row r="326" spans="1:190" x14ac:dyDescent="0.25">
      <c r="A326" s="30">
        <v>1.5056370044410079E-2</v>
      </c>
      <c r="B326"/>
      <c r="C326"/>
      <c r="D326"/>
      <c r="E326"/>
      <c r="F326" s="27" t="s">
        <v>7</v>
      </c>
      <c r="CW326" s="27" t="s">
        <v>8</v>
      </c>
      <c r="CX326" s="27" t="s">
        <v>7</v>
      </c>
      <c r="CY326" s="27" t="s">
        <v>8</v>
      </c>
      <c r="DN326" s="27" t="s">
        <v>7</v>
      </c>
      <c r="DO326" s="27" t="s">
        <v>8</v>
      </c>
      <c r="DV326" s="27" t="s">
        <v>7</v>
      </c>
      <c r="DX326" s="27" t="s">
        <v>7</v>
      </c>
      <c r="EC326" s="31"/>
      <c r="FA326" s="27" t="s">
        <v>8</v>
      </c>
      <c r="FB326" s="27" t="s">
        <v>7</v>
      </c>
      <c r="FE326" s="27" t="s">
        <v>8</v>
      </c>
      <c r="FG326" s="27" t="s">
        <v>8</v>
      </c>
      <c r="FH326" s="27" t="s">
        <v>7</v>
      </c>
      <c r="FI326" s="27" t="s">
        <v>8</v>
      </c>
      <c r="FL326" s="27" t="s">
        <v>7</v>
      </c>
      <c r="FM326" s="27" t="s">
        <v>8</v>
      </c>
      <c r="FN326" s="27" t="s">
        <v>7</v>
      </c>
      <c r="FP326" s="27" t="s">
        <v>7</v>
      </c>
      <c r="FQ326" s="27" t="s">
        <v>8</v>
      </c>
      <c r="FS326" s="27" t="s">
        <v>8</v>
      </c>
      <c r="FT326" s="27" t="s">
        <v>7</v>
      </c>
      <c r="FU326" s="27" t="s">
        <v>8</v>
      </c>
      <c r="FW326" s="27" t="s">
        <v>8</v>
      </c>
      <c r="FX326" s="27" t="s">
        <v>7</v>
      </c>
      <c r="FY326" s="27" t="s">
        <v>8</v>
      </c>
    </row>
    <row r="327" spans="1:190" x14ac:dyDescent="0.25">
      <c r="A327" s="30">
        <v>1.4339400042295308E-2</v>
      </c>
      <c r="B327"/>
      <c r="C327"/>
      <c r="D327"/>
      <c r="E327"/>
      <c r="F327" s="27" t="s">
        <v>7</v>
      </c>
      <c r="CW327" s="27" t="s">
        <v>8</v>
      </c>
      <c r="CX327" s="27" t="s">
        <v>7</v>
      </c>
      <c r="CY327" s="27" t="s">
        <v>8</v>
      </c>
      <c r="DN327" s="27" t="s">
        <v>7</v>
      </c>
      <c r="DO327" s="27" t="s">
        <v>8</v>
      </c>
      <c r="DX327" s="27" t="s">
        <v>7</v>
      </c>
      <c r="ED327" s="31"/>
      <c r="FA327" s="27" t="s">
        <v>8</v>
      </c>
      <c r="FB327" s="27" t="s">
        <v>7</v>
      </c>
      <c r="FE327" s="27" t="s">
        <v>8</v>
      </c>
      <c r="FF327" s="27" t="s">
        <v>7</v>
      </c>
      <c r="FG327" s="27" t="s">
        <v>8</v>
      </c>
      <c r="FH327" s="27" t="s">
        <v>7</v>
      </c>
      <c r="FI327" s="27" t="s">
        <v>8</v>
      </c>
      <c r="FL327" s="27" t="s">
        <v>7</v>
      </c>
      <c r="FM327" s="27" t="s">
        <v>8</v>
      </c>
      <c r="FP327" s="27" t="s">
        <v>7</v>
      </c>
      <c r="FQ327" s="27" t="s">
        <v>8</v>
      </c>
      <c r="FR327" s="27" t="s">
        <v>7</v>
      </c>
      <c r="FS327" s="27" t="s">
        <v>8</v>
      </c>
      <c r="FT327" s="27" t="s">
        <v>7</v>
      </c>
      <c r="FU327" s="27" t="s">
        <v>8</v>
      </c>
      <c r="FV327" s="27" t="s">
        <v>7</v>
      </c>
      <c r="FW327" s="27" t="s">
        <v>8</v>
      </c>
      <c r="FX327" s="27" t="s">
        <v>7</v>
      </c>
      <c r="FY327" s="27" t="s">
        <v>8</v>
      </c>
      <c r="FZ327" s="27" t="s">
        <v>7</v>
      </c>
    </row>
    <row r="328" spans="1:190" x14ac:dyDescent="0.25">
      <c r="A328" s="30">
        <v>1.365657146885267E-2</v>
      </c>
      <c r="B328"/>
      <c r="C328"/>
      <c r="D328"/>
      <c r="E328"/>
      <c r="F328" s="27" t="s">
        <v>7</v>
      </c>
      <c r="CW328" s="27" t="s">
        <v>8</v>
      </c>
      <c r="CX328" s="27" t="s">
        <v>7</v>
      </c>
      <c r="CY328" s="27" t="s">
        <v>8</v>
      </c>
      <c r="DN328" s="27" t="s">
        <v>7</v>
      </c>
      <c r="DO328" s="27" t="s">
        <v>8</v>
      </c>
      <c r="DX328" s="27" t="s">
        <v>7</v>
      </c>
      <c r="DY328" s="27" t="s">
        <v>8</v>
      </c>
      <c r="EE328" s="31"/>
      <c r="EG328" s="31" t="s">
        <v>8</v>
      </c>
      <c r="FA328" s="27" t="s">
        <v>8</v>
      </c>
      <c r="FB328" s="27" t="s">
        <v>7</v>
      </c>
      <c r="FE328" s="27" t="s">
        <v>8</v>
      </c>
      <c r="FF328" s="27" t="s">
        <v>7</v>
      </c>
      <c r="FG328" s="27" t="s">
        <v>8</v>
      </c>
      <c r="FH328" s="27" t="s">
        <v>7</v>
      </c>
      <c r="FI328" s="27" t="s">
        <v>8</v>
      </c>
      <c r="FL328" s="27" t="s">
        <v>7</v>
      </c>
      <c r="FP328" s="27" t="s">
        <v>7</v>
      </c>
      <c r="FQ328" s="27" t="s">
        <v>8</v>
      </c>
      <c r="FR328" s="27" t="s">
        <v>7</v>
      </c>
      <c r="FS328" s="27" t="s">
        <v>8</v>
      </c>
      <c r="FT328" s="27" t="s">
        <v>7</v>
      </c>
      <c r="FU328" s="27" t="s">
        <v>8</v>
      </c>
      <c r="FV328" s="27" t="s">
        <v>7</v>
      </c>
      <c r="FW328" s="27" t="s">
        <v>8</v>
      </c>
      <c r="FX328" s="27" t="s">
        <v>7</v>
      </c>
      <c r="FY328" s="27" t="s">
        <v>8</v>
      </c>
      <c r="FZ328" s="27" t="s">
        <v>7</v>
      </c>
    </row>
    <row r="329" spans="1:190" x14ac:dyDescent="0.25">
      <c r="A329" s="30">
        <v>1.3006258541764442E-2</v>
      </c>
      <c r="B329"/>
      <c r="C329"/>
      <c r="D329"/>
      <c r="E329"/>
      <c r="F329" s="27" t="s">
        <v>7</v>
      </c>
      <c r="CW329" s="27" t="s">
        <v>8</v>
      </c>
      <c r="CX329" s="27" t="s">
        <v>7</v>
      </c>
      <c r="CY329" s="27" t="s">
        <v>8</v>
      </c>
      <c r="DN329" s="27" t="s">
        <v>7</v>
      </c>
      <c r="DO329" s="27" t="s">
        <v>8</v>
      </c>
      <c r="DX329" s="27" t="s">
        <v>7</v>
      </c>
      <c r="DY329" s="27" t="s">
        <v>8</v>
      </c>
      <c r="DZ329" s="27" t="s">
        <v>7</v>
      </c>
      <c r="EF329" s="31"/>
      <c r="EG329" s="27" t="s">
        <v>8</v>
      </c>
      <c r="EH329" s="31" t="s">
        <v>7</v>
      </c>
      <c r="FA329" s="27" t="s">
        <v>8</v>
      </c>
      <c r="FB329" s="27" t="s">
        <v>7</v>
      </c>
      <c r="FE329" s="27" t="s">
        <v>8</v>
      </c>
      <c r="FF329" s="27" t="s">
        <v>7</v>
      </c>
      <c r="FG329" s="27" t="s">
        <v>8</v>
      </c>
      <c r="FH329" s="27" t="s">
        <v>7</v>
      </c>
      <c r="FP329" s="27" t="s">
        <v>7</v>
      </c>
      <c r="FR329" s="27" t="s">
        <v>7</v>
      </c>
      <c r="FT329" s="27" t="s">
        <v>7</v>
      </c>
      <c r="FV329" s="27" t="s">
        <v>7</v>
      </c>
      <c r="FX329" s="27" t="s">
        <v>7</v>
      </c>
      <c r="FY329" s="27" t="s">
        <v>8</v>
      </c>
      <c r="FZ329" s="27" t="s">
        <v>7</v>
      </c>
      <c r="GA329" s="27" t="s">
        <v>8</v>
      </c>
    </row>
    <row r="330" spans="1:190" x14ac:dyDescent="0.25">
      <c r="A330" s="30">
        <v>1.2386912896918512E-2</v>
      </c>
      <c r="B330"/>
      <c r="C330"/>
      <c r="D330"/>
      <c r="E330"/>
      <c r="F330" s="27" t="s">
        <v>7</v>
      </c>
      <c r="CW330" s="27" t="s">
        <v>8</v>
      </c>
      <c r="CX330" s="27" t="s">
        <v>7</v>
      </c>
      <c r="CY330" s="27" t="s">
        <v>8</v>
      </c>
      <c r="DN330" s="27" t="s">
        <v>7</v>
      </c>
      <c r="DO330" s="27" t="s">
        <v>8</v>
      </c>
      <c r="DX330" s="27" t="s">
        <v>7</v>
      </c>
      <c r="DY330" s="27" t="s">
        <v>8</v>
      </c>
      <c r="DZ330" s="27" t="s">
        <v>7</v>
      </c>
      <c r="EG330" s="31" t="s">
        <v>8</v>
      </c>
      <c r="EH330" s="27" t="s">
        <v>7</v>
      </c>
      <c r="EI330" s="31" t="s">
        <v>8</v>
      </c>
      <c r="FA330" s="27" t="s">
        <v>8</v>
      </c>
      <c r="FB330" s="27" t="s">
        <v>7</v>
      </c>
      <c r="FC330" s="27" t="s">
        <v>8</v>
      </c>
      <c r="FE330" s="27" t="s">
        <v>8</v>
      </c>
      <c r="FF330" s="27" t="s">
        <v>7</v>
      </c>
      <c r="FG330" s="27" t="s">
        <v>8</v>
      </c>
      <c r="FX330" s="27" t="s">
        <v>7</v>
      </c>
      <c r="FY330" s="27" t="s">
        <v>8</v>
      </c>
      <c r="FZ330" s="27" t="s">
        <v>7</v>
      </c>
      <c r="GA330" s="27" t="s">
        <v>8</v>
      </c>
      <c r="GB330" s="27" t="s">
        <v>7</v>
      </c>
      <c r="GC330" s="27" t="s">
        <v>8</v>
      </c>
    </row>
    <row r="331" spans="1:190" x14ac:dyDescent="0.25">
      <c r="A331" s="30">
        <v>1.179705990182715E-2</v>
      </c>
      <c r="B331"/>
      <c r="C331"/>
      <c r="D331"/>
      <c r="E331"/>
      <c r="F331" s="27" t="s">
        <v>7</v>
      </c>
      <c r="CW331" s="27" t="s">
        <v>8</v>
      </c>
      <c r="CX331" s="27" t="s">
        <v>7</v>
      </c>
      <c r="CY331" s="27" t="s">
        <v>8</v>
      </c>
      <c r="DN331" s="27" t="s">
        <v>7</v>
      </c>
      <c r="DX331" s="27" t="s">
        <v>7</v>
      </c>
      <c r="DY331" s="27" t="s">
        <v>8</v>
      </c>
      <c r="DZ331" s="27" t="s">
        <v>7</v>
      </c>
      <c r="EG331" s="27" t="s">
        <v>8</v>
      </c>
      <c r="EH331" s="27" t="s">
        <v>7</v>
      </c>
      <c r="EI331" s="27" t="s">
        <v>8</v>
      </c>
      <c r="EJ331" s="31" t="s">
        <v>7</v>
      </c>
      <c r="EU331" s="27" t="s">
        <v>8</v>
      </c>
      <c r="EW331" s="27" t="s">
        <v>8</v>
      </c>
      <c r="FA331" s="27" t="s">
        <v>8</v>
      </c>
      <c r="FB331" s="27" t="s">
        <v>7</v>
      </c>
      <c r="FC331" s="27" t="s">
        <v>8</v>
      </c>
      <c r="FD331" s="27" t="s">
        <v>7</v>
      </c>
      <c r="FE331" s="27" t="s">
        <v>8</v>
      </c>
      <c r="FF331" s="27" t="s">
        <v>7</v>
      </c>
      <c r="FX331" s="27" t="s">
        <v>7</v>
      </c>
      <c r="FY331" s="27" t="s">
        <v>8</v>
      </c>
      <c r="FZ331" s="27" t="s">
        <v>7</v>
      </c>
      <c r="GA331" s="27" t="s">
        <v>8</v>
      </c>
      <c r="GB331" s="27" t="s">
        <v>7</v>
      </c>
      <c r="GC331" s="27" t="s">
        <v>8</v>
      </c>
      <c r="GD331" s="27" t="s">
        <v>7</v>
      </c>
      <c r="GE331" s="27" t="s">
        <v>8</v>
      </c>
    </row>
    <row r="332" spans="1:190" x14ac:dyDescent="0.25">
      <c r="A332" s="30">
        <v>1.1235295144597281E-2</v>
      </c>
      <c r="B332"/>
      <c r="C332"/>
      <c r="D332"/>
      <c r="E332"/>
      <c r="F332" s="27" t="s">
        <v>7</v>
      </c>
      <c r="CW332" s="27" t="s">
        <v>8</v>
      </c>
      <c r="CX332" s="27" t="s">
        <v>7</v>
      </c>
      <c r="DX332" s="27" t="s">
        <v>7</v>
      </c>
      <c r="DY332" s="27" t="s">
        <v>8</v>
      </c>
      <c r="DZ332" s="27" t="s">
        <v>7</v>
      </c>
      <c r="EC332" s="27" t="s">
        <v>8</v>
      </c>
      <c r="EG332" s="27" t="s">
        <v>8</v>
      </c>
      <c r="EH332" s="27" t="s">
        <v>7</v>
      </c>
      <c r="EI332" s="27" t="s">
        <v>8</v>
      </c>
      <c r="EJ332" s="27" t="s">
        <v>7</v>
      </c>
      <c r="EK332" s="31" t="s">
        <v>8</v>
      </c>
      <c r="EU332" s="27" t="s">
        <v>8</v>
      </c>
      <c r="EV332" s="27" t="s">
        <v>7</v>
      </c>
      <c r="EW332" s="27" t="s">
        <v>8</v>
      </c>
      <c r="EX332" s="27" t="s">
        <v>7</v>
      </c>
      <c r="FA332" s="27" t="s">
        <v>8</v>
      </c>
      <c r="FB332" s="27" t="s">
        <v>7</v>
      </c>
      <c r="FC332" s="27" t="s">
        <v>8</v>
      </c>
      <c r="FD332" s="27" t="s">
        <v>7</v>
      </c>
      <c r="FE332" s="27" t="s">
        <v>8</v>
      </c>
      <c r="FX332" s="27" t="s">
        <v>7</v>
      </c>
      <c r="FZ332" s="27" t="s">
        <v>7</v>
      </c>
      <c r="GA332" s="27" t="s">
        <v>8</v>
      </c>
      <c r="GB332" s="27" t="s">
        <v>7</v>
      </c>
      <c r="GC332" s="27" t="s">
        <v>8</v>
      </c>
      <c r="GD332" s="27" t="s">
        <v>7</v>
      </c>
      <c r="GE332" s="27" t="s">
        <v>8</v>
      </c>
      <c r="GF332" s="27" t="s">
        <v>7</v>
      </c>
    </row>
    <row r="333" spans="1:190" x14ac:dyDescent="0.25">
      <c r="A333" s="30">
        <v>1.0700281090092644E-2</v>
      </c>
      <c r="B333"/>
      <c r="C333"/>
      <c r="D333"/>
      <c r="E333"/>
      <c r="F333" s="27" t="s">
        <v>7</v>
      </c>
      <c r="CO333" s="27" t="s">
        <v>8</v>
      </c>
      <c r="CW333" s="27" t="s">
        <v>8</v>
      </c>
      <c r="DX333" s="27" t="s">
        <v>7</v>
      </c>
      <c r="DY333" s="27" t="s">
        <v>8</v>
      </c>
      <c r="DZ333" s="27" t="s">
        <v>7</v>
      </c>
      <c r="EA333" s="27" t="s">
        <v>8</v>
      </c>
      <c r="EC333" s="27" t="s">
        <v>8</v>
      </c>
      <c r="ED333" s="27" t="s">
        <v>7</v>
      </c>
      <c r="EG333" s="27" t="s">
        <v>8</v>
      </c>
      <c r="EH333" s="27" t="s">
        <v>7</v>
      </c>
      <c r="EI333" s="27" t="s">
        <v>8</v>
      </c>
      <c r="EJ333" s="27" t="s">
        <v>7</v>
      </c>
      <c r="EK333" s="27" t="s">
        <v>8</v>
      </c>
      <c r="EL333" s="31" t="s">
        <v>7</v>
      </c>
      <c r="ES333" s="27" t="s">
        <v>8</v>
      </c>
      <c r="EU333" s="27" t="s">
        <v>8</v>
      </c>
      <c r="EV333" s="27" t="s">
        <v>7</v>
      </c>
      <c r="EW333" s="27" t="s">
        <v>8</v>
      </c>
      <c r="EX333" s="27" t="s">
        <v>7</v>
      </c>
      <c r="FA333" s="27" t="s">
        <v>8</v>
      </c>
      <c r="FB333" s="27" t="s">
        <v>7</v>
      </c>
      <c r="FD333" s="27" t="s">
        <v>7</v>
      </c>
      <c r="FE333" s="27" t="s">
        <v>8</v>
      </c>
      <c r="FZ333" s="27" t="s">
        <v>7</v>
      </c>
      <c r="GB333" s="27" t="s">
        <v>7</v>
      </c>
      <c r="GC333" s="27" t="s">
        <v>8</v>
      </c>
      <c r="GD333" s="27" t="s">
        <v>7</v>
      </c>
      <c r="GE333" s="27" t="s">
        <v>8</v>
      </c>
      <c r="GF333" s="27" t="s">
        <v>7</v>
      </c>
      <c r="GG333" s="27" t="s">
        <v>8</v>
      </c>
    </row>
    <row r="334" spans="1:190" x14ac:dyDescent="0.25">
      <c r="A334" s="30">
        <v>1.0190743895326324E-2</v>
      </c>
      <c r="B334"/>
      <c r="C334"/>
      <c r="D334"/>
      <c r="E334"/>
      <c r="F334" s="27" t="s">
        <v>7</v>
      </c>
      <c r="CO334" s="27" t="s">
        <v>8</v>
      </c>
      <c r="CP334" s="27" t="s">
        <v>7</v>
      </c>
      <c r="CW334" s="27" t="s">
        <v>8</v>
      </c>
      <c r="DX334" s="27" t="s">
        <v>7</v>
      </c>
      <c r="DY334" s="27" t="s">
        <v>8</v>
      </c>
      <c r="DZ334" s="27" t="s">
        <v>7</v>
      </c>
      <c r="EA334" s="27" t="s">
        <v>8</v>
      </c>
      <c r="EB334" s="27" t="s">
        <v>7</v>
      </c>
      <c r="EC334" s="27" t="s">
        <v>8</v>
      </c>
      <c r="ED334" s="27" t="s">
        <v>7</v>
      </c>
      <c r="EE334" s="27" t="s">
        <v>8</v>
      </c>
      <c r="EG334" s="27" t="s">
        <v>8</v>
      </c>
      <c r="EH334" s="27" t="s">
        <v>7</v>
      </c>
      <c r="EI334" s="27" t="s">
        <v>8</v>
      </c>
      <c r="EJ334" s="27" t="s">
        <v>7</v>
      </c>
      <c r="EK334" s="27" t="s">
        <v>8</v>
      </c>
      <c r="EL334" s="27" t="s">
        <v>7</v>
      </c>
      <c r="EM334" s="31"/>
      <c r="ES334" s="27" t="s">
        <v>8</v>
      </c>
      <c r="ET334" s="27" t="s">
        <v>7</v>
      </c>
      <c r="EU334" s="27" t="s">
        <v>8</v>
      </c>
      <c r="EV334" s="27" t="s">
        <v>7</v>
      </c>
      <c r="EW334" s="27" t="s">
        <v>8</v>
      </c>
      <c r="EX334" s="27" t="s">
        <v>7</v>
      </c>
      <c r="FA334" s="27" t="s">
        <v>8</v>
      </c>
      <c r="FD334" s="27" t="s">
        <v>7</v>
      </c>
      <c r="FE334" s="27" t="s">
        <v>8</v>
      </c>
      <c r="GB334" s="27" t="s">
        <v>7</v>
      </c>
      <c r="GD334" s="27" t="s">
        <v>7</v>
      </c>
      <c r="GE334" s="27" t="s">
        <v>8</v>
      </c>
      <c r="GF334" s="27" t="s">
        <v>7</v>
      </c>
      <c r="GG334" s="27" t="s">
        <v>8</v>
      </c>
      <c r="GH334" s="27" t="s">
        <v>7</v>
      </c>
    </row>
    <row r="335" spans="1:190" x14ac:dyDescent="0.25">
      <c r="A335" s="30">
        <v>9.7054703765012563E-3</v>
      </c>
      <c r="B335"/>
      <c r="C335"/>
      <c r="D335"/>
      <c r="E335"/>
      <c r="F335" s="27" t="s">
        <v>7</v>
      </c>
      <c r="BE335" s="27" t="s">
        <v>8</v>
      </c>
      <c r="CO335" s="27" t="s">
        <v>8</v>
      </c>
      <c r="CP335" s="27" t="s">
        <v>7</v>
      </c>
      <c r="CQ335" s="27" t="s">
        <v>8</v>
      </c>
      <c r="CW335" s="27" t="s">
        <v>8</v>
      </c>
      <c r="DX335" s="27" t="s">
        <v>7</v>
      </c>
      <c r="DY335" s="27" t="s">
        <v>8</v>
      </c>
      <c r="DZ335" s="27" t="s">
        <v>7</v>
      </c>
      <c r="EA335" s="27" t="s">
        <v>8</v>
      </c>
      <c r="EB335" s="27" t="s">
        <v>7</v>
      </c>
      <c r="EC335" s="27" t="s">
        <v>8</v>
      </c>
      <c r="ED335" s="27" t="s">
        <v>7</v>
      </c>
      <c r="EE335" s="27" t="s">
        <v>8</v>
      </c>
      <c r="EF335" s="27" t="s">
        <v>7</v>
      </c>
      <c r="EG335" s="27" t="s">
        <v>8</v>
      </c>
      <c r="EH335" s="27" t="s">
        <v>7</v>
      </c>
      <c r="EI335" s="27" t="s">
        <v>8</v>
      </c>
      <c r="EJ335" s="27" t="s">
        <v>7</v>
      </c>
      <c r="EL335" s="27" t="s">
        <v>7</v>
      </c>
      <c r="EN335" s="31"/>
      <c r="ES335" s="27" t="s">
        <v>8</v>
      </c>
      <c r="ET335" s="27" t="s">
        <v>7</v>
      </c>
      <c r="EU335" s="27" t="s">
        <v>8</v>
      </c>
      <c r="EV335" s="27" t="s">
        <v>7</v>
      </c>
      <c r="EW335" s="27" t="s">
        <v>8</v>
      </c>
      <c r="EX335" s="27" t="s">
        <v>7</v>
      </c>
      <c r="FA335" s="27" t="s">
        <v>8</v>
      </c>
      <c r="FD335" s="27" t="s">
        <v>7</v>
      </c>
      <c r="FE335" s="27" t="s">
        <v>8</v>
      </c>
      <c r="GD335" s="27" t="s">
        <v>7</v>
      </c>
      <c r="GF335" s="27" t="s">
        <v>7</v>
      </c>
      <c r="GG335" s="27" t="s">
        <v>8</v>
      </c>
      <c r="GH335" s="27" t="s">
        <v>7</v>
      </c>
    </row>
    <row r="336" spans="1:190" x14ac:dyDescent="0.25">
      <c r="A336" s="30">
        <v>9.2433051204773835E-3</v>
      </c>
      <c r="B336"/>
      <c r="C336"/>
      <c r="D336"/>
      <c r="E336"/>
      <c r="F336" s="27" t="s">
        <v>7</v>
      </c>
      <c r="BE336" s="27" t="s">
        <v>8</v>
      </c>
      <c r="BF336" s="27" t="s">
        <v>7</v>
      </c>
      <c r="CO336" s="27" t="s">
        <v>8</v>
      </c>
      <c r="CP336" s="27" t="s">
        <v>7</v>
      </c>
      <c r="CQ336" s="27" t="s">
        <v>8</v>
      </c>
      <c r="CR336" s="27" t="s">
        <v>7</v>
      </c>
      <c r="CW336" s="27" t="s">
        <v>8</v>
      </c>
      <c r="DX336" s="27" t="s">
        <v>7</v>
      </c>
      <c r="DZ336" s="27" t="s">
        <v>7</v>
      </c>
      <c r="EB336" s="27" t="s">
        <v>7</v>
      </c>
      <c r="EC336" s="27" t="s">
        <v>8</v>
      </c>
      <c r="ED336" s="27" t="s">
        <v>7</v>
      </c>
      <c r="EE336" s="27" t="s">
        <v>8</v>
      </c>
      <c r="EF336" s="27" t="s">
        <v>7</v>
      </c>
      <c r="EG336" s="27" t="s">
        <v>8</v>
      </c>
      <c r="EH336" s="27" t="s">
        <v>7</v>
      </c>
      <c r="EI336" s="27" t="s">
        <v>8</v>
      </c>
      <c r="EL336" s="27" t="s">
        <v>7</v>
      </c>
      <c r="EO336" s="31"/>
      <c r="ES336" s="27" t="s">
        <v>8</v>
      </c>
      <c r="ET336" s="27" t="s">
        <v>7</v>
      </c>
      <c r="EU336" s="27" t="s">
        <v>8</v>
      </c>
      <c r="EV336" s="27" t="s">
        <v>7</v>
      </c>
      <c r="EX336" s="27" t="s">
        <v>7</v>
      </c>
      <c r="FA336" s="27" t="s">
        <v>8</v>
      </c>
      <c r="FD336" s="27" t="s">
        <v>7</v>
      </c>
      <c r="FE336" s="27" t="s">
        <v>8</v>
      </c>
      <c r="GF336" s="27" t="s">
        <v>7</v>
      </c>
      <c r="GG336" s="27" t="s">
        <v>8</v>
      </c>
      <c r="GH336" s="27" t="s">
        <v>7</v>
      </c>
    </row>
    <row r="337" spans="1:193" x14ac:dyDescent="0.25">
      <c r="A337" s="30">
        <v>8.8031477337879808E-3</v>
      </c>
      <c r="B337"/>
      <c r="C337"/>
      <c r="D337"/>
      <c r="E337"/>
      <c r="F337" s="27" t="s">
        <v>7</v>
      </c>
      <c r="BE337" s="27" t="s">
        <v>8</v>
      </c>
      <c r="BF337" s="27" t="s">
        <v>7</v>
      </c>
      <c r="BG337" s="27" t="s">
        <v>8</v>
      </c>
      <c r="CM337" s="27" t="s">
        <v>8</v>
      </c>
      <c r="CO337" s="27" t="s">
        <v>8</v>
      </c>
      <c r="CP337" s="27" t="s">
        <v>7</v>
      </c>
      <c r="CQ337" s="27" t="s">
        <v>8</v>
      </c>
      <c r="CR337" s="27" t="s">
        <v>7</v>
      </c>
      <c r="CW337" s="27" t="s">
        <v>8</v>
      </c>
      <c r="EB337" s="27" t="s">
        <v>7</v>
      </c>
      <c r="EC337" s="27" t="s">
        <v>8</v>
      </c>
      <c r="ED337" s="27" t="s">
        <v>7</v>
      </c>
      <c r="EE337" s="27" t="s">
        <v>8</v>
      </c>
      <c r="EF337" s="27" t="s">
        <v>7</v>
      </c>
      <c r="EG337" s="27" t="s">
        <v>8</v>
      </c>
      <c r="EH337" s="27" t="s">
        <v>7</v>
      </c>
      <c r="EL337" s="27" t="s">
        <v>7</v>
      </c>
      <c r="EO337" s="27" t="s">
        <v>8</v>
      </c>
      <c r="EP337" s="31"/>
      <c r="EQ337" s="27" t="s">
        <v>8</v>
      </c>
      <c r="ES337" s="27" t="s">
        <v>8</v>
      </c>
      <c r="ET337" s="27" t="s">
        <v>7</v>
      </c>
      <c r="EX337" s="27" t="s">
        <v>7</v>
      </c>
      <c r="EY337" s="27" t="s">
        <v>8</v>
      </c>
      <c r="FA337" s="27" t="s">
        <v>8</v>
      </c>
      <c r="FD337" s="27" t="s">
        <v>7</v>
      </c>
      <c r="FE337" s="27" t="s">
        <v>8</v>
      </c>
      <c r="GF337" s="27" t="s">
        <v>7</v>
      </c>
      <c r="GG337" s="27" t="s">
        <v>8</v>
      </c>
      <c r="GH337" s="27" t="s">
        <v>7</v>
      </c>
    </row>
    <row r="338" spans="1:193" x14ac:dyDescent="0.25">
      <c r="A338" s="30">
        <v>8.3839502226552166E-3</v>
      </c>
      <c r="B338"/>
      <c r="C338"/>
      <c r="D338"/>
      <c r="E338"/>
      <c r="F338" s="27" t="s">
        <v>7</v>
      </c>
      <c r="BE338" s="27" t="s">
        <v>8</v>
      </c>
      <c r="BF338" s="27" t="s">
        <v>7</v>
      </c>
      <c r="BG338" s="27" t="s">
        <v>8</v>
      </c>
      <c r="BH338" s="27" t="s">
        <v>7</v>
      </c>
      <c r="CM338" s="27" t="s">
        <v>8</v>
      </c>
      <c r="CN338" s="27" t="s">
        <v>7</v>
      </c>
      <c r="CO338" s="27" t="s">
        <v>8</v>
      </c>
      <c r="CP338" s="27" t="s">
        <v>7</v>
      </c>
      <c r="CQ338" s="27" t="s">
        <v>8</v>
      </c>
      <c r="CR338" s="27" t="s">
        <v>7</v>
      </c>
      <c r="CS338" s="27" t="s">
        <v>8</v>
      </c>
      <c r="CW338" s="27" t="s">
        <v>8</v>
      </c>
      <c r="EB338" s="27" t="s">
        <v>7</v>
      </c>
      <c r="EC338" s="27" t="s">
        <v>8</v>
      </c>
      <c r="ED338" s="27" t="s">
        <v>7</v>
      </c>
      <c r="EE338" s="27" t="s">
        <v>8</v>
      </c>
      <c r="EF338" s="27" t="s">
        <v>7</v>
      </c>
      <c r="EL338" s="27" t="s">
        <v>7</v>
      </c>
      <c r="EO338" s="27" t="s">
        <v>8</v>
      </c>
      <c r="EP338" s="27" t="s">
        <v>7</v>
      </c>
      <c r="EQ338" s="31" t="s">
        <v>8</v>
      </c>
      <c r="ER338" s="27" t="s">
        <v>7</v>
      </c>
      <c r="ES338" s="27" t="s">
        <v>8</v>
      </c>
      <c r="EX338" s="27" t="s">
        <v>7</v>
      </c>
      <c r="EY338" s="27" t="s">
        <v>8</v>
      </c>
      <c r="EZ338" s="27" t="s">
        <v>7</v>
      </c>
      <c r="FA338" s="27" t="s">
        <v>8</v>
      </c>
      <c r="FD338" s="27" t="s">
        <v>7</v>
      </c>
      <c r="GF338" s="27" t="s">
        <v>7</v>
      </c>
      <c r="GG338" s="27" t="s">
        <v>8</v>
      </c>
      <c r="GH338" s="27" t="s">
        <v>7</v>
      </c>
    </row>
    <row r="339" spans="1:193" x14ac:dyDescent="0.25">
      <c r="A339" s="30">
        <v>7.9847144977668698E-3</v>
      </c>
      <c r="B339"/>
      <c r="C339"/>
      <c r="D339"/>
      <c r="E339"/>
      <c r="F339" s="27" t="s">
        <v>7</v>
      </c>
      <c r="G339" s="27" t="s">
        <v>8</v>
      </c>
      <c r="BE339" s="27" t="s">
        <v>8</v>
      </c>
      <c r="BF339" s="27" t="s">
        <v>7</v>
      </c>
      <c r="BG339" s="27" t="s">
        <v>8</v>
      </c>
      <c r="BH339" s="27" t="s">
        <v>7</v>
      </c>
      <c r="CM339" s="27" t="s">
        <v>8</v>
      </c>
      <c r="CN339" s="27" t="s">
        <v>7</v>
      </c>
      <c r="CO339" s="27" t="s">
        <v>8</v>
      </c>
      <c r="CP339" s="27" t="s">
        <v>7</v>
      </c>
      <c r="CQ339" s="27" t="s">
        <v>8</v>
      </c>
      <c r="CR339" s="27" t="s">
        <v>7</v>
      </c>
      <c r="CS339" s="27" t="s">
        <v>8</v>
      </c>
      <c r="CT339" s="27" t="s">
        <v>7</v>
      </c>
      <c r="CW339" s="27" t="s">
        <v>8</v>
      </c>
      <c r="EB339" s="27" t="s">
        <v>7</v>
      </c>
      <c r="EC339" s="27" t="s">
        <v>8</v>
      </c>
      <c r="ED339" s="27" t="s">
        <v>7</v>
      </c>
      <c r="EL339" s="27" t="s">
        <v>7</v>
      </c>
      <c r="EM339" s="27" t="s">
        <v>8</v>
      </c>
      <c r="EO339" s="27" t="s">
        <v>8</v>
      </c>
      <c r="EP339" s="27" t="s">
        <v>7</v>
      </c>
      <c r="EQ339" s="27" t="s">
        <v>8</v>
      </c>
      <c r="ER339" s="27" t="s">
        <v>7</v>
      </c>
      <c r="ES339" s="27" t="s">
        <v>8</v>
      </c>
      <c r="EX339" s="27" t="s">
        <v>7</v>
      </c>
      <c r="EY339" s="27" t="s">
        <v>8</v>
      </c>
      <c r="EZ339" s="27" t="s">
        <v>7</v>
      </c>
      <c r="FA339" s="27" t="s">
        <v>8</v>
      </c>
      <c r="GF339" s="27" t="s">
        <v>7</v>
      </c>
      <c r="GH339" s="27" t="s">
        <v>7</v>
      </c>
    </row>
    <row r="340" spans="1:193" x14ac:dyDescent="0.25">
      <c r="A340" s="30">
        <v>7.6044899978732058E-3</v>
      </c>
      <c r="B340"/>
      <c r="C340"/>
      <c r="D340"/>
      <c r="E340"/>
      <c r="F340" s="27" t="s">
        <v>7</v>
      </c>
      <c r="G340" s="27" t="s">
        <v>8</v>
      </c>
      <c r="H340" s="27" t="s">
        <v>7</v>
      </c>
      <c r="BE340" s="27" t="s">
        <v>8</v>
      </c>
      <c r="BF340" s="27" t="s">
        <v>7</v>
      </c>
      <c r="BG340" s="27" t="s">
        <v>8</v>
      </c>
      <c r="BH340" s="27" t="s">
        <v>7</v>
      </c>
      <c r="CM340" s="27" t="s">
        <v>8</v>
      </c>
      <c r="CN340" s="27" t="s">
        <v>7</v>
      </c>
      <c r="CO340" s="27" t="s">
        <v>8</v>
      </c>
      <c r="CP340" s="27" t="s">
        <v>7</v>
      </c>
      <c r="CR340" s="27" t="s">
        <v>7</v>
      </c>
      <c r="CS340" s="27" t="s">
        <v>8</v>
      </c>
      <c r="CT340" s="27" t="s">
        <v>7</v>
      </c>
      <c r="CU340" s="27" t="s">
        <v>8</v>
      </c>
      <c r="CW340" s="27" t="s">
        <v>8</v>
      </c>
      <c r="EB340" s="27" t="s">
        <v>7</v>
      </c>
      <c r="EC340" s="27" t="s">
        <v>8</v>
      </c>
      <c r="EL340" s="27" t="s">
        <v>7</v>
      </c>
      <c r="EM340" s="27" t="s">
        <v>8</v>
      </c>
      <c r="EN340" s="27" t="s">
        <v>7</v>
      </c>
      <c r="EO340" s="27" t="s">
        <v>8</v>
      </c>
      <c r="EP340" s="27" t="s">
        <v>7</v>
      </c>
      <c r="EQ340" s="27" t="s">
        <v>8</v>
      </c>
      <c r="ER340" s="27" t="s">
        <v>7</v>
      </c>
      <c r="ES340" s="27" t="s">
        <v>8</v>
      </c>
      <c r="EX340" s="27" t="s">
        <v>7</v>
      </c>
      <c r="EY340" s="27" t="s">
        <v>8</v>
      </c>
      <c r="EZ340" s="27" t="s">
        <v>7</v>
      </c>
      <c r="GH340" s="27" t="s">
        <v>7</v>
      </c>
    </row>
    <row r="341" spans="1:193" x14ac:dyDescent="0.25">
      <c r="A341" s="30">
        <v>7.2423714265459072E-3</v>
      </c>
      <c r="B341"/>
      <c r="C341"/>
      <c r="D341"/>
      <c r="E341"/>
      <c r="F341" s="27" t="s">
        <v>7</v>
      </c>
      <c r="G341" s="27" t="s">
        <v>8</v>
      </c>
      <c r="H341" s="27" t="s">
        <v>7</v>
      </c>
      <c r="K341" s="27" t="s">
        <v>8</v>
      </c>
      <c r="M341" s="27" t="s">
        <v>8</v>
      </c>
      <c r="BC341" s="27" t="s">
        <v>8</v>
      </c>
      <c r="BE341" s="27" t="s">
        <v>8</v>
      </c>
      <c r="BF341" s="27" t="s">
        <v>7</v>
      </c>
      <c r="BH341" s="27" t="s">
        <v>7</v>
      </c>
      <c r="CM341" s="27" t="s">
        <v>8</v>
      </c>
      <c r="CN341" s="27" t="s">
        <v>7</v>
      </c>
      <c r="CO341" s="27" t="s">
        <v>8</v>
      </c>
      <c r="CR341" s="27" t="s">
        <v>7</v>
      </c>
      <c r="CS341" s="27" t="s">
        <v>8</v>
      </c>
      <c r="CT341" s="27" t="s">
        <v>7</v>
      </c>
      <c r="CU341" s="27" t="s">
        <v>8</v>
      </c>
      <c r="CV341" s="27" t="s">
        <v>7</v>
      </c>
      <c r="CW341" s="27" t="s">
        <v>8</v>
      </c>
      <c r="EB341" s="27" t="s">
        <v>7</v>
      </c>
      <c r="EC341" s="27" t="s">
        <v>8</v>
      </c>
      <c r="EL341" s="27" t="s">
        <v>7</v>
      </c>
      <c r="EM341" s="27" t="s">
        <v>8</v>
      </c>
      <c r="EN341" s="27" t="s">
        <v>7</v>
      </c>
      <c r="EO341" s="27" t="s">
        <v>8</v>
      </c>
      <c r="EP341" s="27" t="s">
        <v>7</v>
      </c>
      <c r="EQ341" s="27" t="s">
        <v>8</v>
      </c>
      <c r="ER341" s="27" t="s">
        <v>7</v>
      </c>
      <c r="ES341" s="27" t="s">
        <v>8</v>
      </c>
      <c r="EX341" s="27" t="s">
        <v>7</v>
      </c>
      <c r="GH341" s="27" t="s">
        <v>7</v>
      </c>
    </row>
    <row r="342" spans="1:193" x14ac:dyDescent="0.25">
      <c r="A342" s="30">
        <v>6.8974965967103846E-3</v>
      </c>
      <c r="B342"/>
      <c r="C342"/>
      <c r="D342"/>
      <c r="E342"/>
      <c r="F342" s="27" t="s">
        <v>7</v>
      </c>
      <c r="G342" s="27" t="s">
        <v>8</v>
      </c>
      <c r="H342" s="27" t="s">
        <v>7</v>
      </c>
      <c r="K342" s="27" t="s">
        <v>8</v>
      </c>
      <c r="L342" s="27" t="s">
        <v>7</v>
      </c>
      <c r="M342" s="27" t="s">
        <v>8</v>
      </c>
      <c r="N342" s="27" t="s">
        <v>7</v>
      </c>
      <c r="BA342" s="27" t="s">
        <v>8</v>
      </c>
      <c r="BC342" s="27" t="s">
        <v>8</v>
      </c>
      <c r="BD342" s="27" t="s">
        <v>7</v>
      </c>
      <c r="BE342" s="27" t="s">
        <v>8</v>
      </c>
      <c r="BH342" s="27" t="s">
        <v>7</v>
      </c>
      <c r="CM342" s="27" t="s">
        <v>8</v>
      </c>
      <c r="CN342" s="27" t="s">
        <v>7</v>
      </c>
      <c r="CO342" s="27" t="s">
        <v>8</v>
      </c>
      <c r="CR342" s="27" t="s">
        <v>7</v>
      </c>
      <c r="CS342" s="27" t="s">
        <v>8</v>
      </c>
      <c r="CT342" s="27" t="s">
        <v>7</v>
      </c>
      <c r="CU342" s="27" t="s">
        <v>8</v>
      </c>
      <c r="CV342" s="27" t="s">
        <v>7</v>
      </c>
      <c r="CW342" s="27" t="s">
        <v>8</v>
      </c>
      <c r="EB342" s="27" t="s">
        <v>7</v>
      </c>
      <c r="EL342" s="27" t="s">
        <v>7</v>
      </c>
      <c r="EM342" s="27" t="s">
        <v>8</v>
      </c>
      <c r="EN342" s="27" t="s">
        <v>7</v>
      </c>
      <c r="EO342" s="27" t="s">
        <v>8</v>
      </c>
      <c r="EP342" s="27" t="s">
        <v>7</v>
      </c>
      <c r="EQ342" s="27" t="s">
        <v>8</v>
      </c>
      <c r="ER342" s="27" t="s">
        <v>7</v>
      </c>
      <c r="GH342" s="27" t="s">
        <v>7</v>
      </c>
    </row>
    <row r="343" spans="1:193" x14ac:dyDescent="0.25">
      <c r="A343" s="30">
        <v>6.5690443778194116E-3</v>
      </c>
      <c r="B343"/>
      <c r="C343"/>
      <c r="D343"/>
      <c r="E343"/>
      <c r="F343" s="27" t="s">
        <v>7</v>
      </c>
      <c r="G343" s="27" t="s">
        <v>8</v>
      </c>
      <c r="H343" s="27" t="s">
        <v>7</v>
      </c>
      <c r="K343" s="27" t="s">
        <v>8</v>
      </c>
      <c r="L343" s="27" t="s">
        <v>7</v>
      </c>
      <c r="M343" s="27" t="s">
        <v>8</v>
      </c>
      <c r="N343" s="27" t="s">
        <v>7</v>
      </c>
      <c r="BA343" s="27" t="s">
        <v>8</v>
      </c>
      <c r="BB343" s="27" t="s">
        <v>7</v>
      </c>
      <c r="BC343" s="27" t="s">
        <v>8</v>
      </c>
      <c r="BD343" s="27" t="s">
        <v>7</v>
      </c>
      <c r="BE343" s="27" t="s">
        <v>8</v>
      </c>
      <c r="BH343" s="27" t="s">
        <v>7</v>
      </c>
      <c r="CI343" s="27" t="s">
        <v>8</v>
      </c>
      <c r="CM343" s="27" t="s">
        <v>8</v>
      </c>
      <c r="CN343" s="27" t="s">
        <v>7</v>
      </c>
      <c r="CR343" s="27" t="s">
        <v>7</v>
      </c>
      <c r="CS343" s="27" t="s">
        <v>8</v>
      </c>
      <c r="CT343" s="27" t="s">
        <v>7</v>
      </c>
      <c r="CV343" s="27" t="s">
        <v>7</v>
      </c>
      <c r="EL343" s="27" t="s">
        <v>7</v>
      </c>
      <c r="EM343" s="27" t="s">
        <v>8</v>
      </c>
      <c r="EN343" s="27" t="s">
        <v>7</v>
      </c>
      <c r="EP343" s="18" t="s">
        <v>7</v>
      </c>
      <c r="EQ343" s="27" t="s">
        <v>8</v>
      </c>
      <c r="ES343" s="31"/>
      <c r="GH343" s="27" t="s">
        <v>7</v>
      </c>
      <c r="GI343" s="27" t="s">
        <v>8</v>
      </c>
    </row>
    <row r="344" spans="1:193" x14ac:dyDescent="0.25">
      <c r="A344" s="30">
        <v>6.2562327407803897E-3</v>
      </c>
      <c r="B344"/>
      <c r="C344"/>
      <c r="D344"/>
      <c r="E344"/>
      <c r="F344" s="27" t="s">
        <v>7</v>
      </c>
      <c r="H344" s="27" t="s">
        <v>7</v>
      </c>
      <c r="I344" s="27" t="s">
        <v>8</v>
      </c>
      <c r="K344" s="27" t="s">
        <v>8</v>
      </c>
      <c r="L344" s="27" t="s">
        <v>7</v>
      </c>
      <c r="N344" s="27" t="s">
        <v>7</v>
      </c>
      <c r="O344" s="27" t="s">
        <v>8</v>
      </c>
      <c r="BA344" s="27" t="s">
        <v>8</v>
      </c>
      <c r="BB344" s="27" t="s">
        <v>7</v>
      </c>
      <c r="BC344" s="27" t="s">
        <v>8</v>
      </c>
      <c r="BD344" s="27" t="s">
        <v>7</v>
      </c>
      <c r="BE344" s="27" t="s">
        <v>8</v>
      </c>
      <c r="BH344" s="27" t="s">
        <v>7</v>
      </c>
      <c r="CI344" s="27" t="s">
        <v>8</v>
      </c>
      <c r="CJ344" s="27" t="s">
        <v>7</v>
      </c>
      <c r="CK344" s="27" t="s">
        <v>8</v>
      </c>
      <c r="CM344" s="27" t="s">
        <v>8</v>
      </c>
      <c r="CR344" s="27" t="s">
        <v>7</v>
      </c>
      <c r="EL344" s="27" t="s">
        <v>7</v>
      </c>
      <c r="EM344" s="27" t="s">
        <v>8</v>
      </c>
      <c r="EP344" s="27" t="s">
        <v>7</v>
      </c>
      <c r="EQ344" s="27" t="s">
        <v>8</v>
      </c>
      <c r="ER344" s="31"/>
      <c r="GH344" s="27" t="s">
        <v>7</v>
      </c>
      <c r="GI344" s="27" t="s">
        <v>8</v>
      </c>
      <c r="GJ344" s="27" t="s">
        <v>7</v>
      </c>
      <c r="GK344" s="27" t="s">
        <v>8</v>
      </c>
    </row>
    <row r="345" spans="1:193" x14ac:dyDescent="0.25">
      <c r="A345" s="30">
        <v>5.9583168959813212E-3</v>
      </c>
      <c r="B345"/>
      <c r="C345"/>
      <c r="D345"/>
      <c r="E345"/>
      <c r="H345" s="27" t="s">
        <v>7</v>
      </c>
      <c r="I345" s="27" t="s">
        <v>8</v>
      </c>
      <c r="J345" s="27" t="s">
        <v>7</v>
      </c>
      <c r="K345" s="27" t="s">
        <v>8</v>
      </c>
      <c r="N345" s="27" t="s">
        <v>7</v>
      </c>
      <c r="O345" s="27" t="s">
        <v>8</v>
      </c>
      <c r="P345" s="27" t="s">
        <v>7</v>
      </c>
      <c r="BA345" s="27" t="s">
        <v>8</v>
      </c>
      <c r="BB345" s="27" t="s">
        <v>7</v>
      </c>
      <c r="BC345" s="27" t="s">
        <v>8</v>
      </c>
      <c r="BD345" s="27" t="s">
        <v>7</v>
      </c>
      <c r="BE345" s="27" t="s">
        <v>8</v>
      </c>
      <c r="BH345" s="27" t="s">
        <v>7</v>
      </c>
      <c r="CI345" s="27" t="s">
        <v>8</v>
      </c>
      <c r="CJ345" s="27" t="s">
        <v>7</v>
      </c>
      <c r="CK345" s="27" t="s">
        <v>8</v>
      </c>
      <c r="CL345" s="27" t="s">
        <v>7</v>
      </c>
      <c r="CM345" s="27" t="s">
        <v>8</v>
      </c>
      <c r="EL345" s="27" t="s">
        <v>7</v>
      </c>
      <c r="EM345" s="27" t="s">
        <v>8</v>
      </c>
      <c r="EP345" s="27" t="s">
        <v>7</v>
      </c>
      <c r="EQ345" s="31" t="s">
        <v>8</v>
      </c>
      <c r="GH345" s="27" t="s">
        <v>7</v>
      </c>
      <c r="GI345" s="27" t="s">
        <v>8</v>
      </c>
      <c r="GJ345" s="27" t="s">
        <v>7</v>
      </c>
      <c r="GK345" s="27" t="s">
        <v>8</v>
      </c>
    </row>
    <row r="346" spans="1:193" x14ac:dyDescent="0.25">
      <c r="A346" s="30">
        <v>5.6745875199822084E-3</v>
      </c>
      <c r="B346"/>
      <c r="C346"/>
      <c r="D346"/>
      <c r="E346"/>
      <c r="H346" s="27" t="s">
        <v>7</v>
      </c>
      <c r="I346" s="27" t="s">
        <v>8</v>
      </c>
      <c r="J346" s="27" t="s">
        <v>7</v>
      </c>
      <c r="K346" s="27" t="s">
        <v>8</v>
      </c>
      <c r="N346" s="27" t="s">
        <v>7</v>
      </c>
      <c r="O346" s="27" t="s">
        <v>8</v>
      </c>
      <c r="P346" s="27" t="s">
        <v>7</v>
      </c>
      <c r="BA346" s="27" t="s">
        <v>8</v>
      </c>
      <c r="BB346" s="27" t="s">
        <v>7</v>
      </c>
      <c r="BD346" s="27" t="s">
        <v>7</v>
      </c>
      <c r="BE346" s="27" t="s">
        <v>8</v>
      </c>
      <c r="BH346" s="27" t="s">
        <v>7</v>
      </c>
      <c r="CI346" s="27" t="s">
        <v>8</v>
      </c>
      <c r="CJ346" s="27" t="s">
        <v>7</v>
      </c>
      <c r="CK346" s="27" t="s">
        <v>8</v>
      </c>
      <c r="CL346" s="27" t="s">
        <v>7</v>
      </c>
      <c r="CM346" s="27" t="s">
        <v>8</v>
      </c>
      <c r="EL346" s="27" t="s">
        <v>7</v>
      </c>
      <c r="EP346" s="31" t="s">
        <v>7</v>
      </c>
      <c r="GH346" s="27" t="s">
        <v>7</v>
      </c>
      <c r="GI346" s="27" t="s">
        <v>8</v>
      </c>
      <c r="GJ346" s="27" t="s">
        <v>7</v>
      </c>
      <c r="GK346" s="27" t="s">
        <v>8</v>
      </c>
    </row>
    <row r="347" spans="1:193" x14ac:dyDescent="0.25">
      <c r="A347" s="30">
        <v>5.4043690666497205E-3</v>
      </c>
      <c r="B347"/>
      <c r="C347"/>
      <c r="D347"/>
      <c r="E347"/>
      <c r="H347" s="27" t="s">
        <v>7</v>
      </c>
      <c r="I347" s="27" t="s">
        <v>8</v>
      </c>
      <c r="J347" s="27" t="s">
        <v>7</v>
      </c>
      <c r="K347" s="27" t="s">
        <v>8</v>
      </c>
      <c r="N347" s="27" t="s">
        <v>7</v>
      </c>
      <c r="P347" s="27" t="s">
        <v>7</v>
      </c>
      <c r="BA347" s="27" t="s">
        <v>8</v>
      </c>
      <c r="BD347" s="27" t="s">
        <v>7</v>
      </c>
      <c r="BE347" s="27" t="s">
        <v>8</v>
      </c>
      <c r="BH347" s="27" t="s">
        <v>7</v>
      </c>
      <c r="CI347" s="27" t="s">
        <v>8</v>
      </c>
      <c r="CJ347" s="27" t="s">
        <v>7</v>
      </c>
      <c r="CL347" s="27" t="s">
        <v>7</v>
      </c>
      <c r="CM347" s="27" t="s">
        <v>8</v>
      </c>
      <c r="GH347" s="27" t="s">
        <v>7</v>
      </c>
      <c r="GJ347" s="27" t="s">
        <v>7</v>
      </c>
    </row>
    <row r="348" spans="1:193" x14ac:dyDescent="0.25">
      <c r="A348" s="30">
        <v>5.1470181587140174E-3</v>
      </c>
      <c r="B348"/>
      <c r="C348"/>
      <c r="D348"/>
      <c r="E348"/>
      <c r="H348" s="27" t="s">
        <v>7</v>
      </c>
      <c r="I348" s="27" t="s">
        <v>8</v>
      </c>
      <c r="J348" s="27" t="s">
        <v>7</v>
      </c>
      <c r="P348" s="27" t="s">
        <v>7</v>
      </c>
      <c r="AY348" s="27" t="s">
        <v>8</v>
      </c>
      <c r="BA348" s="27" t="s">
        <v>8</v>
      </c>
      <c r="BD348" s="27" t="s">
        <v>7</v>
      </c>
      <c r="BH348" s="27" t="s">
        <v>7</v>
      </c>
      <c r="CI348" s="27" t="s">
        <v>8</v>
      </c>
      <c r="CL348" s="27" t="s">
        <v>7</v>
      </c>
    </row>
    <row r="349" spans="1:193" x14ac:dyDescent="0.25">
      <c r="A349" s="30">
        <v>4.9019220559181099E-3</v>
      </c>
      <c r="B349"/>
      <c r="C349"/>
      <c r="D349"/>
      <c r="E349"/>
      <c r="H349" s="27" t="s">
        <v>7</v>
      </c>
      <c r="I349" s="27" t="s">
        <v>8</v>
      </c>
      <c r="P349" s="27" t="s">
        <v>7</v>
      </c>
      <c r="S349" s="27" t="s">
        <v>8</v>
      </c>
      <c r="AY349" s="27" t="s">
        <v>8</v>
      </c>
      <c r="AZ349" s="27" t="s">
        <v>7</v>
      </c>
      <c r="BA349" s="27" t="s">
        <v>8</v>
      </c>
      <c r="BH349" s="27" t="s">
        <v>7</v>
      </c>
      <c r="CI349" s="27" t="s">
        <v>8</v>
      </c>
    </row>
    <row r="350" spans="1:193" x14ac:dyDescent="0.25">
      <c r="A350" s="30">
        <v>4.6684971961124836E-3</v>
      </c>
      <c r="B350"/>
      <c r="C350"/>
      <c r="D350"/>
      <c r="E350"/>
      <c r="H350" s="27" t="s">
        <v>7</v>
      </c>
      <c r="I350" s="27" t="s">
        <v>8</v>
      </c>
      <c r="P350" s="27" t="s">
        <v>7</v>
      </c>
      <c r="Q350" s="27" t="s">
        <v>8</v>
      </c>
      <c r="S350" s="27" t="s">
        <v>8</v>
      </c>
      <c r="T350" s="27" t="s">
        <v>7</v>
      </c>
      <c r="AY350" s="27" t="s">
        <v>8</v>
      </c>
      <c r="AZ350" s="27" t="s">
        <v>7</v>
      </c>
      <c r="BA350" s="27" t="s">
        <v>8</v>
      </c>
      <c r="BH350" s="27" t="s">
        <v>7</v>
      </c>
      <c r="CI350" s="27" t="s">
        <v>8</v>
      </c>
    </row>
    <row r="351" spans="1:193" x14ac:dyDescent="0.25">
      <c r="A351" s="30">
        <v>4.4461878058214112E-3</v>
      </c>
      <c r="B351"/>
      <c r="C351"/>
      <c r="D351"/>
      <c r="E351"/>
      <c r="H351" s="27" t="s">
        <v>7</v>
      </c>
      <c r="P351" s="27" t="s">
        <v>7</v>
      </c>
      <c r="Q351" s="27" t="s">
        <v>8</v>
      </c>
      <c r="R351" s="27" t="s">
        <v>7</v>
      </c>
      <c r="S351" s="27" t="s">
        <v>8</v>
      </c>
      <c r="T351" s="27" t="s">
        <v>7</v>
      </c>
      <c r="AW351" s="27" t="s">
        <v>8</v>
      </c>
      <c r="AY351" s="27" t="s">
        <v>8</v>
      </c>
      <c r="AZ351" s="27" t="s">
        <v>7</v>
      </c>
      <c r="BA351" s="27" t="s">
        <v>8</v>
      </c>
      <c r="BH351" s="27" t="s">
        <v>7</v>
      </c>
      <c r="CG351" s="27" t="s">
        <v>8</v>
      </c>
      <c r="CI351" s="27" t="s">
        <v>8</v>
      </c>
    </row>
    <row r="352" spans="1:193" x14ac:dyDescent="0.25">
      <c r="A352" s="30">
        <v>4.2344645769727711E-3</v>
      </c>
      <c r="B352"/>
      <c r="C352"/>
      <c r="D352"/>
      <c r="E352"/>
      <c r="P352" s="27" t="s">
        <v>7</v>
      </c>
      <c r="Q352" s="27" t="s">
        <v>8</v>
      </c>
      <c r="R352" s="27" t="s">
        <v>7</v>
      </c>
      <c r="S352" s="27" t="s">
        <v>8</v>
      </c>
      <c r="T352" s="27" t="s">
        <v>7</v>
      </c>
      <c r="U352" s="27" t="s">
        <v>8</v>
      </c>
      <c r="AQ352" s="27" t="s">
        <v>8</v>
      </c>
      <c r="AW352" s="27" t="s">
        <v>8</v>
      </c>
      <c r="AX352" s="27" t="s">
        <v>7</v>
      </c>
      <c r="AY352" s="27" t="s">
        <v>8</v>
      </c>
      <c r="AZ352" s="27" t="s">
        <v>7</v>
      </c>
      <c r="BH352" s="27" t="s">
        <v>7</v>
      </c>
      <c r="BI352" s="27" t="s">
        <v>8</v>
      </c>
      <c r="CG352" s="27" t="s">
        <v>8</v>
      </c>
      <c r="CH352" s="27" t="s">
        <v>7</v>
      </c>
      <c r="CI352" s="27" t="s">
        <v>8</v>
      </c>
    </row>
    <row r="353" spans="1:87" x14ac:dyDescent="0.25">
      <c r="A353" s="30">
        <v>4.0328234066407329E-3</v>
      </c>
      <c r="B353"/>
      <c r="C353"/>
      <c r="D353"/>
      <c r="E353"/>
      <c r="P353" s="27" t="s">
        <v>7</v>
      </c>
      <c r="Q353" s="27" t="s">
        <v>8</v>
      </c>
      <c r="R353" s="27" t="s">
        <v>7</v>
      </c>
      <c r="S353" s="27" t="s">
        <v>8</v>
      </c>
      <c r="T353" s="27" t="s">
        <v>7</v>
      </c>
      <c r="U353" s="27" t="s">
        <v>8</v>
      </c>
      <c r="V353" s="27" t="s">
        <v>7</v>
      </c>
      <c r="AQ353" s="27" t="s">
        <v>8</v>
      </c>
      <c r="AR353" s="27" t="s">
        <v>7</v>
      </c>
      <c r="AS353" s="27" t="s">
        <v>8</v>
      </c>
      <c r="AU353" s="27" t="s">
        <v>8</v>
      </c>
      <c r="AW353" s="27" t="s">
        <v>8</v>
      </c>
      <c r="AX353" s="27" t="s">
        <v>7</v>
      </c>
      <c r="AY353" s="27" t="s">
        <v>8</v>
      </c>
      <c r="BH353" s="27" t="s">
        <v>7</v>
      </c>
      <c r="BI353" s="27" t="s">
        <v>8</v>
      </c>
      <c r="BJ353" s="27" t="s">
        <v>7</v>
      </c>
      <c r="CC353" s="27" t="s">
        <v>8</v>
      </c>
      <c r="CE353" s="27" t="s">
        <v>8</v>
      </c>
      <c r="CG353" s="27" t="s">
        <v>8</v>
      </c>
      <c r="CH353" s="27" t="s">
        <v>7</v>
      </c>
      <c r="CI353" s="27" t="s">
        <v>8</v>
      </c>
    </row>
    <row r="354" spans="1:87" x14ac:dyDescent="0.25">
      <c r="A354" s="30">
        <v>3.8407841968006963E-3</v>
      </c>
      <c r="B354"/>
      <c r="C354"/>
      <c r="D354"/>
      <c r="E354"/>
      <c r="P354" s="27" t="s">
        <v>7</v>
      </c>
      <c r="Q354" s="27" t="s">
        <v>8</v>
      </c>
      <c r="R354" s="27" t="s">
        <v>7</v>
      </c>
      <c r="T354" s="27" t="s">
        <v>7</v>
      </c>
      <c r="U354" s="27" t="s">
        <v>8</v>
      </c>
      <c r="V354" s="27" t="s">
        <v>7</v>
      </c>
      <c r="AQ354" s="27" t="s">
        <v>8</v>
      </c>
      <c r="AR354" s="27" t="s">
        <v>7</v>
      </c>
      <c r="AS354" s="27" t="s">
        <v>8</v>
      </c>
      <c r="AT354" s="27" t="s">
        <v>7</v>
      </c>
      <c r="AU354" s="27" t="s">
        <v>8</v>
      </c>
      <c r="AV354" s="27" t="s">
        <v>7</v>
      </c>
      <c r="AW354" s="27" t="s">
        <v>8</v>
      </c>
      <c r="AX354" s="27" t="s">
        <v>7</v>
      </c>
      <c r="AY354" s="27" t="s">
        <v>8</v>
      </c>
      <c r="BH354" s="27" t="s">
        <v>7</v>
      </c>
      <c r="BI354" s="27" t="s">
        <v>8</v>
      </c>
      <c r="BJ354" s="27" t="s">
        <v>7</v>
      </c>
      <c r="CC354" s="27" t="s">
        <v>8</v>
      </c>
      <c r="CD354" s="27" t="s">
        <v>7</v>
      </c>
      <c r="CE354" s="27" t="s">
        <v>8</v>
      </c>
      <c r="CF354" s="27" t="s">
        <v>7</v>
      </c>
      <c r="CG354" s="27" t="s">
        <v>8</v>
      </c>
      <c r="CH354" s="27" t="s">
        <v>7</v>
      </c>
    </row>
    <row r="355" spans="1:87" x14ac:dyDescent="0.25">
      <c r="A355" s="30">
        <v>3.6578897112387568E-3</v>
      </c>
      <c r="B355"/>
      <c r="C355"/>
      <c r="D355"/>
      <c r="E355"/>
      <c r="P355" s="27" t="s">
        <v>7</v>
      </c>
      <c r="Q355" s="27" t="s">
        <v>8</v>
      </c>
      <c r="T355" s="27" t="s">
        <v>7</v>
      </c>
      <c r="U355" s="27" t="s">
        <v>8</v>
      </c>
      <c r="V355" s="27" t="s">
        <v>7</v>
      </c>
      <c r="AQ355" s="27" t="s">
        <v>8</v>
      </c>
      <c r="AR355" s="27" t="s">
        <v>7</v>
      </c>
      <c r="AS355" s="27" t="s">
        <v>8</v>
      </c>
      <c r="AT355" s="27" t="s">
        <v>7</v>
      </c>
      <c r="AU355" s="27" t="s">
        <v>8</v>
      </c>
      <c r="AV355" s="27" t="s">
        <v>7</v>
      </c>
      <c r="AW355" s="27" t="s">
        <v>8</v>
      </c>
      <c r="AX355" s="27" t="s">
        <v>7</v>
      </c>
      <c r="AY355" s="27" t="s">
        <v>8</v>
      </c>
      <c r="BH355" s="27" t="s">
        <v>7</v>
      </c>
      <c r="BI355" s="27" t="s">
        <v>8</v>
      </c>
      <c r="BJ355" s="27" t="s">
        <v>7</v>
      </c>
      <c r="BY355" s="27" t="s">
        <v>8</v>
      </c>
      <c r="CA355" s="27" t="s">
        <v>8</v>
      </c>
      <c r="CC355" s="27" t="s">
        <v>8</v>
      </c>
      <c r="CD355" s="27" t="s">
        <v>7</v>
      </c>
      <c r="CE355" s="27" t="s">
        <v>8</v>
      </c>
      <c r="CF355" s="27" t="s">
        <v>7</v>
      </c>
      <c r="CG355" s="27" t="s">
        <v>8</v>
      </c>
    </row>
    <row r="356" spans="1:87" x14ac:dyDescent="0.25">
      <c r="A356" s="30">
        <v>3.4837044868940526E-3</v>
      </c>
      <c r="B356"/>
      <c r="C356"/>
      <c r="D356"/>
      <c r="E356"/>
      <c r="P356" s="27" t="s">
        <v>7</v>
      </c>
      <c r="Q356" s="27" t="s">
        <v>8</v>
      </c>
      <c r="T356" s="27" t="s">
        <v>7</v>
      </c>
      <c r="U356" s="27" t="s">
        <v>8</v>
      </c>
      <c r="V356" s="27" t="s">
        <v>7</v>
      </c>
      <c r="AQ356" s="27" t="s">
        <v>8</v>
      </c>
      <c r="AR356" s="27" t="s">
        <v>7</v>
      </c>
      <c r="AS356" s="27" t="s">
        <v>8</v>
      </c>
      <c r="AT356" s="27" t="s">
        <v>7</v>
      </c>
      <c r="AU356" s="27" t="s">
        <v>8</v>
      </c>
      <c r="AV356" s="27" t="s">
        <v>7</v>
      </c>
      <c r="AW356" s="27" t="s">
        <v>8</v>
      </c>
      <c r="AX356" s="27" t="s">
        <v>7</v>
      </c>
      <c r="AY356" s="27" t="s">
        <v>8</v>
      </c>
      <c r="BH356" s="27" t="s">
        <v>7</v>
      </c>
      <c r="BJ356" s="27" t="s">
        <v>7</v>
      </c>
      <c r="BK356" s="27" t="s">
        <v>8</v>
      </c>
      <c r="BM356" s="27" t="s">
        <v>8</v>
      </c>
      <c r="BS356" s="27" t="s">
        <v>8</v>
      </c>
      <c r="BU356" s="27" t="s">
        <v>8</v>
      </c>
      <c r="BY356" s="27" t="s">
        <v>8</v>
      </c>
      <c r="BZ356" s="27" t="s">
        <v>7</v>
      </c>
      <c r="CA356" s="27" t="s">
        <v>8</v>
      </c>
      <c r="CB356" s="27" t="s">
        <v>7</v>
      </c>
      <c r="CC356" s="27" t="s">
        <v>8</v>
      </c>
      <c r="CD356" s="27" t="s">
        <v>7</v>
      </c>
      <c r="CF356" s="27" t="s">
        <v>7</v>
      </c>
      <c r="CG356" s="27" t="s">
        <v>8</v>
      </c>
    </row>
    <row r="357" spans="1:87" x14ac:dyDescent="0.25">
      <c r="A357" s="30">
        <v>3.3178137970419535E-3</v>
      </c>
      <c r="B357"/>
      <c r="C357"/>
      <c r="D357"/>
      <c r="E357"/>
      <c r="P357" s="27" t="s">
        <v>7</v>
      </c>
      <c r="Q357" s="27" t="s">
        <v>8</v>
      </c>
      <c r="T357" s="27" t="s">
        <v>7</v>
      </c>
      <c r="V357" s="27" t="s">
        <v>7</v>
      </c>
      <c r="AM357" s="27" t="s">
        <v>8</v>
      </c>
      <c r="AQ357" s="27" t="s">
        <v>8</v>
      </c>
      <c r="AR357" s="27" t="s">
        <v>7</v>
      </c>
      <c r="AT357" s="27" t="s">
        <v>7</v>
      </c>
      <c r="AU357" s="27" t="s">
        <v>8</v>
      </c>
      <c r="AV357" s="27" t="s">
        <v>7</v>
      </c>
      <c r="AX357" s="27" t="s">
        <v>7</v>
      </c>
      <c r="AY357" s="27" t="s">
        <v>8</v>
      </c>
      <c r="BJ357" s="27" t="s">
        <v>7</v>
      </c>
      <c r="BK357" s="27" t="s">
        <v>8</v>
      </c>
      <c r="BL357" s="27" t="s">
        <v>7</v>
      </c>
      <c r="BM357" s="27" t="s">
        <v>8</v>
      </c>
      <c r="BN357" s="27" t="s">
        <v>7</v>
      </c>
      <c r="BS357" s="27" t="s">
        <v>8</v>
      </c>
      <c r="BT357" s="27" t="s">
        <v>7</v>
      </c>
      <c r="BU357" s="27" t="s">
        <v>8</v>
      </c>
      <c r="BV357" s="27" t="s">
        <v>7</v>
      </c>
      <c r="BY357" s="27" t="s">
        <v>8</v>
      </c>
      <c r="BZ357" s="27" t="s">
        <v>7</v>
      </c>
      <c r="CA357" s="27" t="s">
        <v>8</v>
      </c>
      <c r="CB357" s="27" t="s">
        <v>7</v>
      </c>
      <c r="CC357" s="27" t="s">
        <v>8</v>
      </c>
      <c r="CF357" s="27" t="s">
        <v>7</v>
      </c>
    </row>
    <row r="358" spans="1:87" x14ac:dyDescent="0.25">
      <c r="A358" s="30">
        <v>3.1598226638494781E-3</v>
      </c>
      <c r="B358"/>
      <c r="C358"/>
      <c r="D358"/>
      <c r="E358"/>
      <c r="P358" s="27" t="s">
        <v>7</v>
      </c>
      <c r="Q358" s="27" t="s">
        <v>8</v>
      </c>
      <c r="V358" s="27" t="s">
        <v>7</v>
      </c>
      <c r="AM358" s="27" t="s">
        <v>8</v>
      </c>
      <c r="AN358" s="27" t="s">
        <v>7</v>
      </c>
      <c r="AO358" s="27" t="s">
        <v>8</v>
      </c>
      <c r="AQ358" s="27" t="s">
        <v>8</v>
      </c>
      <c r="AT358" s="27" t="s">
        <v>7</v>
      </c>
      <c r="AX358" s="27" t="s">
        <v>7</v>
      </c>
      <c r="BJ358" s="27" t="s">
        <v>7</v>
      </c>
      <c r="BK358" s="27" t="s">
        <v>8</v>
      </c>
      <c r="BL358" s="27" t="s">
        <v>7</v>
      </c>
      <c r="BM358" s="27" t="s">
        <v>8</v>
      </c>
      <c r="BN358" s="27" t="s">
        <v>7</v>
      </c>
      <c r="BS358" s="27" t="s">
        <v>8</v>
      </c>
      <c r="BT358" s="27" t="s">
        <v>7</v>
      </c>
      <c r="BU358" s="27" t="s">
        <v>8</v>
      </c>
      <c r="BV358" s="27" t="s">
        <v>7</v>
      </c>
      <c r="BY358" s="27" t="s">
        <v>8</v>
      </c>
      <c r="BZ358" s="27" t="s">
        <v>7</v>
      </c>
      <c r="CA358" s="27" t="s">
        <v>8</v>
      </c>
      <c r="CB358" s="27" t="s">
        <v>7</v>
      </c>
    </row>
    <row r="359" spans="1:87" x14ac:dyDescent="0.25">
      <c r="A359" s="30">
        <v>3.0093549179518826E-3</v>
      </c>
      <c r="B359"/>
      <c r="C359"/>
      <c r="D359"/>
      <c r="E359"/>
      <c r="P359" s="27" t="s">
        <v>7</v>
      </c>
      <c r="Q359" s="27" t="s">
        <v>8</v>
      </c>
      <c r="V359" s="27" t="s">
        <v>7</v>
      </c>
      <c r="AM359" s="27" t="s">
        <v>8</v>
      </c>
      <c r="AN359" s="27" t="s">
        <v>7</v>
      </c>
      <c r="AO359" s="27" t="s">
        <v>8</v>
      </c>
      <c r="AP359" s="27" t="s">
        <v>7</v>
      </c>
      <c r="AQ359" s="27" t="s">
        <v>8</v>
      </c>
      <c r="BJ359" s="27" t="s">
        <v>7</v>
      </c>
      <c r="BK359" s="27" t="s">
        <v>8</v>
      </c>
      <c r="BL359" s="27" t="s">
        <v>7</v>
      </c>
      <c r="BM359" s="27" t="s">
        <v>8</v>
      </c>
      <c r="BN359" s="27" t="s">
        <v>7</v>
      </c>
      <c r="BO359" s="27" t="s">
        <v>8</v>
      </c>
      <c r="BQ359" s="27" t="s">
        <v>8</v>
      </c>
      <c r="BS359" s="27" t="s">
        <v>8</v>
      </c>
      <c r="BT359" s="27" t="s">
        <v>7</v>
      </c>
      <c r="BU359" s="27" t="s">
        <v>8</v>
      </c>
      <c r="BV359" s="27" t="s">
        <v>7</v>
      </c>
      <c r="BY359" s="27" t="s">
        <v>8</v>
      </c>
      <c r="BZ359" s="27" t="s">
        <v>7</v>
      </c>
      <c r="CA359" s="27" t="s">
        <v>8</v>
      </c>
    </row>
    <row r="360" spans="1:87" x14ac:dyDescent="0.25">
      <c r="A360" s="30">
        <v>2.8660523028113155E-3</v>
      </c>
      <c r="B360"/>
      <c r="C360"/>
      <c r="D360"/>
      <c r="E360"/>
      <c r="P360" s="27" t="s">
        <v>7</v>
      </c>
      <c r="Q360" s="27" t="s">
        <v>8</v>
      </c>
      <c r="V360" s="27" t="s">
        <v>7</v>
      </c>
      <c r="AM360" s="27" t="s">
        <v>8</v>
      </c>
      <c r="AN360" s="27" t="s">
        <v>7</v>
      </c>
      <c r="AO360" s="27" t="s">
        <v>8</v>
      </c>
      <c r="AP360" s="27" t="s">
        <v>7</v>
      </c>
      <c r="AQ360" s="27" t="s">
        <v>8</v>
      </c>
      <c r="BJ360" s="27" t="s">
        <v>7</v>
      </c>
      <c r="BK360" s="27" t="s">
        <v>8</v>
      </c>
      <c r="BL360" s="27" t="s">
        <v>7</v>
      </c>
      <c r="BM360" s="27" t="s">
        <v>8</v>
      </c>
      <c r="BN360" s="27" t="s">
        <v>7</v>
      </c>
      <c r="BO360" s="27" t="s">
        <v>8</v>
      </c>
      <c r="BP360" s="27" t="s">
        <v>7</v>
      </c>
      <c r="BQ360" s="27" t="s">
        <v>8</v>
      </c>
      <c r="BR360" s="27" t="s">
        <v>7</v>
      </c>
      <c r="BS360" s="27" t="s">
        <v>8</v>
      </c>
      <c r="BT360" s="27" t="s">
        <v>7</v>
      </c>
      <c r="BU360" s="27" t="s">
        <v>8</v>
      </c>
      <c r="BV360" s="27" t="s">
        <v>7</v>
      </c>
      <c r="BW360" s="27" t="s">
        <v>8</v>
      </c>
      <c r="BY360" s="27" t="s">
        <v>8</v>
      </c>
      <c r="BZ360" s="27" t="s">
        <v>7</v>
      </c>
      <c r="CA360" s="27" t="s">
        <v>8</v>
      </c>
    </row>
    <row r="361" spans="1:87" x14ac:dyDescent="0.25">
      <c r="A361" s="30">
        <v>2.7295736217250611E-3</v>
      </c>
      <c r="B361"/>
      <c r="C361"/>
      <c r="D361"/>
      <c r="E361"/>
      <c r="P361" s="27" t="s">
        <v>7</v>
      </c>
      <c r="Q361" s="27" t="s">
        <v>8</v>
      </c>
      <c r="V361" s="27" t="s">
        <v>7</v>
      </c>
      <c r="AM361" s="27" t="s">
        <v>8</v>
      </c>
      <c r="AN361" s="27" t="s">
        <v>7</v>
      </c>
      <c r="AO361" s="27" t="s">
        <v>8</v>
      </c>
      <c r="AP361" s="27" t="s">
        <v>7</v>
      </c>
      <c r="AQ361" s="27" t="s">
        <v>8</v>
      </c>
      <c r="BJ361" s="27" t="s">
        <v>7</v>
      </c>
      <c r="BL361" s="27" t="s">
        <v>7</v>
      </c>
      <c r="BN361" s="27" t="s">
        <v>7</v>
      </c>
      <c r="BO361" s="27" t="s">
        <v>8</v>
      </c>
      <c r="BP361" s="27" t="s">
        <v>7</v>
      </c>
      <c r="BQ361" s="27" t="s">
        <v>8</v>
      </c>
      <c r="BR361" s="27" t="s">
        <v>7</v>
      </c>
      <c r="BS361" s="27" t="s">
        <v>8</v>
      </c>
      <c r="BT361" s="27" t="s">
        <v>7</v>
      </c>
      <c r="BU361" s="27" t="s">
        <v>8</v>
      </c>
      <c r="BV361" s="27" t="s">
        <v>7</v>
      </c>
      <c r="BW361" s="27" t="s">
        <v>8</v>
      </c>
      <c r="BX361" s="27" t="s">
        <v>7</v>
      </c>
      <c r="BY361" s="27" t="s">
        <v>8</v>
      </c>
      <c r="BZ361" s="27" t="s">
        <v>7</v>
      </c>
    </row>
    <row r="362" spans="1:87" x14ac:dyDescent="0.25">
      <c r="A362" s="30">
        <v>2.5995939254524381E-3</v>
      </c>
      <c r="B362"/>
      <c r="C362"/>
      <c r="D362"/>
      <c r="E362"/>
      <c r="P362" s="27" t="s">
        <v>7</v>
      </c>
      <c r="Q362" s="27" t="s">
        <v>8</v>
      </c>
      <c r="V362" s="27" t="s">
        <v>7</v>
      </c>
      <c r="AG362" s="27" t="s">
        <v>8</v>
      </c>
      <c r="AK362" s="27" t="s">
        <v>8</v>
      </c>
      <c r="AM362" s="27" t="s">
        <v>8</v>
      </c>
      <c r="AN362" s="27" t="s">
        <v>7</v>
      </c>
      <c r="AO362" s="27" t="s">
        <v>8</v>
      </c>
      <c r="AP362" s="27" t="s">
        <v>7</v>
      </c>
      <c r="BN362" s="27" t="s">
        <v>7</v>
      </c>
      <c r="BO362" s="27" t="s">
        <v>8</v>
      </c>
      <c r="BP362" s="27" t="s">
        <v>7</v>
      </c>
      <c r="BR362" s="27" t="s">
        <v>7</v>
      </c>
      <c r="BT362" s="27" t="s">
        <v>7</v>
      </c>
      <c r="BV362" s="27" t="s">
        <v>7</v>
      </c>
      <c r="BW362" s="27" t="s">
        <v>8</v>
      </c>
      <c r="BX362" s="27" t="s">
        <v>7</v>
      </c>
      <c r="BY362" s="27" t="s">
        <v>8</v>
      </c>
    </row>
    <row r="363" spans="1:87" x14ac:dyDescent="0.25">
      <c r="A363" s="30">
        <v>2.4758037385261304E-3</v>
      </c>
      <c r="B363"/>
      <c r="C363"/>
      <c r="D363"/>
      <c r="E363"/>
      <c r="P363" s="27" t="s">
        <v>7</v>
      </c>
      <c r="Q363" s="27" t="s">
        <v>8</v>
      </c>
      <c r="V363" s="27" t="s">
        <v>7</v>
      </c>
      <c r="AE363" s="27" t="s">
        <v>8</v>
      </c>
      <c r="AG363" s="27" t="s">
        <v>8</v>
      </c>
      <c r="AH363" s="27" t="s">
        <v>7</v>
      </c>
      <c r="AI363" s="27" t="s">
        <v>8</v>
      </c>
      <c r="AK363" s="27" t="s">
        <v>8</v>
      </c>
      <c r="AL363" s="27" t="s">
        <v>7</v>
      </c>
      <c r="AM363" s="27" t="s">
        <v>8</v>
      </c>
      <c r="AN363" s="27" t="s">
        <v>7</v>
      </c>
      <c r="AO363" s="27" t="s">
        <v>8</v>
      </c>
      <c r="BN363" s="27" t="s">
        <v>7</v>
      </c>
      <c r="BO363" s="27" t="s">
        <v>8</v>
      </c>
      <c r="BV363" s="27" t="s">
        <v>7</v>
      </c>
      <c r="BW363" s="27" t="s">
        <v>8</v>
      </c>
      <c r="BX363" s="27" t="s">
        <v>7</v>
      </c>
      <c r="BY363" s="27" t="s">
        <v>8</v>
      </c>
    </row>
    <row r="364" spans="1:87" x14ac:dyDescent="0.25">
      <c r="A364" s="30">
        <v>2.3579083224058374E-3</v>
      </c>
      <c r="B364"/>
      <c r="C364"/>
      <c r="D364"/>
      <c r="E364"/>
      <c r="P364" s="27" t="s">
        <v>7</v>
      </c>
      <c r="Q364" s="27" t="s">
        <v>8</v>
      </c>
      <c r="V364" s="27" t="s">
        <v>7</v>
      </c>
      <c r="AE364" s="27" t="s">
        <v>8</v>
      </c>
      <c r="AF364" s="27" t="s">
        <v>7</v>
      </c>
      <c r="AG364" s="27" t="s">
        <v>8</v>
      </c>
      <c r="AH364" s="27" t="s">
        <v>7</v>
      </c>
      <c r="AI364" s="27" t="s">
        <v>8</v>
      </c>
      <c r="AJ364" s="27" t="s">
        <v>7</v>
      </c>
      <c r="AK364" s="27" t="s">
        <v>8</v>
      </c>
      <c r="AL364" s="27" t="s">
        <v>7</v>
      </c>
      <c r="AM364" s="27" t="s">
        <v>8</v>
      </c>
      <c r="AN364" s="27" t="s">
        <v>7</v>
      </c>
      <c r="AO364" s="27" t="s">
        <v>8</v>
      </c>
      <c r="BN364" s="27" t="s">
        <v>7</v>
      </c>
      <c r="BV364" s="27" t="s">
        <v>7</v>
      </c>
      <c r="BX364" s="27" t="s">
        <v>7</v>
      </c>
      <c r="BY364" s="27" t="s">
        <v>8</v>
      </c>
    </row>
    <row r="365" spans="1:87" x14ac:dyDescent="0.25">
      <c r="A365" s="30">
        <v>2.245626973719844E-3</v>
      </c>
      <c r="B365"/>
      <c r="C365"/>
      <c r="D365"/>
      <c r="E365"/>
      <c r="P365" s="27" t="s">
        <v>7</v>
      </c>
      <c r="V365" s="27" t="s">
        <v>7</v>
      </c>
      <c r="AE365" s="27" t="s">
        <v>8</v>
      </c>
      <c r="AF365" s="27" t="s">
        <v>7</v>
      </c>
      <c r="AG365" s="27" t="s">
        <v>8</v>
      </c>
      <c r="AH365" s="27" t="s">
        <v>7</v>
      </c>
      <c r="AI365" s="27" t="s">
        <v>8</v>
      </c>
      <c r="AJ365" s="27" t="s">
        <v>7</v>
      </c>
      <c r="AK365" s="27" t="s">
        <v>8</v>
      </c>
      <c r="AL365" s="27" t="s">
        <v>7</v>
      </c>
      <c r="AN365" s="27" t="s">
        <v>7</v>
      </c>
      <c r="AO365" s="27" t="s">
        <v>8</v>
      </c>
      <c r="BX365" s="27" t="s">
        <v>7</v>
      </c>
    </row>
    <row r="366" spans="1:87" x14ac:dyDescent="0.25">
      <c r="A366" s="30">
        <v>2.1386923559236601E-3</v>
      </c>
      <c r="B366"/>
      <c r="C366"/>
      <c r="D366"/>
      <c r="E366"/>
      <c r="V366" s="27" t="s">
        <v>7</v>
      </c>
      <c r="AE366" s="27" t="s">
        <v>8</v>
      </c>
      <c r="AF366" s="27" t="s">
        <v>7</v>
      </c>
      <c r="AG366" s="27" t="s">
        <v>8</v>
      </c>
      <c r="AH366" s="27" t="s">
        <v>7</v>
      </c>
      <c r="AI366" s="27" t="s">
        <v>8</v>
      </c>
      <c r="AJ366" s="27" t="s">
        <v>7</v>
      </c>
      <c r="AN366" s="27" t="s">
        <v>7</v>
      </c>
    </row>
    <row r="367" spans="1:87" x14ac:dyDescent="0.25">
      <c r="A367" s="30">
        <v>2.0368498627844375E-3</v>
      </c>
      <c r="B367"/>
      <c r="C367"/>
      <c r="D367"/>
      <c r="E367"/>
      <c r="V367" s="27" t="s">
        <v>7</v>
      </c>
      <c r="AA367" s="27" t="s">
        <v>8</v>
      </c>
      <c r="AC367" s="27" t="s">
        <v>8</v>
      </c>
      <c r="AE367" s="27" t="s">
        <v>8</v>
      </c>
      <c r="AF367" s="27" t="s">
        <v>7</v>
      </c>
      <c r="AG367" s="27" t="s">
        <v>8</v>
      </c>
      <c r="AH367" s="27" t="s">
        <v>7</v>
      </c>
    </row>
    <row r="368" spans="1:87" x14ac:dyDescent="0.25">
      <c r="A368" s="30">
        <v>1.9398570121756541E-3</v>
      </c>
      <c r="B368"/>
      <c r="C368"/>
      <c r="D368"/>
      <c r="E368"/>
      <c r="V368" s="27" t="s">
        <v>7</v>
      </c>
      <c r="W368" s="27" t="s">
        <v>8</v>
      </c>
      <c r="AA368" s="27" t="s">
        <v>8</v>
      </c>
      <c r="AB368" s="27" t="s">
        <v>7</v>
      </c>
      <c r="AC368" s="27" t="s">
        <v>8</v>
      </c>
      <c r="AD368" s="27" t="s">
        <v>7</v>
      </c>
      <c r="AE368" s="27" t="s">
        <v>8</v>
      </c>
      <c r="AF368" s="27" t="s">
        <v>7</v>
      </c>
    </row>
    <row r="369" spans="1:31" x14ac:dyDescent="0.25">
      <c r="A369" s="30">
        <v>1.8474828687387174E-3</v>
      </c>
      <c r="B369"/>
      <c r="C369"/>
      <c r="D369"/>
      <c r="E369"/>
      <c r="V369" s="27" t="s">
        <v>7</v>
      </c>
      <c r="W369" s="27" t="s">
        <v>8</v>
      </c>
      <c r="X369" s="27" t="s">
        <v>7</v>
      </c>
      <c r="AA369" s="27" t="s">
        <v>8</v>
      </c>
      <c r="AB369" s="27" t="s">
        <v>7</v>
      </c>
      <c r="AC369" s="27" t="s">
        <v>8</v>
      </c>
      <c r="AD369" s="27" t="s">
        <v>7</v>
      </c>
      <c r="AE369" s="27" t="s">
        <v>8</v>
      </c>
    </row>
    <row r="370" spans="1:31" x14ac:dyDescent="0.25">
      <c r="A370" s="30">
        <v>1.759507494036873E-3</v>
      </c>
      <c r="B370"/>
      <c r="C370"/>
      <c r="D370"/>
      <c r="E370"/>
      <c r="V370" s="27" t="s">
        <v>7</v>
      </c>
      <c r="W370" s="27" t="s">
        <v>8</v>
      </c>
      <c r="X370" s="27" t="s">
        <v>7</v>
      </c>
      <c r="AA370" s="27" t="s">
        <v>8</v>
      </c>
      <c r="AB370" s="27" t="s">
        <v>7</v>
      </c>
      <c r="AC370" s="27" t="s">
        <v>8</v>
      </c>
      <c r="AD370" s="27" t="s">
        <v>7</v>
      </c>
      <c r="AE370" s="27" t="s">
        <v>8</v>
      </c>
    </row>
    <row r="371" spans="1:31" x14ac:dyDescent="0.25">
      <c r="A371" s="30">
        <v>1.6757214228922594E-3</v>
      </c>
      <c r="B371"/>
      <c r="C371"/>
      <c r="D371"/>
      <c r="E371"/>
      <c r="V371" s="27" t="s">
        <v>7</v>
      </c>
      <c r="W371" s="27" t="s">
        <v>8</v>
      </c>
      <c r="X371" s="27" t="s">
        <v>7</v>
      </c>
      <c r="Y371" s="27" t="s">
        <v>8</v>
      </c>
      <c r="AA371" s="27" t="s">
        <v>8</v>
      </c>
      <c r="AB371" s="27" t="s">
        <v>7</v>
      </c>
      <c r="AD371" s="27" t="s">
        <v>7</v>
      </c>
    </row>
    <row r="372" spans="1:31" x14ac:dyDescent="0.25">
      <c r="A372" s="30">
        <v>1.595925164659294E-3</v>
      </c>
      <c r="B372"/>
      <c r="C372"/>
      <c r="D372"/>
      <c r="E372"/>
      <c r="V372" s="27" t="s">
        <v>7</v>
      </c>
      <c r="W372" s="27" t="s">
        <v>8</v>
      </c>
      <c r="X372" s="27" t="s">
        <v>7</v>
      </c>
      <c r="Y372" s="27" t="s">
        <v>8</v>
      </c>
      <c r="Z372" s="27" t="s">
        <v>7</v>
      </c>
      <c r="AA372" s="27" t="s">
        <v>8</v>
      </c>
    </row>
    <row r="373" spans="1:31" x14ac:dyDescent="0.25">
      <c r="A373" s="30">
        <v>1.5199287282469461E-3</v>
      </c>
      <c r="B373"/>
      <c r="C373"/>
      <c r="D373"/>
      <c r="E373"/>
      <c r="V373" s="27" t="s">
        <v>7</v>
      </c>
      <c r="W373" s="27" t="s">
        <v>8</v>
      </c>
      <c r="X373" s="27" t="s">
        <v>7</v>
      </c>
      <c r="Y373" s="27" t="s">
        <v>8</v>
      </c>
      <c r="Z373" s="27" t="s">
        <v>7</v>
      </c>
      <c r="AA373" s="27" t="s">
        <v>8</v>
      </c>
    </row>
    <row r="374" spans="1:31" x14ac:dyDescent="0.25">
      <c r="A374" s="30">
        <v>1.4475511697589958E-3</v>
      </c>
      <c r="B374"/>
      <c r="C374"/>
      <c r="D374"/>
      <c r="E374"/>
      <c r="V374" s="27" t="s">
        <v>7</v>
      </c>
      <c r="W374" s="27" t="s">
        <v>8</v>
      </c>
      <c r="X374" s="27" t="s">
        <v>7</v>
      </c>
      <c r="Y374" s="27" t="s">
        <v>8</v>
      </c>
      <c r="Z374" s="27" t="s">
        <v>7</v>
      </c>
      <c r="AA374" s="27" t="s">
        <v>8</v>
      </c>
    </row>
    <row r="375" spans="1:31" x14ac:dyDescent="0.25">
      <c r="A375" s="30">
        <v>1.3786201616752334E-3</v>
      </c>
      <c r="B375"/>
      <c r="C375"/>
      <c r="D375"/>
      <c r="E375"/>
      <c r="V375" s="27" t="s">
        <v>7</v>
      </c>
      <c r="W375" s="27" t="s">
        <v>8</v>
      </c>
      <c r="X375" s="27" t="s">
        <v>7</v>
      </c>
      <c r="Y375" s="27" t="s">
        <v>8</v>
      </c>
      <c r="Z375" s="27" t="s">
        <v>7</v>
      </c>
    </row>
    <row r="376" spans="1:31" x14ac:dyDescent="0.25">
      <c r="A376" s="30">
        <v>1.3129715825478407E-3</v>
      </c>
      <c r="B376"/>
      <c r="C376"/>
      <c r="D376"/>
      <c r="E376"/>
      <c r="V376" s="27" t="s">
        <v>7</v>
      </c>
      <c r="X376" s="27" t="s">
        <v>7</v>
      </c>
    </row>
    <row r="377" spans="1:31" x14ac:dyDescent="0.25">
      <c r="A377" s="30">
        <v>1.2504491262360382E-3</v>
      </c>
      <c r="B377"/>
      <c r="C377"/>
      <c r="D377"/>
      <c r="E377"/>
    </row>
    <row r="378" spans="1:31" x14ac:dyDescent="0.25">
      <c r="A378" s="30">
        <v>1.1909039297486072E-3</v>
      </c>
      <c r="B378"/>
      <c r="C378"/>
      <c r="D378"/>
      <c r="E378"/>
    </row>
    <row r="379" spans="1:31" x14ac:dyDescent="0.25">
      <c r="A379" s="30">
        <v>1.1341942188081969E-3</v>
      </c>
      <c r="B379"/>
      <c r="C379"/>
      <c r="D379"/>
      <c r="E379"/>
    </row>
    <row r="380" spans="1:31" x14ac:dyDescent="0.25">
      <c r="A380" s="30">
        <v>1.0801849702935203E-3</v>
      </c>
      <c r="B380"/>
      <c r="C380"/>
      <c r="D380"/>
      <c r="E380"/>
    </row>
    <row r="381" spans="1:31" x14ac:dyDescent="0.25">
      <c r="A381" s="30">
        <v>1.0287475907557332E-3</v>
      </c>
      <c r="B381"/>
      <c r="C381"/>
      <c r="D381"/>
      <c r="E381"/>
    </row>
    <row r="382" spans="1:31" x14ac:dyDescent="0.25">
      <c r="A382" s="30">
        <v>9.7731021121794646E-4</v>
      </c>
    </row>
    <row r="383" spans="1:31" x14ac:dyDescent="0.25">
      <c r="A383" s="30">
        <v>9.2844470065704904E-4</v>
      </c>
    </row>
    <row r="384" spans="1:31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205" operator="equal">
      <formula>$U$1</formula>
    </cfRule>
    <cfRule type="cellIs" dxfId="67" priority="1206" operator="equal">
      <formula>$S$1</formula>
    </cfRule>
  </conditionalFormatting>
  <conditionalFormatting sqref="D136">
    <cfRule type="cellIs" dxfId="66" priority="1203" operator="equal">
      <formula>$S$1</formula>
    </cfRule>
    <cfRule type="cellIs" dxfId="65" priority="1204" operator="equal">
      <formula>$U$1</formula>
    </cfRule>
  </conditionalFormatting>
  <conditionalFormatting sqref="C162">
    <cfRule type="cellIs" dxfId="64" priority="1201" operator="equal">
      <formula>$U$1</formula>
    </cfRule>
    <cfRule type="cellIs" dxfId="63" priority="1202" operator="equal">
      <formula>$S$1</formula>
    </cfRule>
  </conditionalFormatting>
  <conditionalFormatting sqref="D162">
    <cfRule type="cellIs" dxfId="62" priority="1199" operator="equal">
      <formula>$S$1</formula>
    </cfRule>
    <cfRule type="cellIs" dxfId="61" priority="1200" operator="equal">
      <formula>$U$1</formula>
    </cfRule>
  </conditionalFormatting>
  <conditionalFormatting sqref="C187">
    <cfRule type="cellIs" dxfId="60" priority="1197" operator="equal">
      <formula>$U$1</formula>
    </cfRule>
    <cfRule type="cellIs" dxfId="59" priority="1198" operator="equal">
      <formula>$S$1</formula>
    </cfRule>
  </conditionalFormatting>
  <conditionalFormatting sqref="D187">
    <cfRule type="cellIs" dxfId="58" priority="1195" operator="equal">
      <formula>$S$1</formula>
    </cfRule>
    <cfRule type="cellIs" dxfId="57" priority="1196" operator="equal">
      <formula>$U$1</formula>
    </cfRule>
  </conditionalFormatting>
  <conditionalFormatting sqref="C212">
    <cfRule type="cellIs" dxfId="56" priority="1193" operator="equal">
      <formula>$U$1</formula>
    </cfRule>
    <cfRule type="cellIs" dxfId="55" priority="1194" operator="equal">
      <formula>$S$1</formula>
    </cfRule>
  </conditionalFormatting>
  <conditionalFormatting sqref="D212">
    <cfRule type="cellIs" dxfId="54" priority="1191" operator="equal">
      <formula>$S$1</formula>
    </cfRule>
    <cfRule type="cellIs" dxfId="53" priority="1192" operator="equal">
      <formula>$U$1</formula>
    </cfRule>
  </conditionalFormatting>
  <conditionalFormatting sqref="C237">
    <cfRule type="cellIs" dxfId="52" priority="1189" operator="equal">
      <formula>$U$1</formula>
    </cfRule>
    <cfRule type="cellIs" dxfId="51" priority="1190" operator="equal">
      <formula>$S$1</formula>
    </cfRule>
  </conditionalFormatting>
  <conditionalFormatting sqref="D237">
    <cfRule type="cellIs" dxfId="50" priority="1187" operator="equal">
      <formula>$S$1</formula>
    </cfRule>
    <cfRule type="cellIs" dxfId="49" priority="1188" operator="equal">
      <formula>$U$1</formula>
    </cfRule>
  </conditionalFormatting>
  <conditionalFormatting sqref="C106">
    <cfRule type="cellIs" dxfId="48" priority="1185" operator="equal">
      <formula>$U$1</formula>
    </cfRule>
    <cfRule type="cellIs" dxfId="47" priority="1186" operator="equal">
      <formula>$S$1</formula>
    </cfRule>
  </conditionalFormatting>
  <conditionalFormatting sqref="D106">
    <cfRule type="cellIs" dxfId="46" priority="1183" operator="equal">
      <formula>$S$1</formula>
    </cfRule>
    <cfRule type="cellIs" dxfId="45" priority="1184" operator="equal">
      <formula>$U$1</formula>
    </cfRule>
  </conditionalFormatting>
  <conditionalFormatting sqref="C81">
    <cfRule type="cellIs" dxfId="44" priority="1181" operator="equal">
      <formula>$U$1</formula>
    </cfRule>
    <cfRule type="cellIs" dxfId="43" priority="1182" operator="equal">
      <formula>$S$1</formula>
    </cfRule>
  </conditionalFormatting>
  <conditionalFormatting sqref="D81">
    <cfRule type="cellIs" dxfId="42" priority="1179" operator="equal">
      <formula>$S$1</formula>
    </cfRule>
    <cfRule type="cellIs" dxfId="41" priority="1180" operator="equal">
      <formula>$U$1</formula>
    </cfRule>
  </conditionalFormatting>
  <conditionalFormatting sqref="C56">
    <cfRule type="cellIs" dxfId="40" priority="1177" operator="equal">
      <formula>$U$1</formula>
    </cfRule>
    <cfRule type="cellIs" dxfId="39" priority="1178" operator="equal">
      <formula>$S$1</formula>
    </cfRule>
  </conditionalFormatting>
  <conditionalFormatting sqref="D56">
    <cfRule type="cellIs" dxfId="38" priority="1175" operator="equal">
      <formula>$S$1</formula>
    </cfRule>
    <cfRule type="cellIs" dxfId="37" priority="1176" operator="equal">
      <formula>$U$1</formula>
    </cfRule>
  </conditionalFormatting>
  <conditionalFormatting sqref="C31">
    <cfRule type="cellIs" dxfId="36" priority="1173" operator="equal">
      <formula>$U$1</formula>
    </cfRule>
    <cfRule type="cellIs" dxfId="35" priority="1174" operator="equal">
      <formula>$S$1</formula>
    </cfRule>
  </conditionalFormatting>
  <conditionalFormatting sqref="D31">
    <cfRule type="cellIs" dxfId="34" priority="1171" operator="equal">
      <formula>$S$1</formula>
    </cfRule>
    <cfRule type="cellIs" dxfId="33" priority="117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47" zoomScale="90" zoomScaleNormal="90" workbookViewId="0">
      <pane xSplit="4" topLeftCell="G1" activePane="topRight" state="frozen"/>
      <selection activeCell="A109" sqref="A109"/>
      <selection pane="topRight" activeCell="BR176" sqref="BR176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$A$175</v>
      </c>
      <c r="D111" s="1" t="str">
        <f>ADDRESS(C121-1,D121,1,1)</f>
        <v>$BR$175</v>
      </c>
      <c r="E111"/>
    </row>
    <row r="112" spans="1:5" x14ac:dyDescent="0.25">
      <c r="A112" s="30">
        <v>2.3579476910000019</v>
      </c>
      <c r="C112" s="1" t="str">
        <f>ADDRESS(C121,1,1,1)</f>
        <v>$A$176</v>
      </c>
      <c r="D112" s="1" t="str">
        <f>ADDRESS(C121,D121-1,1,1)</f>
        <v>$BQ$176</v>
      </c>
      <c r="E112"/>
    </row>
    <row r="113" spans="1:6" x14ac:dyDescent="0.25">
      <c r="A113" s="30">
        <v>2.1435888100000016</v>
      </c>
      <c r="C113" s="1" t="str">
        <f>ADDRESS(C121+1,1,1,1)</f>
        <v>$A$177</v>
      </c>
      <c r="D113" s="1" t="str">
        <f>ADDRESS(C121-1,D121+1,1,1)</f>
        <v>$BS$175</v>
      </c>
    </row>
    <row r="114" spans="1:6" x14ac:dyDescent="0.25">
      <c r="A114" s="30">
        <v>1.9487171000000014</v>
      </c>
      <c r="C114" s="1" t="str">
        <f>ADDRESS(C121,D121,1,1)</f>
        <v>$BR$176</v>
      </c>
      <c r="D114" s="1" t="str">
        <f>ADDRESS(C121+1,D121+1,1,1)</f>
        <v>$BS$177</v>
      </c>
    </row>
    <row r="115" spans="1:6" x14ac:dyDescent="0.25">
      <c r="A115" s="30">
        <v>1.7715610000000011</v>
      </c>
      <c r="C115" s="1" t="str">
        <f>ADDRESS(C121+1,D121,1,1)</f>
        <v>$BR$177</v>
      </c>
    </row>
    <row r="116" spans="1:6" x14ac:dyDescent="0.25">
      <c r="A116" s="30">
        <v>1.6105100000000008</v>
      </c>
      <c r="C116" s="1">
        <f>C117-1</f>
        <v>175</v>
      </c>
    </row>
    <row r="117" spans="1:6" x14ac:dyDescent="0.25">
      <c r="A117" s="30">
        <v>1.4641000000000006</v>
      </c>
      <c r="C117" s="1">
        <f>C121</f>
        <v>176</v>
      </c>
      <c r="D117" s="1">
        <f>D121</f>
        <v>70</v>
      </c>
    </row>
    <row r="118" spans="1:6" x14ac:dyDescent="0.25">
      <c r="A118" s="30">
        <v>1.3310000000000004</v>
      </c>
      <c r="C118" s="1">
        <f>C117+1</f>
        <v>177</v>
      </c>
      <c r="D118" s="1">
        <f>D117+1</f>
        <v>71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176</v>
      </c>
      <c r="D121" s="19">
        <v>70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R176</v>
      </c>
      <c r="D123" s="1" t="str">
        <f>"C"&amp;D121</f>
        <v>C70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5.2893501310147546E-3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6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6" x14ac:dyDescent="0.25">
      <c r="A130" s="30">
        <v>0.42409761837248428</v>
      </c>
      <c r="C130" s="6"/>
      <c r="D130" s="6"/>
      <c r="E130"/>
      <c r="F130" s="27" t="s">
        <v>7</v>
      </c>
    </row>
    <row r="131" spans="1:6" x14ac:dyDescent="0.25">
      <c r="A131" s="30">
        <v>0.38554328942953109</v>
      </c>
      <c r="E131"/>
      <c r="F131" s="27" t="s">
        <v>7</v>
      </c>
    </row>
    <row r="132" spans="1:6" x14ac:dyDescent="0.25">
      <c r="A132" s="30">
        <v>0.35049389948139187</v>
      </c>
      <c r="C132" s="1" t="s">
        <v>13</v>
      </c>
      <c r="E132"/>
      <c r="F132" s="27" t="s">
        <v>7</v>
      </c>
    </row>
    <row r="133" spans="1:6" x14ac:dyDescent="0.25">
      <c r="A133" s="30">
        <v>0.31863081771035617</v>
      </c>
      <c r="C133" s="1" t="str">
        <f>C122</f>
        <v>O</v>
      </c>
      <c r="E133"/>
      <c r="F133" s="27" t="s">
        <v>7</v>
      </c>
    </row>
    <row r="134" spans="1:6" x14ac:dyDescent="0.25">
      <c r="A134" s="30">
        <v>0.28966437973668741</v>
      </c>
      <c r="C134"/>
      <c r="D134"/>
      <c r="E134"/>
      <c r="F134" s="27" t="s">
        <v>7</v>
      </c>
    </row>
    <row r="135" spans="1:6" x14ac:dyDescent="0.25">
      <c r="A135" s="30">
        <v>0.2633312543060794</v>
      </c>
      <c r="C135" s="1" t="s">
        <v>14</v>
      </c>
      <c r="E135"/>
      <c r="F135" s="27" t="s">
        <v>7</v>
      </c>
    </row>
    <row r="136" spans="1:6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</row>
    <row r="137" spans="1:6" x14ac:dyDescent="0.25">
      <c r="A137" s="30">
        <v>0.2176291357901482</v>
      </c>
      <c r="E137"/>
      <c r="F137" s="27" t="s">
        <v>7</v>
      </c>
    </row>
    <row r="138" spans="1:6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</row>
    <row r="139" spans="1:6" x14ac:dyDescent="0.25">
      <c r="A139" s="30">
        <v>0.17985878990921333</v>
      </c>
      <c r="E139"/>
      <c r="F139" s="27" t="s">
        <v>7</v>
      </c>
    </row>
    <row r="140" spans="1:6" x14ac:dyDescent="0.25">
      <c r="A140" s="30">
        <v>0.16350799082655756</v>
      </c>
      <c r="C140" s="1">
        <v>0</v>
      </c>
      <c r="E140"/>
      <c r="F140" s="27" t="s">
        <v>7</v>
      </c>
    </row>
    <row r="141" spans="1:6" x14ac:dyDescent="0.25">
      <c r="A141" s="30">
        <v>0.14864362802414322</v>
      </c>
      <c r="C141" s="1">
        <v>1</v>
      </c>
      <c r="E141"/>
      <c r="F141" s="27" t="s">
        <v>7</v>
      </c>
    </row>
    <row r="142" spans="1:6" x14ac:dyDescent="0.25">
      <c r="A142" s="30">
        <v>0.13513057093103928</v>
      </c>
      <c r="C142" s="1">
        <v>2</v>
      </c>
      <c r="E142"/>
      <c r="F142" s="27" t="s">
        <v>7</v>
      </c>
    </row>
    <row r="143" spans="1:6" x14ac:dyDescent="0.25">
      <c r="A143" s="30">
        <v>0.12284597357367205</v>
      </c>
      <c r="C143" s="1">
        <v>3</v>
      </c>
      <c r="E143"/>
      <c r="F143" s="27" t="s">
        <v>7</v>
      </c>
    </row>
    <row r="144" spans="1:6" x14ac:dyDescent="0.25">
      <c r="A144" s="30">
        <v>0.11167815779424731</v>
      </c>
      <c r="C144" s="1">
        <v>4</v>
      </c>
      <c r="E144"/>
      <c r="F144" s="27" t="s">
        <v>7</v>
      </c>
    </row>
    <row r="145" spans="1:61" x14ac:dyDescent="0.25">
      <c r="A145" s="30">
        <v>0.10152559799477026</v>
      </c>
      <c r="B145"/>
      <c r="C145"/>
      <c r="D145"/>
      <c r="E145"/>
      <c r="F145" s="27" t="s">
        <v>7</v>
      </c>
    </row>
    <row r="146" spans="1:61" x14ac:dyDescent="0.25">
      <c r="A146" s="30">
        <v>9.2295998177063854E-2</v>
      </c>
      <c r="B146"/>
      <c r="C146"/>
      <c r="D146"/>
      <c r="E146"/>
      <c r="F146" s="27" t="s">
        <v>7</v>
      </c>
    </row>
    <row r="147" spans="1:61" x14ac:dyDescent="0.25">
      <c r="A147" s="30">
        <v>8.3905452888239848E-2</v>
      </c>
      <c r="B147"/>
      <c r="C147"/>
      <c r="D147"/>
      <c r="E147"/>
      <c r="F147" s="27" t="s">
        <v>7</v>
      </c>
    </row>
    <row r="148" spans="1:61" x14ac:dyDescent="0.25">
      <c r="A148" s="30">
        <v>7.6277684443854396E-2</v>
      </c>
      <c r="B148"/>
      <c r="C148"/>
      <c r="D148"/>
      <c r="E148"/>
      <c r="F148" s="27" t="s">
        <v>7</v>
      </c>
    </row>
    <row r="149" spans="1:61" x14ac:dyDescent="0.25">
      <c r="A149" s="30">
        <v>6.9343349494413078E-2</v>
      </c>
      <c r="B149"/>
      <c r="C149"/>
      <c r="D149"/>
      <c r="E149"/>
      <c r="F149" s="27" t="s">
        <v>7</v>
      </c>
    </row>
    <row r="150" spans="1:61" x14ac:dyDescent="0.25">
      <c r="A150" s="30">
        <v>6.3039408631284613E-2</v>
      </c>
      <c r="B150"/>
      <c r="C150"/>
      <c r="D150"/>
      <c r="E150"/>
      <c r="F150" s="27" t="s">
        <v>7</v>
      </c>
    </row>
    <row r="151" spans="1:61" x14ac:dyDescent="0.25">
      <c r="A151" s="30">
        <v>5.7308553301167818E-2</v>
      </c>
      <c r="B151"/>
      <c r="C151"/>
      <c r="D151"/>
      <c r="E151"/>
      <c r="F151" s="27" t="s">
        <v>7</v>
      </c>
    </row>
    <row r="152" spans="1:61" x14ac:dyDescent="0.25">
      <c r="A152" s="30">
        <v>5.2098684819243464E-2</v>
      </c>
      <c r="B152"/>
      <c r="C152"/>
      <c r="D152"/>
      <c r="E152"/>
      <c r="F152" s="27" t="s">
        <v>7</v>
      </c>
    </row>
    <row r="153" spans="1:61" x14ac:dyDescent="0.25">
      <c r="A153" s="30">
        <v>4.7362440744766775E-2</v>
      </c>
      <c r="B153"/>
      <c r="C153"/>
      <c r="D153"/>
      <c r="E153"/>
      <c r="F153" s="27" t="s">
        <v>7</v>
      </c>
    </row>
    <row r="154" spans="1:61" x14ac:dyDescent="0.25">
      <c r="A154" s="30">
        <v>4.3056764313424332E-2</v>
      </c>
      <c r="B154"/>
      <c r="C154"/>
      <c r="D154"/>
      <c r="E154"/>
      <c r="F154" s="27" t="s">
        <v>7</v>
      </c>
    </row>
    <row r="155" spans="1:61" x14ac:dyDescent="0.25">
      <c r="A155" s="30">
        <v>3.9142513012203929E-2</v>
      </c>
      <c r="B155"/>
      <c r="C155"/>
      <c r="D155"/>
      <c r="E155"/>
      <c r="F155" s="27" t="s">
        <v>7</v>
      </c>
      <c r="BE155" s="27" t="s">
        <v>8</v>
      </c>
    </row>
    <row r="156" spans="1:61" x14ac:dyDescent="0.25">
      <c r="A156" s="30">
        <v>3.55841027383672E-2</v>
      </c>
      <c r="B156"/>
      <c r="C156"/>
      <c r="D156"/>
      <c r="E156"/>
      <c r="F156" s="27" t="s">
        <v>7</v>
      </c>
      <c r="AO156" s="31" t="s">
        <v>8</v>
      </c>
      <c r="BE156" s="27" t="s">
        <v>8</v>
      </c>
      <c r="BF156" s="27" t="s">
        <v>7</v>
      </c>
    </row>
    <row r="157" spans="1:61" x14ac:dyDescent="0.25">
      <c r="A157" s="30">
        <v>3.2349184307606541E-2</v>
      </c>
      <c r="B157"/>
      <c r="C157"/>
      <c r="D157"/>
      <c r="E157"/>
      <c r="F157" s="27" t="s">
        <v>7</v>
      </c>
      <c r="AM157" s="27" t="s">
        <v>8</v>
      </c>
      <c r="AO157" s="27" t="s">
        <v>8</v>
      </c>
      <c r="AP157" s="31" t="s">
        <v>7</v>
      </c>
      <c r="BE157" s="27" t="s">
        <v>8</v>
      </c>
      <c r="BF157" s="27" t="s">
        <v>7</v>
      </c>
    </row>
    <row r="158" spans="1:61" x14ac:dyDescent="0.25">
      <c r="A158" s="30">
        <v>2.9408349370551395E-2</v>
      </c>
      <c r="B158"/>
      <c r="C158"/>
      <c r="D158"/>
      <c r="E158"/>
      <c r="F158" s="27" t="s">
        <v>7</v>
      </c>
      <c r="AM158" s="27" t="s">
        <v>8</v>
      </c>
      <c r="AN158" s="27" t="s">
        <v>7</v>
      </c>
      <c r="AO158" s="27" t="s">
        <v>8</v>
      </c>
      <c r="AP158" s="27" t="s">
        <v>7</v>
      </c>
      <c r="AQ158" s="31"/>
      <c r="BE158" s="27" t="s">
        <v>8</v>
      </c>
      <c r="BF158" s="27" t="s">
        <v>7</v>
      </c>
    </row>
    <row r="159" spans="1:61" x14ac:dyDescent="0.25">
      <c r="A159" s="30">
        <v>2.6734863064137627E-2</v>
      </c>
      <c r="B159"/>
      <c r="C159"/>
      <c r="D159"/>
      <c r="E159"/>
      <c r="F159" s="27" t="s">
        <v>7</v>
      </c>
      <c r="AK159" s="27" t="s">
        <v>8</v>
      </c>
      <c r="AM159" s="27" t="s">
        <v>8</v>
      </c>
      <c r="AN159" s="27" t="s">
        <v>7</v>
      </c>
      <c r="AO159" s="27" t="s">
        <v>8</v>
      </c>
      <c r="AP159" s="27" t="s">
        <v>7</v>
      </c>
      <c r="AR159" s="31"/>
      <c r="BE159" s="27" t="s">
        <v>8</v>
      </c>
      <c r="BF159" s="27" t="s">
        <v>7</v>
      </c>
      <c r="BG159" s="27" t="s">
        <v>8</v>
      </c>
    </row>
    <row r="160" spans="1:61" x14ac:dyDescent="0.25">
      <c r="A160" s="30">
        <v>2.4304420967397839E-2</v>
      </c>
      <c r="B160"/>
      <c r="C160"/>
      <c r="D160"/>
      <c r="E160"/>
      <c r="F160" s="27" t="s">
        <v>7</v>
      </c>
      <c r="AI160" s="27" t="s">
        <v>8</v>
      </c>
      <c r="AK160" s="27" t="s">
        <v>8</v>
      </c>
      <c r="AL160" s="27" t="s">
        <v>7</v>
      </c>
      <c r="AM160" s="27" t="s">
        <v>8</v>
      </c>
      <c r="AN160" s="27" t="s">
        <v>7</v>
      </c>
      <c r="AP160" s="27" t="s">
        <v>7</v>
      </c>
      <c r="AQ160" s="27" t="s">
        <v>8</v>
      </c>
      <c r="AS160" s="31"/>
      <c r="BE160" s="27" t="s">
        <v>8</v>
      </c>
      <c r="BF160" s="27" t="s">
        <v>7</v>
      </c>
      <c r="BG160" s="27" t="s">
        <v>8</v>
      </c>
      <c r="BH160" s="27" t="s">
        <v>7</v>
      </c>
      <c r="BI160" s="27" t="s">
        <v>8</v>
      </c>
    </row>
    <row r="161" spans="1:70" x14ac:dyDescent="0.25">
      <c r="A161" s="30">
        <v>2.2094928152179852E-2</v>
      </c>
      <c r="B161"/>
      <c r="C161"/>
      <c r="D161"/>
      <c r="E161"/>
      <c r="F161" s="27" t="s">
        <v>7</v>
      </c>
      <c r="AI161" s="27" t="s">
        <v>8</v>
      </c>
      <c r="AJ161" s="27" t="s">
        <v>7</v>
      </c>
      <c r="AK161" s="27" t="s">
        <v>8</v>
      </c>
      <c r="AL161" s="27" t="s">
        <v>7</v>
      </c>
      <c r="AM161" s="27" t="s">
        <v>8</v>
      </c>
      <c r="AP161" s="33" t="s">
        <v>7</v>
      </c>
      <c r="AQ161" s="27" t="s">
        <v>8</v>
      </c>
      <c r="AR161" s="27" t="s">
        <v>7</v>
      </c>
      <c r="AT161" s="31"/>
      <c r="BE161" s="27" t="s">
        <v>8</v>
      </c>
      <c r="BF161" s="27" t="s">
        <v>7</v>
      </c>
      <c r="BG161" s="27" t="s">
        <v>8</v>
      </c>
      <c r="BH161" s="27" t="s">
        <v>7</v>
      </c>
      <c r="BI161" s="27" t="s">
        <v>8</v>
      </c>
      <c r="BJ161" s="27" t="s">
        <v>7</v>
      </c>
    </row>
    <row r="162" spans="1:70" x14ac:dyDescent="0.25">
      <c r="A162" s="30">
        <v>2.0086298320163499E-2</v>
      </c>
      <c r="B162"/>
      <c r="C162"/>
      <c r="D162"/>
      <c r="E162"/>
      <c r="F162" s="27" t="s">
        <v>7</v>
      </c>
      <c r="AI162" s="27" t="s">
        <v>8</v>
      </c>
      <c r="AJ162" s="27" t="s">
        <v>7</v>
      </c>
      <c r="AK162" s="27" t="s">
        <v>8</v>
      </c>
      <c r="AL162" s="27" t="s">
        <v>7</v>
      </c>
      <c r="AP162" s="27" t="s">
        <v>7</v>
      </c>
      <c r="AQ162" s="27" t="s">
        <v>8</v>
      </c>
      <c r="AR162" s="27" t="s">
        <v>7</v>
      </c>
      <c r="AU162" s="31"/>
      <c r="BE162" s="27" t="s">
        <v>8</v>
      </c>
      <c r="BF162" s="27" t="s">
        <v>7</v>
      </c>
      <c r="BG162" s="27" t="s">
        <v>8</v>
      </c>
      <c r="BH162" s="27" t="s">
        <v>7</v>
      </c>
      <c r="BI162" s="27" t="s">
        <v>8</v>
      </c>
      <c r="BJ162" s="27" t="s">
        <v>7</v>
      </c>
    </row>
    <row r="163" spans="1:70" x14ac:dyDescent="0.25">
      <c r="A163" s="30">
        <v>1.8260271200148632E-2</v>
      </c>
      <c r="B163"/>
      <c r="C163"/>
      <c r="D163"/>
      <c r="E163"/>
      <c r="F163" s="27" t="s">
        <v>7</v>
      </c>
      <c r="AI163" s="27" t="s">
        <v>8</v>
      </c>
      <c r="AJ163" s="27" t="s">
        <v>7</v>
      </c>
      <c r="AP163" s="27" t="s">
        <v>7</v>
      </c>
      <c r="AQ163" s="27" t="s">
        <v>8</v>
      </c>
      <c r="AR163" s="27" t="s">
        <v>7</v>
      </c>
      <c r="AV163" s="31"/>
      <c r="BE163" s="27" t="s">
        <v>8</v>
      </c>
      <c r="BF163" s="27" t="s">
        <v>7</v>
      </c>
      <c r="BG163" s="27" t="s">
        <v>8</v>
      </c>
      <c r="BH163" s="27" t="s">
        <v>7</v>
      </c>
      <c r="BJ163" s="27" t="s">
        <v>7</v>
      </c>
      <c r="BK163" s="27" t="s">
        <v>8</v>
      </c>
      <c r="BO163" s="27" t="s">
        <v>8</v>
      </c>
    </row>
    <row r="164" spans="1:70" x14ac:dyDescent="0.25">
      <c r="A164" s="30">
        <v>1.6600246545589663E-2</v>
      </c>
      <c r="B164"/>
      <c r="C164"/>
      <c r="D164"/>
      <c r="E164"/>
      <c r="F164" s="27" t="s">
        <v>7</v>
      </c>
      <c r="AI164" s="27" t="s">
        <v>8</v>
      </c>
      <c r="AP164" s="27" t="s">
        <v>7</v>
      </c>
      <c r="AQ164" s="27" t="s">
        <v>8</v>
      </c>
      <c r="AR164" s="27" t="s">
        <v>7</v>
      </c>
      <c r="AW164" s="31"/>
      <c r="BE164" s="27" t="s">
        <v>8</v>
      </c>
      <c r="BF164" s="27" t="s">
        <v>7</v>
      </c>
      <c r="BG164" s="27" t="s">
        <v>8</v>
      </c>
      <c r="BJ164" s="27" t="s">
        <v>7</v>
      </c>
      <c r="BK164" s="27" t="s">
        <v>8</v>
      </c>
      <c r="BL164" s="27" t="s">
        <v>7</v>
      </c>
      <c r="BM164" s="27" t="s">
        <v>8</v>
      </c>
      <c r="BO164" s="27" t="s">
        <v>8</v>
      </c>
      <c r="BP164" s="27" t="s">
        <v>7</v>
      </c>
    </row>
    <row r="165" spans="1:70" x14ac:dyDescent="0.25">
      <c r="A165" s="30">
        <v>1.5091133223263328E-2</v>
      </c>
      <c r="B165"/>
      <c r="C165"/>
      <c r="D165"/>
      <c r="E165"/>
      <c r="F165" s="27" t="s">
        <v>7</v>
      </c>
      <c r="AG165" s="27" t="s">
        <v>8</v>
      </c>
      <c r="AI165" s="27" t="s">
        <v>8</v>
      </c>
      <c r="AP165" s="27" t="s">
        <v>7</v>
      </c>
      <c r="AQ165" s="27" t="s">
        <v>8</v>
      </c>
      <c r="AR165" s="31" t="s">
        <v>7</v>
      </c>
      <c r="AX165" s="31"/>
      <c r="BE165" s="27" t="s">
        <v>8</v>
      </c>
      <c r="BF165" s="27" t="s">
        <v>7</v>
      </c>
      <c r="BG165" s="27" t="s">
        <v>8</v>
      </c>
      <c r="BJ165" s="27" t="s">
        <v>7</v>
      </c>
      <c r="BK165" s="27" t="s">
        <v>8</v>
      </c>
      <c r="BL165" s="27" t="s">
        <v>7</v>
      </c>
      <c r="BM165" s="27" t="s">
        <v>8</v>
      </c>
      <c r="BN165" s="27" t="s">
        <v>7</v>
      </c>
      <c r="BO165" s="27" t="s">
        <v>8</v>
      </c>
      <c r="BP165" s="27" t="s">
        <v>7</v>
      </c>
      <c r="BQ165" s="27" t="s">
        <v>8</v>
      </c>
    </row>
    <row r="166" spans="1:70" x14ac:dyDescent="0.25">
      <c r="A166" s="30">
        <v>1.3719212021148477E-2</v>
      </c>
      <c r="B166"/>
      <c r="C166"/>
      <c r="D166"/>
      <c r="E166"/>
      <c r="F166" s="27" t="s">
        <v>7</v>
      </c>
      <c r="AG166" s="27" t="s">
        <v>8</v>
      </c>
      <c r="AH166" s="27" t="s">
        <v>7</v>
      </c>
      <c r="AI166" s="27" t="s">
        <v>8</v>
      </c>
      <c r="AP166" s="27" t="s">
        <v>7</v>
      </c>
      <c r="AQ166" s="31" t="s">
        <v>8</v>
      </c>
      <c r="AR166" s="27" t="s">
        <v>7</v>
      </c>
      <c r="AS166" s="27" t="s">
        <v>8</v>
      </c>
      <c r="AW166" s="27" t="s">
        <v>8</v>
      </c>
      <c r="AY166" s="31"/>
      <c r="BE166" s="27" t="s">
        <v>8</v>
      </c>
      <c r="BF166" s="27" t="s">
        <v>7</v>
      </c>
      <c r="BG166" s="27" t="s">
        <v>8</v>
      </c>
      <c r="BJ166" s="27" t="s">
        <v>7</v>
      </c>
      <c r="BL166" s="27" t="s">
        <v>7</v>
      </c>
      <c r="BM166" s="27" t="s">
        <v>8</v>
      </c>
      <c r="BN166" s="27" t="s">
        <v>7</v>
      </c>
      <c r="BO166" s="27" t="s">
        <v>8</v>
      </c>
      <c r="BP166" s="27" t="s">
        <v>7</v>
      </c>
      <c r="BQ166" s="27" t="s">
        <v>8</v>
      </c>
      <c r="BR166" s="27" t="s">
        <v>7</v>
      </c>
    </row>
    <row r="167" spans="1:70" x14ac:dyDescent="0.25">
      <c r="A167" s="30">
        <v>1.2472010928316795E-2</v>
      </c>
      <c r="B167"/>
      <c r="C167"/>
      <c r="D167"/>
      <c r="E167"/>
      <c r="F167" s="27" t="s">
        <v>7</v>
      </c>
      <c r="AG167" s="27" t="s">
        <v>8</v>
      </c>
      <c r="AH167" s="27" t="s">
        <v>7</v>
      </c>
      <c r="AI167" s="27" t="s">
        <v>8</v>
      </c>
      <c r="AP167" s="31" t="s">
        <v>7</v>
      </c>
      <c r="AR167" s="27" t="s">
        <v>7</v>
      </c>
      <c r="AS167" s="27" t="s">
        <v>8</v>
      </c>
      <c r="AT167" s="27" t="s">
        <v>7</v>
      </c>
      <c r="AW167" s="35" t="s">
        <v>8</v>
      </c>
      <c r="AX167" s="27" t="s">
        <v>7</v>
      </c>
      <c r="AY167" s="27" t="s">
        <v>8</v>
      </c>
      <c r="AZ167" s="31"/>
      <c r="BE167" s="27" t="s">
        <v>8</v>
      </c>
      <c r="BF167" s="27" t="s">
        <v>7</v>
      </c>
      <c r="BG167" s="27" t="s">
        <v>8</v>
      </c>
      <c r="BL167" s="27" t="s">
        <v>7</v>
      </c>
      <c r="BN167" s="27" t="s">
        <v>7</v>
      </c>
      <c r="BP167" s="27" t="s">
        <v>7</v>
      </c>
      <c r="BQ167" s="27" t="s">
        <v>8</v>
      </c>
      <c r="BR167" s="27" t="s">
        <v>7</v>
      </c>
    </row>
    <row r="168" spans="1:70" x14ac:dyDescent="0.25">
      <c r="A168" s="30">
        <v>1.1338191753015267E-2</v>
      </c>
      <c r="B168"/>
      <c r="C168"/>
      <c r="D168"/>
      <c r="E168"/>
      <c r="F168" s="27" t="s">
        <v>7</v>
      </c>
      <c r="AG168" s="27" t="s">
        <v>8</v>
      </c>
      <c r="AH168" s="27" t="s">
        <v>7</v>
      </c>
      <c r="AO168" s="31"/>
      <c r="AR168" s="27" t="s">
        <v>7</v>
      </c>
      <c r="AS168" s="27" t="s">
        <v>8</v>
      </c>
      <c r="AT168" s="27" t="s">
        <v>7</v>
      </c>
      <c r="AU168" s="27" t="s">
        <v>8</v>
      </c>
      <c r="AW168" s="27" t="s">
        <v>8</v>
      </c>
      <c r="AX168" s="27" t="s">
        <v>7</v>
      </c>
      <c r="AY168" s="27" t="s">
        <v>8</v>
      </c>
      <c r="AZ168" s="27" t="s">
        <v>7</v>
      </c>
      <c r="BA168" s="31"/>
      <c r="BC168" s="27" t="s">
        <v>8</v>
      </c>
      <c r="BE168" s="27" t="s">
        <v>8</v>
      </c>
      <c r="BF168" s="27" t="s">
        <v>7</v>
      </c>
      <c r="BG168" s="27" t="s">
        <v>8</v>
      </c>
      <c r="BP168" s="27" t="s">
        <v>7</v>
      </c>
      <c r="BR168" s="27" t="s">
        <v>7</v>
      </c>
    </row>
    <row r="169" spans="1:70" x14ac:dyDescent="0.25">
      <c r="A169" s="30">
        <v>1.0307447048195697E-2</v>
      </c>
      <c r="B169"/>
      <c r="C169"/>
      <c r="D169"/>
      <c r="E169"/>
      <c r="F169" s="27" t="s">
        <v>7</v>
      </c>
      <c r="AC169" s="27" t="s">
        <v>8</v>
      </c>
      <c r="AG169" s="27" t="s">
        <v>8</v>
      </c>
      <c r="AN169" s="31"/>
      <c r="AR169" s="27" t="s">
        <v>7</v>
      </c>
      <c r="AS169" s="27" t="s">
        <v>8</v>
      </c>
      <c r="AT169" s="27" t="s">
        <v>7</v>
      </c>
      <c r="AU169" s="27" t="s">
        <v>8</v>
      </c>
      <c r="AV169" s="27" t="s">
        <v>7</v>
      </c>
      <c r="AW169" s="27" t="s">
        <v>8</v>
      </c>
      <c r="AX169" s="27" t="s">
        <v>7</v>
      </c>
      <c r="AY169" s="27" t="s">
        <v>8</v>
      </c>
      <c r="AZ169" s="27" t="s">
        <v>7</v>
      </c>
      <c r="BB169" s="31"/>
      <c r="BC169" s="27" t="s">
        <v>8</v>
      </c>
      <c r="BD169" s="27" t="s">
        <v>7</v>
      </c>
      <c r="BE169" s="27" t="s">
        <v>8</v>
      </c>
      <c r="BF169" s="27" t="s">
        <v>7</v>
      </c>
      <c r="BG169" s="27" t="s">
        <v>8</v>
      </c>
      <c r="BR169" s="27" t="s">
        <v>7</v>
      </c>
    </row>
    <row r="170" spans="1:70" x14ac:dyDescent="0.25">
      <c r="A170" s="30">
        <v>9.3704064074506318E-3</v>
      </c>
      <c r="B170"/>
      <c r="C170"/>
      <c r="D170"/>
      <c r="E170"/>
      <c r="F170" s="27" t="s">
        <v>7</v>
      </c>
      <c r="U170" s="27" t="s">
        <v>8</v>
      </c>
      <c r="AC170" s="27" t="s">
        <v>8</v>
      </c>
      <c r="AD170" s="27" t="s">
        <v>7</v>
      </c>
      <c r="AG170" s="27" t="s">
        <v>8</v>
      </c>
      <c r="AM170" s="31"/>
      <c r="AR170" s="27" t="s">
        <v>7</v>
      </c>
      <c r="AT170" s="27" t="s">
        <v>7</v>
      </c>
      <c r="AU170" s="27" t="s">
        <v>8</v>
      </c>
      <c r="AV170" s="27" t="s">
        <v>7</v>
      </c>
      <c r="AW170" s="27" t="s">
        <v>8</v>
      </c>
      <c r="AX170" s="27" t="s">
        <v>7</v>
      </c>
      <c r="AY170" s="27" t="s">
        <v>8</v>
      </c>
      <c r="AZ170" s="27" t="s">
        <v>7</v>
      </c>
      <c r="BC170" s="31" t="s">
        <v>8</v>
      </c>
      <c r="BD170" s="27" t="s">
        <v>7</v>
      </c>
      <c r="BE170" s="27" t="s">
        <v>8</v>
      </c>
      <c r="BF170" s="27" t="s">
        <v>7</v>
      </c>
      <c r="BG170" s="27" t="s">
        <v>8</v>
      </c>
      <c r="BR170" s="27" t="s">
        <v>7</v>
      </c>
    </row>
    <row r="171" spans="1:70" x14ac:dyDescent="0.25">
      <c r="A171" s="30">
        <v>8.5185512795005747E-3</v>
      </c>
      <c r="F171" s="27" t="s">
        <v>7</v>
      </c>
      <c r="U171" s="27" t="s">
        <v>8</v>
      </c>
      <c r="V171" s="27" t="s">
        <v>7</v>
      </c>
      <c r="AA171" s="27" t="s">
        <v>8</v>
      </c>
      <c r="AC171" s="27" t="s">
        <v>8</v>
      </c>
      <c r="AD171" s="27" t="s">
        <v>7</v>
      </c>
      <c r="AE171" s="27" t="s">
        <v>8</v>
      </c>
      <c r="AG171" s="27" t="s">
        <v>8</v>
      </c>
      <c r="AL171" s="31"/>
      <c r="AT171" s="27" t="s">
        <v>7</v>
      </c>
      <c r="AU171" s="27" t="s">
        <v>8</v>
      </c>
      <c r="AV171" s="27" t="s">
        <v>7</v>
      </c>
      <c r="AW171" s="27" t="s">
        <v>8</v>
      </c>
      <c r="AX171" s="27" t="s">
        <v>7</v>
      </c>
      <c r="AZ171" s="27" t="s">
        <v>7</v>
      </c>
      <c r="BA171" s="27" t="s">
        <v>8</v>
      </c>
      <c r="BC171" s="27" t="s">
        <v>8</v>
      </c>
      <c r="BD171" s="31" t="s">
        <v>7</v>
      </c>
      <c r="BE171" s="27" t="s">
        <v>8</v>
      </c>
      <c r="BF171" s="27" t="s">
        <v>7</v>
      </c>
      <c r="BR171" s="27" t="s">
        <v>7</v>
      </c>
    </row>
    <row r="172" spans="1:70" x14ac:dyDescent="0.25">
      <c r="A172" s="30">
        <v>7.744137526818704E-3</v>
      </c>
      <c r="F172" s="27" t="s">
        <v>7</v>
      </c>
      <c r="U172" s="27" t="s">
        <v>8</v>
      </c>
      <c r="V172" s="27" t="s">
        <v>7</v>
      </c>
      <c r="AA172" s="27" t="s">
        <v>8</v>
      </c>
      <c r="AB172" s="27" t="s">
        <v>7</v>
      </c>
      <c r="AC172" s="27" t="s">
        <v>8</v>
      </c>
      <c r="AD172" s="27" t="s">
        <v>7</v>
      </c>
      <c r="AE172" s="27" t="s">
        <v>8</v>
      </c>
      <c r="AF172" s="27" t="s">
        <v>7</v>
      </c>
      <c r="AG172" s="27" t="s">
        <v>8</v>
      </c>
      <c r="AK172" s="31"/>
      <c r="AT172" s="27" t="s">
        <v>7</v>
      </c>
      <c r="AU172" s="27" t="s">
        <v>8</v>
      </c>
      <c r="AV172" s="27" t="s">
        <v>7</v>
      </c>
      <c r="AZ172" s="33" t="s">
        <v>7</v>
      </c>
      <c r="BA172" s="27" t="s">
        <v>8</v>
      </c>
      <c r="BB172" s="27" t="s">
        <v>7</v>
      </c>
      <c r="BC172" s="27" t="s">
        <v>8</v>
      </c>
      <c r="BD172" s="27" t="s">
        <v>7</v>
      </c>
      <c r="BR172" s="27" t="s">
        <v>7</v>
      </c>
    </row>
    <row r="173" spans="1:70" x14ac:dyDescent="0.25">
      <c r="A173" s="30">
        <v>7.0401250243806394E-3</v>
      </c>
      <c r="F173" s="27" t="s">
        <v>7</v>
      </c>
      <c r="G173" s="27" t="s">
        <v>8</v>
      </c>
      <c r="S173" s="27" t="s">
        <v>8</v>
      </c>
      <c r="U173" s="27" t="s">
        <v>8</v>
      </c>
      <c r="V173" s="27" t="s">
        <v>7</v>
      </c>
      <c r="AA173" s="27" t="s">
        <v>8</v>
      </c>
      <c r="AB173" s="27" t="s">
        <v>7</v>
      </c>
      <c r="AC173" s="27" t="s">
        <v>8</v>
      </c>
      <c r="AD173" s="27" t="s">
        <v>7</v>
      </c>
      <c r="AE173" s="27" t="s">
        <v>8</v>
      </c>
      <c r="AF173" s="27" t="s">
        <v>7</v>
      </c>
      <c r="AG173" s="27" t="s">
        <v>8</v>
      </c>
      <c r="AJ173" s="31"/>
      <c r="AT173" s="27" t="s">
        <v>7</v>
      </c>
      <c r="AZ173" s="27" t="s">
        <v>7</v>
      </c>
      <c r="BA173" s="27" t="s">
        <v>8</v>
      </c>
      <c r="BB173" s="27" t="s">
        <v>7</v>
      </c>
      <c r="BC173" s="27" t="s">
        <v>8</v>
      </c>
      <c r="BR173" s="27" t="s">
        <v>7</v>
      </c>
    </row>
    <row r="174" spans="1:70" x14ac:dyDescent="0.25">
      <c r="A174" s="30">
        <v>6.4001136585278536E-3</v>
      </c>
      <c r="F174" s="27" t="s">
        <v>7</v>
      </c>
      <c r="G174" s="27" t="s">
        <v>8</v>
      </c>
      <c r="H174" s="27" t="s">
        <v>7</v>
      </c>
      <c r="S174" s="27" t="s">
        <v>8</v>
      </c>
      <c r="T174" s="27" t="s">
        <v>7</v>
      </c>
      <c r="U174" s="27" t="s">
        <v>8</v>
      </c>
      <c r="V174" s="27" t="s">
        <v>7</v>
      </c>
      <c r="AA174" s="27" t="s">
        <v>8</v>
      </c>
      <c r="AB174" s="32" t="s">
        <v>7</v>
      </c>
      <c r="AD174" s="32" t="s">
        <v>7</v>
      </c>
      <c r="AF174" s="32" t="s">
        <v>7</v>
      </c>
      <c r="AI174" s="31"/>
      <c r="AZ174" s="27" t="s">
        <v>7</v>
      </c>
      <c r="BA174" s="27" t="s">
        <v>8</v>
      </c>
      <c r="BB174" s="18" t="s">
        <v>7</v>
      </c>
      <c r="BC174" s="27" t="s">
        <v>8</v>
      </c>
      <c r="BR174" s="27" t="s">
        <v>7</v>
      </c>
    </row>
    <row r="175" spans="1:70" x14ac:dyDescent="0.25">
      <c r="A175" s="30">
        <v>5.8182851441162305E-3</v>
      </c>
      <c r="F175" s="27" t="s">
        <v>7</v>
      </c>
      <c r="G175" s="27" t="s">
        <v>8</v>
      </c>
      <c r="H175" s="27" t="s">
        <v>7</v>
      </c>
      <c r="S175" s="27" t="s">
        <v>8</v>
      </c>
      <c r="T175" s="27" t="s">
        <v>7</v>
      </c>
      <c r="U175" s="27" t="s">
        <v>8</v>
      </c>
      <c r="V175" s="27" t="s">
        <v>7</v>
      </c>
      <c r="AA175" s="27" t="s">
        <v>8</v>
      </c>
      <c r="AH175" s="31"/>
      <c r="AZ175" s="32" t="s">
        <v>7</v>
      </c>
      <c r="BB175" s="32" t="s">
        <v>7</v>
      </c>
      <c r="BR175" s="27" t="s">
        <v>7</v>
      </c>
    </row>
    <row r="176" spans="1:70" x14ac:dyDescent="0.25">
      <c r="A176" s="30">
        <v>5.2893501310147546E-3</v>
      </c>
      <c r="F176" s="27" t="s">
        <v>7</v>
      </c>
      <c r="G176" s="27" t="s">
        <v>8</v>
      </c>
      <c r="H176" s="27" t="s">
        <v>7</v>
      </c>
      <c r="S176" s="27" t="s">
        <v>8</v>
      </c>
      <c r="T176" s="27" t="s">
        <v>7</v>
      </c>
      <c r="V176" s="27" t="s">
        <v>7</v>
      </c>
      <c r="AA176" s="27" t="s">
        <v>8</v>
      </c>
      <c r="AG176" s="31"/>
      <c r="BR176" s="27" t="s">
        <v>7</v>
      </c>
    </row>
    <row r="177" spans="1:32" x14ac:dyDescent="0.25">
      <c r="A177" s="30">
        <v>4.8085001191043222E-3</v>
      </c>
      <c r="F177" s="27" t="s">
        <v>7</v>
      </c>
      <c r="H177" s="27" t="s">
        <v>7</v>
      </c>
      <c r="I177" s="27" t="s">
        <v>8</v>
      </c>
      <c r="S177" s="27" t="s">
        <v>8</v>
      </c>
      <c r="V177" s="33" t="s">
        <v>7</v>
      </c>
      <c r="AA177" s="27" t="s">
        <v>8</v>
      </c>
      <c r="AF177" s="31"/>
    </row>
    <row r="178" spans="1:32" x14ac:dyDescent="0.25">
      <c r="A178" s="30">
        <v>4.3713637446402926E-3</v>
      </c>
      <c r="H178" s="27" t="s">
        <v>7</v>
      </c>
      <c r="I178" s="27" t="s">
        <v>8</v>
      </c>
      <c r="J178" s="27" t="s">
        <v>7</v>
      </c>
      <c r="O178" s="32" t="s">
        <v>8</v>
      </c>
      <c r="Q178" s="32" t="s">
        <v>8</v>
      </c>
      <c r="S178" s="27" t="s">
        <v>8</v>
      </c>
      <c r="V178" s="27" t="s">
        <v>7</v>
      </c>
      <c r="AA178" s="27" t="s">
        <v>8</v>
      </c>
      <c r="AE178" s="31"/>
    </row>
    <row r="179" spans="1:32" x14ac:dyDescent="0.25">
      <c r="A179" s="30">
        <v>3.9739670405820838E-3</v>
      </c>
      <c r="H179" s="27" t="s">
        <v>7</v>
      </c>
      <c r="I179" s="27" t="s">
        <v>8</v>
      </c>
      <c r="J179" s="27" t="s">
        <v>7</v>
      </c>
      <c r="O179" s="27" t="s">
        <v>8</v>
      </c>
      <c r="P179" s="27" t="s">
        <v>7</v>
      </c>
      <c r="Q179" s="27" t="s">
        <v>8</v>
      </c>
      <c r="R179" s="27" t="s">
        <v>7</v>
      </c>
      <c r="S179" s="27" t="s">
        <v>8</v>
      </c>
      <c r="V179" s="27" t="s">
        <v>7</v>
      </c>
      <c r="AA179" s="34" t="s">
        <v>8</v>
      </c>
      <c r="AD179" s="31"/>
    </row>
    <row r="180" spans="1:32" x14ac:dyDescent="0.25">
      <c r="A180" s="30">
        <v>3.6126973096200759E-3</v>
      </c>
      <c r="H180" s="27" t="s">
        <v>7</v>
      </c>
      <c r="I180" s="27" t="s">
        <v>8</v>
      </c>
      <c r="J180" s="27" t="s">
        <v>7</v>
      </c>
      <c r="O180" s="27" t="s">
        <v>8</v>
      </c>
      <c r="P180" s="27" t="s">
        <v>7</v>
      </c>
      <c r="Q180" s="27" t="s">
        <v>8</v>
      </c>
      <c r="R180" s="27" t="s">
        <v>7</v>
      </c>
      <c r="S180" s="27" t="s">
        <v>8</v>
      </c>
      <c r="V180" s="27" t="s">
        <v>7</v>
      </c>
      <c r="W180" s="32" t="s">
        <v>8</v>
      </c>
      <c r="Y180" s="32" t="s">
        <v>8</v>
      </c>
      <c r="AA180" s="27" t="s">
        <v>8</v>
      </c>
      <c r="AC180" s="31"/>
    </row>
    <row r="181" spans="1:32" x14ac:dyDescent="0.25">
      <c r="A181" s="30">
        <v>3.2842702814727962E-3</v>
      </c>
      <c r="H181" s="27" t="s">
        <v>7</v>
      </c>
      <c r="I181" s="27" t="s">
        <v>8</v>
      </c>
      <c r="J181" s="27" t="s">
        <v>7</v>
      </c>
      <c r="M181" s="27" t="s">
        <v>8</v>
      </c>
      <c r="O181" s="27" t="s">
        <v>8</v>
      </c>
      <c r="P181" s="32" t="s">
        <v>7</v>
      </c>
      <c r="R181" s="32" t="s">
        <v>7</v>
      </c>
      <c r="V181" s="27" t="s">
        <v>7</v>
      </c>
      <c r="W181" s="27" t="s">
        <v>8</v>
      </c>
      <c r="X181" s="27" t="s">
        <v>7</v>
      </c>
      <c r="Y181" s="27" t="s">
        <v>8</v>
      </c>
      <c r="Z181" s="27" t="s">
        <v>7</v>
      </c>
      <c r="AA181" s="27" t="s">
        <v>8</v>
      </c>
      <c r="AB181" s="31"/>
    </row>
    <row r="182" spans="1:32" x14ac:dyDescent="0.25">
      <c r="A182" s="30">
        <v>2.9857002558843601E-3</v>
      </c>
      <c r="H182" s="27" t="s">
        <v>7</v>
      </c>
      <c r="I182" s="27" t="s">
        <v>8</v>
      </c>
      <c r="J182" s="27" t="s">
        <v>7</v>
      </c>
      <c r="M182" s="27" t="s">
        <v>8</v>
      </c>
      <c r="N182" s="27" t="s">
        <v>7</v>
      </c>
      <c r="O182" s="27" t="s">
        <v>8</v>
      </c>
      <c r="V182" s="27" t="s">
        <v>7</v>
      </c>
      <c r="W182" s="27" t="s">
        <v>8</v>
      </c>
      <c r="X182" s="27" t="s">
        <v>7</v>
      </c>
      <c r="Y182" s="27" t="s">
        <v>8</v>
      </c>
      <c r="Z182" s="27" t="s">
        <v>7</v>
      </c>
      <c r="AA182" s="31" t="s">
        <v>8</v>
      </c>
    </row>
    <row r="183" spans="1:32" x14ac:dyDescent="0.25">
      <c r="A183" s="30">
        <v>2.7142729598948726E-3</v>
      </c>
      <c r="H183" s="27" t="s">
        <v>7</v>
      </c>
      <c r="I183" s="27" t="s">
        <v>8</v>
      </c>
      <c r="J183" s="27" t="s">
        <v>7</v>
      </c>
      <c r="M183" s="27" t="s">
        <v>8</v>
      </c>
      <c r="N183" s="27" t="s">
        <v>7</v>
      </c>
      <c r="O183" s="27" t="s">
        <v>8</v>
      </c>
      <c r="V183" s="27" t="s">
        <v>7</v>
      </c>
      <c r="W183" s="27" t="s">
        <v>8</v>
      </c>
      <c r="X183" s="27" t="s">
        <v>7</v>
      </c>
      <c r="Y183" s="27" t="s">
        <v>8</v>
      </c>
      <c r="Z183" s="31" t="s">
        <v>7</v>
      </c>
    </row>
    <row r="184" spans="1:32" x14ac:dyDescent="0.25">
      <c r="A184" s="30">
        <v>2.4675208726317021E-3</v>
      </c>
      <c r="H184" s="27" t="s">
        <v>7</v>
      </c>
      <c r="I184" s="27" t="s">
        <v>8</v>
      </c>
      <c r="J184" s="27" t="s">
        <v>7</v>
      </c>
      <c r="M184" s="27" t="s">
        <v>8</v>
      </c>
      <c r="N184" s="27" t="s">
        <v>7</v>
      </c>
      <c r="O184" s="27" t="s">
        <v>8</v>
      </c>
      <c r="V184" s="27" t="s">
        <v>7</v>
      </c>
      <c r="X184" s="27" t="s">
        <v>7</v>
      </c>
      <c r="Y184" s="31" t="s">
        <v>8</v>
      </c>
    </row>
    <row r="185" spans="1:32" x14ac:dyDescent="0.25">
      <c r="A185" s="30">
        <v>2.2432007933015472E-3</v>
      </c>
      <c r="H185" s="27" t="s">
        <v>7</v>
      </c>
      <c r="J185" s="27" t="s">
        <v>7</v>
      </c>
      <c r="M185" s="27" t="s">
        <v>8</v>
      </c>
      <c r="N185" s="27" t="s">
        <v>7</v>
      </c>
      <c r="X185" s="31" t="s">
        <v>7</v>
      </c>
    </row>
    <row r="186" spans="1:32" x14ac:dyDescent="0.25">
      <c r="A186" s="30">
        <v>2.0392734484559519E-3</v>
      </c>
      <c r="J186" s="27" t="s">
        <v>7</v>
      </c>
      <c r="M186" s="27" t="s">
        <v>8</v>
      </c>
    </row>
    <row r="187" spans="1:32" x14ac:dyDescent="0.25">
      <c r="A187" s="30">
        <v>1.8538849531417744E-3</v>
      </c>
      <c r="J187" s="27" t="s">
        <v>7</v>
      </c>
      <c r="K187" s="27" t="s">
        <v>8</v>
      </c>
      <c r="M187" s="27" t="s">
        <v>8</v>
      </c>
    </row>
    <row r="188" spans="1:32" x14ac:dyDescent="0.25">
      <c r="A188" s="30">
        <v>1.6853499574016129E-3</v>
      </c>
      <c r="J188" s="27" t="s">
        <v>7</v>
      </c>
      <c r="K188" s="27" t="s">
        <v>8</v>
      </c>
      <c r="L188" s="27" t="s">
        <v>7</v>
      </c>
      <c r="M188" s="27" t="s">
        <v>8</v>
      </c>
    </row>
    <row r="189" spans="1:32" x14ac:dyDescent="0.25">
      <c r="A189" s="30">
        <v>1.5321363249105571E-3</v>
      </c>
      <c r="J189" s="27" t="s">
        <v>7</v>
      </c>
      <c r="K189" s="27" t="s">
        <v>8</v>
      </c>
      <c r="L189" s="27" t="s">
        <v>7</v>
      </c>
      <c r="M189" s="27" t="s">
        <v>8</v>
      </c>
    </row>
    <row r="190" spans="1:32" x14ac:dyDescent="0.25">
      <c r="A190" s="30">
        <v>1.3928512044641427E-3</v>
      </c>
      <c r="J190" s="32" t="s">
        <v>7</v>
      </c>
      <c r="L190" s="32" t="s">
        <v>7</v>
      </c>
    </row>
    <row r="191" spans="1:32" x14ac:dyDescent="0.25">
      <c r="A191" s="30">
        <v>1.2662283676946752E-3</v>
      </c>
    </row>
    <row r="192" spans="1:32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189" operator="equal">
      <formula>$U$1</formula>
    </cfRule>
    <cfRule type="cellIs" dxfId="30" priority="1190" operator="equal">
      <formula>$S$1</formula>
    </cfRule>
  </conditionalFormatting>
  <conditionalFormatting sqref="D136">
    <cfRule type="cellIs" dxfId="29" priority="1187" operator="equal">
      <formula>$S$1</formula>
    </cfRule>
    <cfRule type="cellIs" dxfId="28" priority="1188" operator="equal">
      <formula>$U$1</formula>
    </cfRule>
  </conditionalFormatting>
  <conditionalFormatting sqref="C102">
    <cfRule type="cellIs" dxfId="27" priority="1185" operator="equal">
      <formula>$U$1</formula>
    </cfRule>
    <cfRule type="cellIs" dxfId="26" priority="1186" operator="equal">
      <formula>$S$1</formula>
    </cfRule>
  </conditionalFormatting>
  <conditionalFormatting sqref="D102">
    <cfRule type="cellIs" dxfId="25" priority="1183" operator="equal">
      <formula>$S$1</formula>
    </cfRule>
    <cfRule type="cellIs" dxfId="24" priority="1184" operator="equal">
      <formula>$U$1</formula>
    </cfRule>
  </conditionalFormatting>
  <conditionalFormatting sqref="C77">
    <cfRule type="cellIs" dxfId="23" priority="1181" operator="equal">
      <formula>$U$1</formula>
    </cfRule>
    <cfRule type="cellIs" dxfId="22" priority="1182" operator="equal">
      <formula>$S$1</formula>
    </cfRule>
  </conditionalFormatting>
  <conditionalFormatting sqref="D77">
    <cfRule type="cellIs" dxfId="21" priority="1179" operator="equal">
      <formula>$S$1</formula>
    </cfRule>
    <cfRule type="cellIs" dxfId="20" priority="1180" operator="equal">
      <formula>$U$1</formula>
    </cfRule>
  </conditionalFormatting>
  <conditionalFormatting sqref="C52">
    <cfRule type="cellIs" dxfId="19" priority="1177" operator="equal">
      <formula>$U$1</formula>
    </cfRule>
    <cfRule type="cellIs" dxfId="18" priority="1178" operator="equal">
      <formula>$S$1</formula>
    </cfRule>
  </conditionalFormatting>
  <conditionalFormatting sqref="D52">
    <cfRule type="cellIs" dxfId="17" priority="1175" operator="equal">
      <formula>$S$1</formula>
    </cfRule>
    <cfRule type="cellIs" dxfId="16" priority="1176" operator="equal">
      <formula>$U$1</formula>
    </cfRule>
  </conditionalFormatting>
  <conditionalFormatting sqref="C26">
    <cfRule type="cellIs" dxfId="15" priority="1173" operator="equal">
      <formula>$U$1</formula>
    </cfRule>
    <cfRule type="cellIs" dxfId="14" priority="1174" operator="equal">
      <formula>$S$1</formula>
    </cfRule>
  </conditionalFormatting>
  <conditionalFormatting sqref="D26">
    <cfRule type="cellIs" dxfId="13" priority="1171" operator="equal">
      <formula>$S$1</formula>
    </cfRule>
    <cfRule type="cellIs" dxfId="12" priority="117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6" t="s">
        <v>17</v>
      </c>
      <c r="C1" s="36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2022-01-28T01:22:19Z</dcterms:modified>
</cp:coreProperties>
</file>