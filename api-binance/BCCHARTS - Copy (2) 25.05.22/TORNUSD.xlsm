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66E05D9-A752-4CEE-9A04-DD7F1B8D262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C136" i="4" s="1"/>
  <c r="C116" i="4"/>
  <c r="C122" i="3"/>
  <c r="C133" i="3" s="1"/>
  <c r="D136" i="3" s="1"/>
  <c r="C118" i="3"/>
  <c r="R765" i="1"/>
  <c r="D136" i="5" l="1"/>
  <c r="C138" i="5" s="1"/>
  <c r="D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S165" i="1" l="1"/>
  <c r="T165" i="1" s="1"/>
  <c r="R164" i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S157" i="1" l="1"/>
  <c r="T157" i="1" s="1"/>
  <c r="R156" i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S133" i="1" l="1"/>
  <c r="T133" i="1" s="1"/>
  <c r="R132" i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S101" i="1" l="1"/>
  <c r="T101" i="1" s="1"/>
  <c r="R100" i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S93" i="1" l="1"/>
  <c r="T93" i="1" s="1"/>
  <c r="R92" i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<sst xmlns="http://schemas.openxmlformats.org/spreadsheetml/2006/main" count="2836" uniqueCount="34">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</sst>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20.37</c:v>
                </c:pt>
                <c:pt idx="1">
                  <c:v>20.94</c:v>
                </c:pt>
                <c:pt idx="2">
                  <c:v>21.17</c:v>
                </c:pt>
                <c:pt idx="3">
                  <c:v>21.82</c:v>
                </c:pt>
                <c:pt idx="4">
                  <c:v>21.75</c:v>
                </c:pt>
                <c:pt idx="5">
                  <c:v>21.3</c:v>
                </c:pt>
                <c:pt idx="6">
                  <c:v>23.77</c:v>
                </c:pt>
                <c:pt idx="7">
                  <c:v>28.17</c:v>
                </c:pt>
                <c:pt idx="8">
                  <c:v>29.15</c:v>
                </c:pt>
                <c:pt idx="9">
                  <c:v>31.61</c:v>
                </c:pt>
                <c:pt idx="10">
                  <c:v>30.12</c:v>
                </c:pt>
                <c:pt idx="11">
                  <c:v>32.26</c:v>
                </c:pt>
                <c:pt idx="12">
                  <c:v>33.299999999999997</c:v>
                </c:pt>
                <c:pt idx="13">
                  <c:v>32.299999999999997</c:v>
                </c:pt>
                <c:pt idx="14">
                  <c:v>28.07</c:v>
                </c:pt>
                <c:pt idx="15">
                  <c:v>29.56</c:v>
                </c:pt>
                <c:pt idx="16">
                  <c:v>28.56</c:v>
                </c:pt>
                <c:pt idx="17">
                  <c:v>26.75</c:v>
                </c:pt>
                <c:pt idx="18">
                  <c:v>28.17</c:v>
                </c:pt>
                <c:pt idx="19">
                  <c:v>28.14</c:v>
                </c:pt>
                <c:pt idx="20">
                  <c:v>29.28</c:v>
                </c:pt>
                <c:pt idx="21">
                  <c:v>32</c:v>
                </c:pt>
                <c:pt idx="22">
                  <c:v>32.92</c:v>
                </c:pt>
                <c:pt idx="23">
                  <c:v>35.049999999999997</c:v>
                </c:pt>
                <c:pt idx="24">
                  <c:v>35.43</c:v>
                </c:pt>
                <c:pt idx="25">
                  <c:v>36.47</c:v>
                </c:pt>
                <c:pt idx="26">
                  <c:v>36.67</c:v>
                </c:pt>
                <c:pt idx="27">
                  <c:v>36.270000000000003</c:v>
                </c:pt>
                <c:pt idx="28">
                  <c:v>37.06</c:v>
                </c:pt>
                <c:pt idx="29">
                  <c:v>38.24</c:v>
                </c:pt>
                <c:pt idx="30">
                  <c:v>38.4</c:v>
                </c:pt>
                <c:pt idx="31">
                  <c:v>40.22</c:v>
                </c:pt>
                <c:pt idx="32">
                  <c:v>41.44</c:v>
                </c:pt>
                <c:pt idx="33">
                  <c:v>41.47</c:v>
                </c:pt>
                <c:pt idx="34">
                  <c:v>41.46</c:v>
                </c:pt>
                <c:pt idx="35">
                  <c:v>43.31</c:v>
                </c:pt>
                <c:pt idx="36">
                  <c:v>39.58</c:v>
                </c:pt>
                <c:pt idx="37">
                  <c:v>39.93</c:v>
                </c:pt>
                <c:pt idx="38">
                  <c:v>38.340000000000003</c:v>
                </c:pt>
                <c:pt idx="39">
                  <c:v>38.01</c:v>
                </c:pt>
                <c:pt idx="40">
                  <c:v>39.54</c:v>
                </c:pt>
                <c:pt idx="41">
                  <c:v>37</c:v>
                </c:pt>
                <c:pt idx="42">
                  <c:v>38.97</c:v>
                </c:pt>
                <c:pt idx="43">
                  <c:v>37.270000000000003</c:v>
                </c:pt>
                <c:pt idx="44">
                  <c:v>34.049999999999997</c:v>
                </c:pt>
                <c:pt idx="45">
                  <c:v>33.58</c:v>
                </c:pt>
                <c:pt idx="46">
                  <c:v>40.14</c:v>
                </c:pt>
                <c:pt idx="47">
                  <c:v>35.299999999999997</c:v>
                </c:pt>
                <c:pt idx="48">
                  <c:v>35.15</c:v>
                </c:pt>
                <c:pt idx="49">
                  <c:v>34.479999999999997</c:v>
                </c:pt>
                <c:pt idx="50">
                  <c:v>36.61</c:v>
                </c:pt>
                <c:pt idx="51">
                  <c:v>36.159999999999997</c:v>
                </c:pt>
                <c:pt idx="52">
                  <c:v>36.65</c:v>
                </c:pt>
                <c:pt idx="53">
                  <c:v>36.549999999999997</c:v>
                </c:pt>
                <c:pt idx="54">
                  <c:v>37.28</c:v>
                </c:pt>
                <c:pt idx="55">
                  <c:v>43.1</c:v>
                </c:pt>
                <c:pt idx="56">
                  <c:v>45.72</c:v>
                </c:pt>
                <c:pt idx="57">
                  <c:v>44.21</c:v>
                </c:pt>
                <c:pt idx="58">
                  <c:v>45.42</c:v>
                </c:pt>
                <c:pt idx="59">
                  <c:v>46.55</c:v>
                </c:pt>
                <c:pt idx="60">
                  <c:v>45.28</c:v>
                </c:pt>
                <c:pt idx="61">
                  <c:v>48.28</c:v>
                </c:pt>
                <c:pt idx="62">
                  <c:v>45.21</c:v>
                </c:pt>
                <c:pt idx="63">
                  <c:v>53.13</c:v>
                </c:pt>
                <c:pt idx="64">
                  <c:v>51.86</c:v>
                </c:pt>
                <c:pt idx="65">
                  <c:v>52.87</c:v>
                </c:pt>
                <c:pt idx="66">
                  <c:v>48.72</c:v>
                </c:pt>
                <c:pt idx="67">
                  <c:v>50.72</c:v>
                </c:pt>
                <c:pt idx="68">
                  <c:v>52.02</c:v>
                </c:pt>
                <c:pt idx="69">
                  <c:v>51.69</c:v>
                </c:pt>
                <c:pt idx="70">
                  <c:v>47.43</c:v>
                </c:pt>
                <c:pt idx="71">
                  <c:v>52.11</c:v>
                </c:pt>
                <c:pt idx="72">
                  <c:v>50.05</c:v>
                </c:pt>
                <c:pt idx="73">
                  <c:v>54.4</c:v>
                </c:pt>
                <c:pt idx="74">
                  <c:v>54.81</c:v>
                </c:pt>
                <c:pt idx="75">
                  <c:v>54.97</c:v>
                </c:pt>
                <c:pt idx="76">
                  <c:v>52.86</c:v>
                </c:pt>
                <c:pt idx="77">
                  <c:v>54.33</c:v>
                </c:pt>
                <c:pt idx="78">
                  <c:v>52.5</c:v>
                </c:pt>
                <c:pt idx="79">
                  <c:v>57.55</c:v>
                </c:pt>
                <c:pt idx="80">
                  <c:v>58.54</c:v>
                </c:pt>
                <c:pt idx="81">
                  <c:v>57.27</c:v>
                </c:pt>
                <c:pt idx="82">
                  <c:v>57.11</c:v>
                </c:pt>
                <c:pt idx="83">
                  <c:v>56.71</c:v>
                </c:pt>
                <c:pt idx="84">
                  <c:v>57.57</c:v>
                </c:pt>
                <c:pt idx="85">
                  <c:v>58.86</c:v>
                </c:pt>
                <c:pt idx="86">
                  <c:v>60.95</c:v>
                </c:pt>
                <c:pt idx="87">
                  <c:v>60.34</c:v>
                </c:pt>
                <c:pt idx="88">
                  <c:v>60.31</c:v>
                </c:pt>
                <c:pt idx="89">
                  <c:v>61.22</c:v>
                </c:pt>
                <c:pt idx="90">
                  <c:v>62.26</c:v>
                </c:pt>
                <c:pt idx="91">
                  <c:v>62.7</c:v>
                </c:pt>
                <c:pt idx="92">
                  <c:v>60.04</c:v>
                </c:pt>
                <c:pt idx="93">
                  <c:v>65.64</c:v>
                </c:pt>
                <c:pt idx="94">
                  <c:v>70.88</c:v>
                </c:pt>
                <c:pt idx="95">
                  <c:v>68.38</c:v>
                </c:pt>
                <c:pt idx="96">
                  <c:v>67.38</c:v>
                </c:pt>
                <c:pt idx="97">
                  <c:v>66.27</c:v>
                </c:pt>
                <c:pt idx="98">
                  <c:v>67</c:v>
                </c:pt>
                <c:pt idx="99">
                  <c:v>71.75</c:v>
                </c:pt>
                <c:pt idx="100">
                  <c:v>69.72</c:v>
                </c:pt>
                <c:pt idx="101">
                  <c:v>73.8</c:v>
                </c:pt>
                <c:pt idx="102">
                  <c:v>73.66</c:v>
                </c:pt>
                <c:pt idx="103">
                  <c:v>70.290000000000006</c:v>
                </c:pt>
                <c:pt idx="104">
                  <c:v>69.97</c:v>
                </c:pt>
                <c:pt idx="105">
                  <c:v>65.900000000000006</c:v>
                </c:pt>
                <c:pt idx="106">
                  <c:v>67</c:v>
                </c:pt>
                <c:pt idx="107">
                  <c:v>62.12</c:v>
                </c:pt>
                <c:pt idx="108">
                  <c:v>64.39</c:v>
                </c:pt>
                <c:pt idx="109">
                  <c:v>64.739999999999995</c:v>
                </c:pt>
                <c:pt idx="110">
                  <c:v>70.41</c:v>
                </c:pt>
                <c:pt idx="111">
                  <c:v>65.849999999999994</c:v>
                </c:pt>
                <c:pt idx="112">
                  <c:v>65.52</c:v>
                </c:pt>
                <c:pt idx="113">
                  <c:v>67.06</c:v>
                </c:pt>
                <c:pt idx="114">
                  <c:v>69.180000000000007</c:v>
                </c:pt>
                <c:pt idx="115">
                  <c:v>66.62</c:v>
                </c:pt>
                <c:pt idx="116">
                  <c:v>67.95</c:v>
                </c:pt>
                <c:pt idx="117">
                  <c:v>67.3</c:v>
                </c:pt>
                <c:pt idx="118">
                  <c:v>68.69</c:v>
                </c:pt>
                <c:pt idx="119">
                  <c:v>64.59</c:v>
                </c:pt>
                <c:pt idx="120">
                  <c:v>57.79</c:v>
                </c:pt>
                <c:pt idx="121">
                  <c:v>55.76</c:v>
                </c:pt>
                <c:pt idx="122">
                  <c:v>58.61</c:v>
                </c:pt>
                <c:pt idx="123">
                  <c:v>57.1</c:v>
                </c:pt>
                <c:pt idx="124">
                  <c:v>56.19</c:v>
                </c:pt>
                <c:pt idx="125">
                  <c:v>57.39</c:v>
                </c:pt>
                <c:pt idx="126">
                  <c:v>64.83</c:v>
                </c:pt>
                <c:pt idx="127">
                  <c:v>60.42</c:v>
                </c:pt>
                <c:pt idx="128">
                  <c:v>54.56</c:v>
                </c:pt>
                <c:pt idx="129">
                  <c:v>61.9</c:v>
                </c:pt>
                <c:pt idx="130">
                  <c:v>66.989999999999995</c:v>
                </c:pt>
                <c:pt idx="131">
                  <c:v>69.099999999999994</c:v>
                </c:pt>
                <c:pt idx="132">
                  <c:v>66.75</c:v>
                </c:pt>
                <c:pt idx="133">
                  <c:v>78.459999999999994</c:v>
                </c:pt>
                <c:pt idx="134">
                  <c:v>68.31</c:v>
                </c:pt>
                <c:pt idx="135">
                  <c:v>69.64</c:v>
                </c:pt>
                <c:pt idx="136">
                  <c:v>57.43</c:v>
                </c:pt>
                <c:pt idx="137">
                  <c:v>62.83</c:v>
                </c:pt>
                <c:pt idx="138">
                  <c:v>61.2</c:v>
                </c:pt>
                <c:pt idx="139">
                  <c:v>60.58</c:v>
                </c:pt>
                <c:pt idx="140">
                  <c:v>60.12</c:v>
                </c:pt>
                <c:pt idx="141">
                  <c:v>61.81</c:v>
                </c:pt>
                <c:pt idx="142">
                  <c:v>60.29</c:v>
                </c:pt>
                <c:pt idx="143">
                  <c:v>73.03</c:v>
                </c:pt>
                <c:pt idx="144">
                  <c:v>76.28</c:v>
                </c:pt>
                <c:pt idx="145">
                  <c:v>72.010000000000005</c:v>
                </c:pt>
                <c:pt idx="146">
                  <c:v>73.58</c:v>
                </c:pt>
                <c:pt idx="147">
                  <c:v>77</c:v>
                </c:pt>
                <c:pt idx="148">
                  <c:v>78.97</c:v>
                </c:pt>
                <c:pt idx="149">
                  <c:v>72.98</c:v>
                </c:pt>
                <c:pt idx="150">
                  <c:v>65.41</c:v>
                </c:pt>
                <c:pt idx="151">
                  <c:v>70</c:v>
                </c:pt>
                <c:pt idx="152">
                  <c:v>74.44</c:v>
                </c:pt>
                <c:pt idx="153">
                  <c:v>77.7</c:v>
                </c:pt>
                <c:pt idx="154">
                  <c:v>73.25</c:v>
                </c:pt>
                <c:pt idx="155">
                  <c:v>68</c:v>
                </c:pt>
                <c:pt idx="156">
                  <c:v>49.75</c:v>
                </c:pt>
                <c:pt idx="157">
                  <c:v>50.56</c:v>
                </c:pt>
                <c:pt idx="158">
                  <c:v>49.49</c:v>
                </c:pt>
                <c:pt idx="159">
                  <c:v>49.31</c:v>
                </c:pt>
                <c:pt idx="160">
                  <c:v>51.65</c:v>
                </c:pt>
                <c:pt idx="161">
                  <c:v>50.27</c:v>
                </c:pt>
                <c:pt idx="162">
                  <c:v>47.01</c:v>
                </c:pt>
                <c:pt idx="163">
                  <c:v>45.71</c:v>
                </c:pt>
                <c:pt idx="164">
                  <c:v>49.97</c:v>
                </c:pt>
                <c:pt idx="165">
                  <c:v>53.37</c:v>
                </c:pt>
                <c:pt idx="166">
                  <c:v>53.33</c:v>
                </c:pt>
                <c:pt idx="167">
                  <c:v>56.8</c:v>
                </c:pt>
                <c:pt idx="168">
                  <c:v>53.66</c:v>
                </c:pt>
                <c:pt idx="169">
                  <c:v>51.65</c:v>
                </c:pt>
                <c:pt idx="170">
                  <c:v>55.32</c:v>
                </c:pt>
                <c:pt idx="171">
                  <c:v>56.56</c:v>
                </c:pt>
                <c:pt idx="172">
                  <c:v>59.26</c:v>
                </c:pt>
                <c:pt idx="173">
                  <c:v>62.16</c:v>
                </c:pt>
                <c:pt idx="174">
                  <c:v>36.76</c:v>
                </c:pt>
                <c:pt idx="175">
                  <c:v>37.39</c:v>
                </c:pt>
                <c:pt idx="176">
                  <c:v>32.85</c:v>
                </c:pt>
                <c:pt idx="177">
                  <c:v>31.41</c:v>
                </c:pt>
                <c:pt idx="178">
                  <c:v>34.729999999999997</c:v>
                </c:pt>
                <c:pt idx="179">
                  <c:v>34.700000000000003</c:v>
                </c:pt>
                <c:pt idx="180">
                  <c:v>36.14</c:v>
                </c:pt>
                <c:pt idx="181">
                  <c:v>37.44</c:v>
                </c:pt>
                <c:pt idx="182">
                  <c:v>32.68</c:v>
                </c:pt>
                <c:pt idx="183">
                  <c:v>32.64</c:v>
                </c:pt>
                <c:pt idx="184">
                  <c:v>33.47</c:v>
                </c:pt>
                <c:pt idx="185">
                  <c:v>33.17</c:v>
                </c:pt>
                <c:pt idx="186">
                  <c:v>32.630000000000003</c:v>
                </c:pt>
                <c:pt idx="187">
                  <c:v>32.82</c:v>
                </c:pt>
                <c:pt idx="188">
                  <c:v>30.7</c:v>
                </c:pt>
                <c:pt idx="189">
                  <c:v>30.47</c:v>
                </c:pt>
                <c:pt idx="190">
                  <c:v>29.76</c:v>
                </c:pt>
                <c:pt idx="191">
                  <c:v>27.02</c:v>
                </c:pt>
                <c:pt idx="192">
                  <c:v>28.11</c:v>
                </c:pt>
                <c:pt idx="193">
                  <c:v>30.8</c:v>
                </c:pt>
                <c:pt idx="194">
                  <c:v>30.56</c:v>
                </c:pt>
                <c:pt idx="195">
                  <c:v>31.09</c:v>
                </c:pt>
                <c:pt idx="196">
                  <c:v>31.63</c:v>
                </c:pt>
                <c:pt idx="197">
                  <c:v>31.42</c:v>
                </c:pt>
                <c:pt idx="198">
                  <c:v>30.79</c:v>
                </c:pt>
                <c:pt idx="199">
                  <c:v>32.880000000000003</c:v>
                </c:pt>
                <c:pt idx="200">
                  <c:v>34.93</c:v>
                </c:pt>
                <c:pt idx="201">
                  <c:v>34.049999999999997</c:v>
                </c:pt>
                <c:pt idx="202">
                  <c:v>36.43</c:v>
                </c:pt>
                <c:pt idx="203">
                  <c:v>35.869999999999997</c:v>
                </c:pt>
                <c:pt idx="204">
                  <c:v>39.049999999999997</c:v>
                </c:pt>
                <c:pt idx="205">
                  <c:v>39.07</c:v>
                </c:pt>
                <c:pt idx="206">
                  <c:v>36.93</c:v>
                </c:pt>
                <c:pt idx="207">
                  <c:v>39.04</c:v>
                </c:pt>
                <c:pt idx="208">
                  <c:v>38.75</c:v>
                </c:pt>
                <c:pt idx="209">
                  <c:v>38.26</c:v>
                </c:pt>
                <c:pt idx="210">
                  <c:v>38.54</c:v>
                </c:pt>
                <c:pt idx="211">
                  <c:v>42.89</c:v>
                </c:pt>
                <c:pt idx="212">
                  <c:v>44.51</c:v>
                </c:pt>
                <c:pt idx="213">
                  <c:v>41.43</c:v>
                </c:pt>
                <c:pt idx="214">
                  <c:v>40.65</c:v>
                </c:pt>
                <c:pt idx="215">
                  <c:v>38.11</c:v>
                </c:pt>
                <c:pt idx="216">
                  <c:v>38.979999999999997</c:v>
                </c:pt>
                <c:pt idx="217">
                  <c:v>45.74</c:v>
                </c:pt>
                <c:pt idx="218">
                  <c:v>44.9</c:v>
                </c:pt>
                <c:pt idx="219">
                  <c:v>41.93</c:v>
                </c:pt>
                <c:pt idx="220">
                  <c:v>34.56</c:v>
                </c:pt>
                <c:pt idx="221">
                  <c:v>47.1</c:v>
                </c:pt>
                <c:pt idx="222">
                  <c:v>51.64</c:v>
                </c:pt>
                <c:pt idx="223">
                  <c:v>46.74</c:v>
                </c:pt>
                <c:pt idx="224">
                  <c:v>51.37</c:v>
                </c:pt>
                <c:pt idx="225">
                  <c:v>52.59</c:v>
                </c:pt>
                <c:pt idx="226">
                  <c:v>56.04</c:v>
                </c:pt>
                <c:pt idx="227">
                  <c:v>56.73</c:v>
                </c:pt>
                <c:pt idx="228">
                  <c:v>57.55</c:v>
                </c:pt>
                <c:pt idx="229">
                  <c:v>53.98</c:v>
                </c:pt>
                <c:pt idx="230">
                  <c:v>61.5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C2-498E-A15B-2703BE64AA8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-4.3353485588119342E-2</c:v>
                </c:pt>
                <c:pt idx="1">
                  <c:v>-4.3343016488119342E-2</c:v>
                </c:pt>
                <c:pt idx="2">
                  <c:v>-4.3088590032829228E-2</c:v>
                </c:pt>
                <c:pt idx="3">
                  <c:v>-4.3129277504759062E-2</c:v>
                </c:pt>
                <c:pt idx="4">
                  <c:v>-4.3791344000363455E-2</c:v>
                </c:pt>
                <c:pt idx="5">
                  <c:v>-4.3778395895199135E-2</c:v>
                </c:pt>
                <c:pt idx="6">
                  <c:v>-4.3668555420298738E-2</c:v>
                </c:pt>
                <c:pt idx="7">
                  <c:v>-4.3272104516452581E-2</c:v>
                </c:pt>
                <c:pt idx="8">
                  <c:v>-4.2871415178367039E-2</c:v>
                </c:pt>
                <c:pt idx="9">
                  <c:v>-4.257141092248469E-2</c:v>
                </c:pt>
                <c:pt idx="10">
                  <c:v>-4.2100483859570777E-2</c:v>
                </c:pt>
                <c:pt idx="11">
                  <c:v>-4.1860010293137212E-2</c:v>
                </c:pt>
                <c:pt idx="12">
                  <c:v>-4.1488651316627143E-2</c:v>
                </c:pt>
                <c:pt idx="13">
                  <c:v>-4.0626386059250091E-2</c:v>
                </c:pt>
                <c:pt idx="14">
                  <c:v>-4.0929480235362498E-2</c:v>
                </c:pt>
                <c:pt idx="15">
                  <c:v>-4.0715359458859762E-2</c:v>
                </c:pt>
                <c:pt idx="16">
                  <c:v>-4.0935378364299099E-2</c:v>
                </c:pt>
                <c:pt idx="17">
                  <c:v>-3.9568147402394338E-2</c:v>
                </c:pt>
                <c:pt idx="18">
                  <c:v>-3.9416194810046053E-2</c:v>
                </c:pt>
                <c:pt idx="19">
                  <c:v>-3.9370898004591509E-2</c:v>
                </c:pt>
                <c:pt idx="20">
                  <c:v>-3.9299681807756066E-2</c:v>
                </c:pt>
                <c:pt idx="21">
                  <c:v>-3.9107705920659291E-2</c:v>
                </c:pt>
                <c:pt idx="22">
                  <c:v>-3.9147104003801052E-2</c:v>
                </c:pt>
                <c:pt idx="23">
                  <c:v>-3.9044778835151173E-2</c:v>
                </c:pt>
                <c:pt idx="24">
                  <c:v>-3.8893880808305532E-2</c:v>
                </c:pt>
                <c:pt idx="25">
                  <c:v>-3.884858887941664E-2</c:v>
                </c:pt>
                <c:pt idx="26">
                  <c:v>-3.8782175104641867E-2</c:v>
                </c:pt>
                <c:pt idx="27">
                  <c:v>-3.8827279705631969E-2</c:v>
                </c:pt>
                <c:pt idx="28">
                  <c:v>-3.8777511810872141E-2</c:v>
                </c:pt>
                <c:pt idx="29">
                  <c:v>-3.8520593618608531E-2</c:v>
                </c:pt>
                <c:pt idx="30">
                  <c:v>-3.8286513208139222E-2</c:v>
                </c:pt>
                <c:pt idx="31">
                  <c:v>-3.8201584636911146E-2</c:v>
                </c:pt>
                <c:pt idx="32">
                  <c:v>-3.7936203536911142E-2</c:v>
                </c:pt>
                <c:pt idx="33">
                  <c:v>-3.7937001838145711E-2</c:v>
                </c:pt>
                <c:pt idx="34">
                  <c:v>-3.7874790600050473E-2</c:v>
                </c:pt>
                <c:pt idx="35">
                  <c:v>-3.7716218618232288E-2</c:v>
                </c:pt>
                <c:pt idx="36">
                  <c:v>-3.778912556623229E-2</c:v>
                </c:pt>
                <c:pt idx="37">
                  <c:v>-3.7642281247227773E-2</c:v>
                </c:pt>
                <c:pt idx="38">
                  <c:v>-3.7647768145989378E-2</c:v>
                </c:pt>
                <c:pt idx="39">
                  <c:v>-3.7682221132850691E-2</c:v>
                </c:pt>
                <c:pt idx="40">
                  <c:v>-3.7472548144635208E-2</c:v>
                </c:pt>
                <c:pt idx="41">
                  <c:v>-3.7460364287492345E-2</c:v>
                </c:pt>
                <c:pt idx="42">
                  <c:v>-3.7359935527492345E-2</c:v>
                </c:pt>
                <c:pt idx="43">
                  <c:v>-3.7215838945418529E-2</c:v>
                </c:pt>
                <c:pt idx="44">
                  <c:v>-3.7459181931533747E-2</c:v>
                </c:pt>
                <c:pt idx="45">
                  <c:v>-3.7489987653272876E-2</c:v>
                </c:pt>
                <c:pt idx="46">
                  <c:v>-3.7126032163522185E-2</c:v>
                </c:pt>
                <c:pt idx="47">
                  <c:v>-3.7524151438457588E-2</c:v>
                </c:pt>
                <c:pt idx="48">
                  <c:v>-3.7528543547153237E-2</c:v>
                </c:pt>
                <c:pt idx="49">
                  <c:v>-3.7298016337153232E-2</c:v>
                </c:pt>
                <c:pt idx="50">
                  <c:v>-3.7005304294296097E-2</c:v>
                </c:pt>
                <c:pt idx="51">
                  <c:v>-3.6904055811438949E-2</c:v>
                </c:pt>
                <c:pt idx="52">
                  <c:v>-3.5940986683603897E-2</c:v>
                </c:pt>
                <c:pt idx="53">
                  <c:v>-3.6302723249868954E-2</c:v>
                </c:pt>
                <c:pt idx="54">
                  <c:v>-3.6214744094031394E-2</c:v>
                </c:pt>
                <c:pt idx="55">
                  <c:v>-3.6071551178917527E-2</c:v>
                </c:pt>
                <c:pt idx="56">
                  <c:v>-3.5659047706312931E-2</c:v>
                </c:pt>
                <c:pt idx="57">
                  <c:v>-3.5377128774312934E-2</c:v>
                </c:pt>
                <c:pt idx="58">
                  <c:v>-3.5172541164522723E-2</c:v>
                </c:pt>
                <c:pt idx="59">
                  <c:v>-3.5154652267971001E-2</c:v>
                </c:pt>
                <c:pt idx="60">
                  <c:v>-3.5291910851304335E-2</c:v>
                </c:pt>
                <c:pt idx="61">
                  <c:v>-3.5230211165282833E-2</c:v>
                </c:pt>
                <c:pt idx="62">
                  <c:v>-3.5402087421693082E-2</c:v>
                </c:pt>
                <c:pt idx="63">
                  <c:v>-3.485874706627981E-2</c:v>
                </c:pt>
                <c:pt idx="64">
                  <c:v>-3.5115113762668071E-2</c:v>
                </c:pt>
                <c:pt idx="65">
                  <c:v>-3.5093293777790024E-2</c:v>
                </c:pt>
                <c:pt idx="66">
                  <c:v>-3.5393141058446327E-2</c:v>
                </c:pt>
                <c:pt idx="67">
                  <c:v>-3.522479524470587E-2</c:v>
                </c:pt>
                <c:pt idx="68">
                  <c:v>-3.4401935928870725E-2</c:v>
                </c:pt>
                <c:pt idx="69">
                  <c:v>-3.4462402567151981E-2</c:v>
                </c:pt>
                <c:pt idx="70">
                  <c:v>-3.4639477487118701E-2</c:v>
                </c:pt>
                <c:pt idx="71">
                  <c:v>-3.4497773489546621E-2</c:v>
                </c:pt>
                <c:pt idx="72">
                  <c:v>-3.465638058954662E-2</c:v>
                </c:pt>
                <c:pt idx="73">
                  <c:v>-3.459085228008716E-2</c:v>
                </c:pt>
                <c:pt idx="74">
                  <c:v>-3.4353431017823011E-2</c:v>
                </c:pt>
                <c:pt idx="75">
                  <c:v>-3.4175330920729989E-2</c:v>
                </c:pt>
                <c:pt idx="76">
                  <c:v>-3.4239470828986873E-2</c:v>
                </c:pt>
                <c:pt idx="77">
                  <c:v>-3.4228420383272583E-2</c:v>
                </c:pt>
                <c:pt idx="78">
                  <c:v>-3.4320904298622473E-2</c:v>
                </c:pt>
                <c:pt idx="79">
                  <c:v>-3.4001514569576827E-2</c:v>
                </c:pt>
                <c:pt idx="80">
                  <c:v>-3.3742071237293364E-2</c:v>
                </c:pt>
                <c:pt idx="81">
                  <c:v>-3.3920802880549182E-2</c:v>
                </c:pt>
                <c:pt idx="82">
                  <c:v>-3.3907272835895091E-2</c:v>
                </c:pt>
                <c:pt idx="83">
                  <c:v>-3.3577074254397293E-2</c:v>
                </c:pt>
                <c:pt idx="84">
                  <c:v>-3.3376950006646429E-2</c:v>
                </c:pt>
                <c:pt idx="85">
                  <c:v>-3.3496854336058202E-2</c:v>
                </c:pt>
                <c:pt idx="86">
                  <c:v>-3.3329003757508351E-2</c:v>
                </c:pt>
                <c:pt idx="87">
                  <c:v>-3.3375362910016713E-2</c:v>
                </c:pt>
                <c:pt idx="88">
                  <c:v>-3.3273526843700919E-2</c:v>
                </c:pt>
                <c:pt idx="89">
                  <c:v>-3.3240381881834251E-2</c:v>
                </c:pt>
                <c:pt idx="90">
                  <c:v>-3.2908755778015636E-2</c:v>
                </c:pt>
                <c:pt idx="91">
                  <c:v>-3.2704057537711453E-2</c:v>
                </c:pt>
                <c:pt idx="92">
                  <c:v>-3.2918697309057332E-2</c:v>
                </c:pt>
                <c:pt idx="93">
                  <c:v>-3.2435659515942572E-2</c:v>
                </c:pt>
                <c:pt idx="94">
                  <c:v>-3.1906027252484176E-2</c:v>
                </c:pt>
                <c:pt idx="95">
                  <c:v>-3.1897384862653672E-2</c:v>
                </c:pt>
                <c:pt idx="96">
                  <c:v>-3.2048771602871055E-2</c:v>
                </c:pt>
                <c:pt idx="97">
                  <c:v>-3.2060133473874777E-2</c:v>
                </c:pt>
                <c:pt idx="98">
                  <c:v>-3.1980404495998677E-2</c:v>
                </c:pt>
                <c:pt idx="99">
                  <c:v>-3.1680195439707286E-2</c:v>
                </c:pt>
                <c:pt idx="100">
                  <c:v>-3.1755493296140691E-2</c:v>
                </c:pt>
                <c:pt idx="101">
                  <c:v>-3.1435215997966247E-2</c:v>
                </c:pt>
                <c:pt idx="102">
                  <c:v>-3.1485943464632911E-2</c:v>
                </c:pt>
                <c:pt idx="103">
                  <c:v>-3.0735366853786923E-2</c:v>
                </c:pt>
                <c:pt idx="104">
                  <c:v>-3.0703879987852862E-2</c:v>
                </c:pt>
                <c:pt idx="105">
                  <c:v>-2.9866614062762888E-2</c:v>
                </c:pt>
                <c:pt idx="106">
                  <c:v>-2.9419156780944707E-2</c:v>
                </c:pt>
                <c:pt idx="107">
                  <c:v>-2.9681171086453895E-2</c:v>
                </c:pt>
                <c:pt idx="108">
                  <c:v>-2.9659307010311765E-2</c:v>
                </c:pt>
                <c:pt idx="109">
                  <c:v>-2.9596788036060268E-2</c:v>
                </c:pt>
                <c:pt idx="110">
                  <c:v>-2.8964340209422713E-2</c:v>
                </c:pt>
                <c:pt idx="111">
                  <c:v>-2.922023178014407E-2</c:v>
                </c:pt>
                <c:pt idx="112">
                  <c:v>-2.909284599153647E-2</c:v>
                </c:pt>
                <c:pt idx="113">
                  <c:v>-2.8969762842840818E-2</c:v>
                </c:pt>
                <c:pt idx="114">
                  <c:v>-2.899820576049732E-2</c:v>
                </c:pt>
                <c:pt idx="115">
                  <c:v>-2.9365008451554236E-2</c:v>
                </c:pt>
                <c:pt idx="116">
                  <c:v>-2.9430046608900209E-2</c:v>
                </c:pt>
                <c:pt idx="117">
                  <c:v>-2.941348846859794E-2</c:v>
                </c:pt>
                <c:pt idx="118">
                  <c:v>-2.9028957695564229E-2</c:v>
                </c:pt>
                <c:pt idx="119">
                  <c:v>-2.92500534476441E-2</c:v>
                </c:pt>
                <c:pt idx="120">
                  <c:v>-2.9713654414951791E-2</c:v>
                </c:pt>
                <c:pt idx="121">
                  <c:v>-2.9210246789104333E-2</c:v>
                </c:pt>
                <c:pt idx="122">
                  <c:v>-2.8688059357092999E-2</c:v>
                </c:pt>
                <c:pt idx="123">
                  <c:v>-2.7933001421881733E-2</c:v>
                </c:pt>
                <c:pt idx="124">
                  <c:v>-2.7757210937446389E-2</c:v>
                </c:pt>
                <c:pt idx="125">
                  <c:v>-2.7679737285577231E-2</c:v>
                </c:pt>
                <c:pt idx="126">
                  <c:v>-2.7446041209524846E-2</c:v>
                </c:pt>
                <c:pt idx="127">
                  <c:v>-2.7729154033969292E-2</c:v>
                </c:pt>
                <c:pt idx="128">
                  <c:v>-2.8039056957539089E-2</c:v>
                </c:pt>
                <c:pt idx="129">
                  <c:v>-2.7486582997446062E-2</c:v>
                </c:pt>
                <c:pt idx="130">
                  <c:v>-2.7278305448948211E-2</c:v>
                </c:pt>
                <c:pt idx="131">
                  <c:v>-2.7046121613501527E-2</c:v>
                </c:pt>
                <c:pt idx="132">
                  <c:v>-2.6871890063808274E-2</c:v>
                </c:pt>
                <c:pt idx="133">
                  <c:v>-2.6064661783942501E-2</c:v>
                </c:pt>
                <c:pt idx="134">
                  <c:v>-2.6505206513300815E-2</c:v>
                </c:pt>
                <c:pt idx="135">
                  <c:v>-2.5832607074010038E-2</c:v>
                </c:pt>
                <c:pt idx="136">
                  <c:v>-2.3665415229698217E-2</c:v>
                </c:pt>
                <c:pt idx="137">
                  <c:v>-2.3443288798631397E-2</c:v>
                </c:pt>
                <c:pt idx="138">
                  <c:v>-2.3567853008257068E-2</c:v>
                </c:pt>
                <c:pt idx="139">
                  <c:v>-2.3367281132754325E-2</c:v>
                </c:pt>
                <c:pt idx="140">
                  <c:v>-2.2893178485563315E-2</c:v>
                </c:pt>
                <c:pt idx="141">
                  <c:v>-2.2628421129621813E-2</c:v>
                </c:pt>
                <c:pt idx="142">
                  <c:v>-2.2835846709868726E-2</c:v>
                </c:pt>
                <c:pt idx="143">
                  <c:v>-2.2478517578721185E-2</c:v>
                </c:pt>
                <c:pt idx="144">
                  <c:v>-2.2272128527414774E-2</c:v>
                </c:pt>
                <c:pt idx="145">
                  <c:v>-2.2482372044221498E-2</c:v>
                </c:pt>
                <c:pt idx="146">
                  <c:v>-2.2109683508969698E-2</c:v>
                </c:pt>
                <c:pt idx="147">
                  <c:v>-2.1693782666930343E-2</c:v>
                </c:pt>
                <c:pt idx="148">
                  <c:v>-2.1359636977492526E-2</c:v>
                </c:pt>
                <c:pt idx="149">
                  <c:v>-2.1223553110131414E-2</c:v>
                </c:pt>
                <c:pt idx="150">
                  <c:v>-2.1152533657232863E-2</c:v>
                </c:pt>
                <c:pt idx="151">
                  <c:v>-2.0633673099813506E-2</c:v>
                </c:pt>
                <c:pt idx="152">
                  <c:v>-2.0301077681294986E-2</c:v>
                </c:pt>
                <c:pt idx="153">
                  <c:v>-1.9188223172215545E-2</c:v>
                </c:pt>
                <c:pt idx="154">
                  <c:v>-1.729666555805625E-2</c:v>
                </c:pt>
                <c:pt idx="155">
                  <c:v>-1.6239935134596671E-2</c:v>
                </c:pt>
                <c:pt idx="156">
                  <c:v>-1.6434029211578185E-2</c:v>
                </c:pt>
                <c:pt idx="157">
                  <c:v>-1.6531863195645272E-2</c:v>
                </c:pt>
                <c:pt idx="158">
                  <c:v>-1.6300066121554362E-2</c:v>
                </c:pt>
                <c:pt idx="159">
                  <c:v>-1.6319557330362652E-2</c:v>
                </c:pt>
                <c:pt idx="160">
                  <c:v>-1.5958912530362652E-2</c:v>
                </c:pt>
                <c:pt idx="161">
                  <c:v>-1.6217719345400249E-2</c:v>
                </c:pt>
                <c:pt idx="162">
                  <c:v>-1.6548752480955806E-2</c:v>
                </c:pt>
                <c:pt idx="163">
                  <c:v>-1.6652846009566159E-2</c:v>
                </c:pt>
                <c:pt idx="164">
                  <c:v>-1.6156344859249699E-2</c:v>
                </c:pt>
                <c:pt idx="165">
                  <c:v>-1.546986858530334E-2</c:v>
                </c:pt>
                <c:pt idx="166">
                  <c:v>-1.5762707372072568E-2</c:v>
                </c:pt>
                <c:pt idx="167">
                  <c:v>-1.5365677571747366E-2</c:v>
                </c:pt>
                <c:pt idx="168">
                  <c:v>-1.50979953377851E-2</c:v>
                </c:pt>
                <c:pt idx="169">
                  <c:v>-1.6224345530429236E-2</c:v>
                </c:pt>
                <c:pt idx="170">
                  <c:v>-1.5106531608236025E-2</c:v>
                </c:pt>
                <c:pt idx="171">
                  <c:v>-1.431728238077701E-2</c:v>
                </c:pt>
                <c:pt idx="172">
                  <c:v>-1.3381014382805409E-2</c:v>
                </c:pt>
                <c:pt idx="173">
                  <c:v>-5.5911583651840685E-3</c:v>
                </c:pt>
                <c:pt idx="174">
                  <c:v>-6.9110280531320878E-3</c:v>
                </c:pt>
                <c:pt idx="175">
                  <c:v>-7.1464954243111271E-3</c:v>
                </c:pt>
                <c:pt idx="176">
                  <c:v>-7.5405662316452363E-3</c:v>
                </c:pt>
                <c:pt idx="177">
                  <c:v>-7.7367825842518719E-3</c:v>
                </c:pt>
                <c:pt idx="178">
                  <c:v>-7.4402387089667014E-3</c:v>
                </c:pt>
                <c:pt idx="179">
                  <c:v>-7.4420437566177083E-3</c:v>
                </c:pt>
                <c:pt idx="180">
                  <c:v>-7.2832012900438921E-3</c:v>
                </c:pt>
                <c:pt idx="181">
                  <c:v>-7.2621238348599456E-3</c:v>
                </c:pt>
                <c:pt idx="182">
                  <c:v>-7.5756325219765094E-3</c:v>
                </c:pt>
                <c:pt idx="183">
                  <c:v>-7.6137490338970392E-3</c:v>
                </c:pt>
                <c:pt idx="184">
                  <c:v>-7.5667476704049767E-3</c:v>
                </c:pt>
                <c:pt idx="185">
                  <c:v>-7.6340746897598146E-3</c:v>
                </c:pt>
                <c:pt idx="186">
                  <c:v>-7.4004861732243814E-3</c:v>
                </c:pt>
                <c:pt idx="187">
                  <c:v>-7.1562571871888791E-3</c:v>
                </c:pt>
                <c:pt idx="188">
                  <c:v>-7.3158526725547336E-3</c:v>
                </c:pt>
                <c:pt idx="189">
                  <c:v>-7.4093001372213998E-3</c:v>
                </c:pt>
                <c:pt idx="190">
                  <c:v>-7.4037199276323585E-3</c:v>
                </c:pt>
                <c:pt idx="191">
                  <c:v>-7.3235644199890456E-3</c:v>
                </c:pt>
                <c:pt idx="192">
                  <c:v>-7.2843039599890464E-3</c:v>
                </c:pt>
                <c:pt idx="193">
                  <c:v>-7.1416944650452259E-3</c:v>
                </c:pt>
                <c:pt idx="194">
                  <c:v>-7.0221027475534763E-3</c:v>
                </c:pt>
                <c:pt idx="195">
                  <c:v>-6.9886039162557669E-3</c:v>
                </c:pt>
                <c:pt idx="196">
                  <c:v>-6.8767460388364119E-3</c:v>
                </c:pt>
                <c:pt idx="197">
                  <c:v>-6.5703357318503842E-3</c:v>
                </c:pt>
                <c:pt idx="198">
                  <c:v>-6.6293083944590795E-3</c:v>
                </c:pt>
                <c:pt idx="199">
                  <c:v>-6.4551173468400322E-3</c:v>
                </c:pt>
                <c:pt idx="200">
                  <c:v>-6.3083659002380896E-3</c:v>
                </c:pt>
                <c:pt idx="201">
                  <c:v>-6.35018643054112E-3</c:v>
                </c:pt>
                <c:pt idx="202">
                  <c:v>-6.192896737207786E-3</c:v>
                </c:pt>
                <c:pt idx="203">
                  <c:v>-6.1630757640370537E-3</c:v>
                </c:pt>
                <c:pt idx="204">
                  <c:v>-6.0148875990097316E-3</c:v>
                </c:pt>
                <c:pt idx="205">
                  <c:v>-5.8886680110976433E-3</c:v>
                </c:pt>
                <c:pt idx="206">
                  <c:v>-5.9297476896491754E-3</c:v>
                </c:pt>
                <c:pt idx="207">
                  <c:v>-5.7065588312599138E-3</c:v>
                </c:pt>
                <c:pt idx="208">
                  <c:v>-5.6564037285201868E-3</c:v>
                </c:pt>
                <c:pt idx="209">
                  <c:v>-5.6467098008704175E-3</c:v>
                </c:pt>
                <c:pt idx="210">
                  <c:v>-5.6983898633704176E-3</c:v>
                </c:pt>
                <c:pt idx="211">
                  <c:v>-5.5126637272895464E-3</c:v>
                </c:pt>
                <c:pt idx="212">
                  <c:v>-5.5484277380760628E-3</c:v>
                </c:pt>
                <c:pt idx="213">
                  <c:v>-5.6238355436760631E-3</c:v>
                </c:pt>
                <c:pt idx="214">
                  <c:v>-5.5642768426810386E-3</c:v>
                </c:pt>
                <c:pt idx="215">
                  <c:v>-5.7704869147372773E-3</c:v>
                </c:pt>
                <c:pt idx="216">
                  <c:v>-5.7951279995857629E-3</c:v>
                </c:pt>
                <c:pt idx="217">
                  <c:v>-5.557431157480499E-3</c:v>
                </c:pt>
                <c:pt idx="218">
                  <c:v>-5.6432528109156129E-3</c:v>
                </c:pt>
                <c:pt idx="219">
                  <c:v>-6.0142740657679328E-3</c:v>
                </c:pt>
                <c:pt idx="220">
                  <c:v>-6.1642767143585365E-3</c:v>
                </c:pt>
                <c:pt idx="221">
                  <c:v>-5.5448968993337322E-3</c:v>
                </c:pt>
                <c:pt idx="222">
                  <c:v>-5.2653457276919417E-3</c:v>
                </c:pt>
                <c:pt idx="223">
                  <c:v>-4.183827293193801E-3</c:v>
                </c:pt>
                <c:pt idx="224">
                  <c:v>-4.0686630744438002E-3</c:v>
                </c:pt>
                <c:pt idx="225">
                  <c:v>-4.0168422967145432E-3</c:v>
                </c:pt>
                <c:pt idx="226">
                  <c:v>-3.8441836921690887E-3</c:v>
                </c:pt>
                <c:pt idx="227">
                  <c:v>-3.6920442056826018E-3</c:v>
                </c:pt>
                <c:pt idx="228">
                  <c:v>-3.5503617578925462E-3</c:v>
                </c:pt>
                <c:pt idx="229">
                  <c:v>-3.8402318490317862E-3</c:v>
                </c:pt>
                <c:pt idx="230">
                  <c:v>-3.553692054914139E-3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C2-498E-A15B-2703BE64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1925680"/>
        <c:axId val="651924848"/>
      </c:lineChart>
      <c:dateAx>
        <c:axId val="651925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4848"/>
        <c:crosses val="autoZero"/>
        <c:auto val="1"/>
        <c:lblOffset val="100"/>
        <c:baseTimeUnit val="days"/>
      </c:dateAx>
      <c:valAx>
        <c:axId val="65192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2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C625A3A-6C70-4E91-85E0-A390BB5BA1F3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F48791-BA99-4599-8453-A6F27EA7BE9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98.43</v>
      </c>
      <c r="D2" s="4">
        <f>MIN(D3:D1912)</f>
        <v>18.38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20.89</v>
      </c>
      <c r="C5">
        <v>21.14</v>
      </c>
      <c r="D5">
        <v>20.37</v>
      </c>
      <c r="E5">
        <v>20.37</v>
      </c>
      <c r="F5">
        <v>1046.9100000000001</v>
      </c>
      <c r="G5">
        <v>20.37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-1046.9100000000001</v>
      </c>
      <c r="R5">
        <f t="shared" ref="R5" si="2">R6+Q5</f>
        <v>-4335348.5588119337</v>
      </c>
      <c r="S5">
        <f t="shared" ref="S5" si="3">R5/100000</f>
        <v>-43.353485588119341</v>
      </c>
      <c r="T5">
        <f t="shared" ref="T5" si="4">S5/1000</f>
        <v>-4.3353485588119342E-2</v>
      </c>
    </row>
    <row r="6" spans="1:20" x14ac:dyDescent="0.25">
      <c r="A6" s="5">
        <v>44587</v>
      </c>
      <c r="B6">
        <v>21.22</v>
      </c>
      <c r="C6">
        <v>23.44</v>
      </c>
      <c r="D6">
        <v>20.51</v>
      </c>
      <c r="E6">
        <v>20.94</v>
      </c>
      <c r="F6">
        <v>36013.019999999997</v>
      </c>
      <c r="G6">
        <v>20.94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-0.70648464163822544</v>
      </c>
      <c r="Q6">
        <f t="shared" ref="Q6" si="6">F6*P6</f>
        <v>-25442.645529010242</v>
      </c>
      <c r="R6">
        <f t="shared" ref="R6" si="7">R7+Q6</f>
        <v>-4334301.6488119336</v>
      </c>
      <c r="S6">
        <f t="shared" ref="S6" si="8">R6/100000</f>
        <v>-43.343016488119339</v>
      </c>
      <c r="T6">
        <f t="shared" ref="T6" si="9">S6/1000</f>
        <v>-4.3343016488119342E-2</v>
      </c>
    </row>
    <row r="7" spans="1:20" x14ac:dyDescent="0.25">
      <c r="A7" s="5">
        <v>44586</v>
      </c>
      <c r="B7">
        <v>21.84</v>
      </c>
      <c r="C7">
        <v>21.94</v>
      </c>
      <c r="D7">
        <v>20.23</v>
      </c>
      <c r="E7">
        <v>21.17</v>
      </c>
      <c r="F7">
        <v>40926.81</v>
      </c>
      <c r="G7">
        <v>21.17</v>
      </c>
      <c r="L7" t="s">
        <v>8</v>
      </c>
      <c r="M7" t="s">
        <v>8</v>
      </c>
      <c r="N7" t="s">
        <v>7</v>
      </c>
      <c r="P7">
        <f t="shared" ref="P7" si="10">IF(C7=D7,0,((E7-D7)-(C7-E7))/(C7-D7))</f>
        <v>9.9415204678363525E-2</v>
      </c>
      <c r="Q7">
        <f t="shared" ref="Q7" si="11">F7*P7</f>
        <v>4068.7471929824947</v>
      </c>
      <c r="R7">
        <f t="shared" ref="R7" si="12">R8+Q7</f>
        <v>-4308859.0032829233</v>
      </c>
      <c r="S7">
        <f t="shared" ref="S7" si="13">R7/100000</f>
        <v>-43.088590032829231</v>
      </c>
      <c r="T7">
        <f t="shared" ref="T7" si="14">S7/1000</f>
        <v>-4.3088590032829228E-2</v>
      </c>
    </row>
    <row r="8" spans="1:20" x14ac:dyDescent="0.25">
      <c r="A8" s="5">
        <v>44585</v>
      </c>
      <c r="B8">
        <v>21.66</v>
      </c>
      <c r="C8">
        <v>22.02</v>
      </c>
      <c r="D8">
        <v>18.38</v>
      </c>
      <c r="E8">
        <v>21.82</v>
      </c>
      <c r="F8">
        <v>74380.31</v>
      </c>
      <c r="G8">
        <v>21.82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0.8901098901098905</v>
      </c>
      <c r="Q8">
        <f t="shared" ref="Q8" si="16">F8*P8</f>
        <v>66206.64956043959</v>
      </c>
      <c r="R8">
        <f t="shared" ref="R8" si="17">R9+Q8</f>
        <v>-4312927.7504759058</v>
      </c>
      <c r="S8">
        <f t="shared" ref="S8" si="18">R8/100000</f>
        <v>-43.12927750475906</v>
      </c>
      <c r="T8">
        <f t="shared" ref="T8" si="19">S8/1000</f>
        <v>-4.3129277504759062E-2</v>
      </c>
    </row>
    <row r="9" spans="1:20" x14ac:dyDescent="0.25">
      <c r="A9" s="5">
        <v>44584</v>
      </c>
      <c r="B9">
        <v>21.29</v>
      </c>
      <c r="C9">
        <v>22.87</v>
      </c>
      <c r="D9">
        <v>20.74</v>
      </c>
      <c r="E9">
        <v>21.75</v>
      </c>
      <c r="F9">
        <v>25072.240000000002</v>
      </c>
      <c r="G9">
        <v>21.75</v>
      </c>
      <c r="L9" t="s">
        <v>8</v>
      </c>
      <c r="M9" t="s">
        <v>8</v>
      </c>
      <c r="N9" t="s">
        <v>7</v>
      </c>
      <c r="P9">
        <f t="shared" ref="P9" si="20">IF(C9=D9,0,((E9-D9)-(C9-E9))/(C9-D9))</f>
        <v>-5.1643192488262581E-2</v>
      </c>
      <c r="Q9">
        <f t="shared" ref="Q9" si="21">F9*P9</f>
        <v>-1294.8105164319168</v>
      </c>
      <c r="R9">
        <f t="shared" ref="R9" si="22">R10+Q9</f>
        <v>-4379134.4000363452</v>
      </c>
      <c r="S9">
        <f t="shared" ref="S9" si="23">R9/100000</f>
        <v>-43.791344000363452</v>
      </c>
      <c r="T9">
        <f t="shared" ref="T9" si="24">S9/1000</f>
        <v>-4.3791344000363455E-2</v>
      </c>
    </row>
    <row r="10" spans="1:20" x14ac:dyDescent="0.25">
      <c r="A10" s="5">
        <v>44583</v>
      </c>
      <c r="B10">
        <v>23.74</v>
      </c>
      <c r="C10">
        <v>24.23</v>
      </c>
      <c r="D10">
        <v>19.21</v>
      </c>
      <c r="E10">
        <v>21.3</v>
      </c>
      <c r="F10">
        <v>65642.759999999995</v>
      </c>
      <c r="G10">
        <v>21.3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-0.16733067729083664</v>
      </c>
      <c r="Q10">
        <f t="shared" ref="Q10" si="26">F10*P10</f>
        <v>-10984.047490039839</v>
      </c>
      <c r="R10">
        <f t="shared" ref="R10" si="27">R11+Q10</f>
        <v>-4377839.5895199133</v>
      </c>
      <c r="S10">
        <f t="shared" ref="S10" si="28">R10/100000</f>
        <v>-43.778395895199132</v>
      </c>
      <c r="T10">
        <f t="shared" ref="T10" si="29">S10/1000</f>
        <v>-4.3778395895199135E-2</v>
      </c>
    </row>
    <row r="11" spans="1:20" x14ac:dyDescent="0.25">
      <c r="A11" s="5">
        <v>44582</v>
      </c>
      <c r="B11">
        <v>28.16</v>
      </c>
      <c r="C11">
        <v>28.78</v>
      </c>
      <c r="D11">
        <v>23.06</v>
      </c>
      <c r="E11">
        <v>23.77</v>
      </c>
      <c r="F11">
        <v>52737.19</v>
      </c>
      <c r="G11">
        <v>23.77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-0.75174825174825155</v>
      </c>
      <c r="Q11">
        <f t="shared" ref="Q11" si="31">F11*P11</f>
        <v>-39645.090384615374</v>
      </c>
      <c r="R11">
        <f t="shared" ref="R11" si="32">R12+Q11</f>
        <v>-4366855.5420298735</v>
      </c>
      <c r="S11">
        <f t="shared" ref="S11" si="33">R11/100000</f>
        <v>-43.668555420298738</v>
      </c>
      <c r="T11">
        <f t="shared" ref="T11" si="34">S11/1000</f>
        <v>-4.3668555420298738E-2</v>
      </c>
    </row>
    <row r="12" spans="1:20" x14ac:dyDescent="0.25">
      <c r="A12" s="5">
        <v>44581</v>
      </c>
      <c r="B12">
        <v>29.15</v>
      </c>
      <c r="C12">
        <v>32.97</v>
      </c>
      <c r="D12">
        <v>28.06</v>
      </c>
      <c r="E12">
        <v>28.17</v>
      </c>
      <c r="F12">
        <v>41948.5</v>
      </c>
      <c r="G12">
        <v>28.17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-0.95519348268838977</v>
      </c>
      <c r="Q12">
        <f t="shared" ref="Q12" si="36">F12*P12</f>
        <v>-40068.93380855392</v>
      </c>
      <c r="R12">
        <f t="shared" ref="R12" si="37">R13+Q12</f>
        <v>-4327210.4516452579</v>
      </c>
      <c r="S12">
        <f t="shared" ref="S12" si="38">R12/100000</f>
        <v>-43.272104516452579</v>
      </c>
      <c r="T12">
        <f t="shared" ref="T12" si="39">S12/1000</f>
        <v>-4.3272104516452581E-2</v>
      </c>
    </row>
    <row r="13" spans="1:20" x14ac:dyDescent="0.25">
      <c r="A13" s="5">
        <v>44580</v>
      </c>
      <c r="B13">
        <v>31.69</v>
      </c>
      <c r="C13">
        <v>31.78</v>
      </c>
      <c r="D13">
        <v>29.06</v>
      </c>
      <c r="E13">
        <v>29.15</v>
      </c>
      <c r="F13">
        <v>32126.44</v>
      </c>
      <c r="G13">
        <v>29.15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-0.93382352941176483</v>
      </c>
      <c r="Q13">
        <f t="shared" ref="Q13" si="41">F13*P13</f>
        <v>-30000.425588235295</v>
      </c>
      <c r="R13">
        <f t="shared" ref="R13" si="42">R14+Q13</f>
        <v>-4287141.5178367039</v>
      </c>
      <c r="S13">
        <f t="shared" ref="S13" si="43">R13/100000</f>
        <v>-42.871415178367037</v>
      </c>
      <c r="T13">
        <f t="shared" ref="T13" si="44">S13/1000</f>
        <v>-4.2871415178367039E-2</v>
      </c>
    </row>
    <row r="14" spans="1:20" x14ac:dyDescent="0.25">
      <c r="A14" s="5">
        <v>44579</v>
      </c>
      <c r="B14">
        <v>30.07</v>
      </c>
      <c r="C14">
        <v>34.6</v>
      </c>
      <c r="D14">
        <v>30.07</v>
      </c>
      <c r="E14">
        <v>31.61</v>
      </c>
      <c r="F14">
        <v>147124.10999999999</v>
      </c>
      <c r="G14">
        <v>31.61</v>
      </c>
      <c r="L14" t="s">
        <v>8</v>
      </c>
      <c r="M14" t="s">
        <v>7</v>
      </c>
      <c r="N14" t="s">
        <v>8</v>
      </c>
      <c r="P14">
        <f t="shared" ref="P14" si="45">IF(C14=D14,0,((E14-D14)-(C14-E14))/(C14-D14))</f>
        <v>-0.32008830022075108</v>
      </c>
      <c r="Q14">
        <f t="shared" ref="Q14" si="46">F14*P14</f>
        <v>-47092.706291390801</v>
      </c>
      <c r="R14">
        <f t="shared" ref="R14" si="47">R15+Q14</f>
        <v>-4257141.0922484687</v>
      </c>
      <c r="S14">
        <f t="shared" ref="S14" si="48">R14/100000</f>
        <v>-42.571410922484688</v>
      </c>
      <c r="T14">
        <f t="shared" ref="T14" si="49">S14/1000</f>
        <v>-4.257141092248469E-2</v>
      </c>
    </row>
    <row r="15" spans="1:20" x14ac:dyDescent="0.25">
      <c r="A15" s="5">
        <v>44578</v>
      </c>
      <c r="B15">
        <v>32.29</v>
      </c>
      <c r="C15">
        <v>32.35</v>
      </c>
      <c r="D15">
        <v>29.49</v>
      </c>
      <c r="E15">
        <v>30.12</v>
      </c>
      <c r="F15">
        <v>42984.65</v>
      </c>
      <c r="G15">
        <v>30.12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-0.55944055944055815</v>
      </c>
      <c r="Q15">
        <f t="shared" ref="Q15" si="51">F15*P15</f>
        <v>-24047.35664335659</v>
      </c>
      <c r="R15">
        <f t="shared" ref="R15" si="52">R16+Q15</f>
        <v>-4210048.3859570781</v>
      </c>
      <c r="S15">
        <f t="shared" ref="S15" si="53">R15/100000</f>
        <v>-42.10048385957078</v>
      </c>
      <c r="T15">
        <f t="shared" ref="T15" si="54">S15/1000</f>
        <v>-4.2100483859570777E-2</v>
      </c>
    </row>
    <row r="16" spans="1:20" x14ac:dyDescent="0.25">
      <c r="A16" s="5">
        <v>44577</v>
      </c>
      <c r="B16">
        <v>33.299999999999997</v>
      </c>
      <c r="C16">
        <v>35</v>
      </c>
      <c r="D16">
        <v>32.020000000000003</v>
      </c>
      <c r="E16">
        <v>32.26</v>
      </c>
      <c r="F16">
        <v>44265.99</v>
      </c>
      <c r="G16">
        <v>32.26</v>
      </c>
      <c r="L16" t="s">
        <v>7</v>
      </c>
      <c r="M16" t="s">
        <v>8</v>
      </c>
      <c r="N16" t="s">
        <v>8</v>
      </c>
      <c r="P16">
        <f t="shared" ref="P16" si="55">IF(C16=D16,0,((E16-D16)-(C16-E16))/(C16-D16))</f>
        <v>-0.83892617449664753</v>
      </c>
      <c r="Q16">
        <f t="shared" ref="Q16" si="56">F16*P16</f>
        <v>-37135.897651006853</v>
      </c>
      <c r="R16">
        <f t="shared" ref="R16" si="57">R17+Q16</f>
        <v>-4186001.0293137212</v>
      </c>
      <c r="S16">
        <f t="shared" ref="S16" si="58">R16/100000</f>
        <v>-41.860010293137215</v>
      </c>
      <c r="T16">
        <f t="shared" ref="T16" si="59">S16/1000</f>
        <v>-4.1860010293137212E-2</v>
      </c>
    </row>
    <row r="17" spans="1:20" x14ac:dyDescent="0.25">
      <c r="A17" s="5">
        <v>44576</v>
      </c>
      <c r="B17">
        <v>32.299999999999997</v>
      </c>
      <c r="C17">
        <v>36.9</v>
      </c>
      <c r="D17">
        <v>31.41</v>
      </c>
      <c r="E17">
        <v>33.299999999999997</v>
      </c>
      <c r="F17">
        <v>276832.53000000003</v>
      </c>
      <c r="G17">
        <v>33.299999999999997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-0.31147540983606647</v>
      </c>
      <c r="Q17">
        <f t="shared" ref="Q17" si="61">F17*P17</f>
        <v>-86226.525737705175</v>
      </c>
      <c r="R17">
        <f t="shared" ref="R17" si="62">R18+Q17</f>
        <v>-4148865.1316627143</v>
      </c>
      <c r="S17">
        <f t="shared" ref="S17" si="63">R17/100000</f>
        <v>-41.488651316627141</v>
      </c>
      <c r="T17">
        <f t="shared" ref="T17" si="64">S17/1000</f>
        <v>-4.1488651316627143E-2</v>
      </c>
    </row>
    <row r="18" spans="1:20" x14ac:dyDescent="0.25">
      <c r="A18" s="5">
        <v>44575</v>
      </c>
      <c r="B18">
        <v>28.14</v>
      </c>
      <c r="C18">
        <v>36</v>
      </c>
      <c r="D18">
        <v>27.46</v>
      </c>
      <c r="E18">
        <v>32.299999999999997</v>
      </c>
      <c r="F18">
        <v>227054.76</v>
      </c>
      <c r="G18">
        <v>32.299999999999997</v>
      </c>
      <c r="L18" t="s">
        <v>8</v>
      </c>
      <c r="M18" t="s">
        <v>7</v>
      </c>
      <c r="N18" t="s">
        <v>8</v>
      </c>
      <c r="P18">
        <f t="shared" ref="P18" si="65">IF(C18=D18,0,((E18-D18)-(C18-E18))/(C18-D18))</f>
        <v>0.13348946135831308</v>
      </c>
      <c r="Q18">
        <f t="shared" ref="Q18" si="66">F18*P18</f>
        <v>30309.41761124105</v>
      </c>
      <c r="R18">
        <f t="shared" ref="R18" si="67">R19+Q18</f>
        <v>-4062638.6059250091</v>
      </c>
      <c r="S18">
        <f t="shared" ref="S18" si="68">R18/100000</f>
        <v>-40.626386059250095</v>
      </c>
      <c r="T18">
        <f t="shared" ref="T18" si="69">S18/1000</f>
        <v>-4.0626386059250091E-2</v>
      </c>
    </row>
    <row r="19" spans="1:20" x14ac:dyDescent="0.25">
      <c r="A19" s="5">
        <v>44574</v>
      </c>
      <c r="B19">
        <v>29.58</v>
      </c>
      <c r="C19">
        <v>29.7</v>
      </c>
      <c r="D19">
        <v>27.87</v>
      </c>
      <c r="E19">
        <v>28.07</v>
      </c>
      <c r="F19">
        <v>27401.47</v>
      </c>
      <c r="G19">
        <v>28.07</v>
      </c>
      <c r="L19" t="s">
        <v>8</v>
      </c>
      <c r="M19" t="s">
        <v>7</v>
      </c>
      <c r="N19" t="s">
        <v>8</v>
      </c>
      <c r="P19">
        <f t="shared" ref="P19" si="70">IF(C19=D19,0,((E19-D19)-(C19-E19))/(C19-D19))</f>
        <v>-0.78142076502732294</v>
      </c>
      <c r="Q19">
        <f t="shared" ref="Q19" si="71">F19*P19</f>
        <v>-21412.077650273241</v>
      </c>
      <c r="R19">
        <f t="shared" ref="R19" si="72">R20+Q19</f>
        <v>-4092948.02353625</v>
      </c>
      <c r="S19">
        <f t="shared" ref="S19" si="73">R19/100000</f>
        <v>-40.929480235362497</v>
      </c>
      <c r="T19">
        <f t="shared" ref="T19" si="74">S19/1000</f>
        <v>-4.0929480235362498E-2</v>
      </c>
    </row>
    <row r="20" spans="1:20" x14ac:dyDescent="0.25">
      <c r="A20" s="5">
        <v>44573</v>
      </c>
      <c r="B20">
        <v>28.55</v>
      </c>
      <c r="C20">
        <v>30.2</v>
      </c>
      <c r="D20">
        <v>27.81</v>
      </c>
      <c r="E20">
        <v>29.56</v>
      </c>
      <c r="F20">
        <v>47373.440000000002</v>
      </c>
      <c r="G20">
        <v>29.56</v>
      </c>
      <c r="L20" t="s">
        <v>7</v>
      </c>
      <c r="M20" t="s">
        <v>7</v>
      </c>
      <c r="N20" t="s">
        <v>8</v>
      </c>
      <c r="P20">
        <f t="shared" ref="P20" si="75">IF(C20=D20,0,((E20-D20)-(C20-E20))/(C20-D20))</f>
        <v>0.4644351464435143</v>
      </c>
      <c r="Q20">
        <f t="shared" ref="Q20" si="76">F20*P20</f>
        <v>22001.890543933041</v>
      </c>
      <c r="R20">
        <f t="shared" ref="R20" si="77">R21+Q20</f>
        <v>-4071535.9458859768</v>
      </c>
      <c r="S20">
        <f t="shared" ref="S20" si="78">R20/100000</f>
        <v>-40.715359458859766</v>
      </c>
      <c r="T20">
        <f t="shared" ref="T20" si="79">S20/1000</f>
        <v>-4.0715359458859762E-2</v>
      </c>
    </row>
    <row r="21" spans="1:20" x14ac:dyDescent="0.25">
      <c r="A21" s="5">
        <v>44572</v>
      </c>
      <c r="B21">
        <v>26.78</v>
      </c>
      <c r="C21">
        <v>37</v>
      </c>
      <c r="D21">
        <v>26.5</v>
      </c>
      <c r="E21">
        <v>28.56</v>
      </c>
      <c r="F21">
        <v>225014.5</v>
      </c>
      <c r="G21">
        <v>28.56</v>
      </c>
      <c r="L21" t="s">
        <v>8</v>
      </c>
      <c r="M21" t="s">
        <v>8</v>
      </c>
      <c r="N21" t="s">
        <v>8</v>
      </c>
      <c r="P21">
        <f t="shared" ref="P21" si="80">IF(C21=D21,0,((E21-D21)-(C21-E21))/(C21-D21))</f>
        <v>-0.60761904761904784</v>
      </c>
      <c r="Q21">
        <f t="shared" ref="Q21" si="81">F21*P21</f>
        <v>-136723.09619047624</v>
      </c>
      <c r="R21">
        <f t="shared" ref="R21" si="82">R22+Q21</f>
        <v>-4093537.8364299098</v>
      </c>
      <c r="S21">
        <f t="shared" ref="S21" si="83">R21/100000</f>
        <v>-40.935378364299098</v>
      </c>
      <c r="T21">
        <f t="shared" ref="T21" si="84">S21/1000</f>
        <v>-4.0935378364299099E-2</v>
      </c>
    </row>
    <row r="22" spans="1:20" x14ac:dyDescent="0.25">
      <c r="A22" s="5">
        <v>44571</v>
      </c>
      <c r="B22">
        <v>28.18</v>
      </c>
      <c r="C22">
        <v>28.92</v>
      </c>
      <c r="D22">
        <v>25.13</v>
      </c>
      <c r="E22">
        <v>26.75</v>
      </c>
      <c r="F22">
        <v>104709.15</v>
      </c>
      <c r="G22">
        <v>26.75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-0.1451187335092349</v>
      </c>
      <c r="Q22">
        <f t="shared" ref="Q22" si="86">F22*P22</f>
        <v>-15195.259234828503</v>
      </c>
      <c r="R22">
        <f t="shared" ref="R22" si="87">R23+Q22</f>
        <v>-3956814.7402394335</v>
      </c>
      <c r="S22">
        <f t="shared" ref="S22" si="88">R22/100000</f>
        <v>-39.568147402394338</v>
      </c>
      <c r="T22">
        <f t="shared" ref="T22" si="89">S22/1000</f>
        <v>-3.9568147402394338E-2</v>
      </c>
    </row>
    <row r="23" spans="1:20" x14ac:dyDescent="0.25">
      <c r="A23" s="5">
        <v>44570</v>
      </c>
      <c r="B23">
        <v>28</v>
      </c>
      <c r="C23">
        <v>29.23</v>
      </c>
      <c r="D23">
        <v>27.58</v>
      </c>
      <c r="E23">
        <v>28.17</v>
      </c>
      <c r="F23">
        <v>15902.07</v>
      </c>
      <c r="G23">
        <v>28.17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-0.28484848484848163</v>
      </c>
      <c r="Q23">
        <f t="shared" ref="Q23" si="91">F23*P23</f>
        <v>-4529.6805454544938</v>
      </c>
      <c r="R23">
        <f t="shared" ref="R23" si="92">R24+Q23</f>
        <v>-3941619.4810046051</v>
      </c>
      <c r="S23">
        <f t="shared" ref="S23" si="93">R23/100000</f>
        <v>-39.416194810046051</v>
      </c>
      <c r="T23">
        <f t="shared" ref="T23" si="94">S23/1000</f>
        <v>-3.9416194810046053E-2</v>
      </c>
    </row>
    <row r="24" spans="1:20" x14ac:dyDescent="0.25">
      <c r="A24" s="5">
        <v>44569</v>
      </c>
      <c r="B24">
        <v>29.36</v>
      </c>
      <c r="C24">
        <v>30.21</v>
      </c>
      <c r="D24">
        <v>27.05</v>
      </c>
      <c r="E24">
        <v>28.14</v>
      </c>
      <c r="F24">
        <v>22963.59</v>
      </c>
      <c r="G24">
        <v>28.14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-0.31012658227848111</v>
      </c>
      <c r="Q24">
        <f t="shared" ref="Q24" si="96">F24*P24</f>
        <v>-7121.6196835443061</v>
      </c>
      <c r="R24">
        <f t="shared" ref="R24" si="97">R25+Q24</f>
        <v>-3937089.8004591507</v>
      </c>
      <c r="S24">
        <f t="shared" ref="S24" si="98">R24/100000</f>
        <v>-39.37089800459151</v>
      </c>
      <c r="T24">
        <f t="shared" ref="T24" si="99">S24/1000</f>
        <v>-3.9370898004591509E-2</v>
      </c>
    </row>
    <row r="25" spans="1:20" x14ac:dyDescent="0.25">
      <c r="A25" s="5">
        <v>44568</v>
      </c>
      <c r="B25">
        <v>32</v>
      </c>
      <c r="C25">
        <v>32.01</v>
      </c>
      <c r="D25">
        <v>28.6</v>
      </c>
      <c r="E25">
        <v>29.28</v>
      </c>
      <c r="F25">
        <v>31933.55</v>
      </c>
      <c r="G25">
        <v>29.28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-0.60117302052785904</v>
      </c>
      <c r="Q25">
        <f t="shared" ref="Q25" si="101">F25*P25</f>
        <v>-19197.588709677413</v>
      </c>
      <c r="R25">
        <f t="shared" ref="R25" si="102">R26+Q25</f>
        <v>-3929968.1807756065</v>
      </c>
      <c r="S25">
        <f t="shared" ref="S25" si="103">R25/100000</f>
        <v>-39.299681807756066</v>
      </c>
      <c r="T25">
        <f t="shared" ref="T25" si="104">S25/1000</f>
        <v>-3.9299681807756066E-2</v>
      </c>
    </row>
    <row r="26" spans="1:20" x14ac:dyDescent="0.25">
      <c r="A26" s="5">
        <v>44567</v>
      </c>
      <c r="B26">
        <v>32.92</v>
      </c>
      <c r="C26">
        <v>33.07</v>
      </c>
      <c r="D26">
        <v>30.46</v>
      </c>
      <c r="E26">
        <v>32</v>
      </c>
      <c r="F26">
        <v>21878.51</v>
      </c>
      <c r="G26">
        <v>32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0.18007662835249003</v>
      </c>
      <c r="Q26">
        <f t="shared" ref="Q26" si="106">F26*P26</f>
        <v>3939.8083141762363</v>
      </c>
      <c r="R26">
        <f t="shared" ref="R26" si="107">R27+Q26</f>
        <v>-3910770.592065929</v>
      </c>
      <c r="S26">
        <f t="shared" ref="S26" si="108">R26/100000</f>
        <v>-39.107705920659292</v>
      </c>
      <c r="T26">
        <f t="shared" ref="T26" si="109">S26/1000</f>
        <v>-3.9107705920659291E-2</v>
      </c>
    </row>
    <row r="27" spans="1:20" x14ac:dyDescent="0.25">
      <c r="A27" s="5">
        <v>44566</v>
      </c>
      <c r="B27">
        <v>35.049999999999997</v>
      </c>
      <c r="C27">
        <v>35.950000000000003</v>
      </c>
      <c r="D27">
        <v>31.58</v>
      </c>
      <c r="E27">
        <v>32.92</v>
      </c>
      <c r="F27">
        <v>26459.23</v>
      </c>
      <c r="G27">
        <v>32.92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-0.38672768878718444</v>
      </c>
      <c r="Q27">
        <f t="shared" ref="Q27" si="111">F27*P27</f>
        <v>-10232.516864988535</v>
      </c>
      <c r="R27">
        <f t="shared" ref="R27" si="112">R28+Q27</f>
        <v>-3914710.4003801052</v>
      </c>
      <c r="S27">
        <f t="shared" ref="S27" si="113">R27/100000</f>
        <v>-39.147104003801054</v>
      </c>
      <c r="T27">
        <f t="shared" ref="T27" si="114">S27/1000</f>
        <v>-3.9147104003801052E-2</v>
      </c>
    </row>
    <row r="28" spans="1:20" x14ac:dyDescent="0.25">
      <c r="A28" s="5">
        <v>44565</v>
      </c>
      <c r="B28">
        <v>35.42</v>
      </c>
      <c r="C28">
        <v>36.49</v>
      </c>
      <c r="D28">
        <v>35</v>
      </c>
      <c r="E28">
        <v>35.049999999999997</v>
      </c>
      <c r="F28">
        <v>16175.4</v>
      </c>
      <c r="G28">
        <v>35.049999999999997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-0.93288590604027233</v>
      </c>
      <c r="Q28">
        <f t="shared" ref="Q28" si="116">F28*P28</f>
        <v>-15089.802684563821</v>
      </c>
      <c r="R28">
        <f t="shared" ref="R28" si="117">R29+Q28</f>
        <v>-3904477.8835151168</v>
      </c>
      <c r="S28">
        <f t="shared" ref="S28" si="118">R28/100000</f>
        <v>-39.04477883515117</v>
      </c>
      <c r="T28">
        <f t="shared" ref="T28" si="119">S28/1000</f>
        <v>-3.9044778835151173E-2</v>
      </c>
    </row>
    <row r="29" spans="1:20" x14ac:dyDescent="0.25">
      <c r="A29" s="5">
        <v>44564</v>
      </c>
      <c r="B29">
        <v>36.450000000000003</v>
      </c>
      <c r="C29">
        <v>36.61</v>
      </c>
      <c r="D29">
        <v>34.81</v>
      </c>
      <c r="E29">
        <v>35.43</v>
      </c>
      <c r="F29">
        <v>14558.12</v>
      </c>
      <c r="G29">
        <v>35.43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-0.31111111111111289</v>
      </c>
      <c r="Q29">
        <f t="shared" ref="Q29" si="121">F29*P29</f>
        <v>-4529.1928888889151</v>
      </c>
      <c r="R29">
        <f t="shared" ref="R29" si="122">R30+Q29</f>
        <v>-3889388.0808305531</v>
      </c>
      <c r="S29">
        <f t="shared" ref="S29" si="123">R29/100000</f>
        <v>-38.893880808305532</v>
      </c>
      <c r="T29">
        <f t="shared" ref="T29" si="124">S29/1000</f>
        <v>-3.8893880808305532E-2</v>
      </c>
    </row>
    <row r="30" spans="1:20" x14ac:dyDescent="0.25">
      <c r="A30" s="5">
        <v>44563</v>
      </c>
      <c r="B30">
        <v>36.53</v>
      </c>
      <c r="C30">
        <v>37.29</v>
      </c>
      <c r="D30">
        <v>36.18</v>
      </c>
      <c r="E30">
        <v>36.47</v>
      </c>
      <c r="F30">
        <v>13909.3</v>
      </c>
      <c r="G30">
        <v>36.47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-0.47747747747747876</v>
      </c>
      <c r="Q30">
        <f t="shared" ref="Q30" si="126">F30*P30</f>
        <v>-6641.3774774774947</v>
      </c>
      <c r="R30">
        <f t="shared" ref="R30" si="127">R31+Q30</f>
        <v>-3884858.8879416641</v>
      </c>
      <c r="S30">
        <f t="shared" ref="S30" si="128">R30/100000</f>
        <v>-38.848588879416639</v>
      </c>
      <c r="T30">
        <f t="shared" ref="T30" si="129">S30/1000</f>
        <v>-3.884858887941664E-2</v>
      </c>
    </row>
    <row r="31" spans="1:20" x14ac:dyDescent="0.25">
      <c r="A31" s="5">
        <v>44562</v>
      </c>
      <c r="B31">
        <v>36.270000000000003</v>
      </c>
      <c r="C31">
        <v>37.020000000000003</v>
      </c>
      <c r="D31">
        <v>36.01</v>
      </c>
      <c r="E31">
        <v>36.67</v>
      </c>
      <c r="F31">
        <v>14695.37</v>
      </c>
      <c r="G31">
        <v>36.67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0.30693069306930765</v>
      </c>
      <c r="Q31">
        <f t="shared" ref="Q31" si="131">F31*P31</f>
        <v>4510.4600990099116</v>
      </c>
      <c r="R31">
        <f t="shared" ref="R31" si="132">R32+Q31</f>
        <v>-3878217.5104641868</v>
      </c>
      <c r="S31">
        <f t="shared" ref="S31" si="133">R31/100000</f>
        <v>-38.782175104641865</v>
      </c>
      <c r="T31">
        <f t="shared" ref="T31" si="134">S31/1000</f>
        <v>-3.8782175104641867E-2</v>
      </c>
    </row>
    <row r="32" spans="1:20" x14ac:dyDescent="0.25">
      <c r="A32" s="5">
        <v>44561</v>
      </c>
      <c r="B32">
        <v>37.159999999999997</v>
      </c>
      <c r="C32">
        <v>37.619999999999997</v>
      </c>
      <c r="D32">
        <v>35.33</v>
      </c>
      <c r="E32">
        <v>36.270000000000003</v>
      </c>
      <c r="F32">
        <v>27797.19</v>
      </c>
      <c r="G32">
        <v>36.270000000000003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-0.17903930131003915</v>
      </c>
      <c r="Q32">
        <f t="shared" ref="Q32" si="136">F32*P32</f>
        <v>-4976.7894759824067</v>
      </c>
      <c r="R32">
        <f t="shared" ref="R32" si="137">R33+Q32</f>
        <v>-3882727.9705631966</v>
      </c>
      <c r="S32">
        <f t="shared" ref="S32" si="138">R32/100000</f>
        <v>-38.827279705631966</v>
      </c>
      <c r="T32">
        <f t="shared" ref="T32" si="139">S32/1000</f>
        <v>-3.8827279705631969E-2</v>
      </c>
    </row>
    <row r="33" spans="1:20" x14ac:dyDescent="0.25">
      <c r="A33" s="5">
        <v>44560</v>
      </c>
      <c r="B33">
        <v>38.21</v>
      </c>
      <c r="C33">
        <v>40.5</v>
      </c>
      <c r="D33">
        <v>37.01</v>
      </c>
      <c r="E33">
        <v>37.06</v>
      </c>
      <c r="F33">
        <v>26449.69</v>
      </c>
      <c r="G33">
        <v>37.06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-0.97134670487105779</v>
      </c>
      <c r="Q33">
        <f t="shared" ref="Q33" si="141">F33*P33</f>
        <v>-25691.819226360967</v>
      </c>
      <c r="R33">
        <f t="shared" ref="R33" si="142">R34+Q33</f>
        <v>-3877751.181087214</v>
      </c>
      <c r="S33">
        <f t="shared" ref="S33" si="143">R33/100000</f>
        <v>-38.777511810872141</v>
      </c>
      <c r="T33">
        <f t="shared" ref="T33" si="144">S33/1000</f>
        <v>-3.8777511810872141E-2</v>
      </c>
    </row>
    <row r="34" spans="1:20" x14ac:dyDescent="0.25">
      <c r="A34" s="5">
        <v>44559</v>
      </c>
      <c r="B34">
        <v>38.380000000000003</v>
      </c>
      <c r="C34">
        <v>40.770000000000003</v>
      </c>
      <c r="D34">
        <v>38</v>
      </c>
      <c r="E34">
        <v>38.24</v>
      </c>
      <c r="F34">
        <v>28314.53</v>
      </c>
      <c r="G34">
        <v>38.24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-0.82671480144404208</v>
      </c>
      <c r="Q34">
        <f t="shared" ref="Q34" si="146">F34*P34</f>
        <v>-23408.041046931372</v>
      </c>
      <c r="R34">
        <f t="shared" ref="R34" si="147">R35+Q34</f>
        <v>-3852059.3618608532</v>
      </c>
      <c r="S34">
        <f t="shared" ref="S34" si="148">R34/100000</f>
        <v>-38.52059361860853</v>
      </c>
      <c r="T34">
        <f t="shared" ref="T34" si="149">S34/1000</f>
        <v>-3.8520593618608531E-2</v>
      </c>
    </row>
    <row r="35" spans="1:20" x14ac:dyDescent="0.25">
      <c r="A35" s="5">
        <v>44558</v>
      </c>
      <c r="B35">
        <v>40.31</v>
      </c>
      <c r="C35">
        <v>40.31</v>
      </c>
      <c r="D35">
        <v>37.46</v>
      </c>
      <c r="E35">
        <v>38.4</v>
      </c>
      <c r="F35">
        <v>24953.24</v>
      </c>
      <c r="G35">
        <v>38.4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-0.3403508771929844</v>
      </c>
      <c r="Q35">
        <f t="shared" ref="Q35" si="151">F35*P35</f>
        <v>-8492.8571228070668</v>
      </c>
      <c r="R35">
        <f t="shared" ref="R35" si="152">R36+Q35</f>
        <v>-3828651.3208139217</v>
      </c>
      <c r="S35">
        <f t="shared" ref="S35" si="153">R35/100000</f>
        <v>-38.286513208139219</v>
      </c>
      <c r="T35">
        <f t="shared" ref="T35" si="154">S35/1000</f>
        <v>-3.8286513208139222E-2</v>
      </c>
    </row>
    <row r="36" spans="1:20" x14ac:dyDescent="0.25">
      <c r="A36" s="5">
        <v>44557</v>
      </c>
      <c r="B36">
        <v>41.55</v>
      </c>
      <c r="C36">
        <v>42.65</v>
      </c>
      <c r="D36">
        <v>40.22</v>
      </c>
      <c r="E36">
        <v>40.22</v>
      </c>
      <c r="F36">
        <v>26538.11</v>
      </c>
      <c r="G36">
        <v>40.22</v>
      </c>
      <c r="L36" t="s">
        <v>7</v>
      </c>
      <c r="M36" t="s">
        <v>8</v>
      </c>
      <c r="N36" t="s">
        <v>8</v>
      </c>
      <c r="P36">
        <f t="shared" ref="P36" si="155">IF(C36=D36,0,((E36-D36)-(C36-E36))/(C36-D36))</f>
        <v>-1</v>
      </c>
      <c r="Q36">
        <f t="shared" ref="Q36" si="156">F36*P36</f>
        <v>-26538.11</v>
      </c>
      <c r="R36">
        <f t="shared" ref="R36" si="157">R37+Q36</f>
        <v>-3820158.4636911144</v>
      </c>
      <c r="S36">
        <f t="shared" ref="S36" si="158">R36/100000</f>
        <v>-38.201584636911143</v>
      </c>
      <c r="T36">
        <f t="shared" ref="T36" si="159">S36/1000</f>
        <v>-3.8201584636911146E-2</v>
      </c>
    </row>
    <row r="37" spans="1:20" x14ac:dyDescent="0.25">
      <c r="A37" s="5">
        <v>44556</v>
      </c>
      <c r="B37">
        <v>41.63</v>
      </c>
      <c r="C37">
        <v>42.65</v>
      </c>
      <c r="D37">
        <v>40.22</v>
      </c>
      <c r="E37">
        <v>41.44</v>
      </c>
      <c r="F37">
        <v>19398.72</v>
      </c>
      <c r="G37">
        <v>41.44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4.1152263374477412E-3</v>
      </c>
      <c r="Q37">
        <f t="shared" ref="Q37" si="161">F37*P37</f>
        <v>79.830123456774245</v>
      </c>
      <c r="R37">
        <f t="shared" ref="R37" si="162">R38+Q37</f>
        <v>-3793620.3536911146</v>
      </c>
      <c r="S37">
        <f t="shared" ref="S37" si="163">R37/100000</f>
        <v>-37.936203536911144</v>
      </c>
      <c r="T37">
        <f t="shared" ref="T37" si="164">S37/1000</f>
        <v>-3.7936203536911142E-2</v>
      </c>
    </row>
    <row r="38" spans="1:20" x14ac:dyDescent="0.25">
      <c r="A38" s="5">
        <v>44555</v>
      </c>
      <c r="B38">
        <v>41.58</v>
      </c>
      <c r="C38">
        <v>42.29</v>
      </c>
      <c r="D38">
        <v>41.45</v>
      </c>
      <c r="E38">
        <v>41.47</v>
      </c>
      <c r="F38">
        <v>6532.18</v>
      </c>
      <c r="G38">
        <v>41.47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-0.95238095238096165</v>
      </c>
      <c r="Q38">
        <f t="shared" ref="Q38" si="166">F38*P38</f>
        <v>-6221.1238095238705</v>
      </c>
      <c r="R38">
        <f t="shared" ref="R38" si="167">R39+Q38</f>
        <v>-3793700.1838145712</v>
      </c>
      <c r="S38">
        <f t="shared" ref="S38" si="168">R38/100000</f>
        <v>-37.937001838145711</v>
      </c>
      <c r="T38">
        <f t="shared" ref="T38" si="169">S38/1000</f>
        <v>-3.7937001838145711E-2</v>
      </c>
    </row>
    <row r="39" spans="1:20" x14ac:dyDescent="0.25">
      <c r="A39" s="5">
        <v>44554</v>
      </c>
      <c r="B39">
        <v>43.36</v>
      </c>
      <c r="C39">
        <v>44.16</v>
      </c>
      <c r="D39">
        <v>41.19</v>
      </c>
      <c r="E39">
        <v>41.46</v>
      </c>
      <c r="F39">
        <v>19381.02</v>
      </c>
      <c r="G39">
        <v>41.46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-0.81818181818181601</v>
      </c>
      <c r="Q39">
        <f t="shared" ref="Q39" si="171">F39*P39</f>
        <v>-15857.198181818139</v>
      </c>
      <c r="R39">
        <f t="shared" ref="R39" si="172">R40+Q39</f>
        <v>-3787479.0600050474</v>
      </c>
      <c r="S39">
        <f t="shared" ref="S39" si="173">R39/100000</f>
        <v>-37.874790600050474</v>
      </c>
      <c r="T39">
        <f t="shared" ref="T39" si="174">S39/1000</f>
        <v>-3.7874790600050473E-2</v>
      </c>
    </row>
    <row r="40" spans="1:20" x14ac:dyDescent="0.25">
      <c r="A40" s="5">
        <v>44553</v>
      </c>
      <c r="B40">
        <v>39.57</v>
      </c>
      <c r="C40">
        <v>46.72</v>
      </c>
      <c r="D40">
        <v>38.97</v>
      </c>
      <c r="E40">
        <v>43.31</v>
      </c>
      <c r="F40">
        <v>60755.79</v>
      </c>
      <c r="G40">
        <v>43.31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0.12000000000000088</v>
      </c>
      <c r="Q40">
        <f t="shared" ref="Q40" si="176">F40*P40</f>
        <v>7290.6948000000539</v>
      </c>
      <c r="R40">
        <f t="shared" ref="R40" si="177">R41+Q40</f>
        <v>-3771621.8618232291</v>
      </c>
      <c r="S40">
        <f t="shared" ref="S40" si="178">R40/100000</f>
        <v>-37.71621861823229</v>
      </c>
      <c r="T40">
        <f t="shared" ref="T40" si="179">S40/1000</f>
        <v>-3.7716218618232288E-2</v>
      </c>
    </row>
    <row r="41" spans="1:20" x14ac:dyDescent="0.25">
      <c r="A41" s="5">
        <v>44552</v>
      </c>
      <c r="B41">
        <v>39.950000000000003</v>
      </c>
      <c r="C41">
        <v>41.76</v>
      </c>
      <c r="D41">
        <v>39.549999999999997</v>
      </c>
      <c r="E41">
        <v>39.58</v>
      </c>
      <c r="F41">
        <v>15094.23</v>
      </c>
      <c r="G41">
        <v>39.58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-0.97285067873303066</v>
      </c>
      <c r="Q41">
        <f t="shared" ref="Q41" si="181">F41*P41</f>
        <v>-14684.431900452473</v>
      </c>
      <c r="R41">
        <f t="shared" ref="R41" si="182">R42+Q41</f>
        <v>-3778912.5566232293</v>
      </c>
      <c r="S41">
        <f t="shared" ref="S41" si="183">R41/100000</f>
        <v>-37.789125566232293</v>
      </c>
      <c r="T41">
        <f t="shared" ref="T41" si="184">S41/1000</f>
        <v>-3.778912556623229E-2</v>
      </c>
    </row>
    <row r="42" spans="1:20" x14ac:dyDescent="0.25">
      <c r="A42" s="5">
        <v>44551</v>
      </c>
      <c r="B42">
        <v>38.270000000000003</v>
      </c>
      <c r="C42">
        <v>41.5</v>
      </c>
      <c r="D42">
        <v>38.270000000000003</v>
      </c>
      <c r="E42">
        <v>39.93</v>
      </c>
      <c r="F42">
        <v>19691.87</v>
      </c>
      <c r="G42">
        <v>39.93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2.7863777089782164E-2</v>
      </c>
      <c r="Q42">
        <f t="shared" ref="Q42" si="186">F42*P42</f>
        <v>548.68987616096865</v>
      </c>
      <c r="R42">
        <f t="shared" ref="R42" si="187">R43+Q42</f>
        <v>-3764228.1247227769</v>
      </c>
      <c r="S42">
        <f t="shared" ref="S42" si="188">R42/100000</f>
        <v>-37.642281247227771</v>
      </c>
      <c r="T42">
        <f t="shared" ref="T42" si="189">S42/1000</f>
        <v>-3.7642281247227773E-2</v>
      </c>
    </row>
    <row r="43" spans="1:20" x14ac:dyDescent="0.25">
      <c r="A43" s="5">
        <v>44550</v>
      </c>
      <c r="B43">
        <v>38.01</v>
      </c>
      <c r="C43">
        <v>40.76</v>
      </c>
      <c r="D43">
        <v>35.28</v>
      </c>
      <c r="E43">
        <v>38.340000000000003</v>
      </c>
      <c r="F43">
        <v>29500.37</v>
      </c>
      <c r="G43">
        <v>38.340000000000003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0.11678832116788468</v>
      </c>
      <c r="Q43">
        <f t="shared" ref="Q43" si="191">F43*P43</f>
        <v>3445.2986861314298</v>
      </c>
      <c r="R43">
        <f t="shared" ref="R43" si="192">R44+Q43</f>
        <v>-3764776.814598938</v>
      </c>
      <c r="S43">
        <f t="shared" ref="S43" si="193">R43/100000</f>
        <v>-37.647768145989382</v>
      </c>
      <c r="T43">
        <f t="shared" ref="T43" si="194">S43/1000</f>
        <v>-3.7647768145989378E-2</v>
      </c>
    </row>
    <row r="44" spans="1:20" x14ac:dyDescent="0.25">
      <c r="A44" s="5">
        <v>44549</v>
      </c>
      <c r="B44">
        <v>39.49</v>
      </c>
      <c r="C44">
        <v>40.97</v>
      </c>
      <c r="D44">
        <v>38</v>
      </c>
      <c r="E44">
        <v>38.01</v>
      </c>
      <c r="F44">
        <v>21109.45</v>
      </c>
      <c r="G44">
        <v>38.01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-0.99326599326599463</v>
      </c>
      <c r="Q44">
        <f t="shared" ref="Q44" si="196">F44*P44</f>
        <v>-20967.298821548851</v>
      </c>
      <c r="R44">
        <f t="shared" ref="R44" si="197">R45+Q44</f>
        <v>-3768222.1132850694</v>
      </c>
      <c r="S44">
        <f t="shared" ref="S44" si="198">R44/100000</f>
        <v>-37.682221132850692</v>
      </c>
      <c r="T44">
        <f t="shared" ref="T44" si="199">S44/1000</f>
        <v>-3.7682221132850691E-2</v>
      </c>
    </row>
    <row r="45" spans="1:20" x14ac:dyDescent="0.25">
      <c r="A45" s="5">
        <v>44548</v>
      </c>
      <c r="B45">
        <v>37.06</v>
      </c>
      <c r="C45">
        <v>42.75</v>
      </c>
      <c r="D45">
        <v>36.450000000000003</v>
      </c>
      <c r="E45">
        <v>39.54</v>
      </c>
      <c r="F45">
        <v>63965.25</v>
      </c>
      <c r="G45">
        <v>39.54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-1.9047619047619778E-2</v>
      </c>
      <c r="Q45">
        <f t="shared" ref="Q45" si="201">F45*P45</f>
        <v>-1218.385714285761</v>
      </c>
      <c r="R45">
        <f t="shared" ref="R45" si="202">R46+Q45</f>
        <v>-3747254.8144635204</v>
      </c>
      <c r="S45">
        <f t="shared" ref="S45" si="203">R45/100000</f>
        <v>-37.472548144635205</v>
      </c>
      <c r="T45">
        <f t="shared" ref="T45" si="204">S45/1000</f>
        <v>-3.7472548144635208E-2</v>
      </c>
    </row>
    <row r="46" spans="1:20" x14ac:dyDescent="0.25">
      <c r="A46" s="5">
        <v>44547</v>
      </c>
      <c r="B46">
        <v>38.869999999999997</v>
      </c>
      <c r="C46">
        <v>39.24</v>
      </c>
      <c r="D46">
        <v>36.04</v>
      </c>
      <c r="E46">
        <v>37</v>
      </c>
      <c r="F46">
        <v>25107.19</v>
      </c>
      <c r="G46">
        <v>37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-0.4</v>
      </c>
      <c r="Q46">
        <f t="shared" ref="Q46" si="206">F46*P46</f>
        <v>-10042.876</v>
      </c>
      <c r="R46">
        <f t="shared" ref="R46" si="207">R47+Q46</f>
        <v>-3746036.4287492349</v>
      </c>
      <c r="S46">
        <f t="shared" ref="S46" si="208">R46/100000</f>
        <v>-37.460364287492347</v>
      </c>
      <c r="T46">
        <f t="shared" ref="T46" si="209">S46/1000</f>
        <v>-3.7460364287492345E-2</v>
      </c>
    </row>
    <row r="47" spans="1:20" x14ac:dyDescent="0.25">
      <c r="A47" s="5">
        <v>44546</v>
      </c>
      <c r="B47">
        <v>37.19</v>
      </c>
      <c r="C47">
        <v>42.42</v>
      </c>
      <c r="D47">
        <v>36.729999999999997</v>
      </c>
      <c r="E47">
        <v>38.97</v>
      </c>
      <c r="F47">
        <v>67761.119999999995</v>
      </c>
      <c r="G47">
        <v>38.97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-0.21265377855887518</v>
      </c>
      <c r="Q47">
        <f t="shared" ref="Q47" si="211">F47*P47</f>
        <v>-14409.658207381368</v>
      </c>
      <c r="R47">
        <f t="shared" ref="R47" si="212">R48+Q47</f>
        <v>-3735993.5527492347</v>
      </c>
      <c r="S47">
        <f t="shared" ref="S47" si="213">R47/100000</f>
        <v>-37.359935527492347</v>
      </c>
      <c r="T47">
        <f t="shared" ref="T47" si="214">S47/1000</f>
        <v>-3.7359935527492345E-2</v>
      </c>
    </row>
    <row r="48" spans="1:20" x14ac:dyDescent="0.25">
      <c r="A48" s="5">
        <v>44545</v>
      </c>
      <c r="B48">
        <v>33.96</v>
      </c>
      <c r="C48">
        <v>39</v>
      </c>
      <c r="D48">
        <v>32.229999999999997</v>
      </c>
      <c r="E48">
        <v>37.270000000000003</v>
      </c>
      <c r="F48">
        <v>49771.360000000001</v>
      </c>
      <c r="G48">
        <v>37.270000000000003</v>
      </c>
      <c r="L48" t="s">
        <v>7</v>
      </c>
      <c r="M48" t="s">
        <v>8</v>
      </c>
      <c r="N48" t="s">
        <v>7</v>
      </c>
      <c r="P48">
        <f t="shared" ref="P48" si="215">IF(C48=D48,0,((E48-D48)-(C48-E48))/(C48-D48))</f>
        <v>0.48892171344165553</v>
      </c>
      <c r="Q48">
        <f t="shared" ref="Q48" si="216">F48*P48</f>
        <v>24334.298611521477</v>
      </c>
      <c r="R48">
        <f t="shared" ref="R48" si="217">R49+Q48</f>
        <v>-3721583.8945418536</v>
      </c>
      <c r="S48">
        <f t="shared" ref="S48" si="218">R48/100000</f>
        <v>-37.215838945418533</v>
      </c>
      <c r="T48">
        <f t="shared" ref="T48" si="219">S48/1000</f>
        <v>-3.7215838945418529E-2</v>
      </c>
    </row>
    <row r="49" spans="1:20" x14ac:dyDescent="0.25">
      <c r="A49" s="5">
        <v>44544</v>
      </c>
      <c r="B49">
        <v>33.549999999999997</v>
      </c>
      <c r="C49">
        <v>34.99</v>
      </c>
      <c r="D49">
        <v>32.69</v>
      </c>
      <c r="E49">
        <v>34.049999999999997</v>
      </c>
      <c r="F49">
        <v>16869.8</v>
      </c>
      <c r="G49">
        <v>34.049999999999997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0.18260869565217122</v>
      </c>
      <c r="Q49">
        <f t="shared" ref="Q49" si="221">F49*P49</f>
        <v>3080.5721739129981</v>
      </c>
      <c r="R49">
        <f t="shared" ref="R49" si="222">R50+Q49</f>
        <v>-3745918.1931533748</v>
      </c>
      <c r="S49">
        <f t="shared" ref="S49" si="223">R49/100000</f>
        <v>-37.459181931533749</v>
      </c>
      <c r="T49">
        <f t="shared" ref="T49" si="224">S49/1000</f>
        <v>-3.7459181931533747E-2</v>
      </c>
    </row>
    <row r="50" spans="1:20" x14ac:dyDescent="0.25">
      <c r="A50" s="5">
        <v>44543</v>
      </c>
      <c r="B50">
        <v>40.049999999999997</v>
      </c>
      <c r="C50">
        <v>40.17</v>
      </c>
      <c r="D50">
        <v>32.950000000000003</v>
      </c>
      <c r="E50">
        <v>33.58</v>
      </c>
      <c r="F50">
        <v>44089.91</v>
      </c>
      <c r="G50">
        <v>33.58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-0.82548476454293751</v>
      </c>
      <c r="Q50">
        <f t="shared" ref="Q50" si="226">F50*P50</f>
        <v>-36395.548975069309</v>
      </c>
      <c r="R50">
        <f t="shared" ref="R50" si="227">R51+Q50</f>
        <v>-3748998.7653272878</v>
      </c>
      <c r="S50">
        <f t="shared" ref="S50" si="228">R50/100000</f>
        <v>-37.489987653272877</v>
      </c>
      <c r="T50">
        <f t="shared" ref="T50" si="229">S50/1000</f>
        <v>-3.7489987653272876E-2</v>
      </c>
    </row>
    <row r="51" spans="1:20" x14ac:dyDescent="0.25">
      <c r="A51" s="5">
        <v>44542</v>
      </c>
      <c r="B51">
        <v>39.65</v>
      </c>
      <c r="C51">
        <v>41.17</v>
      </c>
      <c r="D51">
        <v>37.299999999999997</v>
      </c>
      <c r="E51">
        <v>40.14</v>
      </c>
      <c r="F51">
        <v>85122.74</v>
      </c>
      <c r="G51">
        <v>40.14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0.46770025839793283</v>
      </c>
      <c r="Q51">
        <f t="shared" ref="Q51" si="231">F51*P51</f>
        <v>39811.927493540054</v>
      </c>
      <c r="R51">
        <f t="shared" ref="R51" si="232">R52+Q51</f>
        <v>-3712603.2163522183</v>
      </c>
      <c r="S51">
        <f t="shared" ref="S51" si="233">R51/100000</f>
        <v>-37.126032163522183</v>
      </c>
      <c r="T51">
        <f t="shared" ref="T51" si="234">S51/1000</f>
        <v>-3.7126032163522185E-2</v>
      </c>
    </row>
    <row r="52" spans="1:20" x14ac:dyDescent="0.25">
      <c r="A52" s="5">
        <v>44541</v>
      </c>
      <c r="B52">
        <v>35.380000000000003</v>
      </c>
      <c r="C52">
        <v>35.479999999999997</v>
      </c>
      <c r="D52">
        <v>34.79</v>
      </c>
      <c r="E52">
        <v>35.299999999999997</v>
      </c>
      <c r="F52">
        <v>918.35</v>
      </c>
      <c r="G52">
        <v>35.299999999999997</v>
      </c>
      <c r="L52" t="s">
        <v>8</v>
      </c>
      <c r="M52" t="s">
        <v>8</v>
      </c>
      <c r="N52" t="s">
        <v>7</v>
      </c>
      <c r="P52">
        <f t="shared" ref="P52" si="235">IF(C52=D52,0,((E52-D52)-(C52-E52))/(C52-D52))</f>
        <v>0.47826086956521652</v>
      </c>
      <c r="Q52">
        <f t="shared" ref="Q52" si="236">F52*P52</f>
        <v>439.21086956521663</v>
      </c>
      <c r="R52">
        <f t="shared" ref="R52" si="237">R53+Q52</f>
        <v>-3752415.1438457584</v>
      </c>
      <c r="S52">
        <f t="shared" ref="S52" si="238">R52/100000</f>
        <v>-37.524151438457586</v>
      </c>
      <c r="T52">
        <f t="shared" ref="T52" si="239">S52/1000</f>
        <v>-3.7524151438457588E-2</v>
      </c>
    </row>
    <row r="53" spans="1:20" x14ac:dyDescent="0.25">
      <c r="A53" s="5">
        <v>44540</v>
      </c>
      <c r="B53">
        <v>34.479999999999997</v>
      </c>
      <c r="C53">
        <v>37.380000000000003</v>
      </c>
      <c r="D53">
        <v>33.979999999999997</v>
      </c>
      <c r="E53">
        <v>35.15</v>
      </c>
      <c r="F53">
        <v>73942.69</v>
      </c>
      <c r="G53">
        <v>35.15</v>
      </c>
      <c r="L53" t="s">
        <v>8</v>
      </c>
      <c r="M53" t="s">
        <v>8</v>
      </c>
      <c r="N53" t="s">
        <v>7</v>
      </c>
      <c r="P53">
        <f t="shared" ref="P53" si="240">IF(C53=D53,0,((E53-D53)-(C53-E53))/(C53-D53))</f>
        <v>-0.31176470588235311</v>
      </c>
      <c r="Q53">
        <f t="shared" ref="Q53" si="241">F53*P53</f>
        <v>-23052.721000000012</v>
      </c>
      <c r="R53">
        <f t="shared" ref="R53" si="242">R54+Q53</f>
        <v>-3752854.3547153235</v>
      </c>
      <c r="S53">
        <f t="shared" ref="S53" si="243">R53/100000</f>
        <v>-37.528543547153234</v>
      </c>
      <c r="T53">
        <f t="shared" ref="T53" si="244">S53/1000</f>
        <v>-3.7528543547153237E-2</v>
      </c>
    </row>
    <row r="54" spans="1:20" x14ac:dyDescent="0.25">
      <c r="A54" s="5">
        <v>44539</v>
      </c>
      <c r="B54">
        <v>36.64</v>
      </c>
      <c r="C54">
        <v>37.200000000000003</v>
      </c>
      <c r="D54">
        <v>33.630000000000003</v>
      </c>
      <c r="E54">
        <v>34.479999999999997</v>
      </c>
      <c r="F54">
        <v>55881.39</v>
      </c>
      <c r="G54">
        <v>34.479999999999997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-0.52380952380952706</v>
      </c>
      <c r="Q54">
        <f t="shared" ref="Q54" si="246">F54*P54</f>
        <v>-29271.204285714466</v>
      </c>
      <c r="R54">
        <f t="shared" ref="R54" si="247">R55+Q54</f>
        <v>-3729801.6337153236</v>
      </c>
      <c r="S54">
        <f t="shared" ref="S54" si="248">R54/100000</f>
        <v>-37.298016337153236</v>
      </c>
      <c r="T54">
        <f t="shared" ref="T54" si="249">S54/1000</f>
        <v>-3.7298016337153232E-2</v>
      </c>
    </row>
    <row r="55" spans="1:20" x14ac:dyDescent="0.25">
      <c r="A55" s="5">
        <v>44538</v>
      </c>
      <c r="B55">
        <v>36.08</v>
      </c>
      <c r="C55">
        <v>38.979999999999997</v>
      </c>
      <c r="D55">
        <v>34.78</v>
      </c>
      <c r="E55">
        <v>36.61</v>
      </c>
      <c r="F55">
        <v>78748.820000000007</v>
      </c>
      <c r="G55">
        <v>36.61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-0.1285714285714285</v>
      </c>
      <c r="Q55">
        <f t="shared" ref="Q55" si="251">F55*P55</f>
        <v>-10124.848285714281</v>
      </c>
      <c r="R55">
        <f t="shared" ref="R55" si="252">R56+Q55</f>
        <v>-3700530.4294296093</v>
      </c>
      <c r="S55">
        <f t="shared" ref="S55" si="253">R55/100000</f>
        <v>-37.005304294296096</v>
      </c>
      <c r="T55">
        <f t="shared" ref="T55" si="254">S55/1000</f>
        <v>-3.7005304294296097E-2</v>
      </c>
    </row>
    <row r="56" spans="1:20" x14ac:dyDescent="0.25">
      <c r="A56" s="5">
        <v>44537</v>
      </c>
      <c r="B56">
        <v>36.65</v>
      </c>
      <c r="C56">
        <v>38.799999999999997</v>
      </c>
      <c r="D56">
        <v>35.89</v>
      </c>
      <c r="E56">
        <v>36.159999999999997</v>
      </c>
      <c r="F56">
        <v>118250.26</v>
      </c>
      <c r="G56">
        <v>36.159999999999997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-0.8144329896907242</v>
      </c>
      <c r="Q56">
        <f t="shared" ref="Q56" si="256">F56*P56</f>
        <v>-96306.912783505453</v>
      </c>
      <c r="R56">
        <f t="shared" ref="R56" si="257">R57+Q56</f>
        <v>-3690405.5811438952</v>
      </c>
      <c r="S56">
        <f t="shared" ref="S56" si="258">R56/100000</f>
        <v>-36.904055811438951</v>
      </c>
      <c r="T56">
        <f t="shared" ref="T56" si="259">S56/1000</f>
        <v>-3.6904055811438949E-2</v>
      </c>
    </row>
    <row r="57" spans="1:20" x14ac:dyDescent="0.25">
      <c r="A57" s="5">
        <v>44536</v>
      </c>
      <c r="B57">
        <v>36.67</v>
      </c>
      <c r="C57">
        <v>36.85</v>
      </c>
      <c r="D57">
        <v>32.700000000000003</v>
      </c>
      <c r="E57">
        <v>36.65</v>
      </c>
      <c r="F57">
        <v>40032.18</v>
      </c>
      <c r="G57">
        <v>36.65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0.90361445783132388</v>
      </c>
      <c r="Q57">
        <f t="shared" ref="Q57" si="261">F57*P57</f>
        <v>36173.656626505966</v>
      </c>
      <c r="R57">
        <f t="shared" ref="R57" si="262">R58+Q57</f>
        <v>-3594098.6683603898</v>
      </c>
      <c r="S57">
        <f t="shared" ref="S57" si="263">R57/100000</f>
        <v>-35.940986683603896</v>
      </c>
      <c r="T57">
        <f t="shared" ref="T57" si="264">S57/1000</f>
        <v>-3.5940986683603897E-2</v>
      </c>
    </row>
    <row r="58" spans="1:20" x14ac:dyDescent="0.25">
      <c r="A58" s="5">
        <v>44535</v>
      </c>
      <c r="B58">
        <v>37.28</v>
      </c>
      <c r="C58">
        <v>40</v>
      </c>
      <c r="D58">
        <v>34.090000000000003</v>
      </c>
      <c r="E58">
        <v>36.549999999999997</v>
      </c>
      <c r="F58">
        <v>52520.89</v>
      </c>
      <c r="G58">
        <v>36.549999999999997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-0.16751269035533159</v>
      </c>
      <c r="Q58">
        <f t="shared" ref="Q58" si="266">F58*P58</f>
        <v>-8797.9155837564304</v>
      </c>
      <c r="R58">
        <f t="shared" ref="R58" si="267">R59+Q58</f>
        <v>-3630272.3249868955</v>
      </c>
      <c r="S58">
        <f t="shared" ref="S58" si="268">R58/100000</f>
        <v>-36.302723249868954</v>
      </c>
      <c r="T58">
        <f t="shared" ref="T58" si="269">S58/1000</f>
        <v>-3.6302723249868954E-2</v>
      </c>
    </row>
    <row r="59" spans="1:20" x14ac:dyDescent="0.25">
      <c r="A59" s="5">
        <v>44534</v>
      </c>
      <c r="B59">
        <v>43.1</v>
      </c>
      <c r="C59">
        <v>43.35</v>
      </c>
      <c r="D59">
        <v>33.69</v>
      </c>
      <c r="E59">
        <v>37.28</v>
      </c>
      <c r="F59">
        <v>55775.95</v>
      </c>
      <c r="G59">
        <v>37.28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-0.25672877846790848</v>
      </c>
      <c r="Q59">
        <f t="shared" ref="Q59" si="271">F59*P59</f>
        <v>-14319.291511387139</v>
      </c>
      <c r="R59">
        <f t="shared" ref="R59" si="272">R60+Q59</f>
        <v>-3621474.4094031393</v>
      </c>
      <c r="S59">
        <f t="shared" ref="S59" si="273">R59/100000</f>
        <v>-36.214744094031396</v>
      </c>
      <c r="T59">
        <f t="shared" ref="T59" si="274">S59/1000</f>
        <v>-3.6214744094031394E-2</v>
      </c>
    </row>
    <row r="60" spans="1:20" x14ac:dyDescent="0.25">
      <c r="A60" s="5">
        <v>44533</v>
      </c>
      <c r="B60">
        <v>45.72</v>
      </c>
      <c r="C60">
        <v>49.41</v>
      </c>
      <c r="D60">
        <v>42</v>
      </c>
      <c r="E60">
        <v>43.1</v>
      </c>
      <c r="F60">
        <v>58668.92</v>
      </c>
      <c r="G60">
        <v>43.1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-0.70310391363022895</v>
      </c>
      <c r="Q60">
        <f t="shared" ref="Q60" si="276">F60*P60</f>
        <v>-41250.34726045881</v>
      </c>
      <c r="R60">
        <f t="shared" ref="R60" si="277">R61+Q60</f>
        <v>-3607155.1178917522</v>
      </c>
      <c r="S60">
        <f t="shared" ref="S60" si="278">R60/100000</f>
        <v>-36.071551178917524</v>
      </c>
      <c r="T60">
        <f t="shared" ref="T60" si="279">S60/1000</f>
        <v>-3.6071551178917527E-2</v>
      </c>
    </row>
    <row r="61" spans="1:20" x14ac:dyDescent="0.25">
      <c r="A61" s="5">
        <v>44532</v>
      </c>
      <c r="B61">
        <v>44.21</v>
      </c>
      <c r="C61">
        <v>52.35</v>
      </c>
      <c r="D61">
        <v>42.35</v>
      </c>
      <c r="E61">
        <v>45.72</v>
      </c>
      <c r="F61">
        <v>86478.2</v>
      </c>
      <c r="G61">
        <v>45.72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-0.32600000000000051</v>
      </c>
      <c r="Q61">
        <f t="shared" ref="Q61" si="281">F61*P61</f>
        <v>-28191.893200000042</v>
      </c>
      <c r="R61">
        <f t="shared" ref="R61" si="282">R62+Q61</f>
        <v>-3565904.7706312933</v>
      </c>
      <c r="S61">
        <f t="shared" ref="S61" si="283">R61/100000</f>
        <v>-35.659047706312933</v>
      </c>
      <c r="T61">
        <f t="shared" ref="T61" si="284">S61/1000</f>
        <v>-3.5659047706312931E-2</v>
      </c>
    </row>
    <row r="62" spans="1:20" x14ac:dyDescent="0.25">
      <c r="A62" s="5">
        <v>44531</v>
      </c>
      <c r="B62">
        <v>45.55</v>
      </c>
      <c r="C62">
        <v>46.9</v>
      </c>
      <c r="D62">
        <v>44.04</v>
      </c>
      <c r="E62">
        <v>44.21</v>
      </c>
      <c r="F62">
        <v>23219.07</v>
      </c>
      <c r="G62">
        <v>44.21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-0.88111888111887993</v>
      </c>
      <c r="Q62">
        <f t="shared" ref="Q62" si="286">F62*P62</f>
        <v>-20458.76097902095</v>
      </c>
      <c r="R62">
        <f t="shared" ref="R62" si="287">R63+Q62</f>
        <v>-3537712.8774312935</v>
      </c>
      <c r="S62">
        <f t="shared" ref="S62" si="288">R62/100000</f>
        <v>-35.377128774312936</v>
      </c>
      <c r="T62">
        <f t="shared" ref="T62" si="289">S62/1000</f>
        <v>-3.5377128774312934E-2</v>
      </c>
    </row>
    <row r="63" spans="1:20" x14ac:dyDescent="0.25">
      <c r="A63" s="5">
        <v>44530</v>
      </c>
      <c r="B63">
        <v>46.68</v>
      </c>
      <c r="C63">
        <v>46.96</v>
      </c>
      <c r="D63">
        <v>44.06</v>
      </c>
      <c r="E63">
        <v>45.42</v>
      </c>
      <c r="F63">
        <v>28821</v>
      </c>
      <c r="G63">
        <v>45.42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-6.2068965517241309E-2</v>
      </c>
      <c r="Q63">
        <f t="shared" ref="Q63" si="291">F63*P63</f>
        <v>-1788.8896551724117</v>
      </c>
      <c r="R63">
        <f t="shared" ref="R63" si="292">R64+Q63</f>
        <v>-3517254.1164522725</v>
      </c>
      <c r="S63">
        <f t="shared" ref="S63" si="293">R63/100000</f>
        <v>-35.172541164522727</v>
      </c>
      <c r="T63">
        <f t="shared" ref="T63" si="294">S63/1000</f>
        <v>-3.5172541164522723E-2</v>
      </c>
    </row>
    <row r="64" spans="1:20" x14ac:dyDescent="0.25">
      <c r="A64" s="5">
        <v>44529</v>
      </c>
      <c r="B64">
        <v>45.28</v>
      </c>
      <c r="C64">
        <v>47.6</v>
      </c>
      <c r="D64">
        <v>44</v>
      </c>
      <c r="E64">
        <v>46.55</v>
      </c>
      <c r="F64">
        <v>32942.06</v>
      </c>
      <c r="G64">
        <v>46.55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0.41666666666666452</v>
      </c>
      <c r="Q64">
        <f t="shared" ref="Q64" si="296">F64*P64</f>
        <v>13725.858333333261</v>
      </c>
      <c r="R64">
        <f t="shared" ref="R64" si="297">R65+Q64</f>
        <v>-3515465.2267971002</v>
      </c>
      <c r="S64">
        <f t="shared" ref="S64" si="298">R64/100000</f>
        <v>-35.154652267971002</v>
      </c>
      <c r="T64">
        <f t="shared" ref="T64" si="299">S64/1000</f>
        <v>-3.5154652267971001E-2</v>
      </c>
    </row>
    <row r="65" spans="1:20" x14ac:dyDescent="0.25">
      <c r="A65" s="5">
        <v>44528</v>
      </c>
      <c r="B65">
        <v>48.2</v>
      </c>
      <c r="C65">
        <v>49.44</v>
      </c>
      <c r="D65">
        <v>42</v>
      </c>
      <c r="E65">
        <v>45.28</v>
      </c>
      <c r="F65">
        <v>52164.28</v>
      </c>
      <c r="G65">
        <v>45.28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-0.11827956989247254</v>
      </c>
      <c r="Q65">
        <f t="shared" ref="Q65" si="301">F65*P65</f>
        <v>-6169.9686021505076</v>
      </c>
      <c r="R65">
        <f t="shared" ref="R65" si="302">R66+Q65</f>
        <v>-3529191.0851304336</v>
      </c>
      <c r="S65">
        <f t="shared" ref="S65" si="303">R65/100000</f>
        <v>-35.291910851304337</v>
      </c>
      <c r="T65">
        <f t="shared" ref="T65" si="304">S65/1000</f>
        <v>-3.5291910851304335E-2</v>
      </c>
    </row>
    <row r="66" spans="1:20" x14ac:dyDescent="0.25">
      <c r="A66" s="5">
        <v>44527</v>
      </c>
      <c r="B66">
        <v>45.21</v>
      </c>
      <c r="C66">
        <v>49.22</v>
      </c>
      <c r="D66">
        <v>44.93</v>
      </c>
      <c r="E66">
        <v>48.28</v>
      </c>
      <c r="F66">
        <v>30595.4</v>
      </c>
      <c r="G66">
        <v>48.28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0.56177156177156273</v>
      </c>
      <c r="Q66">
        <f t="shared" ref="Q66" si="306">F66*P66</f>
        <v>17187.625641025672</v>
      </c>
      <c r="R66">
        <f t="shared" ref="R66" si="307">R67+Q66</f>
        <v>-3523021.1165282829</v>
      </c>
      <c r="S66">
        <f t="shared" ref="S66" si="308">R66/100000</f>
        <v>-35.230211165282832</v>
      </c>
      <c r="T66">
        <f t="shared" ref="T66" si="309">S66/1000</f>
        <v>-3.5230211165282833E-2</v>
      </c>
    </row>
    <row r="67" spans="1:20" x14ac:dyDescent="0.25">
      <c r="A67" s="5">
        <v>44526</v>
      </c>
      <c r="B67">
        <v>53.13</v>
      </c>
      <c r="C67">
        <v>53.3</v>
      </c>
      <c r="D67">
        <v>44.71</v>
      </c>
      <c r="E67">
        <v>45.21</v>
      </c>
      <c r="F67">
        <v>61492.67</v>
      </c>
      <c r="G67">
        <v>45.21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-0.88358556461001159</v>
      </c>
      <c r="Q67">
        <f t="shared" ref="Q67" si="311">F67*P67</f>
        <v>-54334.035541327117</v>
      </c>
      <c r="R67">
        <f t="shared" ref="R67" si="312">R68+Q67</f>
        <v>-3540208.7421693085</v>
      </c>
      <c r="S67">
        <f t="shared" ref="S67" si="313">R67/100000</f>
        <v>-35.402087421693082</v>
      </c>
      <c r="T67">
        <f t="shared" ref="T67" si="314">S67/1000</f>
        <v>-3.5402087421693082E-2</v>
      </c>
    </row>
    <row r="68" spans="1:20" x14ac:dyDescent="0.25">
      <c r="A68" s="5">
        <v>44525</v>
      </c>
      <c r="B68">
        <v>50.64</v>
      </c>
      <c r="C68">
        <v>53.62</v>
      </c>
      <c r="D68">
        <v>49.19</v>
      </c>
      <c r="E68">
        <v>53.13</v>
      </c>
      <c r="F68">
        <v>32918.97</v>
      </c>
      <c r="G68">
        <v>53.13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0.77878103837472012</v>
      </c>
      <c r="Q68">
        <f t="shared" ref="Q68" si="316">F68*P68</f>
        <v>25636.669638826261</v>
      </c>
      <c r="R68">
        <f t="shared" ref="R68" si="317">R69+Q68</f>
        <v>-3485874.7066279813</v>
      </c>
      <c r="S68">
        <f t="shared" ref="S68" si="318">R68/100000</f>
        <v>-34.858747066279811</v>
      </c>
      <c r="T68">
        <f t="shared" ref="T68" si="319">S68/1000</f>
        <v>-3.485874706627981E-2</v>
      </c>
    </row>
    <row r="69" spans="1:20" x14ac:dyDescent="0.25">
      <c r="A69" s="5">
        <v>44524</v>
      </c>
      <c r="B69">
        <v>52.9</v>
      </c>
      <c r="C69">
        <v>53.25</v>
      </c>
      <c r="D69">
        <v>51.2</v>
      </c>
      <c r="E69">
        <v>51.86</v>
      </c>
      <c r="F69">
        <v>6127.53</v>
      </c>
      <c r="G69">
        <v>51.86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-0.35609756097561218</v>
      </c>
      <c r="Q69">
        <f t="shared" ref="Q69" si="321">F69*P69</f>
        <v>-2181.9984878048926</v>
      </c>
      <c r="R69">
        <f t="shared" ref="R69" si="322">R70+Q69</f>
        <v>-3511511.3762668073</v>
      </c>
      <c r="S69">
        <f t="shared" ref="S69" si="323">R69/100000</f>
        <v>-35.115113762668074</v>
      </c>
      <c r="T69">
        <f t="shared" ref="T69" si="324">S69/1000</f>
        <v>-3.5115113762668071E-2</v>
      </c>
    </row>
    <row r="70" spans="1:20" x14ac:dyDescent="0.25">
      <c r="A70" s="5">
        <v>44523</v>
      </c>
      <c r="B70">
        <v>48.7</v>
      </c>
      <c r="C70">
        <v>53.4</v>
      </c>
      <c r="D70">
        <v>47.61</v>
      </c>
      <c r="E70">
        <v>52.87</v>
      </c>
      <c r="F70">
        <v>36704.35</v>
      </c>
      <c r="G70">
        <v>52.87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0.81692573402417923</v>
      </c>
      <c r="Q70">
        <f t="shared" ref="Q70" si="326">F70*P70</f>
        <v>29984.728065630381</v>
      </c>
      <c r="R70">
        <f t="shared" ref="R70" si="327">R71+Q70</f>
        <v>-3509329.3777790023</v>
      </c>
      <c r="S70">
        <f t="shared" ref="S70" si="328">R70/100000</f>
        <v>-35.093293777790024</v>
      </c>
      <c r="T70">
        <f t="shared" ref="T70" si="329">S70/1000</f>
        <v>-3.5093293777790024E-2</v>
      </c>
    </row>
    <row r="71" spans="1:20" x14ac:dyDescent="0.25">
      <c r="A71" s="5">
        <v>44522</v>
      </c>
      <c r="B71">
        <v>50.72</v>
      </c>
      <c r="C71">
        <v>50.91</v>
      </c>
      <c r="D71">
        <v>48.29</v>
      </c>
      <c r="E71">
        <v>48.72</v>
      </c>
      <c r="F71">
        <v>25060.57</v>
      </c>
      <c r="G71">
        <v>48.72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-0.67175572519083959</v>
      </c>
      <c r="Q71">
        <f t="shared" ref="Q71" si="331">F71*P71</f>
        <v>-16834.5813740458</v>
      </c>
      <c r="R71">
        <f t="shared" ref="R71" si="332">R72+Q71</f>
        <v>-3539314.1058446327</v>
      </c>
      <c r="S71">
        <f t="shared" ref="S71" si="333">R71/100000</f>
        <v>-35.393141058446325</v>
      </c>
      <c r="T71">
        <f t="shared" ref="T71" si="334">S71/1000</f>
        <v>-3.5393141058446327E-2</v>
      </c>
    </row>
    <row r="72" spans="1:20" x14ac:dyDescent="0.25">
      <c r="A72" s="5">
        <v>44521</v>
      </c>
      <c r="B72">
        <v>52.01</v>
      </c>
      <c r="C72">
        <v>55.11</v>
      </c>
      <c r="D72">
        <v>50.5</v>
      </c>
      <c r="E72">
        <v>50.72</v>
      </c>
      <c r="F72">
        <v>90968.38</v>
      </c>
      <c r="G72">
        <v>50.72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-0.90455531453362303</v>
      </c>
      <c r="Q72">
        <f t="shared" ref="Q72" si="336">F72*P72</f>
        <v>-82285.931583514146</v>
      </c>
      <c r="R72">
        <f t="shared" ref="R72" si="337">R73+Q72</f>
        <v>-3522479.5244705868</v>
      </c>
      <c r="S72">
        <f t="shared" ref="S72" si="338">R72/100000</f>
        <v>-35.224795244705867</v>
      </c>
      <c r="T72">
        <f t="shared" ref="T72" si="339">S72/1000</f>
        <v>-3.522479524470587E-2</v>
      </c>
    </row>
    <row r="73" spans="1:20" x14ac:dyDescent="0.25">
      <c r="A73" s="5">
        <v>44520</v>
      </c>
      <c r="B73">
        <v>51.78</v>
      </c>
      <c r="C73">
        <v>52.83</v>
      </c>
      <c r="D73">
        <v>50.27</v>
      </c>
      <c r="E73">
        <v>52.02</v>
      </c>
      <c r="F73">
        <v>16467.509999999998</v>
      </c>
      <c r="G73">
        <v>52.02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0.36718750000000255</v>
      </c>
      <c r="Q73">
        <f t="shared" ref="Q73" si="341">F73*P73</f>
        <v>6046.6638281250416</v>
      </c>
      <c r="R73">
        <f t="shared" ref="R73" si="342">R74+Q73</f>
        <v>-3440193.5928870728</v>
      </c>
      <c r="S73">
        <f t="shared" ref="S73" si="343">R73/100000</f>
        <v>-34.401935928870728</v>
      </c>
      <c r="T73">
        <f t="shared" ref="T73" si="344">S73/1000</f>
        <v>-3.4401935928870725E-2</v>
      </c>
    </row>
    <row r="74" spans="1:20" x14ac:dyDescent="0.25">
      <c r="A74" s="5">
        <v>44519</v>
      </c>
      <c r="B74">
        <v>47.57</v>
      </c>
      <c r="C74">
        <v>52.98</v>
      </c>
      <c r="D74">
        <v>46.97</v>
      </c>
      <c r="E74">
        <v>51.69</v>
      </c>
      <c r="F74">
        <v>31026.83</v>
      </c>
      <c r="G74">
        <v>51.69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0.57071547420965074</v>
      </c>
      <c r="Q74">
        <f t="shared" ref="Q74" si="346">F74*P74</f>
        <v>17707.491996672219</v>
      </c>
      <c r="R74">
        <f t="shared" ref="R74" si="347">R75+Q74</f>
        <v>-3446240.256715198</v>
      </c>
      <c r="S74">
        <f t="shared" ref="S74" si="348">R74/100000</f>
        <v>-34.462402567151983</v>
      </c>
      <c r="T74">
        <f t="shared" ref="T74" si="349">S74/1000</f>
        <v>-3.4462402567151981E-2</v>
      </c>
    </row>
    <row r="75" spans="1:20" x14ac:dyDescent="0.25">
      <c r="A75" s="5">
        <v>44518</v>
      </c>
      <c r="B75">
        <v>52.05</v>
      </c>
      <c r="C75">
        <v>52.79</v>
      </c>
      <c r="D75">
        <v>46.2</v>
      </c>
      <c r="E75">
        <v>47.43</v>
      </c>
      <c r="F75">
        <v>22610.880000000001</v>
      </c>
      <c r="G75">
        <v>47.43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-0.62670713201821016</v>
      </c>
      <c r="Q75">
        <f t="shared" ref="Q75" si="351">F75*P75</f>
        <v>-14170.399757207908</v>
      </c>
      <c r="R75">
        <f t="shared" ref="R75" si="352">R76+Q75</f>
        <v>-3463947.7487118701</v>
      </c>
      <c r="S75">
        <f t="shared" ref="S75" si="353">R75/100000</f>
        <v>-34.639477487118704</v>
      </c>
      <c r="T75">
        <f t="shared" ref="T75" si="354">S75/1000</f>
        <v>-3.4639477487118701E-2</v>
      </c>
    </row>
    <row r="76" spans="1:20" x14ac:dyDescent="0.25">
      <c r="A76" s="5">
        <v>44517</v>
      </c>
      <c r="B76">
        <v>50.02</v>
      </c>
      <c r="C76">
        <v>52.11</v>
      </c>
      <c r="D76">
        <v>48.22</v>
      </c>
      <c r="E76">
        <v>52.11</v>
      </c>
      <c r="F76">
        <v>15860.71</v>
      </c>
      <c r="G76">
        <v>52.11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1</v>
      </c>
      <c r="Q76">
        <f t="shared" ref="Q76" si="356">F76*P76</f>
        <v>15860.71</v>
      </c>
      <c r="R76">
        <f t="shared" ref="R76" si="357">R77+Q76</f>
        <v>-3449777.3489546622</v>
      </c>
      <c r="S76">
        <f t="shared" ref="S76" si="358">R76/100000</f>
        <v>-34.497773489546624</v>
      </c>
      <c r="T76">
        <f t="shared" ref="T76" si="359">S76/1000</f>
        <v>-3.4497773489546621E-2</v>
      </c>
    </row>
    <row r="77" spans="1:20" x14ac:dyDescent="0.25">
      <c r="A77" s="5">
        <v>44516</v>
      </c>
      <c r="B77">
        <v>54.4</v>
      </c>
      <c r="C77">
        <v>54.4</v>
      </c>
      <c r="D77">
        <v>47</v>
      </c>
      <c r="E77">
        <v>50.05</v>
      </c>
      <c r="F77">
        <v>37300.730000000003</v>
      </c>
      <c r="G77">
        <v>50.05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-0.1756756756756763</v>
      </c>
      <c r="Q77">
        <f t="shared" ref="Q77" si="361">F77*P77</f>
        <v>-6552.8309459459697</v>
      </c>
      <c r="R77">
        <f t="shared" ref="R77" si="362">R78+Q77</f>
        <v>-3465638.0589546622</v>
      </c>
      <c r="S77">
        <f t="shared" ref="S77" si="363">R77/100000</f>
        <v>-34.656380589546622</v>
      </c>
      <c r="T77">
        <f t="shared" ref="T77" si="364">S77/1000</f>
        <v>-3.465638058954662E-2</v>
      </c>
    </row>
    <row r="78" spans="1:20" x14ac:dyDescent="0.25">
      <c r="A78" s="5">
        <v>44515</v>
      </c>
      <c r="B78">
        <v>54.88</v>
      </c>
      <c r="C78">
        <v>57</v>
      </c>
      <c r="D78">
        <v>54.35</v>
      </c>
      <c r="E78">
        <v>54.4</v>
      </c>
      <c r="F78">
        <v>24673.19</v>
      </c>
      <c r="G78">
        <v>54.4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-0.96226415094339834</v>
      </c>
      <c r="Q78">
        <f t="shared" ref="Q78" si="366">F78*P78</f>
        <v>-23742.126226415145</v>
      </c>
      <c r="R78">
        <f t="shared" ref="R78" si="367">R79+Q78</f>
        <v>-3459085.2280087164</v>
      </c>
      <c r="S78">
        <f t="shared" ref="S78" si="368">R78/100000</f>
        <v>-34.590852280087162</v>
      </c>
      <c r="T78">
        <f t="shared" ref="T78" si="369">S78/1000</f>
        <v>-3.459085228008716E-2</v>
      </c>
    </row>
    <row r="79" spans="1:20" x14ac:dyDescent="0.25">
      <c r="A79" s="5">
        <v>44514</v>
      </c>
      <c r="B79">
        <v>54.9</v>
      </c>
      <c r="C79">
        <v>57.36</v>
      </c>
      <c r="D79">
        <v>53.92</v>
      </c>
      <c r="E79">
        <v>54.81</v>
      </c>
      <c r="F79">
        <v>36907.49</v>
      </c>
      <c r="G79">
        <v>54.81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-0.48255813953488302</v>
      </c>
      <c r="Q79">
        <f t="shared" ref="Q79" si="371">F79*P79</f>
        <v>-17810.0097093023</v>
      </c>
      <c r="R79">
        <f t="shared" ref="R79" si="372">R80+Q79</f>
        <v>-3435343.1017823014</v>
      </c>
      <c r="S79">
        <f t="shared" ref="S79" si="373">R79/100000</f>
        <v>-34.353431017823013</v>
      </c>
      <c r="T79">
        <f t="shared" ref="T79" si="374">S79/1000</f>
        <v>-3.4353431017823011E-2</v>
      </c>
    </row>
    <row r="80" spans="1:20" x14ac:dyDescent="0.25">
      <c r="A80" s="5">
        <v>44513</v>
      </c>
      <c r="B80">
        <v>53.05</v>
      </c>
      <c r="C80">
        <v>56.81</v>
      </c>
      <c r="D80">
        <v>52.45</v>
      </c>
      <c r="E80">
        <v>54.97</v>
      </c>
      <c r="F80">
        <v>41125</v>
      </c>
      <c r="G80">
        <v>54.97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0.15596330275229189</v>
      </c>
      <c r="Q80">
        <f t="shared" ref="Q80" si="376">F80*P80</f>
        <v>6413.9908256880044</v>
      </c>
      <c r="R80">
        <f t="shared" ref="R80" si="377">R81+Q80</f>
        <v>-3417533.0920729991</v>
      </c>
      <c r="S80">
        <f t="shared" ref="S80" si="378">R80/100000</f>
        <v>-34.175330920729991</v>
      </c>
      <c r="T80">
        <f t="shared" ref="T80" si="379">S80/1000</f>
        <v>-3.4175330920729989E-2</v>
      </c>
    </row>
    <row r="81" spans="1:20" x14ac:dyDescent="0.25">
      <c r="A81" s="5">
        <v>44512</v>
      </c>
      <c r="B81">
        <v>54.27</v>
      </c>
      <c r="C81">
        <v>54.85</v>
      </c>
      <c r="D81">
        <v>51</v>
      </c>
      <c r="E81">
        <v>52.86</v>
      </c>
      <c r="F81">
        <v>32726.32</v>
      </c>
      <c r="G81">
        <v>52.86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-3.3766233766234416E-2</v>
      </c>
      <c r="Q81">
        <f t="shared" ref="Q81" si="381">F81*P81</f>
        <v>-1105.0445714285927</v>
      </c>
      <c r="R81">
        <f t="shared" ref="R81" si="382">R82+Q81</f>
        <v>-3423947.0828986871</v>
      </c>
      <c r="S81">
        <f t="shared" ref="S81" si="383">R81/100000</f>
        <v>-34.239470828986875</v>
      </c>
      <c r="T81">
        <f t="shared" ref="T81" si="384">S81/1000</f>
        <v>-3.4239470828986873E-2</v>
      </c>
    </row>
    <row r="82" spans="1:20" x14ac:dyDescent="0.25">
      <c r="A82" s="5">
        <v>44511</v>
      </c>
      <c r="B82">
        <v>52.5</v>
      </c>
      <c r="C82">
        <v>56.07</v>
      </c>
      <c r="D82">
        <v>51.64</v>
      </c>
      <c r="E82">
        <v>54.33</v>
      </c>
      <c r="F82">
        <v>43126.71</v>
      </c>
      <c r="G82">
        <v>54.33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0.21444695259593585</v>
      </c>
      <c r="Q82">
        <f t="shared" ref="Q82" si="386">F82*P82</f>
        <v>9248.391534988672</v>
      </c>
      <c r="R82">
        <f t="shared" ref="R82" si="387">R83+Q82</f>
        <v>-3422842.0383272585</v>
      </c>
      <c r="S82">
        <f t="shared" ref="S82" si="388">R82/100000</f>
        <v>-34.228420383272585</v>
      </c>
      <c r="T82">
        <f t="shared" ref="T82" si="389">S82/1000</f>
        <v>-3.4228420383272583E-2</v>
      </c>
    </row>
    <row r="83" spans="1:20" x14ac:dyDescent="0.25">
      <c r="A83" s="5">
        <v>44510</v>
      </c>
      <c r="B83">
        <v>57.56</v>
      </c>
      <c r="C83">
        <v>58.07</v>
      </c>
      <c r="D83">
        <v>50.84</v>
      </c>
      <c r="E83">
        <v>52.5</v>
      </c>
      <c r="F83">
        <v>59058.51</v>
      </c>
      <c r="G83">
        <v>52.5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-0.54080221300138387</v>
      </c>
      <c r="Q83">
        <f t="shared" ref="Q83" si="391">F83*P83</f>
        <v>-31938.972904564362</v>
      </c>
      <c r="R83">
        <f t="shared" ref="R83" si="392">R84+Q83</f>
        <v>-3432090.4298622473</v>
      </c>
      <c r="S83">
        <f t="shared" ref="S83" si="393">R83/100000</f>
        <v>-34.320904298622473</v>
      </c>
      <c r="T83">
        <f t="shared" ref="T83" si="394">S83/1000</f>
        <v>-3.4320904298622473E-2</v>
      </c>
    </row>
    <row r="84" spans="1:20" x14ac:dyDescent="0.25">
      <c r="A84" s="5">
        <v>44509</v>
      </c>
      <c r="B84">
        <v>58.54</v>
      </c>
      <c r="C84">
        <v>59.7</v>
      </c>
      <c r="D84">
        <v>57.16</v>
      </c>
      <c r="E84">
        <v>57.55</v>
      </c>
      <c r="F84">
        <v>37442.39</v>
      </c>
      <c r="G84">
        <v>57.55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-0.69291338582677198</v>
      </c>
      <c r="Q84">
        <f t="shared" ref="Q84" si="396">F84*P84</f>
        <v>-25944.33322834647</v>
      </c>
      <c r="R84">
        <f t="shared" ref="R84" si="397">R85+Q84</f>
        <v>-3400151.456957683</v>
      </c>
      <c r="S84">
        <f t="shared" ref="S84" si="398">R84/100000</f>
        <v>-34.001514569576827</v>
      </c>
      <c r="T84">
        <f t="shared" ref="T84" si="399">S84/1000</f>
        <v>-3.4001514569576827E-2</v>
      </c>
    </row>
    <row r="85" spans="1:20" x14ac:dyDescent="0.25">
      <c r="A85" s="5">
        <v>44508</v>
      </c>
      <c r="B85">
        <v>57.4</v>
      </c>
      <c r="C85">
        <v>59</v>
      </c>
      <c r="D85">
        <v>56.85</v>
      </c>
      <c r="E85">
        <v>58.54</v>
      </c>
      <c r="F85">
        <v>31241.71</v>
      </c>
      <c r="G85">
        <v>58.54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0.5720930232558129</v>
      </c>
      <c r="Q85">
        <f t="shared" ref="Q85" si="401">F85*P85</f>
        <v>17873.164325581361</v>
      </c>
      <c r="R85">
        <f t="shared" ref="R85" si="402">R86+Q85</f>
        <v>-3374207.1237293365</v>
      </c>
      <c r="S85">
        <f t="shared" ref="S85" si="403">R85/100000</f>
        <v>-33.742071237293366</v>
      </c>
      <c r="T85">
        <f t="shared" ref="T85" si="404">S85/1000</f>
        <v>-3.3742071237293364E-2</v>
      </c>
    </row>
    <row r="86" spans="1:20" x14ac:dyDescent="0.25">
      <c r="A86" s="5">
        <v>44507</v>
      </c>
      <c r="B86">
        <v>57.12</v>
      </c>
      <c r="C86">
        <v>58.1</v>
      </c>
      <c r="D86">
        <v>56.51</v>
      </c>
      <c r="E86">
        <v>57.27</v>
      </c>
      <c r="F86">
        <v>30732.53</v>
      </c>
      <c r="G86">
        <v>57.27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-4.4025157232700021E-2</v>
      </c>
      <c r="Q86">
        <f t="shared" ref="Q86" si="406">F86*P86</f>
        <v>-1353.0044654086703</v>
      </c>
      <c r="R86">
        <f t="shared" ref="R86" si="407">R87+Q86</f>
        <v>-3392080.2880549179</v>
      </c>
      <c r="S86">
        <f t="shared" ref="S86" si="408">R86/100000</f>
        <v>-33.920802880549182</v>
      </c>
      <c r="T86">
        <f t="shared" ref="T86" si="409">S86/1000</f>
        <v>-3.3920802880549182E-2</v>
      </c>
    </row>
    <row r="87" spans="1:20" x14ac:dyDescent="0.25">
      <c r="A87" s="5">
        <v>44506</v>
      </c>
      <c r="B87">
        <v>56.69</v>
      </c>
      <c r="C87">
        <v>62</v>
      </c>
      <c r="D87">
        <v>55.19</v>
      </c>
      <c r="E87">
        <v>57.11</v>
      </c>
      <c r="F87">
        <v>75712.2</v>
      </c>
      <c r="G87">
        <v>57.11</v>
      </c>
      <c r="L87" t="s">
        <v>8</v>
      </c>
      <c r="M87" t="s">
        <v>7</v>
      </c>
      <c r="N87" t="s">
        <v>7</v>
      </c>
      <c r="P87">
        <f t="shared" ref="P87" si="410">IF(C87=D87,0,((E87-D87)-(C87-E87))/(C87-D87))</f>
        <v>-0.43612334801762082</v>
      </c>
      <c r="Q87">
        <f t="shared" ref="Q87" si="411">F87*P87</f>
        <v>-33019.858149779706</v>
      </c>
      <c r="R87">
        <f t="shared" ref="R87" si="412">R88+Q87</f>
        <v>-3390727.2835895093</v>
      </c>
      <c r="S87">
        <f t="shared" ref="S87" si="413">R87/100000</f>
        <v>-33.907272835895093</v>
      </c>
      <c r="T87">
        <f t="shared" ref="T87" si="414">S87/1000</f>
        <v>-3.3907272835895091E-2</v>
      </c>
    </row>
    <row r="88" spans="1:20" x14ac:dyDescent="0.25">
      <c r="A88" s="5">
        <v>44505</v>
      </c>
      <c r="B88">
        <v>57.57</v>
      </c>
      <c r="C88">
        <v>58.99</v>
      </c>
      <c r="D88">
        <v>56.1</v>
      </c>
      <c r="E88">
        <v>56.71</v>
      </c>
      <c r="F88">
        <v>34632.28</v>
      </c>
      <c r="G88">
        <v>56.71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-0.57785467128027734</v>
      </c>
      <c r="Q88">
        <f t="shared" ref="Q88" si="416">F88*P88</f>
        <v>-20012.424775086522</v>
      </c>
      <c r="R88">
        <f t="shared" ref="R88" si="417">R89+Q88</f>
        <v>-3357707.4254397298</v>
      </c>
      <c r="S88">
        <f t="shared" ref="S88" si="418">R88/100000</f>
        <v>-33.577074254397296</v>
      </c>
      <c r="T88">
        <f t="shared" ref="T88" si="419">S88/1000</f>
        <v>-3.3577074254397293E-2</v>
      </c>
    </row>
    <row r="89" spans="1:20" x14ac:dyDescent="0.25">
      <c r="A89" s="5">
        <v>44504</v>
      </c>
      <c r="B89">
        <v>58.86</v>
      </c>
      <c r="C89">
        <v>59</v>
      </c>
      <c r="D89">
        <v>55.26</v>
      </c>
      <c r="E89">
        <v>57.57</v>
      </c>
      <c r="F89">
        <v>50959.34</v>
      </c>
      <c r="G89">
        <v>57.57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0.23529411764705938</v>
      </c>
      <c r="Q89">
        <f t="shared" ref="Q89" si="421">F89*P89</f>
        <v>11990.432941176497</v>
      </c>
      <c r="R89">
        <f t="shared" ref="R89" si="422">R90+Q89</f>
        <v>-3337695.0006646435</v>
      </c>
      <c r="S89">
        <f t="shared" ref="S89" si="423">R89/100000</f>
        <v>-33.376950006646432</v>
      </c>
      <c r="T89">
        <f t="shared" ref="T89" si="424">S89/1000</f>
        <v>-3.3376950006646429E-2</v>
      </c>
    </row>
    <row r="90" spans="1:20" x14ac:dyDescent="0.25">
      <c r="A90" s="5">
        <v>44503</v>
      </c>
      <c r="B90">
        <v>61.02</v>
      </c>
      <c r="C90">
        <v>61.12</v>
      </c>
      <c r="D90">
        <v>57.81</v>
      </c>
      <c r="E90">
        <v>58.86</v>
      </c>
      <c r="F90">
        <v>45916.15</v>
      </c>
      <c r="G90">
        <v>58.86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-0.36555891238670774</v>
      </c>
      <c r="Q90">
        <f t="shared" ref="Q90" si="426">F90*P90</f>
        <v>-16785.057854984931</v>
      </c>
      <c r="R90">
        <f t="shared" ref="R90" si="427">R91+Q90</f>
        <v>-3349685.4336058199</v>
      </c>
      <c r="S90">
        <f t="shared" ref="S90" si="428">R90/100000</f>
        <v>-33.496854336058199</v>
      </c>
      <c r="T90">
        <f t="shared" ref="T90" si="429">S90/1000</f>
        <v>-3.3496854336058202E-2</v>
      </c>
    </row>
    <row r="91" spans="1:20" x14ac:dyDescent="0.25">
      <c r="A91" s="5">
        <v>44502</v>
      </c>
      <c r="B91">
        <v>60.26</v>
      </c>
      <c r="C91">
        <v>62.24</v>
      </c>
      <c r="D91">
        <v>59.25</v>
      </c>
      <c r="E91">
        <v>60.95</v>
      </c>
      <c r="F91">
        <v>33808.26</v>
      </c>
      <c r="G91">
        <v>60.95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0.13712374581939915</v>
      </c>
      <c r="Q91">
        <f t="shared" ref="Q91" si="431">F91*P91</f>
        <v>4635.9152508361594</v>
      </c>
      <c r="R91">
        <f t="shared" ref="R91" si="432">R92+Q91</f>
        <v>-3332900.3757508351</v>
      </c>
      <c r="S91">
        <f t="shared" ref="S91" si="433">R91/100000</f>
        <v>-33.329003757508353</v>
      </c>
      <c r="T91">
        <f t="shared" ref="T91" si="434">S91/1000</f>
        <v>-3.3329003757508351E-2</v>
      </c>
    </row>
    <row r="92" spans="1:20" x14ac:dyDescent="0.25">
      <c r="A92" s="5">
        <v>44501</v>
      </c>
      <c r="B92">
        <v>60.31</v>
      </c>
      <c r="C92">
        <v>63.96</v>
      </c>
      <c r="D92">
        <v>58.26</v>
      </c>
      <c r="E92">
        <v>60.34</v>
      </c>
      <c r="F92">
        <v>37692.57</v>
      </c>
      <c r="G92">
        <v>60.34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-0.27017543859648968</v>
      </c>
      <c r="Q92">
        <f t="shared" ref="Q92" si="436">F92*P92</f>
        <v>-10183.606631578888</v>
      </c>
      <c r="R92">
        <f t="shared" ref="R92" si="437">R93+Q92</f>
        <v>-3337536.291001671</v>
      </c>
      <c r="S92">
        <f t="shared" ref="S92" si="438">R92/100000</f>
        <v>-33.375362910016712</v>
      </c>
      <c r="T92">
        <f t="shared" ref="T92" si="439">S92/1000</f>
        <v>-3.3375362910016713E-2</v>
      </c>
    </row>
    <row r="93" spans="1:20" x14ac:dyDescent="0.25">
      <c r="A93" s="5">
        <v>44500</v>
      </c>
      <c r="B93">
        <v>61.36</v>
      </c>
      <c r="C93">
        <v>62.4</v>
      </c>
      <c r="D93">
        <v>58.65</v>
      </c>
      <c r="E93">
        <v>60.31</v>
      </c>
      <c r="F93">
        <v>28905.49</v>
      </c>
      <c r="G93">
        <v>60.31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-0.1146666666666647</v>
      </c>
      <c r="Q93">
        <f t="shared" ref="Q93" si="441">F93*P93</f>
        <v>-3314.4961866666099</v>
      </c>
      <c r="R93">
        <f t="shared" ref="R93" si="442">R94+Q93</f>
        <v>-3327352.6843700921</v>
      </c>
      <c r="S93">
        <f t="shared" ref="S93" si="443">R93/100000</f>
        <v>-33.273526843700921</v>
      </c>
      <c r="T93">
        <f t="shared" ref="T93" si="444">S93/1000</f>
        <v>-3.3273526843700919E-2</v>
      </c>
    </row>
    <row r="94" spans="1:20" x14ac:dyDescent="0.25">
      <c r="A94" s="5">
        <v>44499</v>
      </c>
      <c r="B94">
        <v>62.24</v>
      </c>
      <c r="C94">
        <v>65.19</v>
      </c>
      <c r="D94">
        <v>61</v>
      </c>
      <c r="E94">
        <v>61.22</v>
      </c>
      <c r="F94">
        <v>37053.69</v>
      </c>
      <c r="G94">
        <v>61.22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-0.89498806682577614</v>
      </c>
      <c r="Q94">
        <f t="shared" ref="Q94" si="446">F94*P94</f>
        <v>-33162.610381861596</v>
      </c>
      <c r="R94">
        <f t="shared" ref="R94" si="447">R95+Q94</f>
        <v>-3324038.1881834255</v>
      </c>
      <c r="S94">
        <f t="shared" ref="S94" si="448">R94/100000</f>
        <v>-33.240381881834253</v>
      </c>
      <c r="T94">
        <f t="shared" ref="T94" si="449">S94/1000</f>
        <v>-3.3240381881834251E-2</v>
      </c>
    </row>
    <row r="95" spans="1:20" x14ac:dyDescent="0.25">
      <c r="A95" s="5">
        <v>44498</v>
      </c>
      <c r="B95">
        <v>62.61</v>
      </c>
      <c r="C95">
        <v>64.63</v>
      </c>
      <c r="D95">
        <v>62</v>
      </c>
      <c r="E95">
        <v>62.26</v>
      </c>
      <c r="F95">
        <v>25514.52</v>
      </c>
      <c r="G95">
        <v>62.26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-0.80228136882129397</v>
      </c>
      <c r="Q95">
        <f t="shared" ref="Q95" si="451">F95*P95</f>
        <v>-20469.82403041828</v>
      </c>
      <c r="R95">
        <f t="shared" ref="R95" si="452">R96+Q95</f>
        <v>-3290875.5778015638</v>
      </c>
      <c r="S95">
        <f t="shared" ref="S95" si="453">R95/100000</f>
        <v>-32.908755778015639</v>
      </c>
      <c r="T95">
        <f t="shared" ref="T95" si="454">S95/1000</f>
        <v>-3.2908755778015636E-2</v>
      </c>
    </row>
    <row r="96" spans="1:20" x14ac:dyDescent="0.25">
      <c r="A96" s="5">
        <v>44497</v>
      </c>
      <c r="B96">
        <v>60</v>
      </c>
      <c r="C96">
        <v>64.52</v>
      </c>
      <c r="D96">
        <v>57.61</v>
      </c>
      <c r="E96">
        <v>62.7</v>
      </c>
      <c r="F96">
        <v>45356.6</v>
      </c>
      <c r="G96">
        <v>62.7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0.47322720694645615</v>
      </c>
      <c r="Q96">
        <f t="shared" ref="Q96" si="456">F96*P96</f>
        <v>21463.977134587632</v>
      </c>
      <c r="R96">
        <f t="shared" ref="R96" si="457">R97+Q96</f>
        <v>-3270405.7537711454</v>
      </c>
      <c r="S96">
        <f t="shared" ref="S96" si="458">R96/100000</f>
        <v>-32.704057537711456</v>
      </c>
      <c r="T96">
        <f t="shared" ref="T96" si="459">S96/1000</f>
        <v>-3.2704057537711453E-2</v>
      </c>
    </row>
    <row r="97" spans="1:20" x14ac:dyDescent="0.25">
      <c r="A97" s="5">
        <v>44496</v>
      </c>
      <c r="B97">
        <v>65.569999999999993</v>
      </c>
      <c r="C97">
        <v>66.099999999999994</v>
      </c>
      <c r="D97">
        <v>60</v>
      </c>
      <c r="E97">
        <v>60.04</v>
      </c>
      <c r="F97">
        <v>48945.69</v>
      </c>
      <c r="G97">
        <v>60.04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-0.98688524590163962</v>
      </c>
      <c r="Q97">
        <f t="shared" ref="Q97" si="461">F97*P97</f>
        <v>-48303.779311475424</v>
      </c>
      <c r="R97">
        <f t="shared" ref="R97" si="462">R98+Q97</f>
        <v>-3291869.7309057331</v>
      </c>
      <c r="S97">
        <f t="shared" ref="S97" si="463">R97/100000</f>
        <v>-32.918697309057329</v>
      </c>
      <c r="T97">
        <f t="shared" ref="T97" si="464">S97/1000</f>
        <v>-3.2918697309057332E-2</v>
      </c>
    </row>
    <row r="98" spans="1:20" x14ac:dyDescent="0.25">
      <c r="A98" s="5">
        <v>44495</v>
      </c>
      <c r="B98">
        <v>70.900000000000006</v>
      </c>
      <c r="C98">
        <v>71.13</v>
      </c>
      <c r="D98">
        <v>65</v>
      </c>
      <c r="E98">
        <v>65.64</v>
      </c>
      <c r="F98">
        <v>66941.149999999994</v>
      </c>
      <c r="G98">
        <v>65.64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-0.79119086460032595</v>
      </c>
      <c r="Q98">
        <f t="shared" ref="Q98" si="466">F98*P98</f>
        <v>-52963.226345840107</v>
      </c>
      <c r="R98">
        <f t="shared" ref="R98" si="467">R99+Q98</f>
        <v>-3243565.9515942577</v>
      </c>
      <c r="S98">
        <f t="shared" ref="S98" si="468">R98/100000</f>
        <v>-32.435659515942575</v>
      </c>
      <c r="T98">
        <f t="shared" ref="T98" si="469">S98/1000</f>
        <v>-3.2435659515942572E-2</v>
      </c>
    </row>
    <row r="99" spans="1:20" x14ac:dyDescent="0.25">
      <c r="A99" s="5">
        <v>44494</v>
      </c>
      <c r="B99">
        <v>68.38</v>
      </c>
      <c r="C99">
        <v>73.89</v>
      </c>
      <c r="D99">
        <v>67.989999999999995</v>
      </c>
      <c r="E99">
        <v>70.88</v>
      </c>
      <c r="F99">
        <v>42491.75</v>
      </c>
      <c r="G99">
        <v>70.88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-2.0338983050848209E-2</v>
      </c>
      <c r="Q99">
        <f t="shared" ref="Q99" si="471">F99*P99</f>
        <v>-864.23898305087937</v>
      </c>
      <c r="R99">
        <f t="shared" ref="R99" si="472">R100+Q99</f>
        <v>-3190602.7252484178</v>
      </c>
      <c r="S99">
        <f t="shared" ref="S99" si="473">R99/100000</f>
        <v>-31.906027252484179</v>
      </c>
      <c r="T99">
        <f t="shared" ref="T99" si="474">S99/1000</f>
        <v>-3.1906027252484176E-2</v>
      </c>
    </row>
    <row r="100" spans="1:20" x14ac:dyDescent="0.25">
      <c r="A100" s="5">
        <v>44493</v>
      </c>
      <c r="B100">
        <v>67.45</v>
      </c>
      <c r="C100">
        <v>70.17</v>
      </c>
      <c r="D100">
        <v>64.650000000000006</v>
      </c>
      <c r="E100">
        <v>68.38</v>
      </c>
      <c r="F100">
        <v>43074.99</v>
      </c>
      <c r="G100">
        <v>68.38</v>
      </c>
      <c r="L100" t="s">
        <v>8</v>
      </c>
      <c r="M100" t="s">
        <v>7</v>
      </c>
      <c r="N100" t="s">
        <v>8</v>
      </c>
      <c r="P100">
        <f t="shared" ref="P100" si="475">IF(C100=D100,0,((E100-D100)-(C100-E100))/(C100-D100))</f>
        <v>0.35144927536231613</v>
      </c>
      <c r="Q100">
        <f t="shared" ref="Q100" si="476">F100*P100</f>
        <v>15138.674021739012</v>
      </c>
      <c r="R100">
        <f t="shared" ref="R100" si="477">R101+Q100</f>
        <v>-3189738.4862653669</v>
      </c>
      <c r="S100">
        <f t="shared" ref="S100" si="478">R100/100000</f>
        <v>-31.89738486265367</v>
      </c>
      <c r="T100">
        <f t="shared" ref="T100" si="479">S100/1000</f>
        <v>-3.1897384862653672E-2</v>
      </c>
    </row>
    <row r="101" spans="1:20" x14ac:dyDescent="0.25">
      <c r="A101" s="5">
        <v>44492</v>
      </c>
      <c r="B101">
        <v>66.430000000000007</v>
      </c>
      <c r="C101">
        <v>68.64</v>
      </c>
      <c r="D101">
        <v>65.95</v>
      </c>
      <c r="E101">
        <v>67.38</v>
      </c>
      <c r="F101">
        <v>17978.490000000002</v>
      </c>
      <c r="G101">
        <v>67.38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6.3197026022300234E-2</v>
      </c>
      <c r="Q101">
        <f t="shared" ref="Q101" si="481">F101*P101</f>
        <v>1136.1871003716647</v>
      </c>
      <c r="R101">
        <f t="shared" ref="R101" si="482">R102+Q101</f>
        <v>-3204877.1602871059</v>
      </c>
      <c r="S101">
        <f t="shared" ref="S101" si="483">R101/100000</f>
        <v>-32.048771602871057</v>
      </c>
      <c r="T101">
        <f t="shared" ref="T101" si="484">S101/1000</f>
        <v>-3.2048771602871055E-2</v>
      </c>
    </row>
    <row r="102" spans="1:20" x14ac:dyDescent="0.25">
      <c r="A102" s="5">
        <v>44491</v>
      </c>
      <c r="B102">
        <v>67.010000000000005</v>
      </c>
      <c r="C102">
        <v>68.489999999999995</v>
      </c>
      <c r="D102">
        <v>65.099999999999994</v>
      </c>
      <c r="E102">
        <v>66.27</v>
      </c>
      <c r="F102">
        <v>25741.07</v>
      </c>
      <c r="G102">
        <v>66.27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-0.30973451327433538</v>
      </c>
      <c r="Q102">
        <f t="shared" ref="Q102" si="486">F102*P102</f>
        <v>-7972.8977876105964</v>
      </c>
      <c r="R102">
        <f t="shared" ref="R102" si="487">R103+Q102</f>
        <v>-3206013.3473874778</v>
      </c>
      <c r="S102">
        <f t="shared" ref="S102" si="488">R102/100000</f>
        <v>-32.060133473874778</v>
      </c>
      <c r="T102">
        <f t="shared" ref="T102" si="489">S102/1000</f>
        <v>-3.2060133473874777E-2</v>
      </c>
    </row>
    <row r="103" spans="1:20" x14ac:dyDescent="0.25">
      <c r="A103" s="5">
        <v>44490</v>
      </c>
      <c r="B103">
        <v>71.75</v>
      </c>
      <c r="C103">
        <v>72.599999999999994</v>
      </c>
      <c r="D103">
        <v>66.56</v>
      </c>
      <c r="E103">
        <v>67</v>
      </c>
      <c r="F103">
        <v>35140.75</v>
      </c>
      <c r="G103">
        <v>67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-0.85430463576158999</v>
      </c>
      <c r="Q103">
        <f t="shared" ref="Q103" si="491">F103*P103</f>
        <v>-30020.905629139095</v>
      </c>
      <c r="R103">
        <f t="shared" ref="R103" si="492">R104+Q103</f>
        <v>-3198040.4495998672</v>
      </c>
      <c r="S103">
        <f t="shared" ref="S103" si="493">R103/100000</f>
        <v>-31.980404495998673</v>
      </c>
      <c r="T103">
        <f t="shared" ref="T103" si="494">S103/1000</f>
        <v>-3.1980404495998677E-2</v>
      </c>
    </row>
    <row r="104" spans="1:20" x14ac:dyDescent="0.25">
      <c r="A104" s="5">
        <v>44489</v>
      </c>
      <c r="B104">
        <v>69.84</v>
      </c>
      <c r="C104">
        <v>73.430000000000007</v>
      </c>
      <c r="D104">
        <v>69</v>
      </c>
      <c r="E104">
        <v>71.75</v>
      </c>
      <c r="F104">
        <v>31174.720000000001</v>
      </c>
      <c r="G104">
        <v>71.75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0.24153498871331638</v>
      </c>
      <c r="Q104">
        <f t="shared" ref="Q104" si="496">F104*P104</f>
        <v>7529.7856433407987</v>
      </c>
      <c r="R104">
        <f t="shared" ref="R104" si="497">R105+Q104</f>
        <v>-3168019.5439707283</v>
      </c>
      <c r="S104">
        <f t="shared" ref="S104" si="498">R104/100000</f>
        <v>-31.680195439707283</v>
      </c>
      <c r="T104">
        <f t="shared" ref="T104" si="499">S104/1000</f>
        <v>-3.1680195439707286E-2</v>
      </c>
    </row>
    <row r="105" spans="1:20" x14ac:dyDescent="0.25">
      <c r="A105" s="5">
        <v>44488</v>
      </c>
      <c r="B105">
        <v>73.8</v>
      </c>
      <c r="C105">
        <v>73.88</v>
      </c>
      <c r="D105">
        <v>68.95</v>
      </c>
      <c r="E105">
        <v>69.72</v>
      </c>
      <c r="F105">
        <v>46577.2</v>
      </c>
      <c r="G105">
        <v>69.72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-0.68762677484787138</v>
      </c>
      <c r="Q105">
        <f t="shared" ref="Q105" si="501">F105*P105</f>
        <v>-32027.729817444273</v>
      </c>
      <c r="R105">
        <f t="shared" ref="R105" si="502">R106+Q105</f>
        <v>-3175549.3296140693</v>
      </c>
      <c r="S105">
        <f t="shared" ref="S105" si="503">R105/100000</f>
        <v>-31.755493296140692</v>
      </c>
      <c r="T105">
        <f t="shared" ref="T105" si="504">S105/1000</f>
        <v>-3.1755493296140691E-2</v>
      </c>
    </row>
    <row r="106" spans="1:20" x14ac:dyDescent="0.25">
      <c r="A106" s="5">
        <v>44487</v>
      </c>
      <c r="B106">
        <v>73.7</v>
      </c>
      <c r="C106">
        <v>77.83</v>
      </c>
      <c r="D106">
        <v>69.010000000000005</v>
      </c>
      <c r="E106">
        <v>73.8</v>
      </c>
      <c r="F106">
        <v>58870.559999999998</v>
      </c>
      <c r="G106">
        <v>73.8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8.6167800453513771E-2</v>
      </c>
      <c r="Q106">
        <f t="shared" ref="Q106" si="506">F106*P106</f>
        <v>5072.7466666666096</v>
      </c>
      <c r="R106">
        <f t="shared" ref="R106" si="507">R107+Q106</f>
        <v>-3143521.5997966249</v>
      </c>
      <c r="S106">
        <f t="shared" ref="S106" si="508">R106/100000</f>
        <v>-31.43521599796625</v>
      </c>
      <c r="T106">
        <f t="shared" ref="T106" si="509">S106/1000</f>
        <v>-3.1435215997966247E-2</v>
      </c>
    </row>
    <row r="107" spans="1:20" x14ac:dyDescent="0.25">
      <c r="A107" s="5">
        <v>44486</v>
      </c>
      <c r="B107">
        <v>70.27</v>
      </c>
      <c r="C107">
        <v>83.29</v>
      </c>
      <c r="D107">
        <v>69.459999999999994</v>
      </c>
      <c r="E107">
        <v>73.66</v>
      </c>
      <c r="F107">
        <v>191168.96</v>
      </c>
      <c r="G107">
        <v>73.66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-0.39262472885032551</v>
      </c>
      <c r="Q107">
        <f t="shared" ref="Q107" si="511">F107*P107</f>
        <v>-75057.661084598716</v>
      </c>
      <c r="R107">
        <f t="shared" ref="R107" si="512">R108+Q107</f>
        <v>-3148594.3464632914</v>
      </c>
      <c r="S107">
        <f t="shared" ref="S107" si="513">R107/100000</f>
        <v>-31.485943464632914</v>
      </c>
      <c r="T107">
        <f t="shared" ref="T107" si="514">S107/1000</f>
        <v>-3.1485943464632911E-2</v>
      </c>
    </row>
    <row r="108" spans="1:20" x14ac:dyDescent="0.25">
      <c r="A108" s="5">
        <v>44485</v>
      </c>
      <c r="B108">
        <v>69.989999999999995</v>
      </c>
      <c r="C108">
        <v>72.290000000000006</v>
      </c>
      <c r="D108">
        <v>68.650000000000006</v>
      </c>
      <c r="E108">
        <v>70.290000000000006</v>
      </c>
      <c r="F108">
        <v>31836.720000000001</v>
      </c>
      <c r="G108">
        <v>70.290000000000006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-9.890109890109873E-2</v>
      </c>
      <c r="Q108">
        <f t="shared" ref="Q108" si="516">F108*P108</f>
        <v>-3148.6865934065881</v>
      </c>
      <c r="R108">
        <f t="shared" ref="R108" si="517">R109+Q108</f>
        <v>-3073536.6853786926</v>
      </c>
      <c r="S108">
        <f t="shared" ref="S108" si="518">R108/100000</f>
        <v>-30.735366853786925</v>
      </c>
      <c r="T108">
        <f t="shared" ref="T108" si="519">S108/1000</f>
        <v>-3.0735366853786923E-2</v>
      </c>
    </row>
    <row r="109" spans="1:20" x14ac:dyDescent="0.25">
      <c r="A109" s="5">
        <v>44484</v>
      </c>
      <c r="B109">
        <v>65.989999999999995</v>
      </c>
      <c r="C109">
        <v>84.45</v>
      </c>
      <c r="D109">
        <v>65</v>
      </c>
      <c r="E109">
        <v>69.97</v>
      </c>
      <c r="F109">
        <v>171238.93</v>
      </c>
      <c r="G109">
        <v>69.97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-0.48894601542416471</v>
      </c>
      <c r="Q109">
        <f t="shared" ref="Q109" si="521">F109*P109</f>
        <v>-83726.592508997463</v>
      </c>
      <c r="R109">
        <f t="shared" ref="R109" si="522">R110+Q109</f>
        <v>-3070387.9987852862</v>
      </c>
      <c r="S109">
        <f t="shared" ref="S109" si="523">R109/100000</f>
        <v>-30.703879987852861</v>
      </c>
      <c r="T109">
        <f t="shared" ref="T109" si="524">S109/1000</f>
        <v>-3.0703879987852862E-2</v>
      </c>
    </row>
    <row r="110" spans="1:20" x14ac:dyDescent="0.25">
      <c r="A110" s="5">
        <v>44483</v>
      </c>
      <c r="B110">
        <v>67.09</v>
      </c>
      <c r="C110">
        <v>72.400000000000006</v>
      </c>
      <c r="D110">
        <v>65.58</v>
      </c>
      <c r="E110">
        <v>65.900000000000006</v>
      </c>
      <c r="F110">
        <v>49379.59</v>
      </c>
      <c r="G110">
        <v>65.900000000000006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-0.90615835777125897</v>
      </c>
      <c r="Q110">
        <f t="shared" ref="Q110" si="526">F110*P110</f>
        <v>-44745.728181818078</v>
      </c>
      <c r="R110">
        <f t="shared" ref="R110" si="527">R111+Q110</f>
        <v>-2986661.4062762889</v>
      </c>
      <c r="S110">
        <f t="shared" ref="S110" si="528">R110/100000</f>
        <v>-29.866614062762888</v>
      </c>
      <c r="T110">
        <f t="shared" ref="T110" si="529">S110/1000</f>
        <v>-2.9866614062762888E-2</v>
      </c>
    </row>
    <row r="111" spans="1:20" x14ac:dyDescent="0.25">
      <c r="A111" s="5">
        <v>44482</v>
      </c>
      <c r="B111">
        <v>62.15</v>
      </c>
      <c r="C111">
        <v>70.8</v>
      </c>
      <c r="D111">
        <v>58.82</v>
      </c>
      <c r="E111">
        <v>67</v>
      </c>
      <c r="F111">
        <v>71665.100000000006</v>
      </c>
      <c r="G111">
        <v>67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0.36560934891485841</v>
      </c>
      <c r="Q111">
        <f t="shared" ref="Q111" si="531">F111*P111</f>
        <v>26201.430550918223</v>
      </c>
      <c r="R111">
        <f t="shared" ref="R111" si="532">R112+Q111</f>
        <v>-2941915.6780944709</v>
      </c>
      <c r="S111">
        <f t="shared" ref="S111" si="533">R111/100000</f>
        <v>-29.419156780944707</v>
      </c>
      <c r="T111">
        <f t="shared" ref="T111" si="534">S111/1000</f>
        <v>-2.9419156780944707E-2</v>
      </c>
    </row>
    <row r="112" spans="1:20" x14ac:dyDescent="0.25">
      <c r="A112" s="5">
        <v>44481</v>
      </c>
      <c r="B112">
        <v>64.239999999999995</v>
      </c>
      <c r="C112">
        <v>64.239999999999995</v>
      </c>
      <c r="D112">
        <v>60.3</v>
      </c>
      <c r="E112">
        <v>62.12</v>
      </c>
      <c r="F112">
        <v>28714.82</v>
      </c>
      <c r="G112">
        <v>62.12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-7.6142131979694758E-2</v>
      </c>
      <c r="Q112">
        <f t="shared" ref="Q112" si="536">F112*P112</f>
        <v>-2186.4076142131785</v>
      </c>
      <c r="R112">
        <f t="shared" ref="R112" si="537">R113+Q112</f>
        <v>-2968117.1086453893</v>
      </c>
      <c r="S112">
        <f t="shared" ref="S112" si="538">R112/100000</f>
        <v>-29.681171086453894</v>
      </c>
      <c r="T112">
        <f t="shared" ref="T112" si="539">S112/1000</f>
        <v>-2.9681171086453895E-2</v>
      </c>
    </row>
    <row r="113" spans="1:20" x14ac:dyDescent="0.25">
      <c r="A113" s="5">
        <v>44480</v>
      </c>
      <c r="B113">
        <v>64.7</v>
      </c>
      <c r="C113">
        <v>66.69</v>
      </c>
      <c r="D113">
        <v>63.35</v>
      </c>
      <c r="E113">
        <v>64.39</v>
      </c>
      <c r="F113">
        <v>16572.490000000002</v>
      </c>
      <c r="G113">
        <v>64.39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-0.37724550898203574</v>
      </c>
      <c r="Q113">
        <f t="shared" ref="Q113" si="541">F113*P113</f>
        <v>-6251.8974251496984</v>
      </c>
      <c r="R113">
        <f t="shared" ref="R113" si="542">R114+Q113</f>
        <v>-2965930.7010311764</v>
      </c>
      <c r="S113">
        <f t="shared" ref="S113" si="543">R113/100000</f>
        <v>-29.659307010311764</v>
      </c>
      <c r="T113">
        <f t="shared" ref="T113" si="544">S113/1000</f>
        <v>-2.9659307010311765E-2</v>
      </c>
    </row>
    <row r="114" spans="1:20" x14ac:dyDescent="0.25">
      <c r="A114" s="5">
        <v>44479</v>
      </c>
      <c r="B114">
        <v>70.510000000000005</v>
      </c>
      <c r="C114">
        <v>71.430000000000007</v>
      </c>
      <c r="D114">
        <v>64.56</v>
      </c>
      <c r="E114">
        <v>64.739999999999995</v>
      </c>
      <c r="F114">
        <v>66742.19</v>
      </c>
      <c r="G114">
        <v>64.739999999999995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-0.94759825327511138</v>
      </c>
      <c r="Q114">
        <f t="shared" ref="Q114" si="546">F114*P114</f>
        <v>-63244.782663755606</v>
      </c>
      <c r="R114">
        <f t="shared" ref="R114" si="547">R115+Q114</f>
        <v>-2959678.8036060268</v>
      </c>
      <c r="S114">
        <f t="shared" ref="S114" si="548">R114/100000</f>
        <v>-29.596788036060268</v>
      </c>
      <c r="T114">
        <f t="shared" ref="T114" si="549">S114/1000</f>
        <v>-2.9596788036060268E-2</v>
      </c>
    </row>
    <row r="115" spans="1:20" x14ac:dyDescent="0.25">
      <c r="A115" s="5">
        <v>44478</v>
      </c>
      <c r="B115">
        <v>66.03</v>
      </c>
      <c r="C115">
        <v>72.87</v>
      </c>
      <c r="D115">
        <v>65.8</v>
      </c>
      <c r="E115">
        <v>70.41</v>
      </c>
      <c r="F115">
        <v>84146.67</v>
      </c>
      <c r="G115">
        <v>70.41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0.30410183875530256</v>
      </c>
      <c r="Q115">
        <f t="shared" ref="Q115" si="551">F115*P115</f>
        <v>25589.157072135655</v>
      </c>
      <c r="R115">
        <f t="shared" ref="R115" si="552">R116+Q115</f>
        <v>-2896434.0209422712</v>
      </c>
      <c r="S115">
        <f t="shared" ref="S115" si="553">R115/100000</f>
        <v>-28.964340209422712</v>
      </c>
      <c r="T115">
        <f t="shared" ref="T115" si="554">S115/1000</f>
        <v>-2.8964340209422713E-2</v>
      </c>
    </row>
    <row r="116" spans="1:20" x14ac:dyDescent="0.25">
      <c r="A116" s="5">
        <v>44477</v>
      </c>
      <c r="B116">
        <v>65.55</v>
      </c>
      <c r="C116">
        <v>68.599999999999994</v>
      </c>
      <c r="D116">
        <v>64.650000000000006</v>
      </c>
      <c r="E116">
        <v>65.849999999999994</v>
      </c>
      <c r="F116">
        <v>32462.83</v>
      </c>
      <c r="G116">
        <v>65.849999999999994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-0.39240506329114327</v>
      </c>
      <c r="Q116">
        <f t="shared" ref="Q116" si="556">F116*P116</f>
        <v>-12738.578860759626</v>
      </c>
      <c r="R116">
        <f t="shared" ref="R116" si="557">R117+Q116</f>
        <v>-2922023.1780144069</v>
      </c>
      <c r="S116">
        <f t="shared" ref="S116" si="558">R116/100000</f>
        <v>-29.220231780144069</v>
      </c>
      <c r="T116">
        <f t="shared" ref="T116" si="559">S116/1000</f>
        <v>-2.922023178014407E-2</v>
      </c>
    </row>
    <row r="117" spans="1:20" x14ac:dyDescent="0.25">
      <c r="A117" s="5">
        <v>44476</v>
      </c>
      <c r="B117">
        <v>67</v>
      </c>
      <c r="C117">
        <v>68.209999999999994</v>
      </c>
      <c r="D117">
        <v>64.760000000000005</v>
      </c>
      <c r="E117">
        <v>65.52</v>
      </c>
      <c r="F117">
        <v>22001.91</v>
      </c>
      <c r="G117">
        <v>65.52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-0.5594202898550763</v>
      </c>
      <c r="Q117">
        <f t="shared" ref="Q117" si="561">F117*P117</f>
        <v>-12308.314869565302</v>
      </c>
      <c r="R117">
        <f t="shared" ref="R117" si="562">R118+Q117</f>
        <v>-2909284.5991536472</v>
      </c>
      <c r="S117">
        <f t="shared" ref="S117" si="563">R117/100000</f>
        <v>-29.092845991536471</v>
      </c>
      <c r="T117">
        <f t="shared" ref="T117" si="564">S117/1000</f>
        <v>-2.909284599153647E-2</v>
      </c>
    </row>
    <row r="118" spans="1:20" x14ac:dyDescent="0.25">
      <c r="A118" s="5">
        <v>44475</v>
      </c>
      <c r="B118">
        <v>69.23</v>
      </c>
      <c r="C118">
        <v>69.89</v>
      </c>
      <c r="D118">
        <v>63.66</v>
      </c>
      <c r="E118">
        <v>67.06</v>
      </c>
      <c r="F118">
        <v>31087.61</v>
      </c>
      <c r="G118">
        <v>67.06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9.1492776886036437E-2</v>
      </c>
      <c r="Q118">
        <f t="shared" ref="Q118" si="566">F118*P118</f>
        <v>2844.2917656501154</v>
      </c>
      <c r="R118">
        <f t="shared" ref="R118" si="567">R119+Q118</f>
        <v>-2896976.2842840818</v>
      </c>
      <c r="S118">
        <f t="shared" ref="S118" si="568">R118/100000</f>
        <v>-28.969762842840819</v>
      </c>
      <c r="T118">
        <f t="shared" ref="T118" si="569">S118/1000</f>
        <v>-2.8969762842840818E-2</v>
      </c>
    </row>
    <row r="119" spans="1:20" x14ac:dyDescent="0.25">
      <c r="A119" s="5">
        <v>44474</v>
      </c>
      <c r="B119">
        <v>66.58</v>
      </c>
      <c r="C119">
        <v>69.3</v>
      </c>
      <c r="D119">
        <v>65.61</v>
      </c>
      <c r="E119">
        <v>69.180000000000007</v>
      </c>
      <c r="F119">
        <v>39231.94</v>
      </c>
      <c r="G119">
        <v>69.180000000000007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0.93495934959350113</v>
      </c>
      <c r="Q119">
        <f t="shared" ref="Q119" si="571">F119*P119</f>
        <v>36680.269105691266</v>
      </c>
      <c r="R119">
        <f t="shared" ref="R119" si="572">R120+Q119</f>
        <v>-2899820.576049732</v>
      </c>
      <c r="S119">
        <f t="shared" ref="S119" si="573">R119/100000</f>
        <v>-28.998205760497321</v>
      </c>
      <c r="T119">
        <f t="shared" ref="T119" si="574">S119/1000</f>
        <v>-2.899820576049732E-2</v>
      </c>
    </row>
    <row r="120" spans="1:20" x14ac:dyDescent="0.25">
      <c r="A120" s="5">
        <v>44473</v>
      </c>
      <c r="B120">
        <v>68.099999999999994</v>
      </c>
      <c r="C120">
        <v>68.25</v>
      </c>
      <c r="D120">
        <v>64.03</v>
      </c>
      <c r="E120">
        <v>66.62</v>
      </c>
      <c r="F120">
        <v>28589.69</v>
      </c>
      <c r="G120">
        <v>66.62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0.22748815165876973</v>
      </c>
      <c r="Q120">
        <f t="shared" ref="Q120" si="576">F120*P120</f>
        <v>6503.8157345972122</v>
      </c>
      <c r="R120">
        <f t="shared" ref="R120" si="577">R121+Q120</f>
        <v>-2936500.8451554235</v>
      </c>
      <c r="S120">
        <f t="shared" ref="S120" si="578">R120/100000</f>
        <v>-29.365008451554235</v>
      </c>
      <c r="T120">
        <f t="shared" ref="T120" si="579">S120/1000</f>
        <v>-2.9365008451554236E-2</v>
      </c>
    </row>
    <row r="121" spans="1:20" x14ac:dyDescent="0.25">
      <c r="A121" s="5">
        <v>44472</v>
      </c>
      <c r="B121">
        <v>67.290000000000006</v>
      </c>
      <c r="C121">
        <v>70.05</v>
      </c>
      <c r="D121">
        <v>66.08</v>
      </c>
      <c r="E121">
        <v>67.95</v>
      </c>
      <c r="F121">
        <v>28580.79</v>
      </c>
      <c r="G121">
        <v>67.95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-5.7934508816118349E-2</v>
      </c>
      <c r="Q121">
        <f t="shared" ref="Q121" si="581">F121*P121</f>
        <v>-1655.8140302266272</v>
      </c>
      <c r="R121">
        <f t="shared" ref="R121" si="582">R122+Q121</f>
        <v>-2943004.6608900209</v>
      </c>
      <c r="S121">
        <f t="shared" ref="S121" si="583">R121/100000</f>
        <v>-29.430046608900209</v>
      </c>
      <c r="T121">
        <f t="shared" ref="T121" si="584">S121/1000</f>
        <v>-2.9430046608900209E-2</v>
      </c>
    </row>
    <row r="122" spans="1:20" x14ac:dyDescent="0.25">
      <c r="A122" s="5">
        <v>44471</v>
      </c>
      <c r="B122">
        <v>68.59</v>
      </c>
      <c r="C122">
        <v>70.56</v>
      </c>
      <c r="D122">
        <v>67</v>
      </c>
      <c r="E122">
        <v>67.3</v>
      </c>
      <c r="F122">
        <v>46247.62</v>
      </c>
      <c r="G122">
        <v>67.3</v>
      </c>
      <c r="L122" t="s">
        <v>7</v>
      </c>
      <c r="M122" t="s">
        <v>8</v>
      </c>
      <c r="N122" t="s">
        <v>8</v>
      </c>
      <c r="P122">
        <f t="shared" ref="P122" si="585">IF(C122=D122,0,((E122-D122)-(C122-E122))/(C122-D122))</f>
        <v>-0.83146067415730507</v>
      </c>
      <c r="Q122">
        <f t="shared" ref="Q122" si="586">F122*P122</f>
        <v>-38453.077303370868</v>
      </c>
      <c r="R122">
        <f t="shared" ref="R122" si="587">R123+Q122</f>
        <v>-2941348.8468597941</v>
      </c>
      <c r="S122">
        <f t="shared" ref="S122" si="588">R122/100000</f>
        <v>-29.41348846859794</v>
      </c>
      <c r="T122">
        <f t="shared" ref="T122" si="589">S122/1000</f>
        <v>-2.941348846859794E-2</v>
      </c>
    </row>
    <row r="123" spans="1:20" x14ac:dyDescent="0.25">
      <c r="A123" s="5">
        <v>44470</v>
      </c>
      <c r="B123">
        <v>64.59</v>
      </c>
      <c r="C123">
        <v>73.8</v>
      </c>
      <c r="D123">
        <v>61.78</v>
      </c>
      <c r="E123">
        <v>68.69</v>
      </c>
      <c r="F123">
        <v>147642.82999999999</v>
      </c>
      <c r="G123">
        <v>68.69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0.14975041597337752</v>
      </c>
      <c r="Q123">
        <f t="shared" ref="Q123" si="591">F123*P123</f>
        <v>22109.575207986658</v>
      </c>
      <c r="R123">
        <f t="shared" ref="R123" si="592">R124+Q123</f>
        <v>-2902895.7695564232</v>
      </c>
      <c r="S123">
        <f t="shared" ref="S123" si="593">R123/100000</f>
        <v>-29.02895769556423</v>
      </c>
      <c r="T123">
        <f t="shared" ref="T123" si="594">S123/1000</f>
        <v>-2.9028957695564229E-2</v>
      </c>
    </row>
    <row r="124" spans="1:20" x14ac:dyDescent="0.25">
      <c r="A124" s="5">
        <v>44469</v>
      </c>
      <c r="B124">
        <v>57.79</v>
      </c>
      <c r="C124">
        <v>64.8</v>
      </c>
      <c r="D124">
        <v>57.52</v>
      </c>
      <c r="E124">
        <v>64.59</v>
      </c>
      <c r="F124">
        <v>49198.47</v>
      </c>
      <c r="G124">
        <v>64.59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0.94230769230769396</v>
      </c>
      <c r="Q124">
        <f t="shared" ref="Q124" si="596">F124*P124</f>
        <v>46360.096730769314</v>
      </c>
      <c r="R124">
        <f t="shared" ref="R124" si="597">R125+Q124</f>
        <v>-2925005.3447644101</v>
      </c>
      <c r="S124">
        <f t="shared" ref="S124" si="598">R124/100000</f>
        <v>-29.250053447644099</v>
      </c>
      <c r="T124">
        <f t="shared" ref="T124" si="599">S124/1000</f>
        <v>-2.92500534476441E-2</v>
      </c>
    </row>
    <row r="125" spans="1:20" x14ac:dyDescent="0.25">
      <c r="A125" s="5">
        <v>44468</v>
      </c>
      <c r="B125">
        <v>55.71</v>
      </c>
      <c r="C125">
        <v>65</v>
      </c>
      <c r="D125">
        <v>55.56</v>
      </c>
      <c r="E125">
        <v>57.79</v>
      </c>
      <c r="F125">
        <v>95425.06</v>
      </c>
      <c r="G125">
        <v>57.79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-0.52754237288135652</v>
      </c>
      <c r="Q125">
        <f t="shared" ref="Q125" si="601">F125*P125</f>
        <v>-50340.762584745818</v>
      </c>
      <c r="R125">
        <f t="shared" ref="R125" si="602">R126+Q125</f>
        <v>-2971365.4414951792</v>
      </c>
      <c r="S125">
        <f t="shared" ref="S125" si="603">R125/100000</f>
        <v>-29.71365441495179</v>
      </c>
      <c r="T125">
        <f t="shared" ref="T125" si="604">S125/1000</f>
        <v>-2.9713654414951791E-2</v>
      </c>
    </row>
    <row r="126" spans="1:20" x14ac:dyDescent="0.25">
      <c r="A126" s="5">
        <v>44467</v>
      </c>
      <c r="B126">
        <v>58.52</v>
      </c>
      <c r="C126">
        <v>59.06</v>
      </c>
      <c r="D126">
        <v>55.53</v>
      </c>
      <c r="E126">
        <v>55.76</v>
      </c>
      <c r="F126">
        <v>60043.05</v>
      </c>
      <c r="G126">
        <v>55.76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-0.86968838526912362</v>
      </c>
      <c r="Q126">
        <f t="shared" ref="Q126" si="606">F126*P126</f>
        <v>-52218.743201133257</v>
      </c>
      <c r="R126">
        <f t="shared" ref="R126" si="607">R127+Q126</f>
        <v>-2921024.6789104333</v>
      </c>
      <c r="S126">
        <f t="shared" ref="S126" si="608">R126/100000</f>
        <v>-29.210246789104332</v>
      </c>
      <c r="T126">
        <f t="shared" ref="T126" si="609">S126/1000</f>
        <v>-2.9210246789104333E-2</v>
      </c>
    </row>
    <row r="127" spans="1:20" x14ac:dyDescent="0.25">
      <c r="A127" s="5">
        <v>44466</v>
      </c>
      <c r="B127">
        <v>56.95</v>
      </c>
      <c r="C127">
        <v>69.430000000000007</v>
      </c>
      <c r="D127">
        <v>56.65</v>
      </c>
      <c r="E127">
        <v>58.61</v>
      </c>
      <c r="F127">
        <v>108912.42</v>
      </c>
      <c r="G127">
        <v>58.61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-0.69327073552425666</v>
      </c>
      <c r="Q127">
        <f t="shared" ref="Q127" si="611">F127*P127</f>
        <v>-75505.793521126761</v>
      </c>
      <c r="R127">
        <f t="shared" ref="R127" si="612">R128+Q127</f>
        <v>-2868805.9357093</v>
      </c>
      <c r="S127">
        <f t="shared" ref="S127" si="613">R127/100000</f>
        <v>-28.688059357093</v>
      </c>
      <c r="T127">
        <f t="shared" ref="T127" si="614">S127/1000</f>
        <v>-2.8688059357092999E-2</v>
      </c>
    </row>
    <row r="128" spans="1:20" x14ac:dyDescent="0.25">
      <c r="A128" s="5">
        <v>44465</v>
      </c>
      <c r="B128">
        <v>56.32</v>
      </c>
      <c r="C128">
        <v>67.239999999999995</v>
      </c>
      <c r="D128">
        <v>50.15</v>
      </c>
      <c r="E128">
        <v>57.1</v>
      </c>
      <c r="F128">
        <v>94177.41</v>
      </c>
      <c r="G128">
        <v>57.1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-0.18665886483323529</v>
      </c>
      <c r="Q128">
        <f t="shared" ref="Q128" si="616">F128*P128</f>
        <v>-17579.048443534182</v>
      </c>
      <c r="R128">
        <f t="shared" ref="R128" si="617">R129+Q128</f>
        <v>-2793300.1421881733</v>
      </c>
      <c r="S128">
        <f t="shared" ref="S128" si="618">R128/100000</f>
        <v>-27.933001421881734</v>
      </c>
      <c r="T128">
        <f t="shared" ref="T128" si="619">S128/1000</f>
        <v>-2.7933001421881733E-2</v>
      </c>
    </row>
    <row r="129" spans="1:20" x14ac:dyDescent="0.25">
      <c r="A129" s="5">
        <v>44464</v>
      </c>
      <c r="B129">
        <v>57.56</v>
      </c>
      <c r="C129">
        <v>58.98</v>
      </c>
      <c r="D129">
        <v>54.7</v>
      </c>
      <c r="E129">
        <v>56.19</v>
      </c>
      <c r="F129">
        <v>25506.71</v>
      </c>
      <c r="G129">
        <v>56.19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-0.30373831775701077</v>
      </c>
      <c r="Q129">
        <f t="shared" ref="Q129" si="621">F129*P129</f>
        <v>-7747.3651869159239</v>
      </c>
      <c r="R129">
        <f t="shared" ref="R129" si="622">R130+Q129</f>
        <v>-2775721.0937446388</v>
      </c>
      <c r="S129">
        <f t="shared" ref="S129" si="623">R129/100000</f>
        <v>-27.757210937446388</v>
      </c>
      <c r="T129">
        <f t="shared" ref="T129" si="624">S129/1000</f>
        <v>-2.7757210937446389E-2</v>
      </c>
    </row>
    <row r="130" spans="1:20" x14ac:dyDescent="0.25">
      <c r="A130" s="5">
        <v>44463</v>
      </c>
      <c r="B130">
        <v>64.650000000000006</v>
      </c>
      <c r="C130">
        <v>64.84</v>
      </c>
      <c r="D130">
        <v>54.15</v>
      </c>
      <c r="E130">
        <v>57.39</v>
      </c>
      <c r="F130">
        <v>59339.93</v>
      </c>
      <c r="G130">
        <v>57.39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-0.39382600561272207</v>
      </c>
      <c r="Q130">
        <f t="shared" ref="Q130" si="626">F130*P130</f>
        <v>-23369.607605238536</v>
      </c>
      <c r="R130">
        <f t="shared" ref="R130" si="627">R131+Q130</f>
        <v>-2767973.7285577231</v>
      </c>
      <c r="S130">
        <f t="shared" ref="S130" si="628">R130/100000</f>
        <v>-27.679737285577232</v>
      </c>
      <c r="T130">
        <f t="shared" ref="T130" si="629">S130/1000</f>
        <v>-2.7679737285577231E-2</v>
      </c>
    </row>
    <row r="131" spans="1:20" x14ac:dyDescent="0.25">
      <c r="A131" s="5">
        <v>44462</v>
      </c>
      <c r="B131">
        <v>60.4</v>
      </c>
      <c r="C131">
        <v>67.349999999999994</v>
      </c>
      <c r="D131">
        <v>59.25</v>
      </c>
      <c r="E131">
        <v>64.83</v>
      </c>
      <c r="F131">
        <v>74941.63</v>
      </c>
      <c r="G131">
        <v>64.83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0.37777777777777832</v>
      </c>
      <c r="Q131">
        <f t="shared" ref="Q131" si="631">F131*P131</f>
        <v>28311.282444444489</v>
      </c>
      <c r="R131">
        <f t="shared" ref="R131" si="632">R132+Q131</f>
        <v>-2744604.1209524847</v>
      </c>
      <c r="S131">
        <f t="shared" ref="S131" si="633">R131/100000</f>
        <v>-27.446041209524846</v>
      </c>
      <c r="T131">
        <f t="shared" ref="T131" si="634">S131/1000</f>
        <v>-2.7446041209524846E-2</v>
      </c>
    </row>
    <row r="132" spans="1:20" x14ac:dyDescent="0.25">
      <c r="A132" s="5">
        <v>44461</v>
      </c>
      <c r="B132">
        <v>54.6</v>
      </c>
      <c r="C132">
        <v>62.2</v>
      </c>
      <c r="D132">
        <v>53.46</v>
      </c>
      <c r="E132">
        <v>60.42</v>
      </c>
      <c r="F132">
        <v>52288.639999999999</v>
      </c>
      <c r="G132">
        <v>60.42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0.59267734553775731</v>
      </c>
      <c r="Q132">
        <f t="shared" ref="Q132" si="636">F132*P132</f>
        <v>30990.292356979397</v>
      </c>
      <c r="R132">
        <f t="shared" ref="R132" si="637">R133+Q132</f>
        <v>-2772915.4033969291</v>
      </c>
      <c r="S132">
        <f t="shared" ref="S132" si="638">R132/100000</f>
        <v>-27.729154033969291</v>
      </c>
      <c r="T132">
        <f t="shared" ref="T132" si="639">S132/1000</f>
        <v>-2.7729154033969292E-2</v>
      </c>
    </row>
    <row r="133" spans="1:20" x14ac:dyDescent="0.25">
      <c r="A133" s="5">
        <v>44460</v>
      </c>
      <c r="B133">
        <v>59.11</v>
      </c>
      <c r="C133">
        <v>63.82</v>
      </c>
      <c r="D133">
        <v>53.07</v>
      </c>
      <c r="E133">
        <v>54.56</v>
      </c>
      <c r="F133">
        <v>76436.23</v>
      </c>
      <c r="G133">
        <v>54.56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-0.72279069767441828</v>
      </c>
      <c r="Q133">
        <f t="shared" ref="Q133" si="641">F133*P133</f>
        <v>-55247.396009302298</v>
      </c>
      <c r="R133">
        <f t="shared" ref="R133" si="642">R134+Q133</f>
        <v>-2803905.6957539087</v>
      </c>
      <c r="S133">
        <f t="shared" ref="S133" si="643">R133/100000</f>
        <v>-28.039056957539088</v>
      </c>
      <c r="T133">
        <f t="shared" ref="T133" si="644">S133/1000</f>
        <v>-2.8039056957539089E-2</v>
      </c>
    </row>
    <row r="134" spans="1:20" x14ac:dyDescent="0.25">
      <c r="A134" s="5">
        <v>44459</v>
      </c>
      <c r="B134">
        <v>67.180000000000007</v>
      </c>
      <c r="C134">
        <v>68.260000000000005</v>
      </c>
      <c r="D134">
        <v>61.27</v>
      </c>
      <c r="E134">
        <v>61.9</v>
      </c>
      <c r="F134">
        <v>25407.68</v>
      </c>
      <c r="G134">
        <v>61.9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-0.81974248927038762</v>
      </c>
      <c r="Q134">
        <f t="shared" ref="Q134" si="646">F134*P134</f>
        <v>-20827.754849785444</v>
      </c>
      <c r="R134">
        <f t="shared" ref="R134" si="647">R135+Q134</f>
        <v>-2748658.2997446065</v>
      </c>
      <c r="S134">
        <f t="shared" ref="S134" si="648">R134/100000</f>
        <v>-27.486582997446064</v>
      </c>
      <c r="T134">
        <f t="shared" ref="T134" si="649">S134/1000</f>
        <v>-2.7486582997446062E-2</v>
      </c>
    </row>
    <row r="135" spans="1:20" x14ac:dyDescent="0.25">
      <c r="A135" s="5">
        <v>44458</v>
      </c>
      <c r="B135">
        <v>69</v>
      </c>
      <c r="C135">
        <v>70.239999999999995</v>
      </c>
      <c r="D135">
        <v>66.77</v>
      </c>
      <c r="E135">
        <v>66.989999999999995</v>
      </c>
      <c r="F135">
        <v>26590.03</v>
      </c>
      <c r="G135">
        <v>66.989999999999995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-0.8731988472622485</v>
      </c>
      <c r="Q135">
        <f t="shared" ref="Q135" si="651">F135*P135</f>
        <v>-23218.383544668606</v>
      </c>
      <c r="R135">
        <f t="shared" ref="R135" si="652">R136+Q135</f>
        <v>-2727830.544894821</v>
      </c>
      <c r="S135">
        <f t="shared" ref="S135" si="653">R135/100000</f>
        <v>-27.27830544894821</v>
      </c>
      <c r="T135">
        <f t="shared" ref="T135" si="654">S135/1000</f>
        <v>-2.7278305448948211E-2</v>
      </c>
    </row>
    <row r="136" spans="1:20" x14ac:dyDescent="0.25">
      <c r="A136" s="5">
        <v>44457</v>
      </c>
      <c r="B136">
        <v>66.819999999999993</v>
      </c>
      <c r="C136">
        <v>74.5</v>
      </c>
      <c r="D136">
        <v>66.349999999999994</v>
      </c>
      <c r="E136">
        <v>69.099999999999994</v>
      </c>
      <c r="F136">
        <v>53584.42</v>
      </c>
      <c r="G136">
        <v>69.099999999999994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-0.32515337423312929</v>
      </c>
      <c r="Q136">
        <f t="shared" ref="Q136" si="656">F136*P136</f>
        <v>-17423.154969325176</v>
      </c>
      <c r="R136">
        <f t="shared" ref="R136" si="657">R137+Q136</f>
        <v>-2704612.1613501525</v>
      </c>
      <c r="S136">
        <f t="shared" ref="S136" si="658">R136/100000</f>
        <v>-27.046121613501526</v>
      </c>
      <c r="T136">
        <f t="shared" ref="T136" si="659">S136/1000</f>
        <v>-2.7046121613501527E-2</v>
      </c>
    </row>
    <row r="137" spans="1:20" x14ac:dyDescent="0.25">
      <c r="A137" s="5">
        <v>44456</v>
      </c>
      <c r="B137">
        <v>78.55</v>
      </c>
      <c r="C137">
        <v>78.989999999999995</v>
      </c>
      <c r="D137">
        <v>65.58</v>
      </c>
      <c r="E137">
        <v>66.75</v>
      </c>
      <c r="F137">
        <v>97786.19</v>
      </c>
      <c r="G137">
        <v>66.75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-0.82550335570469768</v>
      </c>
      <c r="Q137">
        <f t="shared" ref="Q137" si="661">F137*P137</f>
        <v>-80722.827986577147</v>
      </c>
      <c r="R137">
        <f t="shared" ref="R137" si="662">R138+Q137</f>
        <v>-2687189.0063808272</v>
      </c>
      <c r="S137">
        <f t="shared" ref="S137" si="663">R137/100000</f>
        <v>-26.871890063808273</v>
      </c>
      <c r="T137">
        <f t="shared" ref="T137" si="664">S137/1000</f>
        <v>-2.6871890063808274E-2</v>
      </c>
    </row>
    <row r="138" spans="1:20" x14ac:dyDescent="0.25">
      <c r="A138" s="5">
        <v>44455</v>
      </c>
      <c r="B138">
        <v>68.31</v>
      </c>
      <c r="C138">
        <v>85.4</v>
      </c>
      <c r="D138">
        <v>67.790000000000006</v>
      </c>
      <c r="E138">
        <v>78.459999999999994</v>
      </c>
      <c r="F138">
        <v>207989.08</v>
      </c>
      <c r="G138">
        <v>78.459999999999994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0.21181147075525131</v>
      </c>
      <c r="Q138">
        <f t="shared" ref="Q138" si="666">F138*P138</f>
        <v>44054.472935831625</v>
      </c>
      <c r="R138">
        <f t="shared" ref="R138" si="667">R139+Q138</f>
        <v>-2606466.1783942501</v>
      </c>
      <c r="S138">
        <f t="shared" ref="S138" si="668">R138/100000</f>
        <v>-26.064661783942501</v>
      </c>
      <c r="T138">
        <f t="shared" ref="T138" si="669">S138/1000</f>
        <v>-2.6064661783942501E-2</v>
      </c>
    </row>
    <row r="139" spans="1:20" x14ac:dyDescent="0.25">
      <c r="A139" s="5">
        <v>44454</v>
      </c>
      <c r="B139">
        <v>69.64</v>
      </c>
      <c r="C139">
        <v>73.900000000000006</v>
      </c>
      <c r="D139">
        <v>66.849999999999994</v>
      </c>
      <c r="E139">
        <v>68.31</v>
      </c>
      <c r="F139">
        <v>114814.19</v>
      </c>
      <c r="G139">
        <v>68.31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-0.58581560283687784</v>
      </c>
      <c r="Q139">
        <f t="shared" ref="Q139" si="671">F139*P139</f>
        <v>-67259.943929077839</v>
      </c>
      <c r="R139">
        <f t="shared" ref="R139" si="672">R140+Q139</f>
        <v>-2650520.6513300817</v>
      </c>
      <c r="S139">
        <f t="shared" ref="S139" si="673">R139/100000</f>
        <v>-26.505206513300816</v>
      </c>
      <c r="T139">
        <f t="shared" ref="T139" si="674">S139/1000</f>
        <v>-2.6505206513300815E-2</v>
      </c>
    </row>
    <row r="140" spans="1:20" x14ac:dyDescent="0.25">
      <c r="A140" s="5">
        <v>44453</v>
      </c>
      <c r="B140">
        <v>57.46</v>
      </c>
      <c r="C140">
        <v>98.43</v>
      </c>
      <c r="D140">
        <v>57.38</v>
      </c>
      <c r="E140">
        <v>69.64</v>
      </c>
      <c r="F140">
        <v>538192.53</v>
      </c>
      <c r="G140">
        <v>69.64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-0.40267965895249713</v>
      </c>
      <c r="Q140">
        <f t="shared" ref="Q140" si="676">F140*P140</f>
        <v>-216719.18443118158</v>
      </c>
      <c r="R140">
        <f t="shared" ref="R140" si="677">R141+Q140</f>
        <v>-2583260.7074010037</v>
      </c>
      <c r="S140">
        <f t="shared" ref="S140" si="678">R140/100000</f>
        <v>-25.832607074010038</v>
      </c>
      <c r="T140">
        <f t="shared" ref="T140" si="679">S140/1000</f>
        <v>-2.5832607074010038E-2</v>
      </c>
    </row>
    <row r="141" spans="1:20" x14ac:dyDescent="0.25">
      <c r="A141" s="5">
        <v>44452</v>
      </c>
      <c r="B141">
        <v>62.83</v>
      </c>
      <c r="C141">
        <v>63.49</v>
      </c>
      <c r="D141">
        <v>54.96</v>
      </c>
      <c r="E141">
        <v>57.43</v>
      </c>
      <c r="F141">
        <v>52778.23</v>
      </c>
      <c r="G141">
        <v>57.43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-0.42086752637749153</v>
      </c>
      <c r="Q141">
        <f t="shared" ref="Q141" si="681">F141*P141</f>
        <v>-22212.643106682317</v>
      </c>
      <c r="R141">
        <f t="shared" ref="R141" si="682">R142+Q141</f>
        <v>-2366541.5229698219</v>
      </c>
      <c r="S141">
        <f t="shared" ref="S141" si="683">R141/100000</f>
        <v>-23.665415229698219</v>
      </c>
      <c r="T141">
        <f t="shared" ref="T141" si="684">S141/1000</f>
        <v>-2.3665415229698217E-2</v>
      </c>
    </row>
    <row r="142" spans="1:20" x14ac:dyDescent="0.25">
      <c r="A142" s="5">
        <v>44451</v>
      </c>
      <c r="B142">
        <v>61.2</v>
      </c>
      <c r="C142">
        <v>63.81</v>
      </c>
      <c r="D142">
        <v>60.07</v>
      </c>
      <c r="E142">
        <v>62.83</v>
      </c>
      <c r="F142">
        <v>26172.48</v>
      </c>
      <c r="G142">
        <v>62.83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0.47593582887700348</v>
      </c>
      <c r="Q142">
        <f t="shared" ref="Q142" si="686">F142*P142</f>
        <v>12456.420962566795</v>
      </c>
      <c r="R142">
        <f t="shared" ref="R142" si="687">R143+Q142</f>
        <v>-2344328.8798631397</v>
      </c>
      <c r="S142">
        <f t="shared" ref="S142" si="688">R142/100000</f>
        <v>-23.443288798631396</v>
      </c>
      <c r="T142">
        <f t="shared" ref="T142" si="689">S142/1000</f>
        <v>-2.3443288798631397E-2</v>
      </c>
    </row>
    <row r="143" spans="1:20" x14ac:dyDescent="0.25">
      <c r="A143" s="5">
        <v>44450</v>
      </c>
      <c r="B143">
        <v>60.58</v>
      </c>
      <c r="C143">
        <v>65.92</v>
      </c>
      <c r="D143">
        <v>60.45</v>
      </c>
      <c r="E143">
        <v>61.2</v>
      </c>
      <c r="F143">
        <v>27635.47</v>
      </c>
      <c r="G143">
        <v>61.2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-0.72577696526508217</v>
      </c>
      <c r="Q143">
        <f t="shared" ref="Q143" si="691">F143*P143</f>
        <v>-20057.187550274222</v>
      </c>
      <c r="R143">
        <f t="shared" ref="R143" si="692">R144+Q143</f>
        <v>-2356785.3008257067</v>
      </c>
      <c r="S143">
        <f t="shared" ref="S143" si="693">R143/100000</f>
        <v>-23.567853008257067</v>
      </c>
      <c r="T143">
        <f t="shared" ref="T143" si="694">S143/1000</f>
        <v>-2.3567853008257068E-2</v>
      </c>
    </row>
    <row r="144" spans="1:20" x14ac:dyDescent="0.25">
      <c r="A144" s="5">
        <v>44449</v>
      </c>
      <c r="B144">
        <v>60.04</v>
      </c>
      <c r="C144">
        <v>70</v>
      </c>
      <c r="D144">
        <v>59.32</v>
      </c>
      <c r="E144">
        <v>60.58</v>
      </c>
      <c r="F144">
        <v>62051.67</v>
      </c>
      <c r="G144">
        <v>60.58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-0.76404494382022503</v>
      </c>
      <c r="Q144">
        <f t="shared" ref="Q144" si="696">F144*P144</f>
        <v>-47410.264719101142</v>
      </c>
      <c r="R144">
        <f t="shared" ref="R144" si="697">R145+Q144</f>
        <v>-2336728.1132754325</v>
      </c>
      <c r="S144">
        <f t="shared" ref="S144" si="698">R144/100000</f>
        <v>-23.367281132754325</v>
      </c>
      <c r="T144">
        <f t="shared" ref="T144" si="699">S144/1000</f>
        <v>-2.3367281132754325E-2</v>
      </c>
    </row>
    <row r="145" spans="1:20" x14ac:dyDescent="0.25">
      <c r="A145" s="5">
        <v>44448</v>
      </c>
      <c r="B145">
        <v>61.88</v>
      </c>
      <c r="C145">
        <v>64.69</v>
      </c>
      <c r="D145">
        <v>59.22</v>
      </c>
      <c r="E145">
        <v>60.12</v>
      </c>
      <c r="F145">
        <v>39461.11</v>
      </c>
      <c r="G145">
        <v>60.12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-0.67093235831809916</v>
      </c>
      <c r="Q145">
        <f t="shared" ref="Q145" si="701">F145*P145</f>
        <v>-26475.735594149926</v>
      </c>
      <c r="R145">
        <f t="shared" ref="R145" si="702">R146+Q145</f>
        <v>-2289317.8485563314</v>
      </c>
      <c r="S145">
        <f t="shared" ref="S145" si="703">R145/100000</f>
        <v>-22.893178485563315</v>
      </c>
      <c r="T145">
        <f t="shared" ref="T145" si="704">S145/1000</f>
        <v>-2.2893178485563315E-2</v>
      </c>
    </row>
    <row r="146" spans="1:20" x14ac:dyDescent="0.25">
      <c r="A146" s="5">
        <v>44447</v>
      </c>
      <c r="B146">
        <v>60.29</v>
      </c>
      <c r="C146">
        <v>64.75</v>
      </c>
      <c r="D146">
        <v>55.03</v>
      </c>
      <c r="E146">
        <v>61.81</v>
      </c>
      <c r="F146">
        <v>52504.6</v>
      </c>
      <c r="G146">
        <v>61.81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0.39506172839506215</v>
      </c>
      <c r="Q146">
        <f t="shared" ref="Q146" si="706">F146*P146</f>
        <v>20742.558024691381</v>
      </c>
      <c r="R146">
        <f t="shared" ref="R146" si="707">R147+Q146</f>
        <v>-2262842.1129621812</v>
      </c>
      <c r="S146">
        <f t="shared" ref="S146" si="708">R146/100000</f>
        <v>-22.628421129621813</v>
      </c>
      <c r="T146">
        <f t="shared" ref="T146" si="709">S146/1000</f>
        <v>-2.2628421129621813E-2</v>
      </c>
    </row>
    <row r="147" spans="1:20" x14ac:dyDescent="0.25">
      <c r="A147" s="5">
        <v>44446</v>
      </c>
      <c r="B147">
        <v>73.11</v>
      </c>
      <c r="C147">
        <v>73.31</v>
      </c>
      <c r="D147">
        <v>54.4</v>
      </c>
      <c r="E147">
        <v>60.29</v>
      </c>
      <c r="F147">
        <v>94769.9</v>
      </c>
      <c r="G147">
        <v>60.29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-0.37704918032786894</v>
      </c>
      <c r="Q147">
        <f t="shared" ref="Q147" si="711">F147*P147</f>
        <v>-35732.913114754105</v>
      </c>
      <c r="R147">
        <f t="shared" ref="R147" si="712">R148+Q147</f>
        <v>-2283584.6709868726</v>
      </c>
      <c r="S147">
        <f t="shared" ref="S147" si="713">R147/100000</f>
        <v>-22.835846709868726</v>
      </c>
      <c r="T147">
        <f t="shared" ref="T147" si="714">S147/1000</f>
        <v>-2.2835846709868726E-2</v>
      </c>
    </row>
    <row r="148" spans="1:20" x14ac:dyDescent="0.25">
      <c r="A148" s="5">
        <v>44445</v>
      </c>
      <c r="B148">
        <v>76.27</v>
      </c>
      <c r="C148">
        <v>76.28</v>
      </c>
      <c r="D148">
        <v>72.069999999999993</v>
      </c>
      <c r="E148">
        <v>73.03</v>
      </c>
      <c r="F148">
        <v>37943.14</v>
      </c>
      <c r="G148">
        <v>73.03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-0.5439429928741063</v>
      </c>
      <c r="Q148">
        <f t="shared" ref="Q148" si="716">F148*P148</f>
        <v>-20638.905130641218</v>
      </c>
      <c r="R148">
        <f t="shared" ref="R148" si="717">R149+Q148</f>
        <v>-2247851.7578721186</v>
      </c>
      <c r="S148">
        <f t="shared" ref="S148" si="718">R148/100000</f>
        <v>-22.478517578721185</v>
      </c>
      <c r="T148">
        <f t="shared" ref="T148" si="719">S148/1000</f>
        <v>-2.2478517578721185E-2</v>
      </c>
    </row>
    <row r="149" spans="1:20" x14ac:dyDescent="0.25">
      <c r="A149" s="5">
        <v>44444</v>
      </c>
      <c r="B149">
        <v>72.03</v>
      </c>
      <c r="C149">
        <v>78.5</v>
      </c>
      <c r="D149">
        <v>71.36</v>
      </c>
      <c r="E149">
        <v>76.28</v>
      </c>
      <c r="F149">
        <v>55597.73</v>
      </c>
      <c r="G149">
        <v>76.28</v>
      </c>
      <c r="L149" t="s">
        <v>8</v>
      </c>
      <c r="M149" t="s">
        <v>7</v>
      </c>
      <c r="N149" t="s">
        <v>7</v>
      </c>
      <c r="P149">
        <f t="shared" ref="P149" si="720">IF(C149=D149,0,((E149-D149)-(C149-E149))/(C149-D149))</f>
        <v>0.37815126050420206</v>
      </c>
      <c r="Q149">
        <f t="shared" ref="Q149" si="721">F149*P149</f>
        <v>21024.351680672291</v>
      </c>
      <c r="R149">
        <f t="shared" ref="R149" si="722">R150+Q149</f>
        <v>-2227212.8527414775</v>
      </c>
      <c r="S149">
        <f t="shared" ref="S149" si="723">R149/100000</f>
        <v>-22.272128527414775</v>
      </c>
      <c r="T149">
        <f t="shared" ref="T149" si="724">S149/1000</f>
        <v>-2.2272128527414774E-2</v>
      </c>
    </row>
    <row r="150" spans="1:20" x14ac:dyDescent="0.25">
      <c r="A150" s="5">
        <v>44443</v>
      </c>
      <c r="B150">
        <v>73.59</v>
      </c>
      <c r="C150">
        <v>76</v>
      </c>
      <c r="D150">
        <v>71.83</v>
      </c>
      <c r="E150">
        <v>72.010000000000005</v>
      </c>
      <c r="F150">
        <v>40790.32</v>
      </c>
      <c r="G150">
        <v>72.010000000000005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-0.9136690647481982</v>
      </c>
      <c r="Q150">
        <f t="shared" ref="Q150" si="726">F150*P150</f>
        <v>-37268.853525179722</v>
      </c>
      <c r="R150">
        <f t="shared" ref="R150" si="727">R151+Q150</f>
        <v>-2248237.2044221498</v>
      </c>
      <c r="S150">
        <f t="shared" ref="S150" si="728">R150/100000</f>
        <v>-22.482372044221499</v>
      </c>
      <c r="T150">
        <f t="shared" ref="T150" si="729">S150/1000</f>
        <v>-2.2482372044221498E-2</v>
      </c>
    </row>
    <row r="151" spans="1:20" x14ac:dyDescent="0.25">
      <c r="A151" s="5">
        <v>44442</v>
      </c>
      <c r="B151">
        <v>76.87</v>
      </c>
      <c r="C151">
        <v>78.59</v>
      </c>
      <c r="D151">
        <v>73</v>
      </c>
      <c r="E151">
        <v>73.58</v>
      </c>
      <c r="F151">
        <v>52480.49</v>
      </c>
      <c r="G151">
        <v>73.58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-0.79248658318425835</v>
      </c>
      <c r="Q151">
        <f t="shared" ref="Q151" si="731">F151*P151</f>
        <v>-41590.084203935636</v>
      </c>
      <c r="R151">
        <f t="shared" ref="R151" si="732">R152+Q151</f>
        <v>-2210968.3508969699</v>
      </c>
      <c r="S151">
        <f t="shared" ref="S151" si="733">R151/100000</f>
        <v>-22.109683508969699</v>
      </c>
      <c r="T151">
        <f t="shared" ref="T151" si="734">S151/1000</f>
        <v>-2.2109683508969698E-2</v>
      </c>
    </row>
    <row r="152" spans="1:20" x14ac:dyDescent="0.25">
      <c r="A152" s="5">
        <v>44441</v>
      </c>
      <c r="B152">
        <v>78.97</v>
      </c>
      <c r="C152">
        <v>81.38</v>
      </c>
      <c r="D152">
        <v>75.510000000000005</v>
      </c>
      <c r="E152">
        <v>77</v>
      </c>
      <c r="F152">
        <v>67869.73</v>
      </c>
      <c r="G152">
        <v>77</v>
      </c>
      <c r="L152" t="s">
        <v>7</v>
      </c>
      <c r="M152" t="s">
        <v>8</v>
      </c>
      <c r="N152" t="s">
        <v>7</v>
      </c>
      <c r="P152">
        <f t="shared" ref="P152" si="735">IF(C152=D152,0,((E152-D152)-(C152-E152))/(C152-D152))</f>
        <v>-0.49233390119250514</v>
      </c>
      <c r="Q152">
        <f t="shared" ref="Q152" si="736">F152*P152</f>
        <v>-33414.568943781996</v>
      </c>
      <c r="R152">
        <f t="shared" ref="R152" si="737">R153+Q152</f>
        <v>-2169378.2666930342</v>
      </c>
      <c r="S152">
        <f t="shared" ref="S152" si="738">R152/100000</f>
        <v>-21.693782666930343</v>
      </c>
      <c r="T152">
        <f t="shared" ref="T152" si="739">S152/1000</f>
        <v>-2.1693782666930343E-2</v>
      </c>
    </row>
    <row r="153" spans="1:20" x14ac:dyDescent="0.25">
      <c r="A153" s="5">
        <v>44440</v>
      </c>
      <c r="B153">
        <v>72.94</v>
      </c>
      <c r="C153">
        <v>87.98</v>
      </c>
      <c r="D153">
        <v>70.7</v>
      </c>
      <c r="E153">
        <v>78.97</v>
      </c>
      <c r="F153">
        <v>317774.21999999997</v>
      </c>
      <c r="G153">
        <v>78.97</v>
      </c>
      <c r="L153" t="s">
        <v>8</v>
      </c>
      <c r="M153" t="s">
        <v>8</v>
      </c>
      <c r="N153" t="s">
        <v>7</v>
      </c>
      <c r="P153">
        <f t="shared" ref="P153" si="740">IF(C153=D153,0,((E153-D153)-(C153-E153))/(C153-D153))</f>
        <v>-4.2824074074074597E-2</v>
      </c>
      <c r="Q153">
        <f t="shared" ref="Q153" si="741">F153*P153</f>
        <v>-13608.386736111277</v>
      </c>
      <c r="R153">
        <f t="shared" ref="R153" si="742">R154+Q153</f>
        <v>-2135963.6977492524</v>
      </c>
      <c r="S153">
        <f t="shared" ref="S153" si="743">R153/100000</f>
        <v>-21.359636977492524</v>
      </c>
      <c r="T153">
        <f t="shared" ref="T153" si="744">S153/1000</f>
        <v>-2.1359636977492526E-2</v>
      </c>
    </row>
    <row r="154" spans="1:20" x14ac:dyDescent="0.25">
      <c r="A154" s="5">
        <v>44439</v>
      </c>
      <c r="B154">
        <v>65.22</v>
      </c>
      <c r="C154">
        <v>82.99</v>
      </c>
      <c r="D154">
        <v>63.67</v>
      </c>
      <c r="E154">
        <v>72.98</v>
      </c>
      <c r="F154">
        <v>196013.69</v>
      </c>
      <c r="G154">
        <v>72.98</v>
      </c>
      <c r="L154" t="s">
        <v>7</v>
      </c>
      <c r="M154" t="s">
        <v>8</v>
      </c>
      <c r="N154" t="s">
        <v>7</v>
      </c>
      <c r="P154">
        <f t="shared" ref="P154" si="745">IF(C154=D154,0,((E154-D154)-(C154-E154))/(C154-D154))</f>
        <v>-3.623188405797044E-2</v>
      </c>
      <c r="Q154">
        <f t="shared" ref="Q154" si="746">F154*P154</f>
        <v>-7101.9452898549598</v>
      </c>
      <c r="R154">
        <f t="shared" ref="R154" si="747">R155+Q154</f>
        <v>-2122355.3110131412</v>
      </c>
      <c r="S154">
        <f t="shared" ref="S154" si="748">R154/100000</f>
        <v>-21.223553110131412</v>
      </c>
      <c r="T154">
        <f t="shared" ref="T154" si="749">S154/1000</f>
        <v>-2.1223553110131414E-2</v>
      </c>
    </row>
    <row r="155" spans="1:20" x14ac:dyDescent="0.25">
      <c r="A155" s="5">
        <v>44438</v>
      </c>
      <c r="B155">
        <v>70</v>
      </c>
      <c r="C155">
        <v>73.98</v>
      </c>
      <c r="D155">
        <v>64.680000000000007</v>
      </c>
      <c r="E155">
        <v>65.41</v>
      </c>
      <c r="F155">
        <v>61548.51</v>
      </c>
      <c r="G155">
        <v>65.41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-0.84301075268817416</v>
      </c>
      <c r="Q155">
        <f t="shared" ref="Q155" si="751">F155*P155</f>
        <v>-51886.055741935619</v>
      </c>
      <c r="R155">
        <f t="shared" ref="R155" si="752">R156+Q155</f>
        <v>-2115253.3657232863</v>
      </c>
      <c r="S155">
        <f t="shared" ref="S155" si="753">R155/100000</f>
        <v>-21.152533657232862</v>
      </c>
      <c r="T155">
        <f t="shared" ref="T155" si="754">S155/1000</f>
        <v>-2.1152533657232863E-2</v>
      </c>
    </row>
    <row r="156" spans="1:20" x14ac:dyDescent="0.25">
      <c r="A156" s="5">
        <v>44437</v>
      </c>
      <c r="B156">
        <v>74.3</v>
      </c>
      <c r="C156">
        <v>76</v>
      </c>
      <c r="D156">
        <v>67.900000000000006</v>
      </c>
      <c r="E156">
        <v>70</v>
      </c>
      <c r="F156">
        <v>69077.509999999995</v>
      </c>
      <c r="G156">
        <v>70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-0.48148148148148251</v>
      </c>
      <c r="Q156">
        <f t="shared" ref="Q156" si="756">F156*P156</f>
        <v>-33259.541851851922</v>
      </c>
      <c r="R156">
        <f t="shared" ref="R156" si="757">R157+Q156</f>
        <v>-2063367.3099813506</v>
      </c>
      <c r="S156">
        <f t="shared" ref="S156" si="758">R156/100000</f>
        <v>-20.633673099813507</v>
      </c>
      <c r="T156">
        <f t="shared" ref="T156" si="759">S156/1000</f>
        <v>-2.0633673099813506E-2</v>
      </c>
    </row>
    <row r="157" spans="1:20" x14ac:dyDescent="0.25">
      <c r="A157" s="5">
        <v>44436</v>
      </c>
      <c r="B157">
        <v>77.3</v>
      </c>
      <c r="C157">
        <v>82</v>
      </c>
      <c r="D157">
        <v>74.069999999999993</v>
      </c>
      <c r="E157">
        <v>74.44</v>
      </c>
      <c r="F157">
        <v>122739.03</v>
      </c>
      <c r="G157">
        <v>74.44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-0.90668348045397118</v>
      </c>
      <c r="Q157">
        <f t="shared" ref="Q157" si="761">F157*P157</f>
        <v>-111285.45090794438</v>
      </c>
      <c r="R157">
        <f t="shared" ref="R157" si="762">R158+Q157</f>
        <v>-2030107.7681294987</v>
      </c>
      <c r="S157">
        <f t="shared" ref="S157" si="763">R157/100000</f>
        <v>-20.301077681294988</v>
      </c>
      <c r="T157">
        <f t="shared" ref="T157" si="764">S157/1000</f>
        <v>-2.0301077681294986E-2</v>
      </c>
    </row>
    <row r="158" spans="1:20" x14ac:dyDescent="0.25">
      <c r="A158" s="5">
        <v>44435</v>
      </c>
      <c r="B158">
        <v>73.22</v>
      </c>
      <c r="C158">
        <v>95.7</v>
      </c>
      <c r="D158">
        <v>68.58</v>
      </c>
      <c r="E158">
        <v>77.7</v>
      </c>
      <c r="F158">
        <v>577691.92000000004</v>
      </c>
      <c r="G158">
        <v>77.7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-0.32743362831858386</v>
      </c>
      <c r="Q158">
        <f t="shared" ref="Q158" si="766">F158*P158</f>
        <v>-189155.7614159291</v>
      </c>
      <c r="R158">
        <f t="shared" ref="R158" si="767">R159+Q158</f>
        <v>-1918822.3172215542</v>
      </c>
      <c r="S158">
        <f t="shared" ref="S158" si="768">R158/100000</f>
        <v>-19.188223172215544</v>
      </c>
      <c r="T158">
        <f t="shared" ref="T158" si="769">S158/1000</f>
        <v>-1.9188223172215545E-2</v>
      </c>
    </row>
    <row r="159" spans="1:20" x14ac:dyDescent="0.25">
      <c r="A159" s="5">
        <v>44434</v>
      </c>
      <c r="B159">
        <v>67.989999999999995</v>
      </c>
      <c r="C159">
        <v>92.67</v>
      </c>
      <c r="D159">
        <v>57.29</v>
      </c>
      <c r="E159">
        <v>73.25</v>
      </c>
      <c r="F159">
        <v>1080552.67</v>
      </c>
      <c r="G159">
        <v>73.25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-9.779536461277559E-2</v>
      </c>
      <c r="Q159">
        <f t="shared" ref="Q159" si="771">F159*P159</f>
        <v>-105673.04234595817</v>
      </c>
      <c r="R159">
        <f t="shared" ref="R159" si="772">R160+Q159</f>
        <v>-1729666.5558056252</v>
      </c>
      <c r="S159">
        <f t="shared" ref="S159" si="773">R159/100000</f>
        <v>-17.296665558056251</v>
      </c>
      <c r="T159">
        <f t="shared" ref="T159" si="774">S159/1000</f>
        <v>-1.729666555805625E-2</v>
      </c>
    </row>
    <row r="160" spans="1:20" x14ac:dyDescent="0.25">
      <c r="A160" s="5">
        <v>44433</v>
      </c>
      <c r="B160">
        <v>49.76</v>
      </c>
      <c r="C160">
        <v>86.99</v>
      </c>
      <c r="D160">
        <v>47.5</v>
      </c>
      <c r="E160">
        <v>68</v>
      </c>
      <c r="F160">
        <v>507601</v>
      </c>
      <c r="G160">
        <v>68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3.8237528488225002E-2</v>
      </c>
      <c r="Q160">
        <f t="shared" ref="Q160" si="776">F160*P160</f>
        <v>19409.407698151499</v>
      </c>
      <c r="R160">
        <f t="shared" ref="R160" si="777">R161+Q160</f>
        <v>-1623993.5134596671</v>
      </c>
      <c r="S160">
        <f t="shared" ref="S160" si="778">R160/100000</f>
        <v>-16.239935134596671</v>
      </c>
      <c r="T160">
        <f t="shared" ref="T160" si="779">S160/1000</f>
        <v>-1.6239935134596671E-2</v>
      </c>
    </row>
    <row r="161" spans="1:20" x14ac:dyDescent="0.25">
      <c r="A161" s="5">
        <v>44432</v>
      </c>
      <c r="B161">
        <v>50.57</v>
      </c>
      <c r="C161">
        <v>51.5</v>
      </c>
      <c r="D161">
        <v>46.73</v>
      </c>
      <c r="E161">
        <v>49.75</v>
      </c>
      <c r="F161">
        <v>36745.519999999997</v>
      </c>
      <c r="G161">
        <v>49.75</v>
      </c>
      <c r="L161" t="s">
        <v>7</v>
      </c>
      <c r="M161" t="s">
        <v>8</v>
      </c>
      <c r="N161" t="s">
        <v>7</v>
      </c>
      <c r="P161">
        <f t="shared" ref="P161" si="780">IF(C161=D161,0,((E161-D161)-(C161-E161))/(C161-D161))</f>
        <v>0.2662473794549271</v>
      </c>
      <c r="Q161">
        <f t="shared" ref="Q161" si="781">F161*P161</f>
        <v>9783.3984067086112</v>
      </c>
      <c r="R161">
        <f t="shared" ref="R161" si="782">R162+Q161</f>
        <v>-1643402.9211578185</v>
      </c>
      <c r="S161">
        <f t="shared" ref="S161" si="783">R161/100000</f>
        <v>-16.434029211578185</v>
      </c>
      <c r="T161">
        <f t="shared" ref="T161" si="784">S161/1000</f>
        <v>-1.6434029211578185E-2</v>
      </c>
    </row>
    <row r="162" spans="1:20" x14ac:dyDescent="0.25">
      <c r="A162" s="5">
        <v>44431</v>
      </c>
      <c r="B162">
        <v>49.34</v>
      </c>
      <c r="C162">
        <v>53.57</v>
      </c>
      <c r="D162">
        <v>49.17</v>
      </c>
      <c r="E162">
        <v>50.56</v>
      </c>
      <c r="F162">
        <v>62957.23</v>
      </c>
      <c r="G162">
        <v>50.56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-0.36818181818181772</v>
      </c>
      <c r="Q162">
        <f t="shared" ref="Q162" si="786">F162*P162</f>
        <v>-23179.707409090883</v>
      </c>
      <c r="R162">
        <f t="shared" ref="R162" si="787">R163+Q162</f>
        <v>-1653186.3195645271</v>
      </c>
      <c r="S162">
        <f t="shared" ref="S162" si="788">R162/100000</f>
        <v>-16.531863195645272</v>
      </c>
      <c r="T162">
        <f t="shared" ref="T162" si="789">S162/1000</f>
        <v>-1.6531863195645272E-2</v>
      </c>
    </row>
    <row r="163" spans="1:20" x14ac:dyDescent="0.25">
      <c r="A163" s="5">
        <v>44430</v>
      </c>
      <c r="B163">
        <v>49.32</v>
      </c>
      <c r="C163">
        <v>50.25</v>
      </c>
      <c r="D163">
        <v>48.32</v>
      </c>
      <c r="E163">
        <v>49.49</v>
      </c>
      <c r="F163">
        <v>9175.1299999999992</v>
      </c>
      <c r="G163">
        <v>49.49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0.21243523316062371</v>
      </c>
      <c r="Q163">
        <f t="shared" ref="Q163" si="791">F163*P163</f>
        <v>1949.1208808290332</v>
      </c>
      <c r="R163">
        <f t="shared" ref="R163" si="792">R164+Q163</f>
        <v>-1630006.6121554363</v>
      </c>
      <c r="S163">
        <f t="shared" ref="S163" si="793">R163/100000</f>
        <v>-16.300066121554362</v>
      </c>
      <c r="T163">
        <f t="shared" ref="T163" si="794">S163/1000</f>
        <v>-1.6300066121554362E-2</v>
      </c>
    </row>
    <row r="164" spans="1:20" x14ac:dyDescent="0.25">
      <c r="A164" s="5">
        <v>44429</v>
      </c>
      <c r="B164">
        <v>51.65</v>
      </c>
      <c r="C164">
        <v>52.59</v>
      </c>
      <c r="D164">
        <v>49.31</v>
      </c>
      <c r="E164">
        <v>49.31</v>
      </c>
      <c r="F164">
        <v>36064.480000000003</v>
      </c>
      <c r="G164">
        <v>49.31</v>
      </c>
      <c r="L164" t="s">
        <v>8</v>
      </c>
      <c r="M164" t="s">
        <v>8</v>
      </c>
      <c r="N164" t="s">
        <v>7</v>
      </c>
      <c r="P164">
        <f t="shared" ref="P164" si="795">IF(C164=D164,0,((E164-D164)-(C164-E164))/(C164-D164))</f>
        <v>-1</v>
      </c>
      <c r="Q164">
        <f t="shared" ref="Q164" si="796">F164*P164</f>
        <v>-36064.480000000003</v>
      </c>
      <c r="R164">
        <f t="shared" ref="R164" si="797">R165+Q164</f>
        <v>-1631955.7330362652</v>
      </c>
      <c r="S164">
        <f t="shared" ref="S164" si="798">R164/100000</f>
        <v>-16.319557330362652</v>
      </c>
      <c r="T164">
        <f t="shared" ref="T164" si="799">S164/1000</f>
        <v>-1.6319557330362652E-2</v>
      </c>
    </row>
    <row r="165" spans="1:20" x14ac:dyDescent="0.25">
      <c r="A165" s="5">
        <v>44428</v>
      </c>
      <c r="B165">
        <v>50.27</v>
      </c>
      <c r="C165">
        <v>51.9</v>
      </c>
      <c r="D165">
        <v>49.24</v>
      </c>
      <c r="E165">
        <v>51.65</v>
      </c>
      <c r="F165">
        <v>31871.58</v>
      </c>
      <c r="G165">
        <v>51.65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0.81203007518796966</v>
      </c>
      <c r="Q165">
        <f t="shared" ref="Q165" si="801">F165*P165</f>
        <v>25880.681503759391</v>
      </c>
      <c r="R165">
        <f t="shared" ref="R165" si="802">R166+Q165</f>
        <v>-1595891.2530362653</v>
      </c>
      <c r="S165">
        <f t="shared" ref="S165" si="803">R165/100000</f>
        <v>-15.958912530362653</v>
      </c>
      <c r="T165">
        <f t="shared" ref="T165" si="804">S165/1000</f>
        <v>-1.5958912530362652E-2</v>
      </c>
    </row>
    <row r="166" spans="1:20" x14ac:dyDescent="0.25">
      <c r="A166" s="5">
        <v>44427</v>
      </c>
      <c r="B166">
        <v>46.96</v>
      </c>
      <c r="C166">
        <v>51.51</v>
      </c>
      <c r="D166">
        <v>45.21</v>
      </c>
      <c r="E166">
        <v>50.27</v>
      </c>
      <c r="F166">
        <v>54594.47</v>
      </c>
      <c r="G166">
        <v>50.27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0.60634920634920775</v>
      </c>
      <c r="Q166">
        <f t="shared" ref="Q166" si="806">F166*P166</f>
        <v>33103.313555555629</v>
      </c>
      <c r="R166">
        <f t="shared" ref="R166" si="807">R167+Q166</f>
        <v>-1621771.9345400247</v>
      </c>
      <c r="S166">
        <f t="shared" ref="S166" si="808">R166/100000</f>
        <v>-16.217719345400248</v>
      </c>
      <c r="T166">
        <f t="shared" ref="T166" si="809">S166/1000</f>
        <v>-1.6217719345400249E-2</v>
      </c>
    </row>
    <row r="167" spans="1:20" x14ac:dyDescent="0.25">
      <c r="A167" s="5">
        <v>44426</v>
      </c>
      <c r="B167">
        <v>45.7</v>
      </c>
      <c r="C167">
        <v>48.22</v>
      </c>
      <c r="D167">
        <v>44.55</v>
      </c>
      <c r="E167">
        <v>47.01</v>
      </c>
      <c r="F167">
        <v>30561.86</v>
      </c>
      <c r="G167">
        <v>47.01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0.3405994550408718</v>
      </c>
      <c r="Q167">
        <f t="shared" ref="Q167" si="811">F167*P167</f>
        <v>10409.352861035419</v>
      </c>
      <c r="R167">
        <f t="shared" ref="R167" si="812">R168+Q167</f>
        <v>-1654875.2480955804</v>
      </c>
      <c r="S167">
        <f t="shared" ref="S167" si="813">R167/100000</f>
        <v>-16.548752480955805</v>
      </c>
      <c r="T167">
        <f t="shared" ref="T167" si="814">S167/1000</f>
        <v>-1.6548752480955806E-2</v>
      </c>
    </row>
    <row r="168" spans="1:20" x14ac:dyDescent="0.25">
      <c r="A168" s="5">
        <v>44425</v>
      </c>
      <c r="B168">
        <v>50</v>
      </c>
      <c r="C168">
        <v>51.82</v>
      </c>
      <c r="D168">
        <v>45.5</v>
      </c>
      <c r="E168">
        <v>45.71</v>
      </c>
      <c r="F168">
        <v>53184.53</v>
      </c>
      <c r="G168">
        <v>45.71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-0.93354430379746811</v>
      </c>
      <c r="Q168">
        <f t="shared" ref="Q168" si="816">F168*P168</f>
        <v>-49650.115031645553</v>
      </c>
      <c r="R168">
        <f t="shared" ref="R168" si="817">R169+Q168</f>
        <v>-1665284.6009566158</v>
      </c>
      <c r="S168">
        <f t="shared" ref="S168" si="818">R168/100000</f>
        <v>-16.652846009566158</v>
      </c>
      <c r="T168">
        <f t="shared" ref="T168" si="819">S168/1000</f>
        <v>-1.6652846009566159E-2</v>
      </c>
    </row>
    <row r="169" spans="1:20" x14ac:dyDescent="0.25">
      <c r="A169" s="5">
        <v>44424</v>
      </c>
      <c r="B169">
        <v>53.47</v>
      </c>
      <c r="C169">
        <v>56.96</v>
      </c>
      <c r="D169">
        <v>49.13</v>
      </c>
      <c r="E169">
        <v>49.97</v>
      </c>
      <c r="F169">
        <v>87400.15</v>
      </c>
      <c r="G169">
        <v>49.97</v>
      </c>
      <c r="L169" t="s">
        <v>7</v>
      </c>
      <c r="M169" t="s">
        <v>7</v>
      </c>
      <c r="N169" t="s">
        <v>7</v>
      </c>
      <c r="P169">
        <f t="shared" ref="P169" si="820">IF(C169=D169,0,((E169-D169)-(C169-E169))/(C169-D169))</f>
        <v>-0.78544061302682078</v>
      </c>
      <c r="Q169">
        <f t="shared" ref="Q169" si="821">F169*P169</f>
        <v>-68647.627394636089</v>
      </c>
      <c r="R169">
        <f t="shared" ref="R169" si="822">R170+Q169</f>
        <v>-1615634.4859249701</v>
      </c>
      <c r="S169">
        <f t="shared" ref="S169" si="823">R169/100000</f>
        <v>-16.1563448592497</v>
      </c>
      <c r="T169">
        <f t="shared" ref="T169" si="824">S169/1000</f>
        <v>-1.6156344859249699E-2</v>
      </c>
    </row>
    <row r="170" spans="1:20" x14ac:dyDescent="0.25">
      <c r="A170" s="5">
        <v>44423</v>
      </c>
      <c r="B170">
        <v>53.36</v>
      </c>
      <c r="C170">
        <v>53.75</v>
      </c>
      <c r="D170">
        <v>50.5</v>
      </c>
      <c r="E170">
        <v>53.37</v>
      </c>
      <c r="F170">
        <v>38221.93</v>
      </c>
      <c r="G170">
        <v>53.37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0.76615384615384463</v>
      </c>
      <c r="Q170">
        <f t="shared" ref="Q170" si="826">F170*P170</f>
        <v>29283.878676923017</v>
      </c>
      <c r="R170">
        <f t="shared" ref="R170" si="827">R171+Q170</f>
        <v>-1546986.858530334</v>
      </c>
      <c r="S170">
        <f t="shared" ref="S170" si="828">R170/100000</f>
        <v>-15.46986858530334</v>
      </c>
      <c r="T170">
        <f t="shared" ref="T170" si="829">S170/1000</f>
        <v>-1.546986858530334E-2</v>
      </c>
    </row>
    <row r="171" spans="1:20" x14ac:dyDescent="0.25">
      <c r="A171" s="5">
        <v>44422</v>
      </c>
      <c r="B171">
        <v>56.78</v>
      </c>
      <c r="C171">
        <v>58.3</v>
      </c>
      <c r="D171">
        <v>52.15</v>
      </c>
      <c r="E171">
        <v>53.33</v>
      </c>
      <c r="F171">
        <v>64425.68</v>
      </c>
      <c r="G171">
        <v>53.33</v>
      </c>
      <c r="L171" t="s">
        <v>7</v>
      </c>
      <c r="M171" t="s">
        <v>8</v>
      </c>
      <c r="N171" t="s">
        <v>7</v>
      </c>
      <c r="P171">
        <f t="shared" ref="P171" si="830">IF(C171=D171,0,((E171-D171)-(C171-E171))/(C171-D171))</f>
        <v>-0.61626016260162597</v>
      </c>
      <c r="Q171">
        <f t="shared" ref="Q171" si="831">F171*P171</f>
        <v>-39702.980032520325</v>
      </c>
      <c r="R171">
        <f t="shared" ref="R171" si="832">R172+Q171</f>
        <v>-1576270.737207257</v>
      </c>
      <c r="S171">
        <f t="shared" ref="S171" si="833">R171/100000</f>
        <v>-15.762707372072569</v>
      </c>
      <c r="T171">
        <f t="shared" ref="T171" si="834">S171/1000</f>
        <v>-1.5762707372072568E-2</v>
      </c>
    </row>
    <row r="172" spans="1:20" x14ac:dyDescent="0.25">
      <c r="A172" s="5">
        <v>44421</v>
      </c>
      <c r="B172">
        <v>53.6</v>
      </c>
      <c r="C172">
        <v>62</v>
      </c>
      <c r="D172">
        <v>53.52</v>
      </c>
      <c r="E172">
        <v>56.8</v>
      </c>
      <c r="F172">
        <v>118226.32</v>
      </c>
      <c r="G172">
        <v>56.8</v>
      </c>
      <c r="L172" t="s">
        <v>8</v>
      </c>
      <c r="M172" t="s">
        <v>8</v>
      </c>
      <c r="N172" t="s">
        <v>7</v>
      </c>
      <c r="P172">
        <f t="shared" ref="P172" si="835">IF(C172=D172,0,((E172-D172)-(C172-E172))/(C172-D172))</f>
        <v>-0.22641509433962376</v>
      </c>
      <c r="Q172">
        <f t="shared" ref="Q172" si="836">F172*P172</f>
        <v>-26768.223396226549</v>
      </c>
      <c r="R172">
        <f t="shared" ref="R172" si="837">R173+Q172</f>
        <v>-1536567.7571747366</v>
      </c>
      <c r="S172">
        <f t="shared" ref="S172" si="838">R172/100000</f>
        <v>-15.365677571747366</v>
      </c>
      <c r="T172">
        <f t="shared" ref="T172" si="839">S172/1000</f>
        <v>-1.5365677571747366E-2</v>
      </c>
    </row>
    <row r="173" spans="1:20" x14ac:dyDescent="0.25">
      <c r="A173" s="5">
        <v>44420</v>
      </c>
      <c r="B173">
        <v>51.51</v>
      </c>
      <c r="C173">
        <v>54.04</v>
      </c>
      <c r="D173">
        <v>49.01</v>
      </c>
      <c r="E173">
        <v>53.66</v>
      </c>
      <c r="F173">
        <v>132682.47</v>
      </c>
      <c r="G173">
        <v>53.66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0.84890656063618197</v>
      </c>
      <c r="Q173">
        <f t="shared" ref="Q173" si="841">F173*P173</f>
        <v>112635.01926441339</v>
      </c>
      <c r="R173">
        <f t="shared" ref="R173" si="842">R174+Q173</f>
        <v>-1509799.5337785101</v>
      </c>
      <c r="S173">
        <f t="shared" ref="S173" si="843">R173/100000</f>
        <v>-15.0979953377851</v>
      </c>
      <c r="T173">
        <f t="shared" ref="T173" si="844">S173/1000</f>
        <v>-1.50979953377851E-2</v>
      </c>
    </row>
    <row r="174" spans="1:20" x14ac:dyDescent="0.25">
      <c r="A174" s="5">
        <v>44419</v>
      </c>
      <c r="B174">
        <v>55.32</v>
      </c>
      <c r="C174">
        <v>58.66</v>
      </c>
      <c r="D174">
        <v>51</v>
      </c>
      <c r="E174">
        <v>51.65</v>
      </c>
      <c r="F174">
        <v>134629.79</v>
      </c>
      <c r="G174">
        <v>51.65</v>
      </c>
      <c r="L174" t="s">
        <v>7</v>
      </c>
      <c r="M174" t="s">
        <v>7</v>
      </c>
      <c r="N174" t="s">
        <v>7</v>
      </c>
      <c r="P174">
        <f t="shared" ref="P174" si="845">IF(C174=D174,0,((E174-D174)-(C174-E174))/(C174-D174))</f>
        <v>-0.8302872062663188</v>
      </c>
      <c r="Q174">
        <f t="shared" ref="Q174" si="846">F174*P174</f>
        <v>-111781.39221932119</v>
      </c>
      <c r="R174">
        <f t="shared" ref="R174" si="847">R175+Q174</f>
        <v>-1622434.5530429236</v>
      </c>
      <c r="S174">
        <f t="shared" ref="S174" si="848">R174/100000</f>
        <v>-16.224345530429236</v>
      </c>
      <c r="T174">
        <f t="shared" ref="T174" si="849">S174/1000</f>
        <v>-1.6224345530429236E-2</v>
      </c>
    </row>
    <row r="175" spans="1:20" x14ac:dyDescent="0.25">
      <c r="A175" s="5">
        <v>44418</v>
      </c>
      <c r="B175">
        <v>56.56</v>
      </c>
      <c r="C175">
        <v>59.05</v>
      </c>
      <c r="D175">
        <v>54.17</v>
      </c>
      <c r="E175">
        <v>55.32</v>
      </c>
      <c r="F175">
        <v>149284.35</v>
      </c>
      <c r="G175">
        <v>55.32</v>
      </c>
      <c r="L175" t="s">
        <v>8</v>
      </c>
      <c r="M175" t="s">
        <v>7</v>
      </c>
      <c r="N175" t="s">
        <v>7</v>
      </c>
      <c r="P175">
        <f t="shared" ref="P175" si="850">IF(C175=D175,0,((E175-D175)-(C175-E175))/(C175-D175))</f>
        <v>-0.52868852459016413</v>
      </c>
      <c r="Q175">
        <f t="shared" ref="Q175" si="851">F175*P175</f>
        <v>-78924.922745901669</v>
      </c>
      <c r="R175">
        <f t="shared" ref="R175" si="852">R176+Q175</f>
        <v>-1510653.1608236025</v>
      </c>
      <c r="S175">
        <f t="shared" ref="S175" si="853">R175/100000</f>
        <v>-15.106531608236025</v>
      </c>
      <c r="T175">
        <f t="shared" ref="T175" si="854">S175/1000</f>
        <v>-1.5106531608236025E-2</v>
      </c>
    </row>
    <row r="176" spans="1:20" x14ac:dyDescent="0.25">
      <c r="A176" s="5">
        <v>44417</v>
      </c>
      <c r="B176">
        <v>59.26</v>
      </c>
      <c r="C176">
        <v>62.87</v>
      </c>
      <c r="D176">
        <v>53.01</v>
      </c>
      <c r="E176">
        <v>56.56</v>
      </c>
      <c r="F176">
        <v>334478.34999999998</v>
      </c>
      <c r="G176">
        <v>56.56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-0.27991886409736216</v>
      </c>
      <c r="Q176">
        <f t="shared" ref="Q176" si="856">F176*P176</f>
        <v>-93626.799797159925</v>
      </c>
      <c r="R176">
        <f t="shared" ref="R176" si="857">R177+Q176</f>
        <v>-1431728.2380777008</v>
      </c>
      <c r="S176">
        <f t="shared" ref="S176" si="858">R176/100000</f>
        <v>-14.317282380777009</v>
      </c>
      <c r="T176">
        <f t="shared" ref="T176" si="859">S176/1000</f>
        <v>-1.431728238077701E-2</v>
      </c>
    </row>
    <row r="177" spans="1:20" x14ac:dyDescent="0.25">
      <c r="A177" s="5">
        <v>44416</v>
      </c>
      <c r="B177">
        <v>62.16</v>
      </c>
      <c r="C177">
        <v>77.010000000000005</v>
      </c>
      <c r="D177">
        <v>54.14</v>
      </c>
      <c r="E177">
        <v>59.26</v>
      </c>
      <c r="F177">
        <v>1410562.21</v>
      </c>
      <c r="G177">
        <v>59.26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-0.55225185832968982</v>
      </c>
      <c r="Q177">
        <f t="shared" ref="Q177" si="861">F177*P177</f>
        <v>-778985.60176213412</v>
      </c>
      <c r="R177">
        <f t="shared" ref="R177" si="862">R178+Q177</f>
        <v>-1338101.438280541</v>
      </c>
      <c r="S177">
        <f t="shared" ref="S177" si="863">R177/100000</f>
        <v>-13.381014382805409</v>
      </c>
      <c r="T177">
        <f t="shared" ref="T177" si="864">S177/1000</f>
        <v>-1.3381014382805409E-2</v>
      </c>
    </row>
    <row r="178" spans="1:20" x14ac:dyDescent="0.25">
      <c r="A178" s="5">
        <v>44415</v>
      </c>
      <c r="B178">
        <v>36.79</v>
      </c>
      <c r="C178">
        <v>83.71</v>
      </c>
      <c r="D178">
        <v>36</v>
      </c>
      <c r="E178">
        <v>62.16</v>
      </c>
      <c r="F178">
        <v>1365964.92</v>
      </c>
      <c r="G178">
        <v>62.16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9.6625445399287357E-2</v>
      </c>
      <c r="Q178">
        <f t="shared" ref="Q178" si="866">F178*P178</f>
        <v>131986.96879480191</v>
      </c>
      <c r="R178">
        <f t="shared" ref="R178" si="867">R179+Q178</f>
        <v>-559115.83651840687</v>
      </c>
      <c r="S178">
        <f t="shared" ref="S178" si="868">R178/100000</f>
        <v>-5.5911583651840688</v>
      </c>
      <c r="T178">
        <f t="shared" ref="T178" si="869">S178/1000</f>
        <v>-5.5911583651840685E-3</v>
      </c>
    </row>
    <row r="179" spans="1:20" x14ac:dyDescent="0.25">
      <c r="A179" s="5">
        <v>44414</v>
      </c>
      <c r="B179">
        <v>37.39</v>
      </c>
      <c r="C179">
        <v>38.200000000000003</v>
      </c>
      <c r="D179">
        <v>33.619999999999997</v>
      </c>
      <c r="E179">
        <v>36.76</v>
      </c>
      <c r="F179">
        <v>63437.68</v>
      </c>
      <c r="G179">
        <v>36.76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0.37117903930130869</v>
      </c>
      <c r="Q179">
        <f t="shared" ref="Q179" si="871">F179*P179</f>
        <v>23546.737117903846</v>
      </c>
      <c r="R179">
        <f t="shared" ref="R179" si="872">R180+Q179</f>
        <v>-691102.80531320884</v>
      </c>
      <c r="S179">
        <f t="shared" ref="S179" si="873">R179/100000</f>
        <v>-6.911028053132088</v>
      </c>
      <c r="T179">
        <f t="shared" ref="T179" si="874">S179/1000</f>
        <v>-6.9110280531320878E-3</v>
      </c>
    </row>
    <row r="180" spans="1:20" x14ac:dyDescent="0.25">
      <c r="A180" s="5">
        <v>44413</v>
      </c>
      <c r="B180">
        <v>32.89</v>
      </c>
      <c r="C180">
        <v>39.71</v>
      </c>
      <c r="D180">
        <v>31.12</v>
      </c>
      <c r="E180">
        <v>37.39</v>
      </c>
      <c r="F180">
        <v>85697.93</v>
      </c>
      <c r="G180">
        <v>37.39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0.45983701979045394</v>
      </c>
      <c r="Q180">
        <f t="shared" ref="Q180" si="876">F180*P180</f>
        <v>39407.080733410934</v>
      </c>
      <c r="R180">
        <f t="shared" ref="R180" si="877">R181+Q180</f>
        <v>-714649.54243111273</v>
      </c>
      <c r="S180">
        <f t="shared" ref="S180" si="878">R180/100000</f>
        <v>-7.1464954243111274</v>
      </c>
      <c r="T180">
        <f t="shared" ref="T180" si="879">S180/1000</f>
        <v>-7.1464954243111271E-3</v>
      </c>
    </row>
    <row r="181" spans="1:20" x14ac:dyDescent="0.25">
      <c r="A181" s="5">
        <v>44412</v>
      </c>
      <c r="B181">
        <v>31.5</v>
      </c>
      <c r="C181">
        <v>32.97</v>
      </c>
      <c r="D181">
        <v>30.86</v>
      </c>
      <c r="E181">
        <v>32.85</v>
      </c>
      <c r="F181">
        <v>22139.919999999998</v>
      </c>
      <c r="G181">
        <v>32.85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0.88625592417061849</v>
      </c>
      <c r="Q181">
        <f t="shared" ref="Q181" si="881">F181*P181</f>
        <v>19621.635260663559</v>
      </c>
      <c r="R181">
        <f t="shared" ref="R181" si="882">R182+Q181</f>
        <v>-754056.62316452363</v>
      </c>
      <c r="S181">
        <f t="shared" ref="S181" si="883">R181/100000</f>
        <v>-7.5405662316452364</v>
      </c>
      <c r="T181">
        <f t="shared" ref="T181" si="884">S181/1000</f>
        <v>-7.5405662316452363E-3</v>
      </c>
    </row>
    <row r="182" spans="1:20" x14ac:dyDescent="0.25">
      <c r="A182" s="5">
        <v>44411</v>
      </c>
      <c r="B182">
        <v>34.75</v>
      </c>
      <c r="C182">
        <v>35.5</v>
      </c>
      <c r="D182">
        <v>30.24</v>
      </c>
      <c r="E182">
        <v>31.41</v>
      </c>
      <c r="F182">
        <v>53418.52</v>
      </c>
      <c r="G182">
        <v>31.41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-0.55513307984790827</v>
      </c>
      <c r="Q182">
        <f t="shared" ref="Q182" si="886">F182*P182</f>
        <v>-29654.387528517083</v>
      </c>
      <c r="R182">
        <f t="shared" ref="R182" si="887">R183+Q182</f>
        <v>-773678.2584251872</v>
      </c>
      <c r="S182">
        <f t="shared" ref="S182" si="888">R182/100000</f>
        <v>-7.7367825842518716</v>
      </c>
      <c r="T182">
        <f t="shared" ref="T182" si="889">S182/1000</f>
        <v>-7.7367825842518719E-3</v>
      </c>
    </row>
    <row r="183" spans="1:20" x14ac:dyDescent="0.25">
      <c r="A183" s="5">
        <v>44410</v>
      </c>
      <c r="B183">
        <v>34.65</v>
      </c>
      <c r="C183">
        <v>35.46</v>
      </c>
      <c r="D183">
        <v>33.97</v>
      </c>
      <c r="E183">
        <v>34.729999999999997</v>
      </c>
      <c r="F183">
        <v>8965.07</v>
      </c>
      <c r="G183">
        <v>34.729999999999997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2.013422818791543E-2</v>
      </c>
      <c r="Q183">
        <f t="shared" ref="Q183" si="891">F183*P183</f>
        <v>180.50476510063498</v>
      </c>
      <c r="R183">
        <f t="shared" ref="R183" si="892">R184+Q183</f>
        <v>-744023.87089667015</v>
      </c>
      <c r="S183">
        <f t="shared" ref="S183" si="893">R183/100000</f>
        <v>-7.4402387089667013</v>
      </c>
      <c r="T183">
        <f t="shared" ref="T183" si="894">S183/1000</f>
        <v>-7.4402387089667014E-3</v>
      </c>
    </row>
    <row r="184" spans="1:20" x14ac:dyDescent="0.25">
      <c r="A184" s="5">
        <v>44409</v>
      </c>
      <c r="B184">
        <v>36.299999999999997</v>
      </c>
      <c r="C184">
        <v>37.979999999999997</v>
      </c>
      <c r="D184">
        <v>34.39</v>
      </c>
      <c r="E184">
        <v>34.700000000000003</v>
      </c>
      <c r="F184">
        <v>19200.150000000001</v>
      </c>
      <c r="G184">
        <v>34.700000000000003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-0.82729805013927438</v>
      </c>
      <c r="Q184">
        <f t="shared" ref="Q184" si="896">F184*P184</f>
        <v>-15884.246657381591</v>
      </c>
      <c r="R184">
        <f t="shared" ref="R184" si="897">R185+Q184</f>
        <v>-744204.37566177081</v>
      </c>
      <c r="S184">
        <f t="shared" ref="S184" si="898">R184/100000</f>
        <v>-7.442043756617708</v>
      </c>
      <c r="T184">
        <f t="shared" ref="T184" si="899">S184/1000</f>
        <v>-7.4420437566177083E-3</v>
      </c>
    </row>
    <row r="185" spans="1:20" x14ac:dyDescent="0.25">
      <c r="A185" s="5">
        <v>44408</v>
      </c>
      <c r="B185">
        <v>37.159999999999997</v>
      </c>
      <c r="C185">
        <v>37.770000000000003</v>
      </c>
      <c r="D185">
        <v>34.78</v>
      </c>
      <c r="E185">
        <v>36.14</v>
      </c>
      <c r="F185">
        <v>23341.33</v>
      </c>
      <c r="G185">
        <v>36.14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-9.0301003344482586E-2</v>
      </c>
      <c r="Q185">
        <f t="shared" ref="Q185" si="901">F185*P185</f>
        <v>-2107.7455183946718</v>
      </c>
      <c r="R185">
        <f t="shared" ref="R185" si="902">R186+Q185</f>
        <v>-728320.12900438916</v>
      </c>
      <c r="S185">
        <f t="shared" ref="S185" si="903">R185/100000</f>
        <v>-7.2832012900438921</v>
      </c>
      <c r="T185">
        <f t="shared" ref="T185" si="904">S185/1000</f>
        <v>-7.2832012900438921E-3</v>
      </c>
    </row>
    <row r="186" spans="1:20" x14ac:dyDescent="0.25">
      <c r="A186" s="5">
        <v>44407</v>
      </c>
      <c r="B186">
        <v>32.68</v>
      </c>
      <c r="C186">
        <v>38.56</v>
      </c>
      <c r="D186">
        <v>32.04</v>
      </c>
      <c r="E186">
        <v>37.44</v>
      </c>
      <c r="F186">
        <v>47758.8</v>
      </c>
      <c r="G186">
        <v>37.44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0.65644171779140981</v>
      </c>
      <c r="Q186">
        <f t="shared" ref="Q186" si="906">F186*P186</f>
        <v>31350.868711656385</v>
      </c>
      <c r="R186">
        <f t="shared" ref="R186" si="907">R187+Q186</f>
        <v>-726212.38348599453</v>
      </c>
      <c r="S186">
        <f t="shared" ref="S186" si="908">R186/100000</f>
        <v>-7.2621238348599455</v>
      </c>
      <c r="T186">
        <f t="shared" ref="T186" si="909">S186/1000</f>
        <v>-7.2621238348599456E-3</v>
      </c>
    </row>
    <row r="187" spans="1:20" x14ac:dyDescent="0.25">
      <c r="A187" s="5">
        <v>44406</v>
      </c>
      <c r="B187">
        <v>32.479999999999997</v>
      </c>
      <c r="C187">
        <v>33.17</v>
      </c>
      <c r="D187">
        <v>31.66</v>
      </c>
      <c r="E187">
        <v>32.68</v>
      </c>
      <c r="F187">
        <v>10859.61</v>
      </c>
      <c r="G187">
        <v>32.68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0.35099337748344173</v>
      </c>
      <c r="Q187">
        <f t="shared" ref="Q187" si="911">F187*P187</f>
        <v>3811.6511920529588</v>
      </c>
      <c r="R187">
        <f t="shared" ref="R187" si="912">R188+Q187</f>
        <v>-757563.25219765096</v>
      </c>
      <c r="S187">
        <f t="shared" ref="S187" si="913">R187/100000</f>
        <v>-7.5756325219765097</v>
      </c>
      <c r="T187">
        <f t="shared" ref="T187" si="914">S187/1000</f>
        <v>-7.5756325219765094E-3</v>
      </c>
    </row>
    <row r="188" spans="1:20" x14ac:dyDescent="0.25">
      <c r="A188" s="5">
        <v>44405</v>
      </c>
      <c r="B188">
        <v>33.53</v>
      </c>
      <c r="C188">
        <v>34.049999999999997</v>
      </c>
      <c r="D188">
        <v>32.159999999999997</v>
      </c>
      <c r="E188">
        <v>32.64</v>
      </c>
      <c r="F188">
        <v>9551.89</v>
      </c>
      <c r="G188">
        <v>32.64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-0.49206349206348798</v>
      </c>
      <c r="Q188">
        <f t="shared" ref="Q188" si="916">F188*P188</f>
        <v>-4700.1363492063101</v>
      </c>
      <c r="R188">
        <f t="shared" ref="R188" si="917">R189+Q188</f>
        <v>-761374.90338970395</v>
      </c>
      <c r="S188">
        <f t="shared" ref="S188" si="918">R188/100000</f>
        <v>-7.6137490338970393</v>
      </c>
      <c r="T188">
        <f t="shared" ref="T188" si="919">S188/1000</f>
        <v>-7.6137490338970392E-3</v>
      </c>
    </row>
    <row r="189" spans="1:20" x14ac:dyDescent="0.25">
      <c r="A189" s="5">
        <v>44404</v>
      </c>
      <c r="B189">
        <v>33.17</v>
      </c>
      <c r="C189">
        <v>34.03</v>
      </c>
      <c r="D189">
        <v>31.55</v>
      </c>
      <c r="E189">
        <v>33.47</v>
      </c>
      <c r="F189">
        <v>12277.28</v>
      </c>
      <c r="G189">
        <v>33.47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0.54838709677419184</v>
      </c>
      <c r="Q189">
        <f t="shared" ref="Q189" si="921">F189*P189</f>
        <v>6732.7019354838503</v>
      </c>
      <c r="R189">
        <f t="shared" ref="R189" si="922">R190+Q189</f>
        <v>-756674.76704049762</v>
      </c>
      <c r="S189">
        <f t="shared" ref="S189" si="923">R189/100000</f>
        <v>-7.5667476704049763</v>
      </c>
      <c r="T189">
        <f t="shared" ref="T189" si="924">S189/1000</f>
        <v>-7.5667476704049767E-3</v>
      </c>
    </row>
    <row r="190" spans="1:20" x14ac:dyDescent="0.25">
      <c r="A190" s="5">
        <v>44403</v>
      </c>
      <c r="B190">
        <v>32.630000000000003</v>
      </c>
      <c r="C190">
        <v>37.47</v>
      </c>
      <c r="D190">
        <v>32.39</v>
      </c>
      <c r="E190">
        <v>33.17</v>
      </c>
      <c r="F190">
        <v>33711.07</v>
      </c>
      <c r="G190">
        <v>33.17</v>
      </c>
      <c r="L190" t="s">
        <v>7</v>
      </c>
      <c r="M190" t="s">
        <v>7</v>
      </c>
      <c r="N190" t="s">
        <v>8</v>
      </c>
      <c r="P190">
        <f t="shared" ref="P190" si="925">IF(C190=D190,0,((E190-D190)-(C190-E190))/(C190-D190))</f>
        <v>-0.69291338582677109</v>
      </c>
      <c r="Q190">
        <f t="shared" ref="Q190" si="926">F190*P190</f>
        <v>-23358.851653543286</v>
      </c>
      <c r="R190">
        <f t="shared" ref="R190" si="927">R191+Q190</f>
        <v>-763407.46897598146</v>
      </c>
      <c r="S190">
        <f t="shared" ref="S190" si="928">R190/100000</f>
        <v>-7.6340746897598146</v>
      </c>
      <c r="T190">
        <f t="shared" ref="T190" si="929">S190/1000</f>
        <v>-7.6340746897598146E-3</v>
      </c>
    </row>
    <row r="191" spans="1:20" x14ac:dyDescent="0.25">
      <c r="A191" s="5">
        <v>44402</v>
      </c>
      <c r="B191">
        <v>32.65</v>
      </c>
      <c r="C191">
        <v>38.85</v>
      </c>
      <c r="D191">
        <v>30.4</v>
      </c>
      <c r="E191">
        <v>32.630000000000003</v>
      </c>
      <c r="F191">
        <v>51722.68</v>
      </c>
      <c r="G191">
        <v>32.630000000000003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-0.47218934911242527</v>
      </c>
      <c r="Q191">
        <f t="shared" ref="Q191" si="931">F191*P191</f>
        <v>-24422.898603550257</v>
      </c>
      <c r="R191">
        <f t="shared" ref="R191" si="932">R192+Q191</f>
        <v>-740048.61732243816</v>
      </c>
      <c r="S191">
        <f t="shared" ref="S191" si="933">R191/100000</f>
        <v>-7.4004861732243814</v>
      </c>
      <c r="T191">
        <f t="shared" ref="T191:T197" si="934">S191/1000</f>
        <v>-7.4004861732243814E-3</v>
      </c>
    </row>
    <row r="192" spans="1:20" x14ac:dyDescent="0.25">
      <c r="A192" s="5">
        <v>44401</v>
      </c>
      <c r="B192">
        <v>30.7</v>
      </c>
      <c r="C192">
        <v>33.94</v>
      </c>
      <c r="D192">
        <v>29.84</v>
      </c>
      <c r="E192">
        <v>32.82</v>
      </c>
      <c r="F192">
        <v>35179.65</v>
      </c>
      <c r="G192">
        <v>32.82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0.45365853658536681</v>
      </c>
      <c r="Q192">
        <f t="shared" ref="Q192" si="936">F192*P192</f>
        <v>15959.5485365854</v>
      </c>
      <c r="R192">
        <f t="shared" ref="R192" si="937">R193+Q192</f>
        <v>-715625.71871888789</v>
      </c>
      <c r="S192">
        <f t="shared" ref="S192" si="938">R192/100000</f>
        <v>-7.1562571871888787</v>
      </c>
      <c r="T192">
        <f t="shared" si="934"/>
        <v>-7.1562571871888791E-3</v>
      </c>
    </row>
    <row r="193" spans="1:20" x14ac:dyDescent="0.25">
      <c r="A193" s="5">
        <v>44400</v>
      </c>
      <c r="B193">
        <v>30.46</v>
      </c>
      <c r="C193">
        <v>31.61</v>
      </c>
      <c r="D193">
        <v>28.61</v>
      </c>
      <c r="E193">
        <v>30.7</v>
      </c>
      <c r="F193">
        <v>23757.83</v>
      </c>
      <c r="G193">
        <v>30.7</v>
      </c>
      <c r="L193" t="s">
        <v>7</v>
      </c>
      <c r="M193" t="s">
        <v>7</v>
      </c>
      <c r="N193" t="s">
        <v>7</v>
      </c>
      <c r="P193">
        <f t="shared" ref="P193" si="939">IF(C193=D193,0,((E193-D193)-(C193-E193))/(C193-D193))</f>
        <v>0.39333333333333326</v>
      </c>
      <c r="Q193">
        <f t="shared" ref="Q193" si="940">F193*P193</f>
        <v>9344.7464666666656</v>
      </c>
      <c r="R193">
        <f t="shared" ref="R193" si="941">R194+Q193</f>
        <v>-731585.2672554733</v>
      </c>
      <c r="S193">
        <f t="shared" ref="S193" si="942">R193/100000</f>
        <v>-7.3158526725547333</v>
      </c>
      <c r="T193">
        <f t="shared" si="934"/>
        <v>-7.3158526725547336E-3</v>
      </c>
    </row>
    <row r="194" spans="1:20" x14ac:dyDescent="0.25">
      <c r="A194" s="5">
        <v>44399</v>
      </c>
      <c r="B194">
        <v>29.82</v>
      </c>
      <c r="C194">
        <v>31.58</v>
      </c>
      <c r="D194">
        <v>29.39</v>
      </c>
      <c r="E194">
        <v>30.47</v>
      </c>
      <c r="F194">
        <v>40735.53</v>
      </c>
      <c r="G194">
        <v>30.47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-1.3698630136986835E-2</v>
      </c>
      <c r="Q194">
        <f t="shared" ref="Q194" si="944">F194*P194</f>
        <v>-558.02095890413136</v>
      </c>
      <c r="R194">
        <f t="shared" ref="R194" si="945">R195+Q194</f>
        <v>-740930.01372213999</v>
      </c>
      <c r="S194">
        <f t="shared" ref="S194" si="946">R194/100000</f>
        <v>-7.4093001372213996</v>
      </c>
      <c r="T194">
        <f t="shared" si="934"/>
        <v>-7.4093001372213998E-3</v>
      </c>
    </row>
    <row r="195" spans="1:20" x14ac:dyDescent="0.25">
      <c r="A195" s="5">
        <v>44398</v>
      </c>
      <c r="B195">
        <v>26.77</v>
      </c>
      <c r="C195">
        <v>34.4</v>
      </c>
      <c r="D195">
        <v>26.55</v>
      </c>
      <c r="E195">
        <v>29.76</v>
      </c>
      <c r="F195">
        <v>44001.45</v>
      </c>
      <c r="G195">
        <v>29.76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-0.18216560509554097</v>
      </c>
      <c r="Q195">
        <f t="shared" ref="Q195" si="948">F195*P195</f>
        <v>-8015.5507643311912</v>
      </c>
      <c r="R195">
        <f t="shared" ref="R195" si="949">R196+Q195</f>
        <v>-740371.99276323582</v>
      </c>
      <c r="S195">
        <f t="shared" ref="S195" si="950">R195/100000</f>
        <v>-7.4037199276323582</v>
      </c>
      <c r="T195">
        <f t="shared" si="934"/>
        <v>-7.4037199276323585E-3</v>
      </c>
    </row>
    <row r="196" spans="1:20" x14ac:dyDescent="0.25">
      <c r="A196" s="5">
        <v>44397</v>
      </c>
      <c r="B196">
        <v>28.07</v>
      </c>
      <c r="C196">
        <v>28.53</v>
      </c>
      <c r="D196">
        <v>26.08</v>
      </c>
      <c r="E196">
        <v>27.02</v>
      </c>
      <c r="F196">
        <v>16875.11</v>
      </c>
      <c r="G196">
        <v>27.02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-0.23265306122448964</v>
      </c>
      <c r="Q196">
        <f t="shared" ref="Q196" si="952">F196*P196</f>
        <v>-3926.0459999999975</v>
      </c>
      <c r="R196">
        <f t="shared" ref="R196" si="953">R197+Q196</f>
        <v>-732356.44199890457</v>
      </c>
      <c r="S196">
        <f t="shared" ref="S196" si="954">R196/100000</f>
        <v>-7.3235644199890455</v>
      </c>
      <c r="T196">
        <f t="shared" si="934"/>
        <v>-7.3235644199890456E-3</v>
      </c>
    </row>
    <row r="197" spans="1:20" x14ac:dyDescent="0.25">
      <c r="A197" s="5">
        <v>44396</v>
      </c>
      <c r="B197">
        <v>30.78</v>
      </c>
      <c r="C197">
        <v>31.42</v>
      </c>
      <c r="D197">
        <v>27.86</v>
      </c>
      <c r="E197">
        <v>28.11</v>
      </c>
      <c r="F197">
        <v>16591.169999999998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-0.85955056179775291</v>
      </c>
      <c r="Q197">
        <f t="shared" ref="Q197" si="956">F197*P197</f>
        <v>-14260.949494382023</v>
      </c>
      <c r="R197">
        <f t="shared" ref="R197" si="957">R198+Q197</f>
        <v>-728430.3959989046</v>
      </c>
      <c r="S197">
        <f t="shared" ref="S197" si="958">R197/100000</f>
        <v>-7.284303959989046</v>
      </c>
      <c r="T197">
        <f t="shared" si="934"/>
        <v>-7.2843039599890464E-3</v>
      </c>
    </row>
    <row r="198" spans="1:20" x14ac:dyDescent="0.25">
      <c r="A198" s="5">
        <v>44395</v>
      </c>
      <c r="B198">
        <v>30.72</v>
      </c>
      <c r="C198">
        <v>33.28</v>
      </c>
      <c r="D198">
        <v>30.25</v>
      </c>
      <c r="E198">
        <v>30.8</v>
      </c>
      <c r="F198">
        <v>18775.28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-0.63696369636963668</v>
      </c>
      <c r="Q198">
        <f t="shared" ref="Q198:Q261" si="960">F198*P198</f>
        <v>-11959.171749174911</v>
      </c>
      <c r="R198">
        <f t="shared" ref="R198:R261" si="961">R199+Q198</f>
        <v>-714169.44650452258</v>
      </c>
      <c r="S198">
        <f t="shared" ref="S198:S261" si="962">R198/100000</f>
        <v>-7.1416944650452256</v>
      </c>
      <c r="T198">
        <f t="shared" ref="T198:T261" si="963">S198/1000</f>
        <v>-7.1416944650452259E-3</v>
      </c>
    </row>
    <row r="199" spans="1:20" x14ac:dyDescent="0.25">
      <c r="A199" s="5">
        <v>44394</v>
      </c>
      <c r="B199">
        <v>31.09</v>
      </c>
      <c r="C199">
        <v>31.46</v>
      </c>
      <c r="D199">
        <v>30.15</v>
      </c>
      <c r="E199">
        <v>30.56</v>
      </c>
      <c r="F199">
        <v>8955.81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-0.3740458015267184</v>
      </c>
      <c r="Q199">
        <f t="shared" si="960"/>
        <v>-3349.8831297709999</v>
      </c>
      <c r="R199">
        <f t="shared" si="961"/>
        <v>-702210.27475534764</v>
      </c>
      <c r="S199">
        <f t="shared" si="962"/>
        <v>-7.0221027475534763</v>
      </c>
      <c r="T199">
        <f t="shared" si="963"/>
        <v>-7.0221027475534763E-3</v>
      </c>
    </row>
    <row r="200" spans="1:20" x14ac:dyDescent="0.25">
      <c r="A200" s="5">
        <v>44393</v>
      </c>
      <c r="B200">
        <v>31.55</v>
      </c>
      <c r="C200">
        <v>33.549999999999997</v>
      </c>
      <c r="D200">
        <v>30.14</v>
      </c>
      <c r="E200">
        <v>31.09</v>
      </c>
      <c r="F200">
        <v>25260.62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-0.44281524926686205</v>
      </c>
      <c r="Q200">
        <f t="shared" si="960"/>
        <v>-11185.787741935481</v>
      </c>
      <c r="R200">
        <f t="shared" si="961"/>
        <v>-698860.39162557665</v>
      </c>
      <c r="S200">
        <f t="shared" si="962"/>
        <v>-6.9886039162557667</v>
      </c>
      <c r="T200">
        <f t="shared" si="963"/>
        <v>-6.9886039162557669E-3</v>
      </c>
    </row>
    <row r="201" spans="1:20" x14ac:dyDescent="0.25">
      <c r="A201" s="5">
        <v>44392</v>
      </c>
      <c r="B201">
        <v>31.44</v>
      </c>
      <c r="C201">
        <v>35.99</v>
      </c>
      <c r="D201">
        <v>30.98</v>
      </c>
      <c r="E201">
        <v>31.63</v>
      </c>
      <c r="F201">
        <v>41377.78</v>
      </c>
      <c r="G201">
        <v>0</v>
      </c>
      <c r="L201" t="s">
        <v>8</v>
      </c>
      <c r="M201" t="s">
        <v>8</v>
      </c>
      <c r="N201" t="s">
        <v>7</v>
      </c>
      <c r="P201">
        <f t="shared" si="959"/>
        <v>-0.740518962075849</v>
      </c>
      <c r="Q201">
        <f t="shared" si="960"/>
        <v>-30641.030698602823</v>
      </c>
      <c r="R201">
        <f t="shared" si="961"/>
        <v>-687674.60388364119</v>
      </c>
      <c r="S201">
        <f t="shared" si="962"/>
        <v>-6.8767460388364121</v>
      </c>
      <c r="T201">
        <f t="shared" si="963"/>
        <v>-6.8767460388364119E-3</v>
      </c>
    </row>
    <row r="202" spans="1:20" x14ac:dyDescent="0.25">
      <c r="A202" s="5">
        <v>44391</v>
      </c>
      <c r="B202">
        <v>31.01</v>
      </c>
      <c r="C202">
        <v>32.479999999999997</v>
      </c>
      <c r="D202">
        <v>29.03</v>
      </c>
      <c r="E202">
        <v>31.42</v>
      </c>
      <c r="F202">
        <v>15297.42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0.38550724637681366</v>
      </c>
      <c r="Q202">
        <f t="shared" si="960"/>
        <v>5897.2662608695973</v>
      </c>
      <c r="R202">
        <f t="shared" si="961"/>
        <v>-657033.5731850384</v>
      </c>
      <c r="S202">
        <f t="shared" si="962"/>
        <v>-6.5703357318503839</v>
      </c>
      <c r="T202">
        <f t="shared" si="963"/>
        <v>-6.5703357318503842E-3</v>
      </c>
    </row>
    <row r="203" spans="1:20" x14ac:dyDescent="0.25">
      <c r="A203" s="5">
        <v>44390</v>
      </c>
      <c r="B203">
        <v>32.68</v>
      </c>
      <c r="C203">
        <v>33.200000000000003</v>
      </c>
      <c r="D203">
        <v>30.68</v>
      </c>
      <c r="E203">
        <v>30.79</v>
      </c>
      <c r="F203">
        <v>19085.28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-0.91269841269841323</v>
      </c>
      <c r="Q203">
        <f t="shared" si="960"/>
        <v>-17419.104761904771</v>
      </c>
      <c r="R203">
        <f t="shared" si="961"/>
        <v>-662930.83944590797</v>
      </c>
      <c r="S203">
        <f t="shared" si="962"/>
        <v>-6.6293083944590796</v>
      </c>
      <c r="T203">
        <f t="shared" si="963"/>
        <v>-6.6293083944590795E-3</v>
      </c>
    </row>
    <row r="204" spans="1:20" x14ac:dyDescent="0.25">
      <c r="A204" s="5">
        <v>44389</v>
      </c>
      <c r="B204">
        <v>34.96</v>
      </c>
      <c r="C204">
        <v>35.4</v>
      </c>
      <c r="D204">
        <v>32.31</v>
      </c>
      <c r="E204">
        <v>32.880000000000003</v>
      </c>
      <c r="F204">
        <v>23254.46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-0.63106796116504793</v>
      </c>
      <c r="Q204">
        <f t="shared" si="960"/>
        <v>-14675.144660194161</v>
      </c>
      <c r="R204">
        <f t="shared" si="961"/>
        <v>-645511.73468400317</v>
      </c>
      <c r="S204">
        <f t="shared" si="962"/>
        <v>-6.4551173468400318</v>
      </c>
      <c r="T204">
        <f t="shared" si="963"/>
        <v>-6.4551173468400322E-3</v>
      </c>
    </row>
    <row r="205" spans="1:20" x14ac:dyDescent="0.25">
      <c r="A205" s="5">
        <v>44388</v>
      </c>
      <c r="B205">
        <v>34.229999999999997</v>
      </c>
      <c r="C205">
        <v>35.340000000000003</v>
      </c>
      <c r="D205">
        <v>34.020000000000003</v>
      </c>
      <c r="E205">
        <v>34.93</v>
      </c>
      <c r="F205">
        <v>11040.62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0.37878787878787334</v>
      </c>
      <c r="Q205">
        <f t="shared" si="960"/>
        <v>4182.0530303029709</v>
      </c>
      <c r="R205">
        <f t="shared" si="961"/>
        <v>-630836.590023809</v>
      </c>
      <c r="S205">
        <f t="shared" si="962"/>
        <v>-6.3083659002380896</v>
      </c>
      <c r="T205">
        <f t="shared" si="963"/>
        <v>-6.3083659002380896E-3</v>
      </c>
    </row>
    <row r="206" spans="1:20" x14ac:dyDescent="0.25">
      <c r="A206" s="5">
        <v>44387</v>
      </c>
      <c r="B206">
        <v>36.380000000000003</v>
      </c>
      <c r="C206">
        <v>36.72</v>
      </c>
      <c r="D206">
        <v>33.57</v>
      </c>
      <c r="E206">
        <v>34.049999999999997</v>
      </c>
      <c r="F206">
        <v>22623.86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-0.6952380952380971</v>
      </c>
      <c r="Q206">
        <f t="shared" si="960"/>
        <v>-15728.969333333376</v>
      </c>
      <c r="R206">
        <f t="shared" si="961"/>
        <v>-635018.64305411198</v>
      </c>
      <c r="S206">
        <f t="shared" si="962"/>
        <v>-6.35018643054112</v>
      </c>
      <c r="T206">
        <f t="shared" si="963"/>
        <v>-6.35018643054112E-3</v>
      </c>
    </row>
    <row r="207" spans="1:20" x14ac:dyDescent="0.25">
      <c r="A207" s="5">
        <v>44386</v>
      </c>
      <c r="B207">
        <v>35.880000000000003</v>
      </c>
      <c r="C207">
        <v>38.93</v>
      </c>
      <c r="D207">
        <v>34.83</v>
      </c>
      <c r="E207">
        <v>36.43</v>
      </c>
      <c r="F207">
        <v>13585.11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-0.2195121951219508</v>
      </c>
      <c r="Q207">
        <f t="shared" si="960"/>
        <v>-2982.0973170731654</v>
      </c>
      <c r="R207">
        <f t="shared" si="961"/>
        <v>-619289.67372077855</v>
      </c>
      <c r="S207">
        <f t="shared" si="962"/>
        <v>-6.1928967372077857</v>
      </c>
      <c r="T207">
        <f t="shared" si="963"/>
        <v>-6.192896737207786E-3</v>
      </c>
    </row>
    <row r="208" spans="1:20" x14ac:dyDescent="0.25">
      <c r="A208" s="5">
        <v>44385</v>
      </c>
      <c r="B208">
        <v>38.96</v>
      </c>
      <c r="C208">
        <v>39.159999999999997</v>
      </c>
      <c r="D208">
        <v>35.5</v>
      </c>
      <c r="E208">
        <v>35.869999999999997</v>
      </c>
      <c r="F208">
        <v>18574.27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-0.79781420765027444</v>
      </c>
      <c r="Q208">
        <f t="shared" si="960"/>
        <v>-14818.816502732263</v>
      </c>
      <c r="R208">
        <f t="shared" si="961"/>
        <v>-616307.5764037054</v>
      </c>
      <c r="S208">
        <f t="shared" si="962"/>
        <v>-6.1630757640370541</v>
      </c>
      <c r="T208">
        <f t="shared" si="963"/>
        <v>-6.1630757640370537E-3</v>
      </c>
    </row>
    <row r="209" spans="1:20" x14ac:dyDescent="0.25">
      <c r="A209" s="5">
        <v>44384</v>
      </c>
      <c r="B209">
        <v>39.07</v>
      </c>
      <c r="C209">
        <v>41.31</v>
      </c>
      <c r="D209">
        <v>38.58</v>
      </c>
      <c r="E209">
        <v>39.049999999999997</v>
      </c>
      <c r="F209">
        <v>19250.25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-0.65567765567765701</v>
      </c>
      <c r="Q209">
        <f t="shared" si="960"/>
        <v>-12621.958791208817</v>
      </c>
      <c r="R209">
        <f t="shared" si="961"/>
        <v>-601488.75990097318</v>
      </c>
      <c r="S209">
        <f t="shared" si="962"/>
        <v>-6.0148875990097315</v>
      </c>
      <c r="T209">
        <f t="shared" si="963"/>
        <v>-6.0148875990097316E-3</v>
      </c>
    </row>
    <row r="210" spans="1:20" x14ac:dyDescent="0.25">
      <c r="A210" s="5">
        <v>44383</v>
      </c>
      <c r="B210">
        <v>36.93</v>
      </c>
      <c r="C210">
        <v>40.520000000000003</v>
      </c>
      <c r="D210">
        <v>36.93</v>
      </c>
      <c r="E210">
        <v>39.07</v>
      </c>
      <c r="F210">
        <v>21373.34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0.19220055710306325</v>
      </c>
      <c r="Q210">
        <f t="shared" si="960"/>
        <v>4107.9678551531861</v>
      </c>
      <c r="R210">
        <f t="shared" si="961"/>
        <v>-588866.80110976438</v>
      </c>
      <c r="S210">
        <f t="shared" si="962"/>
        <v>-5.8886680110976437</v>
      </c>
      <c r="T210">
        <f t="shared" si="963"/>
        <v>-5.8886680110976433E-3</v>
      </c>
    </row>
    <row r="211" spans="1:20" x14ac:dyDescent="0.25">
      <c r="A211" s="5">
        <v>44382</v>
      </c>
      <c r="B211">
        <v>39.04</v>
      </c>
      <c r="C211">
        <v>40.770000000000003</v>
      </c>
      <c r="D211">
        <v>36.299999999999997</v>
      </c>
      <c r="E211">
        <v>36.93</v>
      </c>
      <c r="F211">
        <v>31079.57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-0.7181208053691267</v>
      </c>
      <c r="Q211">
        <f t="shared" si="960"/>
        <v>-22318.885838926148</v>
      </c>
      <c r="R211">
        <f t="shared" si="961"/>
        <v>-592974.76896491752</v>
      </c>
      <c r="S211">
        <f t="shared" si="962"/>
        <v>-5.929747689649175</v>
      </c>
      <c r="T211">
        <f t="shared" si="963"/>
        <v>-5.9297476896491754E-3</v>
      </c>
    </row>
    <row r="212" spans="1:20" x14ac:dyDescent="0.25">
      <c r="A212" s="5">
        <v>44381</v>
      </c>
      <c r="B212">
        <v>38.700000000000003</v>
      </c>
      <c r="C212">
        <v>41</v>
      </c>
      <c r="D212">
        <v>38.08</v>
      </c>
      <c r="E212">
        <v>39.04</v>
      </c>
      <c r="F212">
        <v>14645.29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-0.34246575342465735</v>
      </c>
      <c r="Q212">
        <f t="shared" si="960"/>
        <v>-5015.5102739726008</v>
      </c>
      <c r="R212">
        <f t="shared" si="961"/>
        <v>-570655.88312599133</v>
      </c>
      <c r="S212">
        <f t="shared" si="962"/>
        <v>-5.7065588312599136</v>
      </c>
      <c r="T212">
        <f t="shared" si="963"/>
        <v>-5.7065588312599138E-3</v>
      </c>
    </row>
    <row r="213" spans="1:20" x14ac:dyDescent="0.25">
      <c r="A213" s="5">
        <v>44380</v>
      </c>
      <c r="B213">
        <v>38.299999999999997</v>
      </c>
      <c r="C213">
        <v>39.950000000000003</v>
      </c>
      <c r="D213">
        <v>37.78</v>
      </c>
      <c r="E213">
        <v>38.75</v>
      </c>
      <c r="F213">
        <v>9146.01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-0.10599078341014</v>
      </c>
      <c r="Q213">
        <f t="shared" si="960"/>
        <v>-969.39276497697449</v>
      </c>
      <c r="R213">
        <f t="shared" si="961"/>
        <v>-565640.37285201869</v>
      </c>
      <c r="S213">
        <f t="shared" si="962"/>
        <v>-5.6564037285201865</v>
      </c>
      <c r="T213">
        <f t="shared" si="963"/>
        <v>-5.6564037285201868E-3</v>
      </c>
    </row>
    <row r="214" spans="1:20" x14ac:dyDescent="0.25">
      <c r="A214" s="5">
        <v>44379</v>
      </c>
      <c r="B214">
        <v>38.31</v>
      </c>
      <c r="C214">
        <v>38.99</v>
      </c>
      <c r="D214">
        <v>36.43</v>
      </c>
      <c r="E214">
        <v>38.26</v>
      </c>
      <c r="F214">
        <v>12027.36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0.42968749999999739</v>
      </c>
      <c r="Q214">
        <f t="shared" si="960"/>
        <v>5168.0062499999685</v>
      </c>
      <c r="R214">
        <f t="shared" si="961"/>
        <v>-564670.98008704174</v>
      </c>
      <c r="S214">
        <f t="shared" si="962"/>
        <v>-5.6467098008704175</v>
      </c>
      <c r="T214">
        <f t="shared" si="963"/>
        <v>-5.6467098008704175E-3</v>
      </c>
    </row>
    <row r="215" spans="1:20" x14ac:dyDescent="0.25">
      <c r="A215" s="5">
        <v>44378</v>
      </c>
      <c r="B215">
        <v>42.89</v>
      </c>
      <c r="C215">
        <v>43.43</v>
      </c>
      <c r="D215">
        <v>37</v>
      </c>
      <c r="E215">
        <v>38.54</v>
      </c>
      <c r="F215">
        <v>35648.33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-0.52099533437014023</v>
      </c>
      <c r="Q215">
        <f t="shared" si="960"/>
        <v>-18572.6136080871</v>
      </c>
      <c r="R215">
        <f t="shared" si="961"/>
        <v>-569838.98633704172</v>
      </c>
      <c r="S215">
        <f t="shared" si="962"/>
        <v>-5.6983898633704175</v>
      </c>
      <c r="T215">
        <f t="shared" si="963"/>
        <v>-5.6983898633704176E-3</v>
      </c>
    </row>
    <row r="216" spans="1:20" x14ac:dyDescent="0.25">
      <c r="A216" s="5">
        <v>44377</v>
      </c>
      <c r="B216">
        <v>44.4</v>
      </c>
      <c r="C216">
        <v>44.4</v>
      </c>
      <c r="D216">
        <v>39.950000000000003</v>
      </c>
      <c r="E216">
        <v>42.89</v>
      </c>
      <c r="F216">
        <v>11129.36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0.32134831460674179</v>
      </c>
      <c r="Q216">
        <f t="shared" si="960"/>
        <v>3576.4010786516878</v>
      </c>
      <c r="R216">
        <f t="shared" si="961"/>
        <v>-551266.37272895465</v>
      </c>
      <c r="S216">
        <f t="shared" si="962"/>
        <v>-5.5126637272895467</v>
      </c>
      <c r="T216">
        <f t="shared" si="963"/>
        <v>-5.5126637272895464E-3</v>
      </c>
    </row>
    <row r="217" spans="1:20" x14ac:dyDescent="0.25">
      <c r="A217" s="5">
        <v>44376</v>
      </c>
      <c r="B217">
        <v>41.43</v>
      </c>
      <c r="C217">
        <v>45.9</v>
      </c>
      <c r="D217">
        <v>40.9</v>
      </c>
      <c r="E217">
        <v>44.51</v>
      </c>
      <c r="F217">
        <v>16983.740000000002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0.44399999999999978</v>
      </c>
      <c r="Q217">
        <f t="shared" si="960"/>
        <v>7540.7805599999974</v>
      </c>
      <c r="R217">
        <f t="shared" si="961"/>
        <v>-554842.77380760631</v>
      </c>
      <c r="S217">
        <f t="shared" si="962"/>
        <v>-5.5484277380760627</v>
      </c>
      <c r="T217">
        <f t="shared" si="963"/>
        <v>-5.5484277380760628E-3</v>
      </c>
    </row>
    <row r="218" spans="1:20" x14ac:dyDescent="0.25">
      <c r="A218" s="5">
        <v>44375</v>
      </c>
      <c r="B218">
        <v>40.65</v>
      </c>
      <c r="C218">
        <v>43.85</v>
      </c>
      <c r="D218">
        <v>39.83</v>
      </c>
      <c r="E218">
        <v>41.43</v>
      </c>
      <c r="F218">
        <v>29198.29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-0.20398009950248747</v>
      </c>
      <c r="Q218">
        <f t="shared" si="960"/>
        <v>-5955.8700995024847</v>
      </c>
      <c r="R218">
        <f t="shared" si="961"/>
        <v>-562383.5543676063</v>
      </c>
      <c r="S218">
        <f t="shared" si="962"/>
        <v>-5.623835543676063</v>
      </c>
      <c r="T218">
        <f t="shared" si="963"/>
        <v>-5.6238355436760631E-3</v>
      </c>
    </row>
    <row r="219" spans="1:20" x14ac:dyDescent="0.25">
      <c r="A219" s="5">
        <v>44374</v>
      </c>
      <c r="B219">
        <v>38.14</v>
      </c>
      <c r="C219">
        <v>41.5</v>
      </c>
      <c r="D219">
        <v>35.81</v>
      </c>
      <c r="E219">
        <v>40.65</v>
      </c>
      <c r="F219">
        <v>29406.9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0.70123022847100114</v>
      </c>
      <c r="Q219">
        <f t="shared" si="960"/>
        <v>20621.007205623886</v>
      </c>
      <c r="R219">
        <f t="shared" si="961"/>
        <v>-556427.6842681038</v>
      </c>
      <c r="S219">
        <f t="shared" si="962"/>
        <v>-5.5642768426810383</v>
      </c>
      <c r="T219">
        <f t="shared" si="963"/>
        <v>-5.5642768426810386E-3</v>
      </c>
    </row>
    <row r="220" spans="1:20" x14ac:dyDescent="0.25">
      <c r="A220" s="5">
        <v>44373</v>
      </c>
      <c r="B220">
        <v>38.979999999999997</v>
      </c>
      <c r="C220">
        <v>39.86</v>
      </c>
      <c r="D220">
        <v>35.9</v>
      </c>
      <c r="E220">
        <v>38.11</v>
      </c>
      <c r="F220">
        <v>21212.76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0.11616161616161635</v>
      </c>
      <c r="Q220">
        <f t="shared" si="960"/>
        <v>2464.1084848484888</v>
      </c>
      <c r="R220">
        <f t="shared" si="961"/>
        <v>-577048.6914737277</v>
      </c>
      <c r="S220">
        <f t="shared" si="962"/>
        <v>-5.770486914737277</v>
      </c>
      <c r="T220">
        <f t="shared" si="963"/>
        <v>-5.7704869147372773E-3</v>
      </c>
    </row>
    <row r="221" spans="1:20" x14ac:dyDescent="0.25">
      <c r="A221" s="5">
        <v>44372</v>
      </c>
      <c r="B221">
        <v>45.82</v>
      </c>
      <c r="C221">
        <v>48.43</v>
      </c>
      <c r="D221">
        <v>38.17</v>
      </c>
      <c r="E221">
        <v>38.979999999999997</v>
      </c>
      <c r="F221">
        <v>28226.5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-0.84210526315789569</v>
      </c>
      <c r="Q221">
        <f t="shared" si="960"/>
        <v>-23769.684210526342</v>
      </c>
      <c r="R221">
        <f t="shared" si="961"/>
        <v>-579512.79995857622</v>
      </c>
      <c r="S221">
        <f t="shared" si="962"/>
        <v>-5.7951279995857625</v>
      </c>
      <c r="T221">
        <f t="shared" si="963"/>
        <v>-5.7951279995857629E-3</v>
      </c>
    </row>
    <row r="222" spans="1:20" x14ac:dyDescent="0.25">
      <c r="A222" s="5">
        <v>44371</v>
      </c>
      <c r="B222">
        <v>44.6</v>
      </c>
      <c r="C222">
        <v>47.84</v>
      </c>
      <c r="D222">
        <v>42.6</v>
      </c>
      <c r="E222">
        <v>45.74</v>
      </c>
      <c r="F222">
        <v>43240.91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0.19847328244274787</v>
      </c>
      <c r="Q222">
        <f t="shared" si="960"/>
        <v>8582.1653435114422</v>
      </c>
      <c r="R222">
        <f t="shared" si="961"/>
        <v>-555743.11574804992</v>
      </c>
      <c r="S222">
        <f t="shared" si="962"/>
        <v>-5.5574311574804991</v>
      </c>
      <c r="T222">
        <f t="shared" si="963"/>
        <v>-5.557431157480499E-3</v>
      </c>
    </row>
    <row r="223" spans="1:20" x14ac:dyDescent="0.25">
      <c r="A223" s="5">
        <v>44370</v>
      </c>
      <c r="B223">
        <v>42</v>
      </c>
      <c r="C223">
        <v>45.85</v>
      </c>
      <c r="D223">
        <v>41.11</v>
      </c>
      <c r="E223">
        <v>44.9</v>
      </c>
      <c r="F223">
        <v>61923.97</v>
      </c>
      <c r="G223">
        <v>0</v>
      </c>
      <c r="L223" t="s">
        <v>7</v>
      </c>
      <c r="M223" t="s">
        <v>8</v>
      </c>
      <c r="N223" t="s">
        <v>7</v>
      </c>
      <c r="P223">
        <f t="shared" si="959"/>
        <v>0.59915611814345893</v>
      </c>
      <c r="Q223">
        <f t="shared" si="960"/>
        <v>37102.125485232005</v>
      </c>
      <c r="R223">
        <f t="shared" si="961"/>
        <v>-564325.28109156131</v>
      </c>
      <c r="S223">
        <f t="shared" si="962"/>
        <v>-5.6432528109156133</v>
      </c>
      <c r="T223">
        <f t="shared" si="963"/>
        <v>-5.6432528109156129E-3</v>
      </c>
    </row>
    <row r="224" spans="1:20" x14ac:dyDescent="0.25">
      <c r="A224" s="5">
        <v>44369</v>
      </c>
      <c r="B224">
        <v>34.99</v>
      </c>
      <c r="C224">
        <v>49</v>
      </c>
      <c r="D224">
        <v>34.1</v>
      </c>
      <c r="E224">
        <v>41.93</v>
      </c>
      <c r="F224">
        <v>294084.14</v>
      </c>
      <c r="G224">
        <v>0</v>
      </c>
      <c r="L224" t="s">
        <v>8</v>
      </c>
      <c r="M224" t="s">
        <v>8</v>
      </c>
      <c r="N224" t="s">
        <v>7</v>
      </c>
      <c r="P224">
        <f t="shared" si="959"/>
        <v>5.1006711409395847E-2</v>
      </c>
      <c r="Q224">
        <f t="shared" si="960"/>
        <v>15000.264859060366</v>
      </c>
      <c r="R224">
        <f t="shared" si="961"/>
        <v>-601427.40657679329</v>
      </c>
      <c r="S224">
        <f t="shared" si="962"/>
        <v>-6.0142740657679328</v>
      </c>
      <c r="T224">
        <f t="shared" si="963"/>
        <v>-6.0142740657679328E-3</v>
      </c>
    </row>
    <row r="225" spans="1:20" x14ac:dyDescent="0.25">
      <c r="A225" s="5">
        <v>44368</v>
      </c>
      <c r="B225">
        <v>47.03</v>
      </c>
      <c r="C225">
        <v>48.39</v>
      </c>
      <c r="D225">
        <v>34.28</v>
      </c>
      <c r="E225">
        <v>34.56</v>
      </c>
      <c r="F225">
        <v>64497.78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-0.96031183557760436</v>
      </c>
      <c r="Q225">
        <f t="shared" si="960"/>
        <v>-61937.981502480499</v>
      </c>
      <c r="R225">
        <f t="shared" si="961"/>
        <v>-616427.6714358537</v>
      </c>
      <c r="S225">
        <f t="shared" si="962"/>
        <v>-6.1642767143585369</v>
      </c>
      <c r="T225">
        <f t="shared" si="963"/>
        <v>-6.1642767143585365E-3</v>
      </c>
    </row>
    <row r="226" spans="1:20" x14ac:dyDescent="0.25">
      <c r="A226" s="5">
        <v>44367</v>
      </c>
      <c r="B226">
        <v>51.63</v>
      </c>
      <c r="C226">
        <v>52.73</v>
      </c>
      <c r="D226">
        <v>44.02</v>
      </c>
      <c r="E226">
        <v>47.1</v>
      </c>
      <c r="F226">
        <v>95485.91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-0.2927669345579792</v>
      </c>
      <c r="Q226">
        <f t="shared" si="960"/>
        <v>-27955.117164179093</v>
      </c>
      <c r="R226">
        <f t="shared" si="961"/>
        <v>-554489.68993337324</v>
      </c>
      <c r="S226">
        <f t="shared" si="962"/>
        <v>-5.5448968993337324</v>
      </c>
      <c r="T226">
        <f t="shared" si="963"/>
        <v>-5.5448968993337322E-3</v>
      </c>
    </row>
    <row r="227" spans="1:20" x14ac:dyDescent="0.25">
      <c r="A227" s="5">
        <v>44366</v>
      </c>
      <c r="B227">
        <v>46.68</v>
      </c>
      <c r="C227">
        <v>72.2</v>
      </c>
      <c r="D227">
        <v>45.3</v>
      </c>
      <c r="E227">
        <v>51.64</v>
      </c>
      <c r="F227">
        <v>204591.04</v>
      </c>
      <c r="G227">
        <v>0</v>
      </c>
      <c r="L227" t="s">
        <v>8</v>
      </c>
      <c r="M227" t="s">
        <v>8</v>
      </c>
      <c r="N227" t="s">
        <v>8</v>
      </c>
      <c r="P227">
        <f t="shared" si="959"/>
        <v>-0.52862453531598497</v>
      </c>
      <c r="Q227">
        <f t="shared" si="960"/>
        <v>-108151.8434498141</v>
      </c>
      <c r="R227">
        <f t="shared" si="961"/>
        <v>-526534.57276919414</v>
      </c>
      <c r="S227">
        <f t="shared" si="962"/>
        <v>-5.2653457276919413</v>
      </c>
      <c r="T227">
        <f t="shared" si="963"/>
        <v>-5.2653457276919417E-3</v>
      </c>
    </row>
    <row r="228" spans="1:20" x14ac:dyDescent="0.25">
      <c r="A228" s="5">
        <v>44365</v>
      </c>
      <c r="B228">
        <v>51.76</v>
      </c>
      <c r="C228">
        <v>52.81</v>
      </c>
      <c r="D228">
        <v>44.17</v>
      </c>
      <c r="E228">
        <v>46.74</v>
      </c>
      <c r="F228">
        <v>28429.11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-0.40509259259259256</v>
      </c>
      <c r="Q228">
        <f t="shared" si="960"/>
        <v>-11516.421875</v>
      </c>
      <c r="R228">
        <f t="shared" si="961"/>
        <v>-418382.72931938007</v>
      </c>
      <c r="S228">
        <f t="shared" si="962"/>
        <v>-4.1838272931938008</v>
      </c>
      <c r="T228">
        <f t="shared" si="963"/>
        <v>-4.183827293193801E-3</v>
      </c>
    </row>
    <row r="229" spans="1:20" x14ac:dyDescent="0.25">
      <c r="A229" s="5">
        <v>44364</v>
      </c>
      <c r="B229">
        <v>52.3</v>
      </c>
      <c r="C229">
        <v>54.59</v>
      </c>
      <c r="D229">
        <v>50.01</v>
      </c>
      <c r="E229">
        <v>51.37</v>
      </c>
      <c r="F229">
        <v>12760.17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-0.40611353711790488</v>
      </c>
      <c r="Q229">
        <f t="shared" si="960"/>
        <v>-5182.0777729257761</v>
      </c>
      <c r="R229">
        <f t="shared" si="961"/>
        <v>-406866.30744438007</v>
      </c>
      <c r="S229">
        <f t="shared" si="962"/>
        <v>-4.0686630744438004</v>
      </c>
      <c r="T229">
        <f t="shared" si="963"/>
        <v>-4.0686630744438002E-3</v>
      </c>
    </row>
    <row r="230" spans="1:20" x14ac:dyDescent="0.25">
      <c r="A230" s="5">
        <v>44363</v>
      </c>
      <c r="B230">
        <v>55.95</v>
      </c>
      <c r="C230">
        <v>56.52</v>
      </c>
      <c r="D230">
        <v>50.8</v>
      </c>
      <c r="E230">
        <v>52.59</v>
      </c>
      <c r="F230">
        <v>46149.87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-0.37412587412587262</v>
      </c>
      <c r="Q230">
        <f t="shared" si="960"/>
        <v>-17265.860454545385</v>
      </c>
      <c r="R230">
        <f t="shared" si="961"/>
        <v>-401684.22967145429</v>
      </c>
      <c r="S230">
        <f t="shared" si="962"/>
        <v>-4.0168422967145432</v>
      </c>
      <c r="T230">
        <f t="shared" si="963"/>
        <v>-4.0168422967145432E-3</v>
      </c>
    </row>
    <row r="231" spans="1:20" x14ac:dyDescent="0.25">
      <c r="A231" s="5">
        <v>44362</v>
      </c>
      <c r="B231">
        <v>56.84</v>
      </c>
      <c r="C231">
        <v>60</v>
      </c>
      <c r="D231">
        <v>55.56</v>
      </c>
      <c r="E231">
        <v>56.04</v>
      </c>
      <c r="F231">
        <v>19410.900000000001</v>
      </c>
      <c r="G231">
        <v>0</v>
      </c>
      <c r="L231" t="s">
        <v>7</v>
      </c>
      <c r="M231" t="s">
        <v>8</v>
      </c>
      <c r="N231" t="s">
        <v>8</v>
      </c>
      <c r="P231">
        <f t="shared" si="959"/>
        <v>-0.7837837837837851</v>
      </c>
      <c r="Q231">
        <f t="shared" si="960"/>
        <v>-15213.948648648675</v>
      </c>
      <c r="R231">
        <f t="shared" si="961"/>
        <v>-384418.36921690888</v>
      </c>
      <c r="S231">
        <f t="shared" si="962"/>
        <v>-3.8441836921690888</v>
      </c>
      <c r="T231">
        <f t="shared" si="963"/>
        <v>-3.8441836921690887E-3</v>
      </c>
    </row>
    <row r="232" spans="1:20" x14ac:dyDescent="0.25">
      <c r="A232" s="5">
        <v>44361</v>
      </c>
      <c r="B232">
        <v>57.59</v>
      </c>
      <c r="C232">
        <v>61.76</v>
      </c>
      <c r="D232">
        <v>54.52</v>
      </c>
      <c r="E232">
        <v>56.73</v>
      </c>
      <c r="F232">
        <v>36375.21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-0.38950276243094051</v>
      </c>
      <c r="Q232">
        <f t="shared" si="960"/>
        <v>-14168.24477900557</v>
      </c>
      <c r="R232">
        <f t="shared" si="961"/>
        <v>-369204.42056826019</v>
      </c>
      <c r="S232">
        <f t="shared" si="962"/>
        <v>-3.6920442056826017</v>
      </c>
      <c r="T232">
        <f t="shared" si="963"/>
        <v>-3.6920442056826018E-3</v>
      </c>
    </row>
    <row r="233" spans="1:20" x14ac:dyDescent="0.25">
      <c r="A233" s="5">
        <v>44360</v>
      </c>
      <c r="B233">
        <v>53.98</v>
      </c>
      <c r="C233">
        <v>58.4</v>
      </c>
      <c r="D233">
        <v>50.5</v>
      </c>
      <c r="E233">
        <v>57.55</v>
      </c>
      <c r="F233">
        <v>36935.06</v>
      </c>
      <c r="G233">
        <v>0</v>
      </c>
      <c r="L233" t="s">
        <v>7</v>
      </c>
      <c r="M233" t="s">
        <v>7</v>
      </c>
      <c r="N233" t="s">
        <v>8</v>
      </c>
      <c r="P233">
        <f t="shared" si="959"/>
        <v>0.78481012658227811</v>
      </c>
      <c r="Q233">
        <f t="shared" si="960"/>
        <v>28987.009113924036</v>
      </c>
      <c r="R233">
        <f t="shared" si="961"/>
        <v>-355036.1757892546</v>
      </c>
      <c r="S233">
        <f t="shared" si="962"/>
        <v>-3.5503617578925462</v>
      </c>
      <c r="T233">
        <f t="shared" si="963"/>
        <v>-3.5503617578925462E-3</v>
      </c>
    </row>
    <row r="234" spans="1:20" x14ac:dyDescent="0.25">
      <c r="A234" s="5">
        <v>44359</v>
      </c>
      <c r="B234">
        <v>61.45</v>
      </c>
      <c r="C234">
        <v>61.46</v>
      </c>
      <c r="D234">
        <v>49.9</v>
      </c>
      <c r="E234">
        <v>53.98</v>
      </c>
      <c r="F234">
        <v>97423.53</v>
      </c>
      <c r="G234">
        <v>0</v>
      </c>
      <c r="L234" t="s">
        <v>8</v>
      </c>
      <c r="M234" t="s">
        <v>8</v>
      </c>
      <c r="N234" t="s">
        <v>8</v>
      </c>
      <c r="P234">
        <f t="shared" si="959"/>
        <v>-0.29411764705882398</v>
      </c>
      <c r="Q234">
        <f t="shared" si="960"/>
        <v>-28653.979411764751</v>
      </c>
      <c r="R234">
        <f t="shared" si="961"/>
        <v>-384023.18490317866</v>
      </c>
      <c r="S234">
        <f t="shared" si="962"/>
        <v>-3.8402318490317864</v>
      </c>
      <c r="T234">
        <f t="shared" si="963"/>
        <v>-3.8402318490317862E-3</v>
      </c>
    </row>
    <row r="235" spans="1:20" x14ac:dyDescent="0.25">
      <c r="A235" s="5">
        <v>44358</v>
      </c>
      <c r="B235">
        <v>71.89</v>
      </c>
      <c r="C235">
        <v>87.55</v>
      </c>
      <c r="D235">
        <v>60.18</v>
      </c>
      <c r="E235">
        <v>61.5</v>
      </c>
      <c r="F235">
        <v>393305.91</v>
      </c>
      <c r="G235">
        <v>0</v>
      </c>
      <c r="P235">
        <f t="shared" si="959"/>
        <v>-0.90354402630617459</v>
      </c>
      <c r="Q235">
        <f t="shared" si="960"/>
        <v>-355369.20549141389</v>
      </c>
      <c r="R235">
        <f t="shared" si="961"/>
        <v>-355369.20549141389</v>
      </c>
      <c r="S235">
        <f t="shared" si="962"/>
        <v>-3.5536920549141389</v>
      </c>
      <c r="T235">
        <f t="shared" si="963"/>
        <v>-3.553692054914139E-3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959"/>
        <v>0</v>
      </c>
      <c r="Q236">
        <f t="shared" si="960"/>
        <v>0</v>
      </c>
      <c r="R236">
        <f t="shared" si="961"/>
        <v>0</v>
      </c>
      <c r="S236">
        <f t="shared" si="962"/>
        <v>0</v>
      </c>
      <c r="T236">
        <f t="shared" si="96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959"/>
        <v>0</v>
      </c>
      <c r="Q237">
        <f t="shared" si="960"/>
        <v>0</v>
      </c>
      <c r="R237">
        <f t="shared" si="961"/>
        <v>0</v>
      </c>
      <c r="S237">
        <f t="shared" si="962"/>
        <v>0</v>
      </c>
      <c r="T237">
        <f t="shared" si="96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959"/>
        <v>0</v>
      </c>
      <c r="Q238">
        <f t="shared" si="960"/>
        <v>0</v>
      </c>
      <c r="R238">
        <f t="shared" si="961"/>
        <v>0</v>
      </c>
      <c r="S238">
        <f t="shared" si="962"/>
        <v>0</v>
      </c>
      <c r="T238">
        <f t="shared" si="96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959"/>
        <v>0</v>
      </c>
      <c r="Q239">
        <f t="shared" si="960"/>
        <v>0</v>
      </c>
      <c r="R239">
        <f t="shared" si="961"/>
        <v>0</v>
      </c>
      <c r="S239">
        <f t="shared" si="962"/>
        <v>0</v>
      </c>
      <c r="T239">
        <f t="shared" si="96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si="959"/>
        <v>0</v>
      </c>
      <c r="Q240">
        <f t="shared" si="960"/>
        <v>0</v>
      </c>
      <c r="R240">
        <f t="shared" si="961"/>
        <v>0</v>
      </c>
      <c r="S240">
        <f t="shared" si="962"/>
        <v>0</v>
      </c>
      <c r="T240">
        <f t="shared" si="963"/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959"/>
        <v>0</v>
      </c>
      <c r="Q241">
        <f t="shared" si="960"/>
        <v>0</v>
      </c>
      <c r="R241">
        <f t="shared" si="961"/>
        <v>0</v>
      </c>
      <c r="S241">
        <f t="shared" si="962"/>
        <v>0</v>
      </c>
      <c r="T241">
        <f t="shared" si="963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959"/>
        <v>0</v>
      </c>
      <c r="Q242">
        <f t="shared" si="960"/>
        <v>0</v>
      </c>
      <c r="R242">
        <f t="shared" si="961"/>
        <v>0</v>
      </c>
      <c r="S242">
        <f t="shared" si="962"/>
        <v>0</v>
      </c>
      <c r="T242">
        <f t="shared" si="963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959"/>
        <v>0</v>
      </c>
      <c r="Q243">
        <f t="shared" si="960"/>
        <v>0</v>
      </c>
      <c r="R243">
        <f t="shared" si="961"/>
        <v>0</v>
      </c>
      <c r="S243">
        <f t="shared" si="962"/>
        <v>0</v>
      </c>
      <c r="T243">
        <f t="shared" si="963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959"/>
        <v>0</v>
      </c>
      <c r="Q244">
        <f t="shared" si="960"/>
        <v>0</v>
      </c>
      <c r="R244">
        <f t="shared" si="961"/>
        <v>0</v>
      </c>
      <c r="S244">
        <f t="shared" si="962"/>
        <v>0</v>
      </c>
      <c r="T244">
        <f t="shared" si="963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959"/>
        <v>0</v>
      </c>
      <c r="Q245">
        <f t="shared" si="960"/>
        <v>0</v>
      </c>
      <c r="R245">
        <f t="shared" si="961"/>
        <v>0</v>
      </c>
      <c r="S245">
        <f t="shared" si="962"/>
        <v>0</v>
      </c>
      <c r="T245">
        <f t="shared" si="963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959"/>
        <v>0</v>
      </c>
      <c r="Q246">
        <f t="shared" si="960"/>
        <v>0</v>
      </c>
      <c r="R246">
        <f t="shared" si="961"/>
        <v>0</v>
      </c>
      <c r="S246">
        <f t="shared" si="962"/>
        <v>0</v>
      </c>
      <c r="T246">
        <f t="shared" si="963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959"/>
        <v>0</v>
      </c>
      <c r="Q247">
        <f t="shared" si="960"/>
        <v>0</v>
      </c>
      <c r="R247">
        <f t="shared" si="961"/>
        <v>0</v>
      </c>
      <c r="S247">
        <f t="shared" si="962"/>
        <v>0</v>
      </c>
      <c r="T247">
        <f t="shared" si="963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959"/>
        <v>0</v>
      </c>
      <c r="Q248">
        <f t="shared" si="960"/>
        <v>0</v>
      </c>
      <c r="R248">
        <f t="shared" si="961"/>
        <v>0</v>
      </c>
      <c r="S248">
        <f t="shared" si="962"/>
        <v>0</v>
      </c>
      <c r="T248">
        <f t="shared" si="963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959"/>
        <v>0</v>
      </c>
      <c r="Q249">
        <f t="shared" si="960"/>
        <v>0</v>
      </c>
      <c r="R249">
        <f t="shared" si="961"/>
        <v>0</v>
      </c>
      <c r="S249">
        <f t="shared" si="962"/>
        <v>0</v>
      </c>
      <c r="T249">
        <f t="shared" si="963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DV434" sqref="DV43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$A$433</v>
      </c>
      <c r="D111" s="1" t="str">
        <f>ADDRESS(C121-1,D121,1,1)</f>
        <v>$DV$433</v>
      </c>
      <c r="E111"/>
    </row>
    <row r="112" spans="1:5" x14ac:dyDescent="0.25">
      <c r="A112" s="7">
        <v>12164.144957890772</v>
      </c>
      <c r="C112" s="1" t="str">
        <f>ADDRESS(C121,1,1,1)</f>
        <v>$A$434</v>
      </c>
      <c r="D112" s="1" t="str">
        <f>ADDRESS(C121,D121-1,1,1)</f>
        <v>$DU$434</v>
      </c>
      <c r="E112"/>
    </row>
    <row r="113" spans="1:5" x14ac:dyDescent="0.25">
      <c r="A113" s="7">
        <v>11925.63231165762</v>
      </c>
      <c r="C113" s="1" t="str">
        <f>ADDRESS(C121+1,1,1,1)</f>
        <v>$A$435</v>
      </c>
      <c r="D113" s="1" t="str">
        <f>ADDRESS(C121-1,D121+1,1,1)</f>
        <v>$DW$433</v>
      </c>
    </row>
    <row r="114" spans="1:5" x14ac:dyDescent="0.25">
      <c r="A114" s="7">
        <v>11691.796383978059</v>
      </c>
      <c r="C114" s="1" t="str">
        <f>ADDRESS(C121,D121,1,1)</f>
        <v>$DV$434</v>
      </c>
      <c r="D114" s="1" t="str">
        <f>ADDRESS(C121+1,D121+1,1,1)</f>
        <v>$DW$435</v>
      </c>
    </row>
    <row r="115" spans="1:5" x14ac:dyDescent="0.25">
      <c r="A115" s="7">
        <v>11462.545474488292</v>
      </c>
      <c r="C115" s="1" t="str">
        <f>ADDRESS(C121+1,D121,1,1)</f>
        <v>$DV$435</v>
      </c>
    </row>
    <row r="116" spans="1:5" x14ac:dyDescent="0.25">
      <c r="A116" s="7">
        <v>11237.789680870874</v>
      </c>
      <c r="C116" s="1">
        <f>C117-1</f>
        <v>433</v>
      </c>
    </row>
    <row r="117" spans="1:5" x14ac:dyDescent="0.25">
      <c r="A117" s="7">
        <v>11017.440863598895</v>
      </c>
      <c r="C117" s="1">
        <f>C121</f>
        <v>434</v>
      </c>
      <c r="D117" s="1">
        <f>D121</f>
        <v>126</v>
      </c>
    </row>
    <row r="118" spans="1:5" x14ac:dyDescent="0.25">
      <c r="A118" s="7">
        <v>10801.412611371465</v>
      </c>
      <c r="C118" s="1">
        <f>C117+1</f>
        <v>435</v>
      </c>
      <c r="D118" s="1">
        <f>D117+1</f>
        <v>127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434</v>
      </c>
      <c r="D121" s="19">
        <v>126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R434</v>
      </c>
      <c r="D123" s="1" t="str">
        <f>"C"&amp;D121</f>
        <v>C126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20.693134452910591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76" x14ac:dyDescent="0.25">
      <c r="A353" s="7">
        <v>102.90588033356946</v>
      </c>
      <c r="B353"/>
      <c r="C353"/>
      <c r="D353"/>
      <c r="E353"/>
    </row>
    <row r="354" spans="1:76" x14ac:dyDescent="0.25">
      <c r="A354" s="7">
        <v>100.88811797408771</v>
      </c>
      <c r="B354"/>
      <c r="C354"/>
      <c r="D354"/>
      <c r="E354"/>
    </row>
    <row r="355" spans="1:76" x14ac:dyDescent="0.25">
      <c r="A355" s="7">
        <v>98.909919582438931</v>
      </c>
      <c r="B355"/>
      <c r="C355"/>
      <c r="D355"/>
      <c r="E355"/>
    </row>
    <row r="356" spans="1:76" x14ac:dyDescent="0.25">
      <c r="A356" s="7">
        <v>96.970509394547975</v>
      </c>
      <c r="B356"/>
      <c r="C356"/>
      <c r="D356"/>
      <c r="E356"/>
      <c r="BC356" s="27" t="s">
        <v>8</v>
      </c>
    </row>
    <row r="357" spans="1:76" x14ac:dyDescent="0.25">
      <c r="A357" s="7">
        <v>95.069126857399979</v>
      </c>
      <c r="B357"/>
      <c r="C357"/>
      <c r="D357"/>
      <c r="E357"/>
      <c r="AS357" s="27" t="s">
        <v>8</v>
      </c>
      <c r="BC357" s="27" t="s">
        <v>8</v>
      </c>
      <c r="BD357" s="27" t="s">
        <v>7</v>
      </c>
    </row>
    <row r="358" spans="1:76" x14ac:dyDescent="0.25">
      <c r="A358" s="7">
        <v>93.205026330784293</v>
      </c>
      <c r="B358"/>
      <c r="C358"/>
      <c r="D358"/>
      <c r="E358"/>
      <c r="AS358" s="27" t="s">
        <v>8</v>
      </c>
      <c r="AT358" s="27" t="s">
        <v>7</v>
      </c>
      <c r="BC358" s="27" t="s">
        <v>8</v>
      </c>
      <c r="BD358" s="27" t="s">
        <v>7</v>
      </c>
    </row>
    <row r="359" spans="1:76" x14ac:dyDescent="0.25">
      <c r="A359" s="7">
        <v>91.377476794886562</v>
      </c>
      <c r="B359"/>
      <c r="C359"/>
      <c r="D359"/>
      <c r="E359"/>
      <c r="AS359" s="27" t="s">
        <v>8</v>
      </c>
      <c r="AT359" s="27" t="s">
        <v>7</v>
      </c>
      <c r="BC359" s="27" t="s">
        <v>8</v>
      </c>
      <c r="BD359" s="27" t="s">
        <v>7</v>
      </c>
    </row>
    <row r="360" spans="1:76" x14ac:dyDescent="0.25">
      <c r="A360" s="7">
        <v>89.58576156361427</v>
      </c>
      <c r="B360"/>
      <c r="C360"/>
      <c r="D360"/>
      <c r="E360"/>
      <c r="AS360" s="27" t="s">
        <v>8</v>
      </c>
      <c r="AT360" s="27" t="s">
        <v>7</v>
      </c>
      <c r="BC360" s="27" t="s">
        <v>8</v>
      </c>
      <c r="BD360" s="27" t="s">
        <v>7</v>
      </c>
    </row>
    <row r="361" spans="1:76" x14ac:dyDescent="0.25">
      <c r="A361" s="7">
        <v>87.829178003543404</v>
      </c>
      <c r="B361"/>
      <c r="C361"/>
      <c r="D361"/>
      <c r="E361"/>
      <c r="AS361" s="27" t="s">
        <v>8</v>
      </c>
      <c r="AT361" s="27" t="s">
        <v>7</v>
      </c>
      <c r="AU361" s="27" t="s">
        <v>8</v>
      </c>
      <c r="BC361" s="27" t="s">
        <v>8</v>
      </c>
      <c r="BD361" s="27" t="s">
        <v>7</v>
      </c>
    </row>
    <row r="362" spans="1:76" x14ac:dyDescent="0.25">
      <c r="A362" s="7">
        <v>86.107037258375883</v>
      </c>
      <c r="B362"/>
      <c r="C362"/>
      <c r="D362"/>
      <c r="E362"/>
      <c r="AS362" s="27" t="s">
        <v>8</v>
      </c>
      <c r="AT362" s="27" t="s">
        <v>7</v>
      </c>
      <c r="AU362" s="27" t="s">
        <v>8</v>
      </c>
      <c r="AV362" s="27" t="s">
        <v>7</v>
      </c>
      <c r="BC362" s="27" t="s">
        <v>8</v>
      </c>
      <c r="BD362" s="27" t="s">
        <v>7</v>
      </c>
    </row>
    <row r="363" spans="1:76" x14ac:dyDescent="0.25">
      <c r="A363" s="7">
        <v>84.418663978799884</v>
      </c>
      <c r="B363"/>
      <c r="C363"/>
      <c r="D363"/>
      <c r="E363"/>
      <c r="AS363" s="27" t="s">
        <v>8</v>
      </c>
      <c r="AT363" s="27" t="s">
        <v>7</v>
      </c>
      <c r="AU363" s="27" t="s">
        <v>8</v>
      </c>
      <c r="AV363" s="27" t="s">
        <v>7</v>
      </c>
      <c r="BC363" s="27" t="s">
        <v>8</v>
      </c>
      <c r="BD363" s="27" t="s">
        <v>7</v>
      </c>
      <c r="BE363" s="27" t="s">
        <v>8</v>
      </c>
      <c r="BU363" s="27" t="s">
        <v>8</v>
      </c>
    </row>
    <row r="364" spans="1:76" x14ac:dyDescent="0.25">
      <c r="A364" s="7">
        <v>82.763396057646943</v>
      </c>
      <c r="B364"/>
      <c r="C364"/>
      <c r="D364"/>
      <c r="E364"/>
      <c r="AI364" s="27" t="s">
        <v>8</v>
      </c>
      <c r="AS364" s="27" t="s">
        <v>8</v>
      </c>
      <c r="AT364" s="27" t="s">
        <v>7</v>
      </c>
      <c r="AU364" s="27" t="s">
        <v>8</v>
      </c>
      <c r="AV364" s="27" t="s">
        <v>7</v>
      </c>
      <c r="BC364" s="27" t="s">
        <v>8</v>
      </c>
      <c r="BD364" s="27" t="s">
        <v>7</v>
      </c>
      <c r="BE364" s="27" t="s">
        <v>8</v>
      </c>
      <c r="BF364" s="27" t="s">
        <v>7</v>
      </c>
      <c r="BU364" s="27" t="s">
        <v>8</v>
      </c>
      <c r="BV364" s="27" t="s">
        <v>7</v>
      </c>
      <c r="BW364" s="27" t="s">
        <v>8</v>
      </c>
    </row>
    <row r="365" spans="1:76" x14ac:dyDescent="0.25">
      <c r="A365" s="7">
        <v>81.140584370242095</v>
      </c>
      <c r="B365"/>
      <c r="C365"/>
      <c r="D365"/>
      <c r="E365"/>
      <c r="AI365" s="27" t="s">
        <v>8</v>
      </c>
      <c r="AJ365" s="27" t="s">
        <v>7</v>
      </c>
      <c r="AS365" s="27" t="s">
        <v>8</v>
      </c>
      <c r="AT365" s="27" t="s">
        <v>7</v>
      </c>
      <c r="AU365" s="27" t="s">
        <v>8</v>
      </c>
      <c r="AV365" s="27" t="s">
        <v>7</v>
      </c>
      <c r="BC365" s="27" t="s">
        <v>8</v>
      </c>
      <c r="BD365" s="27" t="s">
        <v>7</v>
      </c>
      <c r="BE365" s="27" t="s">
        <v>8</v>
      </c>
      <c r="BF365" s="27" t="s">
        <v>7</v>
      </c>
      <c r="BU365" s="27" t="s">
        <v>8</v>
      </c>
      <c r="BV365" s="27" t="s">
        <v>7</v>
      </c>
      <c r="BW365" s="27" t="s">
        <v>8</v>
      </c>
      <c r="BX365" s="27" t="s">
        <v>7</v>
      </c>
    </row>
    <row r="366" spans="1:76" x14ac:dyDescent="0.25">
      <c r="A366" s="7">
        <v>79.549592519845191</v>
      </c>
      <c r="B366"/>
      <c r="C366"/>
      <c r="D366"/>
      <c r="E366"/>
      <c r="AI366" s="27" t="s">
        <v>8</v>
      </c>
      <c r="AJ366" s="27" t="s">
        <v>7</v>
      </c>
      <c r="AS366" s="27" t="s">
        <v>8</v>
      </c>
      <c r="AT366" s="27" t="s">
        <v>7</v>
      </c>
      <c r="AU366" s="27" t="s">
        <v>8</v>
      </c>
      <c r="AV366" s="27" t="s">
        <v>7</v>
      </c>
      <c r="BC366" s="27" t="s">
        <v>8</v>
      </c>
      <c r="BD366" s="27" t="s">
        <v>7</v>
      </c>
      <c r="BE366" s="27" t="s">
        <v>8</v>
      </c>
      <c r="BF366" s="27" t="s">
        <v>7</v>
      </c>
      <c r="BU366" s="27" t="s">
        <v>8</v>
      </c>
      <c r="BV366" s="27" t="s">
        <v>7</v>
      </c>
      <c r="BW366" s="27" t="s">
        <v>8</v>
      </c>
      <c r="BX366" s="27" t="s">
        <v>7</v>
      </c>
    </row>
    <row r="367" spans="1:76" x14ac:dyDescent="0.25">
      <c r="A367" s="7">
        <v>77.989796588083522</v>
      </c>
      <c r="B367"/>
      <c r="C367"/>
      <c r="D367"/>
      <c r="E367"/>
      <c r="AI367" s="27" t="s">
        <v>8</v>
      </c>
      <c r="AJ367" s="27" t="s">
        <v>7</v>
      </c>
      <c r="AS367" s="27" t="s">
        <v>8</v>
      </c>
      <c r="AT367" s="27" t="s">
        <v>7</v>
      </c>
      <c r="AU367" s="27" t="s">
        <v>8</v>
      </c>
      <c r="AV367" s="27" t="s">
        <v>7</v>
      </c>
      <c r="AW367" s="27" t="s">
        <v>8</v>
      </c>
      <c r="BC367" s="27" t="s">
        <v>8</v>
      </c>
      <c r="BD367" s="27" t="s">
        <v>7</v>
      </c>
      <c r="BE367" s="27" t="s">
        <v>8</v>
      </c>
      <c r="BF367" s="27" t="s">
        <v>7</v>
      </c>
      <c r="BU367" s="27" t="s">
        <v>8</v>
      </c>
      <c r="BV367" s="27" t="s">
        <v>7</v>
      </c>
      <c r="BW367" s="27" t="s">
        <v>8</v>
      </c>
      <c r="BX367" s="27" t="s">
        <v>7</v>
      </c>
    </row>
    <row r="368" spans="1:76" x14ac:dyDescent="0.25">
      <c r="A368" s="7">
        <v>76.460584890277957</v>
      </c>
      <c r="B368"/>
      <c r="C368"/>
      <c r="D368"/>
      <c r="E368"/>
      <c r="AI368" s="27" t="s">
        <v>8</v>
      </c>
      <c r="AJ368" s="27" t="s">
        <v>7</v>
      </c>
      <c r="AS368" s="27" t="s">
        <v>8</v>
      </c>
      <c r="AT368" s="27" t="s">
        <v>7</v>
      </c>
      <c r="AU368" s="27" t="s">
        <v>8</v>
      </c>
      <c r="AV368" s="27" t="s">
        <v>7</v>
      </c>
      <c r="AW368" s="27" t="s">
        <v>8</v>
      </c>
      <c r="AX368" s="27" t="s">
        <v>7</v>
      </c>
      <c r="BC368" s="27" t="s">
        <v>8</v>
      </c>
      <c r="BD368" s="27" t="s">
        <v>7</v>
      </c>
      <c r="BE368" s="27" t="s">
        <v>8</v>
      </c>
      <c r="BF368" s="27" t="s">
        <v>7</v>
      </c>
      <c r="BU368" s="27" t="s">
        <v>8</v>
      </c>
      <c r="BV368" s="27" t="s">
        <v>7</v>
      </c>
      <c r="BW368" s="27" t="s">
        <v>8</v>
      </c>
      <c r="BX368" s="27" t="s">
        <v>7</v>
      </c>
    </row>
    <row r="369" spans="1:90" x14ac:dyDescent="0.25">
      <c r="A369" s="7">
        <v>74.961357735566622</v>
      </c>
      <c r="B369"/>
      <c r="C369"/>
      <c r="D369"/>
      <c r="E369"/>
      <c r="AI369" s="27" t="s">
        <v>8</v>
      </c>
      <c r="AJ369" s="27" t="s">
        <v>7</v>
      </c>
      <c r="AS369" s="27" t="s">
        <v>8</v>
      </c>
      <c r="AT369" s="27" t="s">
        <v>7</v>
      </c>
      <c r="AU369" s="27" t="s">
        <v>8</v>
      </c>
      <c r="AV369" s="27" t="s">
        <v>7</v>
      </c>
      <c r="AW369" s="27" t="s">
        <v>8</v>
      </c>
      <c r="AX369" s="27" t="s">
        <v>7</v>
      </c>
      <c r="BC369" s="27" t="s">
        <v>8</v>
      </c>
      <c r="BD369" s="27" t="s">
        <v>7</v>
      </c>
      <c r="BE369" s="27" t="s">
        <v>8</v>
      </c>
      <c r="BF369" s="27" t="s">
        <v>7</v>
      </c>
      <c r="BU369" s="27" t="s">
        <v>8</v>
      </c>
      <c r="BV369" s="27" t="s">
        <v>7</v>
      </c>
      <c r="BW369" s="27" t="s">
        <v>8</v>
      </c>
      <c r="BX369" s="27" t="s">
        <v>7</v>
      </c>
    </row>
    <row r="370" spans="1:90" x14ac:dyDescent="0.25">
      <c r="A370" s="7">
        <v>73.491527191731976</v>
      </c>
      <c r="B370"/>
      <c r="C370"/>
      <c r="D370"/>
      <c r="E370"/>
      <c r="AI370" s="27" t="s">
        <v>8</v>
      </c>
      <c r="AJ370" s="27" t="s">
        <v>7</v>
      </c>
      <c r="AS370" s="27" t="s">
        <v>8</v>
      </c>
      <c r="AT370" s="27" t="s">
        <v>7</v>
      </c>
      <c r="AU370" s="27" t="s">
        <v>8</v>
      </c>
      <c r="AV370" s="27" t="s">
        <v>7</v>
      </c>
      <c r="AW370" s="27" t="s">
        <v>8</v>
      </c>
      <c r="AX370" s="27" t="s">
        <v>7</v>
      </c>
      <c r="BC370" s="27" t="s">
        <v>8</v>
      </c>
      <c r="BD370" s="27" t="s">
        <v>7</v>
      </c>
      <c r="BE370" s="27" t="s">
        <v>8</v>
      </c>
      <c r="BF370" s="27" t="s">
        <v>7</v>
      </c>
      <c r="BG370" s="27" t="s">
        <v>8</v>
      </c>
      <c r="BO370" s="27" t="s">
        <v>8</v>
      </c>
      <c r="BU370" s="27" t="s">
        <v>8</v>
      </c>
      <c r="BV370" s="27" t="s">
        <v>7</v>
      </c>
      <c r="BW370" s="27" t="s">
        <v>8</v>
      </c>
      <c r="BX370" s="27" t="s">
        <v>7</v>
      </c>
      <c r="BY370" s="27" t="s">
        <v>8</v>
      </c>
      <c r="CA370" s="27" t="s">
        <v>8</v>
      </c>
    </row>
    <row r="371" spans="1:90" x14ac:dyDescent="0.25">
      <c r="A371" s="7">
        <v>72.050516854639184</v>
      </c>
      <c r="B371"/>
      <c r="C371"/>
      <c r="D371"/>
      <c r="E371"/>
      <c r="I371" s="27" t="s">
        <v>8</v>
      </c>
      <c r="AI371" s="27" t="s">
        <v>8</v>
      </c>
      <c r="AJ371" s="27" t="s">
        <v>7</v>
      </c>
      <c r="AS371" s="27" t="s">
        <v>8</v>
      </c>
      <c r="AT371" s="27" t="s">
        <v>7</v>
      </c>
      <c r="AU371" s="27" t="s">
        <v>8</v>
      </c>
      <c r="AV371" s="27" t="s">
        <v>7</v>
      </c>
      <c r="AX371" s="27" t="s">
        <v>7</v>
      </c>
      <c r="BC371" s="27" t="s">
        <v>8</v>
      </c>
      <c r="BD371" s="27" t="s">
        <v>7</v>
      </c>
      <c r="BE371" s="27" t="s">
        <v>8</v>
      </c>
      <c r="BF371" s="27" t="s">
        <v>7</v>
      </c>
      <c r="BG371" s="27" t="s">
        <v>8</v>
      </c>
      <c r="BH371" s="27" t="s">
        <v>7</v>
      </c>
      <c r="BO371" s="27" t="s">
        <v>8</v>
      </c>
      <c r="BP371" s="27" t="s">
        <v>7</v>
      </c>
      <c r="BS371" s="27" t="s">
        <v>8</v>
      </c>
      <c r="BU371" s="27" t="s">
        <v>8</v>
      </c>
      <c r="BV371" s="27" t="s">
        <v>7</v>
      </c>
      <c r="BW371" s="27" t="s">
        <v>8</v>
      </c>
      <c r="BX371" s="27" t="s">
        <v>7</v>
      </c>
      <c r="BY371" s="27" t="s">
        <v>8</v>
      </c>
      <c r="BZ371" s="27" t="s">
        <v>7</v>
      </c>
      <c r="CA371" s="27" t="s">
        <v>8</v>
      </c>
      <c r="CB371" s="27" t="s">
        <v>7</v>
      </c>
    </row>
    <row r="372" spans="1:90" x14ac:dyDescent="0.25">
      <c r="A372" s="7">
        <v>70.637761622195271</v>
      </c>
      <c r="B372"/>
      <c r="C372"/>
      <c r="D372"/>
      <c r="E372"/>
      <c r="I372" s="27" t="s">
        <v>8</v>
      </c>
      <c r="J372" s="27" t="s">
        <v>7</v>
      </c>
      <c r="AI372" s="27" t="s">
        <v>8</v>
      </c>
      <c r="AJ372" s="27" t="s">
        <v>7</v>
      </c>
      <c r="AS372" s="27" t="s">
        <v>8</v>
      </c>
      <c r="AT372" s="27" t="s">
        <v>7</v>
      </c>
      <c r="AU372" s="27" t="s">
        <v>8</v>
      </c>
      <c r="AX372" s="27" t="s">
        <v>7</v>
      </c>
      <c r="BC372" s="27" t="s">
        <v>8</v>
      </c>
      <c r="BD372" s="27" t="s">
        <v>7</v>
      </c>
      <c r="BE372" s="27" t="s">
        <v>8</v>
      </c>
      <c r="BF372" s="27" t="s">
        <v>7</v>
      </c>
      <c r="BG372" s="27" t="s">
        <v>8</v>
      </c>
      <c r="BH372" s="27" t="s">
        <v>7</v>
      </c>
      <c r="BO372" s="27" t="s">
        <v>8</v>
      </c>
      <c r="BP372" s="27" t="s">
        <v>7</v>
      </c>
      <c r="BS372" s="27" t="s">
        <v>8</v>
      </c>
      <c r="BT372" s="27" t="s">
        <v>7</v>
      </c>
      <c r="BU372" s="27" t="s">
        <v>8</v>
      </c>
      <c r="BV372" s="27" t="s">
        <v>7</v>
      </c>
      <c r="BW372" s="27" t="s">
        <v>8</v>
      </c>
      <c r="BX372" s="27" t="s">
        <v>7</v>
      </c>
      <c r="BY372" s="27" t="s">
        <v>8</v>
      </c>
      <c r="BZ372" s="27" t="s">
        <v>7</v>
      </c>
      <c r="CA372" s="27" t="s">
        <v>8</v>
      </c>
      <c r="CB372" s="27" t="s">
        <v>7</v>
      </c>
    </row>
    <row r="373" spans="1:90" x14ac:dyDescent="0.25">
      <c r="A373" s="7">
        <v>69.252707472740454</v>
      </c>
      <c r="B373"/>
      <c r="C373"/>
      <c r="D373"/>
      <c r="E373"/>
      <c r="I373" s="27" t="s">
        <v>8</v>
      </c>
      <c r="J373" s="27" t="s">
        <v>7</v>
      </c>
      <c r="AI373" s="27" t="s">
        <v>8</v>
      </c>
      <c r="AJ373" s="27" t="s">
        <v>7</v>
      </c>
      <c r="AS373" s="27" t="s">
        <v>8</v>
      </c>
      <c r="AT373" s="27" t="s">
        <v>7</v>
      </c>
      <c r="AU373" s="27" t="s">
        <v>8</v>
      </c>
      <c r="AX373" s="27" t="s">
        <v>7</v>
      </c>
      <c r="BA373" s="27" t="s">
        <v>8</v>
      </c>
      <c r="BC373" s="27" t="s">
        <v>8</v>
      </c>
      <c r="BD373" s="27" t="s">
        <v>7</v>
      </c>
      <c r="BE373" s="27" t="s">
        <v>8</v>
      </c>
      <c r="BF373" s="27" t="s">
        <v>7</v>
      </c>
      <c r="BG373" s="27" t="s">
        <v>8</v>
      </c>
      <c r="BH373" s="27" t="s">
        <v>7</v>
      </c>
      <c r="BK373" s="27" t="s">
        <v>8</v>
      </c>
      <c r="BO373" s="27" t="s">
        <v>8</v>
      </c>
      <c r="BP373" s="27" t="s">
        <v>7</v>
      </c>
      <c r="BQ373" s="27" t="s">
        <v>8</v>
      </c>
      <c r="BS373" s="27" t="s">
        <v>8</v>
      </c>
      <c r="BT373" s="27" t="s">
        <v>7</v>
      </c>
      <c r="BU373" s="27" t="s">
        <v>8</v>
      </c>
      <c r="BV373" s="27" t="s">
        <v>7</v>
      </c>
      <c r="BX373" s="27" t="s">
        <v>7</v>
      </c>
      <c r="BZ373" s="27" t="s">
        <v>7</v>
      </c>
      <c r="CA373" s="27" t="s">
        <v>8</v>
      </c>
      <c r="CB373" s="27" t="s">
        <v>7</v>
      </c>
    </row>
    <row r="374" spans="1:90" x14ac:dyDescent="0.25">
      <c r="A374" s="7">
        <v>67.894811247784759</v>
      </c>
      <c r="B374"/>
      <c r="C374"/>
      <c r="D374"/>
      <c r="E374"/>
      <c r="I374" s="27" t="s">
        <v>8</v>
      </c>
      <c r="J374" s="27" t="s">
        <v>7</v>
      </c>
      <c r="AI374" s="27" t="s">
        <v>8</v>
      </c>
      <c r="AJ374" s="27" t="s">
        <v>7</v>
      </c>
      <c r="AS374" s="27" t="s">
        <v>8</v>
      </c>
      <c r="AT374" s="27" t="s">
        <v>7</v>
      </c>
      <c r="AU374" s="27" t="s">
        <v>8</v>
      </c>
      <c r="AX374" s="27" t="s">
        <v>7</v>
      </c>
      <c r="BA374" s="27" t="s">
        <v>8</v>
      </c>
      <c r="BB374" s="27" t="s">
        <v>7</v>
      </c>
      <c r="BC374" s="27" t="s">
        <v>8</v>
      </c>
      <c r="BD374" s="27" t="s">
        <v>7</v>
      </c>
      <c r="BF374" s="27" t="s">
        <v>7</v>
      </c>
      <c r="BG374" s="27" t="s">
        <v>8</v>
      </c>
      <c r="BH374" s="27" t="s">
        <v>7</v>
      </c>
      <c r="BK374" s="27" t="s">
        <v>8</v>
      </c>
      <c r="BL374" s="27" t="s">
        <v>7</v>
      </c>
      <c r="BO374" s="27" t="s">
        <v>8</v>
      </c>
      <c r="BP374" s="27" t="s">
        <v>7</v>
      </c>
      <c r="BQ374" s="27" t="s">
        <v>8</v>
      </c>
      <c r="BR374" s="27" t="s">
        <v>7</v>
      </c>
      <c r="BS374" s="27" t="s">
        <v>8</v>
      </c>
      <c r="BT374" s="27" t="s">
        <v>7</v>
      </c>
      <c r="BU374" s="27" t="s">
        <v>8</v>
      </c>
      <c r="BZ374" s="27" t="s">
        <v>7</v>
      </c>
      <c r="CA374" s="27" t="s">
        <v>8</v>
      </c>
      <c r="CB374" s="27" t="s">
        <v>7</v>
      </c>
    </row>
    <row r="375" spans="1:90" x14ac:dyDescent="0.25">
      <c r="A375" s="7">
        <v>66.563540439004669</v>
      </c>
      <c r="B375"/>
      <c r="C375"/>
      <c r="D375"/>
      <c r="E375"/>
      <c r="I375" s="27" t="s">
        <v>8</v>
      </c>
      <c r="J375" s="27" t="s">
        <v>7</v>
      </c>
      <c r="AI375" s="27" t="s">
        <v>8</v>
      </c>
      <c r="AJ375" s="27" t="s">
        <v>7</v>
      </c>
      <c r="AS375" s="27" t="s">
        <v>8</v>
      </c>
      <c r="AT375" s="27" t="s">
        <v>7</v>
      </c>
      <c r="AU375" s="27" t="s">
        <v>8</v>
      </c>
      <c r="AX375" s="27" t="s">
        <v>7</v>
      </c>
      <c r="BA375" s="27" t="s">
        <v>8</v>
      </c>
      <c r="BB375" s="27" t="s">
        <v>7</v>
      </c>
      <c r="BC375" s="27" t="s">
        <v>8</v>
      </c>
      <c r="BF375" s="27" t="s">
        <v>7</v>
      </c>
      <c r="BH375" s="27" t="s">
        <v>7</v>
      </c>
      <c r="BI375" s="27" t="s">
        <v>8</v>
      </c>
      <c r="BK375" s="27" t="s">
        <v>8</v>
      </c>
      <c r="BL375" s="27" t="s">
        <v>7</v>
      </c>
      <c r="BO375" s="27" t="s">
        <v>8</v>
      </c>
      <c r="BP375" s="27" t="s">
        <v>7</v>
      </c>
      <c r="BQ375" s="27" t="s">
        <v>8</v>
      </c>
      <c r="BR375" s="27" t="s">
        <v>7</v>
      </c>
      <c r="BS375" s="27" t="s">
        <v>8</v>
      </c>
      <c r="BT375" s="27" t="s">
        <v>7</v>
      </c>
      <c r="BU375" s="27" t="s">
        <v>8</v>
      </c>
      <c r="BZ375" s="27" t="s">
        <v>7</v>
      </c>
      <c r="CA375" s="27" t="s">
        <v>8</v>
      </c>
      <c r="CB375" s="27" t="s">
        <v>7</v>
      </c>
    </row>
    <row r="376" spans="1:90" x14ac:dyDescent="0.25">
      <c r="A376" s="7">
        <v>65.258372979416336</v>
      </c>
      <c r="B376"/>
      <c r="C376"/>
      <c r="D376"/>
      <c r="E376"/>
      <c r="I376" s="27" t="s">
        <v>8</v>
      </c>
      <c r="J376" s="27" t="s">
        <v>7</v>
      </c>
      <c r="AI376" s="27" t="s">
        <v>8</v>
      </c>
      <c r="AJ376" s="27" t="s">
        <v>7</v>
      </c>
      <c r="AS376" s="27" t="s">
        <v>8</v>
      </c>
      <c r="AT376" s="27" t="s">
        <v>7</v>
      </c>
      <c r="AU376" s="27" t="s">
        <v>8</v>
      </c>
      <c r="AX376" s="27" t="s">
        <v>7</v>
      </c>
      <c r="BA376" s="27" t="s">
        <v>8</v>
      </c>
      <c r="BB376" s="27" t="s">
        <v>7</v>
      </c>
      <c r="BC376" s="27" t="s">
        <v>8</v>
      </c>
      <c r="BH376" s="27" t="s">
        <v>7</v>
      </c>
      <c r="BI376" s="27" t="s">
        <v>8</v>
      </c>
      <c r="BJ376" s="27" t="s">
        <v>7</v>
      </c>
      <c r="BK376" s="27" t="s">
        <v>8</v>
      </c>
      <c r="BL376" s="27" t="s">
        <v>7</v>
      </c>
      <c r="BO376" s="27" t="s">
        <v>8</v>
      </c>
      <c r="BP376" s="27" t="s">
        <v>7</v>
      </c>
      <c r="BR376" s="27" t="s">
        <v>7</v>
      </c>
      <c r="BS376" s="27" t="s">
        <v>8</v>
      </c>
      <c r="BT376" s="27" t="s">
        <v>7</v>
      </c>
      <c r="BU376" s="27" t="s">
        <v>8</v>
      </c>
      <c r="BZ376" s="27" t="s">
        <v>7</v>
      </c>
      <c r="CB376" s="27" t="s">
        <v>7</v>
      </c>
    </row>
    <row r="377" spans="1:90" x14ac:dyDescent="0.25">
      <c r="A377" s="7">
        <v>63.978797038643471</v>
      </c>
      <c r="B377"/>
      <c r="C377"/>
      <c r="D377"/>
      <c r="E377"/>
      <c r="I377" s="27" t="s">
        <v>8</v>
      </c>
      <c r="J377" s="27" t="s">
        <v>7</v>
      </c>
      <c r="AI377" s="27" t="s">
        <v>8</v>
      </c>
      <c r="AJ377" s="27" t="s">
        <v>7</v>
      </c>
      <c r="AS377" s="27" t="s">
        <v>8</v>
      </c>
      <c r="AT377" s="27" t="s">
        <v>7</v>
      </c>
      <c r="AX377" s="27" t="s">
        <v>7</v>
      </c>
      <c r="AY377" s="27" t="s">
        <v>8</v>
      </c>
      <c r="BA377" s="27" t="s">
        <v>8</v>
      </c>
      <c r="BB377" s="27" t="s">
        <v>7</v>
      </c>
      <c r="BC377" s="27" t="s">
        <v>8</v>
      </c>
      <c r="BH377" s="27" t="s">
        <v>7</v>
      </c>
      <c r="BI377" s="27" t="s">
        <v>8</v>
      </c>
      <c r="BJ377" s="27" t="s">
        <v>7</v>
      </c>
      <c r="BK377" s="27" t="s">
        <v>8</v>
      </c>
      <c r="BL377" s="27" t="s">
        <v>7</v>
      </c>
      <c r="BM377" s="27" t="s">
        <v>8</v>
      </c>
      <c r="BO377" s="27" t="s">
        <v>8</v>
      </c>
      <c r="BR377" s="27" t="s">
        <v>7</v>
      </c>
      <c r="BT377" s="27" t="s">
        <v>7</v>
      </c>
      <c r="BU377" s="27" t="s">
        <v>8</v>
      </c>
      <c r="CB377" s="27" t="s">
        <v>7</v>
      </c>
      <c r="CC377" s="27" t="s">
        <v>8</v>
      </c>
    </row>
    <row r="378" spans="1:90" x14ac:dyDescent="0.25">
      <c r="A378" s="7">
        <v>62.724310822199477</v>
      </c>
      <c r="B378"/>
      <c r="C378"/>
      <c r="D378"/>
      <c r="E378"/>
      <c r="I378" s="27" t="s">
        <v>8</v>
      </c>
      <c r="J378" s="27" t="s">
        <v>7</v>
      </c>
      <c r="AI378" s="27" t="s">
        <v>8</v>
      </c>
      <c r="AJ378" s="27" t="s">
        <v>7</v>
      </c>
      <c r="AS378" s="27" t="s">
        <v>8</v>
      </c>
      <c r="AX378" s="27" t="s">
        <v>7</v>
      </c>
      <c r="AY378" s="27" t="s">
        <v>8</v>
      </c>
      <c r="AZ378" s="27" t="s">
        <v>7</v>
      </c>
      <c r="BA378" s="27" t="s">
        <v>8</v>
      </c>
      <c r="BB378" s="27" t="s">
        <v>7</v>
      </c>
      <c r="BC378" s="27" t="s">
        <v>8</v>
      </c>
      <c r="BH378" s="27" t="s">
        <v>7</v>
      </c>
      <c r="BI378" s="27" t="s">
        <v>8</v>
      </c>
      <c r="BJ378" s="27" t="s">
        <v>7</v>
      </c>
      <c r="BK378" s="27" t="s">
        <v>8</v>
      </c>
      <c r="BL378" s="27" t="s">
        <v>7</v>
      </c>
      <c r="BM378" s="27" t="s">
        <v>8</v>
      </c>
      <c r="BN378" s="27" t="s">
        <v>7</v>
      </c>
      <c r="BO378" s="27" t="s">
        <v>8</v>
      </c>
      <c r="BT378" s="27" t="s">
        <v>7</v>
      </c>
      <c r="BU378" s="27" t="s">
        <v>8</v>
      </c>
      <c r="CB378" s="27" t="s">
        <v>7</v>
      </c>
      <c r="CC378" s="27" t="s">
        <v>8</v>
      </c>
      <c r="CD378" s="27" t="s">
        <v>7</v>
      </c>
      <c r="CE378" s="27" t="s">
        <v>8</v>
      </c>
    </row>
    <row r="379" spans="1:90" x14ac:dyDescent="0.25">
      <c r="A379" s="7">
        <v>61.494422374705366</v>
      </c>
      <c r="B379"/>
      <c r="C379"/>
      <c r="D379"/>
      <c r="E379"/>
      <c r="G379" s="27" t="s">
        <v>8</v>
      </c>
      <c r="I379" s="27" t="s">
        <v>8</v>
      </c>
      <c r="J379" s="27" t="s">
        <v>7</v>
      </c>
      <c r="AI379" s="27" t="s">
        <v>8</v>
      </c>
      <c r="AJ379" s="27" t="s">
        <v>7</v>
      </c>
      <c r="AM379" s="27" t="s">
        <v>8</v>
      </c>
      <c r="AS379" s="27" t="s">
        <v>8</v>
      </c>
      <c r="AX379" s="27" t="s">
        <v>7</v>
      </c>
      <c r="AY379" s="27" t="s">
        <v>8</v>
      </c>
      <c r="AZ379" s="27" t="s">
        <v>7</v>
      </c>
      <c r="BA379" s="27" t="s">
        <v>8</v>
      </c>
      <c r="BB379" s="27" t="s">
        <v>7</v>
      </c>
      <c r="BC379" s="27" t="s">
        <v>8</v>
      </c>
      <c r="BH379" s="27" t="s">
        <v>7</v>
      </c>
      <c r="BI379" s="27" t="s">
        <v>8</v>
      </c>
      <c r="BJ379" s="27" t="s">
        <v>7</v>
      </c>
      <c r="BK379" s="27" t="s">
        <v>8</v>
      </c>
      <c r="BL379" s="27" t="s">
        <v>7</v>
      </c>
      <c r="BM379" s="27" t="s">
        <v>8</v>
      </c>
      <c r="BN379" s="27" t="s">
        <v>7</v>
      </c>
      <c r="BO379" s="27" t="s">
        <v>8</v>
      </c>
      <c r="BT379" s="27" t="s">
        <v>7</v>
      </c>
      <c r="BU379" s="27" t="s">
        <v>8</v>
      </c>
      <c r="CB379" s="27" t="s">
        <v>7</v>
      </c>
      <c r="CC379" s="27" t="s">
        <v>8</v>
      </c>
      <c r="CD379" s="27" t="s">
        <v>7</v>
      </c>
      <c r="CE379" s="27" t="s">
        <v>8</v>
      </c>
      <c r="CF379" s="27" t="s">
        <v>7</v>
      </c>
      <c r="CG379" s="27" t="s">
        <v>8</v>
      </c>
    </row>
    <row r="380" spans="1:90" x14ac:dyDescent="0.25">
      <c r="A380" s="7">
        <v>60.288649386966043</v>
      </c>
      <c r="B380"/>
      <c r="C380"/>
      <c r="D380"/>
      <c r="E380" t="s">
        <v>8</v>
      </c>
      <c r="G380" s="27" t="s">
        <v>8</v>
      </c>
      <c r="H380" s="27" t="s">
        <v>7</v>
      </c>
      <c r="I380" s="27" t="s">
        <v>8</v>
      </c>
      <c r="J380" s="27" t="s">
        <v>7</v>
      </c>
      <c r="AI380" s="27" t="s">
        <v>8</v>
      </c>
      <c r="AJ380" s="27" t="s">
        <v>7</v>
      </c>
      <c r="AM380" s="27" t="s">
        <v>8</v>
      </c>
      <c r="AN380" s="27" t="s">
        <v>7</v>
      </c>
      <c r="AS380" s="27" t="s">
        <v>8</v>
      </c>
      <c r="AX380" s="27" t="s">
        <v>7</v>
      </c>
      <c r="AY380" s="27" t="s">
        <v>8</v>
      </c>
      <c r="AZ380" s="27" t="s">
        <v>7</v>
      </c>
      <c r="BB380" s="27" t="s">
        <v>7</v>
      </c>
      <c r="BC380" s="27" t="s">
        <v>8</v>
      </c>
      <c r="BH380" s="27" t="s">
        <v>7</v>
      </c>
      <c r="BI380" s="27" t="s">
        <v>8</v>
      </c>
      <c r="BJ380" s="27" t="s">
        <v>7</v>
      </c>
      <c r="BK380" s="27" t="s">
        <v>8</v>
      </c>
      <c r="BL380" s="27" t="s">
        <v>7</v>
      </c>
      <c r="BM380" s="27" t="s">
        <v>8</v>
      </c>
      <c r="BN380" s="27" t="s">
        <v>7</v>
      </c>
      <c r="BO380" s="27" t="s">
        <v>8</v>
      </c>
      <c r="BT380" s="27" t="s">
        <v>7</v>
      </c>
      <c r="BU380" s="27" t="s">
        <v>8</v>
      </c>
      <c r="CB380" s="27" t="s">
        <v>7</v>
      </c>
      <c r="CC380" s="27" t="s">
        <v>8</v>
      </c>
      <c r="CD380" s="27" t="s">
        <v>7</v>
      </c>
      <c r="CE380" s="27" t="s">
        <v>8</v>
      </c>
      <c r="CF380" s="27" t="s">
        <v>7</v>
      </c>
      <c r="CG380" s="27" t="s">
        <v>8</v>
      </c>
      <c r="CH380" s="27" t="s">
        <v>7</v>
      </c>
    </row>
    <row r="381" spans="1:90" x14ac:dyDescent="0.25">
      <c r="A381" s="7">
        <v>59.106519006829451</v>
      </c>
      <c r="B381"/>
      <c r="C381"/>
      <c r="D381"/>
      <c r="E381" t="s">
        <v>8</v>
      </c>
      <c r="F381" s="27" t="s">
        <v>7</v>
      </c>
      <c r="G381" s="27" t="s">
        <v>8</v>
      </c>
      <c r="H381" s="27" t="s">
        <v>7</v>
      </c>
      <c r="I381" s="27" t="s">
        <v>8</v>
      </c>
      <c r="J381" s="27" t="s">
        <v>7</v>
      </c>
      <c r="AI381" s="27" t="s">
        <v>8</v>
      </c>
      <c r="AJ381" s="27" t="s">
        <v>7</v>
      </c>
      <c r="AM381" s="27" t="s">
        <v>8</v>
      </c>
      <c r="AN381" s="27" t="s">
        <v>7</v>
      </c>
      <c r="AS381" s="27" t="s">
        <v>8</v>
      </c>
      <c r="AX381" s="27" t="s">
        <v>7</v>
      </c>
      <c r="AY381" s="27" t="s">
        <v>8</v>
      </c>
      <c r="BB381" s="27" t="s">
        <v>7</v>
      </c>
      <c r="BC381" s="27" t="s">
        <v>8</v>
      </c>
      <c r="BH381" s="27" t="s">
        <v>7</v>
      </c>
      <c r="BI381" s="27" t="s">
        <v>8</v>
      </c>
      <c r="BJ381" s="27" t="s">
        <v>7</v>
      </c>
      <c r="BK381" s="27" t="s">
        <v>8</v>
      </c>
      <c r="BL381" s="27" t="s">
        <v>7</v>
      </c>
      <c r="BM381" s="27" t="s">
        <v>8</v>
      </c>
      <c r="BN381" s="27" t="s">
        <v>7</v>
      </c>
      <c r="BO381" s="27" t="s">
        <v>8</v>
      </c>
      <c r="BT381" s="27" t="s">
        <v>7</v>
      </c>
      <c r="CB381" s="27" t="s">
        <v>7</v>
      </c>
      <c r="CC381" s="27" t="s">
        <v>8</v>
      </c>
      <c r="CD381" s="27" t="s">
        <v>7</v>
      </c>
      <c r="CF381" s="27" t="s">
        <v>7</v>
      </c>
      <c r="CG381" s="27" t="s">
        <v>8</v>
      </c>
      <c r="CH381" s="27" t="s">
        <v>7</v>
      </c>
    </row>
    <row r="382" spans="1:90" x14ac:dyDescent="0.25">
      <c r="A382" s="7">
        <v>57.947567653754362</v>
      </c>
      <c r="B382"/>
      <c r="C382"/>
      <c r="D382"/>
      <c r="E382" t="s">
        <v>8</v>
      </c>
      <c r="F382" s="27" t="s">
        <v>7</v>
      </c>
      <c r="G382" s="27" t="s">
        <v>8</v>
      </c>
      <c r="H382" s="27" t="s">
        <v>7</v>
      </c>
      <c r="I382" s="27" t="s">
        <v>8</v>
      </c>
      <c r="J382" s="27" t="s">
        <v>7</v>
      </c>
      <c r="AI382" s="27" t="s">
        <v>8</v>
      </c>
      <c r="AJ382" s="27" t="s">
        <v>7</v>
      </c>
      <c r="AK382" s="27" t="s">
        <v>8</v>
      </c>
      <c r="AM382" s="27" t="s">
        <v>8</v>
      </c>
      <c r="AN382" s="27" t="s">
        <v>7</v>
      </c>
      <c r="AS382" s="27" t="s">
        <v>8</v>
      </c>
      <c r="AX382" s="27" t="s">
        <v>7</v>
      </c>
      <c r="AY382" s="27" t="s">
        <v>8</v>
      </c>
      <c r="BB382" s="27" t="s">
        <v>7</v>
      </c>
      <c r="BC382" s="27" t="s">
        <v>8</v>
      </c>
      <c r="BH382" s="27" t="s">
        <v>7</v>
      </c>
      <c r="BI382" s="27" t="s">
        <v>8</v>
      </c>
      <c r="BJ382" s="27" t="s">
        <v>7</v>
      </c>
      <c r="BK382" s="27" t="s">
        <v>8</v>
      </c>
      <c r="BL382" s="27" t="s">
        <v>7</v>
      </c>
      <c r="BM382" s="27" t="s">
        <v>8</v>
      </c>
      <c r="BN382" s="27" t="s">
        <v>7</v>
      </c>
      <c r="CB382" s="27" t="s">
        <v>7</v>
      </c>
      <c r="CF382" s="27" t="s">
        <v>7</v>
      </c>
      <c r="CG382" s="27" t="s">
        <v>8</v>
      </c>
      <c r="CH382" s="27" t="s">
        <v>7</v>
      </c>
    </row>
    <row r="383" spans="1:90" x14ac:dyDescent="0.25">
      <c r="A383" s="7">
        <v>56.811340837014079</v>
      </c>
      <c r="B383"/>
      <c r="C383"/>
      <c r="D383"/>
      <c r="E383" t="s">
        <v>8</v>
      </c>
      <c r="F383" s="27" t="s">
        <v>7</v>
      </c>
      <c r="G383" s="27" t="s">
        <v>8</v>
      </c>
      <c r="H383" s="27" t="s">
        <v>7</v>
      </c>
      <c r="I383" s="27" t="s">
        <v>8</v>
      </c>
      <c r="J383" s="27" t="s">
        <v>7</v>
      </c>
      <c r="AI383" s="27" t="s">
        <v>8</v>
      </c>
      <c r="AJ383" s="27" t="s">
        <v>7</v>
      </c>
      <c r="AK383" s="27" t="s">
        <v>8</v>
      </c>
      <c r="AL383" s="27" t="s">
        <v>7</v>
      </c>
      <c r="AM383" s="27" t="s">
        <v>8</v>
      </c>
      <c r="AN383" s="27" t="s">
        <v>7</v>
      </c>
      <c r="AS383" s="27" t="s">
        <v>8</v>
      </c>
      <c r="AX383" s="27" t="s">
        <v>7</v>
      </c>
      <c r="AY383" s="27" t="s">
        <v>8</v>
      </c>
      <c r="BB383" s="27" t="s">
        <v>7</v>
      </c>
      <c r="BC383" s="27" t="s">
        <v>8</v>
      </c>
      <c r="BH383" s="27" t="s">
        <v>7</v>
      </c>
      <c r="BI383" s="27" t="s">
        <v>8</v>
      </c>
      <c r="BJ383" s="27" t="s">
        <v>7</v>
      </c>
      <c r="BK383" s="27" t="s">
        <v>8</v>
      </c>
      <c r="BL383" s="27" t="s">
        <v>7</v>
      </c>
      <c r="BM383" s="27" t="s">
        <v>8</v>
      </c>
      <c r="CF383" s="27" t="s">
        <v>7</v>
      </c>
      <c r="CG383" s="27" t="s">
        <v>8</v>
      </c>
      <c r="CH383" s="27" t="s">
        <v>7</v>
      </c>
      <c r="CK383" s="27" t="s">
        <v>8</v>
      </c>
    </row>
    <row r="384" spans="1:90" x14ac:dyDescent="0.25">
      <c r="A384" s="7">
        <v>55.69739297746478</v>
      </c>
      <c r="B384"/>
      <c r="C384"/>
      <c r="D384"/>
      <c r="E384" t="s">
        <v>8</v>
      </c>
      <c r="F384" s="27" t="s">
        <v>7</v>
      </c>
      <c r="G384" s="27" t="s">
        <v>8</v>
      </c>
      <c r="H384" s="27" t="s">
        <v>7</v>
      </c>
      <c r="I384" s="27" t="s">
        <v>8</v>
      </c>
      <c r="J384" s="27" t="s">
        <v>7</v>
      </c>
      <c r="AI384" s="27" t="s">
        <v>8</v>
      </c>
      <c r="AJ384" s="27" t="s">
        <v>7</v>
      </c>
      <c r="AK384" s="27" t="s">
        <v>8</v>
      </c>
      <c r="AL384" s="27" t="s">
        <v>7</v>
      </c>
      <c r="AM384" s="27" t="s">
        <v>8</v>
      </c>
      <c r="AN384" s="27" t="s">
        <v>7</v>
      </c>
      <c r="AS384" s="27" t="s">
        <v>8</v>
      </c>
      <c r="AX384" s="27" t="s">
        <v>7</v>
      </c>
      <c r="AY384" s="27" t="s">
        <v>8</v>
      </c>
      <c r="BB384" s="27" t="s">
        <v>7</v>
      </c>
      <c r="BH384" s="27" t="s">
        <v>7</v>
      </c>
      <c r="BI384" s="27" t="s">
        <v>8</v>
      </c>
      <c r="BJ384" s="27" t="s">
        <v>7</v>
      </c>
      <c r="BK384" s="27" t="s">
        <v>8</v>
      </c>
      <c r="BL384" s="27" t="s">
        <v>7</v>
      </c>
      <c r="CF384" s="27" t="s">
        <v>7</v>
      </c>
      <c r="CH384" s="27" t="s">
        <v>7</v>
      </c>
      <c r="CI384" s="27" t="s">
        <v>8</v>
      </c>
      <c r="CK384" s="27" t="s">
        <v>8</v>
      </c>
      <c r="CL384" s="27" t="s">
        <v>7</v>
      </c>
    </row>
    <row r="385" spans="1:113" x14ac:dyDescent="0.25">
      <c r="A385" s="7">
        <v>54.605287232808607</v>
      </c>
      <c r="B385"/>
      <c r="C385"/>
      <c r="D385"/>
      <c r="E385" t="s">
        <v>8</v>
      </c>
      <c r="F385" s="27" t="s">
        <v>7</v>
      </c>
      <c r="G385" s="27" t="s">
        <v>8</v>
      </c>
      <c r="H385" s="27" t="s">
        <v>7</v>
      </c>
      <c r="I385" s="27" t="s">
        <v>8</v>
      </c>
      <c r="J385" s="27" t="s">
        <v>7</v>
      </c>
      <c r="AI385" s="27" t="s">
        <v>8</v>
      </c>
      <c r="AJ385" s="27" t="s">
        <v>7</v>
      </c>
      <c r="AK385" s="27" t="s">
        <v>8</v>
      </c>
      <c r="AL385" s="27" t="s">
        <v>7</v>
      </c>
      <c r="AM385" s="27" t="s">
        <v>8</v>
      </c>
      <c r="AN385" s="27" t="s">
        <v>7</v>
      </c>
      <c r="AS385" s="27" t="s">
        <v>8</v>
      </c>
      <c r="AX385" s="27" t="s">
        <v>7</v>
      </c>
      <c r="BH385" s="27" t="s">
        <v>7</v>
      </c>
      <c r="BI385" s="27" t="s">
        <v>8</v>
      </c>
      <c r="BJ385" s="27" t="s">
        <v>7</v>
      </c>
      <c r="CH385" s="27" t="s">
        <v>7</v>
      </c>
      <c r="CI385" s="27" t="s">
        <v>8</v>
      </c>
      <c r="CJ385" s="27" t="s">
        <v>7</v>
      </c>
      <c r="CK385" s="27" t="s">
        <v>8</v>
      </c>
      <c r="CL385" s="27" t="s">
        <v>7</v>
      </c>
      <c r="CO385" s="27" t="s">
        <v>8</v>
      </c>
    </row>
    <row r="386" spans="1:113" x14ac:dyDescent="0.25">
      <c r="A386" s="7">
        <v>53.534595326282947</v>
      </c>
      <c r="B386"/>
      <c r="C386"/>
      <c r="D386"/>
      <c r="E386" t="s">
        <v>8</v>
      </c>
      <c r="F386" s="27" t="s">
        <v>7</v>
      </c>
      <c r="G386" s="27" t="s">
        <v>8</v>
      </c>
      <c r="H386" s="27" t="s">
        <v>7</v>
      </c>
      <c r="I386" s="27" t="s">
        <v>8</v>
      </c>
      <c r="J386" s="27" t="s">
        <v>7</v>
      </c>
      <c r="AI386" s="27" t="s">
        <v>8</v>
      </c>
      <c r="AJ386" s="27" t="s">
        <v>7</v>
      </c>
      <c r="AL386" s="27" t="s">
        <v>7</v>
      </c>
      <c r="AM386" s="27" t="s">
        <v>8</v>
      </c>
      <c r="AN386" s="27" t="s">
        <v>7</v>
      </c>
      <c r="AQ386" s="27" t="s">
        <v>8</v>
      </c>
      <c r="AS386" s="27" t="s">
        <v>8</v>
      </c>
      <c r="BH386" s="27" t="s">
        <v>7</v>
      </c>
      <c r="CH386" s="27" t="s">
        <v>7</v>
      </c>
      <c r="CI386" s="27" t="s">
        <v>8</v>
      </c>
      <c r="CJ386" s="27" t="s">
        <v>7</v>
      </c>
      <c r="CK386" s="27" t="s">
        <v>8</v>
      </c>
      <c r="CL386" s="27" t="s">
        <v>7</v>
      </c>
      <c r="CO386" s="27" t="s">
        <v>8</v>
      </c>
      <c r="CP386" s="27" t="s">
        <v>7</v>
      </c>
      <c r="CQ386" s="27" t="s">
        <v>8</v>
      </c>
    </row>
    <row r="387" spans="1:113" x14ac:dyDescent="0.25">
      <c r="A387" s="7">
        <v>52.484897378708773</v>
      </c>
      <c r="B387"/>
      <c r="C387"/>
      <c r="D387"/>
      <c r="E387" t="s">
        <v>8</v>
      </c>
      <c r="F387" s="27" t="s">
        <v>7</v>
      </c>
      <c r="G387" s="27" t="s">
        <v>8</v>
      </c>
      <c r="H387" s="27" t="s">
        <v>7</v>
      </c>
      <c r="I387" s="27" t="s">
        <v>8</v>
      </c>
      <c r="J387" s="27" t="s">
        <v>7</v>
      </c>
      <c r="AI387" s="27" t="s">
        <v>8</v>
      </c>
      <c r="AL387" s="27" t="s">
        <v>7</v>
      </c>
      <c r="AM387" s="27" t="s">
        <v>8</v>
      </c>
      <c r="AN387" s="27" t="s">
        <v>7</v>
      </c>
      <c r="AO387" s="27" t="s">
        <v>8</v>
      </c>
      <c r="AQ387" s="27" t="s">
        <v>8</v>
      </c>
      <c r="AR387" s="27" t="s">
        <v>7</v>
      </c>
      <c r="AS387" s="27" t="s">
        <v>8</v>
      </c>
      <c r="CH387" s="27" t="s">
        <v>7</v>
      </c>
      <c r="CI387" s="27" t="s">
        <v>8</v>
      </c>
      <c r="CJ387" s="27" t="s">
        <v>7</v>
      </c>
      <c r="CK387" s="27" t="s">
        <v>8</v>
      </c>
      <c r="CL387" s="27" t="s">
        <v>7</v>
      </c>
      <c r="CM387" s="27" t="s">
        <v>8</v>
      </c>
      <c r="CO387" s="27" t="s">
        <v>8</v>
      </c>
      <c r="CP387" s="27" t="s">
        <v>7</v>
      </c>
      <c r="CQ387" s="27" t="s">
        <v>8</v>
      </c>
      <c r="CR387" s="27" t="s">
        <v>7</v>
      </c>
    </row>
    <row r="388" spans="1:113" x14ac:dyDescent="0.25">
      <c r="A388" s="7">
        <v>51.455781743832127</v>
      </c>
      <c r="B388"/>
      <c r="C388"/>
      <c r="D388"/>
      <c r="E388" t="s">
        <v>8</v>
      </c>
      <c r="F388" s="27" t="s">
        <v>7</v>
      </c>
      <c r="H388" s="27" t="s">
        <v>7</v>
      </c>
      <c r="I388" s="27" t="s">
        <v>8</v>
      </c>
      <c r="J388" s="27" t="s">
        <v>7</v>
      </c>
      <c r="AI388" s="27" t="s">
        <v>8</v>
      </c>
      <c r="AL388" s="27" t="s">
        <v>7</v>
      </c>
      <c r="AM388" s="27" t="s">
        <v>8</v>
      </c>
      <c r="AN388" s="27" t="s">
        <v>7</v>
      </c>
      <c r="AO388" s="27" t="s">
        <v>8</v>
      </c>
      <c r="AP388" s="27" t="s">
        <v>7</v>
      </c>
      <c r="AQ388" s="27" t="s">
        <v>8</v>
      </c>
      <c r="AR388" s="27" t="s">
        <v>7</v>
      </c>
      <c r="AS388" s="27" t="s">
        <v>8</v>
      </c>
      <c r="CH388" s="27" t="s">
        <v>7</v>
      </c>
      <c r="CJ388" s="27" t="s">
        <v>7</v>
      </c>
      <c r="CL388" s="27" t="s">
        <v>7</v>
      </c>
      <c r="CM388" s="27" t="s">
        <v>8</v>
      </c>
      <c r="CN388" s="27" t="s">
        <v>7</v>
      </c>
      <c r="CO388" s="27" t="s">
        <v>8</v>
      </c>
      <c r="CP388" s="27" t="s">
        <v>7</v>
      </c>
      <c r="CQ388" s="27" t="s">
        <v>8</v>
      </c>
      <c r="CR388" s="27" t="s">
        <v>7</v>
      </c>
    </row>
    <row r="389" spans="1:113" x14ac:dyDescent="0.25">
      <c r="A389" s="7">
        <v>50.446844846894244</v>
      </c>
      <c r="B389"/>
      <c r="C389"/>
      <c r="D389"/>
      <c r="E389" t="s">
        <v>8</v>
      </c>
      <c r="H389" s="27" t="s">
        <v>7</v>
      </c>
      <c r="I389" s="27" t="s">
        <v>8</v>
      </c>
      <c r="J389" s="27" t="s">
        <v>7</v>
      </c>
      <c r="AI389" s="27" t="s">
        <v>8</v>
      </c>
      <c r="AL389" s="27" t="s">
        <v>7</v>
      </c>
      <c r="AM389" s="27" t="s">
        <v>8</v>
      </c>
      <c r="AN389" s="27" t="s">
        <v>7</v>
      </c>
      <c r="AO389" s="27" t="s">
        <v>8</v>
      </c>
      <c r="AP389" s="27" t="s">
        <v>7</v>
      </c>
      <c r="AQ389" s="27" t="s">
        <v>8</v>
      </c>
      <c r="AR389" s="27" t="s">
        <v>7</v>
      </c>
      <c r="AS389" s="27" t="s">
        <v>8</v>
      </c>
      <c r="CL389" s="27" t="s">
        <v>7</v>
      </c>
      <c r="CM389" s="27" t="s">
        <v>8</v>
      </c>
      <c r="CN389" s="27" t="s">
        <v>7</v>
      </c>
      <c r="CO389" s="27" t="s">
        <v>8</v>
      </c>
      <c r="CP389" s="27" t="s">
        <v>7</v>
      </c>
      <c r="CQ389" s="27" t="s">
        <v>8</v>
      </c>
      <c r="CR389" s="27" t="s">
        <v>7</v>
      </c>
    </row>
    <row r="390" spans="1:113" x14ac:dyDescent="0.25">
      <c r="A390" s="7">
        <v>49.457691026366902</v>
      </c>
      <c r="B390"/>
      <c r="C390"/>
      <c r="D390"/>
      <c r="E390" t="s">
        <v>8</v>
      </c>
      <c r="H390" s="27" t="s">
        <v>7</v>
      </c>
      <c r="I390" s="27" t="s">
        <v>8</v>
      </c>
      <c r="J390" s="27" t="s">
        <v>7</v>
      </c>
      <c r="AI390" s="27" t="s">
        <v>8</v>
      </c>
      <c r="AL390" s="27" t="s">
        <v>7</v>
      </c>
      <c r="AN390" s="27" t="s">
        <v>7</v>
      </c>
      <c r="AO390" s="27" t="s">
        <v>8</v>
      </c>
      <c r="AP390" s="27" t="s">
        <v>7</v>
      </c>
      <c r="AQ390" s="27" t="s">
        <v>8</v>
      </c>
      <c r="AR390" s="27" t="s">
        <v>7</v>
      </c>
      <c r="AS390" s="27" t="s">
        <v>8</v>
      </c>
      <c r="CL390" s="27" t="s">
        <v>7</v>
      </c>
      <c r="CM390" s="27" t="s">
        <v>8</v>
      </c>
      <c r="CN390" s="27" t="s">
        <v>7</v>
      </c>
      <c r="CO390" s="27" t="s">
        <v>8</v>
      </c>
      <c r="CP390" s="27" t="s">
        <v>7</v>
      </c>
      <c r="CQ390" s="27" t="s">
        <v>8</v>
      </c>
      <c r="CR390" s="27" t="s">
        <v>7</v>
      </c>
    </row>
    <row r="391" spans="1:113" x14ac:dyDescent="0.25">
      <c r="A391" s="7">
        <v>48.487932378791079</v>
      </c>
      <c r="B391"/>
      <c r="C391"/>
      <c r="D391"/>
      <c r="E391" t="s">
        <v>8</v>
      </c>
      <c r="H391" s="27" t="s">
        <v>7</v>
      </c>
      <c r="I391" s="27" t="s">
        <v>8</v>
      </c>
      <c r="J391" s="27" t="s">
        <v>7</v>
      </c>
      <c r="K391" s="27" t="s">
        <v>8</v>
      </c>
      <c r="AI391" s="27" t="s">
        <v>8</v>
      </c>
      <c r="AN391" s="27" t="s">
        <v>7</v>
      </c>
      <c r="AO391" s="27" t="s">
        <v>8</v>
      </c>
      <c r="AP391" s="27" t="s">
        <v>7</v>
      </c>
      <c r="AR391" s="27" t="s">
        <v>7</v>
      </c>
      <c r="AS391" s="27" t="s">
        <v>8</v>
      </c>
      <c r="CL391" s="27" t="s">
        <v>7</v>
      </c>
      <c r="CM391" s="27" t="s">
        <v>8</v>
      </c>
      <c r="CN391" s="27" t="s">
        <v>7</v>
      </c>
      <c r="CO391" s="27" t="s">
        <v>8</v>
      </c>
      <c r="CP391" s="27" t="s">
        <v>7</v>
      </c>
      <c r="CR391" s="27" t="s">
        <v>7</v>
      </c>
      <c r="CS391" s="27" t="s">
        <v>8</v>
      </c>
    </row>
    <row r="392" spans="1:113" x14ac:dyDescent="0.25">
      <c r="A392" s="7">
        <v>47.537188606657921</v>
      </c>
      <c r="B392"/>
      <c r="C392"/>
      <c r="D392"/>
      <c r="E392" t="s">
        <v>8</v>
      </c>
      <c r="H392" s="27" t="s">
        <v>7</v>
      </c>
      <c r="I392" s="27" t="s">
        <v>8</v>
      </c>
      <c r="J392" s="27" t="s">
        <v>7</v>
      </c>
      <c r="K392" s="27" t="s">
        <v>8</v>
      </c>
      <c r="L392" s="27" t="s">
        <v>7</v>
      </c>
      <c r="M392" s="27" t="s">
        <v>8</v>
      </c>
      <c r="AI392" s="27" t="s">
        <v>8</v>
      </c>
      <c r="AN392" s="27" t="s">
        <v>7</v>
      </c>
      <c r="AO392" s="27" t="s">
        <v>8</v>
      </c>
      <c r="AR392" s="27" t="s">
        <v>7</v>
      </c>
      <c r="CL392" s="27" t="s">
        <v>7</v>
      </c>
      <c r="CN392" s="27" t="s">
        <v>7</v>
      </c>
      <c r="CR392" s="27" t="s">
        <v>7</v>
      </c>
      <c r="CS392" s="27" t="s">
        <v>8</v>
      </c>
      <c r="CT392" s="27" t="s">
        <v>7</v>
      </c>
      <c r="CU392" s="27" t="s">
        <v>8</v>
      </c>
    </row>
    <row r="393" spans="1:113" x14ac:dyDescent="0.25">
      <c r="A393" s="7">
        <v>46.605086869272469</v>
      </c>
      <c r="B393"/>
      <c r="C393"/>
      <c r="D393"/>
      <c r="E393" t="s">
        <v>8</v>
      </c>
      <c r="H393" s="27" t="s">
        <v>7</v>
      </c>
      <c r="I393" s="27" t="s">
        <v>8</v>
      </c>
      <c r="J393" s="27" t="s">
        <v>7</v>
      </c>
      <c r="K393" s="27" t="s">
        <v>8</v>
      </c>
      <c r="L393" s="27" t="s">
        <v>7</v>
      </c>
      <c r="M393" s="27" t="s">
        <v>8</v>
      </c>
      <c r="N393" s="27" t="s">
        <v>7</v>
      </c>
      <c r="AI393" s="27" t="s">
        <v>8</v>
      </c>
      <c r="AN393" s="27" t="s">
        <v>7</v>
      </c>
      <c r="AO393" s="27" t="s">
        <v>8</v>
      </c>
      <c r="CR393" s="27" t="s">
        <v>7</v>
      </c>
      <c r="CS393" s="27" t="s">
        <v>8</v>
      </c>
      <c r="CT393" s="27" t="s">
        <v>7</v>
      </c>
      <c r="CU393" s="27" t="s">
        <v>8</v>
      </c>
      <c r="CV393" s="27" t="s">
        <v>7</v>
      </c>
      <c r="DG393" s="27" t="s">
        <v>8</v>
      </c>
    </row>
    <row r="394" spans="1:113" x14ac:dyDescent="0.25">
      <c r="A394" s="7">
        <v>45.691261636541633</v>
      </c>
      <c r="B394"/>
      <c r="C394"/>
      <c r="D394"/>
      <c r="E394" t="s">
        <v>8</v>
      </c>
      <c r="H394" s="27" t="s">
        <v>7</v>
      </c>
      <c r="I394" s="27" t="s">
        <v>8</v>
      </c>
      <c r="J394" s="27" t="s">
        <v>7</v>
      </c>
      <c r="K394" s="27" t="s">
        <v>8</v>
      </c>
      <c r="L394" s="27" t="s">
        <v>7</v>
      </c>
      <c r="M394" s="27" t="s">
        <v>8</v>
      </c>
      <c r="N394" s="27" t="s">
        <v>7</v>
      </c>
      <c r="O394" s="27" t="s">
        <v>8</v>
      </c>
      <c r="AI394" s="27" t="s">
        <v>8</v>
      </c>
      <c r="AN394" s="27" t="s">
        <v>7</v>
      </c>
      <c r="AO394" s="27" t="s">
        <v>8</v>
      </c>
      <c r="CR394" s="27" t="s">
        <v>7</v>
      </c>
      <c r="CS394" s="27" t="s">
        <v>8</v>
      </c>
      <c r="CT394" s="27" t="s">
        <v>7</v>
      </c>
      <c r="CU394" s="27" t="s">
        <v>8</v>
      </c>
      <c r="CV394" s="27" t="s">
        <v>7</v>
      </c>
      <c r="DG394" s="27" t="s">
        <v>8</v>
      </c>
      <c r="DH394" s="27" t="s">
        <v>7</v>
      </c>
    </row>
    <row r="395" spans="1:113" x14ac:dyDescent="0.25">
      <c r="A395" s="7">
        <v>44.795354545629053</v>
      </c>
      <c r="B395"/>
      <c r="C395"/>
      <c r="D395"/>
      <c r="E395" t="s">
        <v>8</v>
      </c>
      <c r="H395" s="27" t="s">
        <v>7</v>
      </c>
      <c r="J395" s="27" t="s">
        <v>7</v>
      </c>
      <c r="K395" s="27" t="s">
        <v>8</v>
      </c>
      <c r="L395" s="27" t="s">
        <v>7</v>
      </c>
      <c r="M395" s="27" t="s">
        <v>8</v>
      </c>
      <c r="N395" s="27" t="s">
        <v>7</v>
      </c>
      <c r="O395" s="27" t="s">
        <v>8</v>
      </c>
      <c r="P395" s="27" t="s">
        <v>7</v>
      </c>
      <c r="AI395" s="27" t="s">
        <v>8</v>
      </c>
      <c r="AN395" s="27" t="s">
        <v>7</v>
      </c>
      <c r="CR395" s="27" t="s">
        <v>7</v>
      </c>
      <c r="CT395" s="27" t="s">
        <v>7</v>
      </c>
      <c r="CU395" s="27" t="s">
        <v>8</v>
      </c>
      <c r="CV395" s="27" t="s">
        <v>7</v>
      </c>
      <c r="DG395" s="27" t="s">
        <v>8</v>
      </c>
      <c r="DH395" s="27" t="s">
        <v>7</v>
      </c>
    </row>
    <row r="396" spans="1:113" x14ac:dyDescent="0.25">
      <c r="A396" s="7">
        <v>43.917014260420636</v>
      </c>
      <c r="B396"/>
      <c r="C396"/>
      <c r="D396"/>
      <c r="E396" t="s">
        <v>8</v>
      </c>
      <c r="J396" s="27" t="s">
        <v>7</v>
      </c>
      <c r="K396" s="27" t="s">
        <v>8</v>
      </c>
      <c r="L396" s="27" t="s">
        <v>7</v>
      </c>
      <c r="M396" s="27" t="s">
        <v>8</v>
      </c>
      <c r="N396" s="27" t="s">
        <v>7</v>
      </c>
      <c r="O396" s="27" t="s">
        <v>8</v>
      </c>
      <c r="P396" s="27" t="s">
        <v>7</v>
      </c>
      <c r="AI396" s="27" t="s">
        <v>8</v>
      </c>
      <c r="CT396" s="27" t="s">
        <v>7</v>
      </c>
      <c r="CU396" s="27" t="s">
        <v>8</v>
      </c>
      <c r="CV396" s="27" t="s">
        <v>7</v>
      </c>
      <c r="DG396" s="27" t="s">
        <v>8</v>
      </c>
      <c r="DH396" s="27" t="s">
        <v>7</v>
      </c>
    </row>
    <row r="397" spans="1:113" x14ac:dyDescent="0.25">
      <c r="A397" s="7">
        <v>43.055896333745721</v>
      </c>
      <c r="B397"/>
      <c r="C397"/>
      <c r="D397"/>
      <c r="E397" t="s">
        <v>8</v>
      </c>
      <c r="J397" s="27" t="s">
        <v>7</v>
      </c>
      <c r="K397" s="27" t="s">
        <v>8</v>
      </c>
      <c r="L397" s="27" t="s">
        <v>7</v>
      </c>
      <c r="M397" s="27" t="s">
        <v>8</v>
      </c>
      <c r="N397" s="27" t="s">
        <v>7</v>
      </c>
      <c r="O397" s="27" t="s">
        <v>8</v>
      </c>
      <c r="P397" s="27" t="s">
        <v>7</v>
      </c>
      <c r="AI397" s="27" t="s">
        <v>8</v>
      </c>
      <c r="CT397" s="27" t="s">
        <v>7</v>
      </c>
      <c r="CU397" s="27" t="s">
        <v>8</v>
      </c>
      <c r="CV397" s="27" t="s">
        <v>7</v>
      </c>
      <c r="DG397" s="27" t="s">
        <v>8</v>
      </c>
      <c r="DH397" s="27" t="s">
        <v>7</v>
      </c>
    </row>
    <row r="398" spans="1:113" x14ac:dyDescent="0.25">
      <c r="A398" s="7">
        <v>42.211663072299729</v>
      </c>
      <c r="B398"/>
      <c r="C398"/>
      <c r="D398"/>
      <c r="E398" t="s">
        <v>8</v>
      </c>
      <c r="J398" s="27" t="s">
        <v>7</v>
      </c>
      <c r="K398" s="27" t="s">
        <v>8</v>
      </c>
      <c r="L398" s="27" t="s">
        <v>7</v>
      </c>
      <c r="M398" s="27" t="s">
        <v>8</v>
      </c>
      <c r="N398" s="27" t="s">
        <v>7</v>
      </c>
      <c r="O398" s="27" t="s">
        <v>8</v>
      </c>
      <c r="P398" s="27" t="s">
        <v>7</v>
      </c>
      <c r="AI398" s="27" t="s">
        <v>8</v>
      </c>
      <c r="CT398" s="27" t="s">
        <v>7</v>
      </c>
      <c r="CV398" s="27" t="s">
        <v>7</v>
      </c>
      <c r="DC398" s="27" t="s">
        <v>8</v>
      </c>
      <c r="DE398" s="27" t="s">
        <v>8</v>
      </c>
      <c r="DG398" s="27" t="s">
        <v>8</v>
      </c>
      <c r="DH398" s="27" t="s">
        <v>7</v>
      </c>
    </row>
    <row r="399" spans="1:113" x14ac:dyDescent="0.25">
      <c r="A399" s="7">
        <v>41.383983404215421</v>
      </c>
      <c r="B399"/>
      <c r="C399"/>
      <c r="D399"/>
      <c r="E399" t="s">
        <v>8</v>
      </c>
      <c r="J399" s="27" t="s">
        <v>7</v>
      </c>
      <c r="K399" s="27" t="s">
        <v>8</v>
      </c>
      <c r="L399" s="27" t="s">
        <v>7</v>
      </c>
      <c r="N399" s="27" t="s">
        <v>7</v>
      </c>
      <c r="O399" s="27" t="s">
        <v>8</v>
      </c>
      <c r="P399" s="27" t="s">
        <v>7</v>
      </c>
      <c r="AI399" s="27" t="s">
        <v>8</v>
      </c>
      <c r="CV399" s="27" t="s">
        <v>7</v>
      </c>
      <c r="DC399" s="27" t="s">
        <v>8</v>
      </c>
      <c r="DD399" s="27" t="s">
        <v>7</v>
      </c>
      <c r="DE399" s="27" t="s">
        <v>8</v>
      </c>
      <c r="DF399" s="27" t="s">
        <v>7</v>
      </c>
      <c r="DG399" s="27" t="s">
        <v>8</v>
      </c>
      <c r="DH399" s="27" t="s">
        <v>7</v>
      </c>
    </row>
    <row r="400" spans="1:113" x14ac:dyDescent="0.25">
      <c r="A400" s="7">
        <v>40.572532749230803</v>
      </c>
      <c r="B400"/>
      <c r="C400"/>
      <c r="D400"/>
      <c r="E400" t="s">
        <v>8</v>
      </c>
      <c r="J400" s="27" t="s">
        <v>7</v>
      </c>
      <c r="K400" s="27" t="s">
        <v>8</v>
      </c>
      <c r="N400" s="27" t="s">
        <v>7</v>
      </c>
      <c r="O400" s="27" t="s">
        <v>8</v>
      </c>
      <c r="P400" s="27" t="s">
        <v>7</v>
      </c>
      <c r="Q400" s="27" t="s">
        <v>8</v>
      </c>
      <c r="S400" s="27" t="s">
        <v>8</v>
      </c>
      <c r="AI400" s="27" t="s">
        <v>8</v>
      </c>
      <c r="CV400" s="27" t="s">
        <v>7</v>
      </c>
      <c r="DA400" s="27" t="s">
        <v>8</v>
      </c>
      <c r="DC400" s="27" t="s">
        <v>8</v>
      </c>
      <c r="DD400" s="27" t="s">
        <v>7</v>
      </c>
      <c r="DE400" s="27" t="s">
        <v>8</v>
      </c>
      <c r="DF400" s="27" t="s">
        <v>7</v>
      </c>
      <c r="DG400" s="27" t="s">
        <v>8</v>
      </c>
      <c r="DH400" s="27" t="s">
        <v>7</v>
      </c>
      <c r="DI400" s="27" t="s">
        <v>8</v>
      </c>
    </row>
    <row r="401" spans="1:122" x14ac:dyDescent="0.25">
      <c r="A401" s="7">
        <v>39.776992891402749</v>
      </c>
      <c r="B401"/>
      <c r="C401"/>
      <c r="D401"/>
      <c r="E401" t="s">
        <v>8</v>
      </c>
      <c r="J401" s="27" t="s">
        <v>7</v>
      </c>
      <c r="K401" s="27" t="s">
        <v>8</v>
      </c>
      <c r="N401" s="27" t="s">
        <v>7</v>
      </c>
      <c r="O401" s="27" t="s">
        <v>8</v>
      </c>
      <c r="P401" s="27" t="s">
        <v>7</v>
      </c>
      <c r="Q401" s="27" t="s">
        <v>8</v>
      </c>
      <c r="R401" s="27" t="s">
        <v>7</v>
      </c>
      <c r="S401" s="27" t="s">
        <v>8</v>
      </c>
      <c r="T401" s="27" t="s">
        <v>7</v>
      </c>
      <c r="AI401" s="27" t="s">
        <v>8</v>
      </c>
      <c r="CV401" s="27" t="s">
        <v>7</v>
      </c>
      <c r="CW401" s="27" t="s">
        <v>8</v>
      </c>
      <c r="DA401" s="27" t="s">
        <v>8</v>
      </c>
      <c r="DB401" s="27" t="s">
        <v>7</v>
      </c>
      <c r="DC401" s="27" t="s">
        <v>8</v>
      </c>
      <c r="DD401" s="27" t="s">
        <v>7</v>
      </c>
      <c r="DE401" s="27" t="s">
        <v>8</v>
      </c>
      <c r="DF401" s="27" t="s">
        <v>7</v>
      </c>
      <c r="DG401" s="27" t="s">
        <v>8</v>
      </c>
      <c r="DH401" s="27" t="s">
        <v>7</v>
      </c>
      <c r="DI401" s="27" t="s">
        <v>8</v>
      </c>
      <c r="DJ401" s="27" t="s">
        <v>7</v>
      </c>
    </row>
    <row r="402" spans="1:122" x14ac:dyDescent="0.25">
      <c r="A402" s="7">
        <v>38.997051854316418</v>
      </c>
      <c r="B402"/>
      <c r="C402"/>
      <c r="D402"/>
      <c r="E402" t="s">
        <v>8</v>
      </c>
      <c r="J402" s="27" t="s">
        <v>7</v>
      </c>
      <c r="K402" s="27" t="s">
        <v>8</v>
      </c>
      <c r="N402" s="27" t="s">
        <v>7</v>
      </c>
      <c r="O402" s="27" t="s">
        <v>8</v>
      </c>
      <c r="P402" s="27" t="s">
        <v>7</v>
      </c>
      <c r="Q402" s="27" t="s">
        <v>8</v>
      </c>
      <c r="R402" s="27" t="s">
        <v>7</v>
      </c>
      <c r="S402" s="27" t="s">
        <v>8</v>
      </c>
      <c r="T402" s="27" t="s">
        <v>7</v>
      </c>
      <c r="AG402" s="27" t="s">
        <v>8</v>
      </c>
      <c r="AI402" s="27" t="s">
        <v>8</v>
      </c>
      <c r="CV402" s="27" t="s">
        <v>7</v>
      </c>
      <c r="CW402" s="27" t="s">
        <v>8</v>
      </c>
      <c r="CX402" s="27" t="s">
        <v>7</v>
      </c>
      <c r="DA402" s="27" t="s">
        <v>8</v>
      </c>
      <c r="DB402" s="27" t="s">
        <v>7</v>
      </c>
      <c r="DC402" s="27" t="s">
        <v>8</v>
      </c>
      <c r="DD402" s="27" t="s">
        <v>7</v>
      </c>
      <c r="DE402" s="27" t="s">
        <v>8</v>
      </c>
      <c r="DF402" s="27" t="s">
        <v>7</v>
      </c>
      <c r="DG402" s="27" t="s">
        <v>8</v>
      </c>
      <c r="DH402" s="27" t="s">
        <v>7</v>
      </c>
      <c r="DI402" s="27" t="s">
        <v>8</v>
      </c>
      <c r="DJ402" s="27" t="s">
        <v>7</v>
      </c>
    </row>
    <row r="403" spans="1:122" x14ac:dyDescent="0.25">
      <c r="A403" s="7">
        <v>38.232403778741585</v>
      </c>
      <c r="B403"/>
      <c r="C403"/>
      <c r="D403"/>
      <c r="E403" t="s">
        <v>8</v>
      </c>
      <c r="J403" s="27" t="s">
        <v>7</v>
      </c>
      <c r="K403" s="27" t="s">
        <v>8</v>
      </c>
      <c r="N403" s="27" t="s">
        <v>7</v>
      </c>
      <c r="O403" s="27" t="s">
        <v>8</v>
      </c>
      <c r="P403" s="27" t="s">
        <v>7</v>
      </c>
      <c r="Q403" s="27" t="s">
        <v>8</v>
      </c>
      <c r="R403" s="27" t="s">
        <v>7</v>
      </c>
      <c r="S403" s="27" t="s">
        <v>8</v>
      </c>
      <c r="T403" s="27" t="s">
        <v>7</v>
      </c>
      <c r="AA403" s="27" t="s">
        <v>8</v>
      </c>
      <c r="AE403" s="27" t="s">
        <v>8</v>
      </c>
      <c r="AG403" s="27" t="s">
        <v>8</v>
      </c>
      <c r="AH403" s="27" t="s">
        <v>7</v>
      </c>
      <c r="AI403" s="27" t="s">
        <v>8</v>
      </c>
      <c r="CV403" s="27" t="s">
        <v>7</v>
      </c>
      <c r="CW403" s="27" t="s">
        <v>8</v>
      </c>
      <c r="CX403" s="27" t="s">
        <v>7</v>
      </c>
      <c r="CY403" s="27" t="s">
        <v>8</v>
      </c>
      <c r="DA403" s="27" t="s">
        <v>8</v>
      </c>
      <c r="DB403" s="27" t="s">
        <v>7</v>
      </c>
      <c r="DC403" s="27" t="s">
        <v>8</v>
      </c>
      <c r="DD403" s="27" t="s">
        <v>7</v>
      </c>
      <c r="DE403" s="27" t="s">
        <v>8</v>
      </c>
      <c r="DF403" s="27" t="s">
        <v>7</v>
      </c>
      <c r="DG403" s="27" t="s">
        <v>8</v>
      </c>
      <c r="DH403" s="27" t="s">
        <v>7</v>
      </c>
      <c r="DI403" s="27" t="s">
        <v>8</v>
      </c>
      <c r="DJ403" s="27" t="s">
        <v>7</v>
      </c>
    </row>
    <row r="404" spans="1:122" x14ac:dyDescent="0.25">
      <c r="A404" s="7">
        <v>37.48274880268783</v>
      </c>
      <c r="B404"/>
      <c r="C404"/>
      <c r="D404"/>
      <c r="E404" t="s">
        <v>8</v>
      </c>
      <c r="J404" s="27" t="s">
        <v>7</v>
      </c>
      <c r="K404" s="27" t="s">
        <v>8</v>
      </c>
      <c r="N404" s="27" t="s">
        <v>7</v>
      </c>
      <c r="O404" s="27" t="s">
        <v>8</v>
      </c>
      <c r="P404" s="27" t="s">
        <v>7</v>
      </c>
      <c r="Q404" s="27" t="s">
        <v>8</v>
      </c>
      <c r="R404" s="27" t="s">
        <v>7</v>
      </c>
      <c r="S404" s="27" t="s">
        <v>8</v>
      </c>
      <c r="T404" s="27" t="s">
        <v>7</v>
      </c>
      <c r="AA404" s="27" t="s">
        <v>8</v>
      </c>
      <c r="AB404" s="27" t="s">
        <v>7</v>
      </c>
      <c r="AE404" s="27" t="s">
        <v>8</v>
      </c>
      <c r="AF404" s="27" t="s">
        <v>7</v>
      </c>
      <c r="AG404" s="27" t="s">
        <v>8</v>
      </c>
      <c r="AH404" s="27" t="s">
        <v>7</v>
      </c>
      <c r="AI404" s="27" t="s">
        <v>8</v>
      </c>
      <c r="CV404" s="27" t="s">
        <v>7</v>
      </c>
      <c r="CW404" s="27" t="s">
        <v>8</v>
      </c>
      <c r="CX404" s="27" t="s">
        <v>7</v>
      </c>
      <c r="CY404" s="27" t="s">
        <v>8</v>
      </c>
      <c r="CZ404" s="27" t="s">
        <v>7</v>
      </c>
      <c r="DA404" s="27" t="s">
        <v>8</v>
      </c>
      <c r="DB404" s="27" t="s">
        <v>7</v>
      </c>
      <c r="DC404" s="27" t="s">
        <v>8</v>
      </c>
      <c r="DD404" s="27" t="s">
        <v>7</v>
      </c>
      <c r="DE404" s="27" t="s">
        <v>8</v>
      </c>
      <c r="DF404" s="27" t="s">
        <v>7</v>
      </c>
      <c r="DG404" s="27" t="s">
        <v>8</v>
      </c>
      <c r="DH404" s="27" t="s">
        <v>7</v>
      </c>
      <c r="DJ404" s="27" t="s">
        <v>7</v>
      </c>
    </row>
    <row r="405" spans="1:122" x14ac:dyDescent="0.25">
      <c r="A405" s="7">
        <v>36.747792943811596</v>
      </c>
      <c r="B405"/>
      <c r="C405"/>
      <c r="D405"/>
      <c r="E405" t="s">
        <v>8</v>
      </c>
      <c r="J405" s="27" t="s">
        <v>7</v>
      </c>
      <c r="K405" s="27" t="s">
        <v>8</v>
      </c>
      <c r="N405" s="27" t="s">
        <v>7</v>
      </c>
      <c r="O405" s="27" t="s">
        <v>8</v>
      </c>
      <c r="P405" s="27" t="s">
        <v>7</v>
      </c>
      <c r="R405" s="27" t="s">
        <v>7</v>
      </c>
      <c r="T405" s="27" t="s">
        <v>7</v>
      </c>
      <c r="AA405" s="27" t="s">
        <v>8</v>
      </c>
      <c r="AB405" s="27" t="s">
        <v>7</v>
      </c>
      <c r="AE405" s="27" t="s">
        <v>8</v>
      </c>
      <c r="AF405" s="27" t="s">
        <v>7</v>
      </c>
      <c r="AG405" s="27" t="s">
        <v>8</v>
      </c>
      <c r="AH405" s="27" t="s">
        <v>7</v>
      </c>
      <c r="AI405" s="27" t="s">
        <v>8</v>
      </c>
      <c r="CV405" s="27" t="s">
        <v>7</v>
      </c>
      <c r="CW405" s="27" t="s">
        <v>8</v>
      </c>
      <c r="CX405" s="27" t="s">
        <v>7</v>
      </c>
      <c r="CY405" s="27" t="s">
        <v>8</v>
      </c>
      <c r="CZ405" s="27" t="s">
        <v>7</v>
      </c>
      <c r="DA405" s="27" t="s">
        <v>8</v>
      </c>
      <c r="DB405" s="27" t="s">
        <v>7</v>
      </c>
      <c r="DC405" s="27" t="s">
        <v>8</v>
      </c>
      <c r="DD405" s="27" t="s">
        <v>7</v>
      </c>
      <c r="DF405" s="27" t="s">
        <v>7</v>
      </c>
      <c r="DG405" s="27" t="s">
        <v>8</v>
      </c>
      <c r="DJ405" s="27" t="s">
        <v>7</v>
      </c>
      <c r="DM405" s="27" t="s">
        <v>8</v>
      </c>
      <c r="DO405" s="27" t="s">
        <v>8</v>
      </c>
    </row>
    <row r="406" spans="1:122" x14ac:dyDescent="0.25">
      <c r="A406" s="7">
        <v>36.027247984129012</v>
      </c>
      <c r="B406"/>
      <c r="C406"/>
      <c r="D406"/>
      <c r="E406" t="s">
        <v>8</v>
      </c>
      <c r="J406" s="27" t="s">
        <v>7</v>
      </c>
      <c r="K406" s="27" t="s">
        <v>8</v>
      </c>
      <c r="N406" s="27" t="s">
        <v>7</v>
      </c>
      <c r="T406" s="27" t="s">
        <v>7</v>
      </c>
      <c r="AA406" s="27" t="s">
        <v>8</v>
      </c>
      <c r="AB406" s="27" t="s">
        <v>7</v>
      </c>
      <c r="AE406" s="27" t="s">
        <v>8</v>
      </c>
      <c r="AF406" s="27" t="s">
        <v>7</v>
      </c>
      <c r="AG406" s="27" t="s">
        <v>8</v>
      </c>
      <c r="AH406" s="27" t="s">
        <v>7</v>
      </c>
      <c r="AI406" s="27" t="s">
        <v>8</v>
      </c>
      <c r="CV406" s="27" t="s">
        <v>7</v>
      </c>
      <c r="CW406" s="27" t="s">
        <v>8</v>
      </c>
      <c r="CX406" s="27" t="s">
        <v>7</v>
      </c>
      <c r="CY406" s="27" t="s">
        <v>8</v>
      </c>
      <c r="CZ406" s="27" t="s">
        <v>7</v>
      </c>
      <c r="DA406" s="27" t="s">
        <v>8</v>
      </c>
      <c r="DB406" s="27" t="s">
        <v>7</v>
      </c>
      <c r="DC406" s="27" t="s">
        <v>8</v>
      </c>
      <c r="DF406" s="27" t="s">
        <v>7</v>
      </c>
      <c r="DG406" s="27" t="s">
        <v>8</v>
      </c>
      <c r="DJ406" s="27" t="s">
        <v>7</v>
      </c>
      <c r="DM406" s="27" t="s">
        <v>8</v>
      </c>
      <c r="DN406" s="27" t="s">
        <v>7</v>
      </c>
      <c r="DO406" s="27" t="s">
        <v>8</v>
      </c>
      <c r="DP406" s="27" t="s">
        <v>7</v>
      </c>
    </row>
    <row r="407" spans="1:122" x14ac:dyDescent="0.25">
      <c r="A407" s="7">
        <v>35.320831356989224</v>
      </c>
      <c r="B407"/>
      <c r="C407"/>
      <c r="D407"/>
      <c r="E407" t="s">
        <v>8</v>
      </c>
      <c r="J407" s="27" t="s">
        <v>7</v>
      </c>
      <c r="K407" s="27" t="s">
        <v>8</v>
      </c>
      <c r="T407" s="27" t="s">
        <v>7</v>
      </c>
      <c r="U407" s="27" t="s">
        <v>8</v>
      </c>
      <c r="AA407" s="27" t="s">
        <v>8</v>
      </c>
      <c r="AB407" s="27" t="s">
        <v>7</v>
      </c>
      <c r="AE407" s="27" t="s">
        <v>8</v>
      </c>
      <c r="AF407" s="27" t="s">
        <v>7</v>
      </c>
      <c r="AG407" s="27" t="s">
        <v>8</v>
      </c>
      <c r="AH407" s="27" t="s">
        <v>7</v>
      </c>
      <c r="AI407" s="27" t="s">
        <v>8</v>
      </c>
      <c r="CV407" s="27" t="s">
        <v>7</v>
      </c>
      <c r="CW407" s="27" t="s">
        <v>8</v>
      </c>
      <c r="CX407" s="27" t="s">
        <v>7</v>
      </c>
      <c r="CY407" s="27" t="s">
        <v>8</v>
      </c>
      <c r="CZ407" s="27" t="s">
        <v>7</v>
      </c>
      <c r="DA407" s="27" t="s">
        <v>8</v>
      </c>
      <c r="DB407" s="27" t="s">
        <v>7</v>
      </c>
      <c r="DC407" s="27" t="s">
        <v>8</v>
      </c>
      <c r="DF407" s="27" t="s">
        <v>7</v>
      </c>
      <c r="DJ407" s="27" t="s">
        <v>7</v>
      </c>
      <c r="DM407" s="27" t="s">
        <v>8</v>
      </c>
      <c r="DN407" s="27" t="s">
        <v>7</v>
      </c>
      <c r="DO407" s="27" t="s">
        <v>8</v>
      </c>
      <c r="DP407" s="27" t="s">
        <v>7</v>
      </c>
    </row>
    <row r="408" spans="1:122" x14ac:dyDescent="0.25">
      <c r="A408" s="7">
        <v>34.628266036263945</v>
      </c>
      <c r="B408"/>
      <c r="C408"/>
      <c r="D408"/>
      <c r="E408" t="s">
        <v>8</v>
      </c>
      <c r="J408" s="27" t="s">
        <v>7</v>
      </c>
      <c r="T408" s="27" t="s">
        <v>7</v>
      </c>
      <c r="U408" s="27" t="s">
        <v>8</v>
      </c>
      <c r="V408" s="27" t="s">
        <v>7</v>
      </c>
      <c r="AA408" s="27" t="s">
        <v>8</v>
      </c>
      <c r="AB408" s="27" t="s">
        <v>7</v>
      </c>
      <c r="AE408" s="27" t="s">
        <v>8</v>
      </c>
      <c r="AF408" s="27" t="s">
        <v>7</v>
      </c>
      <c r="AG408" s="27" t="s">
        <v>8</v>
      </c>
      <c r="AH408" s="27" t="s">
        <v>7</v>
      </c>
      <c r="AI408" s="27" t="s">
        <v>8</v>
      </c>
      <c r="CV408" s="27" t="s">
        <v>7</v>
      </c>
      <c r="CW408" s="27" t="s">
        <v>8</v>
      </c>
      <c r="CX408" s="27" t="s">
        <v>7</v>
      </c>
      <c r="CY408" s="27" t="s">
        <v>8</v>
      </c>
      <c r="CZ408" s="27" t="s">
        <v>7</v>
      </c>
      <c r="DA408" s="27" t="s">
        <v>8</v>
      </c>
      <c r="DB408" s="27" t="s">
        <v>7</v>
      </c>
      <c r="DC408" s="27" t="s">
        <v>8</v>
      </c>
      <c r="DJ408" s="27" t="s">
        <v>7</v>
      </c>
      <c r="DM408" s="27" t="s">
        <v>8</v>
      </c>
      <c r="DN408" s="27" t="s">
        <v>7</v>
      </c>
      <c r="DO408" s="27" t="s">
        <v>8</v>
      </c>
      <c r="DP408" s="27" t="s">
        <v>7</v>
      </c>
    </row>
    <row r="409" spans="1:122" x14ac:dyDescent="0.25">
      <c r="A409" s="7">
        <v>33.949280427709752</v>
      </c>
      <c r="B409"/>
      <c r="C409"/>
      <c r="D409"/>
      <c r="E409" t="s">
        <v>8</v>
      </c>
      <c r="T409" s="27" t="s">
        <v>7</v>
      </c>
      <c r="U409" s="27" t="s">
        <v>8</v>
      </c>
      <c r="V409" s="27" t="s">
        <v>7</v>
      </c>
      <c r="Y409" s="27" t="s">
        <v>8</v>
      </c>
      <c r="AA409" s="27" t="s">
        <v>8</v>
      </c>
      <c r="AB409" s="27" t="s">
        <v>7</v>
      </c>
      <c r="AC409" s="27" t="s">
        <v>8</v>
      </c>
      <c r="AE409" s="27" t="s">
        <v>8</v>
      </c>
      <c r="AF409" s="27" t="s">
        <v>7</v>
      </c>
      <c r="AG409" s="27" t="s">
        <v>8</v>
      </c>
      <c r="AH409" s="27" t="s">
        <v>7</v>
      </c>
      <c r="CV409" s="27" t="s">
        <v>7</v>
      </c>
      <c r="CX409" s="27" t="s">
        <v>7</v>
      </c>
      <c r="CY409" s="27" t="s">
        <v>8</v>
      </c>
      <c r="CZ409" s="27" t="s">
        <v>7</v>
      </c>
      <c r="DB409" s="27" t="s">
        <v>7</v>
      </c>
      <c r="DC409" s="27" t="s">
        <v>8</v>
      </c>
      <c r="DJ409" s="27" t="s">
        <v>7</v>
      </c>
      <c r="DM409" s="27" t="s">
        <v>8</v>
      </c>
      <c r="DN409" s="27" t="s">
        <v>7</v>
      </c>
      <c r="DO409" s="27" t="s">
        <v>8</v>
      </c>
      <c r="DP409" s="27" t="s">
        <v>7</v>
      </c>
      <c r="DQ409" s="27" t="s">
        <v>8</v>
      </c>
    </row>
    <row r="410" spans="1:122" x14ac:dyDescent="0.25">
      <c r="A410" s="7">
        <v>33.28360826246054</v>
      </c>
      <c r="B410"/>
      <c r="C410"/>
      <c r="D410"/>
      <c r="E410" t="s">
        <v>8</v>
      </c>
      <c r="T410" s="27" t="s">
        <v>7</v>
      </c>
      <c r="U410" s="27" t="s">
        <v>8</v>
      </c>
      <c r="V410" s="27" t="s">
        <v>7</v>
      </c>
      <c r="Y410" s="27" t="s">
        <v>8</v>
      </c>
      <c r="Z410" s="27" t="s">
        <v>7</v>
      </c>
      <c r="AA410" s="27" t="s">
        <v>8</v>
      </c>
      <c r="AB410" s="27" t="s">
        <v>7</v>
      </c>
      <c r="AC410" s="27" t="s">
        <v>8</v>
      </c>
      <c r="AD410" s="27" t="s">
        <v>7</v>
      </c>
      <c r="AE410" s="27" t="s">
        <v>8</v>
      </c>
      <c r="AF410" s="27" t="s">
        <v>7</v>
      </c>
      <c r="AG410" s="27" t="s">
        <v>8</v>
      </c>
      <c r="CX410" s="27" t="s">
        <v>7</v>
      </c>
      <c r="DB410" s="27" t="s">
        <v>7</v>
      </c>
      <c r="DC410" s="27" t="s">
        <v>8</v>
      </c>
      <c r="DJ410" s="27" t="s">
        <v>7</v>
      </c>
      <c r="DM410" s="27" t="s">
        <v>8</v>
      </c>
      <c r="DN410" s="27" t="s">
        <v>7</v>
      </c>
      <c r="DO410" s="27" t="s">
        <v>8</v>
      </c>
      <c r="DP410" s="27" t="s">
        <v>7</v>
      </c>
      <c r="DQ410" s="27" t="s">
        <v>8</v>
      </c>
      <c r="DR410" s="27" t="s">
        <v>7</v>
      </c>
    </row>
    <row r="411" spans="1:122" x14ac:dyDescent="0.25">
      <c r="A411" s="7">
        <v>32.630988492608374</v>
      </c>
      <c r="B411"/>
      <c r="C411"/>
      <c r="D411"/>
      <c r="E411" t="s">
        <v>8</v>
      </c>
      <c r="T411" s="27" t="s">
        <v>7</v>
      </c>
      <c r="U411" s="27" t="s">
        <v>8</v>
      </c>
      <c r="V411" s="27" t="s">
        <v>7</v>
      </c>
      <c r="W411" s="27" t="s">
        <v>8</v>
      </c>
      <c r="Y411" s="27" t="s">
        <v>8</v>
      </c>
      <c r="Z411" s="27" t="s">
        <v>7</v>
      </c>
      <c r="AA411" s="27" t="s">
        <v>8</v>
      </c>
      <c r="AB411" s="27" t="s">
        <v>7</v>
      </c>
      <c r="AC411" s="27" t="s">
        <v>8</v>
      </c>
      <c r="AD411" s="27" t="s">
        <v>7</v>
      </c>
      <c r="AE411" s="27" t="s">
        <v>8</v>
      </c>
      <c r="AF411" s="27" t="s">
        <v>7</v>
      </c>
      <c r="AG411" s="27" t="s">
        <v>8</v>
      </c>
      <c r="DB411" s="27" t="s">
        <v>7</v>
      </c>
      <c r="DJ411" s="27" t="s">
        <v>7</v>
      </c>
      <c r="DM411" s="27" t="s">
        <v>8</v>
      </c>
      <c r="DN411" s="27" t="s">
        <v>7</v>
      </c>
      <c r="DO411" s="27" t="s">
        <v>8</v>
      </c>
      <c r="DP411" s="27" t="s">
        <v>7</v>
      </c>
      <c r="DQ411" s="27" t="s">
        <v>8</v>
      </c>
      <c r="DR411" s="27" t="s">
        <v>7</v>
      </c>
    </row>
    <row r="412" spans="1:122" x14ac:dyDescent="0.25">
      <c r="A412" s="7">
        <v>31.99116518883174</v>
      </c>
      <c r="B412"/>
      <c r="C412"/>
      <c r="D412"/>
      <c r="E412" t="s">
        <v>8</v>
      </c>
      <c r="T412" s="27" t="s">
        <v>7</v>
      </c>
      <c r="U412" s="27" t="s">
        <v>8</v>
      </c>
      <c r="V412" s="27" t="s">
        <v>7</v>
      </c>
      <c r="W412" s="27" t="s">
        <v>8</v>
      </c>
      <c r="X412" s="27" t="s">
        <v>7</v>
      </c>
      <c r="Y412" s="27" t="s">
        <v>8</v>
      </c>
      <c r="Z412" s="27" t="s">
        <v>7</v>
      </c>
      <c r="AA412" s="27" t="s">
        <v>8</v>
      </c>
      <c r="AB412" s="27" t="s">
        <v>7</v>
      </c>
      <c r="AD412" s="27" t="s">
        <v>7</v>
      </c>
      <c r="AF412" s="27" t="s">
        <v>7</v>
      </c>
      <c r="AG412" s="27" t="s">
        <v>8</v>
      </c>
      <c r="DJ412" s="27" t="s">
        <v>7</v>
      </c>
      <c r="DM412" s="27" t="s">
        <v>8</v>
      </c>
      <c r="DN412" s="27" t="s">
        <v>7</v>
      </c>
      <c r="DO412" s="27" t="s">
        <v>8</v>
      </c>
      <c r="DP412" s="27" t="s">
        <v>7</v>
      </c>
      <c r="DQ412" s="27" t="s">
        <v>8</v>
      </c>
      <c r="DR412" s="27" t="s">
        <v>7</v>
      </c>
    </row>
    <row r="413" spans="1:122" x14ac:dyDescent="0.25">
      <c r="A413" s="7">
        <v>31.363887440031117</v>
      </c>
      <c r="B413"/>
      <c r="C413"/>
      <c r="D413"/>
      <c r="E413" t="s">
        <v>8</v>
      </c>
      <c r="T413" s="27" t="s">
        <v>7</v>
      </c>
      <c r="U413" s="27" t="s">
        <v>8</v>
      </c>
      <c r="V413" s="27" t="s">
        <v>7</v>
      </c>
      <c r="W413" s="27" t="s">
        <v>8</v>
      </c>
      <c r="X413" s="27" t="s">
        <v>7</v>
      </c>
      <c r="Y413" s="27" t="s">
        <v>8</v>
      </c>
      <c r="Z413" s="27" t="s">
        <v>7</v>
      </c>
      <c r="AA413" s="27" t="s">
        <v>8</v>
      </c>
      <c r="AF413" s="27" t="s">
        <v>7</v>
      </c>
      <c r="AG413" s="27" t="s">
        <v>8</v>
      </c>
      <c r="DJ413" s="27" t="s">
        <v>7</v>
      </c>
      <c r="DM413" s="27" t="s">
        <v>8</v>
      </c>
      <c r="DN413" s="27" t="s">
        <v>7</v>
      </c>
      <c r="DO413" s="27" t="s">
        <v>8</v>
      </c>
      <c r="DP413" s="27" t="s">
        <v>7</v>
      </c>
      <c r="DQ413" s="27" t="s">
        <v>8</v>
      </c>
      <c r="DR413" s="27" t="s">
        <v>7</v>
      </c>
    </row>
    <row r="414" spans="1:122" x14ac:dyDescent="0.25">
      <c r="A414" s="7">
        <v>30.748909254932467</v>
      </c>
      <c r="B414"/>
      <c r="C414"/>
      <c r="D414"/>
      <c r="E414" t="s">
        <v>8</v>
      </c>
      <c r="T414" s="27" t="s">
        <v>7</v>
      </c>
      <c r="U414" s="27" t="s">
        <v>8</v>
      </c>
      <c r="V414" s="27" t="s">
        <v>7</v>
      </c>
      <c r="W414" s="27" t="s">
        <v>8</v>
      </c>
      <c r="X414" s="27" t="s">
        <v>7</v>
      </c>
      <c r="Y414" s="27" t="s">
        <v>8</v>
      </c>
      <c r="Z414" s="27" t="s">
        <v>7</v>
      </c>
      <c r="AA414" s="27" t="s">
        <v>8</v>
      </c>
      <c r="AF414" s="27" t="s">
        <v>7</v>
      </c>
      <c r="DJ414" s="27" t="s">
        <v>7</v>
      </c>
      <c r="DM414" s="27" t="s">
        <v>8</v>
      </c>
      <c r="DN414" s="27" t="s">
        <v>7</v>
      </c>
      <c r="DO414" s="27" t="s">
        <v>8</v>
      </c>
      <c r="DP414" s="27" t="s">
        <v>7</v>
      </c>
      <c r="DQ414" s="27" t="s">
        <v>8</v>
      </c>
      <c r="DR414" s="27" t="s">
        <v>7</v>
      </c>
    </row>
    <row r="415" spans="1:122" x14ac:dyDescent="0.25">
      <c r="A415" s="7">
        <v>30.145989465620065</v>
      </c>
      <c r="B415"/>
      <c r="C415"/>
      <c r="D415"/>
      <c r="E415" t="s">
        <v>8</v>
      </c>
      <c r="T415" s="27" t="s">
        <v>7</v>
      </c>
      <c r="U415" s="27" t="s">
        <v>8</v>
      </c>
      <c r="V415" s="27" t="s">
        <v>7</v>
      </c>
      <c r="X415" s="27" t="s">
        <v>7</v>
      </c>
      <c r="Y415" s="27" t="s">
        <v>8</v>
      </c>
      <c r="Z415" s="27" t="s">
        <v>7</v>
      </c>
      <c r="AA415" s="27" t="s">
        <v>8</v>
      </c>
      <c r="DJ415" s="27" t="s">
        <v>7</v>
      </c>
      <c r="DM415" s="27" t="s">
        <v>8</v>
      </c>
      <c r="DN415" s="27" t="s">
        <v>7</v>
      </c>
      <c r="DO415" s="27" t="s">
        <v>8</v>
      </c>
      <c r="DP415" s="27" t="s">
        <v>7</v>
      </c>
      <c r="DQ415" s="27" t="s">
        <v>8</v>
      </c>
      <c r="DR415" s="27" t="s">
        <v>7</v>
      </c>
    </row>
    <row r="416" spans="1:122" x14ac:dyDescent="0.25">
      <c r="A416" s="7">
        <v>29.55489163296085</v>
      </c>
      <c r="B416"/>
      <c r="C416"/>
      <c r="D416"/>
      <c r="E416" t="s">
        <v>8</v>
      </c>
      <c r="T416" s="27" t="s">
        <v>7</v>
      </c>
      <c r="X416" s="27" t="s">
        <v>7</v>
      </c>
      <c r="Y416" s="27" t="s">
        <v>8</v>
      </c>
      <c r="Z416" s="27" t="s">
        <v>7</v>
      </c>
      <c r="AA416" s="27" t="s">
        <v>8</v>
      </c>
      <c r="DJ416" s="27" t="s">
        <v>7</v>
      </c>
      <c r="DM416" s="27" t="s">
        <v>8</v>
      </c>
      <c r="DN416" s="27" t="s">
        <v>7</v>
      </c>
      <c r="DO416" s="27" t="s">
        <v>8</v>
      </c>
      <c r="DP416" s="27" t="s">
        <v>7</v>
      </c>
      <c r="DR416" s="27" t="s">
        <v>7</v>
      </c>
    </row>
    <row r="417" spans="1:126" x14ac:dyDescent="0.25">
      <c r="A417" s="7">
        <v>28.975383953883185</v>
      </c>
      <c r="B417"/>
      <c r="C417"/>
      <c r="D417"/>
      <c r="E417" t="s">
        <v>8</v>
      </c>
      <c r="X417" s="27" t="s">
        <v>7</v>
      </c>
      <c r="Y417" s="27" t="s">
        <v>8</v>
      </c>
      <c r="Z417" s="27" t="s">
        <v>7</v>
      </c>
      <c r="DJ417" s="27" t="s">
        <v>7</v>
      </c>
      <c r="DK417" s="27" t="s">
        <v>8</v>
      </c>
      <c r="DM417" s="27" t="s">
        <v>8</v>
      </c>
      <c r="DN417" s="27" t="s">
        <v>7</v>
      </c>
      <c r="DO417" s="27" t="s">
        <v>8</v>
      </c>
      <c r="DR417" s="27" t="s">
        <v>7</v>
      </c>
    </row>
    <row r="418" spans="1:126" x14ac:dyDescent="0.25">
      <c r="A418" s="7">
        <v>28.407239170473709</v>
      </c>
      <c r="B418"/>
      <c r="C418"/>
      <c r="D418"/>
      <c r="E418" t="s">
        <v>8</v>
      </c>
      <c r="X418" s="18" t="s">
        <v>7</v>
      </c>
      <c r="Y418" s="27" t="s">
        <v>8</v>
      </c>
      <c r="DJ418" s="27" t="s">
        <v>7</v>
      </c>
      <c r="DK418" s="27" t="s">
        <v>8</v>
      </c>
      <c r="DL418" s="27" t="s">
        <v>7</v>
      </c>
      <c r="DM418" s="27" t="s">
        <v>8</v>
      </c>
      <c r="DN418" s="27" t="s">
        <v>7</v>
      </c>
      <c r="DO418" s="27" t="s">
        <v>8</v>
      </c>
      <c r="DR418" s="27" t="s">
        <v>7</v>
      </c>
    </row>
    <row r="419" spans="1:126" x14ac:dyDescent="0.25">
      <c r="A419" s="7">
        <v>27.850234480856578</v>
      </c>
      <c r="B419"/>
      <c r="C419"/>
      <c r="D419"/>
      <c r="E419" t="s">
        <v>8</v>
      </c>
      <c r="X419" s="27" t="s">
        <v>7</v>
      </c>
      <c r="Y419" s="27" t="s">
        <v>8</v>
      </c>
      <c r="DJ419" s="27" t="s">
        <v>7</v>
      </c>
      <c r="DK419" s="27" t="s">
        <v>8</v>
      </c>
      <c r="DL419" s="27" t="s">
        <v>7</v>
      </c>
      <c r="DM419" s="27" t="s">
        <v>8</v>
      </c>
      <c r="DN419" s="27" t="s">
        <v>7</v>
      </c>
      <c r="DR419" s="27" t="s">
        <v>7</v>
      </c>
    </row>
    <row r="420" spans="1:126" x14ac:dyDescent="0.25">
      <c r="A420" s="7">
        <v>27.304151451820175</v>
      </c>
      <c r="B420"/>
      <c r="C420"/>
      <c r="D420"/>
      <c r="E420" t="s">
        <v>8</v>
      </c>
      <c r="X420" s="27" t="s">
        <v>7</v>
      </c>
      <c r="Y420" s="27" t="s">
        <v>8</v>
      </c>
      <c r="DJ420" s="27" t="s">
        <v>7</v>
      </c>
      <c r="DL420" s="27" t="s">
        <v>7</v>
      </c>
      <c r="DM420" s="27" t="s">
        <v>8</v>
      </c>
      <c r="DR420" s="27" t="s">
        <v>7</v>
      </c>
    </row>
    <row r="421" spans="1:126" x14ac:dyDescent="0.25">
      <c r="A421" s="7">
        <v>26.768775933157034</v>
      </c>
      <c r="B421"/>
      <c r="C421"/>
      <c r="D421"/>
      <c r="E421" t="s">
        <v>8</v>
      </c>
      <c r="X421" s="27" t="s">
        <v>7</v>
      </c>
      <c r="Y421" s="27" t="s">
        <v>8</v>
      </c>
      <c r="DL421" s="27" t="s">
        <v>7</v>
      </c>
      <c r="DM421" s="27" t="s">
        <v>8</v>
      </c>
      <c r="DR421" s="27" t="s">
        <v>7</v>
      </c>
    </row>
    <row r="422" spans="1:126" x14ac:dyDescent="0.25">
      <c r="A422" s="7">
        <v>26.243897973683367</v>
      </c>
      <c r="B422"/>
      <c r="C422"/>
      <c r="D422"/>
      <c r="E422" t="s">
        <v>8</v>
      </c>
      <c r="X422" s="27" t="s">
        <v>7</v>
      </c>
      <c r="DL422" s="27" t="s">
        <v>7</v>
      </c>
      <c r="DM422" s="27" t="s">
        <v>8</v>
      </c>
      <c r="DR422" s="27" t="s">
        <v>7</v>
      </c>
    </row>
    <row r="423" spans="1:126" x14ac:dyDescent="0.25">
      <c r="A423" s="7">
        <v>25.729311738905263</v>
      </c>
      <c r="B423"/>
      <c r="C423"/>
      <c r="D423"/>
      <c r="E423" t="s">
        <v>8</v>
      </c>
      <c r="DL423" s="27" t="s">
        <v>7</v>
      </c>
      <c r="DM423" s="27" t="s">
        <v>8</v>
      </c>
      <c r="DR423" s="27" t="s">
        <v>7</v>
      </c>
    </row>
    <row r="424" spans="1:126" x14ac:dyDescent="0.25">
      <c r="A424" s="7">
        <v>25.224815430299277</v>
      </c>
      <c r="B424"/>
      <c r="C424"/>
      <c r="D424"/>
      <c r="E424" t="s">
        <v>8</v>
      </c>
      <c r="DL424" s="27" t="s">
        <v>7</v>
      </c>
      <c r="DR424" s="27" t="s">
        <v>7</v>
      </c>
    </row>
    <row r="425" spans="1:126" x14ac:dyDescent="0.25">
      <c r="A425" s="7">
        <v>24.73021120617576</v>
      </c>
      <c r="B425"/>
      <c r="C425"/>
      <c r="D425"/>
      <c r="E425" t="s">
        <v>8</v>
      </c>
      <c r="DR425" s="27" t="s">
        <v>7</v>
      </c>
    </row>
    <row r="426" spans="1:126" x14ac:dyDescent="0.25">
      <c r="A426" s="7">
        <v>24.24530510409388</v>
      </c>
      <c r="B426"/>
      <c r="C426"/>
      <c r="D426"/>
      <c r="E426" t="s">
        <v>8</v>
      </c>
      <c r="DR426" s="27" t="s">
        <v>7</v>
      </c>
    </row>
    <row r="427" spans="1:126" x14ac:dyDescent="0.25">
      <c r="A427" s="7">
        <v>23.769906964797922</v>
      </c>
      <c r="B427"/>
      <c r="C427"/>
      <c r="D427"/>
      <c r="E427" t="s">
        <v>8</v>
      </c>
      <c r="DR427" s="27" t="s">
        <v>7</v>
      </c>
    </row>
    <row r="428" spans="1:126" x14ac:dyDescent="0.25">
      <c r="A428" s="7">
        <v>23.303830357645023</v>
      </c>
      <c r="B428"/>
      <c r="C428"/>
      <c r="D428"/>
      <c r="E428" t="s">
        <v>8</v>
      </c>
      <c r="DR428" s="27" t="s">
        <v>7</v>
      </c>
      <c r="DU428" s="27" t="s">
        <v>8</v>
      </c>
    </row>
    <row r="429" spans="1:126" x14ac:dyDescent="0.25">
      <c r="A429" s="7">
        <v>22.84689250749512</v>
      </c>
      <c r="B429"/>
      <c r="C429"/>
      <c r="D429"/>
      <c r="E429" t="s">
        <v>8</v>
      </c>
      <c r="DR429" s="27" t="s">
        <v>7</v>
      </c>
      <c r="DS429" s="27" t="s">
        <v>8</v>
      </c>
      <c r="DU429" s="27" t="s">
        <v>8</v>
      </c>
      <c r="DV429" s="27" t="s">
        <v>7</v>
      </c>
    </row>
    <row r="430" spans="1:126" x14ac:dyDescent="0.25">
      <c r="A430" s="7">
        <v>22.398914223034431</v>
      </c>
      <c r="B430"/>
      <c r="C430"/>
      <c r="D430"/>
      <c r="E430" t="s">
        <v>8</v>
      </c>
      <c r="DR430" s="27" t="s">
        <v>7</v>
      </c>
      <c r="DS430" s="27" t="s">
        <v>8</v>
      </c>
      <c r="DT430" s="27" t="s">
        <v>7</v>
      </c>
      <c r="DU430" s="27" t="s">
        <v>8</v>
      </c>
      <c r="DV430" s="27" t="s">
        <v>7</v>
      </c>
    </row>
    <row r="431" spans="1:126" x14ac:dyDescent="0.25">
      <c r="A431" s="7">
        <v>21.959719826504344</v>
      </c>
      <c r="B431"/>
      <c r="C431"/>
      <c r="D431"/>
      <c r="E431" t="s">
        <v>8</v>
      </c>
      <c r="DR431" s="27" t="s">
        <v>7</v>
      </c>
      <c r="DS431" s="27" t="s">
        <v>8</v>
      </c>
      <c r="DT431" s="27" t="s">
        <v>7</v>
      </c>
      <c r="DU431" s="27" t="s">
        <v>8</v>
      </c>
      <c r="DV431" s="27" t="s">
        <v>7</v>
      </c>
    </row>
    <row r="432" spans="1:126" x14ac:dyDescent="0.25">
      <c r="A432" s="7">
        <v>21.52913708480818</v>
      </c>
      <c r="B432"/>
      <c r="C432"/>
      <c r="D432"/>
      <c r="E432" t="s">
        <v>8</v>
      </c>
      <c r="DR432" s="27" t="s">
        <v>7</v>
      </c>
      <c r="DS432" s="27" t="s">
        <v>8</v>
      </c>
      <c r="DT432" s="27" t="s">
        <v>7</v>
      </c>
      <c r="DU432" s="27" t="s">
        <v>8</v>
      </c>
      <c r="DV432" s="27" t="s">
        <v>7</v>
      </c>
    </row>
    <row r="433" spans="1:126" x14ac:dyDescent="0.25">
      <c r="A433" s="7">
        <v>21.106997141968804</v>
      </c>
      <c r="B433"/>
      <c r="C433"/>
      <c r="D433"/>
      <c r="E433" t="s">
        <v>8</v>
      </c>
      <c r="DR433" s="27" t="s">
        <v>7</v>
      </c>
      <c r="DS433" s="27" t="s">
        <v>8</v>
      </c>
      <c r="DT433" s="27" t="s">
        <v>7</v>
      </c>
      <c r="DU433" s="27" t="s">
        <v>8</v>
      </c>
      <c r="DV433" s="27" t="s">
        <v>7</v>
      </c>
    </row>
    <row r="434" spans="1:126" x14ac:dyDescent="0.25">
      <c r="A434" s="7">
        <v>20.693134452910591</v>
      </c>
      <c r="B434"/>
      <c r="C434"/>
      <c r="D434"/>
      <c r="E434" t="s">
        <v>8</v>
      </c>
      <c r="DR434" s="27" t="s">
        <v>7</v>
      </c>
      <c r="DS434" s="27" t="s">
        <v>8</v>
      </c>
      <c r="DT434" s="27" t="s">
        <v>7</v>
      </c>
      <c r="DU434" s="27" t="s">
        <v>8</v>
      </c>
      <c r="DV434" s="27" t="s">
        <v>7</v>
      </c>
    </row>
    <row r="435" spans="1:126" x14ac:dyDescent="0.25">
      <c r="A435" s="7">
        <v>20.287386718539796</v>
      </c>
      <c r="B435"/>
      <c r="C435"/>
      <c r="D435"/>
      <c r="E435" t="s">
        <v>8</v>
      </c>
      <c r="DR435" s="27" t="s">
        <v>7</v>
      </c>
      <c r="DS435" s="27" t="s">
        <v>8</v>
      </c>
      <c r="DT435" s="27" t="s">
        <v>7</v>
      </c>
      <c r="DU435" s="27" t="s">
        <v>8</v>
      </c>
    </row>
    <row r="436" spans="1:126" x14ac:dyDescent="0.25">
      <c r="A436" s="7">
        <v>19.889594822097838</v>
      </c>
      <c r="B436"/>
      <c r="C436"/>
      <c r="D436"/>
      <c r="E436" t="s">
        <v>8</v>
      </c>
      <c r="DR436" s="27" t="s">
        <v>7</v>
      </c>
      <c r="DS436" s="27" t="s">
        <v>8</v>
      </c>
      <c r="DT436" s="27" t="s">
        <v>7</v>
      </c>
      <c r="DU436" s="27" t="s">
        <v>8</v>
      </c>
    </row>
    <row r="437" spans="1:126" x14ac:dyDescent="0.25">
      <c r="A437" s="7">
        <v>19.499602766762585</v>
      </c>
      <c r="B437"/>
      <c r="C437"/>
      <c r="D437"/>
      <c r="E437" t="s">
        <v>8</v>
      </c>
      <c r="DR437" s="27" t="s">
        <v>7</v>
      </c>
      <c r="DT437" s="27" t="s">
        <v>7</v>
      </c>
      <c r="DU437" s="27" t="s">
        <v>8</v>
      </c>
    </row>
    <row r="438" spans="1:126" x14ac:dyDescent="0.25">
      <c r="A438" s="7">
        <v>19.117257614473122</v>
      </c>
      <c r="B438"/>
      <c r="C438"/>
      <c r="D438"/>
      <c r="E438" t="s">
        <v>8</v>
      </c>
      <c r="DT438" s="27" t="s">
        <v>7</v>
      </c>
      <c r="DU438" s="27" t="s">
        <v>8</v>
      </c>
    </row>
    <row r="439" spans="1:126" x14ac:dyDescent="0.25">
      <c r="A439" s="7">
        <v>18.74240942595404</v>
      </c>
      <c r="B439"/>
      <c r="C439"/>
      <c r="D439"/>
      <c r="E439" t="s">
        <v>8</v>
      </c>
      <c r="DT439" s="27" t="s">
        <v>7</v>
      </c>
    </row>
    <row r="440" spans="1:126" x14ac:dyDescent="0.25">
      <c r="A440" s="7">
        <v>18.374911201915726</v>
      </c>
      <c r="B440"/>
      <c r="C440"/>
      <c r="D440"/>
      <c r="E440" t="s">
        <v>8</v>
      </c>
    </row>
    <row r="441" spans="1:126" x14ac:dyDescent="0.25">
      <c r="A441" s="7">
        <v>18.014618825407574</v>
      </c>
      <c r="B441"/>
      <c r="C441"/>
      <c r="D441"/>
      <c r="E441" t="s">
        <v>8</v>
      </c>
    </row>
    <row r="442" spans="1:126" x14ac:dyDescent="0.25">
      <c r="A442" s="7">
        <v>17.661391005301542</v>
      </c>
      <c r="B442"/>
      <c r="C442"/>
      <c r="D442"/>
      <c r="E442" t="s">
        <v>8</v>
      </c>
    </row>
    <row r="443" spans="1:126" x14ac:dyDescent="0.25">
      <c r="A443" s="7">
        <v>17.315089220883866</v>
      </c>
      <c r="B443"/>
      <c r="C443"/>
      <c r="D443"/>
      <c r="E443" t="s">
        <v>8</v>
      </c>
    </row>
    <row r="444" spans="1:126" x14ac:dyDescent="0.25">
      <c r="A444" s="7">
        <v>16.975577667533202</v>
      </c>
      <c r="B444"/>
      <c r="C444"/>
      <c r="D444"/>
      <c r="E444" t="s">
        <v>8</v>
      </c>
    </row>
    <row r="445" spans="1:126" x14ac:dyDescent="0.25">
      <c r="A445" s="7">
        <v>16.642723203463923</v>
      </c>
      <c r="B445"/>
      <c r="C445"/>
      <c r="D445"/>
      <c r="E445" t="s">
        <v>8</v>
      </c>
    </row>
    <row r="446" spans="1:126" x14ac:dyDescent="0.25">
      <c r="A446" s="7">
        <v>16.316395297513651</v>
      </c>
      <c r="B446"/>
      <c r="C446"/>
      <c r="D446"/>
      <c r="E446" t="s">
        <v>8</v>
      </c>
    </row>
    <row r="447" spans="1:126" x14ac:dyDescent="0.25">
      <c r="A447" s="7">
        <v>15.996465977954561</v>
      </c>
      <c r="B447"/>
      <c r="C447"/>
      <c r="D447"/>
      <c r="E447" t="s">
        <v>8</v>
      </c>
    </row>
    <row r="448" spans="1:126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36" operator="equal">
      <formula>$U$1</formula>
    </cfRule>
    <cfRule type="cellIs" dxfId="89" priority="637" operator="equal">
      <formula>$S$1</formula>
    </cfRule>
  </conditionalFormatting>
  <conditionalFormatting sqref="D27">
    <cfRule type="cellIs" dxfId="88" priority="634" operator="equal">
      <formula>$S$1</formula>
    </cfRule>
    <cfRule type="cellIs" dxfId="87" priority="635" operator="equal">
      <formula>$U$1</formula>
    </cfRule>
  </conditionalFormatting>
  <conditionalFormatting sqref="C164">
    <cfRule type="cellIs" dxfId="86" priority="632" operator="equal">
      <formula>$U$1</formula>
    </cfRule>
    <cfRule type="cellIs" dxfId="85" priority="633" operator="equal">
      <formula>$S$1</formula>
    </cfRule>
  </conditionalFormatting>
  <conditionalFormatting sqref="D164">
    <cfRule type="cellIs" dxfId="84" priority="630" operator="equal">
      <formula>$S$1</formula>
    </cfRule>
    <cfRule type="cellIs" dxfId="83" priority="631" operator="equal">
      <formula>$U$1</formula>
    </cfRule>
  </conditionalFormatting>
  <conditionalFormatting sqref="C55">
    <cfRule type="cellIs" dxfId="82" priority="628" operator="equal">
      <formula>$U$1</formula>
    </cfRule>
    <cfRule type="cellIs" dxfId="81" priority="629" operator="equal">
      <formula>$S$1</formula>
    </cfRule>
  </conditionalFormatting>
  <conditionalFormatting sqref="D55">
    <cfRule type="cellIs" dxfId="80" priority="626" operator="equal">
      <formula>$S$1</formula>
    </cfRule>
    <cfRule type="cellIs" dxfId="79" priority="627" operator="equal">
      <formula>$U$1</formula>
    </cfRule>
  </conditionalFormatting>
  <conditionalFormatting sqref="C89">
    <cfRule type="cellIs" dxfId="78" priority="624" operator="equal">
      <formula>$U$1</formula>
    </cfRule>
    <cfRule type="cellIs" dxfId="77" priority="625" operator="equal">
      <formula>$S$1</formula>
    </cfRule>
  </conditionalFormatting>
  <conditionalFormatting sqref="D89">
    <cfRule type="cellIs" dxfId="76" priority="622" operator="equal">
      <formula>$S$1</formula>
    </cfRule>
    <cfRule type="cellIs" dxfId="75" priority="623" operator="equal">
      <formula>$U$1</formula>
    </cfRule>
  </conditionalFormatting>
  <conditionalFormatting sqref="C136">
    <cfRule type="cellIs" dxfId="74" priority="620" operator="equal">
      <formula>$U$1</formula>
    </cfRule>
    <cfRule type="cellIs" dxfId="73" priority="621" operator="equal">
      <formula>$S$1</formula>
    </cfRule>
  </conditionalFormatting>
  <conditionalFormatting sqref="D136">
    <cfRule type="cellIs" dxfId="72" priority="618" operator="equal">
      <formula>$S$1</formula>
    </cfRule>
    <cfRule type="cellIs" dxfId="71" priority="619" operator="equal">
      <formula>$U$1</formula>
    </cfRule>
  </conditionalFormatting>
  <conditionalFormatting sqref="C1">
    <cfRule type="cellIs" dxfId="70" priority="61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BI176" sqref="BI17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$A$175</v>
      </c>
      <c r="D111" s="1" t="str">
        <f>ADDRESS(C121-1,D121,1,1)</f>
        <v>$BI$175</v>
      </c>
      <c r="E111"/>
    </row>
    <row r="112" spans="1:5" x14ac:dyDescent="0.25">
      <c r="A112" s="30">
        <v>515.50191262726139</v>
      </c>
      <c r="C112" s="1" t="str">
        <f>ADDRESS(C121,1,1,1)</f>
        <v>$A$176</v>
      </c>
      <c r="D112" s="1" t="str">
        <f>ADDRESS(C121,D121-1,1,1)</f>
        <v>$BH$176</v>
      </c>
      <c r="E112"/>
    </row>
    <row r="113" spans="1:5" x14ac:dyDescent="0.25">
      <c r="A113" s="30">
        <v>490.95420250215363</v>
      </c>
      <c r="C113" s="1" t="str">
        <f>ADDRESS(C121+1,1,1,1)</f>
        <v>$A$177</v>
      </c>
      <c r="D113" s="1" t="str">
        <f>ADDRESS(C121-1,D121+1,1,1)</f>
        <v>$BJ$175</v>
      </c>
    </row>
    <row r="114" spans="1:5" x14ac:dyDescent="0.25">
      <c r="A114" s="30">
        <v>467.57543095443202</v>
      </c>
      <c r="C114" s="1" t="str">
        <f>ADDRESS(C121,D121,1,1)</f>
        <v>$BI$176</v>
      </c>
      <c r="D114" s="1" t="str">
        <f>ADDRESS(C121+1,D121+1,1,1)</f>
        <v>$BJ$177</v>
      </c>
    </row>
    <row r="115" spans="1:5" x14ac:dyDescent="0.25">
      <c r="A115" s="30">
        <v>445.30993424231622</v>
      </c>
      <c r="C115" s="1" t="str">
        <f>ADDRESS(C121+1,D121,1,1)</f>
        <v>$BI$177</v>
      </c>
    </row>
    <row r="116" spans="1:5" x14ac:dyDescent="0.25">
      <c r="A116" s="30">
        <v>424.10469927839637</v>
      </c>
      <c r="C116" s="1">
        <f>C117-1</f>
        <v>175</v>
      </c>
    </row>
    <row r="117" spans="1:5" x14ac:dyDescent="0.25">
      <c r="A117" s="30">
        <v>403.9092374079965</v>
      </c>
      <c r="C117" s="1">
        <f>C121</f>
        <v>176</v>
      </c>
      <c r="D117" s="1">
        <f>D121</f>
        <v>61</v>
      </c>
    </row>
    <row r="118" spans="1:5" x14ac:dyDescent="0.25">
      <c r="A118" s="30">
        <v>384.6754641980919</v>
      </c>
      <c r="C118" s="1">
        <f>C117+1</f>
        <v>177</v>
      </c>
      <c r="D118" s="1">
        <f>D117+1</f>
        <v>62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176</v>
      </c>
      <c r="D121" s="19">
        <v>61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R176</v>
      </c>
      <c r="D123" s="1" t="str">
        <f>"C"&amp;D121</f>
        <v>C61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22.704667199218342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0" x14ac:dyDescent="0.25">
      <c r="A145" s="30">
        <v>103.03467644609493</v>
      </c>
      <c r="E145"/>
    </row>
    <row r="146" spans="1:50" x14ac:dyDescent="0.25">
      <c r="A146" s="30">
        <v>98.128263281995174</v>
      </c>
      <c r="E146"/>
      <c r="AG146" s="27" t="s">
        <v>8</v>
      </c>
    </row>
    <row r="147" spans="1:50" x14ac:dyDescent="0.25">
      <c r="A147" s="30">
        <v>93.455488839995397</v>
      </c>
      <c r="E147"/>
      <c r="AA147" s="27" t="s">
        <v>8</v>
      </c>
      <c r="AG147" s="27" t="s">
        <v>8</v>
      </c>
      <c r="AH147" s="27" t="s">
        <v>7</v>
      </c>
    </row>
    <row r="148" spans="1:50" x14ac:dyDescent="0.25">
      <c r="A148" s="30">
        <v>89.005227466662276</v>
      </c>
      <c r="E148"/>
      <c r="AA148" s="27" t="s">
        <v>8</v>
      </c>
      <c r="AB148" s="27" t="s">
        <v>7</v>
      </c>
      <c r="AG148" s="27" t="s">
        <v>8</v>
      </c>
      <c r="AH148" s="27" t="s">
        <v>7</v>
      </c>
    </row>
    <row r="149" spans="1:50" x14ac:dyDescent="0.25">
      <c r="A149" s="30">
        <v>84.766883301583121</v>
      </c>
      <c r="E149"/>
      <c r="AA149" s="27" t="s">
        <v>8</v>
      </c>
      <c r="AB149" s="27" t="s">
        <v>7</v>
      </c>
      <c r="AC149" s="27" t="s">
        <v>8</v>
      </c>
      <c r="AG149" s="27" t="s">
        <v>8</v>
      </c>
      <c r="AH149" s="27" t="s">
        <v>7</v>
      </c>
      <c r="AI149" s="27" t="s">
        <v>8</v>
      </c>
    </row>
    <row r="150" spans="1:50" x14ac:dyDescent="0.25">
      <c r="A150" s="30">
        <v>80.730365049126775</v>
      </c>
      <c r="E150"/>
      <c r="W150" s="27" t="s">
        <v>8</v>
      </c>
      <c r="AA150" s="27" t="s">
        <v>8</v>
      </c>
      <c r="AB150" s="27" t="s">
        <v>7</v>
      </c>
      <c r="AC150" s="27" t="s">
        <v>8</v>
      </c>
      <c r="AD150" s="27" t="s">
        <v>7</v>
      </c>
      <c r="AG150" s="27" t="s">
        <v>8</v>
      </c>
      <c r="AH150" s="27" t="s">
        <v>7</v>
      </c>
      <c r="AI150" s="27" t="s">
        <v>8</v>
      </c>
      <c r="AJ150" s="27" t="s">
        <v>7</v>
      </c>
      <c r="AQ150" s="27" t="s">
        <v>8</v>
      </c>
      <c r="AS150" s="27" t="s">
        <v>8</v>
      </c>
    </row>
    <row r="151" spans="1:50" x14ac:dyDescent="0.25">
      <c r="A151" s="30">
        <v>76.886061951549308</v>
      </c>
      <c r="E151"/>
      <c r="W151" s="27" t="s">
        <v>8</v>
      </c>
      <c r="X151" s="27" t="s">
        <v>7</v>
      </c>
      <c r="AA151" s="27" t="s">
        <v>8</v>
      </c>
      <c r="AB151" s="27" t="s">
        <v>7</v>
      </c>
      <c r="AC151" s="27" t="s">
        <v>8</v>
      </c>
      <c r="AD151" s="27" t="s">
        <v>7</v>
      </c>
      <c r="AG151" s="27" t="s">
        <v>8</v>
      </c>
      <c r="AH151" s="27" t="s">
        <v>7</v>
      </c>
      <c r="AI151" s="27" t="s">
        <v>8</v>
      </c>
      <c r="AJ151" s="27" t="s">
        <v>7</v>
      </c>
      <c r="AQ151" s="27" t="s">
        <v>8</v>
      </c>
      <c r="AR151" s="27" t="s">
        <v>7</v>
      </c>
      <c r="AS151" s="27" t="s">
        <v>8</v>
      </c>
      <c r="AT151" s="27" t="s">
        <v>7</v>
      </c>
    </row>
    <row r="152" spans="1:50" x14ac:dyDescent="0.25">
      <c r="A152" s="30">
        <v>73.22482090623744</v>
      </c>
      <c r="E152"/>
      <c r="W152" s="27" t="s">
        <v>8</v>
      </c>
      <c r="X152" s="27" t="s">
        <v>7</v>
      </c>
      <c r="AA152" s="27" t="s">
        <v>8</v>
      </c>
      <c r="AB152" s="27" t="s">
        <v>7</v>
      </c>
      <c r="AC152" s="27" t="s">
        <v>8</v>
      </c>
      <c r="AD152" s="27" t="s">
        <v>7</v>
      </c>
      <c r="AG152" s="27" t="s">
        <v>8</v>
      </c>
      <c r="AH152" s="27" t="s">
        <v>7</v>
      </c>
      <c r="AI152" s="27" t="s">
        <v>8</v>
      </c>
      <c r="AJ152" s="27" t="s">
        <v>7</v>
      </c>
      <c r="AO152" s="27" t="s">
        <v>8</v>
      </c>
      <c r="AQ152" s="27" t="s">
        <v>8</v>
      </c>
      <c r="AR152" s="27" t="s">
        <v>7</v>
      </c>
      <c r="AS152" s="27" t="s">
        <v>8</v>
      </c>
      <c r="AT152" s="27" t="s">
        <v>7</v>
      </c>
    </row>
    <row r="153" spans="1:50" x14ac:dyDescent="0.25">
      <c r="A153" s="30">
        <v>69.737924672607079</v>
      </c>
      <c r="C153" s="7"/>
      <c r="D153"/>
      <c r="E153"/>
      <c r="I153" s="27" t="s">
        <v>8</v>
      </c>
      <c r="W153" s="27" t="s">
        <v>8</v>
      </c>
      <c r="X153" s="27" t="s">
        <v>7</v>
      </c>
      <c r="AA153" s="27" t="s">
        <v>8</v>
      </c>
      <c r="AB153" s="27" t="s">
        <v>7</v>
      </c>
      <c r="AC153" s="27" t="s">
        <v>8</v>
      </c>
      <c r="AD153" s="27" t="s">
        <v>7</v>
      </c>
      <c r="AE153" s="27" t="s">
        <v>8</v>
      </c>
      <c r="AG153" s="27" t="s">
        <v>8</v>
      </c>
      <c r="AH153" s="27" t="s">
        <v>7</v>
      </c>
      <c r="AJ153" s="27" t="s">
        <v>7</v>
      </c>
      <c r="AO153" s="27" t="s">
        <v>8</v>
      </c>
      <c r="AP153" s="27" t="s">
        <v>7</v>
      </c>
      <c r="AQ153" s="27" t="s">
        <v>8</v>
      </c>
      <c r="AR153" s="27" t="s">
        <v>7</v>
      </c>
      <c r="AT153" s="27" t="s">
        <v>7</v>
      </c>
    </row>
    <row r="154" spans="1:50" x14ac:dyDescent="0.25">
      <c r="A154" s="30">
        <v>66.417071116768639</v>
      </c>
      <c r="E154"/>
      <c r="I154" s="27" t="s">
        <v>8</v>
      </c>
      <c r="J154" s="27" t="s">
        <v>7</v>
      </c>
      <c r="W154" s="27" t="s">
        <v>8</v>
      </c>
      <c r="X154" s="27" t="s">
        <v>7</v>
      </c>
      <c r="AA154" s="27" t="s">
        <v>8</v>
      </c>
      <c r="AB154" s="27" t="s">
        <v>7</v>
      </c>
      <c r="AD154" s="27" t="s">
        <v>7</v>
      </c>
      <c r="AE154" s="27" t="s">
        <v>8</v>
      </c>
      <c r="AF154" s="27" t="s">
        <v>7</v>
      </c>
      <c r="AG154" s="27" t="s">
        <v>8</v>
      </c>
      <c r="AJ154" s="27" t="s">
        <v>7</v>
      </c>
      <c r="AK154" s="27" t="s">
        <v>8</v>
      </c>
      <c r="AM154" s="27" t="s">
        <v>8</v>
      </c>
      <c r="AO154" s="27" t="s">
        <v>8</v>
      </c>
      <c r="AP154" s="27" t="s">
        <v>7</v>
      </c>
      <c r="AQ154" s="27" t="s">
        <v>8</v>
      </c>
      <c r="AT154" s="27" t="s">
        <v>7</v>
      </c>
    </row>
    <row r="155" spans="1:50" x14ac:dyDescent="0.25">
      <c r="A155" s="30">
        <v>63.254353444541557</v>
      </c>
      <c r="E155"/>
      <c r="I155" s="27" t="s">
        <v>8</v>
      </c>
      <c r="J155" s="27" t="s">
        <v>7</v>
      </c>
      <c r="W155" s="27" t="s">
        <v>8</v>
      </c>
      <c r="X155" s="27" t="s">
        <v>7</v>
      </c>
      <c r="AA155" s="27" t="s">
        <v>8</v>
      </c>
      <c r="AD155" s="27" t="s">
        <v>7</v>
      </c>
      <c r="AE155" s="27" t="s">
        <v>8</v>
      </c>
      <c r="AF155" s="27" t="s">
        <v>7</v>
      </c>
      <c r="AG155" s="27" t="s">
        <v>8</v>
      </c>
      <c r="AJ155" s="27" t="s">
        <v>7</v>
      </c>
      <c r="AK155" s="27" t="s">
        <v>8</v>
      </c>
      <c r="AL155" s="27" t="s">
        <v>7</v>
      </c>
      <c r="AM155" s="27" t="s">
        <v>8</v>
      </c>
      <c r="AN155" s="27" t="s">
        <v>7</v>
      </c>
      <c r="AO155" s="27" t="s">
        <v>8</v>
      </c>
      <c r="AP155" s="27" t="s">
        <v>7</v>
      </c>
      <c r="AQ155" s="27" t="s">
        <v>8</v>
      </c>
      <c r="AT155" s="27" t="s">
        <v>7</v>
      </c>
    </row>
    <row r="156" spans="1:50" x14ac:dyDescent="0.25">
      <c r="A156" s="30">
        <v>60.242241375753864</v>
      </c>
      <c r="C156"/>
      <c r="D156"/>
      <c r="E156" t="s">
        <v>8</v>
      </c>
      <c r="G156" s="27" t="s">
        <v>8</v>
      </c>
      <c r="I156" s="27" t="s">
        <v>8</v>
      </c>
      <c r="J156" s="27" t="s">
        <v>7</v>
      </c>
      <c r="W156" s="27" t="s">
        <v>8</v>
      </c>
      <c r="X156" s="27" t="s">
        <v>7</v>
      </c>
      <c r="Y156" s="27" t="s">
        <v>8</v>
      </c>
      <c r="AA156" s="27" t="s">
        <v>8</v>
      </c>
      <c r="AD156" s="27" t="s">
        <v>7</v>
      </c>
      <c r="AE156" s="27" t="s">
        <v>8</v>
      </c>
      <c r="AF156" s="27" t="s">
        <v>7</v>
      </c>
      <c r="AG156" s="27" t="s">
        <v>8</v>
      </c>
      <c r="AJ156" s="27" t="s">
        <v>7</v>
      </c>
      <c r="AK156" s="27" t="s">
        <v>8</v>
      </c>
      <c r="AL156" s="27" t="s">
        <v>7</v>
      </c>
      <c r="AM156" s="27" t="s">
        <v>8</v>
      </c>
      <c r="AN156" s="27" t="s">
        <v>7</v>
      </c>
      <c r="AO156" s="27" t="s">
        <v>8</v>
      </c>
      <c r="AP156" s="27" t="s">
        <v>7</v>
      </c>
      <c r="AT156" s="27" t="s">
        <v>7</v>
      </c>
    </row>
    <row r="157" spans="1:50" x14ac:dyDescent="0.25">
      <c r="A157" s="30">
        <v>57.373563215003678</v>
      </c>
      <c r="E157" t="s">
        <v>8</v>
      </c>
      <c r="F157" s="27" t="s">
        <v>7</v>
      </c>
      <c r="G157" s="27" t="s">
        <v>8</v>
      </c>
      <c r="H157" s="27" t="s">
        <v>7</v>
      </c>
      <c r="I157" s="27" t="s">
        <v>8</v>
      </c>
      <c r="J157" s="27" t="s">
        <v>7</v>
      </c>
      <c r="W157" s="27" t="s">
        <v>8</v>
      </c>
      <c r="X157" s="27" t="s">
        <v>7</v>
      </c>
      <c r="Y157" s="27" t="s">
        <v>8</v>
      </c>
      <c r="Z157" s="27" t="s">
        <v>7</v>
      </c>
      <c r="AA157" s="27" t="s">
        <v>8</v>
      </c>
      <c r="AD157" s="27" t="s">
        <v>7</v>
      </c>
      <c r="AE157" s="27" t="s">
        <v>8</v>
      </c>
      <c r="AF157" s="27" t="s">
        <v>7</v>
      </c>
      <c r="AJ157" s="27" t="s">
        <v>7</v>
      </c>
      <c r="AK157" s="27" t="s">
        <v>8</v>
      </c>
      <c r="AL157" s="27" t="s">
        <v>7</v>
      </c>
      <c r="AM157" s="27" t="s">
        <v>8</v>
      </c>
      <c r="AN157" s="27" t="s">
        <v>7</v>
      </c>
      <c r="AT157" s="27" t="s">
        <v>7</v>
      </c>
    </row>
    <row r="158" spans="1:50" x14ac:dyDescent="0.25">
      <c r="A158" s="30">
        <v>54.641488776193974</v>
      </c>
      <c r="E158" t="s">
        <v>8</v>
      </c>
      <c r="F158" s="27" t="s">
        <v>7</v>
      </c>
      <c r="G158" s="27" t="s">
        <v>8</v>
      </c>
      <c r="H158" s="27" t="s">
        <v>7</v>
      </c>
      <c r="I158" s="27" t="s">
        <v>8</v>
      </c>
      <c r="J158" s="27" t="s">
        <v>7</v>
      </c>
      <c r="W158" s="27" t="s">
        <v>8</v>
      </c>
      <c r="X158" s="27" t="s">
        <v>7</v>
      </c>
      <c r="Y158" s="27" t="s">
        <v>8</v>
      </c>
      <c r="Z158" s="27" t="s">
        <v>7</v>
      </c>
      <c r="AA158" s="27" t="s">
        <v>8</v>
      </c>
      <c r="AD158" s="27" t="s">
        <v>7</v>
      </c>
      <c r="AJ158" s="27" t="s">
        <v>7</v>
      </c>
      <c r="AL158" s="27" t="s">
        <v>7</v>
      </c>
      <c r="AM158" s="27" t="s">
        <v>8</v>
      </c>
      <c r="AT158" s="27" t="s">
        <v>7</v>
      </c>
      <c r="AU158" s="27" t="s">
        <v>8</v>
      </c>
    </row>
    <row r="159" spans="1:50" x14ac:dyDescent="0.25">
      <c r="A159" s="30">
        <v>52.039513120184736</v>
      </c>
      <c r="E159" t="s">
        <v>8</v>
      </c>
      <c r="F159" s="27" t="s">
        <v>7</v>
      </c>
      <c r="H159" s="27" t="s">
        <v>7</v>
      </c>
      <c r="I159" s="27" t="s">
        <v>8</v>
      </c>
      <c r="J159" s="27" t="s">
        <v>7</v>
      </c>
      <c r="W159" s="27" t="s">
        <v>8</v>
      </c>
      <c r="X159" s="27" t="s">
        <v>7</v>
      </c>
      <c r="Y159" s="27" t="s">
        <v>8</v>
      </c>
      <c r="Z159" s="27" t="s">
        <v>7</v>
      </c>
      <c r="AA159" s="27" t="s">
        <v>8</v>
      </c>
      <c r="AL159" s="27" t="s">
        <v>7</v>
      </c>
      <c r="AT159" s="27" t="s">
        <v>7</v>
      </c>
      <c r="AU159" s="27" t="s">
        <v>8</v>
      </c>
      <c r="AV159" s="27" t="s">
        <v>7</v>
      </c>
      <c r="AW159" s="27" t="s">
        <v>8</v>
      </c>
    </row>
    <row r="160" spans="1:50" x14ac:dyDescent="0.25">
      <c r="A160" s="30">
        <v>49.561441066842605</v>
      </c>
      <c r="C160"/>
      <c r="E160" t="s">
        <v>8</v>
      </c>
      <c r="H160" s="27" t="s">
        <v>7</v>
      </c>
      <c r="I160" s="27" t="s">
        <v>8</v>
      </c>
      <c r="J160" s="27" t="s">
        <v>7</v>
      </c>
      <c r="W160" s="27" t="s">
        <v>8</v>
      </c>
      <c r="X160" s="27" t="s">
        <v>7</v>
      </c>
      <c r="Z160" s="27" t="s">
        <v>7</v>
      </c>
      <c r="AA160" s="27" t="s">
        <v>8</v>
      </c>
      <c r="AT160" s="27" t="s">
        <v>7</v>
      </c>
      <c r="AU160" s="27" t="s">
        <v>8</v>
      </c>
      <c r="AV160" s="27" t="s">
        <v>7</v>
      </c>
      <c r="AW160" s="27" t="s">
        <v>8</v>
      </c>
      <c r="AX160" s="27" t="s">
        <v>7</v>
      </c>
    </row>
    <row r="161" spans="1:61" x14ac:dyDescent="0.25">
      <c r="A161" s="30">
        <v>47.201372444612005</v>
      </c>
      <c r="E161" t="s">
        <v>8</v>
      </c>
      <c r="H161" s="27" t="s">
        <v>7</v>
      </c>
      <c r="I161" s="27" t="s">
        <v>8</v>
      </c>
      <c r="J161" s="27" t="s">
        <v>7</v>
      </c>
      <c r="K161" s="27" t="s">
        <v>8</v>
      </c>
      <c r="W161" s="27" t="s">
        <v>8</v>
      </c>
      <c r="Z161" s="27" t="s">
        <v>7</v>
      </c>
      <c r="AA161" s="27" t="s">
        <v>8</v>
      </c>
      <c r="AT161" s="27" t="s">
        <v>7</v>
      </c>
      <c r="AV161" s="27" t="s">
        <v>7</v>
      </c>
      <c r="AW161" s="27" t="s">
        <v>8</v>
      </c>
      <c r="AX161" s="27" t="s">
        <v>7</v>
      </c>
    </row>
    <row r="162" spans="1:61" x14ac:dyDescent="0.25">
      <c r="A162" s="30">
        <v>44.95368804248762</v>
      </c>
      <c r="E162" t="s">
        <v>8</v>
      </c>
      <c r="H162" s="27" t="s">
        <v>7</v>
      </c>
      <c r="J162" s="27" t="s">
        <v>7</v>
      </c>
      <c r="K162" s="27" t="s">
        <v>8</v>
      </c>
      <c r="L162" s="27" t="s">
        <v>7</v>
      </c>
      <c r="M162" s="27" t="s">
        <v>8</v>
      </c>
      <c r="W162" s="27" t="s">
        <v>8</v>
      </c>
      <c r="Z162" s="27" t="s">
        <v>7</v>
      </c>
      <c r="AV162" s="27" t="s">
        <v>7</v>
      </c>
      <c r="AW162" s="27" t="s">
        <v>8</v>
      </c>
      <c r="AX162" s="27" t="s">
        <v>7</v>
      </c>
      <c r="BA162" s="27" t="s">
        <v>8</v>
      </c>
    </row>
    <row r="163" spans="1:61" x14ac:dyDescent="0.25">
      <c r="A163" s="30">
        <v>42.81303623094059</v>
      </c>
      <c r="E163" t="s">
        <v>8</v>
      </c>
      <c r="J163" s="27" t="s">
        <v>7</v>
      </c>
      <c r="K163" s="27" t="s">
        <v>8</v>
      </c>
      <c r="L163" s="27" t="s">
        <v>7</v>
      </c>
      <c r="M163" s="27" t="s">
        <v>8</v>
      </c>
      <c r="N163" s="27" t="s">
        <v>7</v>
      </c>
      <c r="W163" s="27" t="s">
        <v>8</v>
      </c>
      <c r="AV163" s="27" t="s">
        <v>7</v>
      </c>
      <c r="AX163" s="27" t="s">
        <v>7</v>
      </c>
      <c r="BA163" s="27" t="s">
        <v>8</v>
      </c>
      <c r="BB163" s="27" t="s">
        <v>7</v>
      </c>
    </row>
    <row r="164" spans="1:61" x14ac:dyDescent="0.25">
      <c r="A164" s="30">
        <v>40.774320219943419</v>
      </c>
      <c r="E164" t="s">
        <v>8</v>
      </c>
      <c r="J164" s="27" t="s">
        <v>7</v>
      </c>
      <c r="K164" s="27" t="s">
        <v>8</v>
      </c>
      <c r="L164" s="27" t="s">
        <v>7</v>
      </c>
      <c r="M164" s="27" t="s">
        <v>8</v>
      </c>
      <c r="N164" s="27" t="s">
        <v>7</v>
      </c>
      <c r="W164" s="27" t="s">
        <v>8</v>
      </c>
      <c r="AX164" s="27" t="s">
        <v>7</v>
      </c>
      <c r="AY164" s="27" t="s">
        <v>8</v>
      </c>
      <c r="BA164" s="27" t="s">
        <v>8</v>
      </c>
      <c r="BB164" s="27" t="s">
        <v>7</v>
      </c>
    </row>
    <row r="165" spans="1:61" x14ac:dyDescent="0.25">
      <c r="A165" s="30">
        <v>38.832685923755633</v>
      </c>
      <c r="E165" t="s">
        <v>8</v>
      </c>
      <c r="J165" s="27" t="s">
        <v>7</v>
      </c>
      <c r="K165" s="27" t="s">
        <v>8</v>
      </c>
      <c r="L165" s="27" t="s">
        <v>7</v>
      </c>
      <c r="M165" s="27" t="s">
        <v>8</v>
      </c>
      <c r="N165" s="27" t="s">
        <v>7</v>
      </c>
      <c r="S165" s="27" t="s">
        <v>8</v>
      </c>
      <c r="W165" s="27" t="s">
        <v>8</v>
      </c>
      <c r="AX165" s="27" t="s">
        <v>7</v>
      </c>
      <c r="AY165" s="27" t="s">
        <v>8</v>
      </c>
      <c r="AZ165" s="27" t="s">
        <v>7</v>
      </c>
      <c r="BA165" s="27" t="s">
        <v>8</v>
      </c>
      <c r="BB165" s="27" t="s">
        <v>7</v>
      </c>
    </row>
    <row r="166" spans="1:61" x14ac:dyDescent="0.25">
      <c r="A166" s="30">
        <v>36.983510403576794</v>
      </c>
      <c r="E166" t="s">
        <v>8</v>
      </c>
      <c r="J166" s="27" t="s">
        <v>7</v>
      </c>
      <c r="K166" s="27" t="s">
        <v>8</v>
      </c>
      <c r="L166" s="27" t="s">
        <v>7</v>
      </c>
      <c r="N166" s="27" t="s">
        <v>7</v>
      </c>
      <c r="S166" s="27" t="s">
        <v>8</v>
      </c>
      <c r="T166" s="27" t="s">
        <v>7</v>
      </c>
      <c r="U166" s="27" t="s">
        <v>8</v>
      </c>
      <c r="W166" s="27" t="s">
        <v>8</v>
      </c>
      <c r="AX166" s="27" t="s">
        <v>7</v>
      </c>
      <c r="AY166" s="27" t="s">
        <v>8</v>
      </c>
      <c r="AZ166" s="27" t="s">
        <v>7</v>
      </c>
      <c r="BA166" s="27" t="s">
        <v>8</v>
      </c>
      <c r="BB166" s="27" t="s">
        <v>7</v>
      </c>
      <c r="BC166" s="27" t="s">
        <v>8</v>
      </c>
    </row>
    <row r="167" spans="1:61" x14ac:dyDescent="0.25">
      <c r="A167" s="30">
        <v>35.222390860549325</v>
      </c>
      <c r="E167" t="s">
        <v>8</v>
      </c>
      <c r="J167" s="27" t="s">
        <v>7</v>
      </c>
      <c r="N167" s="27" t="s">
        <v>7</v>
      </c>
      <c r="O167" s="27" t="s">
        <v>8</v>
      </c>
      <c r="S167" s="27" t="s">
        <v>8</v>
      </c>
      <c r="T167" s="27" t="s">
        <v>7</v>
      </c>
      <c r="U167" s="27" t="s">
        <v>8</v>
      </c>
      <c r="V167" s="27" t="s">
        <v>7</v>
      </c>
      <c r="W167" s="27" t="s">
        <v>8</v>
      </c>
      <c r="AX167" s="27" t="s">
        <v>7</v>
      </c>
      <c r="AY167" s="27" t="s">
        <v>8</v>
      </c>
      <c r="AZ167" s="27" t="s">
        <v>7</v>
      </c>
      <c r="BA167" s="27" t="s">
        <v>8</v>
      </c>
      <c r="BB167" s="27" t="s">
        <v>7</v>
      </c>
      <c r="BC167" s="27" t="s">
        <v>8</v>
      </c>
      <c r="BD167" s="27" t="s">
        <v>7</v>
      </c>
      <c r="BE167" s="27" t="s">
        <v>8</v>
      </c>
    </row>
    <row r="168" spans="1:61" x14ac:dyDescent="0.25">
      <c r="A168" s="30">
        <v>33.545134152904119</v>
      </c>
      <c r="E168" t="s">
        <v>8</v>
      </c>
      <c r="N168" s="27" t="s">
        <v>7</v>
      </c>
      <c r="O168" s="27" t="s">
        <v>8</v>
      </c>
      <c r="P168" s="27" t="s">
        <v>7</v>
      </c>
      <c r="Q168" s="27" t="s">
        <v>8</v>
      </c>
      <c r="S168" s="27" t="s">
        <v>8</v>
      </c>
      <c r="T168" s="27" t="s">
        <v>7</v>
      </c>
      <c r="U168" s="27" t="s">
        <v>8</v>
      </c>
      <c r="V168" s="27" t="s">
        <v>7</v>
      </c>
      <c r="W168" s="27" t="s">
        <v>8</v>
      </c>
      <c r="AX168" s="27" t="s">
        <v>7</v>
      </c>
      <c r="AZ168" s="27" t="s">
        <v>7</v>
      </c>
      <c r="BB168" s="27" t="s">
        <v>7</v>
      </c>
      <c r="BC168" s="27" t="s">
        <v>8</v>
      </c>
      <c r="BD168" s="27" t="s">
        <v>7</v>
      </c>
      <c r="BE168" s="27" t="s">
        <v>8</v>
      </c>
      <c r="BF168" s="27" t="s">
        <v>7</v>
      </c>
    </row>
    <row r="169" spans="1:61" x14ac:dyDescent="0.25">
      <c r="A169" s="30">
        <v>31.947746812289637</v>
      </c>
      <c r="E169" t="s">
        <v>8</v>
      </c>
      <c r="N169" s="27" t="s">
        <v>7</v>
      </c>
      <c r="O169" s="27" t="s">
        <v>8</v>
      </c>
      <c r="P169" s="27" t="s">
        <v>7</v>
      </c>
      <c r="Q169" s="27" t="s">
        <v>8</v>
      </c>
      <c r="R169" s="27" t="s">
        <v>7</v>
      </c>
      <c r="S169" s="27" t="s">
        <v>8</v>
      </c>
      <c r="T169" s="27" t="s">
        <v>7</v>
      </c>
      <c r="V169" s="27" t="s">
        <v>7</v>
      </c>
      <c r="W169" s="27" t="s">
        <v>8</v>
      </c>
      <c r="BB169" s="27" t="s">
        <v>7</v>
      </c>
      <c r="BC169" s="27" t="s">
        <v>8</v>
      </c>
      <c r="BD169" s="27" t="s">
        <v>7</v>
      </c>
      <c r="BE169" s="27" t="s">
        <v>8</v>
      </c>
      <c r="BF169" s="27" t="s">
        <v>7</v>
      </c>
    </row>
    <row r="170" spans="1:61" x14ac:dyDescent="0.25">
      <c r="A170" s="30">
        <v>30.426425535513939</v>
      </c>
      <c r="E170" t="s">
        <v>8</v>
      </c>
      <c r="N170" s="27" t="s">
        <v>7</v>
      </c>
      <c r="P170" s="27" t="s">
        <v>7</v>
      </c>
      <c r="Q170" s="27" t="s">
        <v>8</v>
      </c>
      <c r="R170" s="27" t="s">
        <v>7</v>
      </c>
      <c r="S170" s="27" t="s">
        <v>8</v>
      </c>
      <c r="V170" s="27" t="s">
        <v>7</v>
      </c>
      <c r="BB170" s="27" t="s">
        <v>7</v>
      </c>
      <c r="BC170" s="27" t="s">
        <v>8</v>
      </c>
      <c r="BD170" s="27" t="s">
        <v>7</v>
      </c>
      <c r="BE170" s="27" t="s">
        <v>8</v>
      </c>
      <c r="BF170" s="27" t="s">
        <v>7</v>
      </c>
    </row>
    <row r="171" spans="1:61" x14ac:dyDescent="0.25">
      <c r="A171" s="30">
        <v>28.977548129060892</v>
      </c>
      <c r="E171" t="s">
        <v>8</v>
      </c>
      <c r="P171" s="18" t="s">
        <v>7</v>
      </c>
      <c r="Q171" s="27" t="s">
        <v>8</v>
      </c>
      <c r="R171" s="27" t="s">
        <v>7</v>
      </c>
      <c r="BB171" s="27" t="s">
        <v>7</v>
      </c>
      <c r="BC171" s="27" t="s">
        <v>8</v>
      </c>
      <c r="BD171" s="27" t="s">
        <v>7</v>
      </c>
      <c r="BE171" s="27" t="s">
        <v>8</v>
      </c>
      <c r="BF171" s="27" t="s">
        <v>7</v>
      </c>
    </row>
    <row r="172" spans="1:61" x14ac:dyDescent="0.25">
      <c r="A172" s="30">
        <v>27.597664884819896</v>
      </c>
      <c r="E172" t="s">
        <v>8</v>
      </c>
      <c r="P172" s="27" t="s">
        <v>7</v>
      </c>
      <c r="Q172" s="27" t="s">
        <v>8</v>
      </c>
      <c r="BB172" s="27" t="s">
        <v>7</v>
      </c>
      <c r="BC172" s="27" t="s">
        <v>8</v>
      </c>
      <c r="BD172" s="27" t="s">
        <v>7</v>
      </c>
      <c r="BF172" s="27" t="s">
        <v>7</v>
      </c>
    </row>
    <row r="173" spans="1:61" x14ac:dyDescent="0.25">
      <c r="A173" s="30">
        <v>26.283490366495137</v>
      </c>
      <c r="E173" t="s">
        <v>8</v>
      </c>
      <c r="P173" s="27" t="s">
        <v>7</v>
      </c>
      <c r="BB173" s="27" t="s">
        <v>7</v>
      </c>
      <c r="BF173" s="27" t="s">
        <v>7</v>
      </c>
    </row>
    <row r="174" spans="1:61" x14ac:dyDescent="0.25">
      <c r="A174" s="30">
        <v>25.031895587138223</v>
      </c>
      <c r="E174" t="s">
        <v>8</v>
      </c>
      <c r="BF174" s="27" t="s">
        <v>7</v>
      </c>
    </row>
    <row r="175" spans="1:61" x14ac:dyDescent="0.25">
      <c r="A175" s="30">
        <v>23.839900559179259</v>
      </c>
      <c r="E175" t="s">
        <v>8</v>
      </c>
      <c r="BF175" s="27" t="s">
        <v>7</v>
      </c>
    </row>
    <row r="176" spans="1:61" x14ac:dyDescent="0.25">
      <c r="A176" s="30">
        <v>22.704667199218342</v>
      </c>
      <c r="E176" t="s">
        <v>8</v>
      </c>
      <c r="BF176" s="27" t="s">
        <v>7</v>
      </c>
      <c r="BG176" s="27" t="s">
        <v>8</v>
      </c>
      <c r="BI176" s="27" t="s">
        <v>8</v>
      </c>
    </row>
    <row r="177" spans="1:61" x14ac:dyDescent="0.25">
      <c r="A177" s="30">
        <v>21.623492570684135</v>
      </c>
      <c r="E177" t="s">
        <v>8</v>
      </c>
      <c r="BF177" s="27" t="s">
        <v>7</v>
      </c>
      <c r="BG177" s="27" t="s">
        <v>8</v>
      </c>
      <c r="BH177" s="27" t="s">
        <v>7</v>
      </c>
      <c r="BI177" s="27" t="s">
        <v>8</v>
      </c>
    </row>
    <row r="178" spans="1:61" x14ac:dyDescent="0.25">
      <c r="A178" s="30">
        <v>20.593802448270605</v>
      </c>
      <c r="C178" s="7"/>
      <c r="D178"/>
      <c r="E178" t="s">
        <v>8</v>
      </c>
      <c r="BF178" s="27" t="s">
        <v>7</v>
      </c>
      <c r="BG178" s="27" t="s">
        <v>8</v>
      </c>
      <c r="BH178" s="27" t="s">
        <v>7</v>
      </c>
      <c r="BI178" s="27" t="s">
        <v>8</v>
      </c>
    </row>
    <row r="179" spans="1:61" x14ac:dyDescent="0.25">
      <c r="A179" s="30">
        <v>19.613145188829147</v>
      </c>
      <c r="E179" t="s">
        <v>8</v>
      </c>
      <c r="BF179" s="27" t="s">
        <v>7</v>
      </c>
      <c r="BH179" s="27" t="s">
        <v>7</v>
      </c>
      <c r="BI179" s="27" t="s">
        <v>8</v>
      </c>
    </row>
    <row r="180" spans="1:61" x14ac:dyDescent="0.25">
      <c r="A180" s="30">
        <v>18.679185894122998</v>
      </c>
      <c r="E180" t="s">
        <v>8</v>
      </c>
      <c r="BH180" s="27" t="s">
        <v>7</v>
      </c>
    </row>
    <row r="181" spans="1:61" x14ac:dyDescent="0.25">
      <c r="A181" s="30">
        <v>17.78970085154571</v>
      </c>
      <c r="C181"/>
      <c r="D181"/>
      <c r="E181" t="s">
        <v>8</v>
      </c>
    </row>
    <row r="182" spans="1:61" x14ac:dyDescent="0.25">
      <c r="A182" s="30">
        <v>16.942572239567344</v>
      </c>
      <c r="E182" t="s">
        <v>8</v>
      </c>
    </row>
    <row r="183" spans="1:61" x14ac:dyDescent="0.25">
      <c r="A183" s="30">
        <v>16.135783085302233</v>
      </c>
      <c r="E183" t="s">
        <v>8</v>
      </c>
    </row>
    <row r="184" spans="1:61" x14ac:dyDescent="0.25">
      <c r="A184" s="30">
        <v>15.367412462192602</v>
      </c>
      <c r="E184" t="s">
        <v>8</v>
      </c>
    </row>
    <row r="185" spans="1:61" x14ac:dyDescent="0.25">
      <c r="A185" s="30">
        <v>14.635630916373906</v>
      </c>
      <c r="C185"/>
      <c r="E185" t="s">
        <v>8</v>
      </c>
    </row>
    <row r="186" spans="1:61" x14ac:dyDescent="0.25">
      <c r="A186" s="30">
        <v>13.938696110832291</v>
      </c>
      <c r="E186" t="s">
        <v>8</v>
      </c>
    </row>
    <row r="187" spans="1:61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61" x14ac:dyDescent="0.25">
      <c r="A188" s="30">
        <v>12.64280826379346</v>
      </c>
      <c r="E188" t="s">
        <v>8</v>
      </c>
    </row>
    <row r="189" spans="1:61" x14ac:dyDescent="0.25">
      <c r="A189" s="30">
        <v>12.04076977504139</v>
      </c>
      <c r="E189" t="s">
        <v>8</v>
      </c>
    </row>
    <row r="190" spans="1:61" x14ac:dyDescent="0.25">
      <c r="A190" s="30">
        <v>11.467399785753704</v>
      </c>
      <c r="E190" t="s">
        <v>8</v>
      </c>
    </row>
    <row r="191" spans="1:61" x14ac:dyDescent="0.25">
      <c r="A191" s="30">
        <v>10.921333129289241</v>
      </c>
      <c r="E191" t="s">
        <v>8</v>
      </c>
    </row>
    <row r="192" spans="1:61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51" operator="equal">
      <formula>$U$1</formula>
    </cfRule>
    <cfRule type="cellIs" dxfId="67" priority="652" operator="equal">
      <formula>$S$1</formula>
    </cfRule>
  </conditionalFormatting>
  <conditionalFormatting sqref="D136">
    <cfRule type="cellIs" dxfId="66" priority="649" operator="equal">
      <formula>$S$1</formula>
    </cfRule>
    <cfRule type="cellIs" dxfId="65" priority="650" operator="equal">
      <formula>$U$1</formula>
    </cfRule>
  </conditionalFormatting>
  <conditionalFormatting sqref="C162">
    <cfRule type="cellIs" dxfId="64" priority="647" operator="equal">
      <formula>$U$1</formula>
    </cfRule>
    <cfRule type="cellIs" dxfId="63" priority="648" operator="equal">
      <formula>$S$1</formula>
    </cfRule>
  </conditionalFormatting>
  <conditionalFormatting sqref="D162">
    <cfRule type="cellIs" dxfId="62" priority="645" operator="equal">
      <formula>$S$1</formula>
    </cfRule>
    <cfRule type="cellIs" dxfId="61" priority="646" operator="equal">
      <formula>$U$1</formula>
    </cfRule>
  </conditionalFormatting>
  <conditionalFormatting sqref="C187">
    <cfRule type="cellIs" dxfId="60" priority="643" operator="equal">
      <formula>$U$1</formula>
    </cfRule>
    <cfRule type="cellIs" dxfId="59" priority="644" operator="equal">
      <formula>$S$1</formula>
    </cfRule>
  </conditionalFormatting>
  <conditionalFormatting sqref="D187">
    <cfRule type="cellIs" dxfId="58" priority="641" operator="equal">
      <formula>$S$1</formula>
    </cfRule>
    <cfRule type="cellIs" dxfId="57" priority="642" operator="equal">
      <formula>$U$1</formula>
    </cfRule>
  </conditionalFormatting>
  <conditionalFormatting sqref="C212">
    <cfRule type="cellIs" dxfId="56" priority="639" operator="equal">
      <formula>$U$1</formula>
    </cfRule>
    <cfRule type="cellIs" dxfId="55" priority="640" operator="equal">
      <formula>$S$1</formula>
    </cfRule>
  </conditionalFormatting>
  <conditionalFormatting sqref="D212">
    <cfRule type="cellIs" dxfId="54" priority="637" operator="equal">
      <formula>$S$1</formula>
    </cfRule>
    <cfRule type="cellIs" dxfId="53" priority="638" operator="equal">
      <formula>$U$1</formula>
    </cfRule>
  </conditionalFormatting>
  <conditionalFormatting sqref="C237">
    <cfRule type="cellIs" dxfId="52" priority="635" operator="equal">
      <formula>$U$1</formula>
    </cfRule>
    <cfRule type="cellIs" dxfId="51" priority="636" operator="equal">
      <formula>$S$1</formula>
    </cfRule>
  </conditionalFormatting>
  <conditionalFormatting sqref="D237">
    <cfRule type="cellIs" dxfId="50" priority="633" operator="equal">
      <formula>$S$1</formula>
    </cfRule>
    <cfRule type="cellIs" dxfId="49" priority="634" operator="equal">
      <formula>$U$1</formula>
    </cfRule>
  </conditionalFormatting>
  <conditionalFormatting sqref="C106">
    <cfRule type="cellIs" dxfId="48" priority="631" operator="equal">
      <formula>$U$1</formula>
    </cfRule>
    <cfRule type="cellIs" dxfId="47" priority="632" operator="equal">
      <formula>$S$1</formula>
    </cfRule>
  </conditionalFormatting>
  <conditionalFormatting sqref="D106">
    <cfRule type="cellIs" dxfId="46" priority="629" operator="equal">
      <formula>$S$1</formula>
    </cfRule>
    <cfRule type="cellIs" dxfId="45" priority="630" operator="equal">
      <formula>$U$1</formula>
    </cfRule>
  </conditionalFormatting>
  <conditionalFormatting sqref="C81">
    <cfRule type="cellIs" dxfId="44" priority="627" operator="equal">
      <formula>$U$1</formula>
    </cfRule>
    <cfRule type="cellIs" dxfId="43" priority="628" operator="equal">
      <formula>$S$1</formula>
    </cfRule>
  </conditionalFormatting>
  <conditionalFormatting sqref="D81">
    <cfRule type="cellIs" dxfId="42" priority="625" operator="equal">
      <formula>$S$1</formula>
    </cfRule>
    <cfRule type="cellIs" dxfId="41" priority="626" operator="equal">
      <formula>$U$1</formula>
    </cfRule>
  </conditionalFormatting>
  <conditionalFormatting sqref="C56">
    <cfRule type="cellIs" dxfId="40" priority="623" operator="equal">
      <formula>$U$1</formula>
    </cfRule>
    <cfRule type="cellIs" dxfId="39" priority="624" operator="equal">
      <formula>$S$1</formula>
    </cfRule>
  </conditionalFormatting>
  <conditionalFormatting sqref="D56">
    <cfRule type="cellIs" dxfId="38" priority="621" operator="equal">
      <formula>$S$1</formula>
    </cfRule>
    <cfRule type="cellIs" dxfId="37" priority="622" operator="equal">
      <formula>$U$1</formula>
    </cfRule>
  </conditionalFormatting>
  <conditionalFormatting sqref="C31">
    <cfRule type="cellIs" dxfId="36" priority="619" operator="equal">
      <formula>$U$1</formula>
    </cfRule>
    <cfRule type="cellIs" dxfId="35" priority="620" operator="equal">
      <formula>$S$1</formula>
    </cfRule>
  </conditionalFormatting>
  <conditionalFormatting sqref="D31">
    <cfRule type="cellIs" dxfId="34" priority="617" operator="equal">
      <formula>$S$1</formula>
    </cfRule>
    <cfRule type="cellIs" dxfId="33" priority="61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T90" sqref="T9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16" x14ac:dyDescent="0.25">
      <c r="A65" s="30">
        <v>207.96505671840671</v>
      </c>
      <c r="E65"/>
    </row>
    <row r="66" spans="1:16" x14ac:dyDescent="0.25">
      <c r="A66" s="30">
        <v>189.05914247127882</v>
      </c>
      <c r="E66"/>
    </row>
    <row r="67" spans="1:16" x14ac:dyDescent="0.25">
      <c r="A67" s="30">
        <v>171.87194770116255</v>
      </c>
      <c r="C67" s="1" t="s">
        <v>15</v>
      </c>
      <c r="E67"/>
    </row>
    <row r="68" spans="1:16" x14ac:dyDescent="0.25">
      <c r="A68" s="30">
        <v>156.24722518287504</v>
      </c>
      <c r="C68" s="7">
        <v>0.11167815779424731</v>
      </c>
      <c r="D68"/>
      <c r="E68"/>
    </row>
    <row r="69" spans="1:16" x14ac:dyDescent="0.25">
      <c r="A69" s="30">
        <v>142.04293198443185</v>
      </c>
      <c r="E69"/>
    </row>
    <row r="70" spans="1:16" x14ac:dyDescent="0.25">
      <c r="A70" s="30">
        <v>129.1299381676653</v>
      </c>
      <c r="C70" s="1" t="s">
        <v>11</v>
      </c>
      <c r="D70" s="1" t="s">
        <v>12</v>
      </c>
      <c r="E70"/>
    </row>
    <row r="71" spans="1:16" x14ac:dyDescent="0.25">
      <c r="A71" s="30">
        <v>117.39085287969573</v>
      </c>
      <c r="C71"/>
      <c r="D71"/>
      <c r="E71"/>
    </row>
    <row r="72" spans="1:16" x14ac:dyDescent="0.25">
      <c r="A72" s="30">
        <v>106.71895716335975</v>
      </c>
      <c r="E72"/>
    </row>
    <row r="73" spans="1:16" x14ac:dyDescent="0.25">
      <c r="A73" s="30">
        <v>97.017233784872488</v>
      </c>
      <c r="C73" s="1" t="s">
        <v>13</v>
      </c>
      <c r="E73"/>
      <c r="M73" s="27" t="s">
        <v>8</v>
      </c>
    </row>
    <row r="74" spans="1:16" x14ac:dyDescent="0.25">
      <c r="A74" s="30">
        <v>88.197485258974979</v>
      </c>
      <c r="C74" s="1">
        <f>C63</f>
        <v>0</v>
      </c>
      <c r="E74"/>
      <c r="K74" s="27" t="s">
        <v>8</v>
      </c>
      <c r="M74" s="27" t="s">
        <v>8</v>
      </c>
      <c r="N74" s="27" t="s">
        <v>7</v>
      </c>
    </row>
    <row r="75" spans="1:16" x14ac:dyDescent="0.25">
      <c r="A75" s="30">
        <v>80.179532053613613</v>
      </c>
      <c r="C75"/>
      <c r="D75"/>
      <c r="E75"/>
      <c r="I75" s="27" t="s">
        <v>8</v>
      </c>
      <c r="K75" s="27" t="s">
        <v>8</v>
      </c>
      <c r="L75" s="27" t="s">
        <v>7</v>
      </c>
      <c r="M75" s="27" t="s">
        <v>8</v>
      </c>
      <c r="N75" s="27" t="s">
        <v>7</v>
      </c>
      <c r="O75" s="27" t="s">
        <v>8</v>
      </c>
    </row>
    <row r="76" spans="1:16" x14ac:dyDescent="0.25">
      <c r="A76" s="30">
        <v>72.890483685103277</v>
      </c>
      <c r="C76" s="1" t="s">
        <v>14</v>
      </c>
      <c r="E76"/>
      <c r="I76" s="27" t="s">
        <v>8</v>
      </c>
      <c r="J76" s="27" t="s">
        <v>7</v>
      </c>
      <c r="K76" s="27" t="s">
        <v>8</v>
      </c>
      <c r="L76" s="27" t="s">
        <v>7</v>
      </c>
      <c r="M76" s="27" t="s">
        <v>8</v>
      </c>
      <c r="N76" s="27" t="s">
        <v>7</v>
      </c>
      <c r="O76" s="27" t="s">
        <v>8</v>
      </c>
      <c r="P76" s="27" t="s">
        <v>7</v>
      </c>
    </row>
    <row r="77" spans="1:16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G77" s="27" t="s">
        <v>8</v>
      </c>
      <c r="I77" s="27" t="s">
        <v>8</v>
      </c>
      <c r="J77" s="27" t="s">
        <v>7</v>
      </c>
      <c r="K77" s="27" t="s">
        <v>8</v>
      </c>
      <c r="L77" s="27" t="s">
        <v>7</v>
      </c>
      <c r="M77" s="27" t="s">
        <v>8</v>
      </c>
      <c r="N77" s="27" t="s">
        <v>7</v>
      </c>
      <c r="O77" s="27" t="s">
        <v>8</v>
      </c>
      <c r="P77" s="27" t="s">
        <v>7</v>
      </c>
    </row>
    <row r="78" spans="1:16" x14ac:dyDescent="0.25">
      <c r="A78" s="30">
        <v>60.240069161242367</v>
      </c>
      <c r="E78" t="s">
        <v>8</v>
      </c>
      <c r="G78" s="27" t="s">
        <v>8</v>
      </c>
      <c r="H78" s="27" t="s">
        <v>7</v>
      </c>
      <c r="I78" s="27" t="s">
        <v>8</v>
      </c>
      <c r="J78" s="27" t="s">
        <v>7</v>
      </c>
      <c r="K78" s="27" t="s">
        <v>8</v>
      </c>
      <c r="L78" s="27" t="s">
        <v>7</v>
      </c>
      <c r="M78" s="27" t="s">
        <v>8</v>
      </c>
      <c r="N78" s="27" t="s">
        <v>7</v>
      </c>
      <c r="O78" s="27" t="s">
        <v>8</v>
      </c>
      <c r="P78" s="27" t="s">
        <v>7</v>
      </c>
    </row>
    <row r="79" spans="1:16" x14ac:dyDescent="0.25">
      <c r="A79" s="30">
        <v>54.763699237493057</v>
      </c>
      <c r="E79" t="s">
        <v>8</v>
      </c>
      <c r="F79" s="27" t="s">
        <v>7</v>
      </c>
      <c r="G79" s="27" t="s">
        <v>8</v>
      </c>
      <c r="H79" s="27" t="s">
        <v>7</v>
      </c>
      <c r="I79" s="27" t="s">
        <v>8</v>
      </c>
      <c r="J79" s="27" t="s">
        <v>7</v>
      </c>
      <c r="K79" s="27" t="s">
        <v>8</v>
      </c>
      <c r="L79" s="27" t="s">
        <v>7</v>
      </c>
      <c r="N79" s="27" t="s">
        <v>7</v>
      </c>
      <c r="P79" s="27" t="s">
        <v>7</v>
      </c>
    </row>
    <row r="80" spans="1:16" x14ac:dyDescent="0.25">
      <c r="A80" s="30">
        <v>49.785181124993684</v>
      </c>
      <c r="E80" t="s">
        <v>8</v>
      </c>
      <c r="F80" s="27" t="s">
        <v>7</v>
      </c>
      <c r="G80" s="27" t="s">
        <v>8</v>
      </c>
      <c r="H80" s="27" t="s">
        <v>7</v>
      </c>
      <c r="I80" s="27" t="s">
        <v>8</v>
      </c>
      <c r="J80" s="27" t="s">
        <v>7</v>
      </c>
      <c r="K80" s="27" t="s">
        <v>8</v>
      </c>
      <c r="P80" s="27" t="s">
        <v>7</v>
      </c>
    </row>
    <row r="81" spans="1:20" x14ac:dyDescent="0.25">
      <c r="A81" s="30">
        <v>45.259255568176073</v>
      </c>
      <c r="E81" t="s">
        <v>8</v>
      </c>
      <c r="F81" s="27" t="s">
        <v>7</v>
      </c>
      <c r="H81" s="27" t="s">
        <v>7</v>
      </c>
      <c r="I81" s="27" t="s">
        <v>8</v>
      </c>
      <c r="J81" s="27" t="s">
        <v>7</v>
      </c>
      <c r="P81" s="27" t="s">
        <v>7</v>
      </c>
      <c r="Q81" s="27" t="s">
        <v>8</v>
      </c>
    </row>
    <row r="82" spans="1:20" x14ac:dyDescent="0.25">
      <c r="A82" s="30">
        <v>41.144777789250973</v>
      </c>
      <c r="E82" t="s">
        <v>8</v>
      </c>
      <c r="H82" s="27" t="s">
        <v>7</v>
      </c>
      <c r="I82" s="27" t="s">
        <v>8</v>
      </c>
      <c r="P82" s="27" t="s">
        <v>7</v>
      </c>
      <c r="Q82" s="27" t="s">
        <v>8</v>
      </c>
      <c r="R82" s="27" t="s">
        <v>7</v>
      </c>
    </row>
    <row r="83" spans="1:20" x14ac:dyDescent="0.25">
      <c r="A83" s="30">
        <v>37.404343444773609</v>
      </c>
      <c r="E83" t="s">
        <v>8</v>
      </c>
      <c r="H83" s="27" t="s">
        <v>7</v>
      </c>
      <c r="I83" s="27" t="s">
        <v>8</v>
      </c>
      <c r="P83" s="27" t="s">
        <v>7</v>
      </c>
      <c r="Q83" s="27" t="s">
        <v>8</v>
      </c>
      <c r="R83" s="27" t="s">
        <v>7</v>
      </c>
    </row>
    <row r="84" spans="1:20" x14ac:dyDescent="0.25">
      <c r="A84" s="30">
        <v>34.003948586157826</v>
      </c>
      <c r="E84" t="s">
        <v>8</v>
      </c>
      <c r="H84" s="27" t="s">
        <v>7</v>
      </c>
      <c r="I84" s="27" t="s">
        <v>8</v>
      </c>
      <c r="P84" s="27" t="s">
        <v>7</v>
      </c>
      <c r="R84" s="27" t="s">
        <v>7</v>
      </c>
      <c r="S84" s="27" t="s">
        <v>8</v>
      </c>
    </row>
    <row r="85" spans="1:20" x14ac:dyDescent="0.25">
      <c r="A85" s="30">
        <v>30.912680532870748</v>
      </c>
      <c r="E85" t="s">
        <v>8</v>
      </c>
      <c r="H85" s="27" t="s">
        <v>7</v>
      </c>
      <c r="I85" s="27" t="s">
        <v>8</v>
      </c>
      <c r="R85" s="27" t="s">
        <v>7</v>
      </c>
      <c r="S85" s="27" t="s">
        <v>8</v>
      </c>
      <c r="T85" s="27" t="s">
        <v>7</v>
      </c>
    </row>
    <row r="86" spans="1:20" x14ac:dyDescent="0.25">
      <c r="A86" s="30">
        <v>28.102436848064315</v>
      </c>
      <c r="E86" t="s">
        <v>8</v>
      </c>
      <c r="H86" s="18" t="s">
        <v>7</v>
      </c>
      <c r="R86" s="27" t="s">
        <v>7</v>
      </c>
      <c r="S86" s="27" t="s">
        <v>8</v>
      </c>
      <c r="T86" s="27" t="s">
        <v>7</v>
      </c>
    </row>
    <row r="87" spans="1:20" x14ac:dyDescent="0.25">
      <c r="A87" s="30">
        <v>25.547669861876649</v>
      </c>
      <c r="E87" t="s">
        <v>8</v>
      </c>
      <c r="R87" s="27" t="s">
        <v>7</v>
      </c>
      <c r="T87" s="27" t="s">
        <v>7</v>
      </c>
    </row>
    <row r="88" spans="1:20" x14ac:dyDescent="0.25">
      <c r="A88" s="30">
        <v>23.225154419887861</v>
      </c>
      <c r="E88" t="s">
        <v>8</v>
      </c>
      <c r="T88" s="27" t="s">
        <v>7</v>
      </c>
    </row>
    <row r="89" spans="1:20" x14ac:dyDescent="0.25">
      <c r="A89" s="30">
        <v>21.113776745352599</v>
      </c>
      <c r="E89" t="s">
        <v>8</v>
      </c>
      <c r="T89" s="27" t="s">
        <v>7</v>
      </c>
    </row>
    <row r="90" spans="1:20" x14ac:dyDescent="0.25">
      <c r="A90" s="30">
        <v>19.194342495775089</v>
      </c>
      <c r="E90" t="s">
        <v>8</v>
      </c>
      <c r="T90" s="27" t="s">
        <v>7</v>
      </c>
    </row>
    <row r="91" spans="1:20" x14ac:dyDescent="0.25">
      <c r="A91" s="30">
        <v>17.449402268886445</v>
      </c>
      <c r="E91" t="s">
        <v>8</v>
      </c>
    </row>
    <row r="92" spans="1:20" x14ac:dyDescent="0.25">
      <c r="A92" s="30">
        <v>15.863092971714948</v>
      </c>
      <c r="C92" s="1" t="s">
        <v>15</v>
      </c>
      <c r="E92" t="s">
        <v>8</v>
      </c>
    </row>
    <row r="93" spans="1:20" x14ac:dyDescent="0.25">
      <c r="A93" s="30">
        <v>14.420993610649951</v>
      </c>
      <c r="C93" s="7">
        <v>0.11167815779424731</v>
      </c>
      <c r="D93"/>
      <c r="E93" t="s">
        <v>8</v>
      </c>
    </row>
    <row r="94" spans="1:20" x14ac:dyDescent="0.25">
      <c r="A94" s="30">
        <v>13.109994191499954</v>
      </c>
      <c r="E94" t="s">
        <v>8</v>
      </c>
    </row>
    <row r="95" spans="1:20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20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$A$89</v>
      </c>
      <c r="D111" s="1" t="str">
        <f>ADDRESS(C121-1,D121,1,1)</f>
        <v>$T$89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$A$90</v>
      </c>
      <c r="D112" s="1" t="str">
        <f>ADDRESS(C121,D121-1,1,1)</f>
        <v>$S$90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$A$91</v>
      </c>
      <c r="D113" s="1" t="str">
        <f>ADDRESS(C121-1,D121+1,1,1)</f>
        <v>$U$89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$T$90</v>
      </c>
      <c r="D114" s="1" t="str">
        <f>ADDRESS(C121+1,D121+1,1,1)</f>
        <v>$U$91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$T$91</v>
      </c>
      <c r="E115" s="1" t="s">
        <v>8</v>
      </c>
    </row>
    <row r="116" spans="1:5" x14ac:dyDescent="0.25">
      <c r="A116" s="30">
        <v>1.6105100000000008</v>
      </c>
      <c r="C116" s="1">
        <f>C117-1</f>
        <v>89</v>
      </c>
      <c r="E116" s="1" t="s">
        <v>8</v>
      </c>
    </row>
    <row r="117" spans="1:5" x14ac:dyDescent="0.25">
      <c r="A117" s="30">
        <v>1.4641000000000006</v>
      </c>
      <c r="C117" s="1">
        <f>C121</f>
        <v>90</v>
      </c>
      <c r="D117" s="1">
        <f>D121</f>
        <v>20</v>
      </c>
      <c r="E117" s="1" t="s">
        <v>8</v>
      </c>
    </row>
    <row r="118" spans="1:5" x14ac:dyDescent="0.25">
      <c r="A118" s="30">
        <v>1.3310000000000004</v>
      </c>
      <c r="C118" s="1">
        <f>C117+1</f>
        <v>91</v>
      </c>
      <c r="D118" s="1">
        <f>D117+1</f>
        <v>21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90</v>
      </c>
      <c r="D121" s="19">
        <v>20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R90</v>
      </c>
      <c r="D123" s="1" t="str">
        <f>"C"&amp;D121</f>
        <v>C20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19.194342495775089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35" operator="equal">
      <formula>$U$1</formula>
    </cfRule>
    <cfRule type="cellIs" dxfId="30" priority="636" operator="equal">
      <formula>$S$1</formula>
    </cfRule>
  </conditionalFormatting>
  <conditionalFormatting sqref="D136">
    <cfRule type="cellIs" dxfId="29" priority="633" operator="equal">
      <formula>$S$1</formula>
    </cfRule>
    <cfRule type="cellIs" dxfId="28" priority="634" operator="equal">
      <formula>$U$1</formula>
    </cfRule>
  </conditionalFormatting>
  <conditionalFormatting sqref="C102">
    <cfRule type="cellIs" dxfId="27" priority="631" operator="equal">
      <formula>$U$1</formula>
    </cfRule>
    <cfRule type="cellIs" dxfId="26" priority="632" operator="equal">
      <formula>$S$1</formula>
    </cfRule>
  </conditionalFormatting>
  <conditionalFormatting sqref="D102">
    <cfRule type="cellIs" dxfId="25" priority="629" operator="equal">
      <formula>$S$1</formula>
    </cfRule>
    <cfRule type="cellIs" dxfId="24" priority="630" operator="equal">
      <formula>$U$1</formula>
    </cfRule>
  </conditionalFormatting>
  <conditionalFormatting sqref="C77">
    <cfRule type="cellIs" dxfId="23" priority="627" operator="equal">
      <formula>$U$1</formula>
    </cfRule>
    <cfRule type="cellIs" dxfId="22" priority="628" operator="equal">
      <formula>$S$1</formula>
    </cfRule>
  </conditionalFormatting>
  <conditionalFormatting sqref="D77">
    <cfRule type="cellIs" dxfId="21" priority="625" operator="equal">
      <formula>$S$1</formula>
    </cfRule>
    <cfRule type="cellIs" dxfId="20" priority="626" operator="equal">
      <formula>$U$1</formula>
    </cfRule>
  </conditionalFormatting>
  <conditionalFormatting sqref="C52">
    <cfRule type="cellIs" dxfId="19" priority="623" operator="equal">
      <formula>$U$1</formula>
    </cfRule>
    <cfRule type="cellIs" dxfId="18" priority="624" operator="equal">
      <formula>$S$1</formula>
    </cfRule>
  </conditionalFormatting>
  <conditionalFormatting sqref="D52">
    <cfRule type="cellIs" dxfId="17" priority="621" operator="equal">
      <formula>$S$1</formula>
    </cfRule>
    <cfRule type="cellIs" dxfId="16" priority="622" operator="equal">
      <formula>$U$1</formula>
    </cfRule>
  </conditionalFormatting>
  <conditionalFormatting sqref="C26">
    <cfRule type="cellIs" dxfId="15" priority="619" operator="equal">
      <formula>$U$1</formula>
    </cfRule>
    <cfRule type="cellIs" dxfId="14" priority="620" operator="equal">
      <formula>$S$1</formula>
    </cfRule>
  </conditionalFormatting>
  <conditionalFormatting sqref="D26">
    <cfRule type="cellIs" dxfId="13" priority="617" operator="equal">
      <formula>$S$1</formula>
    </cfRule>
    <cfRule type="cellIs" dxfId="12" priority="61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2022-01-28T01:22:14Z</dcterms:modified>
</cp:coreProperties>
</file>