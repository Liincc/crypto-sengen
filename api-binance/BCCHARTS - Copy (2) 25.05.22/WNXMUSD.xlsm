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9A7038C-8F2F-498C-86D2-16131C987EC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18" i="4"/>
  <c r="C136" i="4"/>
  <c r="D136" i="4"/>
  <c r="C116" i="3"/>
  <c r="C122" i="3"/>
  <c r="C133" i="3" s="1"/>
  <c r="D136" i="3" s="1"/>
  <c r="R765" i="1"/>
  <c r="C136" i="5" l="1"/>
  <c r="C138" i="5" s="1"/>
  <c r="C138" i="4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<sst xmlns="http://schemas.openxmlformats.org/spreadsheetml/2006/main" count="5653" uniqueCount="34">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</sst>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33.58</c:v>
                </c:pt>
                <c:pt idx="1">
                  <c:v>33.89</c:v>
                </c:pt>
                <c:pt idx="2">
                  <c:v>35.270000000000003</c:v>
                </c:pt>
                <c:pt idx="3">
                  <c:v>37.97</c:v>
                </c:pt>
                <c:pt idx="4">
                  <c:v>41.17</c:v>
                </c:pt>
                <c:pt idx="5">
                  <c:v>38.51</c:v>
                </c:pt>
                <c:pt idx="6">
                  <c:v>41.3</c:v>
                </c:pt>
                <c:pt idx="7">
                  <c:v>48.07</c:v>
                </c:pt>
                <c:pt idx="8">
                  <c:v>48.19</c:v>
                </c:pt>
                <c:pt idx="9">
                  <c:v>50.71</c:v>
                </c:pt>
                <c:pt idx="10">
                  <c:v>53.18</c:v>
                </c:pt>
                <c:pt idx="11">
                  <c:v>57.17</c:v>
                </c:pt>
                <c:pt idx="12">
                  <c:v>56.03</c:v>
                </c:pt>
                <c:pt idx="13">
                  <c:v>54.67</c:v>
                </c:pt>
                <c:pt idx="14">
                  <c:v>54.66</c:v>
                </c:pt>
                <c:pt idx="15">
                  <c:v>55.9</c:v>
                </c:pt>
                <c:pt idx="16">
                  <c:v>54.09</c:v>
                </c:pt>
                <c:pt idx="17">
                  <c:v>50.48</c:v>
                </c:pt>
                <c:pt idx="18">
                  <c:v>52.41</c:v>
                </c:pt>
                <c:pt idx="19">
                  <c:v>52.03</c:v>
                </c:pt>
                <c:pt idx="20">
                  <c:v>55.01</c:v>
                </c:pt>
                <c:pt idx="21">
                  <c:v>60.86</c:v>
                </c:pt>
                <c:pt idx="22">
                  <c:v>59</c:v>
                </c:pt>
                <c:pt idx="23">
                  <c:v>64.45</c:v>
                </c:pt>
                <c:pt idx="24">
                  <c:v>64.17</c:v>
                </c:pt>
                <c:pt idx="25">
                  <c:v>67.33</c:v>
                </c:pt>
                <c:pt idx="26">
                  <c:v>63.56</c:v>
                </c:pt>
                <c:pt idx="27">
                  <c:v>59.27</c:v>
                </c:pt>
                <c:pt idx="28">
                  <c:v>59.65</c:v>
                </c:pt>
                <c:pt idx="29">
                  <c:v>59.63</c:v>
                </c:pt>
                <c:pt idx="30">
                  <c:v>63.41</c:v>
                </c:pt>
                <c:pt idx="31">
                  <c:v>69.09</c:v>
                </c:pt>
                <c:pt idx="32">
                  <c:v>69.680000000000007</c:v>
                </c:pt>
                <c:pt idx="33">
                  <c:v>69.17</c:v>
                </c:pt>
                <c:pt idx="34">
                  <c:v>70.59</c:v>
                </c:pt>
                <c:pt idx="35">
                  <c:v>69.989999999999995</c:v>
                </c:pt>
                <c:pt idx="36">
                  <c:v>67.319999999999993</c:v>
                </c:pt>
                <c:pt idx="37">
                  <c:v>68.819999999999993</c:v>
                </c:pt>
                <c:pt idx="38">
                  <c:v>65.67</c:v>
                </c:pt>
                <c:pt idx="39">
                  <c:v>67.739999999999995</c:v>
                </c:pt>
                <c:pt idx="40">
                  <c:v>70.83</c:v>
                </c:pt>
                <c:pt idx="41">
                  <c:v>69.09</c:v>
                </c:pt>
                <c:pt idx="42">
                  <c:v>66.97</c:v>
                </c:pt>
                <c:pt idx="43">
                  <c:v>69.87</c:v>
                </c:pt>
                <c:pt idx="44">
                  <c:v>66.67</c:v>
                </c:pt>
                <c:pt idx="45">
                  <c:v>50.23</c:v>
                </c:pt>
                <c:pt idx="46">
                  <c:v>51.65</c:v>
                </c:pt>
                <c:pt idx="47">
                  <c:v>50.66</c:v>
                </c:pt>
                <c:pt idx="48">
                  <c:v>50.6</c:v>
                </c:pt>
                <c:pt idx="49">
                  <c:v>52.61</c:v>
                </c:pt>
                <c:pt idx="50">
                  <c:v>60.17</c:v>
                </c:pt>
                <c:pt idx="51">
                  <c:v>58.7</c:v>
                </c:pt>
                <c:pt idx="52">
                  <c:v>60.4</c:v>
                </c:pt>
                <c:pt idx="53">
                  <c:v>62.2</c:v>
                </c:pt>
                <c:pt idx="54">
                  <c:v>63.42</c:v>
                </c:pt>
                <c:pt idx="55">
                  <c:v>71.19</c:v>
                </c:pt>
                <c:pt idx="56">
                  <c:v>72.16</c:v>
                </c:pt>
                <c:pt idx="57">
                  <c:v>70.510000000000005</c:v>
                </c:pt>
                <c:pt idx="58">
                  <c:v>72.319999999999993</c:v>
                </c:pt>
                <c:pt idx="59">
                  <c:v>74.41</c:v>
                </c:pt>
                <c:pt idx="60">
                  <c:v>72.010000000000005</c:v>
                </c:pt>
                <c:pt idx="61">
                  <c:v>70.37</c:v>
                </c:pt>
                <c:pt idx="62">
                  <c:v>71.319999999999993</c:v>
                </c:pt>
                <c:pt idx="63">
                  <c:v>81.760000000000005</c:v>
                </c:pt>
                <c:pt idx="64">
                  <c:v>85.77</c:v>
                </c:pt>
                <c:pt idx="65">
                  <c:v>86.33</c:v>
                </c:pt>
                <c:pt idx="66">
                  <c:v>82.61</c:v>
                </c:pt>
                <c:pt idx="67">
                  <c:v>83.69</c:v>
                </c:pt>
                <c:pt idx="68">
                  <c:v>87.89</c:v>
                </c:pt>
                <c:pt idx="69">
                  <c:v>84.13</c:v>
                </c:pt>
                <c:pt idx="70">
                  <c:v>74.52</c:v>
                </c:pt>
                <c:pt idx="71">
                  <c:v>80.64</c:v>
                </c:pt>
                <c:pt idx="72">
                  <c:v>77.16</c:v>
                </c:pt>
                <c:pt idx="73">
                  <c:v>84.13</c:v>
                </c:pt>
                <c:pt idx="74">
                  <c:v>89.68</c:v>
                </c:pt>
                <c:pt idx="75">
                  <c:v>70.459999999999994</c:v>
                </c:pt>
                <c:pt idx="76">
                  <c:v>68.180000000000007</c:v>
                </c:pt>
                <c:pt idx="77">
                  <c:v>70.540000000000006</c:v>
                </c:pt>
                <c:pt idx="78">
                  <c:v>68.75</c:v>
                </c:pt>
                <c:pt idx="79">
                  <c:v>72.08</c:v>
                </c:pt>
                <c:pt idx="80">
                  <c:v>73.11</c:v>
                </c:pt>
                <c:pt idx="81">
                  <c:v>68.58</c:v>
                </c:pt>
                <c:pt idx="82">
                  <c:v>67.430000000000007</c:v>
                </c:pt>
                <c:pt idx="83">
                  <c:v>64.86</c:v>
                </c:pt>
                <c:pt idx="84">
                  <c:v>64</c:v>
                </c:pt>
                <c:pt idx="85">
                  <c:v>54.89</c:v>
                </c:pt>
                <c:pt idx="86">
                  <c:v>51.65</c:v>
                </c:pt>
                <c:pt idx="87">
                  <c:v>49.54</c:v>
                </c:pt>
                <c:pt idx="88">
                  <c:v>50.08</c:v>
                </c:pt>
                <c:pt idx="89">
                  <c:v>50.54</c:v>
                </c:pt>
                <c:pt idx="90">
                  <c:v>51.87</c:v>
                </c:pt>
                <c:pt idx="91">
                  <c:v>53.01</c:v>
                </c:pt>
                <c:pt idx="92">
                  <c:v>54.48</c:v>
                </c:pt>
                <c:pt idx="93">
                  <c:v>59.36</c:v>
                </c:pt>
                <c:pt idx="94">
                  <c:v>60.81</c:v>
                </c:pt>
                <c:pt idx="95">
                  <c:v>57.65</c:v>
                </c:pt>
                <c:pt idx="96">
                  <c:v>58.52</c:v>
                </c:pt>
                <c:pt idx="97">
                  <c:v>57.27</c:v>
                </c:pt>
                <c:pt idx="98">
                  <c:v>58.59</c:v>
                </c:pt>
                <c:pt idx="99">
                  <c:v>58.26</c:v>
                </c:pt>
                <c:pt idx="100">
                  <c:v>54.88</c:v>
                </c:pt>
                <c:pt idx="101">
                  <c:v>53.5</c:v>
                </c:pt>
                <c:pt idx="102">
                  <c:v>52.37</c:v>
                </c:pt>
                <c:pt idx="103">
                  <c:v>54.35</c:v>
                </c:pt>
                <c:pt idx="104">
                  <c:v>51.6</c:v>
                </c:pt>
                <c:pt idx="105">
                  <c:v>52.98</c:v>
                </c:pt>
                <c:pt idx="106">
                  <c:v>52.99</c:v>
                </c:pt>
                <c:pt idx="107">
                  <c:v>52.13</c:v>
                </c:pt>
                <c:pt idx="108">
                  <c:v>54.5</c:v>
                </c:pt>
                <c:pt idx="109">
                  <c:v>56.52</c:v>
                </c:pt>
                <c:pt idx="110">
                  <c:v>62.61</c:v>
                </c:pt>
                <c:pt idx="111">
                  <c:v>61.19</c:v>
                </c:pt>
                <c:pt idx="112">
                  <c:v>59.89</c:v>
                </c:pt>
                <c:pt idx="113">
                  <c:v>60.37</c:v>
                </c:pt>
                <c:pt idx="114">
                  <c:v>59.79</c:v>
                </c:pt>
                <c:pt idx="115">
                  <c:v>57.12</c:v>
                </c:pt>
                <c:pt idx="116">
                  <c:v>56.83</c:v>
                </c:pt>
                <c:pt idx="117">
                  <c:v>55.69</c:v>
                </c:pt>
                <c:pt idx="118">
                  <c:v>56.5</c:v>
                </c:pt>
                <c:pt idx="119">
                  <c:v>55.6</c:v>
                </c:pt>
                <c:pt idx="120">
                  <c:v>51.09</c:v>
                </c:pt>
                <c:pt idx="121">
                  <c:v>52.39</c:v>
                </c:pt>
                <c:pt idx="122">
                  <c:v>55.78</c:v>
                </c:pt>
                <c:pt idx="123">
                  <c:v>58.9</c:v>
                </c:pt>
                <c:pt idx="124">
                  <c:v>57.09</c:v>
                </c:pt>
                <c:pt idx="125">
                  <c:v>57.38</c:v>
                </c:pt>
                <c:pt idx="126">
                  <c:v>62.09</c:v>
                </c:pt>
                <c:pt idx="127">
                  <c:v>66.12</c:v>
                </c:pt>
                <c:pt idx="128">
                  <c:v>58.22</c:v>
                </c:pt>
                <c:pt idx="129">
                  <c:v>68.290000000000006</c:v>
                </c:pt>
                <c:pt idx="130">
                  <c:v>71.3</c:v>
                </c:pt>
                <c:pt idx="131">
                  <c:v>72.53</c:v>
                </c:pt>
                <c:pt idx="132">
                  <c:v>74.45</c:v>
                </c:pt>
                <c:pt idx="133">
                  <c:v>73.150000000000006</c:v>
                </c:pt>
                <c:pt idx="134">
                  <c:v>73.510000000000005</c:v>
                </c:pt>
                <c:pt idx="135">
                  <c:v>68.61</c:v>
                </c:pt>
                <c:pt idx="136">
                  <c:v>64.8</c:v>
                </c:pt>
                <c:pt idx="137">
                  <c:v>67.48</c:v>
                </c:pt>
                <c:pt idx="138">
                  <c:v>64.099999999999994</c:v>
                </c:pt>
                <c:pt idx="139">
                  <c:v>66.989999999999995</c:v>
                </c:pt>
                <c:pt idx="140">
                  <c:v>74.150000000000006</c:v>
                </c:pt>
                <c:pt idx="141">
                  <c:v>75.98</c:v>
                </c:pt>
                <c:pt idx="142">
                  <c:v>75.73</c:v>
                </c:pt>
                <c:pt idx="143">
                  <c:v>83.38</c:v>
                </c:pt>
                <c:pt idx="144">
                  <c:v>80.430000000000007</c:v>
                </c:pt>
                <c:pt idx="145">
                  <c:v>85.4</c:v>
                </c:pt>
                <c:pt idx="146">
                  <c:v>85.47</c:v>
                </c:pt>
                <c:pt idx="147">
                  <c:v>77.989999999999995</c:v>
                </c:pt>
                <c:pt idx="148">
                  <c:v>77.56</c:v>
                </c:pt>
                <c:pt idx="149">
                  <c:v>75</c:v>
                </c:pt>
                <c:pt idx="150">
                  <c:v>68.34</c:v>
                </c:pt>
                <c:pt idx="151">
                  <c:v>68.739999999999995</c:v>
                </c:pt>
                <c:pt idx="152">
                  <c:v>70.2</c:v>
                </c:pt>
                <c:pt idx="153">
                  <c:v>70.89</c:v>
                </c:pt>
                <c:pt idx="154">
                  <c:v>68.569999999999993</c:v>
                </c:pt>
                <c:pt idx="155">
                  <c:v>71.662999999999997</c:v>
                </c:pt>
                <c:pt idx="156">
                  <c:v>66.894000000000005</c:v>
                </c:pt>
                <c:pt idx="157">
                  <c:v>71.38</c:v>
                </c:pt>
                <c:pt idx="158">
                  <c:v>74.289000000000001</c:v>
                </c:pt>
                <c:pt idx="159">
                  <c:v>74.588999999999999</c:v>
                </c:pt>
                <c:pt idx="160">
                  <c:v>77.850999999999999</c:v>
                </c:pt>
                <c:pt idx="161">
                  <c:v>75.155000000000001</c:v>
                </c:pt>
                <c:pt idx="162">
                  <c:v>71.888000000000005</c:v>
                </c:pt>
                <c:pt idx="163">
                  <c:v>72.971999999999994</c:v>
                </c:pt>
                <c:pt idx="164">
                  <c:v>68.5</c:v>
                </c:pt>
                <c:pt idx="165">
                  <c:v>69.483000000000004</c:v>
                </c:pt>
                <c:pt idx="166">
                  <c:v>65.905000000000001</c:v>
                </c:pt>
                <c:pt idx="167">
                  <c:v>66.558999999999997</c:v>
                </c:pt>
                <c:pt idx="168">
                  <c:v>61.23</c:v>
                </c:pt>
                <c:pt idx="169">
                  <c:v>63.677</c:v>
                </c:pt>
                <c:pt idx="170">
                  <c:v>63.908000000000001</c:v>
                </c:pt>
                <c:pt idx="171">
                  <c:v>64.247</c:v>
                </c:pt>
                <c:pt idx="172">
                  <c:v>62.591999999999999</c:v>
                </c:pt>
                <c:pt idx="173">
                  <c:v>66.022999999999996</c:v>
                </c:pt>
                <c:pt idx="174">
                  <c:v>62.975000000000001</c:v>
                </c:pt>
                <c:pt idx="175">
                  <c:v>62.720999999999997</c:v>
                </c:pt>
                <c:pt idx="176">
                  <c:v>60.206000000000003</c:v>
                </c:pt>
                <c:pt idx="177">
                  <c:v>56.5</c:v>
                </c:pt>
                <c:pt idx="178">
                  <c:v>58.374000000000002</c:v>
                </c:pt>
                <c:pt idx="179">
                  <c:v>56.789000000000001</c:v>
                </c:pt>
                <c:pt idx="180">
                  <c:v>57.334000000000003</c:v>
                </c:pt>
                <c:pt idx="181">
                  <c:v>55</c:v>
                </c:pt>
                <c:pt idx="182">
                  <c:v>52.924999999999997</c:v>
                </c:pt>
                <c:pt idx="183">
                  <c:v>52.734999999999999</c:v>
                </c:pt>
                <c:pt idx="184">
                  <c:v>55.014000000000003</c:v>
                </c:pt>
                <c:pt idx="185">
                  <c:v>54.225999999999999</c:v>
                </c:pt>
                <c:pt idx="186">
                  <c:v>52.11</c:v>
                </c:pt>
                <c:pt idx="187">
                  <c:v>53.755000000000003</c:v>
                </c:pt>
                <c:pt idx="188">
                  <c:v>52.527999999999999</c:v>
                </c:pt>
                <c:pt idx="189">
                  <c:v>51.052999999999997</c:v>
                </c:pt>
                <c:pt idx="190">
                  <c:v>50.45</c:v>
                </c:pt>
                <c:pt idx="191">
                  <c:v>45.744999999999997</c:v>
                </c:pt>
                <c:pt idx="192">
                  <c:v>46.484999999999999</c:v>
                </c:pt>
                <c:pt idx="193">
                  <c:v>48.42</c:v>
                </c:pt>
                <c:pt idx="194">
                  <c:v>49.610999999999997</c:v>
                </c:pt>
                <c:pt idx="195">
                  <c:v>49.427999999999997</c:v>
                </c:pt>
                <c:pt idx="196">
                  <c:v>52.518999999999998</c:v>
                </c:pt>
                <c:pt idx="197">
                  <c:v>55.634999999999998</c:v>
                </c:pt>
                <c:pt idx="198">
                  <c:v>53.677</c:v>
                </c:pt>
                <c:pt idx="199">
                  <c:v>57.482999999999997</c:v>
                </c:pt>
                <c:pt idx="200">
                  <c:v>58.249000000000002</c:v>
                </c:pt>
                <c:pt idx="201">
                  <c:v>58.715000000000003</c:v>
                </c:pt>
                <c:pt idx="202">
                  <c:v>60.122</c:v>
                </c:pt>
                <c:pt idx="203">
                  <c:v>58.338000000000001</c:v>
                </c:pt>
                <c:pt idx="204">
                  <c:v>63.972999999999999</c:v>
                </c:pt>
                <c:pt idx="205">
                  <c:v>63.390999999999998</c:v>
                </c:pt>
                <c:pt idx="206">
                  <c:v>57.061</c:v>
                </c:pt>
                <c:pt idx="207">
                  <c:v>59.356000000000002</c:v>
                </c:pt>
                <c:pt idx="208">
                  <c:v>56.726999999999997</c:v>
                </c:pt>
                <c:pt idx="209">
                  <c:v>54.241</c:v>
                </c:pt>
                <c:pt idx="210">
                  <c:v>54.241</c:v>
                </c:pt>
                <c:pt idx="211">
                  <c:v>58.886000000000003</c:v>
                </c:pt>
                <c:pt idx="212">
                  <c:v>58.280999999999999</c:v>
                </c:pt>
                <c:pt idx="213">
                  <c:v>55.536999999999999</c:v>
                </c:pt>
                <c:pt idx="214">
                  <c:v>52.274999999999999</c:v>
                </c:pt>
                <c:pt idx="215">
                  <c:v>48.72</c:v>
                </c:pt>
                <c:pt idx="216">
                  <c:v>49.198999999999998</c:v>
                </c:pt>
                <c:pt idx="217">
                  <c:v>54.848999999999997</c:v>
                </c:pt>
                <c:pt idx="218">
                  <c:v>54.863</c:v>
                </c:pt>
                <c:pt idx="219">
                  <c:v>44.853999999999999</c:v>
                </c:pt>
                <c:pt idx="220">
                  <c:v>48.694000000000003</c:v>
                </c:pt>
                <c:pt idx="221">
                  <c:v>58.325000000000003</c:v>
                </c:pt>
                <c:pt idx="222">
                  <c:v>55.851999999999997</c:v>
                </c:pt>
                <c:pt idx="223">
                  <c:v>56.878</c:v>
                </c:pt>
                <c:pt idx="224">
                  <c:v>60.691000000000003</c:v>
                </c:pt>
                <c:pt idx="225">
                  <c:v>60.451000000000001</c:v>
                </c:pt>
                <c:pt idx="226">
                  <c:v>64.742999999999995</c:v>
                </c:pt>
                <c:pt idx="227">
                  <c:v>65.16</c:v>
                </c:pt>
                <c:pt idx="228">
                  <c:v>63.377000000000002</c:v>
                </c:pt>
                <c:pt idx="229">
                  <c:v>59.679000000000002</c:v>
                </c:pt>
                <c:pt idx="230">
                  <c:v>60.210999999999999</c:v>
                </c:pt>
                <c:pt idx="231">
                  <c:v>64.869</c:v>
                </c:pt>
                <c:pt idx="232">
                  <c:v>68.819999999999993</c:v>
                </c:pt>
                <c:pt idx="233">
                  <c:v>72.566999999999993</c:v>
                </c:pt>
                <c:pt idx="234">
                  <c:v>72.665000000000006</c:v>
                </c:pt>
                <c:pt idx="235">
                  <c:v>76.980999999999995</c:v>
                </c:pt>
                <c:pt idx="236">
                  <c:v>72.320999999999998</c:v>
                </c:pt>
                <c:pt idx="237">
                  <c:v>75.572999999999993</c:v>
                </c:pt>
                <c:pt idx="238">
                  <c:v>78.680999999999997</c:v>
                </c:pt>
                <c:pt idx="239">
                  <c:v>76</c:v>
                </c:pt>
                <c:pt idx="240">
                  <c:v>73.102999999999994</c:v>
                </c:pt>
                <c:pt idx="241">
                  <c:v>72.13</c:v>
                </c:pt>
                <c:pt idx="242">
                  <c:v>73.180999999999997</c:v>
                </c:pt>
                <c:pt idx="243">
                  <c:v>67.015000000000001</c:v>
                </c:pt>
                <c:pt idx="244">
                  <c:v>72.858000000000004</c:v>
                </c:pt>
                <c:pt idx="245">
                  <c:v>81.543999999999997</c:v>
                </c:pt>
                <c:pt idx="246">
                  <c:v>82.394000000000005</c:v>
                </c:pt>
                <c:pt idx="247">
                  <c:v>74.403999999999996</c:v>
                </c:pt>
                <c:pt idx="248">
                  <c:v>72.486000000000004</c:v>
                </c:pt>
                <c:pt idx="249">
                  <c:v>59.162999999999997</c:v>
                </c:pt>
                <c:pt idx="250">
                  <c:v>64.852000000000004</c:v>
                </c:pt>
                <c:pt idx="251">
                  <c:v>77.603999999999999</c:v>
                </c:pt>
                <c:pt idx="252">
                  <c:v>91.741</c:v>
                </c:pt>
                <c:pt idx="253">
                  <c:v>76.283000000000001</c:v>
                </c:pt>
                <c:pt idx="254">
                  <c:v>93.799000000000007</c:v>
                </c:pt>
                <c:pt idx="255">
                  <c:v>93.9</c:v>
                </c:pt>
                <c:pt idx="256">
                  <c:v>99.995999999999995</c:v>
                </c:pt>
                <c:pt idx="257">
                  <c:v>94.718999999999994</c:v>
                </c:pt>
                <c:pt idx="258">
                  <c:v>108.51</c:v>
                </c:pt>
                <c:pt idx="259">
                  <c:v>105.072</c:v>
                </c:pt>
                <c:pt idx="260">
                  <c:v>106.262</c:v>
                </c:pt>
                <c:pt idx="261">
                  <c:v>112.755</c:v>
                </c:pt>
                <c:pt idx="262">
                  <c:v>107.666</c:v>
                </c:pt>
                <c:pt idx="263">
                  <c:v>118.113</c:v>
                </c:pt>
                <c:pt idx="264">
                  <c:v>106.702</c:v>
                </c:pt>
                <c:pt idx="265">
                  <c:v>97.524000000000001</c:v>
                </c:pt>
                <c:pt idx="266">
                  <c:v>102.99299999999999</c:v>
                </c:pt>
                <c:pt idx="267">
                  <c:v>101.712</c:v>
                </c:pt>
                <c:pt idx="268">
                  <c:v>92.611000000000004</c:v>
                </c:pt>
                <c:pt idx="269">
                  <c:v>95.566999999999993</c:v>
                </c:pt>
                <c:pt idx="270">
                  <c:v>87.347999999999999</c:v>
                </c:pt>
                <c:pt idx="271">
                  <c:v>87.554000000000002</c:v>
                </c:pt>
                <c:pt idx="272">
                  <c:v>89.251000000000005</c:v>
                </c:pt>
                <c:pt idx="273">
                  <c:v>88.855000000000004</c:v>
                </c:pt>
                <c:pt idx="274">
                  <c:v>94.436000000000007</c:v>
                </c:pt>
                <c:pt idx="275">
                  <c:v>93.147000000000006</c:v>
                </c:pt>
                <c:pt idx="276">
                  <c:v>85.387</c:v>
                </c:pt>
                <c:pt idx="277">
                  <c:v>73.158000000000001</c:v>
                </c:pt>
                <c:pt idx="278">
                  <c:v>74.102000000000004</c:v>
                </c:pt>
                <c:pt idx="279">
                  <c:v>80.296999999999997</c:v>
                </c:pt>
                <c:pt idx="280">
                  <c:v>68.058999999999997</c:v>
                </c:pt>
                <c:pt idx="281">
                  <c:v>76</c:v>
                </c:pt>
                <c:pt idx="282">
                  <c:v>74.134</c:v>
                </c:pt>
                <c:pt idx="283">
                  <c:v>60.86</c:v>
                </c:pt>
                <c:pt idx="284">
                  <c:v>63.981999999999999</c:v>
                </c:pt>
                <c:pt idx="285">
                  <c:v>71.867000000000004</c:v>
                </c:pt>
                <c:pt idx="286">
                  <c:v>67.858999999999995</c:v>
                </c:pt>
                <c:pt idx="287">
                  <c:v>76.8</c:v>
                </c:pt>
                <c:pt idx="288">
                  <c:v>62.256</c:v>
                </c:pt>
                <c:pt idx="289">
                  <c:v>59.387</c:v>
                </c:pt>
                <c:pt idx="290">
                  <c:v>57.423999999999999</c:v>
                </c:pt>
                <c:pt idx="291">
                  <c:v>56.935000000000002</c:v>
                </c:pt>
                <c:pt idx="292">
                  <c:v>57.496000000000002</c:v>
                </c:pt>
                <c:pt idx="293">
                  <c:v>59.515999999999998</c:v>
                </c:pt>
                <c:pt idx="294">
                  <c:v>57.453000000000003</c:v>
                </c:pt>
                <c:pt idx="295">
                  <c:v>52.698999999999998</c:v>
                </c:pt>
                <c:pt idx="296">
                  <c:v>57.348999999999997</c:v>
                </c:pt>
                <c:pt idx="297">
                  <c:v>57.677999999999997</c:v>
                </c:pt>
                <c:pt idx="298">
                  <c:v>59.1</c:v>
                </c:pt>
                <c:pt idx="299">
                  <c:v>56.44</c:v>
                </c:pt>
                <c:pt idx="300">
                  <c:v>63.055999999999997</c:v>
                </c:pt>
                <c:pt idx="301">
                  <c:v>63.182000000000002</c:v>
                </c:pt>
                <c:pt idx="302">
                  <c:v>60.081000000000003</c:v>
                </c:pt>
                <c:pt idx="303">
                  <c:v>54.792000000000002</c:v>
                </c:pt>
                <c:pt idx="304">
                  <c:v>47.198</c:v>
                </c:pt>
                <c:pt idx="305">
                  <c:v>46.372</c:v>
                </c:pt>
                <c:pt idx="306">
                  <c:v>45.252000000000002</c:v>
                </c:pt>
                <c:pt idx="307">
                  <c:v>45.994</c:v>
                </c:pt>
                <c:pt idx="308">
                  <c:v>41.136000000000003</c:v>
                </c:pt>
                <c:pt idx="309">
                  <c:v>40.253999999999998</c:v>
                </c:pt>
                <c:pt idx="310">
                  <c:v>43.353999999999999</c:v>
                </c:pt>
                <c:pt idx="311">
                  <c:v>45.250999999999998</c:v>
                </c:pt>
                <c:pt idx="312">
                  <c:v>46.003999999999998</c:v>
                </c:pt>
                <c:pt idx="313">
                  <c:v>47.86</c:v>
                </c:pt>
                <c:pt idx="314">
                  <c:v>47.81</c:v>
                </c:pt>
                <c:pt idx="315">
                  <c:v>46.777000000000001</c:v>
                </c:pt>
                <c:pt idx="316">
                  <c:v>47.914000000000001</c:v>
                </c:pt>
                <c:pt idx="317">
                  <c:v>46.798999999999999</c:v>
                </c:pt>
                <c:pt idx="318">
                  <c:v>46.3</c:v>
                </c:pt>
                <c:pt idx="319">
                  <c:v>48</c:v>
                </c:pt>
                <c:pt idx="320">
                  <c:v>50.36</c:v>
                </c:pt>
                <c:pt idx="321">
                  <c:v>46.000999999999998</c:v>
                </c:pt>
                <c:pt idx="322">
                  <c:v>48.875999999999998</c:v>
                </c:pt>
                <c:pt idx="323">
                  <c:v>49.2</c:v>
                </c:pt>
                <c:pt idx="324">
                  <c:v>52.38</c:v>
                </c:pt>
                <c:pt idx="325">
                  <c:v>52.984999999999999</c:v>
                </c:pt>
                <c:pt idx="326">
                  <c:v>50.914000000000001</c:v>
                </c:pt>
                <c:pt idx="327">
                  <c:v>50.44</c:v>
                </c:pt>
                <c:pt idx="328">
                  <c:v>46.301000000000002</c:v>
                </c:pt>
                <c:pt idx="329">
                  <c:v>44.914000000000001</c:v>
                </c:pt>
                <c:pt idx="330">
                  <c:v>46.662999999999997</c:v>
                </c:pt>
                <c:pt idx="331">
                  <c:v>46.481000000000002</c:v>
                </c:pt>
                <c:pt idx="332">
                  <c:v>45.1</c:v>
                </c:pt>
                <c:pt idx="333">
                  <c:v>42</c:v>
                </c:pt>
                <c:pt idx="334">
                  <c:v>42.36</c:v>
                </c:pt>
                <c:pt idx="335">
                  <c:v>41.582000000000001</c:v>
                </c:pt>
                <c:pt idx="336">
                  <c:v>44.432000000000002</c:v>
                </c:pt>
                <c:pt idx="337">
                  <c:v>47.097999999999999</c:v>
                </c:pt>
                <c:pt idx="338">
                  <c:v>46.758000000000003</c:v>
                </c:pt>
                <c:pt idx="339">
                  <c:v>56.491</c:v>
                </c:pt>
                <c:pt idx="340">
                  <c:v>61.767000000000003</c:v>
                </c:pt>
                <c:pt idx="341">
                  <c:v>64.465999999999994</c:v>
                </c:pt>
                <c:pt idx="342">
                  <c:v>67.799000000000007</c:v>
                </c:pt>
                <c:pt idx="343">
                  <c:v>67.78</c:v>
                </c:pt>
                <c:pt idx="344">
                  <c:v>63.470999999999997</c:v>
                </c:pt>
                <c:pt idx="345">
                  <c:v>58.216999999999999</c:v>
                </c:pt>
                <c:pt idx="346">
                  <c:v>54.881</c:v>
                </c:pt>
                <c:pt idx="347">
                  <c:v>57.692</c:v>
                </c:pt>
                <c:pt idx="348">
                  <c:v>64.656000000000006</c:v>
                </c:pt>
                <c:pt idx="349">
                  <c:v>61.741</c:v>
                </c:pt>
                <c:pt idx="350">
                  <c:v>59.420999999999999</c:v>
                </c:pt>
                <c:pt idx="351">
                  <c:v>53.055</c:v>
                </c:pt>
                <c:pt idx="352">
                  <c:v>56.99</c:v>
                </c:pt>
                <c:pt idx="353">
                  <c:v>53.991</c:v>
                </c:pt>
                <c:pt idx="354">
                  <c:v>51.9</c:v>
                </c:pt>
                <c:pt idx="355">
                  <c:v>55.335000000000001</c:v>
                </c:pt>
                <c:pt idx="356">
                  <c:v>60.091000000000001</c:v>
                </c:pt>
                <c:pt idx="357">
                  <c:v>59.912999999999997</c:v>
                </c:pt>
                <c:pt idx="358">
                  <c:v>52.389000000000003</c:v>
                </c:pt>
                <c:pt idx="359">
                  <c:v>44.115000000000002</c:v>
                </c:pt>
                <c:pt idx="360">
                  <c:v>41.481000000000002</c:v>
                </c:pt>
                <c:pt idx="361">
                  <c:v>39.244999999999997</c:v>
                </c:pt>
                <c:pt idx="362">
                  <c:v>41.006999999999998</c:v>
                </c:pt>
                <c:pt idx="363">
                  <c:v>42.75</c:v>
                </c:pt>
                <c:pt idx="364">
                  <c:v>44.51</c:v>
                </c:pt>
                <c:pt idx="365">
                  <c:v>39.991</c:v>
                </c:pt>
                <c:pt idx="366">
                  <c:v>45.161999999999999</c:v>
                </c:pt>
                <c:pt idx="367">
                  <c:v>47.037999999999997</c:v>
                </c:pt>
                <c:pt idx="368">
                  <c:v>50.076000000000001</c:v>
                </c:pt>
                <c:pt idx="369">
                  <c:v>44.561</c:v>
                </c:pt>
                <c:pt idx="370">
                  <c:v>44.917999999999999</c:v>
                </c:pt>
                <c:pt idx="371">
                  <c:v>36.664000000000001</c:v>
                </c:pt>
                <c:pt idx="372">
                  <c:v>41.573</c:v>
                </c:pt>
                <c:pt idx="373">
                  <c:v>44.454000000000001</c:v>
                </c:pt>
                <c:pt idx="374">
                  <c:v>33.755000000000003</c:v>
                </c:pt>
                <c:pt idx="375">
                  <c:v>33.122</c:v>
                </c:pt>
                <c:pt idx="376">
                  <c:v>32.701999999999998</c:v>
                </c:pt>
                <c:pt idx="377">
                  <c:v>31.446000000000002</c:v>
                </c:pt>
                <c:pt idx="378">
                  <c:v>33.340000000000003</c:v>
                </c:pt>
                <c:pt idx="379">
                  <c:v>35.344000000000001</c:v>
                </c:pt>
                <c:pt idx="380">
                  <c:v>29.704000000000001</c:v>
                </c:pt>
                <c:pt idx="381">
                  <c:v>27.068999999999999</c:v>
                </c:pt>
                <c:pt idx="382">
                  <c:v>28.663</c:v>
                </c:pt>
                <c:pt idx="383">
                  <c:v>29.672000000000001</c:v>
                </c:pt>
                <c:pt idx="384">
                  <c:v>29.927</c:v>
                </c:pt>
                <c:pt idx="385">
                  <c:v>29.706</c:v>
                </c:pt>
                <c:pt idx="386">
                  <c:v>31.192</c:v>
                </c:pt>
                <c:pt idx="387">
                  <c:v>31.838999999999999</c:v>
                </c:pt>
                <c:pt idx="388">
                  <c:v>30.355</c:v>
                </c:pt>
                <c:pt idx="389">
                  <c:v>26.119</c:v>
                </c:pt>
                <c:pt idx="390">
                  <c:v>22.968</c:v>
                </c:pt>
                <c:pt idx="391">
                  <c:v>23.698</c:v>
                </c:pt>
                <c:pt idx="392">
                  <c:v>23.067</c:v>
                </c:pt>
                <c:pt idx="393">
                  <c:v>22.004000000000001</c:v>
                </c:pt>
                <c:pt idx="394">
                  <c:v>18.95</c:v>
                </c:pt>
                <c:pt idx="395">
                  <c:v>17.585999999999999</c:v>
                </c:pt>
                <c:pt idx="396">
                  <c:v>17.012</c:v>
                </c:pt>
                <c:pt idx="397">
                  <c:v>16.439</c:v>
                </c:pt>
                <c:pt idx="398">
                  <c:v>16.716999999999999</c:v>
                </c:pt>
                <c:pt idx="399">
                  <c:v>16.452000000000002</c:v>
                </c:pt>
                <c:pt idx="400">
                  <c:v>16.047999999999998</c:v>
                </c:pt>
                <c:pt idx="401">
                  <c:v>17.408000000000001</c:v>
                </c:pt>
                <c:pt idx="402">
                  <c:v>16.937999999999999</c:v>
                </c:pt>
                <c:pt idx="403">
                  <c:v>17.881</c:v>
                </c:pt>
                <c:pt idx="404">
                  <c:v>17.971</c:v>
                </c:pt>
                <c:pt idx="405">
                  <c:v>17.998000000000001</c:v>
                </c:pt>
                <c:pt idx="406">
                  <c:v>17.288</c:v>
                </c:pt>
                <c:pt idx="407">
                  <c:v>17.131</c:v>
                </c:pt>
                <c:pt idx="408">
                  <c:v>16.8</c:v>
                </c:pt>
                <c:pt idx="409">
                  <c:v>17.498000000000001</c:v>
                </c:pt>
                <c:pt idx="410">
                  <c:v>19.54</c:v>
                </c:pt>
                <c:pt idx="411">
                  <c:v>19.422000000000001</c:v>
                </c:pt>
                <c:pt idx="412">
                  <c:v>18.780999999999999</c:v>
                </c:pt>
                <c:pt idx="413">
                  <c:v>18.474</c:v>
                </c:pt>
                <c:pt idx="414">
                  <c:v>20.504999999999999</c:v>
                </c:pt>
                <c:pt idx="415">
                  <c:v>19.608000000000001</c:v>
                </c:pt>
                <c:pt idx="416">
                  <c:v>22.727</c:v>
                </c:pt>
                <c:pt idx="417">
                  <c:v>22.751000000000001</c:v>
                </c:pt>
                <c:pt idx="418">
                  <c:v>22.152000000000001</c:v>
                </c:pt>
                <c:pt idx="419">
                  <c:v>21.187999999999999</c:v>
                </c:pt>
                <c:pt idx="420">
                  <c:v>22.946000000000002</c:v>
                </c:pt>
                <c:pt idx="421">
                  <c:v>22.177</c:v>
                </c:pt>
                <c:pt idx="422">
                  <c:v>20.895</c:v>
                </c:pt>
                <c:pt idx="423">
                  <c:v>22.751000000000001</c:v>
                </c:pt>
                <c:pt idx="424">
                  <c:v>22.099</c:v>
                </c:pt>
                <c:pt idx="425">
                  <c:v>21.164999999999999</c:v>
                </c:pt>
                <c:pt idx="426">
                  <c:v>19.890999999999998</c:v>
                </c:pt>
                <c:pt idx="427">
                  <c:v>20.466999999999999</c:v>
                </c:pt>
                <c:pt idx="428">
                  <c:v>23.094999999999999</c:v>
                </c:pt>
                <c:pt idx="429">
                  <c:v>25.734000000000002</c:v>
                </c:pt>
                <c:pt idx="430">
                  <c:v>27.03</c:v>
                </c:pt>
                <c:pt idx="431">
                  <c:v>27.047999999999998</c:v>
                </c:pt>
                <c:pt idx="432">
                  <c:v>27.6</c:v>
                </c:pt>
                <c:pt idx="433">
                  <c:v>26.422000000000001</c:v>
                </c:pt>
                <c:pt idx="434">
                  <c:v>24.9</c:v>
                </c:pt>
                <c:pt idx="435">
                  <c:v>25.861999999999998</c:v>
                </c:pt>
                <c:pt idx="436">
                  <c:v>27.164999999999999</c:v>
                </c:pt>
                <c:pt idx="437">
                  <c:v>25.83</c:v>
                </c:pt>
                <c:pt idx="438">
                  <c:v>23.311</c:v>
                </c:pt>
                <c:pt idx="439">
                  <c:v>22.632999999999999</c:v>
                </c:pt>
                <c:pt idx="440">
                  <c:v>23.186</c:v>
                </c:pt>
                <c:pt idx="441">
                  <c:v>23.091999999999999</c:v>
                </c:pt>
                <c:pt idx="442">
                  <c:v>23.047000000000001</c:v>
                </c:pt>
                <c:pt idx="443">
                  <c:v>22.6</c:v>
                </c:pt>
                <c:pt idx="444">
                  <c:v>21.446000000000002</c:v>
                </c:pt>
                <c:pt idx="445">
                  <c:v>21.425999999999998</c:v>
                </c:pt>
                <c:pt idx="446">
                  <c:v>20.692</c:v>
                </c:pt>
                <c:pt idx="447">
                  <c:v>22.126999999999999</c:v>
                </c:pt>
                <c:pt idx="448">
                  <c:v>19.756</c:v>
                </c:pt>
                <c:pt idx="449">
                  <c:v>18.853999999999999</c:v>
                </c:pt>
                <c:pt idx="450">
                  <c:v>18.95</c:v>
                </c:pt>
                <c:pt idx="451">
                  <c:v>20.071000000000002</c:v>
                </c:pt>
                <c:pt idx="452">
                  <c:v>21.899000000000001</c:v>
                </c:pt>
                <c:pt idx="453">
                  <c:v>21.149000000000001</c:v>
                </c:pt>
                <c:pt idx="454">
                  <c:v>21.169</c:v>
                </c:pt>
                <c:pt idx="455">
                  <c:v>22.951000000000001</c:v>
                </c:pt>
                <c:pt idx="456">
                  <c:v>24.437000000000001</c:v>
                </c:pt>
                <c:pt idx="457">
                  <c:v>26.385999999999999</c:v>
                </c:pt>
                <c:pt idx="458">
                  <c:v>27.210999999999999</c:v>
                </c:pt>
                <c:pt idx="459">
                  <c:v>27.495000000000001</c:v>
                </c:pt>
                <c:pt idx="460">
                  <c:v>28.265999999999998</c:v>
                </c:pt>
                <c:pt idx="461">
                  <c:v>27.838000000000001</c:v>
                </c:pt>
                <c:pt idx="462">
                  <c:v>29.122</c:v>
                </c:pt>
                <c:pt idx="463">
                  <c:v>26.271999999999998</c:v>
                </c:pt>
                <c:pt idx="464">
                  <c:v>25.029</c:v>
                </c:pt>
                <c:pt idx="465">
                  <c:v>28.939</c:v>
                </c:pt>
                <c:pt idx="466">
                  <c:v>29.643000000000001</c:v>
                </c:pt>
                <c:pt idx="467">
                  <c:v>29.448</c:v>
                </c:pt>
                <c:pt idx="468">
                  <c:v>29.553000000000001</c:v>
                </c:pt>
                <c:pt idx="469">
                  <c:v>32.055999999999997</c:v>
                </c:pt>
                <c:pt idx="470">
                  <c:v>33.945999999999998</c:v>
                </c:pt>
                <c:pt idx="471">
                  <c:v>35.539000000000001</c:v>
                </c:pt>
                <c:pt idx="472">
                  <c:v>36.246000000000002</c:v>
                </c:pt>
                <c:pt idx="473">
                  <c:v>32.545000000000002</c:v>
                </c:pt>
                <c:pt idx="474">
                  <c:v>32.829000000000001</c:v>
                </c:pt>
                <c:pt idx="475">
                  <c:v>33.35</c:v>
                </c:pt>
                <c:pt idx="476">
                  <c:v>29.164999999999999</c:v>
                </c:pt>
                <c:pt idx="477">
                  <c:v>28.657</c:v>
                </c:pt>
                <c:pt idx="478">
                  <c:v>27.689</c:v>
                </c:pt>
                <c:pt idx="479">
                  <c:v>31.501000000000001</c:v>
                </c:pt>
                <c:pt idx="480">
                  <c:v>32.164999999999999</c:v>
                </c:pt>
                <c:pt idx="481">
                  <c:v>32.372</c:v>
                </c:pt>
                <c:pt idx="482">
                  <c:v>33.600999999999999</c:v>
                </c:pt>
                <c:pt idx="483">
                  <c:v>34.25</c:v>
                </c:pt>
                <c:pt idx="484">
                  <c:v>36.286000000000001</c:v>
                </c:pt>
                <c:pt idx="485">
                  <c:v>38.658999999999999</c:v>
                </c:pt>
                <c:pt idx="486">
                  <c:v>38.5</c:v>
                </c:pt>
                <c:pt idx="487">
                  <c:v>38.607999999999997</c:v>
                </c:pt>
                <c:pt idx="488">
                  <c:v>41.2</c:v>
                </c:pt>
                <c:pt idx="489">
                  <c:v>39.694000000000003</c:v>
                </c:pt>
                <c:pt idx="490">
                  <c:v>38.372999999999998</c:v>
                </c:pt>
                <c:pt idx="491">
                  <c:v>35.36</c:v>
                </c:pt>
                <c:pt idx="492">
                  <c:v>39.578000000000003</c:v>
                </c:pt>
                <c:pt idx="493">
                  <c:v>38.323999999999998</c:v>
                </c:pt>
                <c:pt idx="494">
                  <c:v>39.965000000000003</c:v>
                </c:pt>
                <c:pt idx="495">
                  <c:v>42.518000000000001</c:v>
                </c:pt>
                <c:pt idx="496">
                  <c:v>45.933</c:v>
                </c:pt>
                <c:pt idx="497">
                  <c:v>48.475999999999999</c:v>
                </c:pt>
                <c:pt idx="498">
                  <c:v>49.673000000000002</c:v>
                </c:pt>
                <c:pt idx="499">
                  <c:v>49.902999999999999</c:v>
                </c:pt>
                <c:pt idx="500">
                  <c:v>62.256999999999998</c:v>
                </c:pt>
                <c:pt idx="501">
                  <c:v>52.3</c:v>
                </c:pt>
                <c:pt idx="502">
                  <c:v>57.58</c:v>
                </c:pt>
                <c:pt idx="503">
                  <c:v>48.531999999999996</c:v>
                </c:pt>
                <c:pt idx="504">
                  <c:v>40.749000000000002</c:v>
                </c:pt>
                <c:pt idx="505">
                  <c:v>38.588000000000001</c:v>
                </c:pt>
                <c:pt idx="506">
                  <c:v>36.347999999999999</c:v>
                </c:pt>
                <c:pt idx="507">
                  <c:v>40.292000000000002</c:v>
                </c:pt>
                <c:pt idx="508">
                  <c:v>38.96</c:v>
                </c:pt>
                <c:pt idx="509">
                  <c:v>34.383000000000003</c:v>
                </c:pt>
                <c:pt idx="510">
                  <c:v>42.975999999999999</c:v>
                </c:pt>
                <c:pt idx="511">
                  <c:v>45.488999999999997</c:v>
                </c:pt>
                <c:pt idx="512">
                  <c:v>60.006999999999998</c:v>
                </c:pt>
                <c:pt idx="513">
                  <c:v>72.465999999999994</c:v>
                </c:pt>
                <c:pt idx="514">
                  <c:v>62</c:v>
                </c:pt>
                <c:pt idx="515">
                  <c:v>75.421999999999997</c:v>
                </c:pt>
                <c:pt idx="516">
                  <c:v>50</c:v>
                </c:pt>
                <c:pt idx="517">
                  <c:v>47.52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4-4501-BBC7-324CFE5498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-9.5761444704373921E-3</c:v>
                </c:pt>
                <c:pt idx="1">
                  <c:v>-9.5688886704373925E-3</c:v>
                </c:pt>
                <c:pt idx="2">
                  <c:v>-9.4652662813256433E-3</c:v>
                </c:pt>
                <c:pt idx="3">
                  <c:v>-9.3683816348391572E-3</c:v>
                </c:pt>
                <c:pt idx="4">
                  <c:v>-9.3918345522825651E-3</c:v>
                </c:pt>
                <c:pt idx="5">
                  <c:v>-9.4697947246963603E-3</c:v>
                </c:pt>
                <c:pt idx="6">
                  <c:v>-9.3471168431213236E-3</c:v>
                </c:pt>
                <c:pt idx="7">
                  <c:v>-9.101317006191401E-3</c:v>
                </c:pt>
                <c:pt idx="8">
                  <c:v>-8.8319138538999788E-3</c:v>
                </c:pt>
                <c:pt idx="9">
                  <c:v>-8.7098704555181022E-3</c:v>
                </c:pt>
                <c:pt idx="10">
                  <c:v>-8.6531578822196739E-3</c:v>
                </c:pt>
                <c:pt idx="11">
                  <c:v>-8.579108914270956E-3</c:v>
                </c:pt>
                <c:pt idx="12">
                  <c:v>-8.6273303822709552E-3</c:v>
                </c:pt>
                <c:pt idx="13">
                  <c:v>-8.5958396953144337E-3</c:v>
                </c:pt>
                <c:pt idx="14">
                  <c:v>-8.5017980088737538E-3</c:v>
                </c:pt>
                <c:pt idx="15">
                  <c:v>-8.3589435427046006E-3</c:v>
                </c:pt>
                <c:pt idx="16">
                  <c:v>-8.3771083817547332E-3</c:v>
                </c:pt>
                <c:pt idx="17">
                  <c:v>-8.388901885326162E-3</c:v>
                </c:pt>
                <c:pt idx="18">
                  <c:v>-8.3897301352117443E-3</c:v>
                </c:pt>
                <c:pt idx="19">
                  <c:v>-8.3713587912117443E-3</c:v>
                </c:pt>
                <c:pt idx="20">
                  <c:v>-8.278232834835907E-3</c:v>
                </c:pt>
                <c:pt idx="21">
                  <c:v>-8.2272398757095404E-3</c:v>
                </c:pt>
                <c:pt idx="22">
                  <c:v>-8.4039465573762066E-3</c:v>
                </c:pt>
                <c:pt idx="23">
                  <c:v>-8.3070072826403763E-3</c:v>
                </c:pt>
                <c:pt idx="24">
                  <c:v>-8.2895481350879277E-3</c:v>
                </c:pt>
                <c:pt idx="25">
                  <c:v>-8.2163694044958234E-3</c:v>
                </c:pt>
                <c:pt idx="26">
                  <c:v>-8.2799213749391726E-3</c:v>
                </c:pt>
                <c:pt idx="27">
                  <c:v>-8.4122703759955102E-3</c:v>
                </c:pt>
                <c:pt idx="28">
                  <c:v>-8.3748742130741616E-3</c:v>
                </c:pt>
                <c:pt idx="29">
                  <c:v>-8.3721374827711303E-3</c:v>
                </c:pt>
                <c:pt idx="30">
                  <c:v>-8.2191455804455481E-3</c:v>
                </c:pt>
                <c:pt idx="31">
                  <c:v>-8.1066917480977219E-3</c:v>
                </c:pt>
                <c:pt idx="32">
                  <c:v>-8.0370462385283455E-3</c:v>
                </c:pt>
                <c:pt idx="33">
                  <c:v>-8.051812567005167E-3</c:v>
                </c:pt>
                <c:pt idx="34">
                  <c:v>-8.0398928010792427E-3</c:v>
                </c:pt>
                <c:pt idx="35">
                  <c:v>-8.1061094198671205E-3</c:v>
                </c:pt>
                <c:pt idx="36">
                  <c:v>-8.5273046357226927E-3</c:v>
                </c:pt>
                <c:pt idx="37">
                  <c:v>-8.3657953711393594E-3</c:v>
                </c:pt>
                <c:pt idx="38">
                  <c:v>-8.5422791273893576E-3</c:v>
                </c:pt>
                <c:pt idx="39">
                  <c:v>-8.5249119763255287E-3</c:v>
                </c:pt>
                <c:pt idx="40">
                  <c:v>-8.4941511514310137E-3</c:v>
                </c:pt>
                <c:pt idx="41">
                  <c:v>-8.9012765978310135E-3</c:v>
                </c:pt>
                <c:pt idx="42">
                  <c:v>-9.0393123260043892E-3</c:v>
                </c:pt>
                <c:pt idx="43">
                  <c:v>-8.4200595718019865E-3</c:v>
                </c:pt>
                <c:pt idx="44">
                  <c:v>-9.1051186395185255E-3</c:v>
                </c:pt>
                <c:pt idx="45">
                  <c:v>-1.2788232425645692E-2</c:v>
                </c:pt>
                <c:pt idx="46">
                  <c:v>-1.2803075096782718E-2</c:v>
                </c:pt>
                <c:pt idx="47">
                  <c:v>-1.2767407579322402E-2</c:v>
                </c:pt>
                <c:pt idx="48">
                  <c:v>-1.2768606131864774E-2</c:v>
                </c:pt>
                <c:pt idx="49">
                  <c:v>-1.2433010316461353E-2</c:v>
                </c:pt>
                <c:pt idx="50">
                  <c:v>-1.2237847416461353E-2</c:v>
                </c:pt>
                <c:pt idx="51">
                  <c:v>-1.250186321714864E-2</c:v>
                </c:pt>
                <c:pt idx="52">
                  <c:v>-1.2399857046814653E-2</c:v>
                </c:pt>
                <c:pt idx="53">
                  <c:v>-1.2564338755800158E-2</c:v>
                </c:pt>
                <c:pt idx="54">
                  <c:v>-1.251611150149552E-2</c:v>
                </c:pt>
                <c:pt idx="55">
                  <c:v>-1.2574526537051078E-2</c:v>
                </c:pt>
                <c:pt idx="56">
                  <c:v>-1.2506638869789173E-2</c:v>
                </c:pt>
                <c:pt idx="57">
                  <c:v>-1.2625218153847144E-2</c:v>
                </c:pt>
                <c:pt idx="58">
                  <c:v>-1.2512213826665937E-2</c:v>
                </c:pt>
                <c:pt idx="59">
                  <c:v>-1.2407386990173045E-2</c:v>
                </c:pt>
                <c:pt idx="60">
                  <c:v>-1.245525396468632E-2</c:v>
                </c:pt>
                <c:pt idx="61">
                  <c:v>-1.2550503399277513E-2</c:v>
                </c:pt>
                <c:pt idx="62">
                  <c:v>-1.2459002000135883E-2</c:v>
                </c:pt>
                <c:pt idx="63">
                  <c:v>-1.2218578388360839E-2</c:v>
                </c:pt>
                <c:pt idx="64">
                  <c:v>-1.2222897149622101E-2</c:v>
                </c:pt>
                <c:pt idx="65">
                  <c:v>-1.2202051376568209E-2</c:v>
                </c:pt>
                <c:pt idx="66">
                  <c:v>-1.2307902472747984E-2</c:v>
                </c:pt>
                <c:pt idx="67">
                  <c:v>-1.2149905802579916E-2</c:v>
                </c:pt>
                <c:pt idx="68">
                  <c:v>-1.1992363102579916E-2</c:v>
                </c:pt>
                <c:pt idx="69">
                  <c:v>-1.2004543167693098E-2</c:v>
                </c:pt>
                <c:pt idx="70">
                  <c:v>-1.2158180647078709E-2</c:v>
                </c:pt>
                <c:pt idx="71">
                  <c:v>-1.1858582766162676E-2</c:v>
                </c:pt>
                <c:pt idx="72">
                  <c:v>-1.1999966853583262E-2</c:v>
                </c:pt>
                <c:pt idx="73">
                  <c:v>-1.1545288759534103E-2</c:v>
                </c:pt>
                <c:pt idx="74">
                  <c:v>-1.0387551459534102E-2</c:v>
                </c:pt>
                <c:pt idx="75">
                  <c:v>-1.1678338952940853E-2</c:v>
                </c:pt>
                <c:pt idx="76">
                  <c:v>-1.1670925760317903E-2</c:v>
                </c:pt>
                <c:pt idx="77">
                  <c:v>-1.1621052776470353E-2</c:v>
                </c:pt>
                <c:pt idx="78">
                  <c:v>-1.1710759919327497E-2</c:v>
                </c:pt>
                <c:pt idx="79">
                  <c:v>-1.1495822669327497E-2</c:v>
                </c:pt>
                <c:pt idx="80">
                  <c:v>-1.1277287148928068E-2</c:v>
                </c:pt>
                <c:pt idx="81">
                  <c:v>-1.1351236003448983E-2</c:v>
                </c:pt>
                <c:pt idx="82">
                  <c:v>-1.1270004805532316E-2</c:v>
                </c:pt>
                <c:pt idx="83">
                  <c:v>-1.1308081258201357E-2</c:v>
                </c:pt>
                <c:pt idx="84">
                  <c:v>-9.3430472365797334E-3</c:v>
                </c:pt>
                <c:pt idx="85">
                  <c:v>-8.9311149032989777E-3</c:v>
                </c:pt>
                <c:pt idx="86">
                  <c:v>-9.1267371772916512E-3</c:v>
                </c:pt>
                <c:pt idx="87">
                  <c:v>-9.267807644897286E-3</c:v>
                </c:pt>
                <c:pt idx="88">
                  <c:v>-9.6171412287356685E-3</c:v>
                </c:pt>
                <c:pt idx="89">
                  <c:v>-9.4867499275048985E-3</c:v>
                </c:pt>
                <c:pt idx="90">
                  <c:v>-9.3876509275049001E-3</c:v>
                </c:pt>
                <c:pt idx="91">
                  <c:v>-9.2565048678341193E-3</c:v>
                </c:pt>
                <c:pt idx="92">
                  <c:v>-9.4404380374954865E-3</c:v>
                </c:pt>
                <c:pt idx="93">
                  <c:v>-9.2743670730941925E-3</c:v>
                </c:pt>
                <c:pt idx="94">
                  <c:v>-9.1993685247070949E-3</c:v>
                </c:pt>
                <c:pt idx="95">
                  <c:v>-9.2826255539378635E-3</c:v>
                </c:pt>
                <c:pt idx="96">
                  <c:v>-9.3173978942887418E-3</c:v>
                </c:pt>
                <c:pt idx="97">
                  <c:v>-9.387326207037746E-3</c:v>
                </c:pt>
                <c:pt idx="98">
                  <c:v>-9.3311727322305492E-3</c:v>
                </c:pt>
                <c:pt idx="99">
                  <c:v>-9.4287631937690092E-3</c:v>
                </c:pt>
                <c:pt idx="100">
                  <c:v>-9.5348560447417723E-3</c:v>
                </c:pt>
                <c:pt idx="101">
                  <c:v>-9.1721915089111525E-3</c:v>
                </c:pt>
                <c:pt idx="102">
                  <c:v>-9.2363772170192607E-3</c:v>
                </c:pt>
                <c:pt idx="103">
                  <c:v>-9.1470393666621182E-3</c:v>
                </c:pt>
                <c:pt idx="104">
                  <c:v>-9.3803424329201839E-3</c:v>
                </c:pt>
                <c:pt idx="105">
                  <c:v>-9.2688535736237011E-3</c:v>
                </c:pt>
                <c:pt idx="106">
                  <c:v>-9.3091733059071664E-3</c:v>
                </c:pt>
                <c:pt idx="107">
                  <c:v>-9.5142745836849438E-3</c:v>
                </c:pt>
                <c:pt idx="108">
                  <c:v>-9.3756782737948342E-3</c:v>
                </c:pt>
                <c:pt idx="109">
                  <c:v>-8.9679974737948351E-3</c:v>
                </c:pt>
                <c:pt idx="110">
                  <c:v>-4.5425456587279683E-3</c:v>
                </c:pt>
                <c:pt idx="111">
                  <c:v>-4.454073993362115E-3</c:v>
                </c:pt>
                <c:pt idx="112">
                  <c:v>-4.5343712486150328E-3</c:v>
                </c:pt>
                <c:pt idx="113">
                  <c:v>-4.5321146243914303E-3</c:v>
                </c:pt>
                <c:pt idx="114">
                  <c:v>-4.7111676741426727E-3</c:v>
                </c:pt>
                <c:pt idx="115">
                  <c:v>-4.8482160774213608E-3</c:v>
                </c:pt>
                <c:pt idx="116">
                  <c:v>-4.8967155474961745E-3</c:v>
                </c:pt>
                <c:pt idx="117">
                  <c:v>-4.9912026989131775E-3</c:v>
                </c:pt>
                <c:pt idx="118">
                  <c:v>-4.8180034547271313E-3</c:v>
                </c:pt>
                <c:pt idx="119">
                  <c:v>-4.735452901200911E-3</c:v>
                </c:pt>
                <c:pt idx="120">
                  <c:v>-4.842898576362201E-3</c:v>
                </c:pt>
                <c:pt idx="121">
                  <c:v>-4.7187164853509664E-3</c:v>
                </c:pt>
                <c:pt idx="122">
                  <c:v>-4.5097676490775075E-3</c:v>
                </c:pt>
                <c:pt idx="123">
                  <c:v>-4.0287765000042511E-3</c:v>
                </c:pt>
                <c:pt idx="124">
                  <c:v>-4.1833661326871781E-3</c:v>
                </c:pt>
                <c:pt idx="125">
                  <c:v>-4.1922895843000815E-3</c:v>
                </c:pt>
                <c:pt idx="126">
                  <c:v>-4.110069038961329E-3</c:v>
                </c:pt>
                <c:pt idx="127">
                  <c:v>-3.8572753720974235E-3</c:v>
                </c:pt>
                <c:pt idx="128">
                  <c:v>-3.9199469199625919E-3</c:v>
                </c:pt>
                <c:pt idx="129">
                  <c:v>-3.832637829962592E-3</c:v>
                </c:pt>
                <c:pt idx="130">
                  <c:v>-3.7544836696932322E-3</c:v>
                </c:pt>
                <c:pt idx="131">
                  <c:v>-3.6377322474710097E-3</c:v>
                </c:pt>
                <c:pt idx="132">
                  <c:v>-3.5355735324239875E-3</c:v>
                </c:pt>
                <c:pt idx="133">
                  <c:v>-3.659895836746755E-3</c:v>
                </c:pt>
                <c:pt idx="134">
                  <c:v>-3.575183336482904E-3</c:v>
                </c:pt>
                <c:pt idx="135">
                  <c:v>-3.7747323650543342E-3</c:v>
                </c:pt>
                <c:pt idx="136">
                  <c:v>-3.9700567412539502E-3</c:v>
                </c:pt>
                <c:pt idx="137">
                  <c:v>-3.9785129822231128E-3</c:v>
                </c:pt>
                <c:pt idx="138">
                  <c:v>-4.1211575453947557E-3</c:v>
                </c:pt>
                <c:pt idx="139">
                  <c:v>-3.9440030928374354E-3</c:v>
                </c:pt>
                <c:pt idx="140">
                  <c:v>-3.8101110067718619E-3</c:v>
                </c:pt>
                <c:pt idx="141">
                  <c:v>-3.7440496267718624E-3</c:v>
                </c:pt>
                <c:pt idx="142">
                  <c:v>-3.8283487573305855E-3</c:v>
                </c:pt>
                <c:pt idx="143">
                  <c:v>-3.8961982145678227E-3</c:v>
                </c:pt>
                <c:pt idx="144">
                  <c:v>-4.0970443023148582E-3</c:v>
                </c:pt>
                <c:pt idx="145">
                  <c:v>-3.8688653545218606E-3</c:v>
                </c:pt>
                <c:pt idx="146">
                  <c:v>-3.9062999065218613E-3</c:v>
                </c:pt>
                <c:pt idx="147">
                  <c:v>-4.1240054518473044E-3</c:v>
                </c:pt>
                <c:pt idx="148">
                  <c:v>-4.1930385322537537E-3</c:v>
                </c:pt>
                <c:pt idx="149">
                  <c:v>-4.4441536863190139E-3</c:v>
                </c:pt>
                <c:pt idx="150">
                  <c:v>-4.6468206722706778E-3</c:v>
                </c:pt>
                <c:pt idx="151">
                  <c:v>-4.652899997417739E-3</c:v>
                </c:pt>
                <c:pt idx="152">
                  <c:v>-4.5203192653260468E-3</c:v>
                </c:pt>
                <c:pt idx="153">
                  <c:v>-4.3635963301408643E-3</c:v>
                </c:pt>
                <c:pt idx="154">
                  <c:v>-4.5186672929980057E-3</c:v>
                </c:pt>
                <c:pt idx="155">
                  <c:v>-4.4272612206808296E-3</c:v>
                </c:pt>
                <c:pt idx="156">
                  <c:v>-4.5415005580823446E-3</c:v>
                </c:pt>
                <c:pt idx="157">
                  <c:v>-4.2727862580823452E-3</c:v>
                </c:pt>
                <c:pt idx="158">
                  <c:v>-4.1589263923303647E-3</c:v>
                </c:pt>
                <c:pt idx="159">
                  <c:v>-4.1489438668735447E-3</c:v>
                </c:pt>
                <c:pt idx="160">
                  <c:v>-3.9360688695468651E-3</c:v>
                </c:pt>
                <c:pt idx="161">
                  <c:v>-3.8853456243502023E-3</c:v>
                </c:pt>
                <c:pt idx="162">
                  <c:v>-3.9562277637100471E-3</c:v>
                </c:pt>
                <c:pt idx="163">
                  <c:v>-3.9244060652921754E-3</c:v>
                </c:pt>
                <c:pt idx="164">
                  <c:v>-4.2755094190345044E-3</c:v>
                </c:pt>
                <c:pt idx="165">
                  <c:v>-4.0464584167016265E-3</c:v>
                </c:pt>
                <c:pt idx="166">
                  <c:v>-4.384182414565686E-3</c:v>
                </c:pt>
                <c:pt idx="167">
                  <c:v>-4.528224685837209E-3</c:v>
                </c:pt>
                <c:pt idx="168">
                  <c:v>-4.6978122425732384E-3</c:v>
                </c:pt>
                <c:pt idx="169">
                  <c:v>-4.6745613457101478E-3</c:v>
                </c:pt>
                <c:pt idx="170">
                  <c:v>-4.608667935285438E-3</c:v>
                </c:pt>
                <c:pt idx="171">
                  <c:v>-4.5817110200939001E-3</c:v>
                </c:pt>
                <c:pt idx="172">
                  <c:v>-4.6785547488381865E-3</c:v>
                </c:pt>
                <c:pt idx="173">
                  <c:v>-4.4421997197226001E-3</c:v>
                </c:pt>
                <c:pt idx="174">
                  <c:v>-4.7737675840884321E-3</c:v>
                </c:pt>
                <c:pt idx="175">
                  <c:v>-4.7853944781544996E-3</c:v>
                </c:pt>
                <c:pt idx="176">
                  <c:v>-4.7810353787531004E-3</c:v>
                </c:pt>
                <c:pt idx="177">
                  <c:v>-4.8644260830360466E-3</c:v>
                </c:pt>
                <c:pt idx="178">
                  <c:v>-4.8456269579606696E-3</c:v>
                </c:pt>
                <c:pt idx="179">
                  <c:v>-4.9872173829374139E-3</c:v>
                </c:pt>
                <c:pt idx="180">
                  <c:v>-4.8854282934129509E-3</c:v>
                </c:pt>
                <c:pt idx="181">
                  <c:v>-4.9634932661243615E-3</c:v>
                </c:pt>
                <c:pt idx="182">
                  <c:v>-5.0796791061243603E-3</c:v>
                </c:pt>
                <c:pt idx="183">
                  <c:v>-5.0594443464079151E-3</c:v>
                </c:pt>
                <c:pt idx="184">
                  <c:v>-4.9356633074596418E-3</c:v>
                </c:pt>
                <c:pt idx="185">
                  <c:v>-4.9637300746954889E-3</c:v>
                </c:pt>
                <c:pt idx="186">
                  <c:v>-4.9421006561098458E-3</c:v>
                </c:pt>
                <c:pt idx="187">
                  <c:v>-4.695861199390276E-3</c:v>
                </c:pt>
                <c:pt idx="188">
                  <c:v>-4.7048177378145178E-3</c:v>
                </c:pt>
                <c:pt idx="189">
                  <c:v>-4.7547526878145181E-3</c:v>
                </c:pt>
                <c:pt idx="190">
                  <c:v>-4.8823131835944167E-3</c:v>
                </c:pt>
                <c:pt idx="191">
                  <c:v>-5.0541688732429228E-3</c:v>
                </c:pt>
                <c:pt idx="192">
                  <c:v>-5.0284635025099386E-3</c:v>
                </c:pt>
                <c:pt idx="193">
                  <c:v>-4.8952922548849004E-3</c:v>
                </c:pt>
                <c:pt idx="194">
                  <c:v>-4.7337908605641259E-3</c:v>
                </c:pt>
                <c:pt idx="195">
                  <c:v>-4.7296395476600153E-3</c:v>
                </c:pt>
                <c:pt idx="196">
                  <c:v>-4.6930518335434835E-3</c:v>
                </c:pt>
                <c:pt idx="197">
                  <c:v>-4.6253247502403404E-3</c:v>
                </c:pt>
                <c:pt idx="198">
                  <c:v>-4.6926407033874608E-3</c:v>
                </c:pt>
                <c:pt idx="199">
                  <c:v>-4.6399049013341404E-3</c:v>
                </c:pt>
                <c:pt idx="200">
                  <c:v>-4.5791157560491113E-3</c:v>
                </c:pt>
                <c:pt idx="201">
                  <c:v>-4.3829457220423695E-3</c:v>
                </c:pt>
                <c:pt idx="202">
                  <c:v>-4.3773172322257954E-3</c:v>
                </c:pt>
                <c:pt idx="203">
                  <c:v>-4.4045826288824164E-3</c:v>
                </c:pt>
                <c:pt idx="204">
                  <c:v>-4.0826744095601337E-3</c:v>
                </c:pt>
                <c:pt idx="205">
                  <c:v>-4.3374662638763191E-3</c:v>
                </c:pt>
                <c:pt idx="206">
                  <c:v>-4.5950416945970962E-3</c:v>
                </c:pt>
                <c:pt idx="207">
                  <c:v>-4.5346170930500394E-3</c:v>
                </c:pt>
                <c:pt idx="208">
                  <c:v>-4.5741798505649642E-3</c:v>
                </c:pt>
                <c:pt idx="209">
                  <c:v>-4.5850873794259011E-3</c:v>
                </c:pt>
                <c:pt idx="210">
                  <c:v>-4.6169974533304134E-3</c:v>
                </c:pt>
                <c:pt idx="211">
                  <c:v>-4.5508562029702732E-3</c:v>
                </c:pt>
                <c:pt idx="212">
                  <c:v>-4.6313718100761464E-3</c:v>
                </c:pt>
                <c:pt idx="213">
                  <c:v>-4.6953608990041931E-3</c:v>
                </c:pt>
                <c:pt idx="214">
                  <c:v>-4.6068239988059281E-3</c:v>
                </c:pt>
                <c:pt idx="215">
                  <c:v>-4.7598966720655477E-3</c:v>
                </c:pt>
                <c:pt idx="216">
                  <c:v>-4.9259876689674263E-3</c:v>
                </c:pt>
                <c:pt idx="217">
                  <c:v>-4.7886442001091227E-3</c:v>
                </c:pt>
                <c:pt idx="218">
                  <c:v>-4.8597234285071636E-3</c:v>
                </c:pt>
                <c:pt idx="219">
                  <c:v>-5.2846308128172573E-3</c:v>
                </c:pt>
                <c:pt idx="220">
                  <c:v>-5.2515998566998534E-3</c:v>
                </c:pt>
                <c:pt idx="221">
                  <c:v>-5.1394886995133971E-3</c:v>
                </c:pt>
                <c:pt idx="222">
                  <c:v>-5.1983472615789719E-3</c:v>
                </c:pt>
                <c:pt idx="223">
                  <c:v>-5.1582424966476435E-3</c:v>
                </c:pt>
                <c:pt idx="224">
                  <c:v>-4.7007339389259729E-3</c:v>
                </c:pt>
                <c:pt idx="225">
                  <c:v>-4.674227644459442E-3</c:v>
                </c:pt>
                <c:pt idx="226">
                  <c:v>-4.5379541048520345E-3</c:v>
                </c:pt>
                <c:pt idx="227">
                  <c:v>-4.458956075676891E-3</c:v>
                </c:pt>
                <c:pt idx="228">
                  <c:v>-4.5613652454958046E-3</c:v>
                </c:pt>
                <c:pt idx="229">
                  <c:v>-4.6033211706184903E-3</c:v>
                </c:pt>
                <c:pt idx="230">
                  <c:v>-4.5151574904767986E-3</c:v>
                </c:pt>
                <c:pt idx="231">
                  <c:v>-4.372437985164992E-3</c:v>
                </c:pt>
                <c:pt idx="232">
                  <c:v>-4.0273292260766449E-3</c:v>
                </c:pt>
                <c:pt idx="233">
                  <c:v>-3.9106407642090311E-3</c:v>
                </c:pt>
                <c:pt idx="234">
                  <c:v>-4.1223517251644812E-3</c:v>
                </c:pt>
                <c:pt idx="235">
                  <c:v>-3.7173997638410513E-3</c:v>
                </c:pt>
                <c:pt idx="236">
                  <c:v>-3.9232649264877798E-3</c:v>
                </c:pt>
                <c:pt idx="237">
                  <c:v>-3.8022332068128532E-3</c:v>
                </c:pt>
                <c:pt idx="238">
                  <c:v>-3.850527133901461E-3</c:v>
                </c:pt>
                <c:pt idx="239">
                  <c:v>-3.9757779039014604E-3</c:v>
                </c:pt>
                <c:pt idx="240">
                  <c:v>-4.2274252889714795E-3</c:v>
                </c:pt>
                <c:pt idx="241">
                  <c:v>-4.3902295041328447E-3</c:v>
                </c:pt>
                <c:pt idx="242">
                  <c:v>-4.7114504982605932E-3</c:v>
                </c:pt>
                <c:pt idx="243">
                  <c:v>-4.8499022925558941E-3</c:v>
                </c:pt>
                <c:pt idx="244">
                  <c:v>-4.6701849699084426E-3</c:v>
                </c:pt>
                <c:pt idx="245">
                  <c:v>-4.3064883433560474E-3</c:v>
                </c:pt>
                <c:pt idx="246">
                  <c:v>-4.2816113809691992E-3</c:v>
                </c:pt>
                <c:pt idx="247">
                  <c:v>-4.6942026018933491E-3</c:v>
                </c:pt>
                <c:pt idx="248">
                  <c:v>-4.8969529971794809E-3</c:v>
                </c:pt>
                <c:pt idx="249">
                  <c:v>-5.2557481461998007E-3</c:v>
                </c:pt>
                <c:pt idx="250">
                  <c:v>-5.2759085111432763E-3</c:v>
                </c:pt>
                <c:pt idx="251">
                  <c:v>-4.7875181396977128E-3</c:v>
                </c:pt>
                <c:pt idx="252">
                  <c:v>-4.4812072230383778E-3</c:v>
                </c:pt>
                <c:pt idx="253">
                  <c:v>-5.4287224836330559E-3</c:v>
                </c:pt>
                <c:pt idx="254">
                  <c:v>-5.6999727332384398E-3</c:v>
                </c:pt>
                <c:pt idx="255">
                  <c:v>-5.4870994068238043E-3</c:v>
                </c:pt>
                <c:pt idx="256">
                  <c:v>-5.4294239285346269E-3</c:v>
                </c:pt>
                <c:pt idx="257">
                  <c:v>-5.5899925814618468E-3</c:v>
                </c:pt>
                <c:pt idx="258">
                  <c:v>-5.0965342660105467E-3</c:v>
                </c:pt>
                <c:pt idx="259">
                  <c:v>-5.149870292695727E-3</c:v>
                </c:pt>
                <c:pt idx="260">
                  <c:v>-5.0555336912074551E-3</c:v>
                </c:pt>
                <c:pt idx="261">
                  <c:v>-3.9604802435285451E-3</c:v>
                </c:pt>
                <c:pt idx="262">
                  <c:v>-4.2292812283879497E-3</c:v>
                </c:pt>
                <c:pt idx="263">
                  <c:v>-4.0512555032812467E-3</c:v>
                </c:pt>
                <c:pt idx="264">
                  <c:v>-4.4208903456164047E-3</c:v>
                </c:pt>
                <c:pt idx="265">
                  <c:v>-4.5484601458065672E-3</c:v>
                </c:pt>
                <c:pt idx="266">
                  <c:v>-4.4812355205996928E-3</c:v>
                </c:pt>
                <c:pt idx="267">
                  <c:v>-4.4258778241319024E-3</c:v>
                </c:pt>
                <c:pt idx="268">
                  <c:v>-4.9614444014916713E-3</c:v>
                </c:pt>
                <c:pt idx="269">
                  <c:v>-4.6352216187105178E-3</c:v>
                </c:pt>
                <c:pt idx="270">
                  <c:v>-4.8168070435901777E-3</c:v>
                </c:pt>
                <c:pt idx="271">
                  <c:v>-4.4527746823577906E-3</c:v>
                </c:pt>
                <c:pt idx="272">
                  <c:v>-4.3407019243875862E-3</c:v>
                </c:pt>
                <c:pt idx="273">
                  <c:v>-4.3147213601582978E-3</c:v>
                </c:pt>
                <c:pt idx="274">
                  <c:v>-3.9932106612252018E-3</c:v>
                </c:pt>
                <c:pt idx="275">
                  <c:v>-3.1020313919852033E-3</c:v>
                </c:pt>
                <c:pt idx="276">
                  <c:v>-3.6306513480436958E-3</c:v>
                </c:pt>
                <c:pt idx="277">
                  <c:v>-4.2248310481896338E-3</c:v>
                </c:pt>
                <c:pt idx="278">
                  <c:v>-4.2692044421674645E-3</c:v>
                </c:pt>
                <c:pt idx="279">
                  <c:v>-1.6900652268775781E-3</c:v>
                </c:pt>
                <c:pt idx="280">
                  <c:v>-2.4494018070840848E-3</c:v>
                </c:pt>
                <c:pt idx="281">
                  <c:v>-1.6455918156018303E-3</c:v>
                </c:pt>
                <c:pt idx="282">
                  <c:v>-1.744284370200644E-3</c:v>
                </c:pt>
                <c:pt idx="283">
                  <c:v>-1.977653750887765E-3</c:v>
                </c:pt>
                <c:pt idx="284">
                  <c:v>-1.6947886618211582E-3</c:v>
                </c:pt>
                <c:pt idx="285">
                  <c:v>-1.6741106811422029E-3</c:v>
                </c:pt>
                <c:pt idx="286">
                  <c:v>-2.4343422979047338E-3</c:v>
                </c:pt>
                <c:pt idx="287">
                  <c:v>-1.2910667112816148E-3</c:v>
                </c:pt>
                <c:pt idx="288">
                  <c:v>-6.5343977233754701E-4</c:v>
                </c:pt>
                <c:pt idx="289">
                  <c:v>-1.0478848265949936E-3</c:v>
                </c:pt>
                <c:pt idx="290">
                  <c:v>-1.2870361479115414E-3</c:v>
                </c:pt>
                <c:pt idx="291">
                  <c:v>-1.336044712782071E-3</c:v>
                </c:pt>
                <c:pt idx="292">
                  <c:v>-1.0917357931993343E-3</c:v>
                </c:pt>
                <c:pt idx="293">
                  <c:v>-1.1229712146121008E-3</c:v>
                </c:pt>
                <c:pt idx="294">
                  <c:v>-1.5129767878274399E-3</c:v>
                </c:pt>
                <c:pt idx="295">
                  <c:v>-1.8124656423377926E-3</c:v>
                </c:pt>
                <c:pt idx="296">
                  <c:v>-1.4534809881074535E-3</c:v>
                </c:pt>
                <c:pt idx="297">
                  <c:v>-9.9560033921684897E-4</c:v>
                </c:pt>
                <c:pt idx="298">
                  <c:v>-8.6344241520276363E-4</c:v>
                </c:pt>
                <c:pt idx="299">
                  <c:v>-8.6734588999856329E-4</c:v>
                </c:pt>
                <c:pt idx="300">
                  <c:v>-4.3396267758867617E-4</c:v>
                </c:pt>
                <c:pt idx="301">
                  <c:v>-6.418186814672026E-4</c:v>
                </c:pt>
                <c:pt idx="302">
                  <c:v>-9.9132440697147824E-4</c:v>
                </c:pt>
                <c:pt idx="303">
                  <c:v>-1.5563555886278721E-3</c:v>
                </c:pt>
                <c:pt idx="304">
                  <c:v>-2.8261174851589924E-3</c:v>
                </c:pt>
                <c:pt idx="305">
                  <c:v>-3.3037946225997041E-3</c:v>
                </c:pt>
                <c:pt idx="306">
                  <c:v>-3.3841628942610801E-3</c:v>
                </c:pt>
                <c:pt idx="307">
                  <c:v>-3.3677209937241158E-3</c:v>
                </c:pt>
                <c:pt idx="308">
                  <c:v>-3.6317869319935502E-3</c:v>
                </c:pt>
                <c:pt idx="309">
                  <c:v>-3.3777802304428557E-3</c:v>
                </c:pt>
                <c:pt idx="310">
                  <c:v>-3.0436339389547239E-3</c:v>
                </c:pt>
                <c:pt idx="311">
                  <c:v>-2.7519106429972772E-3</c:v>
                </c:pt>
                <c:pt idx="312">
                  <c:v>-2.4504614130571568E-3</c:v>
                </c:pt>
                <c:pt idx="313">
                  <c:v>-2.3576321621569811E-3</c:v>
                </c:pt>
                <c:pt idx="314">
                  <c:v>-2.1440238143308941E-3</c:v>
                </c:pt>
                <c:pt idx="315">
                  <c:v>-2.1957316987126648E-3</c:v>
                </c:pt>
                <c:pt idx="316">
                  <c:v>-2.0336397882582485E-3</c:v>
                </c:pt>
                <c:pt idx="317">
                  <c:v>-2.1343392633933838E-3</c:v>
                </c:pt>
                <c:pt idx="318">
                  <c:v>-2.2801060056563808E-3</c:v>
                </c:pt>
                <c:pt idx="319">
                  <c:v>-2.1414197135583529E-3</c:v>
                </c:pt>
                <c:pt idx="320">
                  <c:v>-1.9041594419260655E-3</c:v>
                </c:pt>
                <c:pt idx="321">
                  <c:v>-2.1407095241464964E-3</c:v>
                </c:pt>
                <c:pt idx="322">
                  <c:v>-1.9904105026255325E-3</c:v>
                </c:pt>
                <c:pt idx="323">
                  <c:v>-2.0373857925598455E-3</c:v>
                </c:pt>
                <c:pt idx="324">
                  <c:v>-1.6336223625598454E-3</c:v>
                </c:pt>
                <c:pt idx="325">
                  <c:v>-1.4603281980974593E-3</c:v>
                </c:pt>
                <c:pt idx="326">
                  <c:v>-1.4975438692449066E-3</c:v>
                </c:pt>
                <c:pt idx="327">
                  <c:v>-1.5323742889600687E-3</c:v>
                </c:pt>
                <c:pt idx="328">
                  <c:v>-1.6692668679216152E-3</c:v>
                </c:pt>
                <c:pt idx="329">
                  <c:v>-1.8895658888113326E-3</c:v>
                </c:pt>
                <c:pt idx="330">
                  <c:v>-1.7443764458500099E-3</c:v>
                </c:pt>
                <c:pt idx="331">
                  <c:v>-1.2516292649544874E-3</c:v>
                </c:pt>
                <c:pt idx="332">
                  <c:v>-1.2142748309484281E-3</c:v>
                </c:pt>
                <c:pt idx="333">
                  <c:v>-1.3769740592314561E-3</c:v>
                </c:pt>
                <c:pt idx="334">
                  <c:v>-1.4146705189598634E-3</c:v>
                </c:pt>
                <c:pt idx="335">
                  <c:v>-1.3627182158537476E-3</c:v>
                </c:pt>
                <c:pt idx="336">
                  <c:v>-1.2306401124954189E-3</c:v>
                </c:pt>
                <c:pt idx="337">
                  <c:v>-1.0167064617375449E-3</c:v>
                </c:pt>
                <c:pt idx="338">
                  <c:v>-8.0381751505377162E-4</c:v>
                </c:pt>
                <c:pt idx="339">
                  <c:v>-6.0558328693056864E-4</c:v>
                </c:pt>
                <c:pt idx="340">
                  <c:v>-8.7672764605803064E-4</c:v>
                </c:pt>
                <c:pt idx="341">
                  <c:v>-6.0939726545808544E-4</c:v>
                </c:pt>
                <c:pt idx="342">
                  <c:v>-3.4845467165808516E-4</c:v>
                </c:pt>
                <c:pt idx="343">
                  <c:v>-5.0548729213098454E-4</c:v>
                </c:pt>
                <c:pt idx="344">
                  <c:v>-4.1609336729088068E-4</c:v>
                </c:pt>
                <c:pt idx="345">
                  <c:v>-7.4823276297181403E-4</c:v>
                </c:pt>
                <c:pt idx="346">
                  <c:v>-2.9545484346595556E-4</c:v>
                </c:pt>
                <c:pt idx="347">
                  <c:v>-2.380182202402999E-4</c:v>
                </c:pt>
                <c:pt idx="348">
                  <c:v>2.1844630756723893E-5</c:v>
                </c:pt>
                <c:pt idx="349">
                  <c:v>-1.8474723736154212E-4</c:v>
                </c:pt>
                <c:pt idx="350">
                  <c:v>-4.3873702534736112E-4</c:v>
                </c:pt>
                <c:pt idx="351">
                  <c:v>-6.3517225722157502E-4</c:v>
                </c:pt>
                <c:pt idx="352">
                  <c:v>-3.892000146502866E-4</c:v>
                </c:pt>
                <c:pt idx="353">
                  <c:v>-8.5019505465028667E-4</c:v>
                </c:pt>
                <c:pt idx="354">
                  <c:v>-1.0607905591436784E-3</c:v>
                </c:pt>
                <c:pt idx="355">
                  <c:v>-1.0513118541522633E-3</c:v>
                </c:pt>
                <c:pt idx="356">
                  <c:v>-9.2268803003167307E-4</c:v>
                </c:pt>
                <c:pt idx="357">
                  <c:v>-7.3061400599547385E-4</c:v>
                </c:pt>
                <c:pt idx="358">
                  <c:v>-6.0798320069366447E-4</c:v>
                </c:pt>
                <c:pt idx="359">
                  <c:v>-1.1718419023803994E-3</c:v>
                </c:pt>
                <c:pt idx="360">
                  <c:v>-1.3398219540742249E-3</c:v>
                </c:pt>
                <c:pt idx="361">
                  <c:v>-1.5024578404572038E-3</c:v>
                </c:pt>
                <c:pt idx="362">
                  <c:v>-1.3325982366380567E-3</c:v>
                </c:pt>
                <c:pt idx="363">
                  <c:v>-1.2893468709520718E-3</c:v>
                </c:pt>
                <c:pt idx="364">
                  <c:v>-1.2498877312125255E-3</c:v>
                </c:pt>
                <c:pt idx="365">
                  <c:v>-1.3515667559490985E-3</c:v>
                </c:pt>
                <c:pt idx="366">
                  <c:v>-1.1195333905579705E-3</c:v>
                </c:pt>
                <c:pt idx="367">
                  <c:v>-1.0945343621131625E-3</c:v>
                </c:pt>
                <c:pt idx="368">
                  <c:v>-6.4521160981528987E-4</c:v>
                </c:pt>
                <c:pt idx="369">
                  <c:v>-1.0147828479920168E-3</c:v>
                </c:pt>
                <c:pt idx="370">
                  <c:v>-4.9165357417508442E-4</c:v>
                </c:pt>
                <c:pt idx="371">
                  <c:v>-9.081237879887689E-4</c:v>
                </c:pt>
                <c:pt idx="372">
                  <c:v>-1.0373779631501027E-4</c:v>
                </c:pt>
                <c:pt idx="373">
                  <c:v>3.5872699072620411E-4</c:v>
                </c:pt>
                <c:pt idx="374">
                  <c:v>6.6493352971094138E-4</c:v>
                </c:pt>
                <c:pt idx="375">
                  <c:v>5.8694862389698757E-4</c:v>
                </c:pt>
                <c:pt idx="376">
                  <c:v>5.2132737444453823E-4</c:v>
                </c:pt>
                <c:pt idx="377">
                  <c:v>6.3780247973111142E-4</c:v>
                </c:pt>
                <c:pt idx="378">
                  <c:v>7.931178734099059E-4</c:v>
                </c:pt>
                <c:pt idx="379">
                  <c:v>1.0596132018179422E-3</c:v>
                </c:pt>
                <c:pt idx="380">
                  <c:v>7.0336716283231056E-4</c:v>
                </c:pt>
                <c:pt idx="381">
                  <c:v>5.6448700460598922E-4</c:v>
                </c:pt>
                <c:pt idx="382">
                  <c:v>4.4622721037768142E-4</c:v>
                </c:pt>
                <c:pt idx="383">
                  <c:v>3.291549886920956E-4</c:v>
                </c:pt>
                <c:pt idx="384">
                  <c:v>3.6149025378741584E-4</c:v>
                </c:pt>
                <c:pt idx="385">
                  <c:v>6.5915313542016957E-5</c:v>
                </c:pt>
                <c:pt idx="386">
                  <c:v>4.1717139456440835E-5</c:v>
                </c:pt>
                <c:pt idx="387">
                  <c:v>1.06335343724505E-4</c:v>
                </c:pt>
                <c:pt idx="388">
                  <c:v>-3.7062220243312205E-4</c:v>
                </c:pt>
                <c:pt idx="389">
                  <c:v>-1.0226382689111988E-3</c:v>
                </c:pt>
                <c:pt idx="390">
                  <c:v>-1.3635383640800121E-3</c:v>
                </c:pt>
                <c:pt idx="391">
                  <c:v>-1.3985244768459693E-3</c:v>
                </c:pt>
                <c:pt idx="392">
                  <c:v>-1.6071621356165842E-3</c:v>
                </c:pt>
                <c:pt idx="393">
                  <c:v>-2.1028922944437843E-3</c:v>
                </c:pt>
                <c:pt idx="394">
                  <c:v>-2.4154407390316042E-3</c:v>
                </c:pt>
                <c:pt idx="395">
                  <c:v>-3.0293548114863089E-3</c:v>
                </c:pt>
                <c:pt idx="396">
                  <c:v>-2.5103457896193952E-3</c:v>
                </c:pt>
                <c:pt idx="397">
                  <c:v>-2.5492343497507822E-3</c:v>
                </c:pt>
                <c:pt idx="398">
                  <c:v>-2.5501983312344631E-3</c:v>
                </c:pt>
                <c:pt idx="399">
                  <c:v>-2.6683566013381652E-3</c:v>
                </c:pt>
                <c:pt idx="400">
                  <c:v>-3.0772877061332939E-3</c:v>
                </c:pt>
                <c:pt idx="401">
                  <c:v>-2.9784782450798519E-3</c:v>
                </c:pt>
                <c:pt idx="402">
                  <c:v>-3.0656697042056808E-3</c:v>
                </c:pt>
                <c:pt idx="403">
                  <c:v>-2.6315036923167919E-3</c:v>
                </c:pt>
                <c:pt idx="404">
                  <c:v>-2.7241972402786969E-3</c:v>
                </c:pt>
                <c:pt idx="405">
                  <c:v>-2.5025838049929816E-3</c:v>
                </c:pt>
                <c:pt idx="406">
                  <c:v>-2.9944084954771247E-3</c:v>
                </c:pt>
                <c:pt idx="407">
                  <c:v>-2.1727150926376163E-3</c:v>
                </c:pt>
                <c:pt idx="408">
                  <c:v>-3.559081385647327E-3</c:v>
                </c:pt>
                <c:pt idx="409">
                  <c:v>-3.0848521488052211E-3</c:v>
                </c:pt>
                <c:pt idx="410">
                  <c:v>-2.4707430591146477E-3</c:v>
                </c:pt>
                <c:pt idx="411">
                  <c:v>-2.5195228054624734E-3</c:v>
                </c:pt>
                <c:pt idx="412">
                  <c:v>-2.5357238627352011E-3</c:v>
                </c:pt>
                <c:pt idx="413">
                  <c:v>-2.6393330539770639E-3</c:v>
                </c:pt>
                <c:pt idx="414">
                  <c:v>-2.1811374060891134E-3</c:v>
                </c:pt>
                <c:pt idx="415">
                  <c:v>-2.6276250179219098E-3</c:v>
                </c:pt>
                <c:pt idx="416">
                  <c:v>-1.9418811296148244E-3</c:v>
                </c:pt>
                <c:pt idx="417">
                  <c:v>-2.0361434648120693E-3</c:v>
                </c:pt>
                <c:pt idx="418">
                  <c:v>-2.1272848430819277E-3</c:v>
                </c:pt>
                <c:pt idx="419">
                  <c:v>-2.2812616328263375E-3</c:v>
                </c:pt>
                <c:pt idx="420">
                  <c:v>-2.0571829363417076E-3</c:v>
                </c:pt>
                <c:pt idx="421">
                  <c:v>-2.1162801328714538E-3</c:v>
                </c:pt>
                <c:pt idx="422">
                  <c:v>-2.1218471536990774E-3</c:v>
                </c:pt>
                <c:pt idx="423">
                  <c:v>-1.9313740371837654E-3</c:v>
                </c:pt>
                <c:pt idx="424">
                  <c:v>-2.3740820775642007E-3</c:v>
                </c:pt>
                <c:pt idx="425">
                  <c:v>-2.6174204245165826E-3</c:v>
                </c:pt>
                <c:pt idx="426">
                  <c:v>-2.7840721886181054E-3</c:v>
                </c:pt>
                <c:pt idx="427">
                  <c:v>-2.7092763383551846E-3</c:v>
                </c:pt>
                <c:pt idx="428">
                  <c:v>-2.3235403482374114E-3</c:v>
                </c:pt>
                <c:pt idx="429">
                  <c:v>-1.3117736819544868E-3</c:v>
                </c:pt>
                <c:pt idx="430">
                  <c:v>-9.007409632030152E-4</c:v>
                </c:pt>
                <c:pt idx="431">
                  <c:v>-2.6892344497776098E-4</c:v>
                </c:pt>
                <c:pt idx="432">
                  <c:v>-3.106634208641824E-4</c:v>
                </c:pt>
                <c:pt idx="433">
                  <c:v>-4.2470008086418262E-4</c:v>
                </c:pt>
                <c:pt idx="434">
                  <c:v>-5.239595869114932E-4</c:v>
                </c:pt>
                <c:pt idx="435">
                  <c:v>-3.9171747439791286E-4</c:v>
                </c:pt>
                <c:pt idx="436">
                  <c:v>-2.1327479280194077E-4</c:v>
                </c:pt>
                <c:pt idx="437">
                  <c:v>-4.0448025620093235E-4</c:v>
                </c:pt>
                <c:pt idx="438">
                  <c:v>-9.9071969959671534E-4</c:v>
                </c:pt>
                <c:pt idx="439">
                  <c:v>-7.6153230077667688E-4</c:v>
                </c:pt>
                <c:pt idx="440">
                  <c:v>-6.7213163220524786E-4</c:v>
                </c:pt>
                <c:pt idx="441">
                  <c:v>-4.1081827006177315E-4</c:v>
                </c:pt>
                <c:pt idx="442">
                  <c:v>-4.1099165495158568E-4</c:v>
                </c:pt>
                <c:pt idx="443">
                  <c:v>5.909648273182951E-5</c:v>
                </c:pt>
                <c:pt idx="444">
                  <c:v>-7.7864786247757004E-6</c:v>
                </c:pt>
                <c:pt idx="445">
                  <c:v>2.1626174254514035E-4</c:v>
                </c:pt>
                <c:pt idx="446">
                  <c:v>2.4001720804657327E-4</c:v>
                </c:pt>
                <c:pt idx="447">
                  <c:v>6.8827685172611003E-4</c:v>
                </c:pt>
                <c:pt idx="448">
                  <c:v>1.6361810006178498E-4</c:v>
                </c:pt>
                <c:pt idx="449">
                  <c:v>-1.7086250184791062E-5</c:v>
                </c:pt>
                <c:pt idx="450">
                  <c:v>-1.7054826624778231E-4</c:v>
                </c:pt>
                <c:pt idx="451">
                  <c:v>4.7965175768347284E-5</c:v>
                </c:pt>
                <c:pt idx="452">
                  <c:v>2.8501234482165871E-4</c:v>
                </c:pt>
                <c:pt idx="453">
                  <c:v>2.4445904010453898E-4</c:v>
                </c:pt>
                <c:pt idx="454">
                  <c:v>3.7639369925946857E-4</c:v>
                </c:pt>
                <c:pt idx="455">
                  <c:v>5.5672149852852492E-4</c:v>
                </c:pt>
                <c:pt idx="456">
                  <c:v>7.190449436090834E-4</c:v>
                </c:pt>
                <c:pt idx="457">
                  <c:v>8.3128461613149029E-4</c:v>
                </c:pt>
                <c:pt idx="458">
                  <c:v>9.0863288448222112E-4</c:v>
                </c:pt>
                <c:pt idx="459">
                  <c:v>8.1934530755432182E-4</c:v>
                </c:pt>
                <c:pt idx="460">
                  <c:v>8.8593805151251871E-4</c:v>
                </c:pt>
                <c:pt idx="461">
                  <c:v>9.0768083958258652E-4</c:v>
                </c:pt>
                <c:pt idx="462">
                  <c:v>9.5942480214625345E-4</c:v>
                </c:pt>
                <c:pt idx="463">
                  <c:v>7.7627354980599193E-4</c:v>
                </c:pt>
                <c:pt idx="464">
                  <c:v>8.274898773239181E-4</c:v>
                </c:pt>
                <c:pt idx="465">
                  <c:v>1.0431821666362748E-3</c:v>
                </c:pt>
                <c:pt idx="466">
                  <c:v>1.0796613563317063E-3</c:v>
                </c:pt>
                <c:pt idx="467">
                  <c:v>1.2093853866654621E-3</c:v>
                </c:pt>
                <c:pt idx="468">
                  <c:v>1.2671897198962311E-3</c:v>
                </c:pt>
                <c:pt idx="469">
                  <c:v>1.4117709405827982E-3</c:v>
                </c:pt>
                <c:pt idx="470">
                  <c:v>1.4823572459431373E-3</c:v>
                </c:pt>
                <c:pt idx="471">
                  <c:v>1.5592508516188133E-3</c:v>
                </c:pt>
                <c:pt idx="472">
                  <c:v>1.5404492095135499E-3</c:v>
                </c:pt>
                <c:pt idx="473">
                  <c:v>1.5089360913764095E-3</c:v>
                </c:pt>
                <c:pt idx="474">
                  <c:v>1.5180656379264093E-3</c:v>
                </c:pt>
                <c:pt idx="475">
                  <c:v>1.6251803569226012E-3</c:v>
                </c:pt>
                <c:pt idx="476">
                  <c:v>1.2880463849424839E-3</c:v>
                </c:pt>
                <c:pt idx="477">
                  <c:v>1.2023841437660131E-3</c:v>
                </c:pt>
                <c:pt idx="478">
                  <c:v>1.0242737404614155E-3</c:v>
                </c:pt>
                <c:pt idx="479">
                  <c:v>1.3423580791350777E-3</c:v>
                </c:pt>
                <c:pt idx="480">
                  <c:v>1.4446298587462748E-3</c:v>
                </c:pt>
                <c:pt idx="481">
                  <c:v>1.3993691362391971E-3</c:v>
                </c:pt>
                <c:pt idx="482">
                  <c:v>1.4807363094801354E-3</c:v>
                </c:pt>
                <c:pt idx="483">
                  <c:v>1.4329548990710446E-3</c:v>
                </c:pt>
                <c:pt idx="484">
                  <c:v>1.6257890738574339E-3</c:v>
                </c:pt>
                <c:pt idx="485">
                  <c:v>1.8195686844213953E-3</c:v>
                </c:pt>
                <c:pt idx="486">
                  <c:v>1.5968571745210629E-3</c:v>
                </c:pt>
                <c:pt idx="487">
                  <c:v>1.8957016790111631E-3</c:v>
                </c:pt>
                <c:pt idx="488">
                  <c:v>2.1146192974656891E-3</c:v>
                </c:pt>
                <c:pt idx="489">
                  <c:v>1.9968865217039654E-3</c:v>
                </c:pt>
                <c:pt idx="490">
                  <c:v>1.7991475725237804E-3</c:v>
                </c:pt>
                <c:pt idx="491">
                  <c:v>1.5349956395509581E-3</c:v>
                </c:pt>
                <c:pt idx="492">
                  <c:v>1.8447121465649861E-3</c:v>
                </c:pt>
                <c:pt idx="493">
                  <c:v>1.8013835007061119E-3</c:v>
                </c:pt>
                <c:pt idx="494">
                  <c:v>1.7278778034005712E-3</c:v>
                </c:pt>
                <c:pt idx="495">
                  <c:v>1.896955038269012E-3</c:v>
                </c:pt>
                <c:pt idx="496">
                  <c:v>2.3546032981281665E-3</c:v>
                </c:pt>
                <c:pt idx="497">
                  <c:v>2.7945712373051448E-3</c:v>
                </c:pt>
                <c:pt idx="498">
                  <c:v>3.3957348523788915E-3</c:v>
                </c:pt>
                <c:pt idx="499">
                  <c:v>2.8807602212724821E-3</c:v>
                </c:pt>
                <c:pt idx="500">
                  <c:v>4.5410575029934822E-3</c:v>
                </c:pt>
                <c:pt idx="501">
                  <c:v>4.0496149907358172E-3</c:v>
                </c:pt>
                <c:pt idx="502">
                  <c:v>4.1178035982886874E-3</c:v>
                </c:pt>
                <c:pt idx="503">
                  <c:v>3.0315314100438345E-3</c:v>
                </c:pt>
                <c:pt idx="504">
                  <c:v>2.1915921408965635E-3</c:v>
                </c:pt>
                <c:pt idx="505">
                  <c:v>2.6402150847809249E-3</c:v>
                </c:pt>
                <c:pt idx="506">
                  <c:v>2.4052964266874665E-3</c:v>
                </c:pt>
                <c:pt idx="507">
                  <c:v>2.7230682592874669E-3</c:v>
                </c:pt>
                <c:pt idx="508">
                  <c:v>2.3059905053053682E-3</c:v>
                </c:pt>
                <c:pt idx="509">
                  <c:v>1.6830360302222459E-3</c:v>
                </c:pt>
                <c:pt idx="510">
                  <c:v>2.0858743566510053E-3</c:v>
                </c:pt>
                <c:pt idx="511">
                  <c:v>2.2376588321529035E-3</c:v>
                </c:pt>
                <c:pt idx="512">
                  <c:v>2.6507590559438458E-3</c:v>
                </c:pt>
                <c:pt idx="513">
                  <c:v>3.0279090597118974E-3</c:v>
                </c:pt>
                <c:pt idx="514">
                  <c:v>2.0623790361019357E-3</c:v>
                </c:pt>
                <c:pt idx="515">
                  <c:v>3.2590697658893908E-3</c:v>
                </c:pt>
                <c:pt idx="516">
                  <c:v>-1.087789383695507E-4</c:v>
                </c:pt>
                <c:pt idx="517">
                  <c:v>-1.6854599880433325E-4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04-4501-BBC7-324CFE549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379583"/>
        <c:axId val="246379999"/>
      </c:lineChart>
      <c:dateAx>
        <c:axId val="2463795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379999"/>
        <c:crosses val="autoZero"/>
        <c:auto val="1"/>
        <c:lblOffset val="100"/>
        <c:baseTimeUnit val="days"/>
      </c:dateAx>
      <c:valAx>
        <c:axId val="24637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379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FC6526F-C2C9-4385-BEB7-D8665580E8CE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9646CB-179B-48F7-AA88-36C88D85D7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134.19999999999999</v>
      </c>
      <c r="D2" s="4">
        <f>MIN(D3:D1912)</f>
        <v>15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33.86</v>
      </c>
      <c r="C5">
        <v>34.35</v>
      </c>
      <c r="D5">
        <v>33.58</v>
      </c>
      <c r="E5">
        <v>33.58</v>
      </c>
      <c r="F5">
        <v>725.58</v>
      </c>
      <c r="G5">
        <v>33.58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-725.58</v>
      </c>
      <c r="R5">
        <f t="shared" ref="R5" si="2">R6+Q5</f>
        <v>-957614.44704373914</v>
      </c>
      <c r="S5">
        <f t="shared" ref="S5" si="3">R5/100000</f>
        <v>-9.5761444704373915</v>
      </c>
      <c r="T5">
        <f t="shared" ref="T5" si="4">S5/1000</f>
        <v>-9.5761444704373921E-3</v>
      </c>
    </row>
    <row r="6" spans="1:20" x14ac:dyDescent="0.25">
      <c r="A6" s="5">
        <v>44587</v>
      </c>
      <c r="B6">
        <v>35.29</v>
      </c>
      <c r="C6">
        <v>36.33</v>
      </c>
      <c r="D6">
        <v>32.840000000000003</v>
      </c>
      <c r="E6">
        <v>33.89</v>
      </c>
      <c r="F6">
        <v>26017.42</v>
      </c>
      <c r="G6">
        <v>33.89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-0.39828080229226437</v>
      </c>
      <c r="Q6">
        <f t="shared" ref="Q6" si="6">F6*P6</f>
        <v>-10362.238911174803</v>
      </c>
      <c r="R6">
        <f t="shared" ref="R6" si="7">R7+Q6</f>
        <v>-956888.86704373918</v>
      </c>
      <c r="S6">
        <f t="shared" ref="S6" si="8">R6/100000</f>
        <v>-9.5688886704373921</v>
      </c>
      <c r="T6">
        <f t="shared" ref="T6" si="9">S6/1000</f>
        <v>-9.5688886704373925E-3</v>
      </c>
    </row>
    <row r="7" spans="1:20" x14ac:dyDescent="0.25">
      <c r="A7" s="5">
        <v>44586</v>
      </c>
      <c r="B7">
        <v>37.81</v>
      </c>
      <c r="C7">
        <v>37.89</v>
      </c>
      <c r="D7">
        <v>34.19</v>
      </c>
      <c r="E7">
        <v>35.270000000000003</v>
      </c>
      <c r="F7">
        <v>23277.48</v>
      </c>
      <c r="G7">
        <v>35.270000000000003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-0.41621621621621374</v>
      </c>
      <c r="Q7">
        <f t="shared" ref="Q7" si="11">F7*P7</f>
        <v>-9688.4646486485908</v>
      </c>
      <c r="R7">
        <f t="shared" ref="R7" si="12">R8+Q7</f>
        <v>-946526.62813256436</v>
      </c>
      <c r="S7">
        <f t="shared" ref="S7" si="13">R7/100000</f>
        <v>-9.4652662813256434</v>
      </c>
      <c r="T7">
        <f t="shared" ref="T7" si="14">S7/1000</f>
        <v>-9.4652662813256433E-3</v>
      </c>
    </row>
    <row r="8" spans="1:20" x14ac:dyDescent="0.25">
      <c r="A8" s="5">
        <v>44585</v>
      </c>
      <c r="B8">
        <v>41.09</v>
      </c>
      <c r="C8">
        <v>41.2</v>
      </c>
      <c r="D8">
        <v>33.69</v>
      </c>
      <c r="E8">
        <v>37.97</v>
      </c>
      <c r="F8">
        <v>16774.419999999998</v>
      </c>
      <c r="G8">
        <v>37.97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0.13981358189081178</v>
      </c>
      <c r="Q8">
        <f t="shared" ref="Q8" si="16">F8*P8</f>
        <v>2345.2917443408705</v>
      </c>
      <c r="R8">
        <f t="shared" ref="R8" si="17">R9+Q8</f>
        <v>-936838.16348391573</v>
      </c>
      <c r="S8">
        <f t="shared" ref="S8" si="18">R8/100000</f>
        <v>-9.3683816348391566</v>
      </c>
      <c r="T8">
        <f t="shared" ref="T8" si="19">S8/1000</f>
        <v>-9.3683816348391572E-3</v>
      </c>
    </row>
    <row r="9" spans="1:20" x14ac:dyDescent="0.25">
      <c r="A9" s="5">
        <v>44584</v>
      </c>
      <c r="B9">
        <v>38.47</v>
      </c>
      <c r="C9">
        <v>41.29</v>
      </c>
      <c r="D9">
        <v>37.81</v>
      </c>
      <c r="E9">
        <v>41.17</v>
      </c>
      <c r="F9">
        <v>8373.5</v>
      </c>
      <c r="G9">
        <v>41.17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0.93103448275862211</v>
      </c>
      <c r="Q9">
        <f t="shared" ref="Q9" si="21">F9*P9</f>
        <v>7796.0172413793225</v>
      </c>
      <c r="R9">
        <f t="shared" ref="R9" si="22">R10+Q9</f>
        <v>-939183.45522825664</v>
      </c>
      <c r="S9">
        <f t="shared" ref="S9" si="23">R9/100000</f>
        <v>-9.3918345522825657</v>
      </c>
      <c r="T9">
        <f t="shared" ref="T9" si="24">S9/1000</f>
        <v>-9.3918345522825651E-3</v>
      </c>
    </row>
    <row r="10" spans="1:20" x14ac:dyDescent="0.25">
      <c r="A10" s="5">
        <v>44583</v>
      </c>
      <c r="B10">
        <v>41.19</v>
      </c>
      <c r="C10">
        <v>43.93</v>
      </c>
      <c r="D10">
        <v>37.200000000000003</v>
      </c>
      <c r="E10">
        <v>38.51</v>
      </c>
      <c r="F10">
        <v>20088.13</v>
      </c>
      <c r="G10">
        <v>38.51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-0.61069836552749013</v>
      </c>
      <c r="Q10">
        <f t="shared" ref="Q10" si="26">F10*P10</f>
        <v>-12267.788157503741</v>
      </c>
      <c r="R10">
        <f t="shared" ref="R10" si="27">R11+Q10</f>
        <v>-946979.47246963601</v>
      </c>
      <c r="S10">
        <f t="shared" ref="S10" si="28">R10/100000</f>
        <v>-9.4697947246963601</v>
      </c>
      <c r="T10">
        <f t="shared" ref="T10" si="29">S10/1000</f>
        <v>-9.4697947246963603E-3</v>
      </c>
    </row>
    <row r="11" spans="1:20" x14ac:dyDescent="0.25">
      <c r="A11" s="5">
        <v>44582</v>
      </c>
      <c r="B11">
        <v>48.11</v>
      </c>
      <c r="C11">
        <v>48.81</v>
      </c>
      <c r="D11">
        <v>39.82</v>
      </c>
      <c r="E11">
        <v>41.3</v>
      </c>
      <c r="F11">
        <v>36645.78</v>
      </c>
      <c r="G11">
        <v>41.3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-0.67074527252502858</v>
      </c>
      <c r="Q11">
        <f t="shared" ref="Q11" si="31">F11*P11</f>
        <v>-24579.983692992242</v>
      </c>
      <c r="R11">
        <f t="shared" ref="R11" si="32">R12+Q11</f>
        <v>-934711.6843121323</v>
      </c>
      <c r="S11">
        <f t="shared" ref="S11" si="33">R11/100000</f>
        <v>-9.3471168431213236</v>
      </c>
      <c r="T11">
        <f t="shared" ref="T11" si="34">S11/1000</f>
        <v>-9.3471168431213236E-3</v>
      </c>
    </row>
    <row r="12" spans="1:20" x14ac:dyDescent="0.25">
      <c r="A12" s="5">
        <v>44581</v>
      </c>
      <c r="B12">
        <v>48.18</v>
      </c>
      <c r="C12">
        <v>56.36</v>
      </c>
      <c r="D12">
        <v>47.85</v>
      </c>
      <c r="E12">
        <v>48.07</v>
      </c>
      <c r="F12">
        <v>28409.18</v>
      </c>
      <c r="G12">
        <v>48.07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-0.94829612220916593</v>
      </c>
      <c r="Q12">
        <f t="shared" ref="Q12" si="36">F12*P12</f>
        <v>-26940.315229142194</v>
      </c>
      <c r="R12">
        <f t="shared" ref="R12" si="37">R13+Q12</f>
        <v>-910131.70061914006</v>
      </c>
      <c r="S12">
        <f t="shared" ref="S12" si="38">R12/100000</f>
        <v>-9.101317006191401</v>
      </c>
      <c r="T12">
        <f t="shared" ref="T12" si="39">S12/1000</f>
        <v>-9.101317006191401E-3</v>
      </c>
    </row>
    <row r="13" spans="1:20" x14ac:dyDescent="0.25">
      <c r="A13" s="5">
        <v>44580</v>
      </c>
      <c r="B13">
        <v>50.7</v>
      </c>
      <c r="C13">
        <v>50.82</v>
      </c>
      <c r="D13">
        <v>47.73</v>
      </c>
      <c r="E13">
        <v>48.19</v>
      </c>
      <c r="F13">
        <v>17378.53</v>
      </c>
      <c r="G13">
        <v>48.19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-0.70226537216828455</v>
      </c>
      <c r="Q13">
        <f t="shared" ref="Q13" si="41">F13*P13</f>
        <v>-12204.339838187698</v>
      </c>
      <c r="R13">
        <f t="shared" ref="R13" si="42">R14+Q13</f>
        <v>-883191.38538999786</v>
      </c>
      <c r="S13">
        <f t="shared" ref="S13" si="43">R13/100000</f>
        <v>-8.8319138538999784</v>
      </c>
      <c r="T13">
        <f t="shared" ref="T13" si="44">S13/1000</f>
        <v>-8.8319138538999788E-3</v>
      </c>
    </row>
    <row r="14" spans="1:20" x14ac:dyDescent="0.25">
      <c r="A14" s="5">
        <v>44579</v>
      </c>
      <c r="B14">
        <v>53.34</v>
      </c>
      <c r="C14">
        <v>53.73</v>
      </c>
      <c r="D14">
        <v>49.91</v>
      </c>
      <c r="E14">
        <v>50.71</v>
      </c>
      <c r="F14">
        <v>9758.65</v>
      </c>
      <c r="G14">
        <v>50.71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-0.58115183246073077</v>
      </c>
      <c r="Q14">
        <f t="shared" ref="Q14" si="46">F14*P14</f>
        <v>-5671.2573298429097</v>
      </c>
      <c r="R14">
        <f t="shared" ref="R14" si="47">R15+Q14</f>
        <v>-870987.04555181018</v>
      </c>
      <c r="S14">
        <f t="shared" ref="S14" si="48">R14/100000</f>
        <v>-8.7098704555181019</v>
      </c>
      <c r="T14">
        <f t="shared" ref="T14" si="49">S14/1000</f>
        <v>-8.7098704555181022E-3</v>
      </c>
    </row>
    <row r="15" spans="1:20" x14ac:dyDescent="0.25">
      <c r="A15" s="5">
        <v>44578</v>
      </c>
      <c r="B15">
        <v>57.17</v>
      </c>
      <c r="C15">
        <v>57.17</v>
      </c>
      <c r="D15">
        <v>52.49</v>
      </c>
      <c r="E15">
        <v>53.18</v>
      </c>
      <c r="F15">
        <v>10501.49</v>
      </c>
      <c r="G15">
        <v>53.18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-0.70512820512820606</v>
      </c>
      <c r="Q15">
        <f t="shared" ref="Q15" si="51">F15*P15</f>
        <v>-7404.8967948718046</v>
      </c>
      <c r="R15">
        <f t="shared" ref="R15" si="52">R16+Q15</f>
        <v>-865315.78822196729</v>
      </c>
      <c r="S15">
        <f t="shared" ref="S15" si="53">R15/100000</f>
        <v>-8.6531578822196735</v>
      </c>
      <c r="T15">
        <f t="shared" ref="T15" si="54">S15/1000</f>
        <v>-8.6531578822196739E-3</v>
      </c>
    </row>
    <row r="16" spans="1:20" x14ac:dyDescent="0.25">
      <c r="A16" s="5">
        <v>44577</v>
      </c>
      <c r="B16">
        <v>56.03</v>
      </c>
      <c r="C16">
        <v>57.5</v>
      </c>
      <c r="D16">
        <v>54.75</v>
      </c>
      <c r="E16">
        <v>57.17</v>
      </c>
      <c r="F16">
        <v>6344.93</v>
      </c>
      <c r="G16">
        <v>57.17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0.76000000000000123</v>
      </c>
      <c r="Q16">
        <f t="shared" ref="Q16" si="56">F16*P16</f>
        <v>4822.1468000000077</v>
      </c>
      <c r="R16">
        <f t="shared" ref="R16" si="57">R17+Q16</f>
        <v>-857910.89142709551</v>
      </c>
      <c r="S16">
        <f t="shared" ref="S16" si="58">R16/100000</f>
        <v>-8.5791089142709556</v>
      </c>
      <c r="T16">
        <f t="shared" ref="T16" si="59">S16/1000</f>
        <v>-8.579108914270956E-3</v>
      </c>
    </row>
    <row r="17" spans="1:20" x14ac:dyDescent="0.25">
      <c r="A17" s="5">
        <v>44576</v>
      </c>
      <c r="B17">
        <v>54.83</v>
      </c>
      <c r="C17">
        <v>58.74</v>
      </c>
      <c r="D17">
        <v>53.68</v>
      </c>
      <c r="E17">
        <v>56.03</v>
      </c>
      <c r="F17">
        <v>44261.91</v>
      </c>
      <c r="G17">
        <v>56.03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-7.114624505928839E-2</v>
      </c>
      <c r="Q17">
        <f t="shared" ref="Q17" si="61">F17*P17</f>
        <v>-3149.0686956521677</v>
      </c>
      <c r="R17">
        <f t="shared" ref="R17" si="62">R18+Q17</f>
        <v>-862733.0382270955</v>
      </c>
      <c r="S17">
        <f t="shared" ref="S17" si="63">R17/100000</f>
        <v>-8.6273303822709551</v>
      </c>
      <c r="T17">
        <f t="shared" ref="T17" si="64">S17/1000</f>
        <v>-8.6273303822709552E-3</v>
      </c>
    </row>
    <row r="18" spans="1:20" x14ac:dyDescent="0.25">
      <c r="A18" s="5">
        <v>44575</v>
      </c>
      <c r="B18">
        <v>54.54</v>
      </c>
      <c r="C18">
        <v>57.25</v>
      </c>
      <c r="D18">
        <v>53.71</v>
      </c>
      <c r="E18">
        <v>54.67</v>
      </c>
      <c r="F18">
        <v>20549.849999999999</v>
      </c>
      <c r="G18">
        <v>54.67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-0.45762711864406719</v>
      </c>
      <c r="Q18">
        <f t="shared" ref="Q18" si="66">F18*P18</f>
        <v>-9404.168644067784</v>
      </c>
      <c r="R18">
        <f t="shared" ref="R18" si="67">R19+Q18</f>
        <v>-859583.96953144332</v>
      </c>
      <c r="S18">
        <f t="shared" ref="S18" si="68">R18/100000</f>
        <v>-8.5958396953144334</v>
      </c>
      <c r="T18">
        <f t="shared" ref="T18" si="69">S18/1000</f>
        <v>-8.5958396953144337E-3</v>
      </c>
    </row>
    <row r="19" spans="1:20" x14ac:dyDescent="0.25">
      <c r="A19" s="5">
        <v>44574</v>
      </c>
      <c r="B19">
        <v>55.93</v>
      </c>
      <c r="C19">
        <v>59.49</v>
      </c>
      <c r="D19">
        <v>53.46</v>
      </c>
      <c r="E19">
        <v>54.66</v>
      </c>
      <c r="F19">
        <v>23730.37</v>
      </c>
      <c r="G19">
        <v>54.66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-0.60199004975124526</v>
      </c>
      <c r="Q19">
        <f t="shared" ref="Q19" si="71">F19*P19</f>
        <v>-14285.446616915457</v>
      </c>
      <c r="R19">
        <f t="shared" ref="R19" si="72">R20+Q19</f>
        <v>-850179.80088737549</v>
      </c>
      <c r="S19">
        <f t="shared" ref="S19" si="73">R19/100000</f>
        <v>-8.5017980088737541</v>
      </c>
      <c r="T19">
        <f t="shared" ref="T19" si="74">S19/1000</f>
        <v>-8.5017980088737538E-3</v>
      </c>
    </row>
    <row r="20" spans="1:20" x14ac:dyDescent="0.25">
      <c r="A20" s="5">
        <v>44573</v>
      </c>
      <c r="B20">
        <v>54.1</v>
      </c>
      <c r="C20">
        <v>57.59</v>
      </c>
      <c r="D20">
        <v>53.8</v>
      </c>
      <c r="E20">
        <v>55.9</v>
      </c>
      <c r="F20">
        <v>16791.400000000001</v>
      </c>
      <c r="G20">
        <v>55.9</v>
      </c>
      <c r="L20" t="s">
        <v>7</v>
      </c>
      <c r="M20" t="s">
        <v>8</v>
      </c>
      <c r="N20" t="s">
        <v>7</v>
      </c>
      <c r="P20">
        <f t="shared" ref="P20" si="75">IF(C20=D20,0,((E20-D20)-(C20-E20))/(C20-D20))</f>
        <v>0.10817941952506488</v>
      </c>
      <c r="Q20">
        <f t="shared" ref="Q20" si="76">F20*P20</f>
        <v>1816.4839050131745</v>
      </c>
      <c r="R20">
        <f t="shared" ref="R20" si="77">R21+Q20</f>
        <v>-835894.35427046008</v>
      </c>
      <c r="S20">
        <f t="shared" ref="S20" si="78">R20/100000</f>
        <v>-8.3589435427046013</v>
      </c>
      <c r="T20">
        <f t="shared" ref="T20" si="79">S20/1000</f>
        <v>-8.3589435427046006E-3</v>
      </c>
    </row>
    <row r="21" spans="1:20" x14ac:dyDescent="0.25">
      <c r="A21" s="5">
        <v>44572</v>
      </c>
      <c r="B21">
        <v>50.47</v>
      </c>
      <c r="C21">
        <v>58.45</v>
      </c>
      <c r="D21">
        <v>49.49</v>
      </c>
      <c r="E21">
        <v>54.09</v>
      </c>
      <c r="F21">
        <v>44029.08</v>
      </c>
      <c r="G21">
        <v>54.09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2.6785714285714506E-2</v>
      </c>
      <c r="Q21">
        <f t="shared" ref="Q21" si="81">F21*P21</f>
        <v>1179.3503571428669</v>
      </c>
      <c r="R21">
        <f t="shared" ref="R21" si="82">R22+Q21</f>
        <v>-837710.83817547327</v>
      </c>
      <c r="S21">
        <f t="shared" ref="S21" si="83">R21/100000</f>
        <v>-8.3771083817547325</v>
      </c>
      <c r="T21">
        <f t="shared" ref="T21" si="84">S21/1000</f>
        <v>-8.3771083817547332E-3</v>
      </c>
    </row>
    <row r="22" spans="1:20" x14ac:dyDescent="0.25">
      <c r="A22" s="5">
        <v>44571</v>
      </c>
      <c r="B22">
        <v>52.33</v>
      </c>
      <c r="C22">
        <v>52.65</v>
      </c>
      <c r="D22">
        <v>48.28</v>
      </c>
      <c r="E22">
        <v>50.48</v>
      </c>
      <c r="F22">
        <v>12064.84</v>
      </c>
      <c r="G22">
        <v>50.48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6.8649885583510406E-3</v>
      </c>
      <c r="Q22">
        <f t="shared" ref="Q22" si="86">F22*P22</f>
        <v>82.824988558335974</v>
      </c>
      <c r="R22">
        <f t="shared" ref="R22" si="87">R23+Q22</f>
        <v>-838890.18853261613</v>
      </c>
      <c r="S22">
        <f t="shared" ref="S22" si="88">R22/100000</f>
        <v>-8.3889018853261614</v>
      </c>
      <c r="T22">
        <f t="shared" ref="T22" si="89">S22/1000</f>
        <v>-8.388901885326162E-3</v>
      </c>
    </row>
    <row r="23" spans="1:20" x14ac:dyDescent="0.25">
      <c r="A23" s="5">
        <v>44570</v>
      </c>
      <c r="B23">
        <v>52.03</v>
      </c>
      <c r="C23">
        <v>53.97</v>
      </c>
      <c r="D23">
        <v>51.47</v>
      </c>
      <c r="E23">
        <v>52.41</v>
      </c>
      <c r="F23">
        <v>7407.8</v>
      </c>
      <c r="G23">
        <v>52.41</v>
      </c>
      <c r="L23" t="s">
        <v>7</v>
      </c>
      <c r="M23" t="s">
        <v>7</v>
      </c>
      <c r="N23" t="s">
        <v>8</v>
      </c>
      <c r="P23">
        <f t="shared" ref="P23" si="90">IF(C23=D23,0,((E23-D23)-(C23-E23))/(C23-D23))</f>
        <v>-0.24800000000000183</v>
      </c>
      <c r="Q23">
        <f t="shared" ref="Q23" si="91">F23*P23</f>
        <v>-1837.1344000000136</v>
      </c>
      <c r="R23">
        <f t="shared" ref="R23" si="92">R24+Q23</f>
        <v>-838973.01352117443</v>
      </c>
      <c r="S23">
        <f t="shared" ref="S23" si="93">R23/100000</f>
        <v>-8.3897301352117442</v>
      </c>
      <c r="T23">
        <f t="shared" ref="T23" si="94">S23/1000</f>
        <v>-8.3897301352117443E-3</v>
      </c>
    </row>
    <row r="24" spans="1:20" x14ac:dyDescent="0.25">
      <c r="A24" s="5">
        <v>44569</v>
      </c>
      <c r="B24">
        <v>55.01</v>
      </c>
      <c r="C24">
        <v>56.79</v>
      </c>
      <c r="D24">
        <v>50.83</v>
      </c>
      <c r="E24">
        <v>52.03</v>
      </c>
      <c r="F24">
        <v>15590.75</v>
      </c>
      <c r="G24">
        <v>52.03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-0.59731543624160988</v>
      </c>
      <c r="Q24">
        <f t="shared" ref="Q24" si="96">F24*P24</f>
        <v>-9312.5956375838796</v>
      </c>
      <c r="R24">
        <f t="shared" ref="R24" si="97">R25+Q24</f>
        <v>-837135.87912117445</v>
      </c>
      <c r="S24">
        <f t="shared" ref="S24" si="98">R24/100000</f>
        <v>-8.371358791211744</v>
      </c>
      <c r="T24">
        <f t="shared" ref="T24" si="99">S24/1000</f>
        <v>-8.3713587912117443E-3</v>
      </c>
    </row>
    <row r="25" spans="1:20" x14ac:dyDescent="0.25">
      <c r="A25" s="5">
        <v>44568</v>
      </c>
      <c r="B25">
        <v>60.86</v>
      </c>
      <c r="C25">
        <v>60.86</v>
      </c>
      <c r="D25">
        <v>54.45</v>
      </c>
      <c r="E25">
        <v>55.01</v>
      </c>
      <c r="F25">
        <v>6178.92</v>
      </c>
      <c r="G25">
        <v>55.01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-0.82527301092043825</v>
      </c>
      <c r="Q25">
        <f t="shared" ref="Q25" si="101">F25*P25</f>
        <v>-5099.295912636514</v>
      </c>
      <c r="R25">
        <f t="shared" ref="R25" si="102">R26+Q25</f>
        <v>-827823.28348359058</v>
      </c>
      <c r="S25">
        <f t="shared" ref="S25" si="103">R25/100000</f>
        <v>-8.2782328348359062</v>
      </c>
      <c r="T25">
        <f t="shared" ref="T25" si="104">S25/1000</f>
        <v>-8.278232834835907E-3</v>
      </c>
    </row>
    <row r="26" spans="1:20" x14ac:dyDescent="0.25">
      <c r="A26" s="5">
        <v>44567</v>
      </c>
      <c r="B26">
        <v>59</v>
      </c>
      <c r="C26">
        <v>61.99</v>
      </c>
      <c r="D26">
        <v>54.79</v>
      </c>
      <c r="E26">
        <v>60.86</v>
      </c>
      <c r="F26">
        <v>25754.82</v>
      </c>
      <c r="G26">
        <v>60.86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0.68611111111111056</v>
      </c>
      <c r="Q26">
        <f t="shared" ref="Q26" si="106">F26*P26</f>
        <v>17670.668166666652</v>
      </c>
      <c r="R26">
        <f t="shared" ref="R26" si="107">R27+Q26</f>
        <v>-822723.98757095402</v>
      </c>
      <c r="S26">
        <f t="shared" ref="S26" si="108">R26/100000</f>
        <v>-8.2272398757095395</v>
      </c>
      <c r="T26">
        <f t="shared" ref="T26" si="109">S26/1000</f>
        <v>-8.2272398757095404E-3</v>
      </c>
    </row>
    <row r="27" spans="1:20" x14ac:dyDescent="0.25">
      <c r="A27" s="5">
        <v>44566</v>
      </c>
      <c r="B27">
        <v>64.47</v>
      </c>
      <c r="C27">
        <v>66.33</v>
      </c>
      <c r="D27">
        <v>55.92</v>
      </c>
      <c r="E27">
        <v>59</v>
      </c>
      <c r="F27">
        <v>23744.42</v>
      </c>
      <c r="G27">
        <v>59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-0.40826128722382338</v>
      </c>
      <c r="Q27">
        <f t="shared" ref="Q27" si="111">F27*P27</f>
        <v>-9693.927473583095</v>
      </c>
      <c r="R27">
        <f t="shared" ref="R27" si="112">R28+Q27</f>
        <v>-840394.65573762066</v>
      </c>
      <c r="S27">
        <f t="shared" ref="S27" si="113">R27/100000</f>
        <v>-8.4039465573762069</v>
      </c>
      <c r="T27">
        <f t="shared" ref="T27" si="114">S27/1000</f>
        <v>-8.4039465573762066E-3</v>
      </c>
    </row>
    <row r="28" spans="1:20" x14ac:dyDescent="0.25">
      <c r="A28" s="5">
        <v>44565</v>
      </c>
      <c r="B28">
        <v>64.17</v>
      </c>
      <c r="C28">
        <v>67.209999999999994</v>
      </c>
      <c r="D28">
        <v>62.92</v>
      </c>
      <c r="E28">
        <v>64.45</v>
      </c>
      <c r="F28">
        <v>6089.41</v>
      </c>
      <c r="G28">
        <v>64.45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-0.28671328671328489</v>
      </c>
      <c r="Q28">
        <f t="shared" ref="Q28" si="116">F28*P28</f>
        <v>-1745.9147552447441</v>
      </c>
      <c r="R28">
        <f t="shared" ref="R28" si="117">R29+Q28</f>
        <v>-830700.72826403752</v>
      </c>
      <c r="S28">
        <f t="shared" ref="S28" si="118">R28/100000</f>
        <v>-8.3070072826403756</v>
      </c>
      <c r="T28">
        <f t="shared" ref="T28" si="119">S28/1000</f>
        <v>-8.3070072826403763E-3</v>
      </c>
    </row>
    <row r="29" spans="1:20" x14ac:dyDescent="0.25">
      <c r="A29" s="5">
        <v>44564</v>
      </c>
      <c r="B29">
        <v>67.47</v>
      </c>
      <c r="C29">
        <v>69.64</v>
      </c>
      <c r="D29">
        <v>63.56</v>
      </c>
      <c r="E29">
        <v>64.17</v>
      </c>
      <c r="F29">
        <v>9154.8700000000008</v>
      </c>
      <c r="G29">
        <v>64.17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-0.79934210526315808</v>
      </c>
      <c r="Q29">
        <f t="shared" ref="Q29" si="121">F29*P29</f>
        <v>-7317.8730592105285</v>
      </c>
      <c r="R29">
        <f t="shared" ref="R29" si="122">R30+Q29</f>
        <v>-828954.81350879278</v>
      </c>
      <c r="S29">
        <f t="shared" ref="S29" si="123">R29/100000</f>
        <v>-8.2895481350879283</v>
      </c>
      <c r="T29">
        <f t="shared" ref="T29" si="124">S29/1000</f>
        <v>-8.2895481350879277E-3</v>
      </c>
    </row>
    <row r="30" spans="1:20" x14ac:dyDescent="0.25">
      <c r="A30" s="5">
        <v>44563</v>
      </c>
      <c r="B30">
        <v>63.44</v>
      </c>
      <c r="C30">
        <v>70.14</v>
      </c>
      <c r="D30">
        <v>62.02</v>
      </c>
      <c r="E30">
        <v>67.33</v>
      </c>
      <c r="F30">
        <v>20641.68</v>
      </c>
      <c r="G30">
        <v>67.33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0.30788177339901401</v>
      </c>
      <c r="Q30">
        <f t="shared" ref="Q30" si="126">F30*P30</f>
        <v>6355.1970443349601</v>
      </c>
      <c r="R30">
        <f t="shared" ref="R30" si="127">R31+Q30</f>
        <v>-821636.9404495823</v>
      </c>
      <c r="S30">
        <f t="shared" ref="S30" si="128">R30/100000</f>
        <v>-8.2163694044958238</v>
      </c>
      <c r="T30">
        <f t="shared" ref="T30" si="129">S30/1000</f>
        <v>-8.2163694044958234E-3</v>
      </c>
    </row>
    <row r="31" spans="1:20" x14ac:dyDescent="0.25">
      <c r="A31" s="5">
        <v>44562</v>
      </c>
      <c r="B31">
        <v>59.24</v>
      </c>
      <c r="C31">
        <v>64.89</v>
      </c>
      <c r="D31">
        <v>59.21</v>
      </c>
      <c r="E31">
        <v>63.56</v>
      </c>
      <c r="F31">
        <v>24892.13</v>
      </c>
      <c r="G31">
        <v>63.56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0.53169014084507105</v>
      </c>
      <c r="Q31">
        <f t="shared" ref="Q31" si="131">F31*P31</f>
        <v>13234.900105633818</v>
      </c>
      <c r="R31">
        <f t="shared" ref="R31" si="132">R32+Q31</f>
        <v>-827992.13749391725</v>
      </c>
      <c r="S31">
        <f t="shared" ref="S31" si="133">R31/100000</f>
        <v>-8.2799213749391729</v>
      </c>
      <c r="T31">
        <f t="shared" ref="T31" si="134">S31/1000</f>
        <v>-8.2799213749391726E-3</v>
      </c>
    </row>
    <row r="32" spans="1:20" x14ac:dyDescent="0.25">
      <c r="A32" s="5">
        <v>44561</v>
      </c>
      <c r="B32">
        <v>59.56</v>
      </c>
      <c r="C32">
        <v>62.99</v>
      </c>
      <c r="D32">
        <v>57.65</v>
      </c>
      <c r="E32">
        <v>59.27</v>
      </c>
      <c r="F32">
        <v>9509.31</v>
      </c>
      <c r="G32">
        <v>59.27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-0.39325842696629082</v>
      </c>
      <c r="Q32">
        <f t="shared" ref="Q32" si="136">F32*P32</f>
        <v>-3739.6162921348187</v>
      </c>
      <c r="R32">
        <f t="shared" ref="R32" si="137">R33+Q32</f>
        <v>-841227.03759955103</v>
      </c>
      <c r="S32">
        <f t="shared" ref="S32" si="138">R32/100000</f>
        <v>-8.4122703759955098</v>
      </c>
      <c r="T32">
        <f t="shared" ref="T32" si="139">S32/1000</f>
        <v>-8.4122703759955102E-3</v>
      </c>
    </row>
    <row r="33" spans="1:20" x14ac:dyDescent="0.25">
      <c r="A33" s="5">
        <v>44560</v>
      </c>
      <c r="B33">
        <v>59.57</v>
      </c>
      <c r="C33">
        <v>61.52</v>
      </c>
      <c r="D33">
        <v>57.89</v>
      </c>
      <c r="E33">
        <v>59.65</v>
      </c>
      <c r="F33">
        <v>9031.2099999999991</v>
      </c>
      <c r="G33">
        <v>59.65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-3.0303030303032084E-2</v>
      </c>
      <c r="Q33">
        <f t="shared" ref="Q33" si="141">F33*P33</f>
        <v>-273.67303030304635</v>
      </c>
      <c r="R33">
        <f t="shared" ref="R33" si="142">R34+Q33</f>
        <v>-837487.42130741617</v>
      </c>
      <c r="S33">
        <f t="shared" ref="S33" si="143">R33/100000</f>
        <v>-8.3748742130741611</v>
      </c>
      <c r="T33">
        <f t="shared" ref="T33" si="144">S33/1000</f>
        <v>-8.3748742130741616E-3</v>
      </c>
    </row>
    <row r="34" spans="1:20" x14ac:dyDescent="0.25">
      <c r="A34" s="5">
        <v>44559</v>
      </c>
      <c r="B34">
        <v>63.36</v>
      </c>
      <c r="C34">
        <v>64.430000000000007</v>
      </c>
      <c r="D34">
        <v>59.27</v>
      </c>
      <c r="E34">
        <v>59.63</v>
      </c>
      <c r="F34">
        <v>17780.14</v>
      </c>
      <c r="G34">
        <v>59.63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-0.86046511627907007</v>
      </c>
      <c r="Q34">
        <f t="shared" ref="Q34" si="146">F34*P34</f>
        <v>-15299.190232558145</v>
      </c>
      <c r="R34">
        <f t="shared" ref="R34" si="147">R35+Q34</f>
        <v>-837213.74827711307</v>
      </c>
      <c r="S34">
        <f t="shared" ref="S34" si="148">R34/100000</f>
        <v>-8.3721374827711301</v>
      </c>
      <c r="T34">
        <f t="shared" ref="T34" si="149">S34/1000</f>
        <v>-8.3721374827711303E-3</v>
      </c>
    </row>
    <row r="35" spans="1:20" x14ac:dyDescent="0.25">
      <c r="A35" s="5">
        <v>44558</v>
      </c>
      <c r="B35">
        <v>69.09</v>
      </c>
      <c r="C35">
        <v>69.14</v>
      </c>
      <c r="D35">
        <v>63.39</v>
      </c>
      <c r="E35">
        <v>63.41</v>
      </c>
      <c r="F35">
        <v>11324.16</v>
      </c>
      <c r="G35">
        <v>63.41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-0.99304347826087092</v>
      </c>
      <c r="Q35">
        <f t="shared" ref="Q35" si="151">F35*P35</f>
        <v>-11245.383234782625</v>
      </c>
      <c r="R35">
        <f t="shared" ref="R35" si="152">R36+Q35</f>
        <v>-821914.5580445549</v>
      </c>
      <c r="S35">
        <f t="shared" ref="S35" si="153">R35/100000</f>
        <v>-8.2191455804455487</v>
      </c>
      <c r="T35">
        <f t="shared" ref="T35" si="154">S35/1000</f>
        <v>-8.2191455804455481E-3</v>
      </c>
    </row>
    <row r="36" spans="1:20" x14ac:dyDescent="0.25">
      <c r="A36" s="5">
        <v>44557</v>
      </c>
      <c r="B36">
        <v>69.59</v>
      </c>
      <c r="C36">
        <v>71.05</v>
      </c>
      <c r="D36">
        <v>68.959999999999994</v>
      </c>
      <c r="E36">
        <v>69.09</v>
      </c>
      <c r="F36">
        <v>7954.05</v>
      </c>
      <c r="G36">
        <v>69.09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-0.87559808612439283</v>
      </c>
      <c r="Q36">
        <f t="shared" ref="Q36" si="156">F36*P36</f>
        <v>-6964.5509569377273</v>
      </c>
      <c r="R36">
        <f t="shared" ref="R36" si="157">R37+Q36</f>
        <v>-810669.17480977229</v>
      </c>
      <c r="S36">
        <f t="shared" ref="S36" si="158">R36/100000</f>
        <v>-8.1066917480977221</v>
      </c>
      <c r="T36">
        <f t="shared" ref="T36" si="159">S36/1000</f>
        <v>-8.1066917480977219E-3</v>
      </c>
    </row>
    <row r="37" spans="1:20" x14ac:dyDescent="0.25">
      <c r="A37" s="5">
        <v>44556</v>
      </c>
      <c r="B37">
        <v>69.260000000000005</v>
      </c>
      <c r="C37">
        <v>70.7</v>
      </c>
      <c r="D37">
        <v>67.680000000000007</v>
      </c>
      <c r="E37">
        <v>69.680000000000007</v>
      </c>
      <c r="F37">
        <v>4550.4399999999996</v>
      </c>
      <c r="G37">
        <v>69.680000000000007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0.32450331125827991</v>
      </c>
      <c r="Q37">
        <f t="shared" ref="Q37" si="161">F37*P37</f>
        <v>1476.632847682127</v>
      </c>
      <c r="R37">
        <f t="shared" ref="R37" si="162">R38+Q37</f>
        <v>-803704.62385283457</v>
      </c>
      <c r="S37">
        <f t="shared" ref="S37" si="163">R37/100000</f>
        <v>-8.0370462385283457</v>
      </c>
      <c r="T37">
        <f t="shared" ref="T37" si="164">S37/1000</f>
        <v>-8.0370462385283455E-3</v>
      </c>
    </row>
    <row r="38" spans="1:20" x14ac:dyDescent="0.25">
      <c r="A38" s="5">
        <v>44555</v>
      </c>
      <c r="B38">
        <v>70.59</v>
      </c>
      <c r="C38">
        <v>70.66</v>
      </c>
      <c r="D38">
        <v>67.959999999999994</v>
      </c>
      <c r="E38">
        <v>69.17</v>
      </c>
      <c r="F38">
        <v>11494.06</v>
      </c>
      <c r="G38">
        <v>69.17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-0.10370370370369875</v>
      </c>
      <c r="Q38">
        <f t="shared" ref="Q38" si="166">F38*P38</f>
        <v>-1191.9765925925356</v>
      </c>
      <c r="R38">
        <f t="shared" ref="R38" si="167">R39+Q38</f>
        <v>-805181.25670051668</v>
      </c>
      <c r="S38">
        <f t="shared" ref="S38" si="168">R38/100000</f>
        <v>-8.0518125670051663</v>
      </c>
      <c r="T38">
        <f t="shared" ref="T38" si="169">S38/1000</f>
        <v>-8.051812567005167E-3</v>
      </c>
    </row>
    <row r="39" spans="1:20" x14ac:dyDescent="0.25">
      <c r="A39" s="5">
        <v>44554</v>
      </c>
      <c r="B39">
        <v>70</v>
      </c>
      <c r="C39">
        <v>71.05</v>
      </c>
      <c r="D39">
        <v>69.400000000000006</v>
      </c>
      <c r="E39">
        <v>70.59</v>
      </c>
      <c r="F39">
        <v>14966.77</v>
      </c>
      <c r="G39">
        <v>70.59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0.44242424242424711</v>
      </c>
      <c r="Q39">
        <f t="shared" ref="Q39" si="171">F39*P39</f>
        <v>6621.6618787879488</v>
      </c>
      <c r="R39">
        <f t="shared" ref="R39" si="172">R40+Q39</f>
        <v>-803989.28010792413</v>
      </c>
      <c r="S39">
        <f t="shared" ref="S39" si="173">R39/100000</f>
        <v>-8.0398928010792421</v>
      </c>
      <c r="T39">
        <f t="shared" ref="T39" si="174">S39/1000</f>
        <v>-8.0398928010792427E-3</v>
      </c>
    </row>
    <row r="40" spans="1:20" x14ac:dyDescent="0.25">
      <c r="A40" s="5">
        <v>44553</v>
      </c>
      <c r="B40">
        <v>67.319999999999993</v>
      </c>
      <c r="C40">
        <v>71.05</v>
      </c>
      <c r="D40">
        <v>64.680000000000007</v>
      </c>
      <c r="E40">
        <v>69.989999999999995</v>
      </c>
      <c r="F40">
        <v>63129.73</v>
      </c>
      <c r="G40">
        <v>69.989999999999995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0.66718995290423744</v>
      </c>
      <c r="Q40">
        <f t="shared" ref="Q40" si="176">F40*P40</f>
        <v>42119.521585557224</v>
      </c>
      <c r="R40">
        <f t="shared" ref="R40" si="177">R41+Q40</f>
        <v>-810610.94198671205</v>
      </c>
      <c r="S40">
        <f t="shared" ref="S40" si="178">R40/100000</f>
        <v>-8.1061094198671206</v>
      </c>
      <c r="T40">
        <f t="shared" ref="T40" si="179">S40/1000</f>
        <v>-8.1061094198671205E-3</v>
      </c>
    </row>
    <row r="41" spans="1:20" x14ac:dyDescent="0.25">
      <c r="A41" s="5">
        <v>44552</v>
      </c>
      <c r="B41">
        <v>68.819999999999993</v>
      </c>
      <c r="C41">
        <v>70.67</v>
      </c>
      <c r="D41">
        <v>66.83</v>
      </c>
      <c r="E41">
        <v>67.319999999999993</v>
      </c>
      <c r="F41">
        <v>21685.16</v>
      </c>
      <c r="G41">
        <v>67.319999999999993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-0.74479166666666952</v>
      </c>
      <c r="Q41">
        <f t="shared" ref="Q41" si="181">F41*P41</f>
        <v>-16150.926458333395</v>
      </c>
      <c r="R41">
        <f t="shared" ref="R41" si="182">R42+Q41</f>
        <v>-852730.46357226931</v>
      </c>
      <c r="S41">
        <f t="shared" ref="S41" si="183">R41/100000</f>
        <v>-8.5273046357226931</v>
      </c>
      <c r="T41">
        <f t="shared" ref="T41" si="184">S41/1000</f>
        <v>-8.5273046357226927E-3</v>
      </c>
    </row>
    <row r="42" spans="1:20" x14ac:dyDescent="0.25">
      <c r="A42" s="5">
        <v>44551</v>
      </c>
      <c r="B42">
        <v>65.680000000000007</v>
      </c>
      <c r="C42">
        <v>70.150000000000006</v>
      </c>
      <c r="D42">
        <v>64.069999999999993</v>
      </c>
      <c r="E42">
        <v>68.819999999999993</v>
      </c>
      <c r="F42">
        <v>31374.89</v>
      </c>
      <c r="G42">
        <v>68.819999999999993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0.56249999999999678</v>
      </c>
      <c r="Q42">
        <f t="shared" ref="Q42" si="186">F42*P42</f>
        <v>17648.375624999899</v>
      </c>
      <c r="R42">
        <f t="shared" ref="R42" si="187">R43+Q42</f>
        <v>-836579.53711393592</v>
      </c>
      <c r="S42">
        <f t="shared" ref="S42" si="188">R42/100000</f>
        <v>-8.3657953711393596</v>
      </c>
      <c r="T42">
        <f t="shared" ref="T42" si="189">S42/1000</f>
        <v>-8.3657953711393594E-3</v>
      </c>
    </row>
    <row r="43" spans="1:20" x14ac:dyDescent="0.25">
      <c r="A43" s="5">
        <v>44550</v>
      </c>
      <c r="B43">
        <v>67.97</v>
      </c>
      <c r="C43">
        <v>68</v>
      </c>
      <c r="D43">
        <v>63.77</v>
      </c>
      <c r="E43">
        <v>65.67</v>
      </c>
      <c r="F43">
        <v>17084.43</v>
      </c>
      <c r="G43">
        <v>65.67</v>
      </c>
      <c r="L43" t="s">
        <v>7</v>
      </c>
      <c r="M43" t="s">
        <v>8</v>
      </c>
      <c r="N43" t="s">
        <v>8</v>
      </c>
      <c r="P43">
        <f t="shared" ref="P43" si="190">IF(C43=D43,0,((E43-D43)-(C43-E43))/(C43-D43))</f>
        <v>-0.10165484633569741</v>
      </c>
      <c r="Q43">
        <f t="shared" ref="Q43" si="191">F43*P43</f>
        <v>-1736.715106382979</v>
      </c>
      <c r="R43">
        <f t="shared" ref="R43" si="192">R44+Q43</f>
        <v>-854227.91273893579</v>
      </c>
      <c r="S43">
        <f t="shared" ref="S43" si="193">R43/100000</f>
        <v>-8.5422791273893584</v>
      </c>
      <c r="T43">
        <f t="shared" ref="T43" si="194">S43/1000</f>
        <v>-8.5422791273893576E-3</v>
      </c>
    </row>
    <row r="44" spans="1:20" x14ac:dyDescent="0.25">
      <c r="A44" s="5">
        <v>44549</v>
      </c>
      <c r="B44">
        <v>70.760000000000005</v>
      </c>
      <c r="C44">
        <v>70.760000000000005</v>
      </c>
      <c r="D44">
        <v>66.02</v>
      </c>
      <c r="E44">
        <v>67.739999999999995</v>
      </c>
      <c r="F44">
        <v>11215.87</v>
      </c>
      <c r="G44">
        <v>67.739999999999995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-0.27426160337552929</v>
      </c>
      <c r="Q44">
        <f t="shared" ref="Q44" si="196">F44*P44</f>
        <v>-3076.0824894514981</v>
      </c>
      <c r="R44">
        <f t="shared" ref="R44" si="197">R45+Q44</f>
        <v>-852491.19763255282</v>
      </c>
      <c r="S44">
        <f t="shared" ref="S44" si="198">R44/100000</f>
        <v>-8.5249119763255283</v>
      </c>
      <c r="T44">
        <f t="shared" ref="T44" si="199">S44/1000</f>
        <v>-8.5249119763255287E-3</v>
      </c>
    </row>
    <row r="45" spans="1:20" x14ac:dyDescent="0.25">
      <c r="A45" s="5">
        <v>44548</v>
      </c>
      <c r="B45">
        <v>68.95</v>
      </c>
      <c r="C45">
        <v>71.989999999999995</v>
      </c>
      <c r="D45">
        <v>66.989999999999995</v>
      </c>
      <c r="E45">
        <v>70.83</v>
      </c>
      <c r="F45">
        <v>75956.240000000005</v>
      </c>
      <c r="G45">
        <v>70.83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0.53600000000000136</v>
      </c>
      <c r="Q45">
        <f t="shared" ref="Q45" si="201">F45*P45</f>
        <v>40712.544640000109</v>
      </c>
      <c r="R45">
        <f t="shared" ref="R45" si="202">R46+Q45</f>
        <v>-849415.11514310131</v>
      </c>
      <c r="S45">
        <f t="shared" ref="S45" si="203">R45/100000</f>
        <v>-8.494151151431014</v>
      </c>
      <c r="T45">
        <f t="shared" ref="T45" si="204">S45/1000</f>
        <v>-8.4941511514310137E-3</v>
      </c>
    </row>
    <row r="46" spans="1:20" x14ac:dyDescent="0.25">
      <c r="A46" s="5">
        <v>44547</v>
      </c>
      <c r="B46">
        <v>66.760000000000005</v>
      </c>
      <c r="C46">
        <v>71.5</v>
      </c>
      <c r="D46">
        <v>65.040000000000006</v>
      </c>
      <c r="E46">
        <v>69.09</v>
      </c>
      <c r="F46">
        <v>54372.61</v>
      </c>
      <c r="G46">
        <v>69.09</v>
      </c>
      <c r="L46" t="s">
        <v>7</v>
      </c>
      <c r="M46" t="s">
        <v>8</v>
      </c>
      <c r="N46" t="s">
        <v>8</v>
      </c>
      <c r="P46">
        <f t="shared" ref="P46" si="205">IF(C46=D46,0,((E46-D46)-(C46-E46))/(C46-D46))</f>
        <v>0.253869969040248</v>
      </c>
      <c r="Q46">
        <f t="shared" ref="Q46" si="206">F46*P46</f>
        <v>13803.572817337479</v>
      </c>
      <c r="R46">
        <f t="shared" ref="R46" si="207">R47+Q46</f>
        <v>-890127.65978310141</v>
      </c>
      <c r="S46">
        <f t="shared" ref="S46" si="208">R46/100000</f>
        <v>-8.9012765978310142</v>
      </c>
      <c r="T46">
        <f t="shared" ref="T46" si="209">S46/1000</f>
        <v>-8.9012765978310135E-3</v>
      </c>
    </row>
    <row r="47" spans="1:20" x14ac:dyDescent="0.25">
      <c r="A47" s="5">
        <v>44546</v>
      </c>
      <c r="B47">
        <v>69.930000000000007</v>
      </c>
      <c r="C47">
        <v>72.599999999999994</v>
      </c>
      <c r="D47">
        <v>66.77</v>
      </c>
      <c r="E47">
        <v>66.97</v>
      </c>
      <c r="F47">
        <v>66486.990000000005</v>
      </c>
      <c r="G47">
        <v>66.97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-0.93138936535162853</v>
      </c>
      <c r="Q47">
        <f t="shared" ref="Q47" si="211">F47*P47</f>
        <v>-61925.275420240076</v>
      </c>
      <c r="R47">
        <f t="shared" ref="R47" si="212">R48+Q47</f>
        <v>-903931.23260043887</v>
      </c>
      <c r="S47">
        <f t="shared" ref="S47" si="213">R47/100000</f>
        <v>-9.0393123260043886</v>
      </c>
      <c r="T47">
        <f t="shared" ref="T47" si="214">S47/1000</f>
        <v>-9.0393123260043892E-3</v>
      </c>
    </row>
    <row r="48" spans="1:20" x14ac:dyDescent="0.25">
      <c r="A48" s="5">
        <v>44545</v>
      </c>
      <c r="B48">
        <v>66.63</v>
      </c>
      <c r="C48">
        <v>71.8</v>
      </c>
      <c r="D48">
        <v>62.91</v>
      </c>
      <c r="E48">
        <v>69.87</v>
      </c>
      <c r="F48">
        <v>121077.04</v>
      </c>
      <c r="G48">
        <v>69.87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0.56580427446569348</v>
      </c>
      <c r="Q48">
        <f t="shared" ref="Q48" si="216">F48*P48</f>
        <v>68505.906771653739</v>
      </c>
      <c r="R48">
        <f t="shared" ref="R48" si="217">R49+Q48</f>
        <v>-842005.95718019875</v>
      </c>
      <c r="S48">
        <f t="shared" ref="S48" si="218">R48/100000</f>
        <v>-8.4200595718019873</v>
      </c>
      <c r="T48">
        <f t="shared" ref="T48" si="219">S48/1000</f>
        <v>-8.4200595718019865E-3</v>
      </c>
    </row>
    <row r="49" spans="1:20" x14ac:dyDescent="0.25">
      <c r="A49" s="5">
        <v>44544</v>
      </c>
      <c r="B49">
        <v>50.23</v>
      </c>
      <c r="C49">
        <v>70.45</v>
      </c>
      <c r="D49">
        <v>49.69</v>
      </c>
      <c r="E49">
        <v>66.67</v>
      </c>
      <c r="F49">
        <v>579253.35</v>
      </c>
      <c r="G49">
        <v>66.67</v>
      </c>
      <c r="L49" t="s">
        <v>8</v>
      </c>
      <c r="M49" t="s">
        <v>8</v>
      </c>
      <c r="N49" t="s">
        <v>8</v>
      </c>
      <c r="P49">
        <f t="shared" ref="P49" si="220">IF(C49=D49,0,((E49-D49)-(C49-E49))/(C49-D49))</f>
        <v>0.63583815028901736</v>
      </c>
      <c r="Q49">
        <f t="shared" ref="Q49" si="221">F49*P49</f>
        <v>368311.37861271674</v>
      </c>
      <c r="R49">
        <f t="shared" ref="R49" si="222">R50+Q49</f>
        <v>-910511.86395185255</v>
      </c>
      <c r="S49">
        <f t="shared" ref="S49" si="223">R49/100000</f>
        <v>-9.1051186395185262</v>
      </c>
      <c r="T49">
        <f t="shared" ref="T49" si="224">S49/1000</f>
        <v>-9.1051186395185255E-3</v>
      </c>
    </row>
    <row r="50" spans="1:20" x14ac:dyDescent="0.25">
      <c r="A50" s="5">
        <v>44543</v>
      </c>
      <c r="B50">
        <v>51.65</v>
      </c>
      <c r="C50">
        <v>53.43</v>
      </c>
      <c r="D50">
        <v>46.57</v>
      </c>
      <c r="E50">
        <v>50.23</v>
      </c>
      <c r="F50">
        <v>22134.94</v>
      </c>
      <c r="G50">
        <v>50.23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6.705539358600493E-2</v>
      </c>
      <c r="Q50">
        <f t="shared" ref="Q50" si="226">F50*P50</f>
        <v>1484.2671137026039</v>
      </c>
      <c r="R50">
        <f t="shared" ref="R50" si="227">R51+Q50</f>
        <v>-1278823.2425645692</v>
      </c>
      <c r="S50">
        <f t="shared" ref="S50" si="228">R50/100000</f>
        <v>-12.788232425645692</v>
      </c>
      <c r="T50">
        <f t="shared" ref="T50" si="229">S50/1000</f>
        <v>-1.2788232425645692E-2</v>
      </c>
    </row>
    <row r="51" spans="1:20" x14ac:dyDescent="0.25">
      <c r="A51" s="5">
        <v>44542</v>
      </c>
      <c r="B51">
        <v>51.24</v>
      </c>
      <c r="C51">
        <v>54.24</v>
      </c>
      <c r="D51">
        <v>49.83</v>
      </c>
      <c r="E51">
        <v>51.65</v>
      </c>
      <c r="F51">
        <v>20427.759999999998</v>
      </c>
      <c r="G51">
        <v>51.65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-0.17460317460317518</v>
      </c>
      <c r="Q51">
        <f t="shared" ref="Q51" si="231">F51*P51</f>
        <v>-3566.7517460317576</v>
      </c>
      <c r="R51">
        <f t="shared" ref="R51" si="232">R52+Q51</f>
        <v>-1280307.5096782718</v>
      </c>
      <c r="S51">
        <f t="shared" ref="S51" si="233">R51/100000</f>
        <v>-12.803075096782718</v>
      </c>
      <c r="T51">
        <f t="shared" ref="T51" si="234">S51/1000</f>
        <v>-1.2803075096782718E-2</v>
      </c>
    </row>
    <row r="52" spans="1:20" x14ac:dyDescent="0.25">
      <c r="A52" s="5">
        <v>44541</v>
      </c>
      <c r="B52">
        <v>50.52</v>
      </c>
      <c r="C52">
        <v>51.03</v>
      </c>
      <c r="D52">
        <v>49.85</v>
      </c>
      <c r="E52">
        <v>50.66</v>
      </c>
      <c r="F52">
        <v>321.43</v>
      </c>
      <c r="G52">
        <v>50.66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0.37288135593219551</v>
      </c>
      <c r="Q52">
        <f t="shared" ref="Q52" si="236">F52*P52</f>
        <v>119.85525423728561</v>
      </c>
      <c r="R52">
        <f t="shared" ref="R52" si="237">R53+Q52</f>
        <v>-1276740.7579322401</v>
      </c>
      <c r="S52">
        <f t="shared" ref="S52" si="238">R52/100000</f>
        <v>-12.767407579322402</v>
      </c>
      <c r="T52">
        <f t="shared" ref="T52" si="239">S52/1000</f>
        <v>-1.2767407579322402E-2</v>
      </c>
    </row>
    <row r="53" spans="1:20" x14ac:dyDescent="0.25">
      <c r="A53" s="5">
        <v>44540</v>
      </c>
      <c r="B53">
        <v>52.44</v>
      </c>
      <c r="C53">
        <v>54.26</v>
      </c>
      <c r="D53">
        <v>50.17</v>
      </c>
      <c r="E53">
        <v>50.6</v>
      </c>
      <c r="F53">
        <v>42494.95</v>
      </c>
      <c r="G53">
        <v>50.6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-0.7897310513447432</v>
      </c>
      <c r="Q53">
        <f t="shared" ref="Q53" si="241">F53*P53</f>
        <v>-33559.581540342289</v>
      </c>
      <c r="R53">
        <f t="shared" ref="R53" si="242">R54+Q53</f>
        <v>-1276860.6131864775</v>
      </c>
      <c r="S53">
        <f t="shared" ref="S53" si="243">R53/100000</f>
        <v>-12.768606131864775</v>
      </c>
      <c r="T53">
        <f t="shared" ref="T53" si="244">S53/1000</f>
        <v>-1.2768606131864774E-2</v>
      </c>
    </row>
    <row r="54" spans="1:20" x14ac:dyDescent="0.25">
      <c r="A54" s="5">
        <v>44539</v>
      </c>
      <c r="B54">
        <v>60.17</v>
      </c>
      <c r="C54">
        <v>62</v>
      </c>
      <c r="D54">
        <v>52.61</v>
      </c>
      <c r="E54">
        <v>52.61</v>
      </c>
      <c r="F54">
        <v>19516.29</v>
      </c>
      <c r="G54">
        <v>52.61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-1</v>
      </c>
      <c r="Q54">
        <f t="shared" ref="Q54" si="246">F54*P54</f>
        <v>-19516.29</v>
      </c>
      <c r="R54">
        <f t="shared" ref="R54" si="247">R55+Q54</f>
        <v>-1243301.0316461353</v>
      </c>
      <c r="S54">
        <f t="shared" ref="S54" si="248">R54/100000</f>
        <v>-12.433010316461353</v>
      </c>
      <c r="T54">
        <f t="shared" ref="T54" si="249">S54/1000</f>
        <v>-1.2433010316461353E-2</v>
      </c>
    </row>
    <row r="55" spans="1:20" x14ac:dyDescent="0.25">
      <c r="A55" s="5">
        <v>44538</v>
      </c>
      <c r="B55">
        <v>58.96</v>
      </c>
      <c r="C55">
        <v>60.18</v>
      </c>
      <c r="D55">
        <v>54.36</v>
      </c>
      <c r="E55">
        <v>60.17</v>
      </c>
      <c r="F55">
        <v>26492.62</v>
      </c>
      <c r="G55">
        <v>60.17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0.99656357388316219</v>
      </c>
      <c r="Q55">
        <f t="shared" ref="Q55" si="251">F55*P55</f>
        <v>26401.580068728541</v>
      </c>
      <c r="R55">
        <f t="shared" ref="R55" si="252">R56+Q55</f>
        <v>-1223784.7416461352</v>
      </c>
      <c r="S55">
        <f t="shared" ref="S55" si="253">R55/100000</f>
        <v>-12.237847416461353</v>
      </c>
      <c r="T55">
        <f t="shared" ref="T55" si="254">S55/1000</f>
        <v>-1.2237847416461353E-2</v>
      </c>
    </row>
    <row r="56" spans="1:20" x14ac:dyDescent="0.25">
      <c r="A56" s="5">
        <v>44537</v>
      </c>
      <c r="B56">
        <v>60.4</v>
      </c>
      <c r="C56">
        <v>61.96</v>
      </c>
      <c r="D56">
        <v>56.87</v>
      </c>
      <c r="E56">
        <v>58.7</v>
      </c>
      <c r="F56">
        <v>36308.49</v>
      </c>
      <c r="G56">
        <v>58.7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-0.28094302554027339</v>
      </c>
      <c r="Q56">
        <f t="shared" ref="Q56" si="256">F56*P56</f>
        <v>-10200.617033398761</v>
      </c>
      <c r="R56">
        <f t="shared" ref="R56" si="257">R57+Q56</f>
        <v>-1250186.3217148639</v>
      </c>
      <c r="S56">
        <f t="shared" ref="S56" si="258">R56/100000</f>
        <v>-12.501863217148639</v>
      </c>
      <c r="T56">
        <f t="shared" ref="T56" si="259">S56/1000</f>
        <v>-1.250186321714864E-2</v>
      </c>
    </row>
    <row r="57" spans="1:20" x14ac:dyDescent="0.25">
      <c r="A57" s="5">
        <v>44536</v>
      </c>
      <c r="B57">
        <v>62.37</v>
      </c>
      <c r="C57">
        <v>62.37</v>
      </c>
      <c r="D57">
        <v>55.47</v>
      </c>
      <c r="E57">
        <v>60.4</v>
      </c>
      <c r="F57">
        <v>38342.019999999997</v>
      </c>
      <c r="G57">
        <v>60.4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0.42898550724637702</v>
      </c>
      <c r="Q57">
        <f t="shared" ref="Q57" si="261">F57*P57</f>
        <v>16448.170898550732</v>
      </c>
      <c r="R57">
        <f t="shared" ref="R57" si="262">R58+Q57</f>
        <v>-1239985.7046814652</v>
      </c>
      <c r="S57">
        <f t="shared" ref="S57" si="263">R57/100000</f>
        <v>-12.399857046814653</v>
      </c>
      <c r="T57">
        <f t="shared" ref="T57" si="264">S57/1000</f>
        <v>-1.2399857046814653E-2</v>
      </c>
    </row>
    <row r="58" spans="1:20" x14ac:dyDescent="0.25">
      <c r="A58" s="5">
        <v>44535</v>
      </c>
      <c r="B58">
        <v>63.26</v>
      </c>
      <c r="C58">
        <v>67.66</v>
      </c>
      <c r="D58">
        <v>58.6</v>
      </c>
      <c r="E58">
        <v>62.2</v>
      </c>
      <c r="F58">
        <v>23491.34</v>
      </c>
      <c r="G58">
        <v>62.2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-0.20529801324503238</v>
      </c>
      <c r="Q58">
        <f t="shared" ref="Q58" si="266">F58*P58</f>
        <v>-4822.725430463559</v>
      </c>
      <c r="R58">
        <f t="shared" ref="R58" si="267">R59+Q58</f>
        <v>-1256433.8755800158</v>
      </c>
      <c r="S58">
        <f t="shared" ref="S58" si="268">R58/100000</f>
        <v>-12.564338755800158</v>
      </c>
      <c r="T58">
        <f t="shared" ref="T58" si="269">S58/1000</f>
        <v>-1.2564338755800158E-2</v>
      </c>
    </row>
    <row r="59" spans="1:20" x14ac:dyDescent="0.25">
      <c r="A59" s="5">
        <v>44534</v>
      </c>
      <c r="B59">
        <v>71.150000000000006</v>
      </c>
      <c r="C59">
        <v>71.41</v>
      </c>
      <c r="D59">
        <v>50.26</v>
      </c>
      <c r="E59">
        <v>63.42</v>
      </c>
      <c r="F59">
        <v>23897.06</v>
      </c>
      <c r="G59">
        <v>63.42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0.24444444444444488</v>
      </c>
      <c r="Q59">
        <f t="shared" ref="Q59" si="271">F59*P59</f>
        <v>5841.503555555566</v>
      </c>
      <c r="R59">
        <f t="shared" ref="R59" si="272">R60+Q59</f>
        <v>-1251611.1501495522</v>
      </c>
      <c r="S59">
        <f t="shared" ref="S59" si="273">R59/100000</f>
        <v>-12.516111501495521</v>
      </c>
      <c r="T59">
        <f t="shared" ref="T59" si="274">S59/1000</f>
        <v>-1.251611150149552E-2</v>
      </c>
    </row>
    <row r="60" spans="1:20" x14ac:dyDescent="0.25">
      <c r="A60" s="5">
        <v>44533</v>
      </c>
      <c r="B60">
        <v>71.98</v>
      </c>
      <c r="C60">
        <v>75.489999999999995</v>
      </c>
      <c r="D60">
        <v>68.77</v>
      </c>
      <c r="E60">
        <v>71.19</v>
      </c>
      <c r="F60">
        <v>24266.23</v>
      </c>
      <c r="G60">
        <v>71.19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-0.27976190476190416</v>
      </c>
      <c r="Q60">
        <f t="shared" ref="Q60" si="276">F60*P60</f>
        <v>-6788.7667261904617</v>
      </c>
      <c r="R60">
        <f t="shared" ref="R60" si="277">R61+Q60</f>
        <v>-1257452.6537051077</v>
      </c>
      <c r="S60">
        <f t="shared" ref="S60" si="278">R60/100000</f>
        <v>-12.574526537051078</v>
      </c>
      <c r="T60">
        <f t="shared" ref="T60" si="279">S60/1000</f>
        <v>-1.2574526537051078E-2</v>
      </c>
    </row>
    <row r="61" spans="1:20" x14ac:dyDescent="0.25">
      <c r="A61" s="5">
        <v>44532</v>
      </c>
      <c r="B61">
        <v>70.52</v>
      </c>
      <c r="C61">
        <v>73.19</v>
      </c>
      <c r="D61">
        <v>68.36</v>
      </c>
      <c r="E61">
        <v>72.16</v>
      </c>
      <c r="F61">
        <v>20676.46</v>
      </c>
      <c r="G61">
        <v>72.16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0.57349896480331197</v>
      </c>
      <c r="Q61">
        <f t="shared" ref="Q61" si="281">F61*P61</f>
        <v>11857.928405797087</v>
      </c>
      <c r="R61">
        <f t="shared" ref="R61" si="282">R62+Q61</f>
        <v>-1250663.8869789173</v>
      </c>
      <c r="S61">
        <f t="shared" ref="S61" si="283">R61/100000</f>
        <v>-12.506638869789173</v>
      </c>
      <c r="T61">
        <f t="shared" ref="T61" si="284">S61/1000</f>
        <v>-1.2506638869789173E-2</v>
      </c>
    </row>
    <row r="62" spans="1:20" x14ac:dyDescent="0.25">
      <c r="A62" s="5">
        <v>44531</v>
      </c>
      <c r="B62">
        <v>72.260000000000005</v>
      </c>
      <c r="C62">
        <v>76</v>
      </c>
      <c r="D62">
        <v>70.040000000000006</v>
      </c>
      <c r="E62">
        <v>70.510000000000005</v>
      </c>
      <c r="F62">
        <v>13416.45</v>
      </c>
      <c r="G62">
        <v>70.510000000000005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-0.84228187919463104</v>
      </c>
      <c r="Q62">
        <f t="shared" ref="Q62" si="286">F62*P62</f>
        <v>-11300.432718120808</v>
      </c>
      <c r="R62">
        <f t="shared" ref="R62" si="287">R63+Q62</f>
        <v>-1262521.8153847144</v>
      </c>
      <c r="S62">
        <f t="shared" ref="S62" si="288">R62/100000</f>
        <v>-12.625218153847143</v>
      </c>
      <c r="T62">
        <f t="shared" ref="T62" si="289">S62/1000</f>
        <v>-1.2625218153847144E-2</v>
      </c>
    </row>
    <row r="63" spans="1:20" x14ac:dyDescent="0.25">
      <c r="A63" s="5">
        <v>44530</v>
      </c>
      <c r="B63">
        <v>74.41</v>
      </c>
      <c r="C63">
        <v>77.56</v>
      </c>
      <c r="D63">
        <v>71.23</v>
      </c>
      <c r="E63">
        <v>72.319999999999993</v>
      </c>
      <c r="F63">
        <v>15989.25</v>
      </c>
      <c r="G63">
        <v>72.319999999999993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-0.65560821484992438</v>
      </c>
      <c r="Q63">
        <f t="shared" ref="Q63" si="291">F63*P63</f>
        <v>-10482.683649289153</v>
      </c>
      <c r="R63">
        <f t="shared" ref="R63" si="292">R64+Q63</f>
        <v>-1251221.3826665937</v>
      </c>
      <c r="S63">
        <f t="shared" ref="S63" si="293">R63/100000</f>
        <v>-12.512213826665937</v>
      </c>
      <c r="T63">
        <f t="shared" ref="T63" si="294">S63/1000</f>
        <v>-1.2512213826665937E-2</v>
      </c>
    </row>
    <row r="64" spans="1:20" x14ac:dyDescent="0.25">
      <c r="A64" s="5">
        <v>44529</v>
      </c>
      <c r="B64">
        <v>72.010000000000005</v>
      </c>
      <c r="C64">
        <v>76.180000000000007</v>
      </c>
      <c r="D64">
        <v>70.53</v>
      </c>
      <c r="E64">
        <v>74.41</v>
      </c>
      <c r="F64">
        <v>12817.46</v>
      </c>
      <c r="G64">
        <v>74.41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0.3734513274336253</v>
      </c>
      <c r="Q64">
        <f t="shared" ref="Q64" si="296">F64*P64</f>
        <v>4786.6974513273944</v>
      </c>
      <c r="R64">
        <f t="shared" ref="R64" si="297">R65+Q64</f>
        <v>-1240738.6990173045</v>
      </c>
      <c r="S64">
        <f t="shared" ref="S64" si="298">R64/100000</f>
        <v>-12.407386990173045</v>
      </c>
      <c r="T64">
        <f t="shared" ref="T64" si="299">S64/1000</f>
        <v>-1.2407386990173045E-2</v>
      </c>
    </row>
    <row r="65" spans="1:20" x14ac:dyDescent="0.25">
      <c r="A65" s="5">
        <v>44528</v>
      </c>
      <c r="B65">
        <v>70.37</v>
      </c>
      <c r="C65">
        <v>72.36</v>
      </c>
      <c r="D65">
        <v>66</v>
      </c>
      <c r="E65">
        <v>72.010000000000005</v>
      </c>
      <c r="F65">
        <v>10702.94</v>
      </c>
      <c r="G65">
        <v>72.010000000000005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0.88993710691824079</v>
      </c>
      <c r="Q65">
        <f t="shared" ref="Q65" si="301">F65*P65</f>
        <v>9524.9434591195168</v>
      </c>
      <c r="R65">
        <f t="shared" ref="R65" si="302">R66+Q65</f>
        <v>-1245525.3964686319</v>
      </c>
      <c r="S65">
        <f t="shared" ref="S65" si="303">R65/100000</f>
        <v>-12.455253964686319</v>
      </c>
      <c r="T65">
        <f t="shared" ref="T65" si="304">S65/1000</f>
        <v>-1.245525396468632E-2</v>
      </c>
    </row>
    <row r="66" spans="1:20" x14ac:dyDescent="0.25">
      <c r="A66" s="5">
        <v>44527</v>
      </c>
      <c r="B66">
        <v>71.3</v>
      </c>
      <c r="C66">
        <v>73.8</v>
      </c>
      <c r="D66">
        <v>69.14</v>
      </c>
      <c r="E66">
        <v>70.37</v>
      </c>
      <c r="F66">
        <v>19381.66</v>
      </c>
      <c r="G66">
        <v>70.37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-0.47210300429184338</v>
      </c>
      <c r="Q66">
        <f t="shared" ref="Q66" si="306">F66*P66</f>
        <v>-9150.1399141630482</v>
      </c>
      <c r="R66">
        <f t="shared" ref="R66" si="307">R67+Q66</f>
        <v>-1255050.3399277513</v>
      </c>
      <c r="S66">
        <f t="shared" ref="S66" si="308">R66/100000</f>
        <v>-12.550503399277513</v>
      </c>
      <c r="T66">
        <f t="shared" ref="T66" si="309">S66/1000</f>
        <v>-1.2550503399277513E-2</v>
      </c>
    </row>
    <row r="67" spans="1:20" x14ac:dyDescent="0.25">
      <c r="A67" s="5">
        <v>44526</v>
      </c>
      <c r="B67">
        <v>81.8</v>
      </c>
      <c r="C67">
        <v>82.48</v>
      </c>
      <c r="D67">
        <v>71.099999999999994</v>
      </c>
      <c r="E67">
        <v>71.319999999999993</v>
      </c>
      <c r="F67">
        <v>25009.33</v>
      </c>
      <c r="G67">
        <v>71.319999999999993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-0.96133567662565933</v>
      </c>
      <c r="Q67">
        <f t="shared" ref="Q67" si="311">F67*P67</f>
        <v>-24042.361177504401</v>
      </c>
      <c r="R67">
        <f t="shared" ref="R67" si="312">R68+Q67</f>
        <v>-1245900.2000135882</v>
      </c>
      <c r="S67">
        <f t="shared" ref="S67" si="313">R67/100000</f>
        <v>-12.459002000135882</v>
      </c>
      <c r="T67">
        <f t="shared" ref="T67" si="314">S67/1000</f>
        <v>-1.2459002000135883E-2</v>
      </c>
    </row>
    <row r="68" spans="1:20" x14ac:dyDescent="0.25">
      <c r="A68" s="5">
        <v>44525</v>
      </c>
      <c r="B68">
        <v>82</v>
      </c>
      <c r="C68">
        <v>82.82</v>
      </c>
      <c r="D68">
        <v>80.599999999999994</v>
      </c>
      <c r="E68">
        <v>81.760000000000005</v>
      </c>
      <c r="F68">
        <v>9587.65</v>
      </c>
      <c r="G68">
        <v>81.760000000000005</v>
      </c>
      <c r="L68" t="s">
        <v>7</v>
      </c>
      <c r="M68" t="s">
        <v>8</v>
      </c>
      <c r="N68" t="s">
        <v>8</v>
      </c>
      <c r="P68">
        <f t="shared" ref="P68" si="315">IF(C68=D68,0,((E68-D68)-(C68-E68))/(C68-D68))</f>
        <v>4.5045045045055312E-2</v>
      </c>
      <c r="Q68">
        <f t="shared" ref="Q68" si="316">F68*P68</f>
        <v>431.87612612622456</v>
      </c>
      <c r="R68">
        <f t="shared" ref="R68" si="317">R69+Q68</f>
        <v>-1221857.8388360839</v>
      </c>
      <c r="S68">
        <f t="shared" ref="S68" si="318">R68/100000</f>
        <v>-12.218578388360839</v>
      </c>
      <c r="T68">
        <f t="shared" ref="T68" si="319">S68/1000</f>
        <v>-1.2218578388360839E-2</v>
      </c>
    </row>
    <row r="69" spans="1:20" x14ac:dyDescent="0.25">
      <c r="A69" s="5">
        <v>44524</v>
      </c>
      <c r="B69">
        <v>86.47</v>
      </c>
      <c r="C69">
        <v>87.02</v>
      </c>
      <c r="D69">
        <v>85.35</v>
      </c>
      <c r="E69">
        <v>85.77</v>
      </c>
      <c r="F69">
        <v>4194.2700000000004</v>
      </c>
      <c r="G69">
        <v>85.77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-0.49700598802395057</v>
      </c>
      <c r="Q69">
        <f t="shared" ref="Q69" si="321">F69*P69</f>
        <v>-2084.5773053892153</v>
      </c>
      <c r="R69">
        <f t="shared" ref="R69" si="322">R70+Q69</f>
        <v>-1222289.71496221</v>
      </c>
      <c r="S69">
        <f t="shared" ref="S69" si="323">R69/100000</f>
        <v>-12.222897149622101</v>
      </c>
      <c r="T69">
        <f t="shared" ref="T69" si="324">S69/1000</f>
        <v>-1.2222897149622101E-2</v>
      </c>
    </row>
    <row r="70" spans="1:20" x14ac:dyDescent="0.25">
      <c r="A70" s="5">
        <v>44523</v>
      </c>
      <c r="B70">
        <v>82.62</v>
      </c>
      <c r="C70">
        <v>88.79</v>
      </c>
      <c r="D70">
        <v>79.89</v>
      </c>
      <c r="E70">
        <v>86.33</v>
      </c>
      <c r="F70">
        <v>23670.22</v>
      </c>
      <c r="G70">
        <v>86.33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0.44719101123595362</v>
      </c>
      <c r="Q70">
        <f t="shared" ref="Q70" si="326">F70*P70</f>
        <v>10585.109617977494</v>
      </c>
      <c r="R70">
        <f t="shared" ref="R70" si="327">R71+Q70</f>
        <v>-1220205.1376568209</v>
      </c>
      <c r="S70">
        <f t="shared" ref="S70" si="328">R70/100000</f>
        <v>-12.202051376568209</v>
      </c>
      <c r="T70">
        <f t="shared" ref="T70" si="329">S70/1000</f>
        <v>-1.2202051376568209E-2</v>
      </c>
    </row>
    <row r="71" spans="1:20" x14ac:dyDescent="0.25">
      <c r="A71" s="5">
        <v>44522</v>
      </c>
      <c r="B71">
        <v>83.69</v>
      </c>
      <c r="C71">
        <v>86.76</v>
      </c>
      <c r="D71">
        <v>82</v>
      </c>
      <c r="E71">
        <v>82.61</v>
      </c>
      <c r="F71">
        <v>21244.75</v>
      </c>
      <c r="G71">
        <v>82.61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-0.74369747899159711</v>
      </c>
      <c r="Q71">
        <f t="shared" ref="Q71" si="331">F71*P71</f>
        <v>-15799.667016806732</v>
      </c>
      <c r="R71">
        <f t="shared" ref="R71" si="332">R72+Q71</f>
        <v>-1230790.2472747983</v>
      </c>
      <c r="S71">
        <f t="shared" ref="S71" si="333">R71/100000</f>
        <v>-12.307902472747983</v>
      </c>
      <c r="T71">
        <f t="shared" ref="T71" si="334">S71/1000</f>
        <v>-1.2307902472747984E-2</v>
      </c>
    </row>
    <row r="72" spans="1:20" x14ac:dyDescent="0.25">
      <c r="A72" s="5">
        <v>44521</v>
      </c>
      <c r="B72">
        <v>87.92</v>
      </c>
      <c r="C72">
        <v>89.42</v>
      </c>
      <c r="D72">
        <v>83.69</v>
      </c>
      <c r="E72">
        <v>83.69</v>
      </c>
      <c r="F72">
        <v>15754.27</v>
      </c>
      <c r="G72">
        <v>83.69</v>
      </c>
      <c r="L72" t="s">
        <v>7</v>
      </c>
      <c r="M72" t="s">
        <v>8</v>
      </c>
      <c r="N72" t="s">
        <v>8</v>
      </c>
      <c r="P72">
        <f t="shared" ref="P72" si="335">IF(C72=D72,0,((E72-D72)-(C72-E72))/(C72-D72))</f>
        <v>-1</v>
      </c>
      <c r="Q72">
        <f t="shared" ref="Q72" si="336">F72*P72</f>
        <v>-15754.27</v>
      </c>
      <c r="R72">
        <f t="shared" ref="R72" si="337">R73+Q72</f>
        <v>-1214990.5802579916</v>
      </c>
      <c r="S72">
        <f t="shared" ref="S72" si="338">R72/100000</f>
        <v>-12.149905802579916</v>
      </c>
      <c r="T72">
        <f t="shared" ref="T72" si="339">S72/1000</f>
        <v>-1.2149905802579916E-2</v>
      </c>
    </row>
    <row r="73" spans="1:20" x14ac:dyDescent="0.25">
      <c r="A73" s="5">
        <v>44520</v>
      </c>
      <c r="B73">
        <v>84.13</v>
      </c>
      <c r="C73">
        <v>91.49</v>
      </c>
      <c r="D73">
        <v>83.98</v>
      </c>
      <c r="E73">
        <v>87.89</v>
      </c>
      <c r="F73">
        <v>29507.19</v>
      </c>
      <c r="G73">
        <v>87.89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4.127829560585921E-2</v>
      </c>
      <c r="Q73">
        <f t="shared" ref="Q73" si="341">F73*P73</f>
        <v>1218.0065113182527</v>
      </c>
      <c r="R73">
        <f t="shared" ref="R73" si="342">R74+Q73</f>
        <v>-1199236.3102579915</v>
      </c>
      <c r="S73">
        <f t="shared" ref="S73" si="343">R73/100000</f>
        <v>-11.992363102579915</v>
      </c>
      <c r="T73">
        <f t="shared" ref="T73" si="344">S73/1000</f>
        <v>-1.1992363102579916E-2</v>
      </c>
    </row>
    <row r="74" spans="1:20" x14ac:dyDescent="0.25">
      <c r="A74" s="5">
        <v>44519</v>
      </c>
      <c r="B74">
        <v>74.510000000000005</v>
      </c>
      <c r="C74">
        <v>86.56</v>
      </c>
      <c r="D74">
        <v>74.19</v>
      </c>
      <c r="E74">
        <v>84.13</v>
      </c>
      <c r="F74">
        <v>25306.2</v>
      </c>
      <c r="G74">
        <v>84.13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0.60711398544866513</v>
      </c>
      <c r="Q74">
        <f t="shared" ref="Q74" si="346">F74*P74</f>
        <v>15363.74793856101</v>
      </c>
      <c r="R74">
        <f t="shared" ref="R74" si="347">R75+Q74</f>
        <v>-1200454.3167693098</v>
      </c>
      <c r="S74">
        <f t="shared" ref="S74" si="348">R74/100000</f>
        <v>-12.004543167693098</v>
      </c>
      <c r="T74">
        <f t="shared" ref="T74" si="349">S74/1000</f>
        <v>-1.2004543167693098E-2</v>
      </c>
    </row>
    <row r="75" spans="1:20" x14ac:dyDescent="0.25">
      <c r="A75" s="5">
        <v>44518</v>
      </c>
      <c r="B75">
        <v>80.650000000000006</v>
      </c>
      <c r="C75">
        <v>83.2</v>
      </c>
      <c r="D75">
        <v>74.03</v>
      </c>
      <c r="E75">
        <v>74.52</v>
      </c>
      <c r="F75">
        <v>33544.720000000001</v>
      </c>
      <c r="G75">
        <v>74.52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-0.89312977099236757</v>
      </c>
      <c r="Q75">
        <f t="shared" ref="Q75" si="351">F75*P75</f>
        <v>-29959.788091603092</v>
      </c>
      <c r="R75">
        <f t="shared" ref="R75" si="352">R76+Q75</f>
        <v>-1215818.0647078708</v>
      </c>
      <c r="S75">
        <f t="shared" ref="S75" si="353">R75/100000</f>
        <v>-12.158180647078709</v>
      </c>
      <c r="T75">
        <f t="shared" ref="T75" si="354">S75/1000</f>
        <v>-1.2158180647078709E-2</v>
      </c>
    </row>
    <row r="76" spans="1:20" x14ac:dyDescent="0.25">
      <c r="A76" s="5">
        <v>44517</v>
      </c>
      <c r="B76">
        <v>77.16</v>
      </c>
      <c r="C76">
        <v>82.32</v>
      </c>
      <c r="D76">
        <v>74.45</v>
      </c>
      <c r="E76">
        <v>80.64</v>
      </c>
      <c r="F76">
        <v>24671.68</v>
      </c>
      <c r="G76">
        <v>80.64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0.57306226175349562</v>
      </c>
      <c r="Q76">
        <f t="shared" ref="Q76" si="356">F76*P76</f>
        <v>14138.408742058484</v>
      </c>
      <c r="R76">
        <f t="shared" ref="R76" si="357">R77+Q76</f>
        <v>-1185858.2766162676</v>
      </c>
      <c r="S76">
        <f t="shared" ref="S76" si="358">R76/100000</f>
        <v>-11.858582766162677</v>
      </c>
      <c r="T76">
        <f t="shared" ref="T76" si="359">S76/1000</f>
        <v>-1.1858582766162676E-2</v>
      </c>
    </row>
    <row r="77" spans="1:20" x14ac:dyDescent="0.25">
      <c r="A77" s="5">
        <v>44516</v>
      </c>
      <c r="B77">
        <v>84.14</v>
      </c>
      <c r="C77">
        <v>84.22</v>
      </c>
      <c r="D77">
        <v>76.489999999999995</v>
      </c>
      <c r="E77">
        <v>77.16</v>
      </c>
      <c r="F77">
        <v>55002.53</v>
      </c>
      <c r="G77">
        <v>77.16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-0.82664941785252233</v>
      </c>
      <c r="Q77">
        <f t="shared" ref="Q77" si="361">F77*P77</f>
        <v>-45467.809404915897</v>
      </c>
      <c r="R77">
        <f t="shared" ref="R77" si="362">R78+Q77</f>
        <v>-1199996.6853583262</v>
      </c>
      <c r="S77">
        <f t="shared" ref="S77" si="363">R77/100000</f>
        <v>-11.999966853583262</v>
      </c>
      <c r="T77">
        <f t="shared" ref="T77" si="364">S77/1000</f>
        <v>-1.1999966853583262E-2</v>
      </c>
    </row>
    <row r="78" spans="1:20" x14ac:dyDescent="0.25">
      <c r="A78" s="5">
        <v>44515</v>
      </c>
      <c r="B78">
        <v>89.66</v>
      </c>
      <c r="C78">
        <v>98</v>
      </c>
      <c r="D78">
        <v>84.13</v>
      </c>
      <c r="E78">
        <v>84.13</v>
      </c>
      <c r="F78">
        <v>115773.73</v>
      </c>
      <c r="G78">
        <v>84.13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-1</v>
      </c>
      <c r="Q78">
        <f t="shared" ref="Q78" si="366">F78*P78</f>
        <v>-115773.73</v>
      </c>
      <c r="R78">
        <f t="shared" ref="R78" si="367">R79+Q78</f>
        <v>-1154528.8759534103</v>
      </c>
      <c r="S78">
        <f t="shared" ref="S78" si="368">R78/100000</f>
        <v>-11.545288759534102</v>
      </c>
      <c r="T78">
        <f t="shared" ref="T78" si="369">S78/1000</f>
        <v>-1.1545288759534103E-2</v>
      </c>
    </row>
    <row r="79" spans="1:20" x14ac:dyDescent="0.25">
      <c r="A79" s="5">
        <v>44514</v>
      </c>
      <c r="B79">
        <v>70.209999999999994</v>
      </c>
      <c r="C79">
        <v>97.82</v>
      </c>
      <c r="D79">
        <v>69.67</v>
      </c>
      <c r="E79">
        <v>89.68</v>
      </c>
      <c r="F79">
        <v>306113.462</v>
      </c>
      <c r="G79">
        <v>89.68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0.42166962699822458</v>
      </c>
      <c r="Q79">
        <f t="shared" ref="Q79" si="371">F79*P79</f>
        <v>129078.74934067519</v>
      </c>
      <c r="R79">
        <f t="shared" ref="R79" si="372">R80+Q79</f>
        <v>-1038755.1459534102</v>
      </c>
      <c r="S79">
        <f t="shared" ref="S79" si="373">R79/100000</f>
        <v>-10.387551459534102</v>
      </c>
      <c r="T79">
        <f t="shared" ref="T79" si="374">S79/1000</f>
        <v>-1.0387551459534102E-2</v>
      </c>
    </row>
    <row r="80" spans="1:20" x14ac:dyDescent="0.25">
      <c r="A80" s="5">
        <v>44513</v>
      </c>
      <c r="B80">
        <v>68.2</v>
      </c>
      <c r="C80">
        <v>73</v>
      </c>
      <c r="D80">
        <v>68.12</v>
      </c>
      <c r="E80">
        <v>70.459999999999994</v>
      </c>
      <c r="F80">
        <v>18088.189999999999</v>
      </c>
      <c r="G80">
        <v>70.459999999999994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-4.0983606557380585E-2</v>
      </c>
      <c r="Q80">
        <f t="shared" ref="Q80" si="376">F80*P80</f>
        <v>-741.3192622951459</v>
      </c>
      <c r="R80">
        <f t="shared" ref="R80" si="377">R81+Q80</f>
        <v>-1167833.8952940854</v>
      </c>
      <c r="S80">
        <f t="shared" ref="S80" si="378">R80/100000</f>
        <v>-11.678338952940853</v>
      </c>
      <c r="T80">
        <f t="shared" ref="T80" si="379">S80/1000</f>
        <v>-1.1678338952940853E-2</v>
      </c>
    </row>
    <row r="81" spans="1:20" x14ac:dyDescent="0.25">
      <c r="A81" s="5">
        <v>44512</v>
      </c>
      <c r="B81">
        <v>70.5</v>
      </c>
      <c r="C81">
        <v>71.430000000000007</v>
      </c>
      <c r="D81">
        <v>65.92</v>
      </c>
      <c r="E81">
        <v>68.180000000000007</v>
      </c>
      <c r="F81">
        <v>27757.59</v>
      </c>
      <c r="G81">
        <v>68.180000000000007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-0.17967332123411869</v>
      </c>
      <c r="Q81">
        <f t="shared" ref="Q81" si="381">F81*P81</f>
        <v>-4987.2983847549604</v>
      </c>
      <c r="R81">
        <f t="shared" ref="R81" si="382">R82+Q81</f>
        <v>-1167092.5760317903</v>
      </c>
      <c r="S81">
        <f t="shared" ref="S81" si="383">R81/100000</f>
        <v>-11.670925760317903</v>
      </c>
      <c r="T81">
        <f t="shared" ref="T81" si="384">S81/1000</f>
        <v>-1.1670925760317903E-2</v>
      </c>
    </row>
    <row r="82" spans="1:20" x14ac:dyDescent="0.25">
      <c r="A82" s="5">
        <v>44511</v>
      </c>
      <c r="B82">
        <v>68.790000000000006</v>
      </c>
      <c r="C82">
        <v>71.5</v>
      </c>
      <c r="D82">
        <v>67.58</v>
      </c>
      <c r="E82">
        <v>70.540000000000006</v>
      </c>
      <c r="F82">
        <v>17582.599999999999</v>
      </c>
      <c r="G82">
        <v>70.540000000000006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0.51020408163265651</v>
      </c>
      <c r="Q82">
        <f t="shared" ref="Q82" si="386">F82*P82</f>
        <v>8970.7142857143463</v>
      </c>
      <c r="R82">
        <f t="shared" ref="R82" si="387">R83+Q82</f>
        <v>-1162105.2776470354</v>
      </c>
      <c r="S82">
        <f t="shared" ref="S82" si="388">R82/100000</f>
        <v>-11.621052776470354</v>
      </c>
      <c r="T82">
        <f t="shared" ref="T82" si="389">S82/1000</f>
        <v>-1.1621052776470353E-2</v>
      </c>
    </row>
    <row r="83" spans="1:20" x14ac:dyDescent="0.25">
      <c r="A83" s="5">
        <v>44510</v>
      </c>
      <c r="B83">
        <v>72.09</v>
      </c>
      <c r="C83">
        <v>78</v>
      </c>
      <c r="D83">
        <v>67</v>
      </c>
      <c r="E83">
        <v>68.75</v>
      </c>
      <c r="F83">
        <v>31524.13</v>
      </c>
      <c r="G83">
        <v>68.75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-0.68181818181818177</v>
      </c>
      <c r="Q83">
        <f t="shared" ref="Q83" si="391">F83*P83</f>
        <v>-21493.724999999999</v>
      </c>
      <c r="R83">
        <f t="shared" ref="R83" si="392">R84+Q83</f>
        <v>-1171075.9919327497</v>
      </c>
      <c r="S83">
        <f t="shared" ref="S83" si="393">R83/100000</f>
        <v>-11.710759919327497</v>
      </c>
      <c r="T83">
        <f t="shared" ref="T83" si="394">S83/1000</f>
        <v>-1.1710759919327497E-2</v>
      </c>
    </row>
    <row r="84" spans="1:20" x14ac:dyDescent="0.25">
      <c r="A84" s="5">
        <v>44509</v>
      </c>
      <c r="B84">
        <v>73.08</v>
      </c>
      <c r="C84">
        <v>78</v>
      </c>
      <c r="D84">
        <v>70.989999999999995</v>
      </c>
      <c r="E84">
        <v>72.08</v>
      </c>
      <c r="F84">
        <v>31717.06</v>
      </c>
      <c r="G84">
        <v>72.08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-0.68901569186875822</v>
      </c>
      <c r="Q84">
        <f t="shared" ref="Q84" si="396">F84*P84</f>
        <v>-21853.552039942919</v>
      </c>
      <c r="R84">
        <f t="shared" ref="R84" si="397">R85+Q84</f>
        <v>-1149582.2669327497</v>
      </c>
      <c r="S84">
        <f t="shared" ref="S84" si="398">R84/100000</f>
        <v>-11.495822669327497</v>
      </c>
      <c r="T84">
        <f t="shared" ref="T84" si="399">S84/1000</f>
        <v>-1.1495822669327497E-2</v>
      </c>
    </row>
    <row r="85" spans="1:20" x14ac:dyDescent="0.25">
      <c r="A85" s="5">
        <v>44508</v>
      </c>
      <c r="B85">
        <v>68.59</v>
      </c>
      <c r="C85">
        <v>76</v>
      </c>
      <c r="D85">
        <v>68.59</v>
      </c>
      <c r="E85">
        <v>73.11</v>
      </c>
      <c r="F85">
        <v>33617.24</v>
      </c>
      <c r="G85">
        <v>73.11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0.21997300944669315</v>
      </c>
      <c r="Q85">
        <f t="shared" ref="Q85" si="401">F85*P85</f>
        <v>7394.8854520917503</v>
      </c>
      <c r="R85">
        <f t="shared" ref="R85" si="402">R86+Q85</f>
        <v>-1127728.7148928067</v>
      </c>
      <c r="S85">
        <f t="shared" ref="S85" si="403">R85/100000</f>
        <v>-11.277287148928067</v>
      </c>
      <c r="T85">
        <f t="shared" ref="T85" si="404">S85/1000</f>
        <v>-1.1277287148928068E-2</v>
      </c>
    </row>
    <row r="86" spans="1:20" x14ac:dyDescent="0.25">
      <c r="A86" s="5">
        <v>44507</v>
      </c>
      <c r="B86">
        <v>67.31</v>
      </c>
      <c r="C86">
        <v>71</v>
      </c>
      <c r="D86">
        <v>67.16</v>
      </c>
      <c r="E86">
        <v>68.58</v>
      </c>
      <c r="F86">
        <v>31192.78</v>
      </c>
      <c r="G86">
        <v>68.58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-0.26041666666666641</v>
      </c>
      <c r="Q86">
        <f t="shared" ref="Q86" si="406">F86*P86</f>
        <v>-8123.1197916666579</v>
      </c>
      <c r="R86">
        <f t="shared" ref="R86" si="407">R87+Q86</f>
        <v>-1135123.6003448984</v>
      </c>
      <c r="S86">
        <f t="shared" ref="S86" si="408">R86/100000</f>
        <v>-11.351236003448983</v>
      </c>
      <c r="T86">
        <f t="shared" ref="T86" si="409">S86/1000</f>
        <v>-1.1351236003448983E-2</v>
      </c>
    </row>
    <row r="87" spans="1:20" x14ac:dyDescent="0.25">
      <c r="A87" s="5">
        <v>44506</v>
      </c>
      <c r="B87">
        <v>65.05</v>
      </c>
      <c r="C87">
        <v>70</v>
      </c>
      <c r="D87">
        <v>64.38</v>
      </c>
      <c r="E87">
        <v>67.430000000000007</v>
      </c>
      <c r="F87">
        <v>44581.18</v>
      </c>
      <c r="G87">
        <v>67.430000000000007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8.5409252669042313E-2</v>
      </c>
      <c r="Q87">
        <f t="shared" ref="Q87" si="411">F87*P87</f>
        <v>3807.6452669040559</v>
      </c>
      <c r="R87">
        <f t="shared" ref="R87" si="412">R88+Q87</f>
        <v>-1127000.4805532317</v>
      </c>
      <c r="S87">
        <f t="shared" ref="S87" si="413">R87/100000</f>
        <v>-11.270004805532317</v>
      </c>
      <c r="T87">
        <f t="shared" ref="T87" si="414">S87/1000</f>
        <v>-1.1270004805532316E-2</v>
      </c>
    </row>
    <row r="88" spans="1:20" x14ac:dyDescent="0.25">
      <c r="A88" s="5">
        <v>44505</v>
      </c>
      <c r="B88">
        <v>64.12</v>
      </c>
      <c r="C88">
        <v>75.34</v>
      </c>
      <c r="D88">
        <v>63.5</v>
      </c>
      <c r="E88">
        <v>64.86</v>
      </c>
      <c r="F88">
        <v>255109.68</v>
      </c>
      <c r="G88">
        <v>64.86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-0.7702702702702704</v>
      </c>
      <c r="Q88">
        <f t="shared" ref="Q88" si="416">F88*P88</f>
        <v>-196503.40216216218</v>
      </c>
      <c r="R88">
        <f t="shared" ref="R88" si="417">R89+Q88</f>
        <v>-1130808.1258201357</v>
      </c>
      <c r="S88">
        <f t="shared" ref="S88" si="418">R88/100000</f>
        <v>-11.308081258201357</v>
      </c>
      <c r="T88">
        <f t="shared" ref="T88" si="419">S88/1000</f>
        <v>-1.1308081258201357E-2</v>
      </c>
    </row>
    <row r="89" spans="1:20" x14ac:dyDescent="0.25">
      <c r="A89" s="5">
        <v>44504</v>
      </c>
      <c r="B89">
        <v>54.89</v>
      </c>
      <c r="C89">
        <v>79.06</v>
      </c>
      <c r="D89">
        <v>53.7</v>
      </c>
      <c r="E89">
        <v>64</v>
      </c>
      <c r="F89">
        <v>219466.47</v>
      </c>
      <c r="G89">
        <v>64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-0.18769716088328095</v>
      </c>
      <c r="Q89">
        <f t="shared" ref="Q89" si="421">F89*P89</f>
        <v>-41193.233328075752</v>
      </c>
      <c r="R89">
        <f t="shared" ref="R89" si="422">R90+Q89</f>
        <v>-934304.72365797346</v>
      </c>
      <c r="S89">
        <f t="shared" ref="S89" si="423">R89/100000</f>
        <v>-9.3430472365797339</v>
      </c>
      <c r="T89">
        <f t="shared" ref="T89" si="424">S89/1000</f>
        <v>-9.3430472365797334E-3</v>
      </c>
    </row>
    <row r="90" spans="1:20" x14ac:dyDescent="0.25">
      <c r="A90" s="5">
        <v>44503</v>
      </c>
      <c r="B90">
        <v>51.52</v>
      </c>
      <c r="C90">
        <v>56.1</v>
      </c>
      <c r="D90">
        <v>50.64</v>
      </c>
      <c r="E90">
        <v>54.89</v>
      </c>
      <c r="F90">
        <v>35134.79</v>
      </c>
      <c r="G90">
        <v>54.89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0.55677655677655657</v>
      </c>
      <c r="Q90">
        <f t="shared" ref="Q90" si="426">F90*P90</f>
        <v>19562.227399267391</v>
      </c>
      <c r="R90">
        <f t="shared" ref="R90" si="427">R91+Q90</f>
        <v>-893111.49032989773</v>
      </c>
      <c r="S90">
        <f t="shared" ref="S90" si="428">R90/100000</f>
        <v>-8.9311149032989778</v>
      </c>
      <c r="T90">
        <f t="shared" ref="T90" si="429">S90/1000</f>
        <v>-8.9311149032989777E-3</v>
      </c>
    </row>
    <row r="91" spans="1:20" x14ac:dyDescent="0.25">
      <c r="A91" s="5">
        <v>44502</v>
      </c>
      <c r="B91">
        <v>49.49</v>
      </c>
      <c r="C91">
        <v>52.15</v>
      </c>
      <c r="D91">
        <v>49.31</v>
      </c>
      <c r="E91">
        <v>51.65</v>
      </c>
      <c r="F91">
        <v>21773.919999999998</v>
      </c>
      <c r="G91">
        <v>51.65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0.64788732394366155</v>
      </c>
      <c r="Q91">
        <f t="shared" ref="Q91" si="431">F91*P91</f>
        <v>14107.046760563369</v>
      </c>
      <c r="R91">
        <f t="shared" ref="R91" si="432">R92+Q91</f>
        <v>-912673.7177291651</v>
      </c>
      <c r="S91">
        <f t="shared" ref="S91" si="433">R91/100000</f>
        <v>-9.1267371772916519</v>
      </c>
      <c r="T91">
        <f t="shared" ref="T91" si="434">S91/1000</f>
        <v>-9.1267371772916512E-3</v>
      </c>
    </row>
    <row r="92" spans="1:20" x14ac:dyDescent="0.25">
      <c r="A92" s="5">
        <v>44501</v>
      </c>
      <c r="B92">
        <v>50.21</v>
      </c>
      <c r="C92">
        <v>50.48</v>
      </c>
      <c r="D92">
        <v>46.52</v>
      </c>
      <c r="E92">
        <v>49.54</v>
      </c>
      <c r="F92">
        <v>66507.740000000005</v>
      </c>
      <c r="G92">
        <v>49.54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0.52525252525252564</v>
      </c>
      <c r="Q92">
        <f t="shared" ref="Q92" si="436">F92*P92</f>
        <v>34933.358383838415</v>
      </c>
      <c r="R92">
        <f t="shared" ref="R92" si="437">R93+Q92</f>
        <v>-926780.76448972849</v>
      </c>
      <c r="S92">
        <f t="shared" ref="S92" si="438">R92/100000</f>
        <v>-9.2678076448972853</v>
      </c>
      <c r="T92">
        <f t="shared" ref="T92" si="439">S92/1000</f>
        <v>-9.267807644897286E-3</v>
      </c>
    </row>
    <row r="93" spans="1:20" x14ac:dyDescent="0.25">
      <c r="A93" s="5">
        <v>44500</v>
      </c>
      <c r="B93">
        <v>50.56</v>
      </c>
      <c r="C93">
        <v>52.5</v>
      </c>
      <c r="D93">
        <v>49.25</v>
      </c>
      <c r="E93">
        <v>50.08</v>
      </c>
      <c r="F93">
        <v>26652.31</v>
      </c>
      <c r="G93">
        <v>50.08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-0.4892307692307703</v>
      </c>
      <c r="Q93">
        <f t="shared" ref="Q93" si="441">F93*P93</f>
        <v>-13039.130123076951</v>
      </c>
      <c r="R93">
        <f t="shared" ref="R93" si="442">R94+Q93</f>
        <v>-961714.12287356693</v>
      </c>
      <c r="S93">
        <f t="shared" ref="S93" si="443">R93/100000</f>
        <v>-9.6171412287356688</v>
      </c>
      <c r="T93">
        <f t="shared" ref="T93" si="444">S93/1000</f>
        <v>-9.6171412287356685E-3</v>
      </c>
    </row>
    <row r="94" spans="1:20" x14ac:dyDescent="0.25">
      <c r="A94" s="5">
        <v>44499</v>
      </c>
      <c r="B94">
        <v>51.88</v>
      </c>
      <c r="C94">
        <v>52.09</v>
      </c>
      <c r="D94">
        <v>49.99</v>
      </c>
      <c r="E94">
        <v>50.54</v>
      </c>
      <c r="F94">
        <v>20810.79</v>
      </c>
      <c r="G94">
        <v>50.54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-0.47619047619047927</v>
      </c>
      <c r="Q94">
        <f t="shared" ref="Q94" si="446">F94*P94</f>
        <v>-9909.9000000000651</v>
      </c>
      <c r="R94">
        <f t="shared" ref="R94" si="447">R95+Q94</f>
        <v>-948674.99275048997</v>
      </c>
      <c r="S94">
        <f t="shared" ref="S94" si="448">R94/100000</f>
        <v>-9.4867499275048992</v>
      </c>
      <c r="T94">
        <f t="shared" ref="T94" si="449">S94/1000</f>
        <v>-9.4867499275048985E-3</v>
      </c>
    </row>
    <row r="95" spans="1:20" x14ac:dyDescent="0.25">
      <c r="A95" s="5">
        <v>44498</v>
      </c>
      <c r="B95">
        <v>53</v>
      </c>
      <c r="C95">
        <v>53.41</v>
      </c>
      <c r="D95">
        <v>50.98</v>
      </c>
      <c r="E95">
        <v>51.87</v>
      </c>
      <c r="F95">
        <v>49028.45</v>
      </c>
      <c r="G95">
        <v>51.87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-0.26748971193415583</v>
      </c>
      <c r="Q95">
        <f t="shared" ref="Q95" si="451">F95*P95</f>
        <v>-13114.605967078161</v>
      </c>
      <c r="R95">
        <f t="shared" ref="R95" si="452">R96+Q95</f>
        <v>-938765.09275048994</v>
      </c>
      <c r="S95">
        <f t="shared" ref="S95" si="453">R95/100000</f>
        <v>-9.3876509275049003</v>
      </c>
      <c r="T95">
        <f t="shared" ref="T95" si="454">S95/1000</f>
        <v>-9.3876509275049001E-3</v>
      </c>
    </row>
    <row r="96" spans="1:20" x14ac:dyDescent="0.25">
      <c r="A96" s="5">
        <v>44497</v>
      </c>
      <c r="B96">
        <v>54.4</v>
      </c>
      <c r="C96">
        <v>59.61</v>
      </c>
      <c r="D96">
        <v>45.14</v>
      </c>
      <c r="E96">
        <v>53.01</v>
      </c>
      <c r="F96">
        <v>209567.95</v>
      </c>
      <c r="G96">
        <v>53.01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8.7767795438838711E-2</v>
      </c>
      <c r="Q96">
        <f t="shared" ref="Q96" si="456">F96*P96</f>
        <v>18393.316966136779</v>
      </c>
      <c r="R96">
        <f t="shared" ref="R96" si="457">R97+Q96</f>
        <v>-925650.48678341182</v>
      </c>
      <c r="S96">
        <f t="shared" ref="S96" si="458">R96/100000</f>
        <v>-9.2565048678341189</v>
      </c>
      <c r="T96">
        <f t="shared" ref="T96" si="459">S96/1000</f>
        <v>-9.2565048678341193E-3</v>
      </c>
    </row>
    <row r="97" spans="1:20" x14ac:dyDescent="0.25">
      <c r="A97" s="5">
        <v>44496</v>
      </c>
      <c r="B97">
        <v>59.32</v>
      </c>
      <c r="C97">
        <v>60.29</v>
      </c>
      <c r="D97">
        <v>54.11</v>
      </c>
      <c r="E97">
        <v>54.48</v>
      </c>
      <c r="F97">
        <v>18866.150000000001</v>
      </c>
      <c r="G97">
        <v>54.48</v>
      </c>
      <c r="L97" t="s">
        <v>7</v>
      </c>
      <c r="M97" t="s">
        <v>8</v>
      </c>
      <c r="N97" t="s">
        <v>7</v>
      </c>
      <c r="P97">
        <f t="shared" ref="P97" si="460">IF(C97=D97,0,((E97-D97)-(C97-E97))/(C97-D97))</f>
        <v>-0.88025889967637627</v>
      </c>
      <c r="Q97">
        <f t="shared" ref="Q97" si="461">F97*P97</f>
        <v>-16607.096440129466</v>
      </c>
      <c r="R97">
        <f t="shared" ref="R97" si="462">R98+Q97</f>
        <v>-944043.80374954862</v>
      </c>
      <c r="S97">
        <f t="shared" ref="S97" si="463">R97/100000</f>
        <v>-9.4404380374954862</v>
      </c>
      <c r="T97">
        <f t="shared" ref="T97" si="464">S97/1000</f>
        <v>-9.4404380374954865E-3</v>
      </c>
    </row>
    <row r="98" spans="1:20" x14ac:dyDescent="0.25">
      <c r="A98" s="5">
        <v>44495</v>
      </c>
      <c r="B98">
        <v>60.67</v>
      </c>
      <c r="C98">
        <v>61.41</v>
      </c>
      <c r="D98">
        <v>58.31</v>
      </c>
      <c r="E98">
        <v>59.36</v>
      </c>
      <c r="F98">
        <v>23249.55</v>
      </c>
      <c r="G98">
        <v>59.36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-0.32258064516129092</v>
      </c>
      <c r="Q98">
        <f t="shared" ref="Q98" si="466">F98*P98</f>
        <v>-7499.8548387096907</v>
      </c>
      <c r="R98">
        <f t="shared" ref="R98" si="467">R99+Q98</f>
        <v>-927436.70730941917</v>
      </c>
      <c r="S98">
        <f t="shared" ref="S98" si="468">R98/100000</f>
        <v>-9.2743670730941918</v>
      </c>
      <c r="T98">
        <f t="shared" ref="T98" si="469">S98/1000</f>
        <v>-9.2743670730941925E-3</v>
      </c>
    </row>
    <row r="99" spans="1:20" x14ac:dyDescent="0.25">
      <c r="A99" s="5">
        <v>44494</v>
      </c>
      <c r="B99">
        <v>57.64</v>
      </c>
      <c r="C99">
        <v>60.83</v>
      </c>
      <c r="D99">
        <v>57.58</v>
      </c>
      <c r="E99">
        <v>60.81</v>
      </c>
      <c r="F99">
        <v>8429.4500000000007</v>
      </c>
      <c r="G99">
        <v>60.81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0.98769230769231009</v>
      </c>
      <c r="Q99">
        <f t="shared" ref="Q99" si="471">F99*P99</f>
        <v>8325.702923076944</v>
      </c>
      <c r="R99">
        <f t="shared" ref="R99" si="472">R100+Q99</f>
        <v>-919936.85247070948</v>
      </c>
      <c r="S99">
        <f t="shared" ref="S99" si="473">R99/100000</f>
        <v>-9.1993685247070953</v>
      </c>
      <c r="T99">
        <f t="shared" ref="T99" si="474">S99/1000</f>
        <v>-9.1993685247070949E-3</v>
      </c>
    </row>
    <row r="100" spans="1:20" x14ac:dyDescent="0.25">
      <c r="A100" s="5">
        <v>44493</v>
      </c>
      <c r="B100">
        <v>58.52</v>
      </c>
      <c r="C100">
        <v>58.94</v>
      </c>
      <c r="D100">
        <v>55.52</v>
      </c>
      <c r="E100">
        <v>57.65</v>
      </c>
      <c r="F100">
        <v>14157.31</v>
      </c>
      <c r="G100">
        <v>57.65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0.24561403508771862</v>
      </c>
      <c r="Q100">
        <f t="shared" ref="Q100" si="476">F100*P100</f>
        <v>3477.2340350877093</v>
      </c>
      <c r="R100">
        <f t="shared" ref="R100" si="477">R101+Q100</f>
        <v>-928262.5553937864</v>
      </c>
      <c r="S100">
        <f t="shared" ref="S100" si="478">R100/100000</f>
        <v>-9.2826255539378639</v>
      </c>
      <c r="T100">
        <f t="shared" ref="T100" si="479">S100/1000</f>
        <v>-9.2826255539378635E-3</v>
      </c>
    </row>
    <row r="101" spans="1:20" x14ac:dyDescent="0.25">
      <c r="A101" s="5">
        <v>44492</v>
      </c>
      <c r="B101">
        <v>57.35</v>
      </c>
      <c r="C101">
        <v>58.61</v>
      </c>
      <c r="D101">
        <v>56.1</v>
      </c>
      <c r="E101">
        <v>58.52</v>
      </c>
      <c r="F101">
        <v>7533.05</v>
      </c>
      <c r="G101">
        <v>58.52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0.92828685258964427</v>
      </c>
      <c r="Q101">
        <f t="shared" ref="Q101" si="481">F101*P101</f>
        <v>6992.8312749004199</v>
      </c>
      <c r="R101">
        <f t="shared" ref="R101" si="482">R102+Q101</f>
        <v>-931739.78942887415</v>
      </c>
      <c r="S101">
        <f t="shared" ref="S101" si="483">R101/100000</f>
        <v>-9.3173978942887423</v>
      </c>
      <c r="T101">
        <f t="shared" ref="T101" si="484">S101/1000</f>
        <v>-9.3173978942887418E-3</v>
      </c>
    </row>
    <row r="102" spans="1:20" x14ac:dyDescent="0.25">
      <c r="A102" s="5">
        <v>44491</v>
      </c>
      <c r="B102">
        <v>58.72</v>
      </c>
      <c r="C102">
        <v>60.47</v>
      </c>
      <c r="D102">
        <v>56.58</v>
      </c>
      <c r="E102">
        <v>57.27</v>
      </c>
      <c r="F102">
        <v>8702.67</v>
      </c>
      <c r="G102">
        <v>57.27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-0.64524421593830095</v>
      </c>
      <c r="Q102">
        <f t="shared" ref="Q102" si="486">F102*P102</f>
        <v>-5615.3474807197736</v>
      </c>
      <c r="R102">
        <f t="shared" ref="R102" si="487">R103+Q102</f>
        <v>-938732.62070377462</v>
      </c>
      <c r="S102">
        <f t="shared" ref="S102" si="488">R102/100000</f>
        <v>-9.3873262070377468</v>
      </c>
      <c r="T102">
        <f t="shared" ref="T102" si="489">S102/1000</f>
        <v>-9.387326207037746E-3</v>
      </c>
    </row>
    <row r="103" spans="1:20" x14ac:dyDescent="0.25">
      <c r="A103" s="5">
        <v>44490</v>
      </c>
      <c r="B103">
        <v>58.26</v>
      </c>
      <c r="C103">
        <v>59.72</v>
      </c>
      <c r="D103">
        <v>54.91</v>
      </c>
      <c r="E103">
        <v>58.59</v>
      </c>
      <c r="F103">
        <v>18408.240000000002</v>
      </c>
      <c r="G103">
        <v>58.59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0.53014553014553223</v>
      </c>
      <c r="Q103">
        <f t="shared" ref="Q103" si="491">F103*P103</f>
        <v>9759.0461538461932</v>
      </c>
      <c r="R103">
        <f t="shared" ref="R103" si="492">R104+Q103</f>
        <v>-933117.27322305483</v>
      </c>
      <c r="S103">
        <f t="shared" ref="S103" si="493">R103/100000</f>
        <v>-9.3311727322305487</v>
      </c>
      <c r="T103">
        <f t="shared" ref="T103" si="494">S103/1000</f>
        <v>-9.3311727322305492E-3</v>
      </c>
    </row>
    <row r="104" spans="1:20" x14ac:dyDescent="0.25">
      <c r="A104" s="5">
        <v>44489</v>
      </c>
      <c r="B104">
        <v>54.79</v>
      </c>
      <c r="C104">
        <v>58.9</v>
      </c>
      <c r="D104">
        <v>53.76</v>
      </c>
      <c r="E104">
        <v>58.26</v>
      </c>
      <c r="F104">
        <v>14127.39</v>
      </c>
      <c r="G104">
        <v>58.26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0.75097276264591417</v>
      </c>
      <c r="Q104">
        <f t="shared" ref="Q104" si="496">F104*P104</f>
        <v>10609.285097276261</v>
      </c>
      <c r="R104">
        <f t="shared" ref="R104" si="497">R105+Q104</f>
        <v>-942876.31937690102</v>
      </c>
      <c r="S104">
        <f t="shared" ref="S104" si="498">R104/100000</f>
        <v>-9.4287631937690097</v>
      </c>
      <c r="T104">
        <f t="shared" ref="T104" si="499">S104/1000</f>
        <v>-9.4287631937690092E-3</v>
      </c>
    </row>
    <row r="105" spans="1:20" x14ac:dyDescent="0.25">
      <c r="A105" s="5">
        <v>44488</v>
      </c>
      <c r="B105">
        <v>53.55</v>
      </c>
      <c r="C105">
        <v>61.63</v>
      </c>
      <c r="D105">
        <v>52.42</v>
      </c>
      <c r="E105">
        <v>54.88</v>
      </c>
      <c r="F105">
        <v>77858.75</v>
      </c>
      <c r="G105">
        <v>54.88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-0.46579804560260574</v>
      </c>
      <c r="Q105">
        <f t="shared" ref="Q105" si="501">F105*P105</f>
        <v>-36266.453583061877</v>
      </c>
      <c r="R105">
        <f t="shared" ref="R105" si="502">R106+Q105</f>
        <v>-953485.60447417723</v>
      </c>
      <c r="S105">
        <f t="shared" ref="S105" si="503">R105/100000</f>
        <v>-9.5348560447417725</v>
      </c>
      <c r="T105">
        <f t="shared" ref="T105" si="504">S105/1000</f>
        <v>-9.5348560447417723E-3</v>
      </c>
    </row>
    <row r="106" spans="1:20" x14ac:dyDescent="0.25">
      <c r="A106" s="5">
        <v>44487</v>
      </c>
      <c r="B106">
        <v>52.37</v>
      </c>
      <c r="C106">
        <v>54.31</v>
      </c>
      <c r="D106">
        <v>50.61</v>
      </c>
      <c r="E106">
        <v>53.5</v>
      </c>
      <c r="F106">
        <v>11417.65</v>
      </c>
      <c r="G106">
        <v>53.5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0.56216216216216131</v>
      </c>
      <c r="Q106">
        <f t="shared" ref="Q106" si="506">F106*P106</f>
        <v>6418.570810810801</v>
      </c>
      <c r="R106">
        <f t="shared" ref="R106" si="507">R107+Q106</f>
        <v>-917219.15089111531</v>
      </c>
      <c r="S106">
        <f t="shared" ref="S106" si="508">R106/100000</f>
        <v>-9.172191508911153</v>
      </c>
      <c r="T106">
        <f t="shared" ref="T106" si="509">S106/1000</f>
        <v>-9.1721915089111525E-3</v>
      </c>
    </row>
    <row r="107" spans="1:20" x14ac:dyDescent="0.25">
      <c r="A107" s="5">
        <v>44486</v>
      </c>
      <c r="B107">
        <v>54.35</v>
      </c>
      <c r="C107">
        <v>56</v>
      </c>
      <c r="D107">
        <v>50.4</v>
      </c>
      <c r="E107">
        <v>52.37</v>
      </c>
      <c r="F107">
        <v>30138.07</v>
      </c>
      <c r="G107">
        <v>52.37</v>
      </c>
      <c r="L107" t="s">
        <v>8</v>
      </c>
      <c r="M107" t="s">
        <v>7</v>
      </c>
      <c r="N107" t="s">
        <v>7</v>
      </c>
      <c r="P107">
        <f t="shared" ref="P107" si="510">IF(C107=D107,0,((E107-D107)-(C107-E107))/(C107-D107))</f>
        <v>-0.29642857142857204</v>
      </c>
      <c r="Q107">
        <f t="shared" ref="Q107" si="511">F107*P107</f>
        <v>-8933.7850357143034</v>
      </c>
      <c r="R107">
        <f t="shared" ref="R107" si="512">R108+Q107</f>
        <v>-923637.72170192609</v>
      </c>
      <c r="S107">
        <f t="shared" ref="S107" si="513">R107/100000</f>
        <v>-9.2363772170192604</v>
      </c>
      <c r="T107">
        <f t="shared" ref="T107" si="514">S107/1000</f>
        <v>-9.2363772170192607E-3</v>
      </c>
    </row>
    <row r="108" spans="1:20" x14ac:dyDescent="0.25">
      <c r="A108" s="5">
        <v>44485</v>
      </c>
      <c r="B108">
        <v>51.58</v>
      </c>
      <c r="C108">
        <v>54.76</v>
      </c>
      <c r="D108">
        <v>50.11</v>
      </c>
      <c r="E108">
        <v>54.35</v>
      </c>
      <c r="F108">
        <v>28325.307000000001</v>
      </c>
      <c r="G108">
        <v>54.35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0.82365591397849602</v>
      </c>
      <c r="Q108">
        <f t="shared" ref="Q108" si="516">F108*P108</f>
        <v>23330.30662580649</v>
      </c>
      <c r="R108">
        <f t="shared" ref="R108" si="517">R109+Q108</f>
        <v>-914703.93666621181</v>
      </c>
      <c r="S108">
        <f t="shared" ref="S108" si="518">R108/100000</f>
        <v>-9.1470393666621188</v>
      </c>
      <c r="T108">
        <f t="shared" ref="T108" si="519">S108/1000</f>
        <v>-9.1470393666621182E-3</v>
      </c>
    </row>
    <row r="109" spans="1:20" x14ac:dyDescent="0.25">
      <c r="A109" s="5">
        <v>44484</v>
      </c>
      <c r="B109">
        <v>52.98</v>
      </c>
      <c r="C109">
        <v>53.17</v>
      </c>
      <c r="D109">
        <v>51.18</v>
      </c>
      <c r="E109">
        <v>51.6</v>
      </c>
      <c r="F109">
        <v>19292.419999999998</v>
      </c>
      <c r="G109">
        <v>51.6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-0.57788944723617963</v>
      </c>
      <c r="Q109">
        <f t="shared" ref="Q109" si="521">F109*P109</f>
        <v>-11148.885929648215</v>
      </c>
      <c r="R109">
        <f t="shared" ref="R109" si="522">R110+Q109</f>
        <v>-938034.24329201831</v>
      </c>
      <c r="S109">
        <f t="shared" ref="S109" si="523">R109/100000</f>
        <v>-9.3803424329201839</v>
      </c>
      <c r="T109">
        <f t="shared" ref="T109" si="524">S109/1000</f>
        <v>-9.3803424329201839E-3</v>
      </c>
    </row>
    <row r="110" spans="1:20" x14ac:dyDescent="0.25">
      <c r="A110" s="5">
        <v>44483</v>
      </c>
      <c r="B110">
        <v>52.8</v>
      </c>
      <c r="C110">
        <v>54.05</v>
      </c>
      <c r="D110">
        <v>51.51</v>
      </c>
      <c r="E110">
        <v>52.98</v>
      </c>
      <c r="F110">
        <v>25603.03</v>
      </c>
      <c r="G110">
        <v>52.98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0.15748031496062942</v>
      </c>
      <c r="Q110">
        <f t="shared" ref="Q110" si="526">F110*P110</f>
        <v>4031.9732283464436</v>
      </c>
      <c r="R110">
        <f t="shared" ref="R110" si="527">R111+Q110</f>
        <v>-926885.35736237012</v>
      </c>
      <c r="S110">
        <f t="shared" ref="S110" si="528">R110/100000</f>
        <v>-9.2688535736237014</v>
      </c>
      <c r="T110">
        <f t="shared" ref="T110" si="529">S110/1000</f>
        <v>-9.2688535736237011E-3</v>
      </c>
    </row>
    <row r="111" spans="1:20" x14ac:dyDescent="0.25">
      <c r="A111" s="5">
        <v>44482</v>
      </c>
      <c r="B111">
        <v>52.13</v>
      </c>
      <c r="C111">
        <v>53.3</v>
      </c>
      <c r="D111">
        <v>50.42</v>
      </c>
      <c r="E111">
        <v>52.99</v>
      </c>
      <c r="F111">
        <v>26136.799999999999</v>
      </c>
      <c r="G111">
        <v>52.99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0.78472222222222521</v>
      </c>
      <c r="Q111">
        <f t="shared" ref="Q111" si="531">F111*P111</f>
        <v>20510.127777777856</v>
      </c>
      <c r="R111">
        <f t="shared" ref="R111" si="532">R112+Q111</f>
        <v>-930917.33059071656</v>
      </c>
      <c r="S111">
        <f t="shared" ref="S111" si="533">R111/100000</f>
        <v>-9.3091733059071657</v>
      </c>
      <c r="T111">
        <f t="shared" ref="T111" si="534">S111/1000</f>
        <v>-9.3091733059071664E-3</v>
      </c>
    </row>
    <row r="112" spans="1:20" x14ac:dyDescent="0.25">
      <c r="A112" s="5">
        <v>44481</v>
      </c>
      <c r="B112">
        <v>54.37</v>
      </c>
      <c r="C112">
        <v>54.77</v>
      </c>
      <c r="D112">
        <v>51.13</v>
      </c>
      <c r="E112">
        <v>52.13</v>
      </c>
      <c r="F112">
        <v>30761.62</v>
      </c>
      <c r="G112">
        <v>52.13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-0.45054945054945061</v>
      </c>
      <c r="Q112">
        <f t="shared" ref="Q112" si="536">F112*P112</f>
        <v>-13859.63098901099</v>
      </c>
      <c r="R112">
        <f t="shared" ref="R112" si="537">R113+Q112</f>
        <v>-951427.45836849441</v>
      </c>
      <c r="S112">
        <f t="shared" ref="S112" si="538">R112/100000</f>
        <v>-9.5142745836849443</v>
      </c>
      <c r="T112">
        <f t="shared" ref="T112" si="539">S112/1000</f>
        <v>-9.5142745836849438E-3</v>
      </c>
    </row>
    <row r="113" spans="1:20" x14ac:dyDescent="0.25">
      <c r="A113" s="5">
        <v>44480</v>
      </c>
      <c r="B113">
        <v>56.54</v>
      </c>
      <c r="C113">
        <v>57.56</v>
      </c>
      <c r="D113">
        <v>54.16</v>
      </c>
      <c r="E113">
        <v>54.5</v>
      </c>
      <c r="F113">
        <v>50960.1</v>
      </c>
      <c r="G113">
        <v>54.5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-0.79999999999999838</v>
      </c>
      <c r="Q113">
        <f t="shared" ref="Q113" si="541">F113*P113</f>
        <v>-40768.079999999914</v>
      </c>
      <c r="R113">
        <f t="shared" ref="R113" si="542">R114+Q113</f>
        <v>-937567.82737948338</v>
      </c>
      <c r="S113">
        <f t="shared" ref="S113" si="543">R113/100000</f>
        <v>-9.3756782737948345</v>
      </c>
      <c r="T113">
        <f t="shared" ref="T113" si="544">S113/1000</f>
        <v>-9.3756782737948342E-3</v>
      </c>
    </row>
    <row r="114" spans="1:20" x14ac:dyDescent="0.25">
      <c r="A114" s="5">
        <v>44479</v>
      </c>
      <c r="B114">
        <v>62.79</v>
      </c>
      <c r="C114">
        <v>89.78</v>
      </c>
      <c r="D114">
        <v>56.13</v>
      </c>
      <c r="E114">
        <v>56.52</v>
      </c>
      <c r="F114">
        <v>453046.71</v>
      </c>
      <c r="G114">
        <v>56.52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-0.97682020802377412</v>
      </c>
      <c r="Q114">
        <f t="shared" ref="Q114" si="546">F114*P114</f>
        <v>-442545.18150668649</v>
      </c>
      <c r="R114">
        <f t="shared" ref="R114" si="547">R115+Q114</f>
        <v>-896799.74737948342</v>
      </c>
      <c r="S114">
        <f t="shared" ref="S114" si="548">R114/100000</f>
        <v>-8.9679974737948349</v>
      </c>
      <c r="T114">
        <f t="shared" ref="T114" si="549">S114/1000</f>
        <v>-8.9679974737948351E-3</v>
      </c>
    </row>
    <row r="115" spans="1:20" x14ac:dyDescent="0.25">
      <c r="A115" s="5">
        <v>44478</v>
      </c>
      <c r="B115">
        <v>61.19</v>
      </c>
      <c r="C115">
        <v>65</v>
      </c>
      <c r="D115">
        <v>60.9</v>
      </c>
      <c r="E115">
        <v>62.61</v>
      </c>
      <c r="F115">
        <v>53343.21</v>
      </c>
      <c r="G115">
        <v>62.61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-0.16585365853658524</v>
      </c>
      <c r="Q115">
        <f t="shared" ref="Q115" si="551">F115*P115</f>
        <v>-8847.1665365853587</v>
      </c>
      <c r="R115">
        <f t="shared" ref="R115" si="552">R116+Q115</f>
        <v>-454254.56587279687</v>
      </c>
      <c r="S115">
        <f t="shared" ref="S115" si="553">R115/100000</f>
        <v>-4.5425456587279687</v>
      </c>
      <c r="T115">
        <f t="shared" ref="T115" si="554">S115/1000</f>
        <v>-4.5425456587279683E-3</v>
      </c>
    </row>
    <row r="116" spans="1:20" x14ac:dyDescent="0.25">
      <c r="A116" s="5">
        <v>44477</v>
      </c>
      <c r="B116">
        <v>59.71</v>
      </c>
      <c r="C116">
        <v>61.59</v>
      </c>
      <c r="D116">
        <v>59.02</v>
      </c>
      <c r="E116">
        <v>61.19</v>
      </c>
      <c r="F116">
        <v>11658.98</v>
      </c>
      <c r="G116">
        <v>61.19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0.68871595330738866</v>
      </c>
      <c r="Q116">
        <f t="shared" ref="Q116" si="556">F116*P116</f>
        <v>8029.7255252917776</v>
      </c>
      <c r="R116">
        <f t="shared" ref="R116" si="557">R117+Q116</f>
        <v>-445407.3993362115</v>
      </c>
      <c r="S116">
        <f t="shared" ref="S116" si="558">R116/100000</f>
        <v>-4.4540739933621154</v>
      </c>
      <c r="T116">
        <f t="shared" ref="T116" si="559">S116/1000</f>
        <v>-4.454073993362115E-3</v>
      </c>
    </row>
    <row r="117" spans="1:20" x14ac:dyDescent="0.25">
      <c r="A117" s="5">
        <v>44476</v>
      </c>
      <c r="B117">
        <v>60.4</v>
      </c>
      <c r="C117">
        <v>61.53</v>
      </c>
      <c r="D117">
        <v>58.31</v>
      </c>
      <c r="E117">
        <v>59.89</v>
      </c>
      <c r="F117">
        <v>12110.55</v>
      </c>
      <c r="G117">
        <v>59.89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-1.8633540372671519E-2</v>
      </c>
      <c r="Q117">
        <f t="shared" ref="Q117" si="561">F117*P117</f>
        <v>-225.66242236025704</v>
      </c>
      <c r="R117">
        <f t="shared" ref="R117" si="562">R118+Q117</f>
        <v>-453437.12486150325</v>
      </c>
      <c r="S117">
        <f t="shared" ref="S117" si="563">R117/100000</f>
        <v>-4.5343712486150327</v>
      </c>
      <c r="T117">
        <f t="shared" ref="T117" si="564">S117/1000</f>
        <v>-4.5343712486150328E-3</v>
      </c>
    </row>
    <row r="118" spans="1:20" x14ac:dyDescent="0.25">
      <c r="A118" s="5">
        <v>44475</v>
      </c>
      <c r="B118">
        <v>59.66</v>
      </c>
      <c r="C118">
        <v>61.53</v>
      </c>
      <c r="D118">
        <v>57.51</v>
      </c>
      <c r="E118">
        <v>60.37</v>
      </c>
      <c r="F118">
        <v>42340.78</v>
      </c>
      <c r="G118">
        <v>60.37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0.42288557213930211</v>
      </c>
      <c r="Q118">
        <f t="shared" ref="Q118" si="566">F118*P118</f>
        <v>17905.30497512432</v>
      </c>
      <c r="R118">
        <f t="shared" ref="R118" si="567">R119+Q118</f>
        <v>-453211.46243914298</v>
      </c>
      <c r="S118">
        <f t="shared" ref="S118" si="568">R118/100000</f>
        <v>-4.5321146243914301</v>
      </c>
      <c r="T118">
        <f t="shared" ref="T118" si="569">S118/1000</f>
        <v>-4.5321146243914303E-3</v>
      </c>
    </row>
    <row r="119" spans="1:20" x14ac:dyDescent="0.25">
      <c r="A119" s="5">
        <v>44474</v>
      </c>
      <c r="B119">
        <v>57.09</v>
      </c>
      <c r="C119">
        <v>60.24</v>
      </c>
      <c r="D119">
        <v>56.58</v>
      </c>
      <c r="E119">
        <v>59.79</v>
      </c>
      <c r="F119">
        <v>18173.810000000001</v>
      </c>
      <c r="G119">
        <v>59.79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0.75409836065573643</v>
      </c>
      <c r="Q119">
        <f t="shared" ref="Q119" si="571">F119*P119</f>
        <v>13704.840327868831</v>
      </c>
      <c r="R119">
        <f t="shared" ref="R119" si="572">R120+Q119</f>
        <v>-471116.76741426729</v>
      </c>
      <c r="S119">
        <f t="shared" ref="S119" si="573">R119/100000</f>
        <v>-4.7111676741426729</v>
      </c>
      <c r="T119">
        <f t="shared" ref="T119" si="574">S119/1000</f>
        <v>-4.7111676741426727E-3</v>
      </c>
    </row>
    <row r="120" spans="1:20" x14ac:dyDescent="0.25">
      <c r="A120" s="5">
        <v>44473</v>
      </c>
      <c r="B120">
        <v>57.79</v>
      </c>
      <c r="C120">
        <v>58.5</v>
      </c>
      <c r="D120">
        <v>54.49</v>
      </c>
      <c r="E120">
        <v>57.12</v>
      </c>
      <c r="F120">
        <v>15558.63</v>
      </c>
      <c r="G120">
        <v>57.12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0.31172069825436249</v>
      </c>
      <c r="Q120">
        <f t="shared" ref="Q120" si="576">F120*P120</f>
        <v>4849.9470074812716</v>
      </c>
      <c r="R120">
        <f t="shared" ref="R120" si="577">R121+Q120</f>
        <v>-484821.60774213611</v>
      </c>
      <c r="S120">
        <f t="shared" ref="S120" si="578">R120/100000</f>
        <v>-4.8482160774213607</v>
      </c>
      <c r="T120">
        <f t="shared" ref="T120" si="579">S120/1000</f>
        <v>-4.8482160774213608E-3</v>
      </c>
    </row>
    <row r="121" spans="1:20" x14ac:dyDescent="0.25">
      <c r="A121" s="5">
        <v>44472</v>
      </c>
      <c r="B121">
        <v>55.69</v>
      </c>
      <c r="C121">
        <v>57.53</v>
      </c>
      <c r="D121">
        <v>55.06</v>
      </c>
      <c r="E121">
        <v>56.83</v>
      </c>
      <c r="F121">
        <v>21811.52</v>
      </c>
      <c r="G121">
        <v>56.83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0.43319838056679905</v>
      </c>
      <c r="Q121">
        <f t="shared" ref="Q121" si="581">F121*P121</f>
        <v>9448.7151417003497</v>
      </c>
      <c r="R121">
        <f t="shared" ref="R121" si="582">R122+Q121</f>
        <v>-489671.55474961741</v>
      </c>
      <c r="S121">
        <f t="shared" ref="S121" si="583">R121/100000</f>
        <v>-4.8967155474961741</v>
      </c>
      <c r="T121">
        <f t="shared" ref="T121" si="584">S121/1000</f>
        <v>-4.8967155474961745E-3</v>
      </c>
    </row>
    <row r="122" spans="1:20" x14ac:dyDescent="0.25">
      <c r="A122" s="5">
        <v>44471</v>
      </c>
      <c r="B122">
        <v>56.63</v>
      </c>
      <c r="C122">
        <v>58.31</v>
      </c>
      <c r="D122">
        <v>54.87</v>
      </c>
      <c r="E122">
        <v>55.69</v>
      </c>
      <c r="F122">
        <v>33100.300000000003</v>
      </c>
      <c r="G122">
        <v>55.69</v>
      </c>
      <c r="L122" t="s">
        <v>7</v>
      </c>
      <c r="M122" t="s">
        <v>7</v>
      </c>
      <c r="N122" t="s">
        <v>7</v>
      </c>
      <c r="P122">
        <f t="shared" ref="P122" si="585">IF(C122=D122,0,((E122-D122)-(C122-E122))/(C122-D122))</f>
        <v>-0.52325581395348886</v>
      </c>
      <c r="Q122">
        <f t="shared" ref="Q122" si="586">F122*P122</f>
        <v>-17319.924418604667</v>
      </c>
      <c r="R122">
        <f t="shared" ref="R122" si="587">R123+Q122</f>
        <v>-499120.26989131776</v>
      </c>
      <c r="S122">
        <f t="shared" ref="S122" si="588">R122/100000</f>
        <v>-4.9912026989131775</v>
      </c>
      <c r="T122">
        <f t="shared" ref="T122" si="589">S122/1000</f>
        <v>-4.9912026989131775E-3</v>
      </c>
    </row>
    <row r="123" spans="1:20" x14ac:dyDescent="0.25">
      <c r="A123" s="5">
        <v>44470</v>
      </c>
      <c r="B123">
        <v>55.88</v>
      </c>
      <c r="C123">
        <v>60.01</v>
      </c>
      <c r="D123">
        <v>54.48</v>
      </c>
      <c r="E123">
        <v>56.5</v>
      </c>
      <c r="F123">
        <v>30637.89</v>
      </c>
      <c r="G123">
        <v>56.5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-0.26943942133815452</v>
      </c>
      <c r="Q123">
        <f t="shared" ref="Q123" si="591">F123*P123</f>
        <v>-8255.0553526220301</v>
      </c>
      <c r="R123">
        <f t="shared" ref="R123" si="592">R124+Q123</f>
        <v>-481800.34547271312</v>
      </c>
      <c r="S123">
        <f t="shared" ref="S123" si="593">R123/100000</f>
        <v>-4.8180034547271315</v>
      </c>
      <c r="T123">
        <f t="shared" ref="T123" si="594">S123/1000</f>
        <v>-4.8180034547271313E-3</v>
      </c>
    </row>
    <row r="124" spans="1:20" x14ac:dyDescent="0.25">
      <c r="A124" s="5">
        <v>44469</v>
      </c>
      <c r="B124">
        <v>50.97</v>
      </c>
      <c r="C124">
        <v>57.01</v>
      </c>
      <c r="D124">
        <v>50.81</v>
      </c>
      <c r="E124">
        <v>55.6</v>
      </c>
      <c r="F124">
        <v>19708.97</v>
      </c>
      <c r="G124">
        <v>55.6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0.54516129032258143</v>
      </c>
      <c r="Q124">
        <f t="shared" ref="Q124" si="596">F124*P124</f>
        <v>10744.567516129049</v>
      </c>
      <c r="R124">
        <f t="shared" ref="R124" si="597">R125+Q124</f>
        <v>-473545.29012009111</v>
      </c>
      <c r="S124">
        <f t="shared" ref="S124" si="598">R124/100000</f>
        <v>-4.7354529012009108</v>
      </c>
      <c r="T124">
        <f t="shared" ref="T124" si="599">S124/1000</f>
        <v>-4.735452901200911E-3</v>
      </c>
    </row>
    <row r="125" spans="1:20" x14ac:dyDescent="0.25">
      <c r="A125" s="5">
        <v>44468</v>
      </c>
      <c r="B125">
        <v>52.63</v>
      </c>
      <c r="C125">
        <v>54.99</v>
      </c>
      <c r="D125">
        <v>50.54</v>
      </c>
      <c r="E125">
        <v>51.09</v>
      </c>
      <c r="F125">
        <v>16495.830000000002</v>
      </c>
      <c r="G125">
        <v>51.09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-0.75280898876404323</v>
      </c>
      <c r="Q125">
        <f t="shared" ref="Q125" si="601">F125*P125</f>
        <v>-12418.209101123568</v>
      </c>
      <c r="R125">
        <f t="shared" ref="R125" si="602">R126+Q125</f>
        <v>-484289.85763622017</v>
      </c>
      <c r="S125">
        <f t="shared" ref="S125" si="603">R125/100000</f>
        <v>-4.8428985763622014</v>
      </c>
      <c r="T125">
        <f t="shared" ref="T125" si="604">S125/1000</f>
        <v>-4.842898576362201E-3</v>
      </c>
    </row>
    <row r="126" spans="1:20" x14ac:dyDescent="0.25">
      <c r="A126" s="5">
        <v>44467</v>
      </c>
      <c r="B126">
        <v>55.78</v>
      </c>
      <c r="C126">
        <v>56.04</v>
      </c>
      <c r="D126">
        <v>52.31</v>
      </c>
      <c r="E126">
        <v>52.39</v>
      </c>
      <c r="F126">
        <v>21831.348999999998</v>
      </c>
      <c r="G126">
        <v>52.39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-0.95710455764075153</v>
      </c>
      <c r="Q126">
        <f t="shared" ref="Q126" si="606">F126*P126</f>
        <v>-20894.883627345862</v>
      </c>
      <c r="R126">
        <f t="shared" ref="R126" si="607">R127+Q126</f>
        <v>-471871.64853509661</v>
      </c>
      <c r="S126">
        <f t="shared" ref="S126" si="608">R126/100000</f>
        <v>-4.7187164853509662</v>
      </c>
      <c r="T126">
        <f t="shared" ref="T126" si="609">S126/1000</f>
        <v>-4.7187164853509664E-3</v>
      </c>
    </row>
    <row r="127" spans="1:20" x14ac:dyDescent="0.25">
      <c r="A127" s="5">
        <v>44466</v>
      </c>
      <c r="B127">
        <v>58.9</v>
      </c>
      <c r="C127">
        <v>66.3</v>
      </c>
      <c r="D127">
        <v>54.97</v>
      </c>
      <c r="E127">
        <v>55.78</v>
      </c>
      <c r="F127">
        <v>56123.89</v>
      </c>
      <c r="G127">
        <v>55.78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-0.85701676963812845</v>
      </c>
      <c r="Q127">
        <f t="shared" ref="Q127" si="611">F127*P127</f>
        <v>-48099.11490732566</v>
      </c>
      <c r="R127">
        <f t="shared" ref="R127" si="612">R128+Q127</f>
        <v>-450976.76490775077</v>
      </c>
      <c r="S127">
        <f t="shared" ref="S127" si="613">R127/100000</f>
        <v>-4.5097676490775074</v>
      </c>
      <c r="T127">
        <f t="shared" ref="T127" si="614">S127/1000</f>
        <v>-4.5097676490775075E-3</v>
      </c>
    </row>
    <row r="128" spans="1:20" x14ac:dyDescent="0.25">
      <c r="A128" s="5">
        <v>44465</v>
      </c>
      <c r="B128">
        <v>57.12</v>
      </c>
      <c r="C128">
        <v>59.83</v>
      </c>
      <c r="D128">
        <v>54.91</v>
      </c>
      <c r="E128">
        <v>58.9</v>
      </c>
      <c r="F128">
        <v>24855.588</v>
      </c>
      <c r="G128">
        <v>58.9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0.62195121951219534</v>
      </c>
      <c r="Q128">
        <f t="shared" ref="Q128" si="616">F128*P128</f>
        <v>15458.963268292688</v>
      </c>
      <c r="R128">
        <f t="shared" ref="R128" si="617">R129+Q128</f>
        <v>-402877.65000042511</v>
      </c>
      <c r="S128">
        <f t="shared" ref="S128" si="618">R128/100000</f>
        <v>-4.028776500004251</v>
      </c>
      <c r="T128">
        <f t="shared" ref="T128" si="619">S128/1000</f>
        <v>-4.0287765000042511E-3</v>
      </c>
    </row>
    <row r="129" spans="1:20" x14ac:dyDescent="0.25">
      <c r="A129" s="5">
        <v>44464</v>
      </c>
      <c r="B129">
        <v>57.55</v>
      </c>
      <c r="C129">
        <v>58.51</v>
      </c>
      <c r="D129">
        <v>55.41</v>
      </c>
      <c r="E129">
        <v>57.09</v>
      </c>
      <c r="F129">
        <v>10639.5</v>
      </c>
      <c r="G129">
        <v>57.09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8.387096774193939E-2</v>
      </c>
      <c r="Q129">
        <f t="shared" ref="Q129" si="621">F129*P129</f>
        <v>892.3451612903641</v>
      </c>
      <c r="R129">
        <f t="shared" ref="R129" si="622">R130+Q129</f>
        <v>-418336.61326871777</v>
      </c>
      <c r="S129">
        <f t="shared" ref="S129" si="623">R129/100000</f>
        <v>-4.1833661326871781</v>
      </c>
      <c r="T129">
        <f t="shared" ref="T129" si="624">S129/1000</f>
        <v>-4.1833661326871781E-3</v>
      </c>
    </row>
    <row r="130" spans="1:20" x14ac:dyDescent="0.25">
      <c r="A130" s="5">
        <v>44463</v>
      </c>
      <c r="B130">
        <v>62.19</v>
      </c>
      <c r="C130">
        <v>62.38</v>
      </c>
      <c r="D130">
        <v>55</v>
      </c>
      <c r="E130">
        <v>57.38</v>
      </c>
      <c r="F130">
        <v>23159.832999999999</v>
      </c>
      <c r="G130">
        <v>57.38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-0.3550135501355009</v>
      </c>
      <c r="Q130">
        <f t="shared" ref="Q130" si="626">F130*P130</f>
        <v>-8222.0545338753273</v>
      </c>
      <c r="R130">
        <f t="shared" ref="R130" si="627">R131+Q130</f>
        <v>-419228.95843000815</v>
      </c>
      <c r="S130">
        <f t="shared" ref="S130" si="628">R130/100000</f>
        <v>-4.1922895843000818</v>
      </c>
      <c r="T130">
        <f t="shared" ref="T130" si="629">S130/1000</f>
        <v>-4.1922895843000815E-3</v>
      </c>
    </row>
    <row r="131" spans="1:20" x14ac:dyDescent="0.25">
      <c r="A131" s="5">
        <v>44462</v>
      </c>
      <c r="B131">
        <v>66.12</v>
      </c>
      <c r="C131">
        <v>68.05</v>
      </c>
      <c r="D131">
        <v>61.29</v>
      </c>
      <c r="E131">
        <v>62.09</v>
      </c>
      <c r="F131">
        <v>33117.93</v>
      </c>
      <c r="G131">
        <v>62.09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-0.7633136094674543</v>
      </c>
      <c r="Q131">
        <f t="shared" ref="Q131" si="631">F131*P131</f>
        <v>-25279.366686390487</v>
      </c>
      <c r="R131">
        <f t="shared" ref="R131" si="632">R132+Q131</f>
        <v>-411006.90389613283</v>
      </c>
      <c r="S131">
        <f t="shared" ref="S131" si="633">R131/100000</f>
        <v>-4.1100690389613286</v>
      </c>
      <c r="T131">
        <f t="shared" ref="T131" si="634">S131/1000</f>
        <v>-4.110069038961329E-3</v>
      </c>
    </row>
    <row r="132" spans="1:20" x14ac:dyDescent="0.25">
      <c r="A132" s="5">
        <v>44461</v>
      </c>
      <c r="B132">
        <v>58.11</v>
      </c>
      <c r="C132">
        <v>66.13</v>
      </c>
      <c r="D132">
        <v>57.23</v>
      </c>
      <c r="E132">
        <v>66.12</v>
      </c>
      <c r="F132">
        <v>6281.27</v>
      </c>
      <c r="G132">
        <v>66.12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0.99775280898876606</v>
      </c>
      <c r="Q132">
        <f t="shared" ref="Q132" si="636">F132*P132</f>
        <v>6267.1547865168668</v>
      </c>
      <c r="R132">
        <f t="shared" ref="R132" si="637">R133+Q132</f>
        <v>-385727.53720974235</v>
      </c>
      <c r="S132">
        <f t="shared" ref="S132" si="638">R132/100000</f>
        <v>-3.8572753720974235</v>
      </c>
      <c r="T132">
        <f t="shared" ref="T132" si="639">S132/1000</f>
        <v>-3.8572753720974235E-3</v>
      </c>
    </row>
    <row r="133" spans="1:20" x14ac:dyDescent="0.25">
      <c r="A133" s="5">
        <v>44460</v>
      </c>
      <c r="B133">
        <v>62.84</v>
      </c>
      <c r="C133">
        <v>66.819999999999993</v>
      </c>
      <c r="D133">
        <v>57</v>
      </c>
      <c r="E133">
        <v>58.22</v>
      </c>
      <c r="F133">
        <v>11617.550999999999</v>
      </c>
      <c r="G133">
        <v>58.22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-0.75152749490835036</v>
      </c>
      <c r="Q133">
        <f t="shared" ref="Q133" si="641">F133*P133</f>
        <v>-8730.9089999999997</v>
      </c>
      <c r="R133">
        <f t="shared" ref="R133" si="642">R134+Q133</f>
        <v>-391994.69199625921</v>
      </c>
      <c r="S133">
        <f t="shared" ref="S133" si="643">R133/100000</f>
        <v>-3.9199469199625923</v>
      </c>
      <c r="T133">
        <f t="shared" ref="T133" si="644">S133/1000</f>
        <v>-3.9199469199625919E-3</v>
      </c>
    </row>
    <row r="134" spans="1:20" x14ac:dyDescent="0.25">
      <c r="A134" s="5">
        <v>44459</v>
      </c>
      <c r="B134">
        <v>71.349999999999994</v>
      </c>
      <c r="C134">
        <v>72.42</v>
      </c>
      <c r="D134">
        <v>66.48</v>
      </c>
      <c r="E134">
        <v>68.290000000000006</v>
      </c>
      <c r="F134">
        <v>20010.16</v>
      </c>
      <c r="G134">
        <v>68.290000000000006</v>
      </c>
      <c r="L134" t="s">
        <v>7</v>
      </c>
      <c r="M134" t="s">
        <v>8</v>
      </c>
      <c r="N134" t="s">
        <v>7</v>
      </c>
      <c r="P134">
        <f t="shared" ref="P134" si="645">IF(C134=D134,0,((E134-D134)-(C134-E134))/(C134-D134))</f>
        <v>-0.39057239057238957</v>
      </c>
      <c r="Q134">
        <f t="shared" ref="Q134" si="646">F134*P134</f>
        <v>-7815.4160269360073</v>
      </c>
      <c r="R134">
        <f t="shared" ref="R134" si="647">R135+Q134</f>
        <v>-383263.78299625922</v>
      </c>
      <c r="S134">
        <f t="shared" ref="S134" si="648">R134/100000</f>
        <v>-3.8326378299625921</v>
      </c>
      <c r="T134">
        <f t="shared" ref="T134" si="649">S134/1000</f>
        <v>-3.832637829962592E-3</v>
      </c>
    </row>
    <row r="135" spans="1:20" x14ac:dyDescent="0.25">
      <c r="A135" s="5">
        <v>44458</v>
      </c>
      <c r="B135">
        <v>72.680000000000007</v>
      </c>
      <c r="C135">
        <v>75</v>
      </c>
      <c r="D135">
        <v>70.5</v>
      </c>
      <c r="E135">
        <v>71.3</v>
      </c>
      <c r="F135">
        <v>18116.599999999999</v>
      </c>
      <c r="G135">
        <v>71.3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-0.64444444444444571</v>
      </c>
      <c r="Q135">
        <f t="shared" ref="Q135" si="651">F135*P135</f>
        <v>-11675.142222222245</v>
      </c>
      <c r="R135">
        <f t="shared" ref="R135" si="652">R136+Q135</f>
        <v>-375448.36696932319</v>
      </c>
      <c r="S135">
        <f t="shared" ref="S135" si="653">R135/100000</f>
        <v>-3.754483669693232</v>
      </c>
      <c r="T135">
        <f t="shared" ref="T135" si="654">S135/1000</f>
        <v>-3.7544836696932322E-3</v>
      </c>
    </row>
    <row r="136" spans="1:20" x14ac:dyDescent="0.25">
      <c r="A136" s="5">
        <v>44457</v>
      </c>
      <c r="B136">
        <v>74.45</v>
      </c>
      <c r="C136">
        <v>76.89</v>
      </c>
      <c r="D136">
        <v>70.510000000000005</v>
      </c>
      <c r="E136">
        <v>72.53</v>
      </c>
      <c r="F136">
        <v>27853.53</v>
      </c>
      <c r="G136">
        <v>72.53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-0.36677115987460895</v>
      </c>
      <c r="Q136">
        <f t="shared" ref="Q136" si="656">F136*P136</f>
        <v>-10215.871504702216</v>
      </c>
      <c r="R136">
        <f t="shared" ref="R136" si="657">R137+Q136</f>
        <v>-363773.22474710096</v>
      </c>
      <c r="S136">
        <f t="shared" ref="S136" si="658">R136/100000</f>
        <v>-3.6377322474710097</v>
      </c>
      <c r="T136">
        <f t="shared" ref="T136" si="659">S136/1000</f>
        <v>-3.6377322474710097E-3</v>
      </c>
    </row>
    <row r="137" spans="1:20" x14ac:dyDescent="0.25">
      <c r="A137" s="5">
        <v>44456</v>
      </c>
      <c r="B137">
        <v>73.150000000000006</v>
      </c>
      <c r="C137">
        <v>75.47</v>
      </c>
      <c r="D137">
        <v>72</v>
      </c>
      <c r="E137">
        <v>74.45</v>
      </c>
      <c r="F137">
        <v>30167.72</v>
      </c>
      <c r="G137">
        <v>74.45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0.41210374639769665</v>
      </c>
      <c r="Q137">
        <f t="shared" ref="Q137" si="661">F137*P137</f>
        <v>12432.230432276721</v>
      </c>
      <c r="R137">
        <f t="shared" ref="R137" si="662">R138+Q137</f>
        <v>-353557.35324239876</v>
      </c>
      <c r="S137">
        <f t="shared" ref="S137" si="663">R137/100000</f>
        <v>-3.5355735324239874</v>
      </c>
      <c r="T137">
        <f t="shared" ref="T137" si="664">S137/1000</f>
        <v>-3.5355735324239875E-3</v>
      </c>
    </row>
    <row r="138" spans="1:20" x14ac:dyDescent="0.25">
      <c r="A138" s="5">
        <v>44455</v>
      </c>
      <c r="B138">
        <v>73.55</v>
      </c>
      <c r="C138">
        <v>75.5</v>
      </c>
      <c r="D138">
        <v>71.709999999999994</v>
      </c>
      <c r="E138">
        <v>73.150000000000006</v>
      </c>
      <c r="F138">
        <v>35281.360000000001</v>
      </c>
      <c r="G138">
        <v>73.150000000000006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-0.24010554089709257</v>
      </c>
      <c r="Q138">
        <f t="shared" ref="Q138" si="666">F138*P138</f>
        <v>-8471.250026385047</v>
      </c>
      <c r="R138">
        <f t="shared" ref="R138" si="667">R139+Q138</f>
        <v>-365989.58367467549</v>
      </c>
      <c r="S138">
        <f t="shared" ref="S138" si="668">R138/100000</f>
        <v>-3.6598958367467551</v>
      </c>
      <c r="T138">
        <f t="shared" ref="T138" si="669">S138/1000</f>
        <v>-3.659895836746755E-3</v>
      </c>
    </row>
    <row r="139" spans="1:20" x14ac:dyDescent="0.25">
      <c r="A139" s="5">
        <v>44454</v>
      </c>
      <c r="B139">
        <v>68.59</v>
      </c>
      <c r="C139">
        <v>73.569999999999993</v>
      </c>
      <c r="D139">
        <v>67.69</v>
      </c>
      <c r="E139">
        <v>73.510000000000005</v>
      </c>
      <c r="F139">
        <v>20370.63</v>
      </c>
      <c r="G139">
        <v>73.510000000000005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0.97959183673469796</v>
      </c>
      <c r="Q139">
        <f t="shared" ref="Q139" si="671">F139*P139</f>
        <v>19954.902857142941</v>
      </c>
      <c r="R139">
        <f t="shared" ref="R139" si="672">R140+Q139</f>
        <v>-357518.33364829043</v>
      </c>
      <c r="S139">
        <f t="shared" ref="S139" si="673">R139/100000</f>
        <v>-3.5751833364829042</v>
      </c>
      <c r="T139">
        <f t="shared" ref="T139" si="674">S139/1000</f>
        <v>-3.575183336482904E-3</v>
      </c>
    </row>
    <row r="140" spans="1:20" x14ac:dyDescent="0.25">
      <c r="A140" s="5">
        <v>44453</v>
      </c>
      <c r="B140">
        <v>64.84</v>
      </c>
      <c r="C140">
        <v>68.64</v>
      </c>
      <c r="D140">
        <v>63.43</v>
      </c>
      <c r="E140">
        <v>68.61</v>
      </c>
      <c r="F140">
        <v>19760</v>
      </c>
      <c r="G140">
        <v>68.61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0.98848368522072894</v>
      </c>
      <c r="Q140">
        <f t="shared" ref="Q140" si="676">F140*P140</f>
        <v>19532.437619961605</v>
      </c>
      <c r="R140">
        <f t="shared" ref="R140" si="677">R141+Q140</f>
        <v>-377473.23650543339</v>
      </c>
      <c r="S140">
        <f t="shared" ref="S140" si="678">R140/100000</f>
        <v>-3.7747323650543341</v>
      </c>
      <c r="T140">
        <f t="shared" ref="T140" si="679">S140/1000</f>
        <v>-3.7747323650543342E-3</v>
      </c>
    </row>
    <row r="141" spans="1:20" x14ac:dyDescent="0.25">
      <c r="A141" s="5">
        <v>44452</v>
      </c>
      <c r="B141">
        <v>67.48</v>
      </c>
      <c r="C141">
        <v>68</v>
      </c>
      <c r="D141">
        <v>61.19</v>
      </c>
      <c r="E141">
        <v>64.8</v>
      </c>
      <c r="F141">
        <v>14045.61</v>
      </c>
      <c r="G141">
        <v>64.8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6.0205580029368051E-2</v>
      </c>
      <c r="Q141">
        <f t="shared" ref="Q141" si="681">F141*P141</f>
        <v>845.62409691629227</v>
      </c>
      <c r="R141">
        <f t="shared" ref="R141" si="682">R142+Q141</f>
        <v>-397005.67412539502</v>
      </c>
      <c r="S141">
        <f t="shared" ref="S141" si="683">R141/100000</f>
        <v>-3.9700567412539502</v>
      </c>
      <c r="T141">
        <f t="shared" ref="T141" si="684">S141/1000</f>
        <v>-3.9700567412539502E-3</v>
      </c>
    </row>
    <row r="142" spans="1:20" x14ac:dyDescent="0.25">
      <c r="A142" s="5">
        <v>44451</v>
      </c>
      <c r="B142">
        <v>64.13</v>
      </c>
      <c r="C142">
        <v>67.97</v>
      </c>
      <c r="D142">
        <v>62.61</v>
      </c>
      <c r="E142">
        <v>67.48</v>
      </c>
      <c r="F142">
        <v>17456.046999999999</v>
      </c>
      <c r="G142">
        <v>67.48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0.81716417910447947</v>
      </c>
      <c r="Q142">
        <f t="shared" ref="Q142" si="686">F142*P142</f>
        <v>14264.456317164211</v>
      </c>
      <c r="R142">
        <f t="shared" ref="R142" si="687">R143+Q142</f>
        <v>-397851.29822231131</v>
      </c>
      <c r="S142">
        <f t="shared" ref="S142" si="688">R142/100000</f>
        <v>-3.9785129822231129</v>
      </c>
      <c r="T142">
        <f t="shared" ref="T142" si="689">S142/1000</f>
        <v>-3.9785129822231128E-3</v>
      </c>
    </row>
    <row r="143" spans="1:20" x14ac:dyDescent="0.25">
      <c r="A143" s="5">
        <v>44450</v>
      </c>
      <c r="B143">
        <v>66.94</v>
      </c>
      <c r="C143">
        <v>69.37</v>
      </c>
      <c r="D143">
        <v>63.7</v>
      </c>
      <c r="E143">
        <v>64.099999999999994</v>
      </c>
      <c r="F143">
        <v>20625.580000000002</v>
      </c>
      <c r="G143">
        <v>64.099999999999994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-0.85890652557319525</v>
      </c>
      <c r="Q143">
        <f t="shared" ref="Q143" si="691">F143*P143</f>
        <v>-17715.445255731986</v>
      </c>
      <c r="R143">
        <f t="shared" ref="R143" si="692">R144+Q143</f>
        <v>-412115.75453947554</v>
      </c>
      <c r="S143">
        <f t="shared" ref="S143" si="693">R143/100000</f>
        <v>-4.1211575453947553</v>
      </c>
      <c r="T143">
        <f t="shared" ref="T143" si="694">S143/1000</f>
        <v>-4.1211575453947557E-3</v>
      </c>
    </row>
    <row r="144" spans="1:20" x14ac:dyDescent="0.25">
      <c r="A144" s="5">
        <v>44449</v>
      </c>
      <c r="B144">
        <v>74.06</v>
      </c>
      <c r="C144">
        <v>75.22</v>
      </c>
      <c r="D144">
        <v>65.459999999999994</v>
      </c>
      <c r="E144">
        <v>66.989999999999995</v>
      </c>
      <c r="F144">
        <v>19504.28</v>
      </c>
      <c r="G144">
        <v>66.989999999999995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-0.68647540983606548</v>
      </c>
      <c r="Q144">
        <f t="shared" ref="Q144" si="696">F144*P144</f>
        <v>-13389.208606557375</v>
      </c>
      <c r="R144">
        <f t="shared" ref="R144" si="697">R145+Q144</f>
        <v>-394400.30928374355</v>
      </c>
      <c r="S144">
        <f t="shared" ref="S144" si="698">R144/100000</f>
        <v>-3.9440030928374354</v>
      </c>
      <c r="T144">
        <f t="shared" ref="T144" si="699">S144/1000</f>
        <v>-3.9440030928374354E-3</v>
      </c>
    </row>
    <row r="145" spans="1:20" x14ac:dyDescent="0.25">
      <c r="A145" s="5">
        <v>44448</v>
      </c>
      <c r="B145">
        <v>75.790000000000006</v>
      </c>
      <c r="C145">
        <v>77.459999999999994</v>
      </c>
      <c r="D145">
        <v>73.209999999999994</v>
      </c>
      <c r="E145">
        <v>74.150000000000006</v>
      </c>
      <c r="F145">
        <v>11846.45</v>
      </c>
      <c r="G145">
        <v>74.150000000000006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-0.55764705882352383</v>
      </c>
      <c r="Q145">
        <f t="shared" ref="Q145" si="701">F145*P145</f>
        <v>-6606.1379999999344</v>
      </c>
      <c r="R145">
        <f t="shared" ref="R145" si="702">R146+Q145</f>
        <v>-381011.10067718616</v>
      </c>
      <c r="S145">
        <f t="shared" ref="S145" si="703">R145/100000</f>
        <v>-3.8101110067718618</v>
      </c>
      <c r="T145">
        <f t="shared" ref="T145" si="704">S145/1000</f>
        <v>-3.8101110067718619E-3</v>
      </c>
    </row>
    <row r="146" spans="1:20" x14ac:dyDescent="0.25">
      <c r="A146" s="5">
        <v>44447</v>
      </c>
      <c r="B146">
        <v>76.040000000000006</v>
      </c>
      <c r="C146">
        <v>77.489999999999995</v>
      </c>
      <c r="D146">
        <v>68.72</v>
      </c>
      <c r="E146">
        <v>75.98</v>
      </c>
      <c r="F146">
        <v>12857.45</v>
      </c>
      <c r="G146">
        <v>75.98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0.65564424173318325</v>
      </c>
      <c r="Q146">
        <f t="shared" ref="Q146" si="706">F146*P146</f>
        <v>8429.9130558723173</v>
      </c>
      <c r="R146">
        <f t="shared" ref="R146" si="707">R147+Q146</f>
        <v>-374404.96267718624</v>
      </c>
      <c r="S146">
        <f t="shared" ref="S146" si="708">R146/100000</f>
        <v>-3.7440496267718624</v>
      </c>
      <c r="T146">
        <f t="shared" ref="T146" si="709">S146/1000</f>
        <v>-3.7440496267718624E-3</v>
      </c>
    </row>
    <row r="147" spans="1:20" x14ac:dyDescent="0.25">
      <c r="A147" s="5">
        <v>44446</v>
      </c>
      <c r="B147">
        <v>83.36</v>
      </c>
      <c r="C147">
        <v>83.98</v>
      </c>
      <c r="D147">
        <v>64</v>
      </c>
      <c r="E147">
        <v>75.73</v>
      </c>
      <c r="F147">
        <v>38954.947</v>
      </c>
      <c r="G147">
        <v>75.73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0.17417417417417433</v>
      </c>
      <c r="Q147">
        <f t="shared" ref="Q147" si="711">F147*P147</f>
        <v>6784.9457237237293</v>
      </c>
      <c r="R147">
        <f t="shared" ref="R147" si="712">R148+Q147</f>
        <v>-382834.87573305855</v>
      </c>
      <c r="S147">
        <f t="shared" ref="S147" si="713">R147/100000</f>
        <v>-3.8283487573305854</v>
      </c>
      <c r="T147">
        <f t="shared" ref="T147" si="714">S147/1000</f>
        <v>-3.8283487573305855E-3</v>
      </c>
    </row>
    <row r="148" spans="1:20" x14ac:dyDescent="0.25">
      <c r="A148" s="5">
        <v>44445</v>
      </c>
      <c r="B148">
        <v>80.430000000000007</v>
      </c>
      <c r="C148">
        <v>84</v>
      </c>
      <c r="D148">
        <v>78.94</v>
      </c>
      <c r="E148">
        <v>83.38</v>
      </c>
      <c r="F148">
        <v>26604.22</v>
      </c>
      <c r="G148">
        <v>83.38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0.7549407114624489</v>
      </c>
      <c r="Q148">
        <f t="shared" ref="Q148" si="716">F148*P148</f>
        <v>20084.608774703513</v>
      </c>
      <c r="R148">
        <f t="shared" ref="R148" si="717">R149+Q148</f>
        <v>-389619.82145678229</v>
      </c>
      <c r="S148">
        <f t="shared" ref="S148" si="718">R148/100000</f>
        <v>-3.8961982145678227</v>
      </c>
      <c r="T148">
        <f t="shared" ref="T148" si="719">S148/1000</f>
        <v>-3.8961982145678227E-3</v>
      </c>
    </row>
    <row r="149" spans="1:20" x14ac:dyDescent="0.25">
      <c r="A149" s="5">
        <v>44444</v>
      </c>
      <c r="B149">
        <v>85.56</v>
      </c>
      <c r="C149">
        <v>85.57</v>
      </c>
      <c r="D149">
        <v>79</v>
      </c>
      <c r="E149">
        <v>80.430000000000007</v>
      </c>
      <c r="F149">
        <v>40407.97</v>
      </c>
      <c r="G149">
        <v>80.430000000000007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-0.56468797564687723</v>
      </c>
      <c r="Q149">
        <f t="shared" ref="Q149" si="721">F149*P149</f>
        <v>-22817.894779299746</v>
      </c>
      <c r="R149">
        <f t="shared" ref="R149" si="722">R150+Q149</f>
        <v>-409704.43023148581</v>
      </c>
      <c r="S149">
        <f t="shared" ref="S149" si="723">R149/100000</f>
        <v>-4.0970443023148579</v>
      </c>
      <c r="T149">
        <f t="shared" ref="T149" si="724">S149/1000</f>
        <v>-4.0970443023148582E-3</v>
      </c>
    </row>
    <row r="150" spans="1:20" x14ac:dyDescent="0.25">
      <c r="A150" s="5">
        <v>44443</v>
      </c>
      <c r="B150">
        <v>85.46</v>
      </c>
      <c r="C150">
        <v>90</v>
      </c>
      <c r="D150">
        <v>80</v>
      </c>
      <c r="E150">
        <v>85.4</v>
      </c>
      <c r="F150">
        <v>46793.19</v>
      </c>
      <c r="G150">
        <v>85.4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8.000000000000114E-2</v>
      </c>
      <c r="Q150">
        <f t="shared" ref="Q150" si="726">F150*P150</f>
        <v>3743.4552000000535</v>
      </c>
      <c r="R150">
        <f t="shared" ref="R150" si="727">R151+Q150</f>
        <v>-386886.53545218607</v>
      </c>
      <c r="S150">
        <f t="shared" ref="S150" si="728">R150/100000</f>
        <v>-3.8688653545218608</v>
      </c>
      <c r="T150">
        <f t="shared" ref="T150" si="729">S150/1000</f>
        <v>-3.8688653545218606E-3</v>
      </c>
    </row>
    <row r="151" spans="1:20" x14ac:dyDescent="0.25">
      <c r="A151" s="5">
        <v>44442</v>
      </c>
      <c r="B151">
        <v>77.989999999999995</v>
      </c>
      <c r="C151">
        <v>87</v>
      </c>
      <c r="D151">
        <v>76.86</v>
      </c>
      <c r="E151">
        <v>85.47</v>
      </c>
      <c r="F151">
        <v>31179.862000000001</v>
      </c>
      <c r="G151">
        <v>85.47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0.69822485207100571</v>
      </c>
      <c r="Q151">
        <f t="shared" ref="Q151" si="731">F151*P151</f>
        <v>21770.554532544375</v>
      </c>
      <c r="R151">
        <f t="shared" ref="R151" si="732">R152+Q151</f>
        <v>-390629.9906521861</v>
      </c>
      <c r="S151">
        <f t="shared" ref="S151" si="733">R151/100000</f>
        <v>-3.9062999065218609</v>
      </c>
      <c r="T151">
        <f t="shared" ref="T151" si="734">S151/1000</f>
        <v>-3.9062999065218613E-3</v>
      </c>
    </row>
    <row r="152" spans="1:20" x14ac:dyDescent="0.25">
      <c r="A152" s="5">
        <v>44441</v>
      </c>
      <c r="B152">
        <v>77.53</v>
      </c>
      <c r="C152">
        <v>78.977000000000004</v>
      </c>
      <c r="D152">
        <v>76</v>
      </c>
      <c r="E152">
        <v>77.989999999999995</v>
      </c>
      <c r="F152">
        <v>20489.679</v>
      </c>
      <c r="G152">
        <v>77.989999999999995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0.3369163587504147</v>
      </c>
      <c r="Q152">
        <f t="shared" ref="Q152" si="736">F152*P152</f>
        <v>6903.308040644838</v>
      </c>
      <c r="R152">
        <f t="shared" ref="R152" si="737">R153+Q152</f>
        <v>-412400.54518473049</v>
      </c>
      <c r="S152">
        <f t="shared" ref="S152" si="738">R152/100000</f>
        <v>-4.1240054518473048</v>
      </c>
      <c r="T152">
        <f t="shared" ref="T152" si="739">S152/1000</f>
        <v>-4.1240054518473044E-3</v>
      </c>
    </row>
    <row r="153" spans="1:20" x14ac:dyDescent="0.25">
      <c r="A153" s="5">
        <v>44440</v>
      </c>
      <c r="B153">
        <v>75</v>
      </c>
      <c r="C153">
        <v>78.447000000000003</v>
      </c>
      <c r="D153">
        <v>72.900000000000006</v>
      </c>
      <c r="E153">
        <v>77.56</v>
      </c>
      <c r="F153">
        <v>36918.519999999997</v>
      </c>
      <c r="G153">
        <v>77.56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0.68018748873264789</v>
      </c>
      <c r="Q153">
        <f t="shared" ref="Q153" si="741">F153*P153</f>
        <v>25111.515406526032</v>
      </c>
      <c r="R153">
        <f t="shared" ref="R153" si="742">R154+Q153</f>
        <v>-419303.85322537535</v>
      </c>
      <c r="S153">
        <f t="shared" ref="S153" si="743">R153/100000</f>
        <v>-4.1930385322537536</v>
      </c>
      <c r="T153">
        <f t="shared" ref="T153" si="744">S153/1000</f>
        <v>-4.1930385322537537E-3</v>
      </c>
    </row>
    <row r="154" spans="1:20" x14ac:dyDescent="0.25">
      <c r="A154" s="5">
        <v>44439</v>
      </c>
      <c r="B154">
        <v>68.44</v>
      </c>
      <c r="C154">
        <v>78.173000000000002</v>
      </c>
      <c r="D154">
        <v>67.87</v>
      </c>
      <c r="E154">
        <v>75</v>
      </c>
      <c r="F154">
        <v>52769.218000000001</v>
      </c>
      <c r="G154">
        <v>75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0.3840628943026298</v>
      </c>
      <c r="Q154">
        <f t="shared" ref="Q154" si="746">F154*P154</f>
        <v>20266.698595166428</v>
      </c>
      <c r="R154">
        <f t="shared" ref="R154" si="747">R155+Q154</f>
        <v>-444415.36863190139</v>
      </c>
      <c r="S154">
        <f t="shared" ref="S154" si="748">R154/100000</f>
        <v>-4.4441536863190141</v>
      </c>
      <c r="T154">
        <f t="shared" ref="T154" si="749">S154/1000</f>
        <v>-4.4441536863190139E-3</v>
      </c>
    </row>
    <row r="155" spans="1:20" x14ac:dyDescent="0.25">
      <c r="A155" s="5">
        <v>44438</v>
      </c>
      <c r="B155">
        <v>68.67</v>
      </c>
      <c r="C155">
        <v>70.349999999999994</v>
      </c>
      <c r="D155">
        <v>66.27</v>
      </c>
      <c r="E155">
        <v>68.34</v>
      </c>
      <c r="F155">
        <v>41339.411</v>
      </c>
      <c r="G155">
        <v>68.34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1.4705882352945223E-2</v>
      </c>
      <c r="Q155">
        <f t="shared" ref="Q155" si="751">F155*P155</f>
        <v>607.93251470604969</v>
      </c>
      <c r="R155">
        <f t="shared" ref="R155" si="752">R156+Q155</f>
        <v>-464682.06722706783</v>
      </c>
      <c r="S155">
        <f t="shared" ref="S155" si="753">R155/100000</f>
        <v>-4.6468206722706782</v>
      </c>
      <c r="T155">
        <f t="shared" ref="T155" si="754">S155/1000</f>
        <v>-4.6468206722706778E-3</v>
      </c>
    </row>
    <row r="156" spans="1:20" x14ac:dyDescent="0.25">
      <c r="A156" s="5">
        <v>44437</v>
      </c>
      <c r="B156">
        <v>70.209999999999994</v>
      </c>
      <c r="C156">
        <v>72</v>
      </c>
      <c r="D156">
        <v>68.510000000000005</v>
      </c>
      <c r="E156">
        <v>68.739999999999995</v>
      </c>
      <c r="F156">
        <v>15270.85</v>
      </c>
      <c r="G156">
        <v>68.739999999999995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-0.86819484240688249</v>
      </c>
      <c r="Q156">
        <f t="shared" ref="Q156" si="756">F156*P156</f>
        <v>-13258.073209169143</v>
      </c>
      <c r="R156">
        <f t="shared" ref="R156" si="757">R157+Q156</f>
        <v>-465289.99974177388</v>
      </c>
      <c r="S156">
        <f t="shared" ref="S156" si="758">R156/100000</f>
        <v>-4.6528999974177392</v>
      </c>
      <c r="T156">
        <f t="shared" ref="T156" si="759">S156/1000</f>
        <v>-4.652899997417739E-3</v>
      </c>
    </row>
    <row r="157" spans="1:20" x14ac:dyDescent="0.25">
      <c r="A157" s="5">
        <v>44436</v>
      </c>
      <c r="B157">
        <v>70.89</v>
      </c>
      <c r="C157">
        <v>71.98</v>
      </c>
      <c r="D157">
        <v>69.819999999999993</v>
      </c>
      <c r="E157">
        <v>70.2</v>
      </c>
      <c r="F157">
        <v>24180.11</v>
      </c>
      <c r="G157">
        <v>70.2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-0.64814814814814092</v>
      </c>
      <c r="Q157">
        <f t="shared" ref="Q157" si="761">F157*P157</f>
        <v>-15672.293518518345</v>
      </c>
      <c r="R157">
        <f t="shared" ref="R157" si="762">R158+Q157</f>
        <v>-452031.92653260473</v>
      </c>
      <c r="S157">
        <f t="shared" ref="S157" si="763">R157/100000</f>
        <v>-4.5203192653260471</v>
      </c>
      <c r="T157">
        <f t="shared" ref="T157" si="764">S157/1000</f>
        <v>-4.5203192653260468E-3</v>
      </c>
    </row>
    <row r="158" spans="1:20" x14ac:dyDescent="0.25">
      <c r="A158" s="5">
        <v>44435</v>
      </c>
      <c r="B158">
        <v>68.55</v>
      </c>
      <c r="C158">
        <v>71.28</v>
      </c>
      <c r="D158">
        <v>67.430000000000007</v>
      </c>
      <c r="E158">
        <v>70.89</v>
      </c>
      <c r="F158">
        <v>19447.009999999998</v>
      </c>
      <c r="G158">
        <v>70.89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0.79740259740259678</v>
      </c>
      <c r="Q158">
        <f t="shared" ref="Q158" si="766">F158*P158</f>
        <v>15507.096285714273</v>
      </c>
      <c r="R158">
        <f t="shared" ref="R158" si="767">R159+Q158</f>
        <v>-436359.6330140864</v>
      </c>
      <c r="S158">
        <f t="shared" ref="S158" si="768">R158/100000</f>
        <v>-4.3635963301408642</v>
      </c>
      <c r="T158">
        <f t="shared" ref="T158" si="769">S158/1000</f>
        <v>-4.3635963301408643E-3</v>
      </c>
    </row>
    <row r="159" spans="1:20" x14ac:dyDescent="0.25">
      <c r="A159" s="5">
        <v>44434</v>
      </c>
      <c r="B159">
        <v>71.620999999999995</v>
      </c>
      <c r="C159">
        <v>72.930999999999997</v>
      </c>
      <c r="D159">
        <v>67.010000000000005</v>
      </c>
      <c r="E159">
        <v>68.569999999999993</v>
      </c>
      <c r="F159">
        <v>19322.219000000001</v>
      </c>
      <c r="G159">
        <v>68.569999999999993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-0.47306198277318356</v>
      </c>
      <c r="Q159">
        <f t="shared" ref="Q159" si="771">F159*P159</f>
        <v>-9140.6072317176804</v>
      </c>
      <c r="R159">
        <f t="shared" ref="R159" si="772">R160+Q159</f>
        <v>-451866.72929980065</v>
      </c>
      <c r="S159">
        <f t="shared" ref="S159" si="773">R159/100000</f>
        <v>-4.5186672929980061</v>
      </c>
      <c r="T159">
        <f t="shared" ref="T159" si="774">S159/1000</f>
        <v>-4.5186672929980057E-3</v>
      </c>
    </row>
    <row r="160" spans="1:20" x14ac:dyDescent="0.25">
      <c r="A160" s="5">
        <v>44433</v>
      </c>
      <c r="B160">
        <v>66.894000000000005</v>
      </c>
      <c r="C160">
        <v>74.813999999999993</v>
      </c>
      <c r="D160">
        <v>66.894000000000005</v>
      </c>
      <c r="E160">
        <v>71.662999999999997</v>
      </c>
      <c r="F160">
        <v>55919.379000000001</v>
      </c>
      <c r="G160">
        <v>71.662999999999997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0.20429292929292897</v>
      </c>
      <c r="Q160">
        <f t="shared" ref="Q160" si="776">F160*P160</f>
        <v>11423.933740151497</v>
      </c>
      <c r="R160">
        <f t="shared" ref="R160" si="777">R161+Q160</f>
        <v>-442726.12206808297</v>
      </c>
      <c r="S160">
        <f t="shared" ref="S160" si="778">R160/100000</f>
        <v>-4.4272612206808297</v>
      </c>
      <c r="T160">
        <f t="shared" ref="T160" si="779">S160/1000</f>
        <v>-4.4272612206808296E-3</v>
      </c>
    </row>
    <row r="161" spans="1:20" x14ac:dyDescent="0.25">
      <c r="A161" s="5">
        <v>44432</v>
      </c>
      <c r="B161">
        <v>71.384</v>
      </c>
      <c r="C161">
        <v>72.123000000000005</v>
      </c>
      <c r="D161">
        <v>66.894000000000005</v>
      </c>
      <c r="E161">
        <v>66.894000000000005</v>
      </c>
      <c r="F161">
        <v>26871.43</v>
      </c>
      <c r="G161">
        <v>66.894000000000005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-1</v>
      </c>
      <c r="Q161">
        <f t="shared" ref="Q161" si="781">F161*P161</f>
        <v>-26871.43</v>
      </c>
      <c r="R161">
        <f t="shared" ref="R161" si="782">R162+Q161</f>
        <v>-454150.05580823449</v>
      </c>
      <c r="S161">
        <f t="shared" ref="S161" si="783">R161/100000</f>
        <v>-4.5415005580823449</v>
      </c>
      <c r="T161">
        <f t="shared" ref="T161" si="784">S161/1000</f>
        <v>-4.5415005580823446E-3</v>
      </c>
    </row>
    <row r="162" spans="1:20" x14ac:dyDescent="0.25">
      <c r="A162" s="5">
        <v>44431</v>
      </c>
      <c r="B162">
        <v>71.412999999999997</v>
      </c>
      <c r="C162">
        <v>73.045000000000002</v>
      </c>
      <c r="D162">
        <v>70.771000000000001</v>
      </c>
      <c r="E162">
        <v>71.38</v>
      </c>
      <c r="F162">
        <v>24518.687000000002</v>
      </c>
      <c r="G162">
        <v>71.38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-0.46437994722955639</v>
      </c>
      <c r="Q162">
        <f t="shared" ref="Q162" si="786">F162*P162</f>
        <v>-11385.986575198011</v>
      </c>
      <c r="R162">
        <f t="shared" ref="R162" si="787">R163+Q162</f>
        <v>-427278.6258082345</v>
      </c>
      <c r="S162">
        <f t="shared" ref="S162" si="788">R162/100000</f>
        <v>-4.2727862580823448</v>
      </c>
      <c r="T162">
        <f t="shared" ref="T162" si="789">S162/1000</f>
        <v>-4.2727862580823452E-3</v>
      </c>
    </row>
    <row r="163" spans="1:20" x14ac:dyDescent="0.25">
      <c r="A163" s="5">
        <v>44430</v>
      </c>
      <c r="B163">
        <v>74.587999999999994</v>
      </c>
      <c r="C163">
        <v>75.247</v>
      </c>
      <c r="D163">
        <v>73.649000000000001</v>
      </c>
      <c r="E163">
        <v>74.289000000000001</v>
      </c>
      <c r="F163">
        <v>5016.3760000000002</v>
      </c>
      <c r="G163">
        <v>74.289000000000001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-0.19899874843554322</v>
      </c>
      <c r="Q163">
        <f t="shared" ref="Q163" si="791">F163*P163</f>
        <v>-998.25254568209652</v>
      </c>
      <c r="R163">
        <f t="shared" ref="R163" si="792">R164+Q163</f>
        <v>-415892.63923303649</v>
      </c>
      <c r="S163">
        <f t="shared" ref="S163" si="793">R163/100000</f>
        <v>-4.1589263923303648</v>
      </c>
      <c r="T163">
        <f t="shared" ref="T163" si="794">S163/1000</f>
        <v>-4.1589263923303647E-3</v>
      </c>
    </row>
    <row r="164" spans="1:20" x14ac:dyDescent="0.25">
      <c r="A164" s="5">
        <v>44429</v>
      </c>
      <c r="B164">
        <v>77.909000000000006</v>
      </c>
      <c r="C164">
        <v>80.186999999999998</v>
      </c>
      <c r="D164">
        <v>74.575999999999993</v>
      </c>
      <c r="E164">
        <v>74.588999999999999</v>
      </c>
      <c r="F164">
        <v>21386.6</v>
      </c>
      <c r="G164">
        <v>74.588999999999999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-0.99536624487613434</v>
      </c>
      <c r="Q164">
        <f t="shared" ref="Q164" si="796">F164*P164</f>
        <v>-21287.499732667933</v>
      </c>
      <c r="R164">
        <f t="shared" ref="R164" si="797">R165+Q164</f>
        <v>-414894.38668735442</v>
      </c>
      <c r="S164">
        <f t="shared" ref="S164" si="798">R164/100000</f>
        <v>-4.1489438668735446</v>
      </c>
      <c r="T164">
        <f t="shared" ref="T164" si="799">S164/1000</f>
        <v>-4.1489438668735447E-3</v>
      </c>
    </row>
    <row r="165" spans="1:20" x14ac:dyDescent="0.25">
      <c r="A165" s="5">
        <v>44428</v>
      </c>
      <c r="B165">
        <v>75.286000000000001</v>
      </c>
      <c r="C165">
        <v>82.841999999999999</v>
      </c>
      <c r="D165">
        <v>74.451999999999998</v>
      </c>
      <c r="E165">
        <v>77.850999999999999</v>
      </c>
      <c r="F165">
        <v>26731.66</v>
      </c>
      <c r="G165">
        <v>77.850999999999999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-0.18974970202622152</v>
      </c>
      <c r="Q165">
        <f t="shared" ref="Q165" si="801">F165*P165</f>
        <v>-5072.3245196662647</v>
      </c>
      <c r="R165">
        <f t="shared" ref="R165" si="802">R166+Q165</f>
        <v>-393606.88695468649</v>
      </c>
      <c r="S165">
        <f t="shared" ref="S165" si="803">R165/100000</f>
        <v>-3.9360688695468649</v>
      </c>
      <c r="T165">
        <f t="shared" ref="T165" si="804">S165/1000</f>
        <v>-3.9360688695468651E-3</v>
      </c>
    </row>
    <row r="166" spans="1:20" x14ac:dyDescent="0.25">
      <c r="A166" s="5">
        <v>44427</v>
      </c>
      <c r="B166">
        <v>71.992000000000004</v>
      </c>
      <c r="C166">
        <v>77.721000000000004</v>
      </c>
      <c r="D166">
        <v>69.472999999999999</v>
      </c>
      <c r="E166">
        <v>75.155000000000001</v>
      </c>
      <c r="F166">
        <v>18762.383999999998</v>
      </c>
      <c r="G166">
        <v>75.155000000000001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0.37778855480116369</v>
      </c>
      <c r="Q166">
        <f t="shared" ref="Q166" si="806">F166*P166</f>
        <v>7088.2139359844759</v>
      </c>
      <c r="R166">
        <f t="shared" ref="R166" si="807">R167+Q166</f>
        <v>-388534.56243502023</v>
      </c>
      <c r="S166">
        <f t="shared" ref="S166" si="808">R166/100000</f>
        <v>-3.8853456243502023</v>
      </c>
      <c r="T166">
        <f t="shared" ref="T166" si="809">S166/1000</f>
        <v>-3.8853456243502023E-3</v>
      </c>
    </row>
    <row r="167" spans="1:20" x14ac:dyDescent="0.25">
      <c r="A167" s="5">
        <v>44426</v>
      </c>
      <c r="B167">
        <v>73.305000000000007</v>
      </c>
      <c r="C167">
        <v>75.334999999999994</v>
      </c>
      <c r="D167">
        <v>69.046000000000006</v>
      </c>
      <c r="E167">
        <v>71.888000000000005</v>
      </c>
      <c r="F167">
        <v>33078.786999999997</v>
      </c>
      <c r="G167">
        <v>71.888000000000005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-9.6199713785974084E-2</v>
      </c>
      <c r="Q167">
        <f t="shared" ref="Q167" si="811">F167*P167</f>
        <v>-3182.1698417871999</v>
      </c>
      <c r="R167">
        <f t="shared" ref="R167" si="812">R168+Q167</f>
        <v>-395622.7763710047</v>
      </c>
      <c r="S167">
        <f t="shared" ref="S167" si="813">R167/100000</f>
        <v>-3.9562277637100469</v>
      </c>
      <c r="T167">
        <f t="shared" ref="T167" si="814">S167/1000</f>
        <v>-3.9562277637100471E-3</v>
      </c>
    </row>
    <row r="168" spans="1:20" x14ac:dyDescent="0.25">
      <c r="A168" s="5">
        <v>44425</v>
      </c>
      <c r="B168">
        <v>68.385999999999996</v>
      </c>
      <c r="C168">
        <v>73.98</v>
      </c>
      <c r="D168">
        <v>68.111999999999995</v>
      </c>
      <c r="E168">
        <v>72.971999999999994</v>
      </c>
      <c r="F168">
        <v>53485.838000000003</v>
      </c>
      <c r="G168">
        <v>72.971999999999994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0.65644171779140825</v>
      </c>
      <c r="Q168">
        <f t="shared" ref="Q168" si="816">F168*P168</f>
        <v>35110.335374232978</v>
      </c>
      <c r="R168">
        <f t="shared" ref="R168" si="817">R169+Q168</f>
        <v>-392440.6065292175</v>
      </c>
      <c r="S168">
        <f t="shared" ref="S168" si="818">R168/100000</f>
        <v>-3.9244060652921751</v>
      </c>
      <c r="T168">
        <f t="shared" ref="T168" si="819">S168/1000</f>
        <v>-3.9244060652921754E-3</v>
      </c>
    </row>
    <row r="169" spans="1:20" x14ac:dyDescent="0.25">
      <c r="A169" s="5">
        <v>44424</v>
      </c>
      <c r="B169">
        <v>69.613</v>
      </c>
      <c r="C169">
        <v>73.989999999999995</v>
      </c>
      <c r="D169">
        <v>67.393000000000001</v>
      </c>
      <c r="E169">
        <v>68.5</v>
      </c>
      <c r="F169">
        <v>34475.233</v>
      </c>
      <c r="G169">
        <v>68.5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-0.66439290586630273</v>
      </c>
      <c r="Q169">
        <f t="shared" ref="Q169" si="821">F169*P169</f>
        <v>-22905.100233287852</v>
      </c>
      <c r="R169">
        <f t="shared" ref="R169" si="822">R170+Q169</f>
        <v>-427550.94190345047</v>
      </c>
      <c r="S169">
        <f t="shared" ref="S169" si="823">R169/100000</f>
        <v>-4.2755094190345044</v>
      </c>
      <c r="T169">
        <f t="shared" ref="T169" si="824">S169/1000</f>
        <v>-4.2755094190345044E-3</v>
      </c>
    </row>
    <row r="170" spans="1:20" x14ac:dyDescent="0.25">
      <c r="A170" s="5">
        <v>44423</v>
      </c>
      <c r="B170">
        <v>65.905000000000001</v>
      </c>
      <c r="C170">
        <v>69.853999999999999</v>
      </c>
      <c r="D170">
        <v>64.587000000000003</v>
      </c>
      <c r="E170">
        <v>69.483000000000004</v>
      </c>
      <c r="F170">
        <v>39310.326999999997</v>
      </c>
      <c r="G170">
        <v>69.483000000000004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0.85912284032656339</v>
      </c>
      <c r="Q170">
        <f t="shared" ref="Q170" si="826">F170*P170</f>
        <v>33772.399786405993</v>
      </c>
      <c r="R170">
        <f t="shared" ref="R170" si="827">R171+Q170</f>
        <v>-404645.84167016263</v>
      </c>
      <c r="S170">
        <f t="shared" ref="S170" si="828">R170/100000</f>
        <v>-4.0464584167016264</v>
      </c>
      <c r="T170">
        <f t="shared" ref="T170" si="829">S170/1000</f>
        <v>-4.0464584167016265E-3</v>
      </c>
    </row>
    <row r="171" spans="1:20" x14ac:dyDescent="0.25">
      <c r="A171" s="5">
        <v>44422</v>
      </c>
      <c r="B171">
        <v>66.462999999999994</v>
      </c>
      <c r="C171">
        <v>66.679000000000002</v>
      </c>
      <c r="D171">
        <v>62.149000000000001</v>
      </c>
      <c r="E171">
        <v>65.905000000000001</v>
      </c>
      <c r="F171">
        <v>21881.672999999999</v>
      </c>
      <c r="G171">
        <v>65.905000000000001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0.65827814569536391</v>
      </c>
      <c r="Q171">
        <f t="shared" ref="Q171" si="831">F171*P171</f>
        <v>14404.22712715231</v>
      </c>
      <c r="R171">
        <f t="shared" ref="R171" si="832">R172+Q171</f>
        <v>-438418.24145656859</v>
      </c>
      <c r="S171">
        <f t="shared" ref="S171" si="833">R171/100000</f>
        <v>-4.3841824145656858</v>
      </c>
      <c r="T171">
        <f t="shared" ref="T171" si="834">S171/1000</f>
        <v>-4.384182414565686E-3</v>
      </c>
    </row>
    <row r="172" spans="1:20" x14ac:dyDescent="0.25">
      <c r="A172" s="5">
        <v>44421</v>
      </c>
      <c r="B172">
        <v>61.23</v>
      </c>
      <c r="C172">
        <v>66.7</v>
      </c>
      <c r="D172">
        <v>60.741</v>
      </c>
      <c r="E172">
        <v>66.558999999999997</v>
      </c>
      <c r="F172">
        <v>17801.167000000001</v>
      </c>
      <c r="G172">
        <v>66.558999999999997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0.95267662359456107</v>
      </c>
      <c r="Q172">
        <f t="shared" ref="Q172" si="836">F172*P172</f>
        <v>16958.755673602922</v>
      </c>
      <c r="R172">
        <f t="shared" ref="R172" si="837">R173+Q172</f>
        <v>-452822.46858372091</v>
      </c>
      <c r="S172">
        <f t="shared" ref="S172" si="838">R172/100000</f>
        <v>-4.5282246858372091</v>
      </c>
      <c r="T172">
        <f t="shared" ref="T172" si="839">S172/1000</f>
        <v>-4.528224685837209E-3</v>
      </c>
    </row>
    <row r="173" spans="1:20" x14ac:dyDescent="0.25">
      <c r="A173" s="5">
        <v>44420</v>
      </c>
      <c r="B173">
        <v>63.353999999999999</v>
      </c>
      <c r="C173">
        <v>64.968999999999994</v>
      </c>
      <c r="D173">
        <v>58.146999999999998</v>
      </c>
      <c r="E173">
        <v>61.23</v>
      </c>
      <c r="F173">
        <v>24179.514999999999</v>
      </c>
      <c r="G173">
        <v>61.23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-9.6159484022280736E-2</v>
      </c>
      <c r="Q173">
        <f t="shared" ref="Q173" si="841">F173*P173</f>
        <v>-2325.0896863089974</v>
      </c>
      <c r="R173">
        <f t="shared" ref="R173" si="842">R174+Q173</f>
        <v>-469781.22425732383</v>
      </c>
      <c r="S173">
        <f t="shared" ref="S173" si="843">R173/100000</f>
        <v>-4.6978122425732387</v>
      </c>
      <c r="T173">
        <f t="shared" ref="T173" si="844">S173/1000</f>
        <v>-4.6978122425732384E-3</v>
      </c>
    </row>
    <row r="174" spans="1:20" x14ac:dyDescent="0.25">
      <c r="A174" s="5">
        <v>44419</v>
      </c>
      <c r="B174">
        <v>63.908000000000001</v>
      </c>
      <c r="C174">
        <v>65.995999999999995</v>
      </c>
      <c r="D174">
        <v>62.37</v>
      </c>
      <c r="E174">
        <v>63.677</v>
      </c>
      <c r="F174">
        <v>23609.634999999998</v>
      </c>
      <c r="G174">
        <v>63.677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-0.27909542195256315</v>
      </c>
      <c r="Q174">
        <f t="shared" ref="Q174" si="846">F174*P174</f>
        <v>-6589.3410424710028</v>
      </c>
      <c r="R174">
        <f t="shared" ref="R174" si="847">R175+Q174</f>
        <v>-467456.13457101485</v>
      </c>
      <c r="S174">
        <f t="shared" ref="S174" si="848">R174/100000</f>
        <v>-4.6745613457101483</v>
      </c>
      <c r="T174">
        <f t="shared" ref="T174" si="849">S174/1000</f>
        <v>-4.6745613457101478E-3</v>
      </c>
    </row>
    <row r="175" spans="1:20" x14ac:dyDescent="0.25">
      <c r="A175" s="5">
        <v>44418</v>
      </c>
      <c r="B175">
        <v>63.993000000000002</v>
      </c>
      <c r="C175">
        <v>66</v>
      </c>
      <c r="D175">
        <v>62.502000000000002</v>
      </c>
      <c r="E175">
        <v>63.908000000000001</v>
      </c>
      <c r="F175">
        <v>13745.669</v>
      </c>
      <c r="G175">
        <v>63.908000000000001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-0.19611206403659245</v>
      </c>
      <c r="Q175">
        <f t="shared" ref="Q175" si="851">F175*P175</f>
        <v>-2695.6915191538037</v>
      </c>
      <c r="R175">
        <f t="shared" ref="R175" si="852">R176+Q175</f>
        <v>-460866.79352854384</v>
      </c>
      <c r="S175">
        <f t="shared" ref="S175" si="853">R175/100000</f>
        <v>-4.6086679352854381</v>
      </c>
      <c r="T175">
        <f t="shared" ref="T175" si="854">S175/1000</f>
        <v>-4.608667935285438E-3</v>
      </c>
    </row>
    <row r="176" spans="1:20" x14ac:dyDescent="0.25">
      <c r="A176" s="5">
        <v>44417</v>
      </c>
      <c r="B176">
        <v>62.593000000000004</v>
      </c>
      <c r="C176">
        <v>65.049000000000007</v>
      </c>
      <c r="D176">
        <v>61.33</v>
      </c>
      <c r="E176">
        <v>64.247</v>
      </c>
      <c r="F176">
        <v>17028.928</v>
      </c>
      <c r="G176">
        <v>64.247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0.5687012637805835</v>
      </c>
      <c r="Q176">
        <f t="shared" ref="Q176" si="856">F176*P176</f>
        <v>9684.3728744285636</v>
      </c>
      <c r="R176">
        <f t="shared" ref="R176" si="857">R177+Q176</f>
        <v>-458171.10200939002</v>
      </c>
      <c r="S176">
        <f t="shared" ref="S176" si="858">R176/100000</f>
        <v>-4.5817110200939002</v>
      </c>
      <c r="T176">
        <f t="shared" ref="T176" si="859">S176/1000</f>
        <v>-4.5817110200939001E-3</v>
      </c>
    </row>
    <row r="177" spans="1:20" x14ac:dyDescent="0.25">
      <c r="A177" s="5">
        <v>44416</v>
      </c>
      <c r="B177">
        <v>66.201999999999998</v>
      </c>
      <c r="C177">
        <v>68.034999999999997</v>
      </c>
      <c r="D177">
        <v>61.33</v>
      </c>
      <c r="E177">
        <v>62.591999999999999</v>
      </c>
      <c r="F177">
        <v>37903.862000000001</v>
      </c>
      <c r="G177">
        <v>62.591999999999999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-0.62356450410141662</v>
      </c>
      <c r="Q177">
        <f t="shared" ref="Q177" si="861">F177*P177</f>
        <v>-23635.502911558531</v>
      </c>
      <c r="R177">
        <f t="shared" ref="R177" si="862">R178+Q177</f>
        <v>-467855.47488381859</v>
      </c>
      <c r="S177">
        <f t="shared" ref="S177" si="863">R177/100000</f>
        <v>-4.6785547488381862</v>
      </c>
      <c r="T177">
        <f t="shared" ref="T177" si="864">S177/1000</f>
        <v>-4.6785547488381865E-3</v>
      </c>
    </row>
    <row r="178" spans="1:20" x14ac:dyDescent="0.25">
      <c r="A178" s="5">
        <v>44415</v>
      </c>
      <c r="B178">
        <v>63.195999999999998</v>
      </c>
      <c r="C178">
        <v>67.173000000000002</v>
      </c>
      <c r="D178">
        <v>62.536999999999999</v>
      </c>
      <c r="E178">
        <v>66.022999999999996</v>
      </c>
      <c r="F178">
        <v>65802.595000000001</v>
      </c>
      <c r="G178">
        <v>66.022999999999996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0.50388265746332828</v>
      </c>
      <c r="Q178">
        <f t="shared" ref="Q178" si="866">F178*P178</f>
        <v>33156.786436583119</v>
      </c>
      <c r="R178">
        <f t="shared" ref="R178" si="867">R179+Q178</f>
        <v>-444219.97197226004</v>
      </c>
      <c r="S178">
        <f t="shared" ref="S178" si="868">R178/100000</f>
        <v>-4.4421997197226002</v>
      </c>
      <c r="T178">
        <f t="shared" ref="T178" si="869">S178/1000</f>
        <v>-4.4421997197226001E-3</v>
      </c>
    </row>
    <row r="179" spans="1:20" x14ac:dyDescent="0.25">
      <c r="A179" s="5">
        <v>44414</v>
      </c>
      <c r="B179">
        <v>62.720999999999997</v>
      </c>
      <c r="C179">
        <v>64.900000000000006</v>
      </c>
      <c r="D179">
        <v>60.783000000000001</v>
      </c>
      <c r="E179">
        <v>62.975000000000001</v>
      </c>
      <c r="F179">
        <v>17928.061000000002</v>
      </c>
      <c r="G179">
        <v>62.975000000000001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6.485304833616605E-2</v>
      </c>
      <c r="Q179">
        <f t="shared" ref="Q179" si="871">F179*P179</f>
        <v>1162.6894066067337</v>
      </c>
      <c r="R179">
        <f t="shared" ref="R179" si="872">R180+Q179</f>
        <v>-477376.75840884319</v>
      </c>
      <c r="S179">
        <f t="shared" ref="S179" si="873">R179/100000</f>
        <v>-4.7737675840884322</v>
      </c>
      <c r="T179">
        <f t="shared" ref="T179" si="874">S179/1000</f>
        <v>-4.7737675840884321E-3</v>
      </c>
    </row>
    <row r="180" spans="1:20" x14ac:dyDescent="0.25">
      <c r="A180" s="5">
        <v>44413</v>
      </c>
      <c r="B180">
        <v>60.226999999999997</v>
      </c>
      <c r="C180">
        <v>68</v>
      </c>
      <c r="D180">
        <v>57.558999999999997</v>
      </c>
      <c r="E180">
        <v>62.720999999999997</v>
      </c>
      <c r="F180">
        <v>38900.305</v>
      </c>
      <c r="G180">
        <v>62.720999999999997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-1.1205823197012202E-2</v>
      </c>
      <c r="Q180">
        <f t="shared" ref="Q180" si="876">F180*P180</f>
        <v>-435.90994013984977</v>
      </c>
      <c r="R180">
        <f t="shared" ref="R180" si="877">R181+Q180</f>
        <v>-478539.44781544991</v>
      </c>
      <c r="S180">
        <f t="shared" ref="S180" si="878">R180/100000</f>
        <v>-4.7853944781544993</v>
      </c>
      <c r="T180">
        <f t="shared" ref="T180" si="879">S180/1000</f>
        <v>-4.7853944781544996E-3</v>
      </c>
    </row>
    <row r="181" spans="1:20" x14ac:dyDescent="0.25">
      <c r="A181" s="5">
        <v>44412</v>
      </c>
      <c r="B181">
        <v>56.5</v>
      </c>
      <c r="C181">
        <v>60.628</v>
      </c>
      <c r="D181">
        <v>56.5</v>
      </c>
      <c r="E181">
        <v>60.206000000000003</v>
      </c>
      <c r="F181">
        <v>10482.242</v>
      </c>
      <c r="G181">
        <v>60.206000000000003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0.79554263565891614</v>
      </c>
      <c r="Q181">
        <f t="shared" ref="Q181" si="881">F181*P181</f>
        <v>8339.0704282945881</v>
      </c>
      <c r="R181">
        <f t="shared" ref="R181" si="882">R182+Q181</f>
        <v>-478103.53787531005</v>
      </c>
      <c r="S181">
        <f t="shared" ref="S181" si="883">R181/100000</f>
        <v>-4.7810353787531001</v>
      </c>
      <c r="T181">
        <f t="shared" ref="T181" si="884">S181/1000</f>
        <v>-4.7810353787531004E-3</v>
      </c>
    </row>
    <row r="182" spans="1:20" x14ac:dyDescent="0.25">
      <c r="A182" s="5">
        <v>44411</v>
      </c>
      <c r="B182">
        <v>58.100999999999999</v>
      </c>
      <c r="C182">
        <v>59.14</v>
      </c>
      <c r="D182">
        <v>54.363999999999997</v>
      </c>
      <c r="E182">
        <v>56.5</v>
      </c>
      <c r="F182">
        <v>17814.409</v>
      </c>
      <c r="G182">
        <v>56.5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-0.10552763819095423</v>
      </c>
      <c r="Q182">
        <f t="shared" ref="Q182" si="886">F182*P182</f>
        <v>-1879.9125075376787</v>
      </c>
      <c r="R182">
        <f t="shared" ref="R182" si="887">R183+Q182</f>
        <v>-486442.60830360465</v>
      </c>
      <c r="S182">
        <f t="shared" ref="S182" si="888">R182/100000</f>
        <v>-4.8644260830360464</v>
      </c>
      <c r="T182">
        <f t="shared" ref="T182" si="889">S182/1000</f>
        <v>-4.8644260830360466E-3</v>
      </c>
    </row>
    <row r="183" spans="1:20" x14ac:dyDescent="0.25">
      <c r="A183" s="5">
        <v>44410</v>
      </c>
      <c r="B183">
        <v>56.667999999999999</v>
      </c>
      <c r="C183">
        <v>59.146000000000001</v>
      </c>
      <c r="D183">
        <v>55.706000000000003</v>
      </c>
      <c r="E183">
        <v>58.374000000000002</v>
      </c>
      <c r="F183">
        <v>25689.401999999998</v>
      </c>
      <c r="G183">
        <v>58.374000000000002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0.55116279069767504</v>
      </c>
      <c r="Q183">
        <f t="shared" ref="Q183" si="891">F183*P183</f>
        <v>14159.042497674434</v>
      </c>
      <c r="R183">
        <f t="shared" ref="R183" si="892">R184+Q183</f>
        <v>-484562.69579606695</v>
      </c>
      <c r="S183">
        <f t="shared" ref="S183" si="893">R183/100000</f>
        <v>-4.8456269579606692</v>
      </c>
      <c r="T183">
        <f t="shared" ref="T183" si="894">S183/1000</f>
        <v>-4.8456269579606696E-3</v>
      </c>
    </row>
    <row r="184" spans="1:20" x14ac:dyDescent="0.25">
      <c r="A184" s="5">
        <v>44409</v>
      </c>
      <c r="B184">
        <v>57.073</v>
      </c>
      <c r="C184">
        <v>60.414999999999999</v>
      </c>
      <c r="D184">
        <v>56.040999999999997</v>
      </c>
      <c r="E184">
        <v>56.789000000000001</v>
      </c>
      <c r="F184">
        <v>15469.960999999999</v>
      </c>
      <c r="G184">
        <v>56.789000000000001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-0.65797896662094002</v>
      </c>
      <c r="Q184">
        <f t="shared" ref="Q184" si="896">F184*P184</f>
        <v>-10178.908952446243</v>
      </c>
      <c r="R184">
        <f t="shared" ref="R184" si="897">R185+Q184</f>
        <v>-498721.73829374136</v>
      </c>
      <c r="S184">
        <f t="shared" ref="S184" si="898">R184/100000</f>
        <v>-4.9872173829374136</v>
      </c>
      <c r="T184">
        <f t="shared" ref="T184" si="899">S184/1000</f>
        <v>-4.9872173829374139E-3</v>
      </c>
    </row>
    <row r="185" spans="1:20" x14ac:dyDescent="0.25">
      <c r="A185" s="5">
        <v>44408</v>
      </c>
      <c r="B185">
        <v>54.981000000000002</v>
      </c>
      <c r="C185">
        <v>57.58</v>
      </c>
      <c r="D185">
        <v>53.854999999999997</v>
      </c>
      <c r="E185">
        <v>57.334000000000003</v>
      </c>
      <c r="F185">
        <v>8994.4950000000008</v>
      </c>
      <c r="G185">
        <v>57.334000000000003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0.86791946308725099</v>
      </c>
      <c r="Q185">
        <f t="shared" ref="Q185" si="901">F185*P185</f>
        <v>7806.4972711409646</v>
      </c>
      <c r="R185">
        <f t="shared" ref="R185" si="902">R186+Q185</f>
        <v>-488542.82934129512</v>
      </c>
      <c r="S185">
        <f t="shared" ref="S185" si="903">R185/100000</f>
        <v>-4.8854282934129509</v>
      </c>
      <c r="T185">
        <f t="shared" ref="T185" si="904">S185/1000</f>
        <v>-4.8854282934129509E-3</v>
      </c>
    </row>
    <row r="186" spans="1:20" x14ac:dyDescent="0.25">
      <c r="A186" s="5">
        <v>44407</v>
      </c>
      <c r="B186">
        <v>53.045000000000002</v>
      </c>
      <c r="C186">
        <v>55</v>
      </c>
      <c r="D186">
        <v>51.247999999999998</v>
      </c>
      <c r="E186">
        <v>55</v>
      </c>
      <c r="F186">
        <v>11618.584000000001</v>
      </c>
      <c r="G186">
        <v>55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1</v>
      </c>
      <c r="Q186">
        <f t="shared" ref="Q186" si="906">F186*P186</f>
        <v>11618.584000000001</v>
      </c>
      <c r="R186">
        <f t="shared" ref="R186" si="907">R187+Q186</f>
        <v>-496349.3266124361</v>
      </c>
      <c r="S186">
        <f t="shared" ref="S186" si="908">R186/100000</f>
        <v>-4.9634932661243614</v>
      </c>
      <c r="T186">
        <f t="shared" ref="T186" si="909">S186/1000</f>
        <v>-4.9634932661243615E-3</v>
      </c>
    </row>
    <row r="187" spans="1:20" x14ac:dyDescent="0.25">
      <c r="A187" s="5">
        <v>44406</v>
      </c>
      <c r="B187">
        <v>52.924999999999997</v>
      </c>
      <c r="C187">
        <v>53.866999999999997</v>
      </c>
      <c r="D187">
        <v>52.28</v>
      </c>
      <c r="E187">
        <v>52.924999999999997</v>
      </c>
      <c r="F187">
        <v>10812.311</v>
      </c>
      <c r="G187">
        <v>52.924999999999997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-0.18714555765595769</v>
      </c>
      <c r="Q187">
        <f t="shared" ref="Q187" si="911">F187*P187</f>
        <v>-2023.4759716446456</v>
      </c>
      <c r="R187">
        <f t="shared" ref="R187" si="912">R188+Q187</f>
        <v>-507967.91061243607</v>
      </c>
      <c r="S187">
        <f t="shared" ref="S187" si="913">R187/100000</f>
        <v>-5.0796791061243605</v>
      </c>
      <c r="T187">
        <f t="shared" ref="T187" si="914">S187/1000</f>
        <v>-5.0796791061243603E-3</v>
      </c>
    </row>
    <row r="188" spans="1:20" x14ac:dyDescent="0.25">
      <c r="A188" s="5">
        <v>44405</v>
      </c>
      <c r="B188">
        <v>55.002000000000002</v>
      </c>
      <c r="C188">
        <v>57.17</v>
      </c>
      <c r="D188">
        <v>52.511000000000003</v>
      </c>
      <c r="E188">
        <v>52.734999999999999</v>
      </c>
      <c r="F188">
        <v>13694.986000000001</v>
      </c>
      <c r="G188">
        <v>52.734999999999999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-0.90384202618587817</v>
      </c>
      <c r="Q188">
        <f t="shared" ref="Q188" si="916">F188*P188</f>
        <v>-12378.103894827236</v>
      </c>
      <c r="R188">
        <f t="shared" ref="R188" si="917">R189+Q188</f>
        <v>-505944.43464079144</v>
      </c>
      <c r="S188">
        <f t="shared" ref="S188" si="918">R188/100000</f>
        <v>-5.0594443464079148</v>
      </c>
      <c r="T188">
        <f t="shared" ref="T188" si="919">S188/1000</f>
        <v>-5.0594443464079151E-3</v>
      </c>
    </row>
    <row r="189" spans="1:20" x14ac:dyDescent="0.25">
      <c r="A189" s="5">
        <v>44404</v>
      </c>
      <c r="B189">
        <v>53.878</v>
      </c>
      <c r="C189">
        <v>56.363</v>
      </c>
      <c r="D189">
        <v>52</v>
      </c>
      <c r="E189">
        <v>55.014000000000003</v>
      </c>
      <c r="F189">
        <v>7354.6729999999998</v>
      </c>
      <c r="G189">
        <v>55.014000000000003</v>
      </c>
      <c r="L189" t="s">
        <v>8</v>
      </c>
      <c r="M189" t="s">
        <v>8</v>
      </c>
      <c r="N189" t="s">
        <v>7</v>
      </c>
      <c r="P189">
        <f t="shared" ref="P189" si="920">IF(C189=D189,0,((E189-D189)-(C189-E189))/(C189-D189))</f>
        <v>0.38161815264726251</v>
      </c>
      <c r="Q189">
        <f t="shared" ref="Q189" si="921">F189*P189</f>
        <v>2806.6767235847001</v>
      </c>
      <c r="R189">
        <f t="shared" ref="R189" si="922">R190+Q189</f>
        <v>-493566.33074596419</v>
      </c>
      <c r="S189">
        <f t="shared" ref="S189" si="923">R189/100000</f>
        <v>-4.9356633074596417</v>
      </c>
      <c r="T189">
        <f t="shared" ref="T189" si="924">S189/1000</f>
        <v>-4.9356633074596418E-3</v>
      </c>
    </row>
    <row r="190" spans="1:20" x14ac:dyDescent="0.25">
      <c r="A190" s="5">
        <v>44403</v>
      </c>
      <c r="B190">
        <v>52.110999999999997</v>
      </c>
      <c r="C190">
        <v>57.65</v>
      </c>
      <c r="D190">
        <v>52.021999999999998</v>
      </c>
      <c r="E190">
        <v>54.225999999999999</v>
      </c>
      <c r="F190">
        <v>9977.8989999999994</v>
      </c>
      <c r="G190">
        <v>54.225999999999999</v>
      </c>
      <c r="L190" t="s">
        <v>7</v>
      </c>
      <c r="M190" t="s">
        <v>8</v>
      </c>
      <c r="N190" t="s">
        <v>7</v>
      </c>
      <c r="P190">
        <f t="shared" ref="P190" si="925">IF(C190=D190,0,((E190-D190)-(C190-E190))/(C190-D190))</f>
        <v>-0.21677327647476879</v>
      </c>
      <c r="Q190">
        <f t="shared" ref="Q190" si="926">F190*P190</f>
        <v>-2162.9418585643189</v>
      </c>
      <c r="R190">
        <f t="shared" ref="R190" si="927">R191+Q190</f>
        <v>-496373.0074695489</v>
      </c>
      <c r="S190">
        <f t="shared" ref="S190" si="928">R190/100000</f>
        <v>-4.9637300746954889</v>
      </c>
      <c r="T190">
        <f t="shared" ref="T190" si="929">S190/1000</f>
        <v>-4.9637300746954889E-3</v>
      </c>
    </row>
    <row r="191" spans="1:20" x14ac:dyDescent="0.25">
      <c r="A191" s="5">
        <v>44402</v>
      </c>
      <c r="B191">
        <v>53.686999999999998</v>
      </c>
      <c r="C191">
        <v>57.19</v>
      </c>
      <c r="D191">
        <v>49.377000000000002</v>
      </c>
      <c r="E191">
        <v>52.11</v>
      </c>
      <c r="F191">
        <v>81971.404999999999</v>
      </c>
      <c r="G191">
        <v>52.11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-0.30039677460642555</v>
      </c>
      <c r="Q191">
        <f t="shared" ref="Q191" si="931">F191*P191</f>
        <v>-24623.945671957023</v>
      </c>
      <c r="R191">
        <f t="shared" ref="R191" si="932">R192+Q191</f>
        <v>-494210.06561098457</v>
      </c>
      <c r="S191">
        <f t="shared" ref="S191" si="933">R191/100000</f>
        <v>-4.9421006561098455</v>
      </c>
      <c r="T191">
        <f t="shared" ref="T191:T197" si="934">S191/1000</f>
        <v>-4.9421006561098458E-3</v>
      </c>
    </row>
    <row r="192" spans="1:20" x14ac:dyDescent="0.25">
      <c r="A192" s="5">
        <v>44401</v>
      </c>
      <c r="B192">
        <v>52.527000000000001</v>
      </c>
      <c r="C192">
        <v>54.970999999999997</v>
      </c>
      <c r="D192">
        <v>51.835999999999999</v>
      </c>
      <c r="E192">
        <v>53.755000000000003</v>
      </c>
      <c r="F192">
        <v>3994.1320000000001</v>
      </c>
      <c r="G192">
        <v>53.755000000000003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0.2242424242424276</v>
      </c>
      <c r="Q192">
        <f t="shared" ref="Q192" si="936">F192*P192</f>
        <v>895.6538424242558</v>
      </c>
      <c r="R192">
        <f t="shared" ref="R192" si="937">R193+Q192</f>
        <v>-469586.11993902753</v>
      </c>
      <c r="S192">
        <f t="shared" ref="S192" si="938">R192/100000</f>
        <v>-4.6958611993902757</v>
      </c>
      <c r="T192">
        <f t="shared" si="934"/>
        <v>-4.695861199390276E-3</v>
      </c>
    </row>
    <row r="193" spans="1:20" x14ac:dyDescent="0.25">
      <c r="A193" s="5">
        <v>44400</v>
      </c>
      <c r="B193">
        <v>50.887</v>
      </c>
      <c r="C193">
        <v>52.527999999999999</v>
      </c>
      <c r="D193">
        <v>50.292000000000002</v>
      </c>
      <c r="E193">
        <v>52.527999999999999</v>
      </c>
      <c r="F193">
        <v>4993.4949999999999</v>
      </c>
      <c r="G193">
        <v>52.527999999999999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1</v>
      </c>
      <c r="Q193">
        <f t="shared" ref="Q193" si="940">F193*P193</f>
        <v>4993.4949999999999</v>
      </c>
      <c r="R193">
        <f t="shared" ref="R193" si="941">R194+Q193</f>
        <v>-470481.7737814518</v>
      </c>
      <c r="S193">
        <f t="shared" ref="S193" si="942">R193/100000</f>
        <v>-4.7048177378145182</v>
      </c>
      <c r="T193">
        <f t="shared" si="934"/>
        <v>-4.7048177378145178E-3</v>
      </c>
    </row>
    <row r="194" spans="1:20" x14ac:dyDescent="0.25">
      <c r="A194" s="5">
        <v>44399</v>
      </c>
      <c r="B194">
        <v>50.45</v>
      </c>
      <c r="C194">
        <v>51.533000000000001</v>
      </c>
      <c r="D194">
        <v>48.18</v>
      </c>
      <c r="E194">
        <v>51.052999999999997</v>
      </c>
      <c r="F194">
        <v>17873.395</v>
      </c>
      <c r="G194">
        <v>51.052999999999997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0.71368923352221669</v>
      </c>
      <c r="Q194">
        <f t="shared" ref="Q194" si="944">F194*P194</f>
        <v>12756.049577989821</v>
      </c>
      <c r="R194">
        <f t="shared" ref="R194" si="945">R195+Q194</f>
        <v>-475475.2687814518</v>
      </c>
      <c r="S194">
        <f t="shared" ref="S194" si="946">R194/100000</f>
        <v>-4.7547526878145181</v>
      </c>
      <c r="T194">
        <f t="shared" si="934"/>
        <v>-4.7547526878145181E-3</v>
      </c>
    </row>
    <row r="195" spans="1:20" x14ac:dyDescent="0.25">
      <c r="A195" s="5">
        <v>44398</v>
      </c>
      <c r="B195">
        <v>45.704999999999998</v>
      </c>
      <c r="C195">
        <v>51.607999999999997</v>
      </c>
      <c r="D195">
        <v>45.348999999999997</v>
      </c>
      <c r="E195">
        <v>50.45</v>
      </c>
      <c r="F195">
        <v>27279.857</v>
      </c>
      <c r="G195">
        <v>50.45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0.62997283911168112</v>
      </c>
      <c r="Q195">
        <f t="shared" ref="Q195" si="948">F195*P195</f>
        <v>17185.568964850667</v>
      </c>
      <c r="R195">
        <f t="shared" ref="R195" si="949">R196+Q195</f>
        <v>-488231.31835944165</v>
      </c>
      <c r="S195">
        <f t="shared" ref="S195" si="950">R195/100000</f>
        <v>-4.8823131835944169</v>
      </c>
      <c r="T195">
        <f t="shared" si="934"/>
        <v>-4.8823131835944167E-3</v>
      </c>
    </row>
    <row r="196" spans="1:20" x14ac:dyDescent="0.25">
      <c r="A196" s="5">
        <v>44397</v>
      </c>
      <c r="B196">
        <v>46.506999999999998</v>
      </c>
      <c r="C196">
        <v>49</v>
      </c>
      <c r="D196">
        <v>43.843000000000004</v>
      </c>
      <c r="E196">
        <v>45.744999999999997</v>
      </c>
      <c r="F196">
        <v>9797.6790000000001</v>
      </c>
      <c r="G196">
        <v>45.744999999999997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-0.26236183827807052</v>
      </c>
      <c r="Q196">
        <f t="shared" ref="Q196" si="952">F196*P196</f>
        <v>-2570.5370732984479</v>
      </c>
      <c r="R196">
        <f t="shared" ref="R196" si="953">R197+Q196</f>
        <v>-505416.88732429233</v>
      </c>
      <c r="S196">
        <f t="shared" ref="S196" si="954">R196/100000</f>
        <v>-5.0541688732429231</v>
      </c>
      <c r="T196">
        <f t="shared" si="934"/>
        <v>-5.0541688732429228E-3</v>
      </c>
    </row>
    <row r="197" spans="1:20" x14ac:dyDescent="0.25">
      <c r="A197" s="5">
        <v>44396</v>
      </c>
      <c r="B197">
        <v>48.165999999999997</v>
      </c>
      <c r="C197">
        <v>49.652999999999999</v>
      </c>
      <c r="D197">
        <v>46.393999999999998</v>
      </c>
      <c r="E197">
        <v>46.484999999999999</v>
      </c>
      <c r="F197">
        <v>14104.813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-0.94415464866523413</v>
      </c>
      <c r="Q197">
        <f t="shared" ref="Q197" si="956">F197*P197</f>
        <v>-13317.124762503827</v>
      </c>
      <c r="R197">
        <f t="shared" ref="R197" si="957">R198+Q197</f>
        <v>-502846.35025099386</v>
      </c>
      <c r="S197">
        <f t="shared" ref="S197" si="958">R197/100000</f>
        <v>-5.0284635025099389</v>
      </c>
      <c r="T197">
        <f t="shared" si="934"/>
        <v>-5.0284635025099386E-3</v>
      </c>
    </row>
    <row r="198" spans="1:20" x14ac:dyDescent="0.25">
      <c r="A198" s="5">
        <v>44395</v>
      </c>
      <c r="B198">
        <v>49.610999999999997</v>
      </c>
      <c r="C198">
        <v>52.743000000000002</v>
      </c>
      <c r="D198">
        <v>48.097999999999999</v>
      </c>
      <c r="E198">
        <v>48.42</v>
      </c>
      <c r="F198">
        <v>18749.662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-0.86135629709364803</v>
      </c>
      <c r="Q198">
        <f t="shared" ref="Q198:Q261" si="960">F198*P198</f>
        <v>-16150.139432077483</v>
      </c>
      <c r="R198">
        <f t="shared" ref="R198:R261" si="961">R199+Q198</f>
        <v>-489529.22548849002</v>
      </c>
      <c r="S198">
        <f t="shared" ref="S198:S261" si="962">R198/100000</f>
        <v>-4.8952922548849003</v>
      </c>
      <c r="T198">
        <f t="shared" ref="T198:T261" si="963">S198/1000</f>
        <v>-4.8952922548849004E-3</v>
      </c>
    </row>
    <row r="199" spans="1:20" x14ac:dyDescent="0.25">
      <c r="A199" s="5">
        <v>44394</v>
      </c>
      <c r="B199">
        <v>49.192999999999998</v>
      </c>
      <c r="C199">
        <v>50.527999999999999</v>
      </c>
      <c r="D199">
        <v>49.067999999999998</v>
      </c>
      <c r="E199">
        <v>49.610999999999997</v>
      </c>
      <c r="F199">
        <v>1620.566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-0.25616438356164528</v>
      </c>
      <c r="Q199">
        <f t="shared" si="960"/>
        <v>-415.13129041096124</v>
      </c>
      <c r="R199">
        <f t="shared" si="961"/>
        <v>-473379.08605641255</v>
      </c>
      <c r="S199">
        <f t="shared" si="962"/>
        <v>-4.7337908605641257</v>
      </c>
      <c r="T199">
        <f t="shared" si="963"/>
        <v>-4.7337908605641259E-3</v>
      </c>
    </row>
    <row r="200" spans="1:20" x14ac:dyDescent="0.25">
      <c r="A200" s="5">
        <v>44393</v>
      </c>
      <c r="B200">
        <v>52.527999999999999</v>
      </c>
      <c r="C200">
        <v>53.363999999999997</v>
      </c>
      <c r="D200">
        <v>49.142000000000003</v>
      </c>
      <c r="E200">
        <v>49.427999999999997</v>
      </c>
      <c r="F200">
        <v>4232.1459999999997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-0.86451918522027726</v>
      </c>
      <c r="Q200">
        <f t="shared" si="960"/>
        <v>-3658.7714116532552</v>
      </c>
      <c r="R200">
        <f t="shared" si="961"/>
        <v>-472963.95476600161</v>
      </c>
      <c r="S200">
        <f t="shared" si="962"/>
        <v>-4.7296395476600157</v>
      </c>
      <c r="T200">
        <f t="shared" si="963"/>
        <v>-4.7296395476600153E-3</v>
      </c>
    </row>
    <row r="201" spans="1:20" x14ac:dyDescent="0.25">
      <c r="A201" s="5">
        <v>44392</v>
      </c>
      <c r="B201">
        <v>55.667999999999999</v>
      </c>
      <c r="C201">
        <v>56.295999999999999</v>
      </c>
      <c r="D201">
        <v>50.664999999999999</v>
      </c>
      <c r="E201">
        <v>52.518999999999998</v>
      </c>
      <c r="F201">
        <v>19832.096000000001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-0.34150239744272809</v>
      </c>
      <c r="Q201">
        <f t="shared" si="960"/>
        <v>-6772.7083303143381</v>
      </c>
      <c r="R201">
        <f t="shared" si="961"/>
        <v>-469305.18335434835</v>
      </c>
      <c r="S201">
        <f t="shared" si="962"/>
        <v>-4.6930518335434837</v>
      </c>
      <c r="T201">
        <f t="shared" si="963"/>
        <v>-4.6930518335434835E-3</v>
      </c>
    </row>
    <row r="202" spans="1:20" x14ac:dyDescent="0.25">
      <c r="A202" s="5">
        <v>44391</v>
      </c>
      <c r="B202">
        <v>53.697000000000003</v>
      </c>
      <c r="C202">
        <v>56.326000000000001</v>
      </c>
      <c r="D202">
        <v>51.098999999999997</v>
      </c>
      <c r="E202">
        <v>55.634999999999998</v>
      </c>
      <c r="F202">
        <v>9151.1180000000004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0.73560359670939279</v>
      </c>
      <c r="Q202">
        <f t="shared" si="960"/>
        <v>6731.5953147120654</v>
      </c>
      <c r="R202">
        <f t="shared" si="961"/>
        <v>-462532.47502403404</v>
      </c>
      <c r="S202">
        <f t="shared" si="962"/>
        <v>-4.6253247502403401</v>
      </c>
      <c r="T202">
        <f t="shared" si="963"/>
        <v>-4.6253247502403404E-3</v>
      </c>
    </row>
    <row r="203" spans="1:20" x14ac:dyDescent="0.25">
      <c r="A203" s="5">
        <v>44390</v>
      </c>
      <c r="B203">
        <v>57.484000000000002</v>
      </c>
      <c r="C203">
        <v>57.484000000000002</v>
      </c>
      <c r="D203">
        <v>53.207999999999998</v>
      </c>
      <c r="E203">
        <v>53.677</v>
      </c>
      <c r="F203">
        <v>6755.491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-0.78063610851262821</v>
      </c>
      <c r="Q203">
        <f t="shared" si="960"/>
        <v>-5273.5802053320831</v>
      </c>
      <c r="R203">
        <f t="shared" si="961"/>
        <v>-469264.07033874613</v>
      </c>
      <c r="S203">
        <f t="shared" si="962"/>
        <v>-4.6926407033874611</v>
      </c>
      <c r="T203">
        <f t="shared" si="963"/>
        <v>-4.6926407033874608E-3</v>
      </c>
    </row>
    <row r="204" spans="1:20" x14ac:dyDescent="0.25">
      <c r="A204" s="5">
        <v>44389</v>
      </c>
      <c r="B204">
        <v>58.421999999999997</v>
      </c>
      <c r="C204">
        <v>62.942</v>
      </c>
      <c r="D204">
        <v>55.433999999999997</v>
      </c>
      <c r="E204">
        <v>57.482999999999997</v>
      </c>
      <c r="F204">
        <v>13384.308000000001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-0.45418220564730988</v>
      </c>
      <c r="Q204">
        <f t="shared" si="960"/>
        <v>-6078.9145285029354</v>
      </c>
      <c r="R204">
        <f t="shared" si="961"/>
        <v>-463990.49013341404</v>
      </c>
      <c r="S204">
        <f t="shared" si="962"/>
        <v>-4.6399049013341402</v>
      </c>
      <c r="T204">
        <f t="shared" si="963"/>
        <v>-4.6399049013341404E-3</v>
      </c>
    </row>
    <row r="205" spans="1:20" x14ac:dyDescent="0.25">
      <c r="A205" s="5">
        <v>44388</v>
      </c>
      <c r="B205">
        <v>58.374000000000002</v>
      </c>
      <c r="C205">
        <v>78.456000000000003</v>
      </c>
      <c r="D205">
        <v>57.097000000000001</v>
      </c>
      <c r="E205">
        <v>58.249000000000002</v>
      </c>
      <c r="F205">
        <v>21988.956999999999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-0.89212978135680499</v>
      </c>
      <c r="Q205">
        <f t="shared" si="960"/>
        <v>-19617.003400674184</v>
      </c>
      <c r="R205">
        <f t="shared" si="961"/>
        <v>-457911.57560491114</v>
      </c>
      <c r="S205">
        <f t="shared" si="962"/>
        <v>-4.5791157560491111</v>
      </c>
      <c r="T205">
        <f t="shared" si="963"/>
        <v>-4.5791157560491113E-3</v>
      </c>
    </row>
    <row r="206" spans="1:20" x14ac:dyDescent="0.25">
      <c r="A206" s="5">
        <v>44387</v>
      </c>
      <c r="B206">
        <v>59.97</v>
      </c>
      <c r="C206">
        <v>60.707999999999998</v>
      </c>
      <c r="D206">
        <v>57.655000000000001</v>
      </c>
      <c r="E206">
        <v>58.715000000000003</v>
      </c>
      <c r="F206">
        <v>1841.777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-0.30560104814935918</v>
      </c>
      <c r="Q206">
        <f t="shared" si="960"/>
        <v>-562.8489816573823</v>
      </c>
      <c r="R206">
        <f t="shared" si="961"/>
        <v>-438294.57220423693</v>
      </c>
      <c r="S206">
        <f t="shared" si="962"/>
        <v>-4.3829457220423693</v>
      </c>
      <c r="T206">
        <f t="shared" si="963"/>
        <v>-4.3829457220423695E-3</v>
      </c>
    </row>
    <row r="207" spans="1:20" x14ac:dyDescent="0.25">
      <c r="A207" s="5">
        <v>44386</v>
      </c>
      <c r="B207">
        <v>58.140999999999998</v>
      </c>
      <c r="C207">
        <v>61.837000000000003</v>
      </c>
      <c r="D207">
        <v>56.195999999999998</v>
      </c>
      <c r="E207">
        <v>60.122</v>
      </c>
      <c r="F207">
        <v>6956.3140000000003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0.39195178159900662</v>
      </c>
      <c r="Q207">
        <f t="shared" si="960"/>
        <v>2726.5396656621124</v>
      </c>
      <c r="R207">
        <f t="shared" si="961"/>
        <v>-437731.72322257957</v>
      </c>
      <c r="S207">
        <f t="shared" si="962"/>
        <v>-4.3773172322257956</v>
      </c>
      <c r="T207">
        <f t="shared" si="963"/>
        <v>-4.3773172322257954E-3</v>
      </c>
    </row>
    <row r="208" spans="1:20" x14ac:dyDescent="0.25">
      <c r="A208" s="5">
        <v>44385</v>
      </c>
      <c r="B208">
        <v>63.972999999999999</v>
      </c>
      <c r="C208">
        <v>64.516999999999996</v>
      </c>
      <c r="D208">
        <v>57.7</v>
      </c>
      <c r="E208">
        <v>58.338000000000001</v>
      </c>
      <c r="F208">
        <v>39603.832000000002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-0.81282088895408577</v>
      </c>
      <c r="Q208">
        <f t="shared" si="960"/>
        <v>-32190.821932228271</v>
      </c>
      <c r="R208">
        <f t="shared" si="961"/>
        <v>-440458.26288824168</v>
      </c>
      <c r="S208">
        <f t="shared" si="962"/>
        <v>-4.4045826288824168</v>
      </c>
      <c r="T208">
        <f t="shared" si="963"/>
        <v>-4.4045826288824164E-3</v>
      </c>
    </row>
    <row r="209" spans="1:20" x14ac:dyDescent="0.25">
      <c r="A209" s="5">
        <v>44384</v>
      </c>
      <c r="B209">
        <v>63.095999999999997</v>
      </c>
      <c r="C209">
        <v>64.117000000000004</v>
      </c>
      <c r="D209">
        <v>61.725999999999999</v>
      </c>
      <c r="E209">
        <v>63.972999999999999</v>
      </c>
      <c r="F209">
        <v>28968.489000000001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0.87954830614805091</v>
      </c>
      <c r="Q209">
        <f t="shared" si="960"/>
        <v>25479.185431618447</v>
      </c>
      <c r="R209">
        <f t="shared" si="961"/>
        <v>-408267.44095601339</v>
      </c>
      <c r="S209">
        <f t="shared" si="962"/>
        <v>-4.0826744095601342</v>
      </c>
      <c r="T209">
        <f t="shared" si="963"/>
        <v>-4.0826744095601337E-3</v>
      </c>
    </row>
    <row r="210" spans="1:20" x14ac:dyDescent="0.25">
      <c r="A210" s="5">
        <v>44383</v>
      </c>
      <c r="B210">
        <v>57.061</v>
      </c>
      <c r="C210">
        <v>63.442999999999998</v>
      </c>
      <c r="D210">
        <v>57.061</v>
      </c>
      <c r="E210">
        <v>63.390999999999998</v>
      </c>
      <c r="F210">
        <v>26184.237000000001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0.98370416797242255</v>
      </c>
      <c r="Q210">
        <f t="shared" si="960"/>
        <v>25757.543072077722</v>
      </c>
      <c r="R210">
        <f t="shared" si="961"/>
        <v>-433746.62638763187</v>
      </c>
      <c r="S210">
        <f t="shared" si="962"/>
        <v>-4.3374662638763191</v>
      </c>
      <c r="T210">
        <f t="shared" si="963"/>
        <v>-4.3374662638763191E-3</v>
      </c>
    </row>
    <row r="211" spans="1:20" x14ac:dyDescent="0.25">
      <c r="A211" s="5">
        <v>44382</v>
      </c>
      <c r="B211">
        <v>59.356000000000002</v>
      </c>
      <c r="C211">
        <v>60.334000000000003</v>
      </c>
      <c r="D211">
        <v>55.68</v>
      </c>
      <c r="E211">
        <v>57.061</v>
      </c>
      <c r="F211">
        <v>14863.43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-0.40653201547056328</v>
      </c>
      <c r="Q211">
        <f t="shared" si="960"/>
        <v>-6042.4601547056345</v>
      </c>
      <c r="R211">
        <f t="shared" si="961"/>
        <v>-459504.16945970961</v>
      </c>
      <c r="S211">
        <f t="shared" si="962"/>
        <v>-4.5950416945970964</v>
      </c>
      <c r="T211">
        <f t="shared" si="963"/>
        <v>-4.5950416945970962E-3</v>
      </c>
    </row>
    <row r="212" spans="1:20" x14ac:dyDescent="0.25">
      <c r="A212" s="5">
        <v>44381</v>
      </c>
      <c r="B212">
        <v>56.598999999999997</v>
      </c>
      <c r="C212">
        <v>63.43</v>
      </c>
      <c r="D212">
        <v>54.887</v>
      </c>
      <c r="E212">
        <v>59.356000000000002</v>
      </c>
      <c r="F212">
        <v>85565.731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4.6236685005267841E-2</v>
      </c>
      <c r="Q212">
        <f t="shared" si="960"/>
        <v>3956.2757514924815</v>
      </c>
      <c r="R212">
        <f t="shared" si="961"/>
        <v>-453461.70930500398</v>
      </c>
      <c r="S212">
        <f t="shared" si="962"/>
        <v>-4.5346170930500396</v>
      </c>
      <c r="T212">
        <f t="shared" si="963"/>
        <v>-4.5346170930500394E-3</v>
      </c>
    </row>
    <row r="213" spans="1:20" x14ac:dyDescent="0.25">
      <c r="A213" s="5">
        <v>44380</v>
      </c>
      <c r="B213">
        <v>54.442999999999998</v>
      </c>
      <c r="C213">
        <v>58.143999999999998</v>
      </c>
      <c r="D213">
        <v>53.850999999999999</v>
      </c>
      <c r="E213">
        <v>56.726999999999997</v>
      </c>
      <c r="F213">
        <v>3209.46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0.33985557884928869</v>
      </c>
      <c r="Q213">
        <f t="shared" si="960"/>
        <v>1090.7528860936382</v>
      </c>
      <c r="R213">
        <f t="shared" si="961"/>
        <v>-457417.98505649646</v>
      </c>
      <c r="S213">
        <f t="shared" si="962"/>
        <v>-4.5741798505649642</v>
      </c>
      <c r="T213">
        <f t="shared" si="963"/>
        <v>-4.5741798505649642E-3</v>
      </c>
    </row>
    <row r="214" spans="1:20" x14ac:dyDescent="0.25">
      <c r="A214" s="5">
        <v>44379</v>
      </c>
      <c r="B214">
        <v>53.991</v>
      </c>
      <c r="C214">
        <v>54.87</v>
      </c>
      <c r="D214">
        <v>51.811999999999998</v>
      </c>
      <c r="E214">
        <v>54.241</v>
      </c>
      <c r="F214">
        <v>5421.1670000000004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0.5886200130804462</v>
      </c>
      <c r="Q214">
        <f t="shared" si="960"/>
        <v>3191.0073904512833</v>
      </c>
      <c r="R214">
        <f t="shared" si="961"/>
        <v>-458508.73794259009</v>
      </c>
      <c r="S214">
        <f t="shared" si="962"/>
        <v>-4.5850873794259011</v>
      </c>
      <c r="T214">
        <f t="shared" si="963"/>
        <v>-4.5850873794259011E-3</v>
      </c>
    </row>
    <row r="215" spans="1:20" x14ac:dyDescent="0.25">
      <c r="A215" s="5">
        <v>44378</v>
      </c>
      <c r="B215">
        <v>58.886000000000003</v>
      </c>
      <c r="C215">
        <v>58.89</v>
      </c>
      <c r="D215">
        <v>53.17</v>
      </c>
      <c r="E215">
        <v>54.241</v>
      </c>
      <c r="F215">
        <v>10573.727000000001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-0.62552447552447621</v>
      </c>
      <c r="Q215">
        <f t="shared" si="960"/>
        <v>-6614.1250360139938</v>
      </c>
      <c r="R215">
        <f t="shared" si="961"/>
        <v>-461699.74533304136</v>
      </c>
      <c r="S215">
        <f t="shared" si="962"/>
        <v>-4.6169974533304137</v>
      </c>
      <c r="T215">
        <f t="shared" si="963"/>
        <v>-4.6169974533304134E-3</v>
      </c>
    </row>
    <row r="216" spans="1:20" x14ac:dyDescent="0.25">
      <c r="A216" s="5">
        <v>44377</v>
      </c>
      <c r="B216">
        <v>58.015000000000001</v>
      </c>
      <c r="C216">
        <v>59</v>
      </c>
      <c r="D216">
        <v>54.249000000000002</v>
      </c>
      <c r="E216">
        <v>58.886000000000003</v>
      </c>
      <c r="F216">
        <v>8457.4320000000007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0.95201010313618295</v>
      </c>
      <c r="Q216">
        <f t="shared" si="960"/>
        <v>8051.560710587255</v>
      </c>
      <c r="R216">
        <f t="shared" si="961"/>
        <v>-455085.62029702734</v>
      </c>
      <c r="S216">
        <f t="shared" si="962"/>
        <v>-4.550856202970273</v>
      </c>
      <c r="T216">
        <f t="shared" si="963"/>
        <v>-4.5508562029702732E-3</v>
      </c>
    </row>
    <row r="217" spans="1:20" x14ac:dyDescent="0.25">
      <c r="A217" s="5">
        <v>44376</v>
      </c>
      <c r="B217">
        <v>55.536999999999999</v>
      </c>
      <c r="C217">
        <v>59.2</v>
      </c>
      <c r="D217">
        <v>55.113999999999997</v>
      </c>
      <c r="E217">
        <v>58.280999999999999</v>
      </c>
      <c r="F217">
        <v>11630.757</v>
      </c>
      <c r="G217">
        <v>0</v>
      </c>
      <c r="L217" t="s">
        <v>7</v>
      </c>
      <c r="M217" t="s">
        <v>8</v>
      </c>
      <c r="N217" t="s">
        <v>8</v>
      </c>
      <c r="P217">
        <f t="shared" si="959"/>
        <v>0.55017131669113917</v>
      </c>
      <c r="Q217">
        <f t="shared" si="960"/>
        <v>6398.9088928046831</v>
      </c>
      <c r="R217">
        <f t="shared" si="961"/>
        <v>-463137.18100761459</v>
      </c>
      <c r="S217">
        <f t="shared" si="962"/>
        <v>-4.6313718100761463</v>
      </c>
      <c r="T217">
        <f t="shared" si="963"/>
        <v>-4.6313718100761464E-3</v>
      </c>
    </row>
    <row r="218" spans="1:20" x14ac:dyDescent="0.25">
      <c r="A218" s="5">
        <v>44375</v>
      </c>
      <c r="B218">
        <v>52.112000000000002</v>
      </c>
      <c r="C218">
        <v>61.155999999999999</v>
      </c>
      <c r="D218">
        <v>51.472000000000001</v>
      </c>
      <c r="E218">
        <v>55.536999999999999</v>
      </c>
      <c r="F218">
        <v>55173.188000000002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-0.16047087980173508</v>
      </c>
      <c r="Q218">
        <f t="shared" si="960"/>
        <v>-8853.6900198265321</v>
      </c>
      <c r="R218">
        <f t="shared" si="961"/>
        <v>-469536.08990041929</v>
      </c>
      <c r="S218">
        <f t="shared" si="962"/>
        <v>-4.6953608990041928</v>
      </c>
      <c r="T218">
        <f t="shared" si="963"/>
        <v>-4.6953608990041931E-3</v>
      </c>
    </row>
    <row r="219" spans="1:20" x14ac:dyDescent="0.25">
      <c r="A219" s="5">
        <v>44374</v>
      </c>
      <c r="B219">
        <v>48.72</v>
      </c>
      <c r="C219">
        <v>52.287999999999997</v>
      </c>
      <c r="D219">
        <v>47.765999999999998</v>
      </c>
      <c r="E219">
        <v>52.274999999999999</v>
      </c>
      <c r="F219">
        <v>15395.788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0.9942503317116328</v>
      </c>
      <c r="Q219">
        <f t="shared" si="960"/>
        <v>15307.267325961977</v>
      </c>
      <c r="R219">
        <f t="shared" si="961"/>
        <v>-460682.39988059277</v>
      </c>
      <c r="S219">
        <f t="shared" si="962"/>
        <v>-4.6068239988059281</v>
      </c>
      <c r="T219">
        <f t="shared" si="963"/>
        <v>-4.6068239988059281E-3</v>
      </c>
    </row>
    <row r="220" spans="1:20" x14ac:dyDescent="0.25">
      <c r="A220" s="5">
        <v>44373</v>
      </c>
      <c r="B220">
        <v>48.912999999999997</v>
      </c>
      <c r="C220">
        <v>50.597999999999999</v>
      </c>
      <c r="D220">
        <v>45.808</v>
      </c>
      <c r="E220">
        <v>48.72</v>
      </c>
      <c r="F220">
        <v>76941.573999999993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0.21586638830897684</v>
      </c>
      <c r="Q220">
        <f t="shared" si="960"/>
        <v>16609.099690187875</v>
      </c>
      <c r="R220">
        <f t="shared" si="961"/>
        <v>-475989.66720655473</v>
      </c>
      <c r="S220">
        <f t="shared" si="962"/>
        <v>-4.7598966720655476</v>
      </c>
      <c r="T220">
        <f t="shared" si="963"/>
        <v>-4.7598966720655477E-3</v>
      </c>
    </row>
    <row r="221" spans="1:20" x14ac:dyDescent="0.25">
      <c r="A221" s="5">
        <v>44372</v>
      </c>
      <c r="B221">
        <v>54.848999999999997</v>
      </c>
      <c r="C221">
        <v>56.744999999999997</v>
      </c>
      <c r="D221">
        <v>47.881</v>
      </c>
      <c r="E221">
        <v>49.198999999999998</v>
      </c>
      <c r="F221">
        <v>19547.406999999999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-0.70261732851985603</v>
      </c>
      <c r="Q221">
        <f t="shared" si="960"/>
        <v>-13734.346885830333</v>
      </c>
      <c r="R221">
        <f t="shared" si="961"/>
        <v>-492598.76689674263</v>
      </c>
      <c r="S221">
        <f t="shared" si="962"/>
        <v>-4.9259876689674265</v>
      </c>
      <c r="T221">
        <f t="shared" si="963"/>
        <v>-4.9259876689674263E-3</v>
      </c>
    </row>
    <row r="222" spans="1:20" x14ac:dyDescent="0.25">
      <c r="A222" s="5">
        <v>44371</v>
      </c>
      <c r="B222">
        <v>54.981999999999999</v>
      </c>
      <c r="C222">
        <v>56.878999999999998</v>
      </c>
      <c r="D222">
        <v>51.161000000000001</v>
      </c>
      <c r="E222">
        <v>54.848999999999997</v>
      </c>
      <c r="F222">
        <v>24513.330999999998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0.28996152500874345</v>
      </c>
      <c r="Q222">
        <f t="shared" si="960"/>
        <v>7107.9228398041059</v>
      </c>
      <c r="R222">
        <f t="shared" si="961"/>
        <v>-478864.42001091229</v>
      </c>
      <c r="S222">
        <f t="shared" si="962"/>
        <v>-4.7886442001091227</v>
      </c>
      <c r="T222">
        <f t="shared" si="963"/>
        <v>-4.7886442001091227E-3</v>
      </c>
    </row>
    <row r="223" spans="1:20" x14ac:dyDescent="0.25">
      <c r="A223" s="5">
        <v>44370</v>
      </c>
      <c r="B223">
        <v>44.814999999999998</v>
      </c>
      <c r="C223">
        <v>62.34</v>
      </c>
      <c r="D223">
        <v>43.823</v>
      </c>
      <c r="E223">
        <v>54.863</v>
      </c>
      <c r="F223">
        <v>220825.429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0.19241777825781686</v>
      </c>
      <c r="Q223">
        <f t="shared" si="960"/>
        <v>42490.738431009282</v>
      </c>
      <c r="R223">
        <f t="shared" si="961"/>
        <v>-485972.34285071638</v>
      </c>
      <c r="S223">
        <f t="shared" si="962"/>
        <v>-4.8597234285071638</v>
      </c>
      <c r="T223">
        <f t="shared" si="963"/>
        <v>-4.8597234285071636E-3</v>
      </c>
    </row>
    <row r="224" spans="1:20" x14ac:dyDescent="0.25">
      <c r="A224" s="5">
        <v>44369</v>
      </c>
      <c r="B224">
        <v>48.911999999999999</v>
      </c>
      <c r="C224">
        <v>49.673000000000002</v>
      </c>
      <c r="D224">
        <v>41.018999999999998</v>
      </c>
      <c r="E224">
        <v>44.853999999999999</v>
      </c>
      <c r="F224">
        <v>29049.786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-0.11370464525075126</v>
      </c>
      <c r="Q224">
        <f t="shared" si="960"/>
        <v>-3303.0956117402407</v>
      </c>
      <c r="R224">
        <f t="shared" si="961"/>
        <v>-528463.08128172567</v>
      </c>
      <c r="S224">
        <f t="shared" si="962"/>
        <v>-5.284630812817257</v>
      </c>
      <c r="T224">
        <f t="shared" si="963"/>
        <v>-5.2846308128172573E-3</v>
      </c>
    </row>
    <row r="225" spans="1:20" x14ac:dyDescent="0.25">
      <c r="A225" s="5">
        <v>44368</v>
      </c>
      <c r="B225">
        <v>58.448</v>
      </c>
      <c r="C225">
        <v>58.554000000000002</v>
      </c>
      <c r="D225">
        <v>45.972000000000001</v>
      </c>
      <c r="E225">
        <v>48.694000000000003</v>
      </c>
      <c r="F225">
        <v>19761.594000000001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-0.56731839135272588</v>
      </c>
      <c r="Q225">
        <f t="shared" si="960"/>
        <v>-11211.11571864568</v>
      </c>
      <c r="R225">
        <f t="shared" si="961"/>
        <v>-525159.98566998541</v>
      </c>
      <c r="S225">
        <f t="shared" si="962"/>
        <v>-5.2515998566998539</v>
      </c>
      <c r="T225">
        <f t="shared" si="963"/>
        <v>-5.2515998566998534E-3</v>
      </c>
    </row>
    <row r="226" spans="1:20" x14ac:dyDescent="0.25">
      <c r="A226" s="5">
        <v>44367</v>
      </c>
      <c r="B226">
        <v>55.841999999999999</v>
      </c>
      <c r="C226">
        <v>59.183</v>
      </c>
      <c r="D226">
        <v>52.472999999999999</v>
      </c>
      <c r="E226">
        <v>58.325000000000003</v>
      </c>
      <c r="F226">
        <v>7908.3090000000002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0.74426229508196817</v>
      </c>
      <c r="Q226">
        <f t="shared" si="960"/>
        <v>5885.8562065573851</v>
      </c>
      <c r="R226">
        <f t="shared" si="961"/>
        <v>-513948.86995133979</v>
      </c>
      <c r="S226">
        <f t="shared" si="962"/>
        <v>-5.1394886995133975</v>
      </c>
      <c r="T226">
        <f t="shared" si="963"/>
        <v>-5.1394886995133971E-3</v>
      </c>
    </row>
    <row r="227" spans="1:20" x14ac:dyDescent="0.25">
      <c r="A227" s="5">
        <v>44366</v>
      </c>
      <c r="B227">
        <v>57.052</v>
      </c>
      <c r="C227">
        <v>58.383000000000003</v>
      </c>
      <c r="D227">
        <v>55.325000000000003</v>
      </c>
      <c r="E227">
        <v>55.851999999999997</v>
      </c>
      <c r="F227">
        <v>6119.7790000000005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-0.65533028122956571</v>
      </c>
      <c r="Q227">
        <f t="shared" si="960"/>
        <v>-4010.4764931327909</v>
      </c>
      <c r="R227">
        <f t="shared" si="961"/>
        <v>-519834.72615789715</v>
      </c>
      <c r="S227">
        <f t="shared" si="962"/>
        <v>-5.1983472615789719</v>
      </c>
      <c r="T227">
        <f t="shared" si="963"/>
        <v>-5.1983472615789719E-3</v>
      </c>
    </row>
    <row r="228" spans="1:20" x14ac:dyDescent="0.25">
      <c r="A228" s="5">
        <v>44365</v>
      </c>
      <c r="B228">
        <v>60.523000000000003</v>
      </c>
      <c r="C228">
        <v>64.77</v>
      </c>
      <c r="D228">
        <v>55.600999999999999</v>
      </c>
      <c r="E228">
        <v>56.878</v>
      </c>
      <c r="F228">
        <v>63414.904999999999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-0.72145272112553138</v>
      </c>
      <c r="Q228">
        <f t="shared" si="960"/>
        <v>-45750.855772167066</v>
      </c>
      <c r="R228">
        <f t="shared" si="961"/>
        <v>-515824.24966476439</v>
      </c>
      <c r="S228">
        <f t="shared" si="962"/>
        <v>-5.1582424966476434</v>
      </c>
      <c r="T228">
        <f t="shared" si="963"/>
        <v>-5.1582424966476435E-3</v>
      </c>
    </row>
    <row r="229" spans="1:20" x14ac:dyDescent="0.25">
      <c r="A229" s="5">
        <v>44364</v>
      </c>
      <c r="B229">
        <v>60.459000000000003</v>
      </c>
      <c r="C229">
        <v>63.011000000000003</v>
      </c>
      <c r="D229">
        <v>59.59</v>
      </c>
      <c r="E229">
        <v>60.691000000000003</v>
      </c>
      <c r="F229">
        <v>7438.723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-0.35632855890090659</v>
      </c>
      <c r="Q229">
        <f t="shared" si="960"/>
        <v>-2650.6294466530285</v>
      </c>
      <c r="R229">
        <f t="shared" si="961"/>
        <v>-470073.39389259729</v>
      </c>
      <c r="S229">
        <f t="shared" si="962"/>
        <v>-4.700733938925973</v>
      </c>
      <c r="T229">
        <f t="shared" si="963"/>
        <v>-4.7007339389259729E-3</v>
      </c>
    </row>
    <row r="230" spans="1:20" x14ac:dyDescent="0.25">
      <c r="A230" s="5">
        <v>44363</v>
      </c>
      <c r="B230">
        <v>64.59</v>
      </c>
      <c r="C230">
        <v>66.542000000000002</v>
      </c>
      <c r="D230">
        <v>60.225000000000001</v>
      </c>
      <c r="E230">
        <v>60.451000000000001</v>
      </c>
      <c r="F230">
        <v>14677.578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-0.92844704764920083</v>
      </c>
      <c r="Q230">
        <f t="shared" si="960"/>
        <v>-13627.353960740862</v>
      </c>
      <c r="R230">
        <f t="shared" si="961"/>
        <v>-467422.76444594428</v>
      </c>
      <c r="S230">
        <f t="shared" si="962"/>
        <v>-4.6742276444594424</v>
      </c>
      <c r="T230">
        <f t="shared" si="963"/>
        <v>-4.674227644459442E-3</v>
      </c>
    </row>
    <row r="231" spans="1:20" x14ac:dyDescent="0.25">
      <c r="A231" s="5">
        <v>44362</v>
      </c>
      <c r="B231">
        <v>65.162999999999997</v>
      </c>
      <c r="C231">
        <v>69.009</v>
      </c>
      <c r="D231">
        <v>63.601999999999997</v>
      </c>
      <c r="E231">
        <v>64.742999999999995</v>
      </c>
      <c r="F231">
        <v>13668.555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-0.57795450342149157</v>
      </c>
      <c r="Q231">
        <f t="shared" si="960"/>
        <v>-7899.8029175143456</v>
      </c>
      <c r="R231">
        <f t="shared" si="961"/>
        <v>-453795.41048520344</v>
      </c>
      <c r="S231">
        <f t="shared" si="962"/>
        <v>-4.5379541048520347</v>
      </c>
      <c r="T231">
        <f t="shared" si="963"/>
        <v>-4.5379541048520345E-3</v>
      </c>
    </row>
    <row r="232" spans="1:20" x14ac:dyDescent="0.25">
      <c r="A232" s="5">
        <v>44361</v>
      </c>
      <c r="B232">
        <v>63.302999999999997</v>
      </c>
      <c r="C232">
        <v>66.128</v>
      </c>
      <c r="D232">
        <v>62.152000000000001</v>
      </c>
      <c r="E232">
        <v>65.16</v>
      </c>
      <c r="F232">
        <v>19959.748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0.51307847082494784</v>
      </c>
      <c r="Q232">
        <f t="shared" si="960"/>
        <v>10240.916981891311</v>
      </c>
      <c r="R232">
        <f t="shared" si="961"/>
        <v>-445895.60756768909</v>
      </c>
      <c r="S232">
        <f t="shared" si="962"/>
        <v>-4.4589560756768911</v>
      </c>
      <c r="T232">
        <f t="shared" si="963"/>
        <v>-4.458956075676891E-3</v>
      </c>
    </row>
    <row r="233" spans="1:20" x14ac:dyDescent="0.25">
      <c r="A233" s="5">
        <v>44360</v>
      </c>
      <c r="B233">
        <v>59.8</v>
      </c>
      <c r="C233">
        <v>65.103999999999999</v>
      </c>
      <c r="D233">
        <v>58.460999999999999</v>
      </c>
      <c r="E233">
        <v>63.377000000000002</v>
      </c>
      <c r="F233">
        <v>8739.8310000000001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0.48005419238296054</v>
      </c>
      <c r="Q233">
        <f t="shared" si="960"/>
        <v>4195.5925122685621</v>
      </c>
      <c r="R233">
        <f t="shared" si="961"/>
        <v>-456136.52454958041</v>
      </c>
      <c r="S233">
        <f t="shared" si="962"/>
        <v>-4.5613652454958045</v>
      </c>
      <c r="T233">
        <f t="shared" si="963"/>
        <v>-4.5613652454958046E-3</v>
      </c>
    </row>
    <row r="234" spans="1:20" x14ac:dyDescent="0.25">
      <c r="A234" s="5">
        <v>44359</v>
      </c>
      <c r="B234">
        <v>60.210999999999999</v>
      </c>
      <c r="C234">
        <v>64.037000000000006</v>
      </c>
      <c r="D234">
        <v>57.543999999999997</v>
      </c>
      <c r="E234">
        <v>59.679000000000002</v>
      </c>
      <c r="F234">
        <v>25751.092000000001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-0.34236870475897058</v>
      </c>
      <c r="Q234">
        <f t="shared" si="960"/>
        <v>-8816.3680141690893</v>
      </c>
      <c r="R234">
        <f t="shared" si="961"/>
        <v>-460332.11706184899</v>
      </c>
      <c r="S234">
        <f t="shared" si="962"/>
        <v>-4.6033211706184902</v>
      </c>
      <c r="T234">
        <f t="shared" si="963"/>
        <v>-4.6033211706184903E-3</v>
      </c>
    </row>
    <row r="235" spans="1:20" x14ac:dyDescent="0.25">
      <c r="A235" s="5">
        <v>44358</v>
      </c>
      <c r="B235">
        <v>64.869</v>
      </c>
      <c r="C235">
        <v>66.783000000000001</v>
      </c>
      <c r="D235">
        <v>58.668999999999997</v>
      </c>
      <c r="E235">
        <v>60.210999999999999</v>
      </c>
      <c r="F235">
        <v>23022.386999999999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-0.61991619423219113</v>
      </c>
      <c r="Q235">
        <f t="shared" si="960"/>
        <v>-14271.950531180672</v>
      </c>
      <c r="R235">
        <f t="shared" si="961"/>
        <v>-451515.74904767988</v>
      </c>
      <c r="S235">
        <f t="shared" si="962"/>
        <v>-4.515157490476799</v>
      </c>
      <c r="T235">
        <f t="shared" si="963"/>
        <v>-4.5151574904767986E-3</v>
      </c>
    </row>
    <row r="236" spans="1:20" x14ac:dyDescent="0.25">
      <c r="A236" s="5">
        <v>44357</v>
      </c>
      <c r="B236">
        <v>68.819000000000003</v>
      </c>
      <c r="C236">
        <v>68.891999999999996</v>
      </c>
      <c r="D236">
        <v>63.923000000000002</v>
      </c>
      <c r="E236">
        <v>64.869</v>
      </c>
      <c r="F236">
        <v>55731.082999999999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-0.61923928355806035</v>
      </c>
      <c r="Q236">
        <f t="shared" si="960"/>
        <v>-34510.875908834794</v>
      </c>
      <c r="R236">
        <f t="shared" si="961"/>
        <v>-437243.79851649923</v>
      </c>
      <c r="S236">
        <f t="shared" si="962"/>
        <v>-4.3724379851649919</v>
      </c>
      <c r="T236">
        <f t="shared" si="963"/>
        <v>-4.372437985164992E-3</v>
      </c>
    </row>
    <row r="237" spans="1:20" x14ac:dyDescent="0.25">
      <c r="A237" s="5">
        <v>44356</v>
      </c>
      <c r="B237">
        <v>72.566999999999993</v>
      </c>
      <c r="C237">
        <v>73.373999999999995</v>
      </c>
      <c r="D237">
        <v>65.760000000000005</v>
      </c>
      <c r="E237">
        <v>68.819999999999993</v>
      </c>
      <c r="F237">
        <v>59468.938999999998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-0.1962174940898366</v>
      </c>
      <c r="Q237">
        <f t="shared" si="960"/>
        <v>-11668.846186761353</v>
      </c>
      <c r="R237">
        <f t="shared" si="961"/>
        <v>-402732.92260766443</v>
      </c>
      <c r="S237">
        <f t="shared" si="962"/>
        <v>-4.0273292260766445</v>
      </c>
      <c r="T237">
        <f t="shared" si="963"/>
        <v>-4.0273292260766449E-3</v>
      </c>
    </row>
    <row r="238" spans="1:20" x14ac:dyDescent="0.25">
      <c r="A238" s="5">
        <v>44355</v>
      </c>
      <c r="B238">
        <v>72.665000000000006</v>
      </c>
      <c r="C238">
        <v>75.763999999999996</v>
      </c>
      <c r="D238">
        <v>63.664999999999999</v>
      </c>
      <c r="E238">
        <v>72.566999999999993</v>
      </c>
      <c r="F238">
        <v>44899.052000000003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0.47152657244400303</v>
      </c>
      <c r="Q238">
        <f t="shared" si="960"/>
        <v>21171.096095545061</v>
      </c>
      <c r="R238">
        <f t="shared" si="961"/>
        <v>-391064.07642090309</v>
      </c>
      <c r="S238">
        <f t="shared" si="962"/>
        <v>-3.9106407642090311</v>
      </c>
      <c r="T238">
        <f t="shared" si="963"/>
        <v>-3.9106407642090311E-3</v>
      </c>
    </row>
    <row r="239" spans="1:20" x14ac:dyDescent="0.25">
      <c r="A239" s="5">
        <v>44354</v>
      </c>
      <c r="B239">
        <v>76.983000000000004</v>
      </c>
      <c r="C239">
        <v>85</v>
      </c>
      <c r="D239">
        <v>71.671000000000006</v>
      </c>
      <c r="E239">
        <v>72.665000000000006</v>
      </c>
      <c r="F239">
        <v>47593.728000000003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-0.85085152674619247</v>
      </c>
      <c r="Q239">
        <f t="shared" si="960"/>
        <v>-40495.196132343015</v>
      </c>
      <c r="R239">
        <f t="shared" si="961"/>
        <v>-412235.17251644813</v>
      </c>
      <c r="S239">
        <f t="shared" si="962"/>
        <v>-4.1223517251644815</v>
      </c>
      <c r="T239">
        <f t="shared" si="963"/>
        <v>-4.1223517251644812E-3</v>
      </c>
    </row>
    <row r="240" spans="1:20" x14ac:dyDescent="0.25">
      <c r="A240" s="5">
        <v>44353</v>
      </c>
      <c r="B240">
        <v>72.320999999999998</v>
      </c>
      <c r="C240">
        <v>77.531999999999996</v>
      </c>
      <c r="D240">
        <v>72.182000000000002</v>
      </c>
      <c r="E240">
        <v>76.980999999999995</v>
      </c>
      <c r="F240">
        <v>25926.991999999998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0.79401869158878413</v>
      </c>
      <c r="Q240">
        <f t="shared" si="960"/>
        <v>20586.516264672871</v>
      </c>
      <c r="R240">
        <f t="shared" si="961"/>
        <v>-371739.9763841051</v>
      </c>
      <c r="S240">
        <f t="shared" si="962"/>
        <v>-3.7173997638410512</v>
      </c>
      <c r="T240">
        <f t="shared" si="963"/>
        <v>-3.7173997638410513E-3</v>
      </c>
    </row>
    <row r="241" spans="1:20" x14ac:dyDescent="0.25">
      <c r="A241" s="5">
        <v>44352</v>
      </c>
      <c r="B241">
        <v>75.572000000000003</v>
      </c>
      <c r="C241">
        <v>78.867000000000004</v>
      </c>
      <c r="D241">
        <v>70.069000000000003</v>
      </c>
      <c r="E241">
        <v>72.320999999999998</v>
      </c>
      <c r="F241">
        <v>24798.255000000001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-0.48806546942487045</v>
      </c>
      <c r="Q241">
        <f t="shared" si="960"/>
        <v>-12103.171967492641</v>
      </c>
      <c r="R241">
        <f t="shared" si="961"/>
        <v>-392326.49264877796</v>
      </c>
      <c r="S241">
        <f t="shared" si="962"/>
        <v>-3.9232649264877795</v>
      </c>
      <c r="T241">
        <f t="shared" si="963"/>
        <v>-3.9232649264877798E-3</v>
      </c>
    </row>
    <row r="242" spans="1:20" x14ac:dyDescent="0.25">
      <c r="A242" s="5">
        <v>44351</v>
      </c>
      <c r="B242">
        <v>78.680999999999997</v>
      </c>
      <c r="C242">
        <v>78.7</v>
      </c>
      <c r="D242">
        <v>69.378</v>
      </c>
      <c r="E242">
        <v>75.572999999999993</v>
      </c>
      <c r="F242">
        <v>14673.924000000001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0.32911392405063106</v>
      </c>
      <c r="Q242">
        <f t="shared" si="960"/>
        <v>4829.3927088607325</v>
      </c>
      <c r="R242">
        <f t="shared" si="961"/>
        <v>-380223.32068128535</v>
      </c>
      <c r="S242">
        <f t="shared" si="962"/>
        <v>-3.8022332068128533</v>
      </c>
      <c r="T242">
        <f t="shared" si="963"/>
        <v>-3.8022332068128532E-3</v>
      </c>
    </row>
    <row r="243" spans="1:20" x14ac:dyDescent="0.25">
      <c r="A243" s="5">
        <v>44350</v>
      </c>
      <c r="B243">
        <v>76.001000000000005</v>
      </c>
      <c r="C243">
        <v>78.680999999999997</v>
      </c>
      <c r="D243">
        <v>74.875</v>
      </c>
      <c r="E243">
        <v>78.680999999999997</v>
      </c>
      <c r="F243">
        <v>12525.076999999999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1</v>
      </c>
      <c r="Q243">
        <f t="shared" si="960"/>
        <v>12525.076999999999</v>
      </c>
      <c r="R243">
        <f t="shared" si="961"/>
        <v>-385052.71339014609</v>
      </c>
      <c r="S243">
        <f t="shared" si="962"/>
        <v>-3.8505271339014611</v>
      </c>
      <c r="T243">
        <f t="shared" si="963"/>
        <v>-3.850527133901461E-3</v>
      </c>
    </row>
    <row r="244" spans="1:20" x14ac:dyDescent="0.25">
      <c r="A244" s="5">
        <v>44349</v>
      </c>
      <c r="B244">
        <v>73.102000000000004</v>
      </c>
      <c r="C244">
        <v>76.600999999999999</v>
      </c>
      <c r="D244">
        <v>70.316999999999993</v>
      </c>
      <c r="E244">
        <v>76</v>
      </c>
      <c r="F244">
        <v>31116.728999999999</v>
      </c>
      <c r="G244">
        <v>0</v>
      </c>
      <c r="L244" t="s">
        <v>8</v>
      </c>
      <c r="M244" t="s">
        <v>7</v>
      </c>
      <c r="N244" t="s">
        <v>8</v>
      </c>
      <c r="P244">
        <f t="shared" si="959"/>
        <v>0.80872056015276939</v>
      </c>
      <c r="Q244">
        <f t="shared" si="960"/>
        <v>25164.738507001923</v>
      </c>
      <c r="R244">
        <f t="shared" si="961"/>
        <v>-397577.79039014608</v>
      </c>
      <c r="S244">
        <f t="shared" si="962"/>
        <v>-3.9757779039014607</v>
      </c>
      <c r="T244">
        <f t="shared" si="963"/>
        <v>-3.9757779039014604E-3</v>
      </c>
    </row>
    <row r="245" spans="1:20" x14ac:dyDescent="0.25">
      <c r="A245" s="5">
        <v>44348</v>
      </c>
      <c r="B245">
        <v>72.460999999999999</v>
      </c>
      <c r="C245">
        <v>73.756</v>
      </c>
      <c r="D245">
        <v>69.448999999999998</v>
      </c>
      <c r="E245">
        <v>73.102999999999994</v>
      </c>
      <c r="F245">
        <v>23365.47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0.69677269561179223</v>
      </c>
      <c r="Q245">
        <f t="shared" si="960"/>
        <v>16280.421516136465</v>
      </c>
      <c r="R245">
        <f t="shared" si="961"/>
        <v>-422742.52889714797</v>
      </c>
      <c r="S245">
        <f t="shared" si="962"/>
        <v>-4.2274252889714798</v>
      </c>
      <c r="T245">
        <f t="shared" si="963"/>
        <v>-4.2274252889714795E-3</v>
      </c>
    </row>
    <row r="246" spans="1:20" x14ac:dyDescent="0.25">
      <c r="A246" s="5">
        <v>44347</v>
      </c>
      <c r="B246">
        <v>73.180999999999997</v>
      </c>
      <c r="C246">
        <v>74.260999999999996</v>
      </c>
      <c r="D246">
        <v>64.710999999999999</v>
      </c>
      <c r="E246">
        <v>72.13</v>
      </c>
      <c r="F246">
        <v>58011.733999999997</v>
      </c>
      <c r="G246">
        <v>0</v>
      </c>
      <c r="L246" t="s">
        <v>7</v>
      </c>
      <c r="M246" t="s">
        <v>7</v>
      </c>
      <c r="N246" t="s">
        <v>8</v>
      </c>
      <c r="P246">
        <f t="shared" si="959"/>
        <v>0.5537172774869108</v>
      </c>
      <c r="Q246">
        <f t="shared" si="960"/>
        <v>32122.099412774856</v>
      </c>
      <c r="R246">
        <f t="shared" si="961"/>
        <v>-439022.95041328442</v>
      </c>
      <c r="S246">
        <f t="shared" si="962"/>
        <v>-4.3902295041328445</v>
      </c>
      <c r="T246">
        <f t="shared" si="963"/>
        <v>-4.3902295041328447E-3</v>
      </c>
    </row>
    <row r="247" spans="1:20" x14ac:dyDescent="0.25">
      <c r="A247" s="5">
        <v>44346</v>
      </c>
      <c r="B247">
        <v>67.016000000000005</v>
      </c>
      <c r="C247">
        <v>75.600999999999999</v>
      </c>
      <c r="D247">
        <v>65.766999999999996</v>
      </c>
      <c r="E247">
        <v>73.180999999999997</v>
      </c>
      <c r="F247">
        <v>27263.415000000001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0.50782997762863513</v>
      </c>
      <c r="Q247">
        <f t="shared" si="960"/>
        <v>13845.179429530195</v>
      </c>
      <c r="R247">
        <f t="shared" si="961"/>
        <v>-471145.04982605926</v>
      </c>
      <c r="S247">
        <f t="shared" si="962"/>
        <v>-4.7114504982605929</v>
      </c>
      <c r="T247">
        <f t="shared" si="963"/>
        <v>-4.7114504982605932E-3</v>
      </c>
    </row>
    <row r="248" spans="1:20" x14ac:dyDescent="0.25">
      <c r="A248" s="5">
        <v>44345</v>
      </c>
      <c r="B248">
        <v>72.858000000000004</v>
      </c>
      <c r="C248">
        <v>74.150999999999996</v>
      </c>
      <c r="D248">
        <v>63.673000000000002</v>
      </c>
      <c r="E248">
        <v>67.015000000000001</v>
      </c>
      <c r="F248">
        <v>49633.055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-0.36209200229051336</v>
      </c>
      <c r="Q248">
        <f t="shared" si="960"/>
        <v>-17971.732264745177</v>
      </c>
      <c r="R248">
        <f t="shared" si="961"/>
        <v>-484990.22925558942</v>
      </c>
      <c r="S248">
        <f t="shared" si="962"/>
        <v>-4.8499022925558943</v>
      </c>
      <c r="T248">
        <f t="shared" si="963"/>
        <v>-4.8499022925558941E-3</v>
      </c>
    </row>
    <row r="249" spans="1:20" x14ac:dyDescent="0.25">
      <c r="A249" s="5">
        <v>44344</v>
      </c>
      <c r="B249">
        <v>81.302000000000007</v>
      </c>
      <c r="C249">
        <v>82.308999999999997</v>
      </c>
      <c r="D249">
        <v>71.02</v>
      </c>
      <c r="E249">
        <v>72.858000000000004</v>
      </c>
      <c r="F249">
        <v>53931.055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-0.67437328372752103</v>
      </c>
      <c r="Q249">
        <f t="shared" si="960"/>
        <v>-36369.662655239539</v>
      </c>
      <c r="R249">
        <f t="shared" si="961"/>
        <v>-467018.49699084426</v>
      </c>
      <c r="S249">
        <f t="shared" si="962"/>
        <v>-4.6701849699084423</v>
      </c>
      <c r="T249">
        <f t="shared" si="963"/>
        <v>-4.6701849699084426E-3</v>
      </c>
    </row>
    <row r="250" spans="1:20" x14ac:dyDescent="0.25">
      <c r="A250" s="5">
        <v>44343</v>
      </c>
      <c r="B250">
        <v>83.119</v>
      </c>
      <c r="C250">
        <v>86.853999999999999</v>
      </c>
      <c r="D250">
        <v>77</v>
      </c>
      <c r="E250">
        <v>81.543999999999997</v>
      </c>
      <c r="F250">
        <v>32002.295999999998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-7.7734929977674588E-2</v>
      </c>
      <c r="Q250">
        <f t="shared" si="960"/>
        <v>-2487.6962386848154</v>
      </c>
      <c r="R250">
        <f t="shared" si="961"/>
        <v>-430648.83433560474</v>
      </c>
      <c r="S250">
        <f t="shared" si="962"/>
        <v>-4.3064883433560475</v>
      </c>
      <c r="T250">
        <f t="shared" si="963"/>
        <v>-4.3064883433560474E-3</v>
      </c>
    </row>
    <row r="251" spans="1:20" x14ac:dyDescent="0.25">
      <c r="A251" s="5">
        <v>44342</v>
      </c>
      <c r="B251">
        <v>74.412000000000006</v>
      </c>
      <c r="C251">
        <v>83.498000000000005</v>
      </c>
      <c r="D251">
        <v>73.174999999999997</v>
      </c>
      <c r="E251">
        <v>82.394000000000005</v>
      </c>
      <c r="F251">
        <v>52485.264000000003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0.78610868933449607</v>
      </c>
      <c r="Q251">
        <f t="shared" si="960"/>
        <v>41259.122092415011</v>
      </c>
      <c r="R251">
        <f t="shared" si="961"/>
        <v>-428161.13809691992</v>
      </c>
      <c r="S251">
        <f t="shared" si="962"/>
        <v>-4.2816113809691991</v>
      </c>
      <c r="T251">
        <f t="shared" si="963"/>
        <v>-4.2816113809691992E-3</v>
      </c>
    </row>
    <row r="252" spans="1:20" x14ac:dyDescent="0.25">
      <c r="A252" s="5">
        <v>44341</v>
      </c>
      <c r="B252">
        <v>72.239999999999995</v>
      </c>
      <c r="C252">
        <v>76.545000000000002</v>
      </c>
      <c r="D252">
        <v>68</v>
      </c>
      <c r="E252">
        <v>74.403999999999996</v>
      </c>
      <c r="F252">
        <v>40640.444000000003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0.49888823873610183</v>
      </c>
      <c r="Q252">
        <f t="shared" si="960"/>
        <v>20275.039528613179</v>
      </c>
      <c r="R252">
        <f t="shared" si="961"/>
        <v>-469420.26018933492</v>
      </c>
      <c r="S252">
        <f t="shared" si="962"/>
        <v>-4.6942026018933491</v>
      </c>
      <c r="T252">
        <f t="shared" si="963"/>
        <v>-4.6942026018933491E-3</v>
      </c>
    </row>
    <row r="253" spans="1:20" x14ac:dyDescent="0.25">
      <c r="A253" s="5">
        <v>44340</v>
      </c>
      <c r="B253">
        <v>59.161999999999999</v>
      </c>
      <c r="C253">
        <v>72.588999999999999</v>
      </c>
      <c r="D253">
        <v>58.808999999999997</v>
      </c>
      <c r="E253">
        <v>72.486000000000004</v>
      </c>
      <c r="F253">
        <v>36424.025000000001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0.98505079825834618</v>
      </c>
      <c r="Q253">
        <f t="shared" si="960"/>
        <v>35879.514902031959</v>
      </c>
      <c r="R253">
        <f t="shared" si="961"/>
        <v>-489695.29971794807</v>
      </c>
      <c r="S253">
        <f t="shared" si="962"/>
        <v>-4.896952997179481</v>
      </c>
      <c r="T253">
        <f t="shared" si="963"/>
        <v>-4.8969529971794809E-3</v>
      </c>
    </row>
    <row r="254" spans="1:20" x14ac:dyDescent="0.25">
      <c r="A254" s="5">
        <v>44339</v>
      </c>
      <c r="B254">
        <v>65.221999999999994</v>
      </c>
      <c r="C254">
        <v>67.706999999999994</v>
      </c>
      <c r="D254">
        <v>49.75</v>
      </c>
      <c r="E254">
        <v>59.162999999999997</v>
      </c>
      <c r="F254">
        <v>41659.341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4.8393384195578329E-2</v>
      </c>
      <c r="Q254">
        <f t="shared" si="960"/>
        <v>2016.0364943476084</v>
      </c>
      <c r="R254">
        <f t="shared" si="961"/>
        <v>-525574.81461998005</v>
      </c>
      <c r="S254">
        <f t="shared" si="962"/>
        <v>-5.2557481461998004</v>
      </c>
      <c r="T254">
        <f t="shared" si="963"/>
        <v>-5.2557481461998007E-3</v>
      </c>
    </row>
    <row r="255" spans="1:20" x14ac:dyDescent="0.25">
      <c r="A255" s="5">
        <v>44338</v>
      </c>
      <c r="B255">
        <v>77.338999999999999</v>
      </c>
      <c r="C255">
        <v>81.054000000000002</v>
      </c>
      <c r="D255">
        <v>63.4</v>
      </c>
      <c r="E255">
        <v>64.852000000000004</v>
      </c>
      <c r="F255">
        <v>58454.533000000003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-0.8355047014840824</v>
      </c>
      <c r="Q255">
        <f t="shared" si="960"/>
        <v>-48839.037144556445</v>
      </c>
      <c r="R255">
        <f t="shared" si="961"/>
        <v>-527590.85111432767</v>
      </c>
      <c r="S255">
        <f t="shared" si="962"/>
        <v>-5.2759085111432764</v>
      </c>
      <c r="T255">
        <f t="shared" si="963"/>
        <v>-5.2759085111432763E-3</v>
      </c>
    </row>
    <row r="256" spans="1:20" x14ac:dyDescent="0.25">
      <c r="A256" s="5">
        <v>44337</v>
      </c>
      <c r="B256">
        <v>91.769000000000005</v>
      </c>
      <c r="C256">
        <v>95.602999999999994</v>
      </c>
      <c r="D256">
        <v>67.866</v>
      </c>
      <c r="E256">
        <v>77.603999999999999</v>
      </c>
      <c r="F256">
        <v>102846.458</v>
      </c>
      <c r="G256">
        <v>0</v>
      </c>
      <c r="L256" t="s">
        <v>8</v>
      </c>
      <c r="M256" t="s">
        <v>7</v>
      </c>
      <c r="N256" t="s">
        <v>8</v>
      </c>
      <c r="P256">
        <f t="shared" si="959"/>
        <v>-0.29783321916573519</v>
      </c>
      <c r="Q256">
        <f t="shared" si="960"/>
        <v>-30631.091665933578</v>
      </c>
      <c r="R256">
        <f t="shared" si="961"/>
        <v>-478751.81396977126</v>
      </c>
      <c r="S256">
        <f t="shared" si="962"/>
        <v>-4.7875181396977124</v>
      </c>
      <c r="T256">
        <f t="shared" si="963"/>
        <v>-4.7875181396977128E-3</v>
      </c>
    </row>
    <row r="257" spans="1:20" x14ac:dyDescent="0.25">
      <c r="A257" s="5">
        <v>44336</v>
      </c>
      <c r="B257">
        <v>76.183000000000007</v>
      </c>
      <c r="C257">
        <v>93.894000000000005</v>
      </c>
      <c r="D257">
        <v>64.5</v>
      </c>
      <c r="E257">
        <v>91.741</v>
      </c>
      <c r="F257">
        <v>111014.284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0.85350751854119855</v>
      </c>
      <c r="Q257">
        <f t="shared" si="960"/>
        <v>94751.526059467884</v>
      </c>
      <c r="R257">
        <f t="shared" si="961"/>
        <v>-448120.72230383771</v>
      </c>
      <c r="S257">
        <f t="shared" si="962"/>
        <v>-4.4812072230383775</v>
      </c>
      <c r="T257">
        <f t="shared" si="963"/>
        <v>-4.4812072230383778E-3</v>
      </c>
    </row>
    <row r="258" spans="1:20" x14ac:dyDescent="0.25">
      <c r="A258" s="5">
        <v>44335</v>
      </c>
      <c r="B258">
        <v>94.087000000000003</v>
      </c>
      <c r="C258">
        <v>95.406000000000006</v>
      </c>
      <c r="D258">
        <v>43.101999999999997</v>
      </c>
      <c r="E258">
        <v>76.283000000000001</v>
      </c>
      <c r="F258">
        <v>100920.992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0.26877485469562551</v>
      </c>
      <c r="Q258">
        <f t="shared" si="960"/>
        <v>27125.024960538383</v>
      </c>
      <c r="R258">
        <f t="shared" si="961"/>
        <v>-542872.24836330558</v>
      </c>
      <c r="S258">
        <f t="shared" si="962"/>
        <v>-5.4287224836330559</v>
      </c>
      <c r="T258">
        <f t="shared" si="963"/>
        <v>-5.4287224836330559E-3</v>
      </c>
    </row>
    <row r="259" spans="1:20" x14ac:dyDescent="0.25">
      <c r="A259" s="5">
        <v>44334</v>
      </c>
      <c r="B259">
        <v>93.796999999999997</v>
      </c>
      <c r="C259">
        <v>104.9</v>
      </c>
      <c r="D259">
        <v>90.906999999999996</v>
      </c>
      <c r="E259">
        <v>93.799000000000007</v>
      </c>
      <c r="F259">
        <v>36286.228000000003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-0.58665046809118726</v>
      </c>
      <c r="Q259">
        <f t="shared" si="960"/>
        <v>-21287.332641463548</v>
      </c>
      <c r="R259">
        <f t="shared" si="961"/>
        <v>-569997.27332384395</v>
      </c>
      <c r="S259">
        <f t="shared" si="962"/>
        <v>-5.6999727332384396</v>
      </c>
      <c r="T259">
        <f t="shared" si="963"/>
        <v>-5.6999727332384398E-3</v>
      </c>
    </row>
    <row r="260" spans="1:20" x14ac:dyDescent="0.25">
      <c r="A260" s="5">
        <v>44333</v>
      </c>
      <c r="B260">
        <v>99.995999999999995</v>
      </c>
      <c r="C260">
        <v>100.14</v>
      </c>
      <c r="D260">
        <v>89.004999999999995</v>
      </c>
      <c r="E260">
        <v>93.9</v>
      </c>
      <c r="F260">
        <v>47748.434999999998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-0.12079030085316426</v>
      </c>
      <c r="Q260">
        <f t="shared" si="960"/>
        <v>-5767.5478289177581</v>
      </c>
      <c r="R260">
        <f t="shared" si="961"/>
        <v>-548709.94068238046</v>
      </c>
      <c r="S260">
        <f t="shared" si="962"/>
        <v>-5.4870994068238046</v>
      </c>
      <c r="T260">
        <f t="shared" si="963"/>
        <v>-5.4870994068238043E-3</v>
      </c>
    </row>
    <row r="261" spans="1:20" x14ac:dyDescent="0.25">
      <c r="A261" s="5">
        <v>44332</v>
      </c>
      <c r="B261">
        <v>94.718000000000004</v>
      </c>
      <c r="C261">
        <v>104.79900000000001</v>
      </c>
      <c r="D261">
        <v>91.1</v>
      </c>
      <c r="E261">
        <v>99.995999999999995</v>
      </c>
      <c r="F261">
        <v>53741.264999999999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0.29878093291481023</v>
      </c>
      <c r="Q261">
        <f t="shared" si="960"/>
        <v>16056.865292722039</v>
      </c>
      <c r="R261">
        <f t="shared" si="961"/>
        <v>-542942.39285346272</v>
      </c>
      <c r="S261">
        <f t="shared" si="962"/>
        <v>-5.4294239285346269</v>
      </c>
      <c r="T261">
        <f t="shared" si="963"/>
        <v>-5.4294239285346269E-3</v>
      </c>
    </row>
    <row r="262" spans="1:20" x14ac:dyDescent="0.25">
      <c r="A262" s="5">
        <v>44331</v>
      </c>
      <c r="B262">
        <v>108.401</v>
      </c>
      <c r="C262">
        <v>111.15600000000001</v>
      </c>
      <c r="D262">
        <v>92.111000000000004</v>
      </c>
      <c r="E262">
        <v>94.718999999999994</v>
      </c>
      <c r="F262">
        <v>67958.013000000006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-0.72612234182200164</v>
      </c>
      <c r="Q262">
        <f t="shared" ref="Q262:Q325" si="965">F262*P262</f>
        <v>-49345.831545130037</v>
      </c>
      <c r="R262">
        <f t="shared" ref="R262:R325" si="966">R263+Q262</f>
        <v>-558999.25814618473</v>
      </c>
      <c r="S262">
        <f t="shared" ref="S262:S325" si="967">R262/100000</f>
        <v>-5.5899925814618472</v>
      </c>
      <c r="T262">
        <f t="shared" ref="T262:T325" si="968">S262/1000</f>
        <v>-5.5899925814618468E-3</v>
      </c>
    </row>
    <row r="263" spans="1:20" x14ac:dyDescent="0.25">
      <c r="A263" s="5">
        <v>44330</v>
      </c>
      <c r="B263">
        <v>104.72499999999999</v>
      </c>
      <c r="C263">
        <v>115.447</v>
      </c>
      <c r="D263">
        <v>99.602999999999994</v>
      </c>
      <c r="E263">
        <v>108.51</v>
      </c>
      <c r="F263">
        <v>42896.243999999999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0.12433728856349482</v>
      </c>
      <c r="Q263">
        <f t="shared" si="965"/>
        <v>5333.6026685180832</v>
      </c>
      <c r="R263">
        <f t="shared" si="966"/>
        <v>-509653.42660105467</v>
      </c>
      <c r="S263">
        <f t="shared" si="967"/>
        <v>-5.096534266010547</v>
      </c>
      <c r="T263">
        <f t="shared" si="968"/>
        <v>-5.0965342660105467E-3</v>
      </c>
    </row>
    <row r="264" spans="1:20" x14ac:dyDescent="0.25">
      <c r="A264" s="5">
        <v>44329</v>
      </c>
      <c r="B264">
        <v>106.262</v>
      </c>
      <c r="C264">
        <v>116.99299999999999</v>
      </c>
      <c r="D264">
        <v>95.504999999999995</v>
      </c>
      <c r="E264">
        <v>105.072</v>
      </c>
      <c r="F264">
        <v>86113.206999999995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-0.10954951600893452</v>
      </c>
      <c r="Q264">
        <f t="shared" si="965"/>
        <v>-9433.6601488271917</v>
      </c>
      <c r="R264">
        <f t="shared" si="966"/>
        <v>-514987.02926957275</v>
      </c>
      <c r="S264">
        <f t="shared" si="967"/>
        <v>-5.1498702926957272</v>
      </c>
      <c r="T264">
        <f t="shared" si="968"/>
        <v>-5.149870292695727E-3</v>
      </c>
    </row>
    <row r="265" spans="1:20" x14ac:dyDescent="0.25">
      <c r="A265" s="5">
        <v>44328</v>
      </c>
      <c r="B265">
        <v>112.717</v>
      </c>
      <c r="C265">
        <v>134.19999999999999</v>
      </c>
      <c r="D265">
        <v>104.8</v>
      </c>
      <c r="E265">
        <v>106.262</v>
      </c>
      <c r="F265">
        <v>121599.076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-0.9005442176870746</v>
      </c>
      <c r="Q265">
        <f t="shared" si="965"/>
        <v>-109505.34476789113</v>
      </c>
      <c r="R265">
        <f t="shared" si="966"/>
        <v>-505553.36912074557</v>
      </c>
      <c r="S265">
        <f t="shared" si="967"/>
        <v>-5.0555336912074553</v>
      </c>
      <c r="T265">
        <f t="shared" si="968"/>
        <v>-5.0555336912074551E-3</v>
      </c>
    </row>
    <row r="266" spans="1:20" x14ac:dyDescent="0.25">
      <c r="A266" s="5">
        <v>44327</v>
      </c>
      <c r="B266">
        <v>107.694</v>
      </c>
      <c r="C266">
        <v>115.32599999999999</v>
      </c>
      <c r="D266">
        <v>102.95</v>
      </c>
      <c r="E266">
        <v>112.755</v>
      </c>
      <c r="F266">
        <v>45986.743000000002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0.5845184227537169</v>
      </c>
      <c r="Q266">
        <f t="shared" si="965"/>
        <v>26880.098485940533</v>
      </c>
      <c r="R266">
        <f t="shared" si="966"/>
        <v>-396048.02435285447</v>
      </c>
      <c r="S266">
        <f t="shared" si="967"/>
        <v>-3.9604802435285449</v>
      </c>
      <c r="T266">
        <f t="shared" si="968"/>
        <v>-3.9604802435285451E-3</v>
      </c>
    </row>
    <row r="267" spans="1:20" x14ac:dyDescent="0.25">
      <c r="A267" s="5">
        <v>44326</v>
      </c>
      <c r="B267">
        <v>118.209</v>
      </c>
      <c r="C267">
        <v>123</v>
      </c>
      <c r="D267">
        <v>99.102000000000004</v>
      </c>
      <c r="E267">
        <v>107.666</v>
      </c>
      <c r="F267">
        <v>62842.817999999999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-0.28328730437693578</v>
      </c>
      <c r="Q267">
        <f t="shared" si="965"/>
        <v>-17802.572510670379</v>
      </c>
      <c r="R267">
        <f t="shared" si="966"/>
        <v>-422928.12283879501</v>
      </c>
      <c r="S267">
        <f t="shared" si="967"/>
        <v>-4.2292812283879497</v>
      </c>
      <c r="T267">
        <f t="shared" si="968"/>
        <v>-4.2292812283879497E-3</v>
      </c>
    </row>
    <row r="268" spans="1:20" x14ac:dyDescent="0.25">
      <c r="A268" s="5">
        <v>44325</v>
      </c>
      <c r="B268">
        <v>107.256</v>
      </c>
      <c r="C268">
        <v>124.36</v>
      </c>
      <c r="D268">
        <v>106.1</v>
      </c>
      <c r="E268">
        <v>118.113</v>
      </c>
      <c r="F268">
        <v>117057.444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0.31577217962760151</v>
      </c>
      <c r="Q268">
        <f t="shared" si="965"/>
        <v>36963.484233515905</v>
      </c>
      <c r="R268">
        <f t="shared" si="966"/>
        <v>-405125.55032812461</v>
      </c>
      <c r="S268">
        <f t="shared" si="967"/>
        <v>-4.0512555032812463</v>
      </c>
      <c r="T268">
        <f t="shared" si="968"/>
        <v>-4.0512555032812467E-3</v>
      </c>
    </row>
    <row r="269" spans="1:20" x14ac:dyDescent="0.25">
      <c r="A269" s="5">
        <v>44324</v>
      </c>
      <c r="B269">
        <v>97.524000000000001</v>
      </c>
      <c r="C269">
        <v>112.48</v>
      </c>
      <c r="D269">
        <v>96.703999999999994</v>
      </c>
      <c r="E269">
        <v>106.702</v>
      </c>
      <c r="F269">
        <v>47690.548999999999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0.26749492900608496</v>
      </c>
      <c r="Q269">
        <f t="shared" si="965"/>
        <v>12756.980019016215</v>
      </c>
      <c r="R269">
        <f t="shared" si="966"/>
        <v>-442089.03456164052</v>
      </c>
      <c r="S269">
        <f t="shared" si="967"/>
        <v>-4.4208903456164048</v>
      </c>
      <c r="T269">
        <f t="shared" si="968"/>
        <v>-4.4208903456164047E-3</v>
      </c>
    </row>
    <row r="270" spans="1:20" x14ac:dyDescent="0.25">
      <c r="A270" s="5">
        <v>44323</v>
      </c>
      <c r="B270">
        <v>102.99299999999999</v>
      </c>
      <c r="C270">
        <v>102.99299999999999</v>
      </c>
      <c r="D270">
        <v>93.566999999999993</v>
      </c>
      <c r="E270">
        <v>97.524000000000001</v>
      </c>
      <c r="F270">
        <v>41908.684999999998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-0.16040738383195269</v>
      </c>
      <c r="Q270">
        <f t="shared" si="965"/>
        <v>-6722.462520687398</v>
      </c>
      <c r="R270">
        <f t="shared" si="966"/>
        <v>-454846.01458065672</v>
      </c>
      <c r="S270">
        <f t="shared" si="967"/>
        <v>-4.5484601458065672</v>
      </c>
      <c r="T270">
        <f t="shared" si="968"/>
        <v>-4.5484601458065672E-3</v>
      </c>
    </row>
    <row r="271" spans="1:20" x14ac:dyDescent="0.25">
      <c r="A271" s="5">
        <v>44322</v>
      </c>
      <c r="B271">
        <v>101.71</v>
      </c>
      <c r="C271">
        <v>110.584</v>
      </c>
      <c r="D271">
        <v>96.287000000000006</v>
      </c>
      <c r="E271">
        <v>102.99299999999999</v>
      </c>
      <c r="F271">
        <v>89429.263999999996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-6.1901098132476712E-2</v>
      </c>
      <c r="Q271">
        <f t="shared" si="965"/>
        <v>-5535.7696467791666</v>
      </c>
      <c r="R271">
        <f t="shared" si="966"/>
        <v>-448123.55205996934</v>
      </c>
      <c r="S271">
        <f t="shared" si="967"/>
        <v>-4.481235520599693</v>
      </c>
      <c r="T271">
        <f t="shared" si="968"/>
        <v>-4.4812355205996928E-3</v>
      </c>
    </row>
    <row r="272" spans="1:20" x14ac:dyDescent="0.25">
      <c r="A272" s="5">
        <v>44321</v>
      </c>
      <c r="B272">
        <v>92.638999999999996</v>
      </c>
      <c r="C272">
        <v>103.01</v>
      </c>
      <c r="D272">
        <v>91.207999999999998</v>
      </c>
      <c r="E272">
        <v>101.712</v>
      </c>
      <c r="F272">
        <v>68659.100000000006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0.78003728181664111</v>
      </c>
      <c r="Q272">
        <f t="shared" si="965"/>
        <v>53556.657735976951</v>
      </c>
      <c r="R272">
        <f t="shared" si="966"/>
        <v>-442587.78241319017</v>
      </c>
      <c r="S272">
        <f t="shared" si="967"/>
        <v>-4.4258778241319021</v>
      </c>
      <c r="T272">
        <f t="shared" si="968"/>
        <v>-4.4258778241319024E-3</v>
      </c>
    </row>
    <row r="273" spans="1:20" x14ac:dyDescent="0.25">
      <c r="A273" s="5">
        <v>44320</v>
      </c>
      <c r="B273">
        <v>95.566999999999993</v>
      </c>
      <c r="C273">
        <v>100.6</v>
      </c>
      <c r="D273">
        <v>88.587000000000003</v>
      </c>
      <c r="E273">
        <v>92.611000000000004</v>
      </c>
      <c r="F273">
        <v>98837.687000000005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-0.33005910263880733</v>
      </c>
      <c r="Q273">
        <f t="shared" si="965"/>
        <v>-32622.278278115315</v>
      </c>
      <c r="R273">
        <f t="shared" si="966"/>
        <v>-496144.44014916715</v>
      </c>
      <c r="S273">
        <f t="shared" si="967"/>
        <v>-4.9614444014916712</v>
      </c>
      <c r="T273">
        <f t="shared" si="968"/>
        <v>-4.9614444014916713E-3</v>
      </c>
    </row>
    <row r="274" spans="1:20" x14ac:dyDescent="0.25">
      <c r="A274" s="5">
        <v>44319</v>
      </c>
      <c r="B274">
        <v>87.311000000000007</v>
      </c>
      <c r="C274">
        <v>102.2</v>
      </c>
      <c r="D274">
        <v>86.619</v>
      </c>
      <c r="E274">
        <v>95.566999999999993</v>
      </c>
      <c r="F274">
        <v>122215.227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0.14857839676528997</v>
      </c>
      <c r="Q274">
        <f t="shared" si="965"/>
        <v>18158.54248796598</v>
      </c>
      <c r="R274">
        <f t="shared" si="966"/>
        <v>-463522.16187105182</v>
      </c>
      <c r="S274">
        <f t="shared" si="967"/>
        <v>-4.635221618710518</v>
      </c>
      <c r="T274">
        <f t="shared" si="968"/>
        <v>-4.6352216187105178E-3</v>
      </c>
    </row>
    <row r="275" spans="1:20" x14ac:dyDescent="0.25">
      <c r="A275" s="5">
        <v>44318</v>
      </c>
      <c r="B275">
        <v>87.460999999999999</v>
      </c>
      <c r="C275">
        <v>91.599000000000004</v>
      </c>
      <c r="D275">
        <v>87.128</v>
      </c>
      <c r="E275">
        <v>87.347999999999999</v>
      </c>
      <c r="F275">
        <v>40376.796999999999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-0.90158801163050828</v>
      </c>
      <c r="Q275">
        <f t="shared" si="965"/>
        <v>-36403.236123238668</v>
      </c>
      <c r="R275">
        <f t="shared" si="966"/>
        <v>-481680.70435901778</v>
      </c>
      <c r="S275">
        <f t="shared" si="967"/>
        <v>-4.8168070435901775</v>
      </c>
      <c r="T275">
        <f t="shared" si="968"/>
        <v>-4.8168070435901777E-3</v>
      </c>
    </row>
    <row r="276" spans="1:20" x14ac:dyDescent="0.25">
      <c r="A276" s="5">
        <v>44317</v>
      </c>
      <c r="B276">
        <v>89.436999999999998</v>
      </c>
      <c r="C276">
        <v>90.263999999999996</v>
      </c>
      <c r="D276">
        <v>85.968000000000004</v>
      </c>
      <c r="E276">
        <v>87.554000000000002</v>
      </c>
      <c r="F276">
        <v>42834.925999999999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-0.26163873370577218</v>
      </c>
      <c r="Q276">
        <f t="shared" si="965"/>
        <v>-11207.275797020457</v>
      </c>
      <c r="R276">
        <f t="shared" si="966"/>
        <v>-445277.46823577909</v>
      </c>
      <c r="S276">
        <f t="shared" si="967"/>
        <v>-4.4527746823577905</v>
      </c>
      <c r="T276">
        <f t="shared" si="968"/>
        <v>-4.4527746823577906E-3</v>
      </c>
    </row>
    <row r="277" spans="1:20" x14ac:dyDescent="0.25">
      <c r="A277" s="5">
        <v>44316</v>
      </c>
      <c r="B277">
        <v>88.876000000000005</v>
      </c>
      <c r="C277">
        <v>91.837000000000003</v>
      </c>
      <c r="D277">
        <v>86.9</v>
      </c>
      <c r="E277">
        <v>89.251000000000005</v>
      </c>
      <c r="F277">
        <v>54581.296000000002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-4.7599756937411294E-2</v>
      </c>
      <c r="Q277">
        <f t="shared" si="965"/>
        <v>-2598.0564229288993</v>
      </c>
      <c r="R277">
        <f t="shared" si="966"/>
        <v>-434070.19243875862</v>
      </c>
      <c r="S277">
        <f t="shared" si="967"/>
        <v>-4.3407019243875862</v>
      </c>
      <c r="T277">
        <f t="shared" si="968"/>
        <v>-4.3407019243875862E-3</v>
      </c>
    </row>
    <row r="278" spans="1:20" x14ac:dyDescent="0.25">
      <c r="A278" s="5">
        <v>44315</v>
      </c>
      <c r="B278">
        <v>94.456999999999994</v>
      </c>
      <c r="C278">
        <v>95.971000000000004</v>
      </c>
      <c r="D278">
        <v>86.42</v>
      </c>
      <c r="E278">
        <v>88.855000000000004</v>
      </c>
      <c r="F278">
        <v>65600.270999999993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-0.49010574808920493</v>
      </c>
      <c r="Q278">
        <f t="shared" si="965"/>
        <v>-32151.069893309574</v>
      </c>
      <c r="R278">
        <f t="shared" si="966"/>
        <v>-431472.13601582975</v>
      </c>
      <c r="S278">
        <f t="shared" si="967"/>
        <v>-4.3147213601582974</v>
      </c>
      <c r="T278">
        <f t="shared" si="968"/>
        <v>-4.3147213601582978E-3</v>
      </c>
    </row>
    <row r="279" spans="1:20" x14ac:dyDescent="0.25">
      <c r="A279" s="5">
        <v>44314</v>
      </c>
      <c r="B279">
        <v>92.808000000000007</v>
      </c>
      <c r="C279">
        <v>106</v>
      </c>
      <c r="D279">
        <v>92</v>
      </c>
      <c r="E279">
        <v>94.436000000000007</v>
      </c>
      <c r="F279">
        <v>136683.93700000001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-0.65199999999999902</v>
      </c>
      <c r="Q279">
        <f t="shared" si="965"/>
        <v>-89117.926923999868</v>
      </c>
      <c r="R279">
        <f t="shared" si="966"/>
        <v>-399321.06612252019</v>
      </c>
      <c r="S279">
        <f t="shared" si="967"/>
        <v>-3.9932106612252021</v>
      </c>
      <c r="T279">
        <f t="shared" si="968"/>
        <v>-3.9932106612252018E-3</v>
      </c>
    </row>
    <row r="280" spans="1:20" x14ac:dyDescent="0.25">
      <c r="A280" s="5">
        <v>44313</v>
      </c>
      <c r="B280">
        <v>85.385999999999996</v>
      </c>
      <c r="C280">
        <v>96.593000000000004</v>
      </c>
      <c r="D280">
        <v>84.694000000000003</v>
      </c>
      <c r="E280">
        <v>93.147000000000006</v>
      </c>
      <c r="F280">
        <v>125625.102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0.42079166316497224</v>
      </c>
      <c r="Q280">
        <f t="shared" si="965"/>
        <v>52861.995605849283</v>
      </c>
      <c r="R280">
        <f t="shared" si="966"/>
        <v>-310203.13919852034</v>
      </c>
      <c r="S280">
        <f t="shared" si="967"/>
        <v>-3.1020313919852032</v>
      </c>
      <c r="T280">
        <f t="shared" si="968"/>
        <v>-3.1020313919852033E-3</v>
      </c>
    </row>
    <row r="281" spans="1:20" x14ac:dyDescent="0.25">
      <c r="A281" s="5">
        <v>44312</v>
      </c>
      <c r="B281">
        <v>73.150000000000006</v>
      </c>
      <c r="C281">
        <v>93</v>
      </c>
      <c r="D281">
        <v>71.620999999999995</v>
      </c>
      <c r="E281">
        <v>85.387</v>
      </c>
      <c r="F281">
        <v>206451.614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0.28780579072922047</v>
      </c>
      <c r="Q281">
        <f t="shared" si="965"/>
        <v>59417.970014593804</v>
      </c>
      <c r="R281">
        <f t="shared" si="966"/>
        <v>-363065.13480436959</v>
      </c>
      <c r="S281">
        <f t="shared" si="967"/>
        <v>-3.6306513480436959</v>
      </c>
      <c r="T281">
        <f t="shared" si="968"/>
        <v>-3.6306513480436958E-3</v>
      </c>
    </row>
    <row r="282" spans="1:20" x14ac:dyDescent="0.25">
      <c r="A282" s="5">
        <v>44311</v>
      </c>
      <c r="B282">
        <v>74.100999999999999</v>
      </c>
      <c r="C282">
        <v>79.593999999999994</v>
      </c>
      <c r="D282">
        <v>66.332999999999998</v>
      </c>
      <c r="E282">
        <v>73.158000000000001</v>
      </c>
      <c r="F282">
        <v>151268.78599999999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2.9334137697007021E-2</v>
      </c>
      <c r="Q282">
        <f t="shared" si="965"/>
        <v>4437.3393977830874</v>
      </c>
      <c r="R282">
        <f t="shared" si="966"/>
        <v>-422483.10481896339</v>
      </c>
      <c r="S282">
        <f t="shared" si="967"/>
        <v>-4.2248310481896336</v>
      </c>
      <c r="T282">
        <f t="shared" si="968"/>
        <v>-4.2248310481896338E-3</v>
      </c>
    </row>
    <row r="283" spans="1:20" x14ac:dyDescent="0.25">
      <c r="A283" s="5">
        <v>44310</v>
      </c>
      <c r="B283">
        <v>80.296999999999997</v>
      </c>
      <c r="C283">
        <v>87.227999999999994</v>
      </c>
      <c r="D283">
        <v>73.602000000000004</v>
      </c>
      <c r="E283">
        <v>74.102000000000004</v>
      </c>
      <c r="F283">
        <v>278341.12900000002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-0.9266108909437839</v>
      </c>
      <c r="Q283">
        <f t="shared" si="965"/>
        <v>-257913.92152898869</v>
      </c>
      <c r="R283">
        <f t="shared" si="966"/>
        <v>-426920.44421674649</v>
      </c>
      <c r="S283">
        <f t="shared" si="967"/>
        <v>-4.2692044421674646</v>
      </c>
      <c r="T283">
        <f t="shared" si="968"/>
        <v>-4.2692044421674645E-3</v>
      </c>
    </row>
    <row r="284" spans="1:20" x14ac:dyDescent="0.25">
      <c r="A284" s="5">
        <v>44309</v>
      </c>
      <c r="B284">
        <v>68.058000000000007</v>
      </c>
      <c r="C284">
        <v>85.15</v>
      </c>
      <c r="D284">
        <v>62.1</v>
      </c>
      <c r="E284">
        <v>80.296999999999997</v>
      </c>
      <c r="F284">
        <v>131165.37899999999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0.57891540130151775</v>
      </c>
      <c r="Q284">
        <f t="shared" si="965"/>
        <v>75933.658020650662</v>
      </c>
      <c r="R284">
        <f t="shared" si="966"/>
        <v>-169006.5226877578</v>
      </c>
      <c r="S284">
        <f t="shared" si="967"/>
        <v>-1.690065226877578</v>
      </c>
      <c r="T284">
        <f t="shared" si="968"/>
        <v>-1.6900652268775781E-3</v>
      </c>
    </row>
    <row r="285" spans="1:20" x14ac:dyDescent="0.25">
      <c r="A285" s="5">
        <v>44308</v>
      </c>
      <c r="B285">
        <v>76.03</v>
      </c>
      <c r="C285">
        <v>82.05</v>
      </c>
      <c r="D285">
        <v>65.763999999999996</v>
      </c>
      <c r="E285">
        <v>68.058999999999997</v>
      </c>
      <c r="F285">
        <v>111925.868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-0.71816283924843405</v>
      </c>
      <c r="Q285">
        <f t="shared" si="965"/>
        <v>-80380.999148225455</v>
      </c>
      <c r="R285">
        <f t="shared" si="966"/>
        <v>-244940.18070840847</v>
      </c>
      <c r="S285">
        <f t="shared" si="967"/>
        <v>-2.4494018070840848</v>
      </c>
      <c r="T285">
        <f t="shared" si="968"/>
        <v>-2.4494018070840848E-3</v>
      </c>
    </row>
    <row r="286" spans="1:20" x14ac:dyDescent="0.25">
      <c r="A286" s="5">
        <v>44307</v>
      </c>
      <c r="B286">
        <v>74.134</v>
      </c>
      <c r="C286">
        <v>83.656000000000006</v>
      </c>
      <c r="D286">
        <v>67.13</v>
      </c>
      <c r="E286">
        <v>76</v>
      </c>
      <c r="F286">
        <v>134348.69500000001</v>
      </c>
      <c r="G286">
        <v>0</v>
      </c>
      <c r="L286" t="s">
        <v>7</v>
      </c>
      <c r="M286" t="s">
        <v>7</v>
      </c>
      <c r="N286" t="s">
        <v>8</v>
      </c>
      <c r="P286">
        <f t="shared" si="964"/>
        <v>7.3460002420428286E-2</v>
      </c>
      <c r="Q286">
        <f t="shared" si="965"/>
        <v>9869.2554598813822</v>
      </c>
      <c r="R286">
        <f t="shared" si="966"/>
        <v>-164559.18156018303</v>
      </c>
      <c r="S286">
        <f t="shared" si="967"/>
        <v>-1.6455918156018303</v>
      </c>
      <c r="T286">
        <f t="shared" si="968"/>
        <v>-1.6455918156018303E-3</v>
      </c>
    </row>
    <row r="287" spans="1:20" x14ac:dyDescent="0.25">
      <c r="A287" s="5">
        <v>44306</v>
      </c>
      <c r="B287">
        <v>60.86</v>
      </c>
      <c r="C287">
        <v>87.111999999999995</v>
      </c>
      <c r="D287">
        <v>58.82</v>
      </c>
      <c r="E287">
        <v>74.134</v>
      </c>
      <c r="F287">
        <v>282640.69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8.2567510250247639E-2</v>
      </c>
      <c r="Q287">
        <f t="shared" si="965"/>
        <v>23336.938068712065</v>
      </c>
      <c r="R287">
        <f t="shared" si="966"/>
        <v>-174428.43702006442</v>
      </c>
      <c r="S287">
        <f t="shared" si="967"/>
        <v>-1.7442843702006441</v>
      </c>
      <c r="T287">
        <f t="shared" si="968"/>
        <v>-1.744284370200644E-3</v>
      </c>
    </row>
    <row r="288" spans="1:20" x14ac:dyDescent="0.25">
      <c r="A288" s="5">
        <v>44305</v>
      </c>
      <c r="B288">
        <v>63.981999999999999</v>
      </c>
      <c r="C288">
        <v>67.98</v>
      </c>
      <c r="D288">
        <v>59.152000000000001</v>
      </c>
      <c r="E288">
        <v>60.86</v>
      </c>
      <c r="F288">
        <v>46140.669000000002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-0.6130493883099235</v>
      </c>
      <c r="Q288">
        <f t="shared" si="965"/>
        <v>-28286.508906660652</v>
      </c>
      <c r="R288">
        <f t="shared" si="966"/>
        <v>-197765.37508877649</v>
      </c>
      <c r="S288">
        <f t="shared" si="967"/>
        <v>-1.977653750887765</v>
      </c>
      <c r="T288">
        <f t="shared" si="968"/>
        <v>-1.977653750887765E-3</v>
      </c>
    </row>
    <row r="289" spans="1:20" x14ac:dyDescent="0.25">
      <c r="A289" s="5">
        <v>44304</v>
      </c>
      <c r="B289">
        <v>71.853999999999999</v>
      </c>
      <c r="C289">
        <v>72.159000000000006</v>
      </c>
      <c r="D289">
        <v>56.045999999999999</v>
      </c>
      <c r="E289">
        <v>63.981999999999999</v>
      </c>
      <c r="F289">
        <v>138250.74799999999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-1.4956867125923581E-2</v>
      </c>
      <c r="Q289">
        <f t="shared" si="965"/>
        <v>-2067.798067895545</v>
      </c>
      <c r="R289">
        <f t="shared" si="966"/>
        <v>-169478.86618211583</v>
      </c>
      <c r="S289">
        <f t="shared" si="967"/>
        <v>-1.6947886618211583</v>
      </c>
      <c r="T289">
        <f t="shared" si="968"/>
        <v>-1.6947886618211582E-3</v>
      </c>
    </row>
    <row r="290" spans="1:20" x14ac:dyDescent="0.25">
      <c r="A290" s="5">
        <v>44303</v>
      </c>
      <c r="B290">
        <v>67.897999999999996</v>
      </c>
      <c r="C290">
        <v>72.498000000000005</v>
      </c>
      <c r="D290">
        <v>66.412999999999997</v>
      </c>
      <c r="E290">
        <v>71.867000000000004</v>
      </c>
      <c r="F290">
        <v>95915.6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0.79260476581758443</v>
      </c>
      <c r="Q290">
        <f t="shared" si="965"/>
        <v>76023.161676253105</v>
      </c>
      <c r="R290">
        <f t="shared" si="966"/>
        <v>-167411.06811422028</v>
      </c>
      <c r="S290">
        <f t="shared" si="967"/>
        <v>-1.6741106811422028</v>
      </c>
      <c r="T290">
        <f t="shared" si="968"/>
        <v>-1.6741106811422029E-3</v>
      </c>
    </row>
    <row r="291" spans="1:20" x14ac:dyDescent="0.25">
      <c r="A291" s="5">
        <v>44302</v>
      </c>
      <c r="B291">
        <v>76.814999999999998</v>
      </c>
      <c r="C291">
        <v>77</v>
      </c>
      <c r="D291">
        <v>66.055000000000007</v>
      </c>
      <c r="E291">
        <v>67.858999999999995</v>
      </c>
      <c r="F291">
        <v>170548.60699999999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-0.67035175879397191</v>
      </c>
      <c r="Q291">
        <f t="shared" si="965"/>
        <v>-114327.5586623119</v>
      </c>
      <c r="R291">
        <f t="shared" si="966"/>
        <v>-243434.22979047339</v>
      </c>
      <c r="S291">
        <f t="shared" si="967"/>
        <v>-2.4343422979047338</v>
      </c>
      <c r="T291">
        <f t="shared" si="968"/>
        <v>-2.4343422979047338E-3</v>
      </c>
    </row>
    <row r="292" spans="1:20" x14ac:dyDescent="0.25">
      <c r="A292" s="5">
        <v>44301</v>
      </c>
      <c r="B292">
        <v>62.256999999999998</v>
      </c>
      <c r="C292">
        <v>94.456000000000003</v>
      </c>
      <c r="D292">
        <v>62.256999999999998</v>
      </c>
      <c r="E292">
        <v>76.8</v>
      </c>
      <c r="F292">
        <v>659522.96200000006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-9.6680021118668469E-2</v>
      </c>
      <c r="Q292">
        <f t="shared" si="965"/>
        <v>-63762.693894406788</v>
      </c>
      <c r="R292">
        <f t="shared" si="966"/>
        <v>-129106.67112816148</v>
      </c>
      <c r="S292">
        <f t="shared" si="967"/>
        <v>-1.2910667112816148</v>
      </c>
      <c r="T292">
        <f t="shared" si="968"/>
        <v>-1.2910667112816148E-3</v>
      </c>
    </row>
    <row r="293" spans="1:20" x14ac:dyDescent="0.25">
      <c r="A293" s="5">
        <v>44300</v>
      </c>
      <c r="B293">
        <v>59.524000000000001</v>
      </c>
      <c r="C293">
        <v>62.640999999999998</v>
      </c>
      <c r="D293">
        <v>57.84</v>
      </c>
      <c r="E293">
        <v>62.256</v>
      </c>
      <c r="F293">
        <v>46979.178999999996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0.83961674651114415</v>
      </c>
      <c r="Q293">
        <f t="shared" si="965"/>
        <v>39444.505425744661</v>
      </c>
      <c r="R293">
        <f t="shared" si="966"/>
        <v>-65343.977233754704</v>
      </c>
      <c r="S293">
        <f t="shared" si="967"/>
        <v>-0.65343977233754702</v>
      </c>
      <c r="T293">
        <f t="shared" si="968"/>
        <v>-6.5343977233754701E-4</v>
      </c>
    </row>
    <row r="294" spans="1:20" x14ac:dyDescent="0.25">
      <c r="A294" s="5">
        <v>44299</v>
      </c>
      <c r="B294">
        <v>57.423999999999999</v>
      </c>
      <c r="C294">
        <v>60.715000000000003</v>
      </c>
      <c r="D294">
        <v>55.512</v>
      </c>
      <c r="E294">
        <v>59.387</v>
      </c>
      <c r="F294">
        <v>48853.722999999998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0.48952527388045275</v>
      </c>
      <c r="Q294">
        <f t="shared" si="965"/>
        <v>23915.132131654773</v>
      </c>
      <c r="R294">
        <f t="shared" si="966"/>
        <v>-104788.48265949936</v>
      </c>
      <c r="S294">
        <f t="shared" si="967"/>
        <v>-1.0478848265949936</v>
      </c>
      <c r="T294">
        <f t="shared" si="968"/>
        <v>-1.0478848265949936E-3</v>
      </c>
    </row>
    <row r="295" spans="1:20" x14ac:dyDescent="0.25">
      <c r="A295" s="5">
        <v>44298</v>
      </c>
      <c r="B295">
        <v>56.881999999999998</v>
      </c>
      <c r="C295">
        <v>59.636000000000003</v>
      </c>
      <c r="D295">
        <v>54.77</v>
      </c>
      <c r="E295">
        <v>57.423999999999999</v>
      </c>
      <c r="F295">
        <v>53953.773000000001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9.0834360871350828E-2</v>
      </c>
      <c r="Q295">
        <f t="shared" si="965"/>
        <v>4900.8564870529444</v>
      </c>
      <c r="R295">
        <f t="shared" si="966"/>
        <v>-128703.61479115413</v>
      </c>
      <c r="S295">
        <f t="shared" si="967"/>
        <v>-1.2870361479115413</v>
      </c>
      <c r="T295">
        <f t="shared" si="968"/>
        <v>-1.2870361479115414E-3</v>
      </c>
    </row>
    <row r="296" spans="1:20" x14ac:dyDescent="0.25">
      <c r="A296" s="5">
        <v>44297</v>
      </c>
      <c r="B296">
        <v>57.508000000000003</v>
      </c>
      <c r="C296">
        <v>61.075000000000003</v>
      </c>
      <c r="D296">
        <v>56.186</v>
      </c>
      <c r="E296">
        <v>56.935000000000002</v>
      </c>
      <c r="F296">
        <v>35223.423999999999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-0.69359787277561802</v>
      </c>
      <c r="Q296">
        <f t="shared" si="965"/>
        <v>-24430.891958273649</v>
      </c>
      <c r="R296">
        <f t="shared" si="966"/>
        <v>-133604.47127820709</v>
      </c>
      <c r="S296">
        <f t="shared" si="967"/>
        <v>-1.3360447127820709</v>
      </c>
      <c r="T296">
        <f t="shared" si="968"/>
        <v>-1.336044712782071E-3</v>
      </c>
    </row>
    <row r="297" spans="1:20" x14ac:dyDescent="0.25">
      <c r="A297" s="5">
        <v>44296</v>
      </c>
      <c r="B297">
        <v>59.587000000000003</v>
      </c>
      <c r="C297">
        <v>60.250999999999998</v>
      </c>
      <c r="D297">
        <v>54.375999999999998</v>
      </c>
      <c r="E297">
        <v>57.496000000000002</v>
      </c>
      <c r="F297">
        <v>50276.192000000003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6.2127659574469633E-2</v>
      </c>
      <c r="Q297">
        <f t="shared" si="965"/>
        <v>3123.5421412766736</v>
      </c>
      <c r="R297">
        <f t="shared" si="966"/>
        <v>-109173.57931993343</v>
      </c>
      <c r="S297">
        <f t="shared" si="967"/>
        <v>-1.0917357931993343</v>
      </c>
      <c r="T297">
        <f t="shared" si="968"/>
        <v>-1.0917357931993343E-3</v>
      </c>
    </row>
    <row r="298" spans="1:20" x14ac:dyDescent="0.25">
      <c r="A298" s="5">
        <v>44295</v>
      </c>
      <c r="B298">
        <v>57.465000000000003</v>
      </c>
      <c r="C298">
        <v>59.622</v>
      </c>
      <c r="D298">
        <v>56.570999999999998</v>
      </c>
      <c r="E298">
        <v>59.515999999999998</v>
      </c>
      <c r="F298">
        <v>41912.892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0.93051458538184095</v>
      </c>
      <c r="Q298">
        <f t="shared" si="965"/>
        <v>39000.557321533881</v>
      </c>
      <c r="R298">
        <f t="shared" si="966"/>
        <v>-112297.1214612101</v>
      </c>
      <c r="S298">
        <f t="shared" si="967"/>
        <v>-1.1229712146121009</v>
      </c>
      <c r="T298">
        <f t="shared" si="968"/>
        <v>-1.1229712146121008E-3</v>
      </c>
    </row>
    <row r="299" spans="1:20" x14ac:dyDescent="0.25">
      <c r="A299" s="5">
        <v>44294</v>
      </c>
      <c r="B299">
        <v>52.616999999999997</v>
      </c>
      <c r="C299">
        <v>57.933</v>
      </c>
      <c r="D299">
        <v>52.572000000000003</v>
      </c>
      <c r="E299">
        <v>57.453000000000003</v>
      </c>
      <c r="F299">
        <v>36481.703000000001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0.82092893116955901</v>
      </c>
      <c r="Q299">
        <f t="shared" si="965"/>
        <v>29948.885451035294</v>
      </c>
      <c r="R299">
        <f t="shared" si="966"/>
        <v>-151297.67878274398</v>
      </c>
      <c r="S299">
        <f t="shared" si="967"/>
        <v>-1.5129767878274398</v>
      </c>
      <c r="T299">
        <f t="shared" si="968"/>
        <v>-1.5129767878274399E-3</v>
      </c>
    </row>
    <row r="300" spans="1:20" x14ac:dyDescent="0.25">
      <c r="A300" s="5">
        <v>44293</v>
      </c>
      <c r="B300">
        <v>57.362000000000002</v>
      </c>
      <c r="C300">
        <v>58.701999999999998</v>
      </c>
      <c r="D300">
        <v>50.652999999999999</v>
      </c>
      <c r="E300">
        <v>52.698999999999998</v>
      </c>
      <c r="F300">
        <v>73021.67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-0.49161386507640714</v>
      </c>
      <c r="Q300">
        <f t="shared" si="965"/>
        <v>-35898.465423033929</v>
      </c>
      <c r="R300">
        <f t="shared" si="966"/>
        <v>-181246.56423377927</v>
      </c>
      <c r="S300">
        <f t="shared" si="967"/>
        <v>-1.8124656423377927</v>
      </c>
      <c r="T300">
        <f t="shared" si="968"/>
        <v>-1.8124656423377926E-3</v>
      </c>
    </row>
    <row r="301" spans="1:20" x14ac:dyDescent="0.25">
      <c r="A301" s="5">
        <v>44292</v>
      </c>
      <c r="B301">
        <v>57.677999999999997</v>
      </c>
      <c r="C301">
        <v>66</v>
      </c>
      <c r="D301">
        <v>55.634</v>
      </c>
      <c r="E301">
        <v>57.348999999999997</v>
      </c>
      <c r="F301">
        <v>68431.240000000005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-0.66911055373335981</v>
      </c>
      <c r="Q301">
        <f t="shared" si="965"/>
        <v>-45788.064889060443</v>
      </c>
      <c r="R301">
        <f t="shared" si="966"/>
        <v>-145348.09881074534</v>
      </c>
      <c r="S301">
        <f t="shared" si="967"/>
        <v>-1.4534809881074535</v>
      </c>
      <c r="T301">
        <f t="shared" si="968"/>
        <v>-1.4534809881074535E-3</v>
      </c>
    </row>
    <row r="302" spans="1:20" x14ac:dyDescent="0.25">
      <c r="A302" s="5">
        <v>44291</v>
      </c>
      <c r="B302">
        <v>59.100999999999999</v>
      </c>
      <c r="C302">
        <v>59.307000000000002</v>
      </c>
      <c r="D302">
        <v>56.750999999999998</v>
      </c>
      <c r="E302">
        <v>57.677999999999997</v>
      </c>
      <c r="F302">
        <v>48119.038999999997</v>
      </c>
      <c r="G302">
        <v>0</v>
      </c>
      <c r="L302" t="s">
        <v>7</v>
      </c>
      <c r="M302" t="s">
        <v>8</v>
      </c>
      <c r="N302" t="s">
        <v>8</v>
      </c>
      <c r="P302">
        <f t="shared" si="964"/>
        <v>-0.27464788732394524</v>
      </c>
      <c r="Q302">
        <f t="shared" si="965"/>
        <v>-13215.792401408526</v>
      </c>
      <c r="R302">
        <f t="shared" si="966"/>
        <v>-99560.033921684895</v>
      </c>
      <c r="S302">
        <f t="shared" si="967"/>
        <v>-0.99560033921684898</v>
      </c>
      <c r="T302">
        <f t="shared" si="968"/>
        <v>-9.9560033921684897E-4</v>
      </c>
    </row>
    <row r="303" spans="1:20" x14ac:dyDescent="0.25">
      <c r="A303" s="5">
        <v>44290</v>
      </c>
      <c r="B303">
        <v>56.444000000000003</v>
      </c>
      <c r="C303">
        <v>62.082000000000001</v>
      </c>
      <c r="D303">
        <v>56.082999999999998</v>
      </c>
      <c r="E303">
        <v>59.1</v>
      </c>
      <c r="F303">
        <v>66905.558000000005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5.8343057176202173E-3</v>
      </c>
      <c r="Q303">
        <f t="shared" si="965"/>
        <v>390.34747957997109</v>
      </c>
      <c r="R303">
        <f t="shared" si="966"/>
        <v>-86344.241520276366</v>
      </c>
      <c r="S303">
        <f t="shared" si="967"/>
        <v>-0.86344241520276366</v>
      </c>
      <c r="T303">
        <f t="shared" si="968"/>
        <v>-8.6344241520276363E-4</v>
      </c>
    </row>
    <row r="304" spans="1:20" x14ac:dyDescent="0.25">
      <c r="A304" s="5">
        <v>44289</v>
      </c>
      <c r="B304">
        <v>62.878999999999998</v>
      </c>
      <c r="C304">
        <v>63.999000000000002</v>
      </c>
      <c r="D304">
        <v>56.231000000000002</v>
      </c>
      <c r="E304">
        <v>56.44</v>
      </c>
      <c r="F304">
        <v>45803.004000000001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-0.94618949536560348</v>
      </c>
      <c r="Q304">
        <f t="shared" si="965"/>
        <v>-43338.32124098872</v>
      </c>
      <c r="R304">
        <f t="shared" si="966"/>
        <v>-86734.588999856336</v>
      </c>
      <c r="S304">
        <f t="shared" si="967"/>
        <v>-0.86734588999856332</v>
      </c>
      <c r="T304">
        <f t="shared" si="968"/>
        <v>-8.6734588999856329E-4</v>
      </c>
    </row>
    <row r="305" spans="1:20" x14ac:dyDescent="0.25">
      <c r="A305" s="5">
        <v>44288</v>
      </c>
      <c r="B305">
        <v>63.201000000000001</v>
      </c>
      <c r="C305">
        <v>64.384</v>
      </c>
      <c r="D305">
        <v>60.201999999999998</v>
      </c>
      <c r="E305">
        <v>63.055999999999997</v>
      </c>
      <c r="F305">
        <v>56962.896999999997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0.36489717838354746</v>
      </c>
      <c r="Q305">
        <f t="shared" si="965"/>
        <v>20785.600387852639</v>
      </c>
      <c r="R305">
        <f t="shared" si="966"/>
        <v>-43396.267758867616</v>
      </c>
      <c r="S305">
        <f t="shared" si="967"/>
        <v>-0.43396267758867618</v>
      </c>
      <c r="T305">
        <f t="shared" si="968"/>
        <v>-4.3396267758867617E-4</v>
      </c>
    </row>
    <row r="306" spans="1:20" x14ac:dyDescent="0.25">
      <c r="A306" s="5">
        <v>44287</v>
      </c>
      <c r="B306">
        <v>60.005000000000003</v>
      </c>
      <c r="C306">
        <v>65.73</v>
      </c>
      <c r="D306">
        <v>58.363</v>
      </c>
      <c r="E306">
        <v>63.182000000000002</v>
      </c>
      <c r="F306">
        <v>113377.749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0.30826659427175235</v>
      </c>
      <c r="Q306">
        <f t="shared" si="965"/>
        <v>34950.572550427576</v>
      </c>
      <c r="R306">
        <f t="shared" si="966"/>
        <v>-64181.868146720255</v>
      </c>
      <c r="S306">
        <f t="shared" si="967"/>
        <v>-0.64181868146720256</v>
      </c>
      <c r="T306">
        <f t="shared" si="968"/>
        <v>-6.418186814672026E-4</v>
      </c>
    </row>
    <row r="307" spans="1:20" x14ac:dyDescent="0.25">
      <c r="A307" s="5">
        <v>44286</v>
      </c>
      <c r="B307">
        <v>54.645000000000003</v>
      </c>
      <c r="C307">
        <v>64.989999999999995</v>
      </c>
      <c r="D307">
        <v>52.988</v>
      </c>
      <c r="E307">
        <v>60.081000000000003</v>
      </c>
      <c r="F307">
        <v>310508.43599999999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0.18196967172138082</v>
      </c>
      <c r="Q307">
        <f t="shared" si="965"/>
        <v>56503.118165639382</v>
      </c>
      <c r="R307">
        <f t="shared" si="966"/>
        <v>-99132.440697147831</v>
      </c>
      <c r="S307">
        <f t="shared" si="967"/>
        <v>-0.99132440697147828</v>
      </c>
      <c r="T307">
        <f t="shared" si="968"/>
        <v>-9.9132440697147824E-4</v>
      </c>
    </row>
    <row r="308" spans="1:20" x14ac:dyDescent="0.25">
      <c r="A308" s="5">
        <v>44285</v>
      </c>
      <c r="B308">
        <v>47.057000000000002</v>
      </c>
      <c r="C308">
        <v>55.941000000000003</v>
      </c>
      <c r="D308">
        <v>45.095999999999997</v>
      </c>
      <c r="E308">
        <v>54.792000000000002</v>
      </c>
      <c r="F308">
        <v>161115.804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0.78810511756569845</v>
      </c>
      <c r="Q308">
        <f t="shared" si="965"/>
        <v>126976.18965311203</v>
      </c>
      <c r="R308">
        <f t="shared" si="966"/>
        <v>-155635.55886278721</v>
      </c>
      <c r="S308">
        <f t="shared" si="967"/>
        <v>-1.5563555886278722</v>
      </c>
      <c r="T308">
        <f t="shared" si="968"/>
        <v>-1.5563555886278721E-3</v>
      </c>
    </row>
    <row r="309" spans="1:20" x14ac:dyDescent="0.25">
      <c r="A309" s="5">
        <v>44284</v>
      </c>
      <c r="B309">
        <v>46.372999999999998</v>
      </c>
      <c r="C309">
        <v>48</v>
      </c>
      <c r="D309">
        <v>43.951999999999998</v>
      </c>
      <c r="E309">
        <v>47.198</v>
      </c>
      <c r="F309">
        <v>79117.718999999997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0.60375494071146285</v>
      </c>
      <c r="Q309">
        <f t="shared" si="965"/>
        <v>47767.713744071174</v>
      </c>
      <c r="R309">
        <f t="shared" si="966"/>
        <v>-282611.74851589923</v>
      </c>
      <c r="S309">
        <f t="shared" si="967"/>
        <v>-2.8261174851589925</v>
      </c>
      <c r="T309">
        <f t="shared" si="968"/>
        <v>-2.8261174851589924E-3</v>
      </c>
    </row>
    <row r="310" spans="1:20" x14ac:dyDescent="0.25">
      <c r="A310" s="5">
        <v>44283</v>
      </c>
      <c r="B310">
        <v>45.262999999999998</v>
      </c>
      <c r="C310">
        <v>47.5</v>
      </c>
      <c r="D310">
        <v>44.664999999999999</v>
      </c>
      <c r="E310">
        <v>46.372</v>
      </c>
      <c r="F310">
        <v>39351.303999999996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0.2042328042328044</v>
      </c>
      <c r="Q310">
        <f t="shared" si="965"/>
        <v>8036.827166137572</v>
      </c>
      <c r="R310">
        <f t="shared" si="966"/>
        <v>-330379.46225997043</v>
      </c>
      <c r="S310">
        <f t="shared" si="967"/>
        <v>-3.3037946225997041</v>
      </c>
      <c r="T310">
        <f t="shared" si="968"/>
        <v>-3.3037946225997041E-3</v>
      </c>
    </row>
    <row r="311" spans="1:20" x14ac:dyDescent="0.25">
      <c r="A311" s="5">
        <v>44282</v>
      </c>
      <c r="B311">
        <v>45.997999999999998</v>
      </c>
      <c r="C311">
        <v>47.316000000000003</v>
      </c>
      <c r="D311">
        <v>43.460999999999999</v>
      </c>
      <c r="E311">
        <v>45.252000000000002</v>
      </c>
      <c r="F311">
        <v>23217.409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-7.0817120622567023E-2</v>
      </c>
      <c r="Q311">
        <f t="shared" si="965"/>
        <v>-1644.1900536964731</v>
      </c>
      <c r="R311">
        <f t="shared" si="966"/>
        <v>-338416.28942610801</v>
      </c>
      <c r="S311">
        <f t="shared" si="967"/>
        <v>-3.3841628942610802</v>
      </c>
      <c r="T311">
        <f t="shared" si="968"/>
        <v>-3.3841628942610801E-3</v>
      </c>
    </row>
    <row r="312" spans="1:20" x14ac:dyDescent="0.25">
      <c r="A312" s="5">
        <v>44281</v>
      </c>
      <c r="B312">
        <v>41.070999999999998</v>
      </c>
      <c r="C312">
        <v>47.67</v>
      </c>
      <c r="D312">
        <v>41.070999999999998</v>
      </c>
      <c r="E312">
        <v>45.994</v>
      </c>
      <c r="F312">
        <v>53667.112000000001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0.49204424912865558</v>
      </c>
      <c r="Q312">
        <f t="shared" si="965"/>
        <v>26406.593826943463</v>
      </c>
      <c r="R312">
        <f t="shared" si="966"/>
        <v>-336772.09937241155</v>
      </c>
      <c r="S312">
        <f t="shared" si="967"/>
        <v>-3.3677209937241157</v>
      </c>
      <c r="T312">
        <f t="shared" si="968"/>
        <v>-3.3677209937241158E-3</v>
      </c>
    </row>
    <row r="313" spans="1:20" x14ac:dyDescent="0.25">
      <c r="A313" s="5">
        <v>44280</v>
      </c>
      <c r="B313">
        <v>40.243000000000002</v>
      </c>
      <c r="C313">
        <v>45.161999999999999</v>
      </c>
      <c r="D313">
        <v>39.125999999999998</v>
      </c>
      <c r="E313">
        <v>41.136000000000003</v>
      </c>
      <c r="F313">
        <v>76050.816000000006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-0.33399602385685728</v>
      </c>
      <c r="Q313">
        <f t="shared" si="965"/>
        <v>-25400.670155069467</v>
      </c>
      <c r="R313">
        <f t="shared" si="966"/>
        <v>-363178.69319935504</v>
      </c>
      <c r="S313">
        <f t="shared" si="967"/>
        <v>-3.6317869319935503</v>
      </c>
      <c r="T313">
        <f t="shared" si="968"/>
        <v>-3.6317869319935502E-3</v>
      </c>
    </row>
    <row r="314" spans="1:20" x14ac:dyDescent="0.25">
      <c r="A314" s="5">
        <v>44279</v>
      </c>
      <c r="B314">
        <v>43.460999999999999</v>
      </c>
      <c r="C314">
        <v>44.845999999999997</v>
      </c>
      <c r="D314">
        <v>40.000999999999998</v>
      </c>
      <c r="E314">
        <v>40.253999999999998</v>
      </c>
      <c r="F314">
        <v>37311.334000000003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-0.89556243550051595</v>
      </c>
      <c r="Q314">
        <f t="shared" si="965"/>
        <v>-33414.629148813212</v>
      </c>
      <c r="R314">
        <f t="shared" si="966"/>
        <v>-337778.0230442856</v>
      </c>
      <c r="S314">
        <f t="shared" si="967"/>
        <v>-3.3777802304428559</v>
      </c>
      <c r="T314">
        <f t="shared" si="968"/>
        <v>-3.3777802304428557E-3</v>
      </c>
    </row>
    <row r="315" spans="1:20" x14ac:dyDescent="0.25">
      <c r="A315" s="5">
        <v>44278</v>
      </c>
      <c r="B315">
        <v>45.191000000000003</v>
      </c>
      <c r="C315">
        <v>45.817999999999998</v>
      </c>
      <c r="D315">
        <v>43.186</v>
      </c>
      <c r="E315">
        <v>43.353999999999999</v>
      </c>
      <c r="F315">
        <v>33441.451000000001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-0.87234042553191538</v>
      </c>
      <c r="Q315">
        <f t="shared" si="965"/>
        <v>-29172.329595744697</v>
      </c>
      <c r="R315">
        <f t="shared" si="966"/>
        <v>-304363.3938954724</v>
      </c>
      <c r="S315">
        <f t="shared" si="967"/>
        <v>-3.043633938954724</v>
      </c>
      <c r="T315">
        <f t="shared" si="968"/>
        <v>-3.0436339389547239E-3</v>
      </c>
    </row>
    <row r="316" spans="1:20" x14ac:dyDescent="0.25">
      <c r="A316" s="5">
        <v>44277</v>
      </c>
      <c r="B316">
        <v>46.106999999999999</v>
      </c>
      <c r="C316">
        <v>48.100999999999999</v>
      </c>
      <c r="D316">
        <v>44.761000000000003</v>
      </c>
      <c r="E316">
        <v>45.250999999999998</v>
      </c>
      <c r="F316">
        <v>42662.73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-0.70658682634730818</v>
      </c>
      <c r="Q316">
        <f t="shared" si="965"/>
        <v>-30144.922994012097</v>
      </c>
      <c r="R316">
        <f t="shared" si="966"/>
        <v>-275191.06429972773</v>
      </c>
      <c r="S316">
        <f t="shared" si="967"/>
        <v>-2.7519106429972773</v>
      </c>
      <c r="T316">
        <f t="shared" si="968"/>
        <v>-2.7519106429972772E-3</v>
      </c>
    </row>
    <row r="317" spans="1:20" x14ac:dyDescent="0.25">
      <c r="A317" s="5">
        <v>44276</v>
      </c>
      <c r="B317">
        <v>47.860999999999997</v>
      </c>
      <c r="C317">
        <v>48.131</v>
      </c>
      <c r="D317">
        <v>45.276000000000003</v>
      </c>
      <c r="E317">
        <v>46.003999999999998</v>
      </c>
      <c r="F317">
        <v>18944.067999999999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-0.49001751313485448</v>
      </c>
      <c r="Q317">
        <f t="shared" si="965"/>
        <v>-9282.9250900175757</v>
      </c>
      <c r="R317">
        <f t="shared" si="966"/>
        <v>-245046.14130571566</v>
      </c>
      <c r="S317">
        <f t="shared" si="967"/>
        <v>-2.4504614130571567</v>
      </c>
      <c r="T317">
        <f t="shared" si="968"/>
        <v>-2.4504614130571568E-3</v>
      </c>
    </row>
    <row r="318" spans="1:20" x14ac:dyDescent="0.25">
      <c r="A318" s="5">
        <v>44275</v>
      </c>
      <c r="B318">
        <v>47.762999999999998</v>
      </c>
      <c r="C318">
        <v>51.116999999999997</v>
      </c>
      <c r="D318">
        <v>47.482999999999997</v>
      </c>
      <c r="E318">
        <v>47.86</v>
      </c>
      <c r="F318">
        <v>26953.22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-0.79251513483764313</v>
      </c>
      <c r="Q318">
        <f t="shared" si="965"/>
        <v>-21360.834782608661</v>
      </c>
      <c r="R318">
        <f t="shared" si="966"/>
        <v>-235763.21621569808</v>
      </c>
      <c r="S318">
        <f t="shared" si="967"/>
        <v>-2.3576321621569809</v>
      </c>
      <c r="T318">
        <f t="shared" si="968"/>
        <v>-2.3576321621569811E-3</v>
      </c>
    </row>
    <row r="319" spans="1:20" x14ac:dyDescent="0.25">
      <c r="A319" s="5">
        <v>44274</v>
      </c>
      <c r="B319">
        <v>46.777000000000001</v>
      </c>
      <c r="C319">
        <v>48.783000000000001</v>
      </c>
      <c r="D319">
        <v>46.106000000000002</v>
      </c>
      <c r="E319">
        <v>47.81</v>
      </c>
      <c r="F319">
        <v>18935.978999999999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0.27306686589465884</v>
      </c>
      <c r="Q319">
        <f t="shared" si="965"/>
        <v>5170.7884381770755</v>
      </c>
      <c r="R319">
        <f t="shared" si="966"/>
        <v>-214402.38143308941</v>
      </c>
      <c r="S319">
        <f t="shared" si="967"/>
        <v>-2.1440238143308941</v>
      </c>
      <c r="T319">
        <f t="shared" si="968"/>
        <v>-2.1440238143308941E-3</v>
      </c>
    </row>
    <row r="320" spans="1:20" x14ac:dyDescent="0.25">
      <c r="A320" s="5">
        <v>44273</v>
      </c>
      <c r="B320">
        <v>47.960999999999999</v>
      </c>
      <c r="C320">
        <v>49.338000000000001</v>
      </c>
      <c r="D320">
        <v>45.817</v>
      </c>
      <c r="E320">
        <v>46.777000000000001</v>
      </c>
      <c r="F320">
        <v>35648.071000000004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-0.45470036921329132</v>
      </c>
      <c r="Q320">
        <f t="shared" si="965"/>
        <v>-16209.191045441625</v>
      </c>
      <c r="R320">
        <f t="shared" si="966"/>
        <v>-219573.16987126649</v>
      </c>
      <c r="S320">
        <f t="shared" si="967"/>
        <v>-2.1957316987126649</v>
      </c>
      <c r="T320">
        <f t="shared" si="968"/>
        <v>-2.1957316987126648E-3</v>
      </c>
    </row>
    <row r="321" spans="1:20" x14ac:dyDescent="0.25">
      <c r="A321" s="5">
        <v>44272</v>
      </c>
      <c r="B321">
        <v>46.798999999999999</v>
      </c>
      <c r="C321">
        <v>49.09</v>
      </c>
      <c r="D321">
        <v>45.204999999999998</v>
      </c>
      <c r="E321">
        <v>47.914000000000001</v>
      </c>
      <c r="F321">
        <v>25519.73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0.39459459459459439</v>
      </c>
      <c r="Q321">
        <f t="shared" si="965"/>
        <v>10069.947513513509</v>
      </c>
      <c r="R321">
        <f t="shared" si="966"/>
        <v>-203363.97882582486</v>
      </c>
      <c r="S321">
        <f t="shared" si="967"/>
        <v>-2.0336397882582484</v>
      </c>
      <c r="T321">
        <f t="shared" si="968"/>
        <v>-2.0336397882582485E-3</v>
      </c>
    </row>
    <row r="322" spans="1:20" x14ac:dyDescent="0.25">
      <c r="A322" s="5">
        <v>44271</v>
      </c>
      <c r="B322">
        <v>46.308999999999997</v>
      </c>
      <c r="C322">
        <v>47.753999999999998</v>
      </c>
      <c r="D322">
        <v>44.484000000000002</v>
      </c>
      <c r="E322">
        <v>46.798999999999999</v>
      </c>
      <c r="F322">
        <v>35048.326999999997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0.41590214067278319</v>
      </c>
      <c r="Q322">
        <f t="shared" si="965"/>
        <v>14576.674226299705</v>
      </c>
      <c r="R322">
        <f t="shared" si="966"/>
        <v>-213433.92633933836</v>
      </c>
      <c r="S322">
        <f t="shared" si="967"/>
        <v>-2.1343392633933838</v>
      </c>
      <c r="T322">
        <f t="shared" si="968"/>
        <v>-2.1343392633933838E-3</v>
      </c>
    </row>
    <row r="323" spans="1:20" x14ac:dyDescent="0.25">
      <c r="A323" s="5">
        <v>44270</v>
      </c>
      <c r="B323">
        <v>48.000999999999998</v>
      </c>
      <c r="C323">
        <v>48.895000000000003</v>
      </c>
      <c r="D323">
        <v>45.548999999999999</v>
      </c>
      <c r="E323">
        <v>46.3</v>
      </c>
      <c r="F323">
        <v>25165.094000000001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-0.55110579796772452</v>
      </c>
      <c r="Q323">
        <f t="shared" si="965"/>
        <v>-13868.629209802797</v>
      </c>
      <c r="R323">
        <f t="shared" si="966"/>
        <v>-228010.60056563807</v>
      </c>
      <c r="S323">
        <f t="shared" si="967"/>
        <v>-2.2801060056563807</v>
      </c>
      <c r="T323">
        <f t="shared" si="968"/>
        <v>-2.2801060056563808E-3</v>
      </c>
    </row>
    <row r="324" spans="1:20" x14ac:dyDescent="0.25">
      <c r="A324" s="5">
        <v>44269</v>
      </c>
      <c r="B324">
        <v>50.421999999999997</v>
      </c>
      <c r="C324">
        <v>51.198</v>
      </c>
      <c r="D324">
        <v>47.853000000000002</v>
      </c>
      <c r="E324">
        <v>48</v>
      </c>
      <c r="F324">
        <v>26012.311000000002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-0.91210762331838657</v>
      </c>
      <c r="Q324">
        <f t="shared" si="965"/>
        <v>-23726.027163228726</v>
      </c>
      <c r="R324">
        <f t="shared" si="966"/>
        <v>-214141.97135583527</v>
      </c>
      <c r="S324">
        <f t="shared" si="967"/>
        <v>-2.1414197135583528</v>
      </c>
      <c r="T324">
        <f t="shared" si="968"/>
        <v>-2.1414197135583529E-3</v>
      </c>
    </row>
    <row r="325" spans="1:20" x14ac:dyDescent="0.25">
      <c r="A325" s="5">
        <v>44268</v>
      </c>
      <c r="B325">
        <v>46.000999999999998</v>
      </c>
      <c r="C325">
        <v>51.713000000000001</v>
      </c>
      <c r="D325">
        <v>44.89</v>
      </c>
      <c r="E325">
        <v>50.36</v>
      </c>
      <c r="F325">
        <v>39202.847000000002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0.60340026381357137</v>
      </c>
      <c r="Q325">
        <f t="shared" si="965"/>
        <v>23655.008222043074</v>
      </c>
      <c r="R325">
        <f t="shared" si="966"/>
        <v>-190415.94419260655</v>
      </c>
      <c r="S325">
        <f t="shared" si="967"/>
        <v>-1.9041594419260655</v>
      </c>
      <c r="T325">
        <f t="shared" si="968"/>
        <v>-1.9041594419260655E-3</v>
      </c>
    </row>
    <row r="326" spans="1:20" x14ac:dyDescent="0.25">
      <c r="A326" s="5">
        <v>44267</v>
      </c>
      <c r="B326">
        <v>49.079000000000001</v>
      </c>
      <c r="C326">
        <v>49.368000000000002</v>
      </c>
      <c r="D326">
        <v>44.884</v>
      </c>
      <c r="E326">
        <v>46.000999999999998</v>
      </c>
      <c r="F326">
        <v>29952.924999999999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-0.50178412132025119</v>
      </c>
      <c r="Q326">
        <f t="shared" ref="Q326:Q389" si="970">F326*P326</f>
        <v>-15029.902152096385</v>
      </c>
      <c r="R326">
        <f t="shared" ref="R326:R389" si="971">R327+Q326</f>
        <v>-214070.95241464963</v>
      </c>
      <c r="S326">
        <f t="shared" ref="S326:S389" si="972">R326/100000</f>
        <v>-2.1407095241464962</v>
      </c>
      <c r="T326">
        <f t="shared" ref="T326:T389" si="973">S326/1000</f>
        <v>-2.1407095241464964E-3</v>
      </c>
    </row>
    <row r="327" spans="1:20" x14ac:dyDescent="0.25">
      <c r="A327" s="5">
        <v>44266</v>
      </c>
      <c r="B327">
        <v>49.408000000000001</v>
      </c>
      <c r="C327">
        <v>50.143000000000001</v>
      </c>
      <c r="D327">
        <v>46.945999999999998</v>
      </c>
      <c r="E327">
        <v>48.875999999999998</v>
      </c>
      <c r="F327">
        <v>22651.583999999999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0.20738192055051491</v>
      </c>
      <c r="Q327">
        <f t="shared" si="970"/>
        <v>4697.5289934313141</v>
      </c>
      <c r="R327">
        <f t="shared" si="971"/>
        <v>-199041.05026255324</v>
      </c>
      <c r="S327">
        <f t="shared" si="972"/>
        <v>-1.9904105026255323</v>
      </c>
      <c r="T327">
        <f t="shared" si="973"/>
        <v>-1.9904105026255325E-3</v>
      </c>
    </row>
    <row r="328" spans="1:20" x14ac:dyDescent="0.25">
      <c r="A328" s="5">
        <v>44265</v>
      </c>
      <c r="B328">
        <v>52.482999999999997</v>
      </c>
      <c r="C328">
        <v>53.66</v>
      </c>
      <c r="D328">
        <v>49.2</v>
      </c>
      <c r="E328">
        <v>49.2</v>
      </c>
      <c r="F328">
        <v>40376.343000000001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-1</v>
      </c>
      <c r="Q328">
        <f t="shared" si="970"/>
        <v>-40376.343000000001</v>
      </c>
      <c r="R328">
        <f t="shared" si="971"/>
        <v>-203738.57925598454</v>
      </c>
      <c r="S328">
        <f t="shared" si="972"/>
        <v>-2.0373857925598453</v>
      </c>
      <c r="T328">
        <f t="shared" si="973"/>
        <v>-2.0373857925598455E-3</v>
      </c>
    </row>
    <row r="329" spans="1:20" x14ac:dyDescent="0.25">
      <c r="A329" s="5">
        <v>44264</v>
      </c>
      <c r="B329">
        <v>52.985999999999997</v>
      </c>
      <c r="C329">
        <v>56.378</v>
      </c>
      <c r="D329">
        <v>51.3</v>
      </c>
      <c r="E329">
        <v>52.38</v>
      </c>
      <c r="F329">
        <v>30157.223000000002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-0.57463568333989568</v>
      </c>
      <c r="Q329">
        <f t="shared" si="970"/>
        <v>-17329.416446238618</v>
      </c>
      <c r="R329">
        <f t="shared" si="971"/>
        <v>-163362.23625598455</v>
      </c>
      <c r="S329">
        <f t="shared" si="972"/>
        <v>-1.6336223625598454</v>
      </c>
      <c r="T329">
        <f t="shared" si="973"/>
        <v>-1.6336223625598454E-3</v>
      </c>
    </row>
    <row r="330" spans="1:20" x14ac:dyDescent="0.25">
      <c r="A330" s="5">
        <v>44263</v>
      </c>
      <c r="B330">
        <v>50.914000000000001</v>
      </c>
      <c r="C330">
        <v>57</v>
      </c>
      <c r="D330">
        <v>48.284999999999997</v>
      </c>
      <c r="E330">
        <v>52.984999999999999</v>
      </c>
      <c r="F330">
        <v>47348.112999999998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7.8600114744693292E-2</v>
      </c>
      <c r="Q330">
        <f t="shared" si="970"/>
        <v>3721.5671147447038</v>
      </c>
      <c r="R330">
        <f t="shared" si="971"/>
        <v>-146032.81980974594</v>
      </c>
      <c r="S330">
        <f t="shared" si="972"/>
        <v>-1.4603281980974594</v>
      </c>
      <c r="T330">
        <f t="shared" si="973"/>
        <v>-1.4603281980974593E-3</v>
      </c>
    </row>
    <row r="331" spans="1:20" x14ac:dyDescent="0.25">
      <c r="A331" s="5">
        <v>44262</v>
      </c>
      <c r="B331">
        <v>50.526000000000003</v>
      </c>
      <c r="C331">
        <v>52.789000000000001</v>
      </c>
      <c r="D331">
        <v>48.225000000000001</v>
      </c>
      <c r="E331">
        <v>50.914000000000001</v>
      </c>
      <c r="F331">
        <v>19528.996999999999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0.17835232252410169</v>
      </c>
      <c r="Q331">
        <f t="shared" si="970"/>
        <v>3483.0419715162143</v>
      </c>
      <c r="R331">
        <f t="shared" si="971"/>
        <v>-149754.38692449065</v>
      </c>
      <c r="S331">
        <f t="shared" si="972"/>
        <v>-1.4975438692449066</v>
      </c>
      <c r="T331">
        <f t="shared" si="973"/>
        <v>-1.4975438692449066E-3</v>
      </c>
    </row>
    <row r="332" spans="1:20" x14ac:dyDescent="0.25">
      <c r="A332" s="5">
        <v>44261</v>
      </c>
      <c r="B332">
        <v>46.314</v>
      </c>
      <c r="C332">
        <v>54.006</v>
      </c>
      <c r="D332">
        <v>44.8</v>
      </c>
      <c r="E332">
        <v>50.44</v>
      </c>
      <c r="F332">
        <v>60763.408000000003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0.22528785574625215</v>
      </c>
      <c r="Q332">
        <f t="shared" si="970"/>
        <v>13689.257896154664</v>
      </c>
      <c r="R332">
        <f t="shared" si="971"/>
        <v>-153237.42889600687</v>
      </c>
      <c r="S332">
        <f t="shared" si="972"/>
        <v>-1.5323742889600687</v>
      </c>
      <c r="T332">
        <f t="shared" si="973"/>
        <v>-1.5323742889600687E-3</v>
      </c>
    </row>
    <row r="333" spans="1:20" x14ac:dyDescent="0.25">
      <c r="A333" s="5">
        <v>44260</v>
      </c>
      <c r="B333">
        <v>44.890999999999998</v>
      </c>
      <c r="C333">
        <v>46.651000000000003</v>
      </c>
      <c r="D333">
        <v>42.896999999999998</v>
      </c>
      <c r="E333">
        <v>46.301000000000002</v>
      </c>
      <c r="F333">
        <v>27079.323</v>
      </c>
      <c r="G333">
        <v>0</v>
      </c>
      <c r="L333" t="s">
        <v>8</v>
      </c>
      <c r="M333" t="s">
        <v>7</v>
      </c>
      <c r="N333" t="s">
        <v>8</v>
      </c>
      <c r="P333">
        <f t="shared" si="969"/>
        <v>0.8135322322855616</v>
      </c>
      <c r="Q333">
        <f t="shared" si="970"/>
        <v>22029.90208897175</v>
      </c>
      <c r="R333">
        <f t="shared" si="971"/>
        <v>-166926.68679216152</v>
      </c>
      <c r="S333">
        <f t="shared" si="972"/>
        <v>-1.6692668679216152</v>
      </c>
      <c r="T333">
        <f t="shared" si="973"/>
        <v>-1.6692668679216152E-3</v>
      </c>
    </row>
    <row r="334" spans="1:20" x14ac:dyDescent="0.25">
      <c r="A334" s="5">
        <v>44259</v>
      </c>
      <c r="B334">
        <v>46.704999999999998</v>
      </c>
      <c r="C334">
        <v>47.981999999999999</v>
      </c>
      <c r="D334">
        <v>42.784999999999997</v>
      </c>
      <c r="E334">
        <v>44.914000000000001</v>
      </c>
      <c r="F334">
        <v>80356.713000000003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-0.18068116220896527</v>
      </c>
      <c r="Q334">
        <f t="shared" si="970"/>
        <v>-14518.944296132269</v>
      </c>
      <c r="R334">
        <f t="shared" si="971"/>
        <v>-188956.58888113327</v>
      </c>
      <c r="S334">
        <f t="shared" si="972"/>
        <v>-1.8895658888113327</v>
      </c>
      <c r="T334">
        <f t="shared" si="973"/>
        <v>-1.8895658888113326E-3</v>
      </c>
    </row>
    <row r="335" spans="1:20" x14ac:dyDescent="0.25">
      <c r="A335" s="5">
        <v>44258</v>
      </c>
      <c r="B335">
        <v>46.500999999999998</v>
      </c>
      <c r="C335">
        <v>50.579000000000001</v>
      </c>
      <c r="D335">
        <v>46.290999999999997</v>
      </c>
      <c r="E335">
        <v>46.662999999999997</v>
      </c>
      <c r="F335">
        <v>59619.072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-0.82649253731343308</v>
      </c>
      <c r="Q335">
        <f t="shared" si="970"/>
        <v>-49274.718089552254</v>
      </c>
      <c r="R335">
        <f t="shared" si="971"/>
        <v>-174437.64458500099</v>
      </c>
      <c r="S335">
        <f t="shared" si="972"/>
        <v>-1.7443764458500099</v>
      </c>
      <c r="T335">
        <f t="shared" si="973"/>
        <v>-1.7443764458500099E-3</v>
      </c>
    </row>
    <row r="336" spans="1:20" x14ac:dyDescent="0.25">
      <c r="A336" s="5">
        <v>44257</v>
      </c>
      <c r="B336">
        <v>45.1</v>
      </c>
      <c r="C336">
        <v>49.741</v>
      </c>
      <c r="D336">
        <v>43.8</v>
      </c>
      <c r="E336">
        <v>46.481000000000002</v>
      </c>
      <c r="F336">
        <v>38328.616999999998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-9.7458340346741834E-2</v>
      </c>
      <c r="Q336">
        <f t="shared" si="970"/>
        <v>-3735.4434006059146</v>
      </c>
      <c r="R336">
        <f t="shared" si="971"/>
        <v>-125162.92649544873</v>
      </c>
      <c r="S336">
        <f t="shared" si="972"/>
        <v>-1.2516292649544873</v>
      </c>
      <c r="T336">
        <f t="shared" si="973"/>
        <v>-1.2516292649544874E-3</v>
      </c>
    </row>
    <row r="337" spans="1:20" x14ac:dyDescent="0.25">
      <c r="A337" s="5">
        <v>44256</v>
      </c>
      <c r="B337">
        <v>42.104999999999997</v>
      </c>
      <c r="C337">
        <v>45.133000000000003</v>
      </c>
      <c r="D337">
        <v>41.091000000000001</v>
      </c>
      <c r="E337">
        <v>45.1</v>
      </c>
      <c r="F337">
        <v>16539.996999999999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0.98367144977733734</v>
      </c>
      <c r="Q337">
        <f t="shared" si="970"/>
        <v>16269.92282830281</v>
      </c>
      <c r="R337">
        <f t="shared" si="971"/>
        <v>-121427.48309484281</v>
      </c>
      <c r="S337">
        <f t="shared" si="972"/>
        <v>-1.2142748309484281</v>
      </c>
      <c r="T337">
        <f t="shared" si="973"/>
        <v>-1.2142748309484281E-3</v>
      </c>
    </row>
    <row r="338" spans="1:20" x14ac:dyDescent="0.25">
      <c r="A338" s="5">
        <v>44255</v>
      </c>
      <c r="B338">
        <v>42.234999999999999</v>
      </c>
      <c r="C338">
        <v>45.497999999999998</v>
      </c>
      <c r="D338">
        <v>37.323999999999998</v>
      </c>
      <c r="E338">
        <v>42</v>
      </c>
      <c r="F338">
        <v>26157.118999999999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0.14411548813310551</v>
      </c>
      <c r="Q338">
        <f t="shared" si="970"/>
        <v>3769.6459728407285</v>
      </c>
      <c r="R338">
        <f t="shared" si="971"/>
        <v>-137697.40592314562</v>
      </c>
      <c r="S338">
        <f t="shared" si="972"/>
        <v>-1.3769740592314561</v>
      </c>
      <c r="T338">
        <f t="shared" si="973"/>
        <v>-1.3769740592314561E-3</v>
      </c>
    </row>
    <row r="339" spans="1:20" x14ac:dyDescent="0.25">
      <c r="A339" s="5">
        <v>44254</v>
      </c>
      <c r="B339">
        <v>41.54</v>
      </c>
      <c r="C339">
        <v>45.161000000000001</v>
      </c>
      <c r="D339">
        <v>41.024000000000001</v>
      </c>
      <c r="E339">
        <v>42.36</v>
      </c>
      <c r="F339">
        <v>14670.763000000001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-0.35412134396906048</v>
      </c>
      <c r="Q339">
        <f t="shared" si="970"/>
        <v>-5195.230310611566</v>
      </c>
      <c r="R339">
        <f t="shared" si="971"/>
        <v>-141467.05189598634</v>
      </c>
      <c r="S339">
        <f t="shared" si="972"/>
        <v>-1.4146705189598634</v>
      </c>
      <c r="T339">
        <f t="shared" si="973"/>
        <v>-1.4146705189598634E-3</v>
      </c>
    </row>
    <row r="340" spans="1:20" x14ac:dyDescent="0.25">
      <c r="A340" s="5">
        <v>44253</v>
      </c>
      <c r="B340">
        <v>44.433</v>
      </c>
      <c r="C340">
        <v>45.600999999999999</v>
      </c>
      <c r="D340">
        <v>40</v>
      </c>
      <c r="E340">
        <v>41.582000000000001</v>
      </c>
      <c r="F340">
        <v>30355.742999999999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-0.43510087484377752</v>
      </c>
      <c r="Q340">
        <f t="shared" si="970"/>
        <v>-13207.810335832875</v>
      </c>
      <c r="R340">
        <f t="shared" si="971"/>
        <v>-136271.82158537477</v>
      </c>
      <c r="S340">
        <f t="shared" si="972"/>
        <v>-1.3627182158537476</v>
      </c>
      <c r="T340">
        <f t="shared" si="973"/>
        <v>-1.3627182158537476E-3</v>
      </c>
    </row>
    <row r="341" spans="1:20" x14ac:dyDescent="0.25">
      <c r="A341" s="5">
        <v>44252</v>
      </c>
      <c r="B341">
        <v>47.314</v>
      </c>
      <c r="C341">
        <v>50.402999999999999</v>
      </c>
      <c r="D341">
        <v>44.307000000000002</v>
      </c>
      <c r="E341">
        <v>44.432000000000002</v>
      </c>
      <c r="F341">
        <v>22308.237000000001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-0.95898950131233596</v>
      </c>
      <c r="Q341">
        <f t="shared" si="970"/>
        <v>-21393.365075787402</v>
      </c>
      <c r="R341">
        <f t="shared" si="971"/>
        <v>-123064.0112495419</v>
      </c>
      <c r="S341">
        <f t="shared" si="972"/>
        <v>-1.2306401124954189</v>
      </c>
      <c r="T341">
        <f t="shared" si="973"/>
        <v>-1.2306401124954189E-3</v>
      </c>
    </row>
    <row r="342" spans="1:20" x14ac:dyDescent="0.25">
      <c r="A342" s="5">
        <v>44251</v>
      </c>
      <c r="B342">
        <v>46.823999999999998</v>
      </c>
      <c r="C342">
        <v>53.338999999999999</v>
      </c>
      <c r="D342">
        <v>45.155000000000001</v>
      </c>
      <c r="E342">
        <v>47.097999999999999</v>
      </c>
      <c r="F342">
        <v>40537.067000000003</v>
      </c>
      <c r="G342">
        <v>0</v>
      </c>
      <c r="L342" t="s">
        <v>7</v>
      </c>
      <c r="M342" t="s">
        <v>7</v>
      </c>
      <c r="N342" t="s">
        <v>8</v>
      </c>
      <c r="P342">
        <f t="shared" si="969"/>
        <v>-0.52517106549364656</v>
      </c>
      <c r="Q342">
        <f t="shared" si="970"/>
        <v>-21288.894668377339</v>
      </c>
      <c r="R342">
        <f t="shared" si="971"/>
        <v>-101670.6461737545</v>
      </c>
      <c r="S342">
        <f t="shared" si="972"/>
        <v>-1.016706461737545</v>
      </c>
      <c r="T342">
        <f t="shared" si="973"/>
        <v>-1.0167064617375449E-3</v>
      </c>
    </row>
    <row r="343" spans="1:20" x14ac:dyDescent="0.25">
      <c r="A343" s="5">
        <v>44250</v>
      </c>
      <c r="B343">
        <v>56.561</v>
      </c>
      <c r="C343">
        <v>56.786999999999999</v>
      </c>
      <c r="D343">
        <v>42.177</v>
      </c>
      <c r="E343">
        <v>46.758000000000003</v>
      </c>
      <c r="F343">
        <v>53160.830999999998</v>
      </c>
      <c r="G343">
        <v>0</v>
      </c>
      <c r="L343" t="s">
        <v>8</v>
      </c>
      <c r="M343" t="s">
        <v>8</v>
      </c>
      <c r="N343" t="s">
        <v>8</v>
      </c>
      <c r="P343">
        <f t="shared" si="969"/>
        <v>-0.37289527720739174</v>
      </c>
      <c r="Q343">
        <f t="shared" si="970"/>
        <v>-19823.422812320303</v>
      </c>
      <c r="R343">
        <f t="shared" si="971"/>
        <v>-80381.751505377164</v>
      </c>
      <c r="S343">
        <f t="shared" si="972"/>
        <v>-0.80381751505377164</v>
      </c>
      <c r="T343">
        <f t="shared" si="973"/>
        <v>-8.0381751505377162E-4</v>
      </c>
    </row>
    <row r="344" spans="1:20" x14ac:dyDescent="0.25">
      <c r="A344" s="5">
        <v>44249</v>
      </c>
      <c r="B344">
        <v>61.808</v>
      </c>
      <c r="C344">
        <v>61.826999999999998</v>
      </c>
      <c r="D344">
        <v>39.741999999999997</v>
      </c>
      <c r="E344">
        <v>56.491</v>
      </c>
      <c r="F344">
        <v>52468.440999999999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0.51677609237038724</v>
      </c>
      <c r="Q344">
        <f t="shared" si="970"/>
        <v>27114.435912746212</v>
      </c>
      <c r="R344">
        <f t="shared" si="971"/>
        <v>-60558.328693056857</v>
      </c>
      <c r="S344">
        <f t="shared" si="972"/>
        <v>-0.60558328693056862</v>
      </c>
      <c r="T344">
        <f t="shared" si="973"/>
        <v>-6.0558328693056864E-4</v>
      </c>
    </row>
    <row r="345" spans="1:20" x14ac:dyDescent="0.25">
      <c r="A345" s="5">
        <v>44248</v>
      </c>
      <c r="B345">
        <v>64.465999999999994</v>
      </c>
      <c r="C345">
        <v>67.471000000000004</v>
      </c>
      <c r="D345">
        <v>60.137</v>
      </c>
      <c r="E345">
        <v>61.767000000000003</v>
      </c>
      <c r="F345">
        <v>48124.718000000001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-0.55549495500409007</v>
      </c>
      <c r="Q345">
        <f t="shared" si="970"/>
        <v>-26733.038059994524</v>
      </c>
      <c r="R345">
        <f t="shared" si="971"/>
        <v>-87672.764605803066</v>
      </c>
      <c r="S345">
        <f t="shared" si="972"/>
        <v>-0.87672764605803066</v>
      </c>
      <c r="T345">
        <f t="shared" si="973"/>
        <v>-8.7672764605803064E-4</v>
      </c>
    </row>
    <row r="346" spans="1:20" x14ac:dyDescent="0.25">
      <c r="A346" s="5">
        <v>44247</v>
      </c>
      <c r="B346">
        <v>67.799000000000007</v>
      </c>
      <c r="C346">
        <v>74.599999999999994</v>
      </c>
      <c r="D346">
        <v>62</v>
      </c>
      <c r="E346">
        <v>64.465999999999994</v>
      </c>
      <c r="F346">
        <v>42877.891000000003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-0.60857142857142932</v>
      </c>
      <c r="Q346">
        <f t="shared" si="970"/>
        <v>-26094.259380000032</v>
      </c>
      <c r="R346">
        <f t="shared" si="971"/>
        <v>-60939.726545808546</v>
      </c>
      <c r="S346">
        <f t="shared" si="972"/>
        <v>-0.60939726545808548</v>
      </c>
      <c r="T346">
        <f t="shared" si="973"/>
        <v>-6.0939726545808544E-4</v>
      </c>
    </row>
    <row r="347" spans="1:20" x14ac:dyDescent="0.25">
      <c r="A347" s="5">
        <v>44246</v>
      </c>
      <c r="B347">
        <v>67.811000000000007</v>
      </c>
      <c r="C347">
        <v>69.180000000000007</v>
      </c>
      <c r="D347">
        <v>63.682000000000002</v>
      </c>
      <c r="E347">
        <v>67.799000000000007</v>
      </c>
      <c r="F347">
        <v>31555.751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0.49763550381957111</v>
      </c>
      <c r="Q347">
        <f t="shared" si="970"/>
        <v>15703.262047289934</v>
      </c>
      <c r="R347">
        <f t="shared" si="971"/>
        <v>-34845.467165808514</v>
      </c>
      <c r="S347">
        <f t="shared" si="972"/>
        <v>-0.34845467165808514</v>
      </c>
      <c r="T347">
        <f t="shared" si="973"/>
        <v>-3.4845467165808516E-4</v>
      </c>
    </row>
    <row r="348" spans="1:20" x14ac:dyDescent="0.25">
      <c r="A348" s="5">
        <v>44245</v>
      </c>
      <c r="B348">
        <v>63.158000000000001</v>
      </c>
      <c r="C348">
        <v>74.295000000000002</v>
      </c>
      <c r="D348">
        <v>62.725000000000001</v>
      </c>
      <c r="E348">
        <v>67.78</v>
      </c>
      <c r="F348">
        <v>70841.623999999996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-0.12618841832324987</v>
      </c>
      <c r="Q348">
        <f t="shared" si="970"/>
        <v>-8939.3924840103773</v>
      </c>
      <c r="R348">
        <f t="shared" si="971"/>
        <v>-50548.72921309845</v>
      </c>
      <c r="S348">
        <f t="shared" si="972"/>
        <v>-0.50548729213098453</v>
      </c>
      <c r="T348">
        <f t="shared" si="973"/>
        <v>-5.0548729213098454E-4</v>
      </c>
    </row>
    <row r="349" spans="1:20" x14ac:dyDescent="0.25">
      <c r="A349" s="5">
        <v>44244</v>
      </c>
      <c r="B349">
        <v>58.218000000000004</v>
      </c>
      <c r="C349">
        <v>63.996000000000002</v>
      </c>
      <c r="D349">
        <v>55.000999999999998</v>
      </c>
      <c r="E349">
        <v>63.470999999999997</v>
      </c>
      <c r="F349">
        <v>37603.447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0.88326848249027112</v>
      </c>
      <c r="Q349">
        <f t="shared" si="970"/>
        <v>33213.939568093338</v>
      </c>
      <c r="R349">
        <f t="shared" si="971"/>
        <v>-41609.336729088071</v>
      </c>
      <c r="S349">
        <f t="shared" si="972"/>
        <v>-0.4160933672908807</v>
      </c>
      <c r="T349">
        <f t="shared" si="973"/>
        <v>-4.1609336729088068E-4</v>
      </c>
    </row>
    <row r="350" spans="1:20" x14ac:dyDescent="0.25">
      <c r="A350" s="5">
        <v>44243</v>
      </c>
      <c r="B350">
        <v>54.908999999999999</v>
      </c>
      <c r="C350">
        <v>70.001999999999995</v>
      </c>
      <c r="D350">
        <v>54.298000000000002</v>
      </c>
      <c r="E350">
        <v>58.216999999999999</v>
      </c>
      <c r="F350">
        <v>90394.411999999997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-0.50089149261334709</v>
      </c>
      <c r="Q350">
        <f t="shared" si="970"/>
        <v>-45277.791950585852</v>
      </c>
      <c r="R350">
        <f t="shared" si="971"/>
        <v>-74823.276297181408</v>
      </c>
      <c r="S350">
        <f t="shared" si="972"/>
        <v>-0.74823276297181407</v>
      </c>
      <c r="T350">
        <f t="shared" si="973"/>
        <v>-7.4823276297181403E-4</v>
      </c>
    </row>
    <row r="351" spans="1:20" x14ac:dyDescent="0.25">
      <c r="A351" s="5">
        <v>44242</v>
      </c>
      <c r="B351">
        <v>57.734000000000002</v>
      </c>
      <c r="C351">
        <v>59.5</v>
      </c>
      <c r="D351">
        <v>50.924999999999997</v>
      </c>
      <c r="E351">
        <v>54.881</v>
      </c>
      <c r="F351">
        <v>74286.432000000001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-7.7317784256559358E-2</v>
      </c>
      <c r="Q351">
        <f t="shared" si="970"/>
        <v>-5743.6623225655676</v>
      </c>
      <c r="R351">
        <f t="shared" si="971"/>
        <v>-29545.484346595556</v>
      </c>
      <c r="S351">
        <f t="shared" si="972"/>
        <v>-0.29545484346595557</v>
      </c>
      <c r="T351">
        <f t="shared" si="973"/>
        <v>-2.9545484346595556E-4</v>
      </c>
    </row>
    <row r="352" spans="1:20" x14ac:dyDescent="0.25">
      <c r="A352" s="5">
        <v>44241</v>
      </c>
      <c r="B352">
        <v>64.474999999999994</v>
      </c>
      <c r="C352">
        <v>67.054000000000002</v>
      </c>
      <c r="D352">
        <v>56.302</v>
      </c>
      <c r="E352">
        <v>57.692</v>
      </c>
      <c r="F352">
        <v>35048.235999999997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-0.74144345238095233</v>
      </c>
      <c r="Q352">
        <f t="shared" si="970"/>
        <v>-25986.285099702378</v>
      </c>
      <c r="R352">
        <f t="shared" si="971"/>
        <v>-23801.822024029989</v>
      </c>
      <c r="S352">
        <f t="shared" si="972"/>
        <v>-0.23801822024029989</v>
      </c>
      <c r="T352">
        <f t="shared" si="973"/>
        <v>-2.380182202402999E-4</v>
      </c>
    </row>
    <row r="353" spans="1:20" x14ac:dyDescent="0.25">
      <c r="A353" s="5">
        <v>44240</v>
      </c>
      <c r="B353">
        <v>61.941000000000003</v>
      </c>
      <c r="C353">
        <v>67.838999999999999</v>
      </c>
      <c r="D353">
        <v>56.423999999999999</v>
      </c>
      <c r="E353">
        <v>64.656000000000006</v>
      </c>
      <c r="F353">
        <v>46707.192999999999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0.442312746386335</v>
      </c>
      <c r="Q353">
        <f t="shared" si="970"/>
        <v>20659.186811826599</v>
      </c>
      <c r="R353">
        <f t="shared" si="971"/>
        <v>2184.4630756723891</v>
      </c>
      <c r="S353">
        <f t="shared" si="972"/>
        <v>2.1844630756723892E-2</v>
      </c>
      <c r="T353">
        <f t="shared" si="973"/>
        <v>2.1844630756723893E-5</v>
      </c>
    </row>
    <row r="354" spans="1:20" x14ac:dyDescent="0.25">
      <c r="A354" s="5">
        <v>44239</v>
      </c>
      <c r="B354">
        <v>59.363999999999997</v>
      </c>
      <c r="C354">
        <v>63.656999999999996</v>
      </c>
      <c r="D354">
        <v>54.631</v>
      </c>
      <c r="E354">
        <v>61.741</v>
      </c>
      <c r="F354">
        <v>44137.694000000003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0.575448703744738</v>
      </c>
      <c r="Q354">
        <f t="shared" si="970"/>
        <v>25398.978798581902</v>
      </c>
      <c r="R354">
        <f t="shared" si="971"/>
        <v>-18474.72373615421</v>
      </c>
      <c r="S354">
        <f t="shared" si="972"/>
        <v>-0.18474723736154211</v>
      </c>
      <c r="T354">
        <f t="shared" si="973"/>
        <v>-1.8474723736154212E-4</v>
      </c>
    </row>
    <row r="355" spans="1:20" x14ac:dyDescent="0.25">
      <c r="A355" s="5">
        <v>44238</v>
      </c>
      <c r="B355">
        <v>52.981999999999999</v>
      </c>
      <c r="C355">
        <v>61.54</v>
      </c>
      <c r="D355">
        <v>52</v>
      </c>
      <c r="E355">
        <v>59.420999999999999</v>
      </c>
      <c r="F355">
        <v>35345.004000000001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0.55576519916142564</v>
      </c>
      <c r="Q355">
        <f t="shared" si="970"/>
        <v>19643.523187421386</v>
      </c>
      <c r="R355">
        <f t="shared" si="971"/>
        <v>-43873.702534736112</v>
      </c>
      <c r="S355">
        <f t="shared" si="972"/>
        <v>-0.43873702534736114</v>
      </c>
      <c r="T355">
        <f t="shared" si="973"/>
        <v>-4.3873702534736112E-4</v>
      </c>
    </row>
    <row r="356" spans="1:20" x14ac:dyDescent="0.25">
      <c r="A356" s="5">
        <v>44237</v>
      </c>
      <c r="B356">
        <v>56.735999999999997</v>
      </c>
      <c r="C356">
        <v>59.287999999999997</v>
      </c>
      <c r="D356">
        <v>51.116999999999997</v>
      </c>
      <c r="E356">
        <v>53.055</v>
      </c>
      <c r="F356">
        <v>46794.858999999997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-0.52563945661485678</v>
      </c>
      <c r="Q356">
        <f t="shared" si="970"/>
        <v>-24597.224257128837</v>
      </c>
      <c r="R356">
        <f t="shared" si="971"/>
        <v>-63517.225722157498</v>
      </c>
      <c r="S356">
        <f t="shared" si="972"/>
        <v>-0.635172257221575</v>
      </c>
      <c r="T356">
        <f t="shared" si="973"/>
        <v>-6.3517225722157502E-4</v>
      </c>
    </row>
    <row r="357" spans="1:20" x14ac:dyDescent="0.25">
      <c r="A357" s="5">
        <v>44236</v>
      </c>
      <c r="B357">
        <v>54.122</v>
      </c>
      <c r="C357">
        <v>56.99</v>
      </c>
      <c r="D357">
        <v>50.848999999999997</v>
      </c>
      <c r="E357">
        <v>56.99</v>
      </c>
      <c r="F357">
        <v>46099.504000000001</v>
      </c>
      <c r="G357">
        <v>0</v>
      </c>
      <c r="L357" t="s">
        <v>8</v>
      </c>
      <c r="M357" t="s">
        <v>7</v>
      </c>
      <c r="N357" t="s">
        <v>7</v>
      </c>
      <c r="P357">
        <f t="shared" si="969"/>
        <v>1</v>
      </c>
      <c r="Q357">
        <f t="shared" si="970"/>
        <v>46099.504000000001</v>
      </c>
      <c r="R357">
        <f t="shared" si="971"/>
        <v>-38920.001465028661</v>
      </c>
      <c r="S357">
        <f t="shared" si="972"/>
        <v>-0.38920001465028659</v>
      </c>
      <c r="T357">
        <f t="shared" si="973"/>
        <v>-3.892000146502866E-4</v>
      </c>
    </row>
    <row r="358" spans="1:20" x14ac:dyDescent="0.25">
      <c r="A358" s="5">
        <v>44235</v>
      </c>
      <c r="B358">
        <v>51.9</v>
      </c>
      <c r="C358">
        <v>54.929000000000002</v>
      </c>
      <c r="D358">
        <v>50.161999999999999</v>
      </c>
      <c r="E358">
        <v>53.991</v>
      </c>
      <c r="F358">
        <v>34725.311999999998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0.60646108663729736</v>
      </c>
      <c r="Q358">
        <f t="shared" si="970"/>
        <v>21059.550449339182</v>
      </c>
      <c r="R358">
        <f t="shared" si="971"/>
        <v>-85019.505465028662</v>
      </c>
      <c r="S358">
        <f t="shared" si="972"/>
        <v>-0.85019505465028666</v>
      </c>
      <c r="T358">
        <f t="shared" si="973"/>
        <v>-8.5019505465028667E-4</v>
      </c>
    </row>
    <row r="359" spans="1:20" x14ac:dyDescent="0.25">
      <c r="A359" s="5">
        <v>44234</v>
      </c>
      <c r="B359">
        <v>55.334000000000003</v>
      </c>
      <c r="C359">
        <v>56.031999999999996</v>
      </c>
      <c r="D359">
        <v>47.878</v>
      </c>
      <c r="E359">
        <v>51.9</v>
      </c>
      <c r="F359">
        <v>70263.054999999993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-1.3490311503556472E-2</v>
      </c>
      <c r="Q359">
        <f t="shared" si="970"/>
        <v>-947.87049914152101</v>
      </c>
      <c r="R359">
        <f t="shared" si="971"/>
        <v>-106079.05591436784</v>
      </c>
      <c r="S359">
        <f t="shared" si="972"/>
        <v>-1.0607905591436784</v>
      </c>
      <c r="T359">
        <f t="shared" si="973"/>
        <v>-1.0607905591436784E-3</v>
      </c>
    </row>
    <row r="360" spans="1:20" x14ac:dyDescent="0.25">
      <c r="A360" s="5">
        <v>44233</v>
      </c>
      <c r="B360">
        <v>60.265000000000001</v>
      </c>
      <c r="C360">
        <v>60.784999999999997</v>
      </c>
      <c r="D360">
        <v>52.790999999999997</v>
      </c>
      <c r="E360">
        <v>55.335000000000001</v>
      </c>
      <c r="F360">
        <v>35382.616999999998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-0.3635226419814851</v>
      </c>
      <c r="Q360">
        <f t="shared" si="970"/>
        <v>-12862.382412059007</v>
      </c>
      <c r="R360">
        <f t="shared" si="971"/>
        <v>-105131.18541522633</v>
      </c>
      <c r="S360">
        <f t="shared" si="972"/>
        <v>-1.0513118541522632</v>
      </c>
      <c r="T360">
        <f t="shared" si="973"/>
        <v>-1.0513118541522633E-3</v>
      </c>
    </row>
    <row r="361" spans="1:20" x14ac:dyDescent="0.25">
      <c r="A361" s="5">
        <v>44232</v>
      </c>
      <c r="B361">
        <v>60.081000000000003</v>
      </c>
      <c r="C361">
        <v>63.084000000000003</v>
      </c>
      <c r="D361">
        <v>58.664000000000001</v>
      </c>
      <c r="E361">
        <v>60.091000000000001</v>
      </c>
      <c r="F361">
        <v>54212.464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-0.35429864253393706</v>
      </c>
      <c r="Q361">
        <f t="shared" si="970"/>
        <v>-19207.40240361993</v>
      </c>
      <c r="R361">
        <f t="shared" si="971"/>
        <v>-92268.803003167312</v>
      </c>
      <c r="S361">
        <f t="shared" si="972"/>
        <v>-0.9226880300316731</v>
      </c>
      <c r="T361">
        <f t="shared" si="973"/>
        <v>-9.2268803003167307E-4</v>
      </c>
    </row>
    <row r="362" spans="1:20" x14ac:dyDescent="0.25">
      <c r="A362" s="5">
        <v>44231</v>
      </c>
      <c r="B362">
        <v>52.387999999999998</v>
      </c>
      <c r="C362">
        <v>69</v>
      </c>
      <c r="D362">
        <v>52.250999999999998</v>
      </c>
      <c r="E362">
        <v>59.912999999999997</v>
      </c>
      <c r="F362">
        <v>144136.37599999999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-8.5079706251119713E-2</v>
      </c>
      <c r="Q362">
        <f t="shared" si="970"/>
        <v>-12263.08053018094</v>
      </c>
      <c r="R362">
        <f t="shared" si="971"/>
        <v>-73061.400599547385</v>
      </c>
      <c r="S362">
        <f t="shared" si="972"/>
        <v>-0.73061400599547388</v>
      </c>
      <c r="T362">
        <f t="shared" si="973"/>
        <v>-7.3061400599547385E-4</v>
      </c>
    </row>
    <row r="363" spans="1:20" x14ac:dyDescent="0.25">
      <c r="A363" s="5">
        <v>44230</v>
      </c>
      <c r="B363">
        <v>44.180999999999997</v>
      </c>
      <c r="C363">
        <v>52.651000000000003</v>
      </c>
      <c r="D363">
        <v>42.601999999999997</v>
      </c>
      <c r="E363">
        <v>52.389000000000003</v>
      </c>
      <c r="F363">
        <v>59487.832999999999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0.94785550801074725</v>
      </c>
      <c r="Q363">
        <f t="shared" si="970"/>
        <v>56385.870168673493</v>
      </c>
      <c r="R363">
        <f t="shared" si="971"/>
        <v>-60798.320069366448</v>
      </c>
      <c r="S363">
        <f t="shared" si="972"/>
        <v>-0.60798320069366452</v>
      </c>
      <c r="T363">
        <f t="shared" si="973"/>
        <v>-6.0798320069366447E-4</v>
      </c>
    </row>
    <row r="364" spans="1:20" x14ac:dyDescent="0.25">
      <c r="A364" s="5">
        <v>44229</v>
      </c>
      <c r="B364">
        <v>41.484999999999999</v>
      </c>
      <c r="C364">
        <v>45.433999999999997</v>
      </c>
      <c r="D364">
        <v>40.770000000000003</v>
      </c>
      <c r="E364">
        <v>44.115000000000002</v>
      </c>
      <c r="F364">
        <v>38670.235000000001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0.43439108061749693</v>
      </c>
      <c r="Q364">
        <f t="shared" si="970"/>
        <v>16798.005169382552</v>
      </c>
      <c r="R364">
        <f t="shared" si="971"/>
        <v>-117184.19023803994</v>
      </c>
      <c r="S364">
        <f t="shared" si="972"/>
        <v>-1.1718419023803994</v>
      </c>
      <c r="T364">
        <f t="shared" si="973"/>
        <v>-1.1718419023803994E-3</v>
      </c>
    </row>
    <row r="365" spans="1:20" x14ac:dyDescent="0.25">
      <c r="A365" s="5">
        <v>44228</v>
      </c>
      <c r="B365">
        <v>39.299999999999997</v>
      </c>
      <c r="C365">
        <v>43.308</v>
      </c>
      <c r="D365">
        <v>37.386000000000003</v>
      </c>
      <c r="E365">
        <v>41.481000000000002</v>
      </c>
      <c r="F365">
        <v>42466.036999999997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0.38297872340425565</v>
      </c>
      <c r="Q365">
        <f t="shared" si="970"/>
        <v>16263.588638297884</v>
      </c>
      <c r="R365">
        <f t="shared" si="971"/>
        <v>-133982.19540742249</v>
      </c>
      <c r="S365">
        <f t="shared" si="972"/>
        <v>-1.3398219540742249</v>
      </c>
      <c r="T365">
        <f t="shared" si="973"/>
        <v>-1.3398219540742249E-3</v>
      </c>
    </row>
    <row r="366" spans="1:20" x14ac:dyDescent="0.25">
      <c r="A366" s="5">
        <v>44227</v>
      </c>
      <c r="B366">
        <v>40.970999999999997</v>
      </c>
      <c r="C366">
        <v>43.401000000000003</v>
      </c>
      <c r="D366">
        <v>38.502000000000002</v>
      </c>
      <c r="E366">
        <v>39.244999999999997</v>
      </c>
      <c r="F366">
        <v>24381.546999999999</v>
      </c>
      <c r="G366">
        <v>0</v>
      </c>
      <c r="L366" t="s">
        <v>8</v>
      </c>
      <c r="M366" t="s">
        <v>7</v>
      </c>
      <c r="N366" t="s">
        <v>8</v>
      </c>
      <c r="P366">
        <f t="shared" si="969"/>
        <v>-0.69667279036538277</v>
      </c>
      <c r="Q366">
        <f t="shared" si="970"/>
        <v>-16985.960381914727</v>
      </c>
      <c r="R366">
        <f t="shared" si="971"/>
        <v>-150245.78404572039</v>
      </c>
      <c r="S366">
        <f t="shared" si="972"/>
        <v>-1.5024578404572038</v>
      </c>
      <c r="T366">
        <f t="shared" si="973"/>
        <v>-1.5024578404572038E-3</v>
      </c>
    </row>
    <row r="367" spans="1:20" x14ac:dyDescent="0.25">
      <c r="A367" s="5">
        <v>44226</v>
      </c>
      <c r="B367">
        <v>42.75</v>
      </c>
      <c r="C367">
        <v>44.764000000000003</v>
      </c>
      <c r="D367">
        <v>38</v>
      </c>
      <c r="E367">
        <v>41.006999999999998</v>
      </c>
      <c r="F367">
        <v>39006.964999999997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-0.11088113542282774</v>
      </c>
      <c r="Q367">
        <f t="shared" si="970"/>
        <v>-4325.1365685985011</v>
      </c>
      <c r="R367">
        <f t="shared" si="971"/>
        <v>-133259.82366380567</v>
      </c>
      <c r="S367">
        <f t="shared" si="972"/>
        <v>-1.3325982366380567</v>
      </c>
      <c r="T367">
        <f t="shared" si="973"/>
        <v>-1.3325982366380567E-3</v>
      </c>
    </row>
    <row r="368" spans="1:20" x14ac:dyDescent="0.25">
      <c r="A368" s="5">
        <v>44225</v>
      </c>
      <c r="B368">
        <v>44.51</v>
      </c>
      <c r="C368">
        <v>45.188000000000002</v>
      </c>
      <c r="D368">
        <v>41.003</v>
      </c>
      <c r="E368">
        <v>42.75</v>
      </c>
      <c r="F368">
        <v>23898.190999999999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-0.16511350059737206</v>
      </c>
      <c r="Q368">
        <f t="shared" si="970"/>
        <v>-3945.9139739546117</v>
      </c>
      <c r="R368">
        <f t="shared" si="971"/>
        <v>-128934.68709520716</v>
      </c>
      <c r="S368">
        <f t="shared" si="972"/>
        <v>-1.2893468709520717</v>
      </c>
      <c r="T368">
        <f t="shared" si="973"/>
        <v>-1.2893468709520718E-3</v>
      </c>
    </row>
    <row r="369" spans="1:20" x14ac:dyDescent="0.25">
      <c r="A369" s="5">
        <v>44224</v>
      </c>
      <c r="B369">
        <v>40.031999999999996</v>
      </c>
      <c r="C369">
        <v>47.183999999999997</v>
      </c>
      <c r="D369">
        <v>39.363999999999997</v>
      </c>
      <c r="E369">
        <v>44.51</v>
      </c>
      <c r="F369">
        <v>32165.452000000001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0.31611253196930961</v>
      </c>
      <c r="Q369">
        <f t="shared" si="970"/>
        <v>10167.902473657294</v>
      </c>
      <c r="R369">
        <f t="shared" si="971"/>
        <v>-124988.77312125255</v>
      </c>
      <c r="S369">
        <f t="shared" si="972"/>
        <v>-1.2498877312125256</v>
      </c>
      <c r="T369">
        <f t="shared" si="973"/>
        <v>-1.2498877312125255E-3</v>
      </c>
    </row>
    <row r="370" spans="1:20" x14ac:dyDescent="0.25">
      <c r="A370" s="5">
        <v>44223</v>
      </c>
      <c r="B370">
        <v>45.088000000000001</v>
      </c>
      <c r="C370">
        <v>45.088000000000001</v>
      </c>
      <c r="D370">
        <v>39.182000000000002</v>
      </c>
      <c r="E370">
        <v>39.991</v>
      </c>
      <c r="F370">
        <v>31958.7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-0.72604131391805027</v>
      </c>
      <c r="Q370">
        <f t="shared" si="970"/>
        <v>-23203.336539112795</v>
      </c>
      <c r="R370">
        <f t="shared" si="971"/>
        <v>-135156.67559490984</v>
      </c>
      <c r="S370">
        <f t="shared" si="972"/>
        <v>-1.3515667559490985</v>
      </c>
      <c r="T370">
        <f t="shared" si="973"/>
        <v>-1.3515667559490985E-3</v>
      </c>
    </row>
    <row r="371" spans="1:20" x14ac:dyDescent="0.25">
      <c r="A371" s="5">
        <v>44222</v>
      </c>
      <c r="B371">
        <v>46.959000000000003</v>
      </c>
      <c r="C371">
        <v>48.408000000000001</v>
      </c>
      <c r="D371">
        <v>42.292999999999999</v>
      </c>
      <c r="E371">
        <v>45.161999999999999</v>
      </c>
      <c r="F371">
        <v>40548.822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-6.1651676206051075E-2</v>
      </c>
      <c r="Q371">
        <f t="shared" si="970"/>
        <v>-2499.9028444808005</v>
      </c>
      <c r="R371">
        <f t="shared" si="971"/>
        <v>-111953.33905579704</v>
      </c>
      <c r="S371">
        <f t="shared" si="972"/>
        <v>-1.1195333905579705</v>
      </c>
      <c r="T371">
        <f t="shared" si="973"/>
        <v>-1.1195333905579705E-3</v>
      </c>
    </row>
    <row r="372" spans="1:20" x14ac:dyDescent="0.25">
      <c r="A372" s="5">
        <v>44221</v>
      </c>
      <c r="B372">
        <v>49.936999999999998</v>
      </c>
      <c r="C372">
        <v>52.3</v>
      </c>
      <c r="D372">
        <v>46.66</v>
      </c>
      <c r="E372">
        <v>47.037999999999997</v>
      </c>
      <c r="F372">
        <v>51887.394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-0.86595744680851061</v>
      </c>
      <c r="Q372">
        <f t="shared" si="970"/>
        <v>-44932.275229787236</v>
      </c>
      <c r="R372">
        <f t="shared" si="971"/>
        <v>-109453.43621131624</v>
      </c>
      <c r="S372">
        <f t="shared" si="972"/>
        <v>-1.0945343621131625</v>
      </c>
      <c r="T372">
        <f t="shared" si="973"/>
        <v>-1.0945343621131625E-3</v>
      </c>
    </row>
    <row r="373" spans="1:20" x14ac:dyDescent="0.25">
      <c r="A373" s="5">
        <v>44220</v>
      </c>
      <c r="B373">
        <v>44.533999999999999</v>
      </c>
      <c r="C373">
        <v>50.625</v>
      </c>
      <c r="D373">
        <v>44.197000000000003</v>
      </c>
      <c r="E373">
        <v>50.076000000000001</v>
      </c>
      <c r="F373">
        <v>44570.43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0.82918481642812703</v>
      </c>
      <c r="Q373">
        <f t="shared" si="970"/>
        <v>36957.123817672684</v>
      </c>
      <c r="R373">
        <f t="shared" si="971"/>
        <v>-64521.160981528992</v>
      </c>
      <c r="S373">
        <f t="shared" si="972"/>
        <v>-0.64521160981528991</v>
      </c>
      <c r="T373">
        <f t="shared" si="973"/>
        <v>-6.4521160981528987E-4</v>
      </c>
    </row>
    <row r="374" spans="1:20" x14ac:dyDescent="0.25">
      <c r="A374" s="5">
        <v>44219</v>
      </c>
      <c r="B374">
        <v>44.784999999999997</v>
      </c>
      <c r="C374">
        <v>51</v>
      </c>
      <c r="D374">
        <v>43.286999999999999</v>
      </c>
      <c r="E374">
        <v>44.561</v>
      </c>
      <c r="F374">
        <v>78119.963000000003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-0.66964864514456091</v>
      </c>
      <c r="Q374">
        <f t="shared" si="970"/>
        <v>-52312.927381693233</v>
      </c>
      <c r="R374">
        <f t="shared" si="971"/>
        <v>-101478.28479920168</v>
      </c>
      <c r="S374">
        <f t="shared" si="972"/>
        <v>-1.0147828479920167</v>
      </c>
      <c r="T374">
        <f t="shared" si="973"/>
        <v>-1.0147828479920168E-3</v>
      </c>
    </row>
    <row r="375" spans="1:20" x14ac:dyDescent="0.25">
      <c r="A375" s="5">
        <v>44218</v>
      </c>
      <c r="B375">
        <v>36.774000000000001</v>
      </c>
      <c r="C375">
        <v>49.878</v>
      </c>
      <c r="D375">
        <v>35</v>
      </c>
      <c r="E375">
        <v>44.917999999999999</v>
      </c>
      <c r="F375">
        <v>124974.664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0.33324371555316562</v>
      </c>
      <c r="Q375">
        <f t="shared" si="970"/>
        <v>41647.021381368446</v>
      </c>
      <c r="R375">
        <f t="shared" si="971"/>
        <v>-49165.357417508443</v>
      </c>
      <c r="S375">
        <f t="shared" si="972"/>
        <v>-0.49165357417508443</v>
      </c>
      <c r="T375">
        <f t="shared" si="973"/>
        <v>-4.9165357417508442E-4</v>
      </c>
    </row>
    <row r="376" spans="1:20" x14ac:dyDescent="0.25">
      <c r="A376" s="5">
        <v>44217</v>
      </c>
      <c r="B376">
        <v>41.529000000000003</v>
      </c>
      <c r="C376">
        <v>42.5</v>
      </c>
      <c r="D376">
        <v>36.155000000000001</v>
      </c>
      <c r="E376">
        <v>36.664000000000001</v>
      </c>
      <c r="F376">
        <v>95810.570999999996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-0.83955870764381391</v>
      </c>
      <c r="Q376">
        <f t="shared" si="970"/>
        <v>-80438.599167375869</v>
      </c>
      <c r="R376">
        <f t="shared" si="971"/>
        <v>-90812.378798876889</v>
      </c>
      <c r="S376">
        <f t="shared" si="972"/>
        <v>-0.90812378798876892</v>
      </c>
      <c r="T376">
        <f t="shared" si="973"/>
        <v>-9.081237879887689E-4</v>
      </c>
    </row>
    <row r="377" spans="1:20" x14ac:dyDescent="0.25">
      <c r="A377" s="5">
        <v>44216</v>
      </c>
      <c r="B377">
        <v>44.42</v>
      </c>
      <c r="C377">
        <v>47.89</v>
      </c>
      <c r="D377">
        <v>38.136000000000003</v>
      </c>
      <c r="E377">
        <v>41.573</v>
      </c>
      <c r="F377">
        <v>156627.83100000001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-0.29526348164855476</v>
      </c>
      <c r="Q377">
        <f t="shared" si="970"/>
        <v>-46246.478704121437</v>
      </c>
      <c r="R377">
        <f t="shared" si="971"/>
        <v>-10373.779631501027</v>
      </c>
      <c r="S377">
        <f t="shared" si="972"/>
        <v>-0.10373779631501027</v>
      </c>
      <c r="T377">
        <f t="shared" si="973"/>
        <v>-1.0373779631501027E-4</v>
      </c>
    </row>
    <row r="378" spans="1:20" x14ac:dyDescent="0.25">
      <c r="A378" s="5">
        <v>44215</v>
      </c>
      <c r="B378">
        <v>33.753999999999998</v>
      </c>
      <c r="C378">
        <v>57.414999999999999</v>
      </c>
      <c r="D378">
        <v>33.5</v>
      </c>
      <c r="E378">
        <v>44.454000000000001</v>
      </c>
      <c r="F378">
        <v>364869.42599999998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-8.3922224545264393E-2</v>
      </c>
      <c r="Q378">
        <f t="shared" si="970"/>
        <v>-30620.653898473727</v>
      </c>
      <c r="R378">
        <f t="shared" si="971"/>
        <v>35872.699072620409</v>
      </c>
      <c r="S378">
        <f t="shared" si="972"/>
        <v>0.35872699072620412</v>
      </c>
      <c r="T378">
        <f t="shared" si="973"/>
        <v>3.5872699072620411E-4</v>
      </c>
    </row>
    <row r="379" spans="1:20" x14ac:dyDescent="0.25">
      <c r="A379" s="5">
        <v>44214</v>
      </c>
      <c r="B379">
        <v>33.082000000000001</v>
      </c>
      <c r="C379">
        <v>34.734999999999999</v>
      </c>
      <c r="D379">
        <v>31.725000000000001</v>
      </c>
      <c r="E379">
        <v>33.755000000000003</v>
      </c>
      <c r="F379">
        <v>22355.672999999999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0.34883720930232726</v>
      </c>
      <c r="Q379">
        <f t="shared" si="970"/>
        <v>7798.4905813953856</v>
      </c>
      <c r="R379">
        <f t="shared" si="971"/>
        <v>66493.352971094137</v>
      </c>
      <c r="S379">
        <f t="shared" si="972"/>
        <v>0.66493352971094133</v>
      </c>
      <c r="T379">
        <f t="shared" si="973"/>
        <v>6.6493352971094138E-4</v>
      </c>
    </row>
    <row r="380" spans="1:20" x14ac:dyDescent="0.25">
      <c r="A380" s="5">
        <v>44213</v>
      </c>
      <c r="B380">
        <v>32.725000000000001</v>
      </c>
      <c r="C380">
        <v>33.978000000000002</v>
      </c>
      <c r="D380">
        <v>31.202000000000002</v>
      </c>
      <c r="E380">
        <v>33.122</v>
      </c>
      <c r="F380">
        <v>17120.732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0.38328530259365873</v>
      </c>
      <c r="Q380">
        <f t="shared" si="970"/>
        <v>6562.1249452449356</v>
      </c>
      <c r="R380">
        <f t="shared" si="971"/>
        <v>58694.862389698756</v>
      </c>
      <c r="S380">
        <f t="shared" si="972"/>
        <v>0.58694862389698754</v>
      </c>
      <c r="T380">
        <f t="shared" si="973"/>
        <v>5.8694862389698757E-4</v>
      </c>
    </row>
    <row r="381" spans="1:20" x14ac:dyDescent="0.25">
      <c r="A381" s="5">
        <v>44212</v>
      </c>
      <c r="B381">
        <v>31.594000000000001</v>
      </c>
      <c r="C381">
        <v>35.927999999999997</v>
      </c>
      <c r="D381">
        <v>30.937999999999999</v>
      </c>
      <c r="E381">
        <v>32.701999999999998</v>
      </c>
      <c r="F381">
        <v>39754.499000000003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-0.29298597194388781</v>
      </c>
      <c r="Q381">
        <f t="shared" si="970"/>
        <v>-11647.510528657318</v>
      </c>
      <c r="R381">
        <f t="shared" si="971"/>
        <v>52132.737444453822</v>
      </c>
      <c r="S381">
        <f t="shared" si="972"/>
        <v>0.52132737444453825</v>
      </c>
      <c r="T381">
        <f t="shared" si="973"/>
        <v>5.2132737444453823E-4</v>
      </c>
    </row>
    <row r="382" spans="1:20" x14ac:dyDescent="0.25">
      <c r="A382" s="5">
        <v>44211</v>
      </c>
      <c r="B382">
        <v>33.354999999999997</v>
      </c>
      <c r="C382">
        <v>35.152000000000001</v>
      </c>
      <c r="D382">
        <v>29.71</v>
      </c>
      <c r="E382">
        <v>31.446000000000002</v>
      </c>
      <c r="F382">
        <v>42904.892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-0.36199926497611151</v>
      </c>
      <c r="Q382">
        <f t="shared" si="970"/>
        <v>-15531.539367879446</v>
      </c>
      <c r="R382">
        <f t="shared" si="971"/>
        <v>63780.247973111138</v>
      </c>
      <c r="S382">
        <f t="shared" si="972"/>
        <v>0.63780247973111137</v>
      </c>
      <c r="T382">
        <f t="shared" si="973"/>
        <v>6.3780247973111142E-4</v>
      </c>
    </row>
    <row r="383" spans="1:20" x14ac:dyDescent="0.25">
      <c r="A383" s="5">
        <v>44210</v>
      </c>
      <c r="B383">
        <v>35.17</v>
      </c>
      <c r="C383">
        <v>36.183</v>
      </c>
      <c r="D383">
        <v>32.301000000000002</v>
      </c>
      <c r="E383">
        <v>33.340000000000003</v>
      </c>
      <c r="F383">
        <v>57346.722000000002</v>
      </c>
      <c r="G383">
        <v>0</v>
      </c>
      <c r="L383" t="s">
        <v>7</v>
      </c>
      <c r="M383" t="s">
        <v>7</v>
      </c>
      <c r="N383" t="s">
        <v>8</v>
      </c>
      <c r="P383">
        <f t="shared" si="969"/>
        <v>-0.46470891293147759</v>
      </c>
      <c r="Q383">
        <f t="shared" si="970"/>
        <v>-26649.532840803651</v>
      </c>
      <c r="R383">
        <f t="shared" si="971"/>
        <v>79311.787340990588</v>
      </c>
      <c r="S383">
        <f t="shared" si="972"/>
        <v>0.79311787340990592</v>
      </c>
      <c r="T383">
        <f t="shared" si="973"/>
        <v>7.931178734099059E-4</v>
      </c>
    </row>
    <row r="384" spans="1:20" x14ac:dyDescent="0.25">
      <c r="A384" s="5">
        <v>44209</v>
      </c>
      <c r="B384">
        <v>29.704999999999998</v>
      </c>
      <c r="C384">
        <v>39</v>
      </c>
      <c r="D384">
        <v>28.491</v>
      </c>
      <c r="E384">
        <v>35.344000000000001</v>
      </c>
      <c r="F384">
        <v>117103.21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0.3042154343895711</v>
      </c>
      <c r="Q384">
        <f t="shared" si="970"/>
        <v>35624.603898563168</v>
      </c>
      <c r="R384">
        <f t="shared" si="971"/>
        <v>105961.32018179423</v>
      </c>
      <c r="S384">
        <f t="shared" si="972"/>
        <v>1.0596132018179423</v>
      </c>
      <c r="T384">
        <f t="shared" si="973"/>
        <v>1.0596132018179422E-3</v>
      </c>
    </row>
    <row r="385" spans="1:20" x14ac:dyDescent="0.25">
      <c r="A385" s="5">
        <v>44208</v>
      </c>
      <c r="B385">
        <v>27.07</v>
      </c>
      <c r="C385">
        <v>31.937000000000001</v>
      </c>
      <c r="D385">
        <v>26.298999999999999</v>
      </c>
      <c r="E385">
        <v>29.704000000000001</v>
      </c>
      <c r="F385">
        <v>66809.414000000004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0.20787513302589575</v>
      </c>
      <c r="Q385">
        <f t="shared" si="970"/>
        <v>13888.015822632142</v>
      </c>
      <c r="R385">
        <f t="shared" si="971"/>
        <v>70336.716283231057</v>
      </c>
      <c r="S385">
        <f t="shared" si="972"/>
        <v>0.7033671628323106</v>
      </c>
      <c r="T385">
        <f t="shared" si="973"/>
        <v>7.0336716283231056E-4</v>
      </c>
    </row>
    <row r="386" spans="1:20" x14ac:dyDescent="0.25">
      <c r="A386" s="5">
        <v>44207</v>
      </c>
      <c r="B386">
        <v>28.678999999999998</v>
      </c>
      <c r="C386">
        <v>30.315000000000001</v>
      </c>
      <c r="D386">
        <v>22.501000000000001</v>
      </c>
      <c r="E386">
        <v>27.068999999999999</v>
      </c>
      <c r="F386">
        <v>69900.304999999993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0.16918351676478061</v>
      </c>
      <c r="Q386">
        <f t="shared" si="970"/>
        <v>11825.979422830776</v>
      </c>
      <c r="R386">
        <f t="shared" si="971"/>
        <v>56448.70046059892</v>
      </c>
      <c r="S386">
        <f t="shared" si="972"/>
        <v>0.56448700460598922</v>
      </c>
      <c r="T386">
        <f t="shared" si="973"/>
        <v>5.6448700460598922E-4</v>
      </c>
    </row>
    <row r="387" spans="1:20" x14ac:dyDescent="0.25">
      <c r="A387" s="5">
        <v>44206</v>
      </c>
      <c r="B387">
        <v>29.602</v>
      </c>
      <c r="C387">
        <v>30.605</v>
      </c>
      <c r="D387">
        <v>25.936</v>
      </c>
      <c r="E387">
        <v>28.663</v>
      </c>
      <c r="F387">
        <v>69631.873000000007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0.16813022060398375</v>
      </c>
      <c r="Q387">
        <f t="shared" si="970"/>
        <v>11707.222168558581</v>
      </c>
      <c r="R387">
        <f t="shared" si="971"/>
        <v>44622.72103776814</v>
      </c>
      <c r="S387">
        <f t="shared" si="972"/>
        <v>0.44622721037768143</v>
      </c>
      <c r="T387">
        <f t="shared" si="973"/>
        <v>4.4622721037768142E-4</v>
      </c>
    </row>
    <row r="388" spans="1:20" x14ac:dyDescent="0.25">
      <c r="A388" s="5">
        <v>44205</v>
      </c>
      <c r="B388">
        <v>29.940999999999999</v>
      </c>
      <c r="C388">
        <v>30.998999999999999</v>
      </c>
      <c r="D388">
        <v>28.690999999999999</v>
      </c>
      <c r="E388">
        <v>29.672000000000001</v>
      </c>
      <c r="F388">
        <v>21569.304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-0.14991334488734687</v>
      </c>
      <c r="Q388">
        <f t="shared" si="970"/>
        <v>-3233.5265095320306</v>
      </c>
      <c r="R388">
        <f t="shared" si="971"/>
        <v>32915.498869209558</v>
      </c>
      <c r="S388">
        <f t="shared" si="972"/>
        <v>0.32915498869209558</v>
      </c>
      <c r="T388">
        <f t="shared" si="973"/>
        <v>3.291549886920956E-4</v>
      </c>
    </row>
    <row r="389" spans="1:20" x14ac:dyDescent="0.25">
      <c r="A389" s="5">
        <v>44204</v>
      </c>
      <c r="B389">
        <v>29.763999999999999</v>
      </c>
      <c r="C389">
        <v>30.652999999999999</v>
      </c>
      <c r="D389">
        <v>25.6</v>
      </c>
      <c r="E389">
        <v>29.927</v>
      </c>
      <c r="F389">
        <v>41475.705999999998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0.71264595289926802</v>
      </c>
      <c r="Q389">
        <f t="shared" si="970"/>
        <v>29557.494024539887</v>
      </c>
      <c r="R389">
        <f t="shared" si="971"/>
        <v>36149.025378741586</v>
      </c>
      <c r="S389">
        <f t="shared" si="972"/>
        <v>0.36149025378741584</v>
      </c>
      <c r="T389">
        <f t="shared" si="973"/>
        <v>3.6149025378741584E-4</v>
      </c>
    </row>
    <row r="390" spans="1:20" x14ac:dyDescent="0.25">
      <c r="A390" s="5">
        <v>44203</v>
      </c>
      <c r="B390">
        <v>31.189</v>
      </c>
      <c r="C390">
        <v>31.731999999999999</v>
      </c>
      <c r="D390">
        <v>27.385000000000002</v>
      </c>
      <c r="E390">
        <v>29.706</v>
      </c>
      <c r="F390">
        <v>35657.445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6.7862893949850081E-2</v>
      </c>
      <c r="Q390">
        <f t="shared" ref="Q390:Q453" si="975">F390*P390</f>
        <v>2419.817408557612</v>
      </c>
      <c r="R390">
        <f t="shared" ref="R390:R453" si="976">R391+Q390</f>
        <v>6591.5313542016956</v>
      </c>
      <c r="S390">
        <f t="shared" ref="S390:S453" si="977">R390/100000</f>
        <v>6.5915313542016962E-2</v>
      </c>
      <c r="T390">
        <f t="shared" ref="T390:T453" si="978">S390/1000</f>
        <v>6.5915313542016957E-5</v>
      </c>
    </row>
    <row r="391" spans="1:20" x14ac:dyDescent="0.25">
      <c r="A391" s="5">
        <v>44202</v>
      </c>
      <c r="B391">
        <v>31.888000000000002</v>
      </c>
      <c r="C391">
        <v>32.896999999999998</v>
      </c>
      <c r="D391">
        <v>30.225999999999999</v>
      </c>
      <c r="E391">
        <v>31.192</v>
      </c>
      <c r="F391">
        <v>23355.24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-0.27667540247098366</v>
      </c>
      <c r="Q391">
        <f t="shared" si="975"/>
        <v>-6461.8204268064164</v>
      </c>
      <c r="R391">
        <f t="shared" si="976"/>
        <v>4171.7139456440837</v>
      </c>
      <c r="S391">
        <f t="shared" si="977"/>
        <v>4.1717139456440837E-2</v>
      </c>
      <c r="T391">
        <f t="shared" si="978"/>
        <v>4.1717139456440835E-5</v>
      </c>
    </row>
    <row r="392" spans="1:20" x14ac:dyDescent="0.25">
      <c r="A392" s="5">
        <v>44201</v>
      </c>
      <c r="B392">
        <v>30.391999999999999</v>
      </c>
      <c r="C392">
        <v>33.167999999999999</v>
      </c>
      <c r="D392">
        <v>27.065000000000001</v>
      </c>
      <c r="E392">
        <v>31.838999999999999</v>
      </c>
      <c r="F392">
        <v>84495.555999999997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0.56447648697361918</v>
      </c>
      <c r="Q392">
        <f t="shared" si="975"/>
        <v>47695.754615762708</v>
      </c>
      <c r="R392">
        <f t="shared" si="976"/>
        <v>10633.5343724505</v>
      </c>
      <c r="S392">
        <f t="shared" si="977"/>
        <v>0.106335343724505</v>
      </c>
      <c r="T392">
        <f t="shared" si="978"/>
        <v>1.06335343724505E-4</v>
      </c>
    </row>
    <row r="393" spans="1:20" x14ac:dyDescent="0.25">
      <c r="A393" s="5">
        <v>44200</v>
      </c>
      <c r="B393">
        <v>26.093</v>
      </c>
      <c r="C393">
        <v>33.805</v>
      </c>
      <c r="D393">
        <v>23.2</v>
      </c>
      <c r="E393">
        <v>30.355</v>
      </c>
      <c r="F393">
        <v>186629.7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0.34936350777934955</v>
      </c>
      <c r="Q393">
        <f t="shared" si="975"/>
        <v>65201.606647807675</v>
      </c>
      <c r="R393">
        <f t="shared" si="976"/>
        <v>-37062.220243312207</v>
      </c>
      <c r="S393">
        <f t="shared" si="977"/>
        <v>-0.37062220243312205</v>
      </c>
      <c r="T393">
        <f t="shared" si="978"/>
        <v>-3.7062220243312205E-4</v>
      </c>
    </row>
    <row r="394" spans="1:20" x14ac:dyDescent="0.25">
      <c r="A394" s="5">
        <v>44199</v>
      </c>
      <c r="B394">
        <v>23.030999999999999</v>
      </c>
      <c r="C394">
        <v>27.388999999999999</v>
      </c>
      <c r="D394">
        <v>21.643000000000001</v>
      </c>
      <c r="E394">
        <v>26.119</v>
      </c>
      <c r="F394">
        <v>61098.313999999998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0.5579533588583363</v>
      </c>
      <c r="Q394">
        <f t="shared" si="975"/>
        <v>34090.009516881313</v>
      </c>
      <c r="R394">
        <f t="shared" si="976"/>
        <v>-102263.82689111988</v>
      </c>
      <c r="S394">
        <f t="shared" si="977"/>
        <v>-1.0226382689111988</v>
      </c>
      <c r="T394">
        <f t="shared" si="978"/>
        <v>-1.0226382689111988E-3</v>
      </c>
    </row>
    <row r="395" spans="1:20" x14ac:dyDescent="0.25">
      <c r="A395" s="5">
        <v>44198</v>
      </c>
      <c r="B395">
        <v>23.8</v>
      </c>
      <c r="C395">
        <v>23.808</v>
      </c>
      <c r="D395">
        <v>21.928000000000001</v>
      </c>
      <c r="E395">
        <v>22.968</v>
      </c>
      <c r="F395">
        <v>32886.946000000004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0.10638297872340394</v>
      </c>
      <c r="Q395">
        <f t="shared" si="975"/>
        <v>3498.6112765957346</v>
      </c>
      <c r="R395">
        <f t="shared" si="976"/>
        <v>-136353.8364080012</v>
      </c>
      <c r="S395">
        <f t="shared" si="977"/>
        <v>-1.3635383640800121</v>
      </c>
      <c r="T395">
        <f t="shared" si="978"/>
        <v>-1.3635383640800121E-3</v>
      </c>
    </row>
    <row r="396" spans="1:20" x14ac:dyDescent="0.25">
      <c r="A396" s="5">
        <v>44197</v>
      </c>
      <c r="B396">
        <v>23.087</v>
      </c>
      <c r="C396">
        <v>24.2</v>
      </c>
      <c r="D396">
        <v>21.532</v>
      </c>
      <c r="E396">
        <v>23.698</v>
      </c>
      <c r="F396">
        <v>33452.239999999998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0.62368815592203974</v>
      </c>
      <c r="Q396">
        <f t="shared" si="975"/>
        <v>20863.765877061494</v>
      </c>
      <c r="R396">
        <f t="shared" si="976"/>
        <v>-139852.44768459693</v>
      </c>
      <c r="S396">
        <f t="shared" si="977"/>
        <v>-1.3985244768459693</v>
      </c>
      <c r="T396">
        <f t="shared" si="978"/>
        <v>-1.3985244768459693E-3</v>
      </c>
    </row>
    <row r="397" spans="1:20" x14ac:dyDescent="0.25">
      <c r="A397" s="5">
        <v>44196</v>
      </c>
      <c r="B397">
        <v>22.109000000000002</v>
      </c>
      <c r="C397">
        <v>23.553999999999998</v>
      </c>
      <c r="D397">
        <v>20.347999999999999</v>
      </c>
      <c r="E397">
        <v>23.067</v>
      </c>
      <c r="F397">
        <v>71205.684999999998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0.69619463505926493</v>
      </c>
      <c r="Q397">
        <f t="shared" si="975"/>
        <v>49573.01588271997</v>
      </c>
      <c r="R397">
        <f t="shared" si="976"/>
        <v>-160716.21356165843</v>
      </c>
      <c r="S397">
        <f t="shared" si="977"/>
        <v>-1.6071621356165842</v>
      </c>
      <c r="T397">
        <f t="shared" si="978"/>
        <v>-1.6071621356165842E-3</v>
      </c>
    </row>
    <row r="398" spans="1:20" x14ac:dyDescent="0.25">
      <c r="A398" s="5">
        <v>44195</v>
      </c>
      <c r="B398">
        <v>18.951000000000001</v>
      </c>
      <c r="C398">
        <v>24.366</v>
      </c>
      <c r="D398">
        <v>18.143000000000001</v>
      </c>
      <c r="E398">
        <v>22.004000000000001</v>
      </c>
      <c r="F398">
        <v>129752.433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0.24088060421018842</v>
      </c>
      <c r="Q398">
        <f t="shared" si="975"/>
        <v>31254.84445878199</v>
      </c>
      <c r="R398">
        <f t="shared" si="976"/>
        <v>-210289.2294443784</v>
      </c>
      <c r="S398">
        <f t="shared" si="977"/>
        <v>-2.1028922944437842</v>
      </c>
      <c r="T398">
        <f t="shared" si="978"/>
        <v>-2.1028922944437843E-3</v>
      </c>
    </row>
    <row r="399" spans="1:20" x14ac:dyDescent="0.25">
      <c r="A399" s="5">
        <v>44194</v>
      </c>
      <c r="B399">
        <v>17.568999999999999</v>
      </c>
      <c r="C399">
        <v>19.213999999999999</v>
      </c>
      <c r="D399">
        <v>15.792</v>
      </c>
      <c r="E399">
        <v>18.95</v>
      </c>
      <c r="F399">
        <v>72592.051000000007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0.84570426651081276</v>
      </c>
      <c r="Q399">
        <f t="shared" si="975"/>
        <v>61391.407245470517</v>
      </c>
      <c r="R399">
        <f t="shared" si="976"/>
        <v>-241544.0739031604</v>
      </c>
      <c r="S399">
        <f t="shared" si="977"/>
        <v>-2.4154407390316042</v>
      </c>
      <c r="T399">
        <f t="shared" si="978"/>
        <v>-2.4154407390316042E-3</v>
      </c>
    </row>
    <row r="400" spans="1:20" x14ac:dyDescent="0.25">
      <c r="A400" s="5">
        <v>44193</v>
      </c>
      <c r="B400">
        <v>17.085999999999999</v>
      </c>
      <c r="C400">
        <v>20.22</v>
      </c>
      <c r="D400">
        <v>16.974</v>
      </c>
      <c r="E400">
        <v>17.585999999999999</v>
      </c>
      <c r="F400">
        <v>83318.659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-0.62292051756007483</v>
      </c>
      <c r="Q400">
        <f t="shared" si="975"/>
        <v>-51900.902186691383</v>
      </c>
      <c r="R400">
        <f t="shared" si="976"/>
        <v>-302935.4811486309</v>
      </c>
      <c r="S400">
        <f t="shared" si="977"/>
        <v>-3.0293548114863089</v>
      </c>
      <c r="T400">
        <f t="shared" si="978"/>
        <v>-3.0293548114863089E-3</v>
      </c>
    </row>
    <row r="401" spans="1:20" x14ac:dyDescent="0.25">
      <c r="A401" s="5">
        <v>44192</v>
      </c>
      <c r="B401">
        <v>16.437000000000001</v>
      </c>
      <c r="C401">
        <v>17.588000000000001</v>
      </c>
      <c r="D401">
        <v>16.218</v>
      </c>
      <c r="E401">
        <v>17.012</v>
      </c>
      <c r="F401">
        <v>24439.141</v>
      </c>
      <c r="G401">
        <v>0</v>
      </c>
      <c r="L401" t="s">
        <v>8</v>
      </c>
      <c r="M401" t="s">
        <v>7</v>
      </c>
      <c r="N401" t="s">
        <v>7</v>
      </c>
      <c r="P401">
        <f t="shared" si="974"/>
        <v>0.15912408759124075</v>
      </c>
      <c r="Q401">
        <f t="shared" si="975"/>
        <v>3888.856013138683</v>
      </c>
      <c r="R401">
        <f t="shared" si="976"/>
        <v>-251034.57896193952</v>
      </c>
      <c r="S401">
        <f t="shared" si="977"/>
        <v>-2.5103457896193953</v>
      </c>
      <c r="T401">
        <f t="shared" si="978"/>
        <v>-2.5103457896193952E-3</v>
      </c>
    </row>
    <row r="402" spans="1:20" x14ac:dyDescent="0.25">
      <c r="A402" s="5">
        <v>44191</v>
      </c>
      <c r="B402">
        <v>16.698</v>
      </c>
      <c r="C402">
        <v>16.774999999999999</v>
      </c>
      <c r="D402">
        <v>16.100999999999999</v>
      </c>
      <c r="E402">
        <v>16.439</v>
      </c>
      <c r="F402">
        <v>32486.175999999999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2.9673590504487326E-3</v>
      </c>
      <c r="Q402">
        <f t="shared" si="975"/>
        <v>96.398148368070409</v>
      </c>
      <c r="R402">
        <f t="shared" si="976"/>
        <v>-254923.43497507821</v>
      </c>
      <c r="S402">
        <f t="shared" si="977"/>
        <v>-2.5492343497507823</v>
      </c>
      <c r="T402">
        <f t="shared" si="978"/>
        <v>-2.5492343497507822E-3</v>
      </c>
    </row>
    <row r="403" spans="1:20" x14ac:dyDescent="0.25">
      <c r="A403" s="5">
        <v>44190</v>
      </c>
      <c r="B403">
        <v>16.431000000000001</v>
      </c>
      <c r="C403">
        <v>16.850000000000001</v>
      </c>
      <c r="D403">
        <v>16.175000000000001</v>
      </c>
      <c r="E403">
        <v>16.716999999999999</v>
      </c>
      <c r="F403">
        <v>19500.448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0.60592592592591843</v>
      </c>
      <c r="Q403">
        <f t="shared" si="975"/>
        <v>11815.827010370225</v>
      </c>
      <c r="R403">
        <f t="shared" si="976"/>
        <v>-255019.8331234463</v>
      </c>
      <c r="S403">
        <f t="shared" si="977"/>
        <v>-2.5501983312344629</v>
      </c>
      <c r="T403">
        <f t="shared" si="978"/>
        <v>-2.5501983312344631E-3</v>
      </c>
    </row>
    <row r="404" spans="1:20" x14ac:dyDescent="0.25">
      <c r="A404" s="5">
        <v>44189</v>
      </c>
      <c r="B404">
        <v>16.074000000000002</v>
      </c>
      <c r="C404">
        <v>16.670000000000002</v>
      </c>
      <c r="D404">
        <v>15.766999999999999</v>
      </c>
      <c r="E404">
        <v>16.452000000000002</v>
      </c>
      <c r="F404">
        <v>79071.688999999998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0.51716500553709988</v>
      </c>
      <c r="Q404">
        <f t="shared" si="975"/>
        <v>40893.110479512841</v>
      </c>
      <c r="R404">
        <f t="shared" si="976"/>
        <v>-266835.66013381653</v>
      </c>
      <c r="S404">
        <f t="shared" si="977"/>
        <v>-2.6683566013381652</v>
      </c>
      <c r="T404">
        <f t="shared" si="978"/>
        <v>-2.6683566013381652E-3</v>
      </c>
    </row>
    <row r="405" spans="1:20" x14ac:dyDescent="0.25">
      <c r="A405" s="5">
        <v>44188</v>
      </c>
      <c r="B405">
        <v>17.408000000000001</v>
      </c>
      <c r="C405">
        <v>17.600999999999999</v>
      </c>
      <c r="D405">
        <v>15</v>
      </c>
      <c r="E405">
        <v>16.047999999999998</v>
      </c>
      <c r="F405">
        <v>50891.764000000003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-0.19415609381007409</v>
      </c>
      <c r="Q405">
        <f t="shared" si="975"/>
        <v>-9880.9461053441519</v>
      </c>
      <c r="R405">
        <f t="shared" si="976"/>
        <v>-307728.77061332937</v>
      </c>
      <c r="S405">
        <f t="shared" si="977"/>
        <v>-3.0772877061332937</v>
      </c>
      <c r="T405">
        <f t="shared" si="978"/>
        <v>-3.0772877061332939E-3</v>
      </c>
    </row>
    <row r="406" spans="1:20" x14ac:dyDescent="0.25">
      <c r="A406" s="5">
        <v>44187</v>
      </c>
      <c r="B406">
        <v>16.937999999999999</v>
      </c>
      <c r="C406">
        <v>18</v>
      </c>
      <c r="D406">
        <v>16.489999999999998</v>
      </c>
      <c r="E406">
        <v>17.408000000000001</v>
      </c>
      <c r="F406">
        <v>40386.228000000003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0.21589403973510179</v>
      </c>
      <c r="Q406">
        <f t="shared" si="975"/>
        <v>8719.1459125828806</v>
      </c>
      <c r="R406">
        <f t="shared" si="976"/>
        <v>-297847.82450798521</v>
      </c>
      <c r="S406">
        <f t="shared" si="977"/>
        <v>-2.9784782450798519</v>
      </c>
      <c r="T406">
        <f t="shared" si="978"/>
        <v>-2.9784782450798519E-3</v>
      </c>
    </row>
    <row r="407" spans="1:20" x14ac:dyDescent="0.25">
      <c r="A407" s="5">
        <v>44186</v>
      </c>
      <c r="B407">
        <v>17.876000000000001</v>
      </c>
      <c r="C407">
        <v>18.34</v>
      </c>
      <c r="D407">
        <v>16.899999999999999</v>
      </c>
      <c r="E407">
        <v>16.937999999999999</v>
      </c>
      <c r="F407">
        <v>45835.707999999999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-0.94722222222222197</v>
      </c>
      <c r="Q407">
        <f t="shared" si="975"/>
        <v>-43416.601188888875</v>
      </c>
      <c r="R407">
        <f t="shared" si="976"/>
        <v>-306566.97042056808</v>
      </c>
      <c r="S407">
        <f t="shared" si="977"/>
        <v>-3.0656697042056806</v>
      </c>
      <c r="T407">
        <f t="shared" si="978"/>
        <v>-3.0656697042056808E-3</v>
      </c>
    </row>
    <row r="408" spans="1:20" x14ac:dyDescent="0.25">
      <c r="A408" s="5">
        <v>44185</v>
      </c>
      <c r="B408">
        <v>17.920999999999999</v>
      </c>
      <c r="C408">
        <v>18.338999999999999</v>
      </c>
      <c r="D408">
        <v>17.289000000000001</v>
      </c>
      <c r="E408">
        <v>17.881</v>
      </c>
      <c r="F408">
        <v>72633.004000000001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0.1276190476190483</v>
      </c>
      <c r="Q408">
        <f t="shared" si="975"/>
        <v>9269.354796190526</v>
      </c>
      <c r="R408">
        <f t="shared" si="976"/>
        <v>-263150.36923167919</v>
      </c>
      <c r="S408">
        <f t="shared" si="977"/>
        <v>-2.6315036923167918</v>
      </c>
      <c r="T408">
        <f t="shared" si="978"/>
        <v>-2.6315036923167919E-3</v>
      </c>
    </row>
    <row r="409" spans="1:20" x14ac:dyDescent="0.25">
      <c r="A409" s="5">
        <v>44184</v>
      </c>
      <c r="B409">
        <v>17.997</v>
      </c>
      <c r="C409">
        <v>18.55</v>
      </c>
      <c r="D409">
        <v>17.71</v>
      </c>
      <c r="E409">
        <v>17.971</v>
      </c>
      <c r="F409">
        <v>58539.398000000001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-0.37857142857143028</v>
      </c>
      <c r="Q409">
        <f t="shared" si="975"/>
        <v>-22161.343528571528</v>
      </c>
      <c r="R409">
        <f t="shared" si="976"/>
        <v>-272419.7240278697</v>
      </c>
      <c r="S409">
        <f t="shared" si="977"/>
        <v>-2.7241972402786971</v>
      </c>
      <c r="T409">
        <f t="shared" si="978"/>
        <v>-2.7241972402786969E-3</v>
      </c>
    </row>
    <row r="410" spans="1:20" x14ac:dyDescent="0.25">
      <c r="A410" s="5">
        <v>44183</v>
      </c>
      <c r="B410">
        <v>17.303999999999998</v>
      </c>
      <c r="C410">
        <v>18.184999999999999</v>
      </c>
      <c r="D410">
        <v>16.986999999999998</v>
      </c>
      <c r="E410">
        <v>17.998000000000001</v>
      </c>
      <c r="F410">
        <v>71505.58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0.6878130217028422</v>
      </c>
      <c r="Q410">
        <f t="shared" si="975"/>
        <v>49182.469048414321</v>
      </c>
      <c r="R410">
        <f t="shared" si="976"/>
        <v>-250258.38049929816</v>
      </c>
      <c r="S410">
        <f t="shared" si="977"/>
        <v>-2.5025838049929816</v>
      </c>
      <c r="T410">
        <f t="shared" si="978"/>
        <v>-2.5025838049929816E-3</v>
      </c>
    </row>
    <row r="411" spans="1:20" x14ac:dyDescent="0.25">
      <c r="A411" s="5">
        <v>44182</v>
      </c>
      <c r="B411">
        <v>17.198</v>
      </c>
      <c r="C411">
        <v>18.600000000000001</v>
      </c>
      <c r="D411">
        <v>16.818000000000001</v>
      </c>
      <c r="E411">
        <v>17.288</v>
      </c>
      <c r="F411">
        <v>173902.33300000001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-0.47250280583614046</v>
      </c>
      <c r="Q411">
        <f t="shared" si="975"/>
        <v>-82169.340283950849</v>
      </c>
      <c r="R411">
        <f t="shared" si="976"/>
        <v>-299440.84954771248</v>
      </c>
      <c r="S411">
        <f t="shared" si="977"/>
        <v>-2.9944084954771246</v>
      </c>
      <c r="T411">
        <f t="shared" si="978"/>
        <v>-2.9944084954771247E-3</v>
      </c>
    </row>
    <row r="412" spans="1:20" x14ac:dyDescent="0.25">
      <c r="A412" s="5">
        <v>44181</v>
      </c>
      <c r="B412">
        <v>16.795999999999999</v>
      </c>
      <c r="C412">
        <v>17.234999999999999</v>
      </c>
      <c r="D412">
        <v>15.792999999999999</v>
      </c>
      <c r="E412">
        <v>17.131</v>
      </c>
      <c r="F412">
        <v>162004.878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0.85575589459084722</v>
      </c>
      <c r="Q412">
        <f t="shared" si="975"/>
        <v>138636.62930097105</v>
      </c>
      <c r="R412">
        <f t="shared" si="976"/>
        <v>-217271.50926376163</v>
      </c>
      <c r="S412">
        <f t="shared" si="977"/>
        <v>-2.1727150926376164</v>
      </c>
      <c r="T412">
        <f t="shared" si="978"/>
        <v>-2.1727150926376163E-3</v>
      </c>
    </row>
    <row r="413" spans="1:20" x14ac:dyDescent="0.25">
      <c r="A413" s="5">
        <v>44180</v>
      </c>
      <c r="B413">
        <v>17.498000000000001</v>
      </c>
      <c r="C413">
        <v>18</v>
      </c>
      <c r="D413">
        <v>16.100000000000001</v>
      </c>
      <c r="E413">
        <v>16.8</v>
      </c>
      <c r="F413">
        <v>180207.11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-0.26315789473684231</v>
      </c>
      <c r="Q413">
        <f t="shared" si="975"/>
        <v>-47422.92368421056</v>
      </c>
      <c r="R413">
        <f t="shared" si="976"/>
        <v>-355908.13856473268</v>
      </c>
      <c r="S413">
        <f t="shared" si="977"/>
        <v>-3.5590813856473269</v>
      </c>
      <c r="T413">
        <f t="shared" si="978"/>
        <v>-3.559081385647327E-3</v>
      </c>
    </row>
    <row r="414" spans="1:20" x14ac:dyDescent="0.25">
      <c r="A414" s="5">
        <v>44179</v>
      </c>
      <c r="B414">
        <v>19.545000000000002</v>
      </c>
      <c r="C414">
        <v>19.555</v>
      </c>
      <c r="D414">
        <v>16</v>
      </c>
      <c r="E414">
        <v>17.498000000000001</v>
      </c>
      <c r="F414">
        <v>390547.01500000001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-0.15724331926863502</v>
      </c>
      <c r="Q414">
        <f t="shared" si="975"/>
        <v>-61410.908969057396</v>
      </c>
      <c r="R414">
        <f t="shared" si="976"/>
        <v>-308485.21488052211</v>
      </c>
      <c r="S414">
        <f t="shared" si="977"/>
        <v>-3.0848521488052212</v>
      </c>
      <c r="T414">
        <f t="shared" si="978"/>
        <v>-3.0848521488052211E-3</v>
      </c>
    </row>
    <row r="415" spans="1:20" x14ac:dyDescent="0.25">
      <c r="A415" s="5">
        <v>44178</v>
      </c>
      <c r="B415">
        <v>19.45</v>
      </c>
      <c r="C415">
        <v>19.890999999999998</v>
      </c>
      <c r="D415">
        <v>18.971</v>
      </c>
      <c r="E415">
        <v>19.54</v>
      </c>
      <c r="F415">
        <v>20585.948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0.23695652173913087</v>
      </c>
      <c r="Q415">
        <f t="shared" si="975"/>
        <v>4877.9746347826176</v>
      </c>
      <c r="R415">
        <f t="shared" si="976"/>
        <v>-247074.30591146473</v>
      </c>
      <c r="S415">
        <f t="shared" si="977"/>
        <v>-2.4707430591146475</v>
      </c>
      <c r="T415">
        <f t="shared" si="978"/>
        <v>-2.4707430591146477E-3</v>
      </c>
    </row>
    <row r="416" spans="1:20" x14ac:dyDescent="0.25">
      <c r="A416" s="5">
        <v>44177</v>
      </c>
      <c r="B416">
        <v>18.780999999999999</v>
      </c>
      <c r="C416">
        <v>19.966999999999999</v>
      </c>
      <c r="D416">
        <v>18.768000000000001</v>
      </c>
      <c r="E416">
        <v>19.422000000000001</v>
      </c>
      <c r="F416">
        <v>17821.163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9.0909090909092521E-2</v>
      </c>
      <c r="Q416">
        <f t="shared" si="975"/>
        <v>1620.105727272756</v>
      </c>
      <c r="R416">
        <f t="shared" si="976"/>
        <v>-251952.28054624735</v>
      </c>
      <c r="S416">
        <f t="shared" si="977"/>
        <v>-2.5195228054624734</v>
      </c>
      <c r="T416">
        <f t="shared" si="978"/>
        <v>-2.5195228054624734E-3</v>
      </c>
    </row>
    <row r="417" spans="1:20" x14ac:dyDescent="0.25">
      <c r="A417" s="5">
        <v>44176</v>
      </c>
      <c r="B417">
        <v>18.472999999999999</v>
      </c>
      <c r="C417">
        <v>19.489999999999998</v>
      </c>
      <c r="D417">
        <v>17.492999999999999</v>
      </c>
      <c r="E417">
        <v>18.780999999999999</v>
      </c>
      <c r="F417">
        <v>35735.328999999998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0.28993490235353064</v>
      </c>
      <c r="Q417">
        <f t="shared" si="975"/>
        <v>10360.919124186292</v>
      </c>
      <c r="R417">
        <f t="shared" si="976"/>
        <v>-253572.3862735201</v>
      </c>
      <c r="S417">
        <f t="shared" si="977"/>
        <v>-2.535723862735201</v>
      </c>
      <c r="T417">
        <f t="shared" si="978"/>
        <v>-2.5357238627352011E-3</v>
      </c>
    </row>
    <row r="418" spans="1:20" x14ac:dyDescent="0.25">
      <c r="A418" s="5">
        <v>44175</v>
      </c>
      <c r="B418">
        <v>20.541</v>
      </c>
      <c r="C418">
        <v>20.545999999999999</v>
      </c>
      <c r="D418">
        <v>18.297000000000001</v>
      </c>
      <c r="E418">
        <v>18.474</v>
      </c>
      <c r="F418">
        <v>54378.998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-0.84259670964873301</v>
      </c>
      <c r="Q418">
        <f t="shared" si="975"/>
        <v>-45819.564788795033</v>
      </c>
      <c r="R418">
        <f t="shared" si="976"/>
        <v>-263933.3053977064</v>
      </c>
      <c r="S418">
        <f t="shared" si="977"/>
        <v>-2.6393330539770639</v>
      </c>
      <c r="T418">
        <f t="shared" si="978"/>
        <v>-2.6393330539770639E-3</v>
      </c>
    </row>
    <row r="419" spans="1:20" x14ac:dyDescent="0.25">
      <c r="A419" s="5">
        <v>44174</v>
      </c>
      <c r="B419">
        <v>19.617999999999999</v>
      </c>
      <c r="C419">
        <v>20.515000000000001</v>
      </c>
      <c r="D419">
        <v>18.96</v>
      </c>
      <c r="E419">
        <v>20.504999999999999</v>
      </c>
      <c r="F419">
        <v>45230.504000000001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0.98713826366559287</v>
      </c>
      <c r="Q419">
        <f t="shared" si="975"/>
        <v>44648.761183279654</v>
      </c>
      <c r="R419">
        <f t="shared" si="976"/>
        <v>-218113.74060891135</v>
      </c>
      <c r="S419">
        <f t="shared" si="977"/>
        <v>-2.1811374060891136</v>
      </c>
      <c r="T419">
        <f t="shared" si="978"/>
        <v>-2.1811374060891134E-3</v>
      </c>
    </row>
    <row r="420" spans="1:20" x14ac:dyDescent="0.25">
      <c r="A420" s="5">
        <v>44173</v>
      </c>
      <c r="B420">
        <v>22.707000000000001</v>
      </c>
      <c r="C420">
        <v>22.856999999999999</v>
      </c>
      <c r="D420">
        <v>19.300999999999998</v>
      </c>
      <c r="E420">
        <v>19.608000000000001</v>
      </c>
      <c r="F420">
        <v>82885.971000000005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-0.8273340832395939</v>
      </c>
      <c r="Q420">
        <f t="shared" si="975"/>
        <v>-68574.388830708573</v>
      </c>
      <c r="R420">
        <f t="shared" si="976"/>
        <v>-262762.501792191</v>
      </c>
      <c r="S420">
        <f t="shared" si="977"/>
        <v>-2.6276250179219098</v>
      </c>
      <c r="T420">
        <f t="shared" si="978"/>
        <v>-2.6276250179219098E-3</v>
      </c>
    </row>
    <row r="421" spans="1:20" x14ac:dyDescent="0.25">
      <c r="A421" s="5">
        <v>44172</v>
      </c>
      <c r="B421">
        <v>22.754999999999999</v>
      </c>
      <c r="C421">
        <v>23.3</v>
      </c>
      <c r="D421">
        <v>21.702999999999999</v>
      </c>
      <c r="E421">
        <v>22.727</v>
      </c>
      <c r="F421">
        <v>33378.481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0.28240450845335013</v>
      </c>
      <c r="Q421">
        <f t="shared" si="975"/>
        <v>9426.2335197244865</v>
      </c>
      <c r="R421">
        <f t="shared" si="976"/>
        <v>-194188.11296148243</v>
      </c>
      <c r="S421">
        <f t="shared" si="977"/>
        <v>-1.9418811296148244</v>
      </c>
      <c r="T421">
        <f t="shared" si="978"/>
        <v>-1.9418811296148244E-3</v>
      </c>
    </row>
    <row r="422" spans="1:20" x14ac:dyDescent="0.25">
      <c r="A422" s="5">
        <v>44171</v>
      </c>
      <c r="B422">
        <v>22.198</v>
      </c>
      <c r="C422">
        <v>23.399000000000001</v>
      </c>
      <c r="D422">
        <v>21.561</v>
      </c>
      <c r="E422">
        <v>22.751000000000001</v>
      </c>
      <c r="F422">
        <v>30907.352999999999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0.29488574537540874</v>
      </c>
      <c r="Q422">
        <f t="shared" si="975"/>
        <v>9114.1378269858742</v>
      </c>
      <c r="R422">
        <f t="shared" si="976"/>
        <v>-203614.34648120691</v>
      </c>
      <c r="S422">
        <f t="shared" si="977"/>
        <v>-2.0361434648120693</v>
      </c>
      <c r="T422">
        <f t="shared" si="978"/>
        <v>-2.0361434648120693E-3</v>
      </c>
    </row>
    <row r="423" spans="1:20" x14ac:dyDescent="0.25">
      <c r="A423" s="5">
        <v>44170</v>
      </c>
      <c r="B423">
        <v>21.187999999999999</v>
      </c>
      <c r="C423">
        <v>22.692</v>
      </c>
      <c r="D423">
        <v>20.814</v>
      </c>
      <c r="E423">
        <v>22.152000000000001</v>
      </c>
      <c r="F423">
        <v>36236.642999999996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0.42492012779552812</v>
      </c>
      <c r="Q423">
        <f t="shared" si="975"/>
        <v>15397.678974440929</v>
      </c>
      <c r="R423">
        <f t="shared" si="976"/>
        <v>-212728.4843081928</v>
      </c>
      <c r="S423">
        <f t="shared" si="977"/>
        <v>-2.1272848430819278</v>
      </c>
      <c r="T423">
        <f t="shared" si="978"/>
        <v>-2.1272848430819277E-3</v>
      </c>
    </row>
    <row r="424" spans="1:20" x14ac:dyDescent="0.25">
      <c r="A424" s="5">
        <v>44169</v>
      </c>
      <c r="B424">
        <v>22.992000000000001</v>
      </c>
      <c r="C424">
        <v>23.5</v>
      </c>
      <c r="D424">
        <v>20.734999999999999</v>
      </c>
      <c r="E424">
        <v>21.187999999999999</v>
      </c>
      <c r="F424">
        <v>33328.542000000001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-0.67233273056057918</v>
      </c>
      <c r="Q424">
        <f t="shared" si="975"/>
        <v>-22407.869648462947</v>
      </c>
      <c r="R424">
        <f t="shared" si="976"/>
        <v>-228126.16328263373</v>
      </c>
      <c r="S424">
        <f t="shared" si="977"/>
        <v>-2.2812616328263373</v>
      </c>
      <c r="T424">
        <f t="shared" si="978"/>
        <v>-2.2812616328263375E-3</v>
      </c>
    </row>
    <row r="425" spans="1:20" x14ac:dyDescent="0.25">
      <c r="A425" s="5">
        <v>44168</v>
      </c>
      <c r="B425">
        <v>22.177</v>
      </c>
      <c r="C425">
        <v>23.516999999999999</v>
      </c>
      <c r="D425">
        <v>22.105</v>
      </c>
      <c r="E425">
        <v>22.946000000000002</v>
      </c>
      <c r="F425">
        <v>30905.645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0.19121813031161708</v>
      </c>
      <c r="Q425">
        <f t="shared" si="975"/>
        <v>5909.719652974577</v>
      </c>
      <c r="R425">
        <f t="shared" si="976"/>
        <v>-205718.29363417078</v>
      </c>
      <c r="S425">
        <f t="shared" si="977"/>
        <v>-2.0571829363417078</v>
      </c>
      <c r="T425">
        <f t="shared" si="978"/>
        <v>-2.0571829363417076E-3</v>
      </c>
    </row>
    <row r="426" spans="1:20" x14ac:dyDescent="0.25">
      <c r="A426" s="5">
        <v>44167</v>
      </c>
      <c r="B426">
        <v>20.922999999999998</v>
      </c>
      <c r="C426">
        <v>23.989000000000001</v>
      </c>
      <c r="D426">
        <v>20.34</v>
      </c>
      <c r="E426">
        <v>22.177</v>
      </c>
      <c r="F426">
        <v>81256.236000000004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6.8511921074263012E-3</v>
      </c>
      <c r="Q426">
        <f t="shared" si="975"/>
        <v>556.70208276236895</v>
      </c>
      <c r="R426">
        <f t="shared" si="976"/>
        <v>-211628.01328714535</v>
      </c>
      <c r="S426">
        <f t="shared" si="977"/>
        <v>-2.1162801328714536</v>
      </c>
      <c r="T426">
        <f t="shared" si="978"/>
        <v>-2.1162801328714538E-3</v>
      </c>
    </row>
    <row r="427" spans="1:20" x14ac:dyDescent="0.25">
      <c r="A427" s="5">
        <v>44166</v>
      </c>
      <c r="B427">
        <v>22.783999999999999</v>
      </c>
      <c r="C427">
        <v>22.850999999999999</v>
      </c>
      <c r="D427">
        <v>20.010000000000002</v>
      </c>
      <c r="E427">
        <v>20.895</v>
      </c>
      <c r="F427">
        <v>50526.061999999998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-0.37697993664202833</v>
      </c>
      <c r="Q427">
        <f t="shared" si="975"/>
        <v>-19047.311651531196</v>
      </c>
      <c r="R427">
        <f t="shared" si="976"/>
        <v>-212184.71536990773</v>
      </c>
      <c r="S427">
        <f t="shared" si="977"/>
        <v>-2.1218471536990773</v>
      </c>
      <c r="T427">
        <f t="shared" si="978"/>
        <v>-2.1218471536990774E-3</v>
      </c>
    </row>
    <row r="428" spans="1:20" x14ac:dyDescent="0.25">
      <c r="A428" s="5">
        <v>44165</v>
      </c>
      <c r="B428">
        <v>22.065000000000001</v>
      </c>
      <c r="C428">
        <v>23</v>
      </c>
      <c r="D428">
        <v>21.16</v>
      </c>
      <c r="E428">
        <v>22.751000000000001</v>
      </c>
      <c r="F428">
        <v>60699.165000000001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0.72934782608695781</v>
      </c>
      <c r="Q428">
        <f t="shared" si="975"/>
        <v>44270.804038043556</v>
      </c>
      <c r="R428">
        <f t="shared" si="976"/>
        <v>-193137.40371837653</v>
      </c>
      <c r="S428">
        <f t="shared" si="977"/>
        <v>-1.9313740371837653</v>
      </c>
      <c r="T428">
        <f t="shared" si="978"/>
        <v>-1.9313740371837654E-3</v>
      </c>
    </row>
    <row r="429" spans="1:20" x14ac:dyDescent="0.25">
      <c r="A429" s="5">
        <v>44164</v>
      </c>
      <c r="B429">
        <v>21.085999999999999</v>
      </c>
      <c r="C429">
        <v>22.132999999999999</v>
      </c>
      <c r="D429">
        <v>20.452999999999999</v>
      </c>
      <c r="E429">
        <v>22.099</v>
      </c>
      <c r="F429">
        <v>25360.324000000001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0.95952380952381078</v>
      </c>
      <c r="Q429">
        <f t="shared" si="975"/>
        <v>24333.834695238129</v>
      </c>
      <c r="R429">
        <f t="shared" si="976"/>
        <v>-237408.2077564201</v>
      </c>
      <c r="S429">
        <f t="shared" si="977"/>
        <v>-2.3740820775642009</v>
      </c>
      <c r="T429">
        <f t="shared" si="978"/>
        <v>-2.3740820775642007E-3</v>
      </c>
    </row>
    <row r="430" spans="1:20" x14ac:dyDescent="0.25">
      <c r="A430" s="5">
        <v>44163</v>
      </c>
      <c r="B430">
        <v>19.899000000000001</v>
      </c>
      <c r="C430">
        <v>21.751999999999999</v>
      </c>
      <c r="D430">
        <v>19.782</v>
      </c>
      <c r="E430">
        <v>21.164999999999999</v>
      </c>
      <c r="F430">
        <v>41244.218000000001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0.40406091370558367</v>
      </c>
      <c r="Q430">
        <f t="shared" si="975"/>
        <v>16665.176410152282</v>
      </c>
      <c r="R430">
        <f t="shared" si="976"/>
        <v>-261742.04245165823</v>
      </c>
      <c r="S430">
        <f t="shared" si="977"/>
        <v>-2.6174204245165824</v>
      </c>
      <c r="T430">
        <f t="shared" si="978"/>
        <v>-2.6174204245165826E-3</v>
      </c>
    </row>
    <row r="431" spans="1:20" x14ac:dyDescent="0.25">
      <c r="A431" s="5">
        <v>44162</v>
      </c>
      <c r="B431">
        <v>20.539000000000001</v>
      </c>
      <c r="C431">
        <v>21.256</v>
      </c>
      <c r="D431">
        <v>19.05</v>
      </c>
      <c r="E431">
        <v>19.890999999999998</v>
      </c>
      <c r="F431">
        <v>31488.482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-0.23753399818676546</v>
      </c>
      <c r="Q431">
        <f t="shared" si="975"/>
        <v>-7479.5850262919967</v>
      </c>
      <c r="R431">
        <f t="shared" si="976"/>
        <v>-278407.21886181051</v>
      </c>
      <c r="S431">
        <f t="shared" si="977"/>
        <v>-2.7840721886181052</v>
      </c>
      <c r="T431">
        <f t="shared" si="978"/>
        <v>-2.7840721886181054E-3</v>
      </c>
    </row>
    <row r="432" spans="1:20" x14ac:dyDescent="0.25">
      <c r="A432" s="5">
        <v>44161</v>
      </c>
      <c r="B432">
        <v>23.094999999999999</v>
      </c>
      <c r="C432">
        <v>23.88</v>
      </c>
      <c r="D432">
        <v>18.276</v>
      </c>
      <c r="E432">
        <v>20.466999999999999</v>
      </c>
      <c r="F432">
        <v>176895.62100000001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-0.21805852962169905</v>
      </c>
      <c r="Q432">
        <f t="shared" si="975"/>
        <v>-38573.599011777354</v>
      </c>
      <c r="R432">
        <f t="shared" si="976"/>
        <v>-270927.6338355185</v>
      </c>
      <c r="S432">
        <f t="shared" si="977"/>
        <v>-2.7092763383551848</v>
      </c>
      <c r="T432">
        <f t="shared" si="978"/>
        <v>-2.7092763383551846E-3</v>
      </c>
    </row>
    <row r="433" spans="1:20" x14ac:dyDescent="0.25">
      <c r="A433" s="5">
        <v>44160</v>
      </c>
      <c r="B433">
        <v>25.719000000000001</v>
      </c>
      <c r="C433">
        <v>26.373000000000001</v>
      </c>
      <c r="D433">
        <v>22.994</v>
      </c>
      <c r="E433">
        <v>23.094999999999999</v>
      </c>
      <c r="F433">
        <v>107609.681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-0.94021899970405498</v>
      </c>
      <c r="Q433">
        <f t="shared" si="975"/>
        <v>-101176.66662829244</v>
      </c>
      <c r="R433">
        <f t="shared" si="976"/>
        <v>-232354.03482374112</v>
      </c>
      <c r="S433">
        <f t="shared" si="977"/>
        <v>-2.3235403482374113</v>
      </c>
      <c r="T433">
        <f t="shared" si="978"/>
        <v>-2.3235403482374114E-3</v>
      </c>
    </row>
    <row r="434" spans="1:20" x14ac:dyDescent="0.25">
      <c r="A434" s="5">
        <v>44159</v>
      </c>
      <c r="B434">
        <v>27.029</v>
      </c>
      <c r="C434">
        <v>28.001000000000001</v>
      </c>
      <c r="D434">
        <v>24.605</v>
      </c>
      <c r="E434">
        <v>25.734000000000002</v>
      </c>
      <c r="F434">
        <v>122659.67600000001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-0.33510011778562954</v>
      </c>
      <c r="Q434">
        <f t="shared" si="975"/>
        <v>-41103.271875147162</v>
      </c>
      <c r="R434">
        <f t="shared" si="976"/>
        <v>-131177.36819544868</v>
      </c>
      <c r="S434">
        <f t="shared" si="977"/>
        <v>-1.3117736819544867</v>
      </c>
      <c r="T434">
        <f t="shared" si="978"/>
        <v>-1.3117736819544868E-3</v>
      </c>
    </row>
    <row r="435" spans="1:20" x14ac:dyDescent="0.25">
      <c r="A435" s="5">
        <v>44158</v>
      </c>
      <c r="B435">
        <v>27.047999999999998</v>
      </c>
      <c r="C435">
        <v>28.881</v>
      </c>
      <c r="D435">
        <v>26.536999999999999</v>
      </c>
      <c r="E435">
        <v>27.03</v>
      </c>
      <c r="F435">
        <v>109055.984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-0.57935153583617593</v>
      </c>
      <c r="Q435">
        <f t="shared" si="975"/>
        <v>-63181.751822525424</v>
      </c>
      <c r="R435">
        <f t="shared" si="976"/>
        <v>-90074.096320301527</v>
      </c>
      <c r="S435">
        <f t="shared" si="977"/>
        <v>-0.90074096320301522</v>
      </c>
      <c r="T435">
        <f t="shared" si="978"/>
        <v>-9.007409632030152E-4</v>
      </c>
    </row>
    <row r="436" spans="1:20" x14ac:dyDescent="0.25">
      <c r="A436" s="5">
        <v>44157</v>
      </c>
      <c r="B436">
        <v>27.599</v>
      </c>
      <c r="C436">
        <v>28.306999999999999</v>
      </c>
      <c r="D436">
        <v>25.56</v>
      </c>
      <c r="E436">
        <v>27.047999999999998</v>
      </c>
      <c r="F436">
        <v>50069.743999999999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8.3363669457589815E-2</v>
      </c>
      <c r="Q436">
        <f t="shared" si="975"/>
        <v>4173.9975886421407</v>
      </c>
      <c r="R436">
        <f t="shared" si="976"/>
        <v>-26892.344497776099</v>
      </c>
      <c r="S436">
        <f t="shared" si="977"/>
        <v>-0.26892344497776099</v>
      </c>
      <c r="T436">
        <f t="shared" si="978"/>
        <v>-2.6892344497776098E-4</v>
      </c>
    </row>
    <row r="437" spans="1:20" x14ac:dyDescent="0.25">
      <c r="A437" s="5">
        <v>44156</v>
      </c>
      <c r="B437">
        <v>26.382000000000001</v>
      </c>
      <c r="C437">
        <v>28.6</v>
      </c>
      <c r="D437">
        <v>26</v>
      </c>
      <c r="E437">
        <v>27.6</v>
      </c>
      <c r="F437">
        <v>49415.885999999999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0.2307692307692312</v>
      </c>
      <c r="Q437">
        <f t="shared" si="975"/>
        <v>11403.666000000021</v>
      </c>
      <c r="R437">
        <f t="shared" si="976"/>
        <v>-31066.342086418241</v>
      </c>
      <c r="S437">
        <f t="shared" si="977"/>
        <v>-0.31066342086418242</v>
      </c>
      <c r="T437">
        <f t="shared" si="978"/>
        <v>-3.106634208641824E-4</v>
      </c>
    </row>
    <row r="438" spans="1:20" x14ac:dyDescent="0.25">
      <c r="A438" s="5">
        <v>44155</v>
      </c>
      <c r="B438">
        <v>24.963999999999999</v>
      </c>
      <c r="C438">
        <v>27.4</v>
      </c>
      <c r="D438">
        <v>24.779</v>
      </c>
      <c r="E438">
        <v>26.422000000000001</v>
      </c>
      <c r="F438">
        <v>39121.678999999996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0.25371995421594928</v>
      </c>
      <c r="Q438">
        <f t="shared" si="975"/>
        <v>9925.9506047310642</v>
      </c>
      <c r="R438">
        <f t="shared" si="976"/>
        <v>-42470.00808641826</v>
      </c>
      <c r="S438">
        <f t="shared" si="977"/>
        <v>-0.42470008086418259</v>
      </c>
      <c r="T438">
        <f t="shared" si="978"/>
        <v>-4.2470008086418262E-4</v>
      </c>
    </row>
    <row r="439" spans="1:20" x14ac:dyDescent="0.25">
      <c r="A439" s="5">
        <v>44154</v>
      </c>
      <c r="B439">
        <v>25.835000000000001</v>
      </c>
      <c r="C439">
        <v>26.419</v>
      </c>
      <c r="D439">
        <v>24.393999999999998</v>
      </c>
      <c r="E439">
        <v>24.9</v>
      </c>
      <c r="F439">
        <v>26435.367999999999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-0.5002469135802472</v>
      </c>
      <c r="Q439">
        <f t="shared" si="975"/>
        <v>-13224.211251358032</v>
      </c>
      <c r="R439">
        <f t="shared" si="976"/>
        <v>-52395.958691149324</v>
      </c>
      <c r="S439">
        <f t="shared" si="977"/>
        <v>-0.52395958691149325</v>
      </c>
      <c r="T439">
        <f t="shared" si="978"/>
        <v>-5.239595869114932E-4</v>
      </c>
    </row>
    <row r="440" spans="1:20" x14ac:dyDescent="0.25">
      <c r="A440" s="5">
        <v>44153</v>
      </c>
      <c r="B440">
        <v>27.108000000000001</v>
      </c>
      <c r="C440">
        <v>27.86</v>
      </c>
      <c r="D440">
        <v>24.582999999999998</v>
      </c>
      <c r="E440">
        <v>25.861999999999998</v>
      </c>
      <c r="F440">
        <v>81329.160999999993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-0.21940799511748579</v>
      </c>
      <c r="Q440">
        <f t="shared" si="975"/>
        <v>-17844.268159597214</v>
      </c>
      <c r="R440">
        <f t="shared" si="976"/>
        <v>-39171.747439791288</v>
      </c>
      <c r="S440">
        <f t="shared" si="977"/>
        <v>-0.39171747439791288</v>
      </c>
      <c r="T440">
        <f t="shared" si="978"/>
        <v>-3.9171747439791286E-4</v>
      </c>
    </row>
    <row r="441" spans="1:20" x14ac:dyDescent="0.25">
      <c r="A441" s="5">
        <v>44152</v>
      </c>
      <c r="B441">
        <v>25.838000000000001</v>
      </c>
      <c r="C441">
        <v>28</v>
      </c>
      <c r="D441">
        <v>25.817</v>
      </c>
      <c r="E441">
        <v>27.164999999999999</v>
      </c>
      <c r="F441">
        <v>81364.820000000007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0.23499770957397992</v>
      </c>
      <c r="Q441">
        <f t="shared" si="975"/>
        <v>19120.546339899156</v>
      </c>
      <c r="R441">
        <f t="shared" si="976"/>
        <v>-21327.479280194078</v>
      </c>
      <c r="S441">
        <f t="shared" si="977"/>
        <v>-0.21327479280194078</v>
      </c>
      <c r="T441">
        <f t="shared" si="978"/>
        <v>-2.1327479280194077E-4</v>
      </c>
    </row>
    <row r="442" spans="1:20" x14ac:dyDescent="0.25">
      <c r="A442" s="5">
        <v>44151</v>
      </c>
      <c r="B442">
        <v>23.375</v>
      </c>
      <c r="C442">
        <v>26.87</v>
      </c>
      <c r="D442">
        <v>22.6</v>
      </c>
      <c r="E442">
        <v>25.83</v>
      </c>
      <c r="F442">
        <v>114303.307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0.51288056206088861</v>
      </c>
      <c r="Q442">
        <f t="shared" si="975"/>
        <v>58623.944339578302</v>
      </c>
      <c r="R442">
        <f t="shared" si="976"/>
        <v>-40448.025620093234</v>
      </c>
      <c r="S442">
        <f t="shared" si="977"/>
        <v>-0.40448025620093236</v>
      </c>
      <c r="T442">
        <f t="shared" si="978"/>
        <v>-4.0448025620093235E-4</v>
      </c>
    </row>
    <row r="443" spans="1:20" x14ac:dyDescent="0.25">
      <c r="A443" s="5">
        <v>44150</v>
      </c>
      <c r="B443">
        <v>22.591000000000001</v>
      </c>
      <c r="C443">
        <v>24.92</v>
      </c>
      <c r="D443">
        <v>22.225000000000001</v>
      </c>
      <c r="E443">
        <v>23.311</v>
      </c>
      <c r="F443">
        <v>118099.43399999999</v>
      </c>
      <c r="G443">
        <v>0</v>
      </c>
      <c r="L443" t="s">
        <v>8</v>
      </c>
      <c r="M443" t="s">
        <v>8</v>
      </c>
      <c r="N443" t="s">
        <v>7</v>
      </c>
      <c r="P443">
        <f t="shared" si="974"/>
        <v>-0.19406307977736667</v>
      </c>
      <c r="Q443">
        <f t="shared" si="975"/>
        <v>-22918.739882003847</v>
      </c>
      <c r="R443">
        <f t="shared" si="976"/>
        <v>-99071.969959671536</v>
      </c>
      <c r="S443">
        <f t="shared" si="977"/>
        <v>-0.99071969959671535</v>
      </c>
      <c r="T443">
        <f t="shared" si="978"/>
        <v>-9.9071969959671534E-4</v>
      </c>
    </row>
    <row r="444" spans="1:20" x14ac:dyDescent="0.25">
      <c r="A444" s="5">
        <v>44149</v>
      </c>
      <c r="B444">
        <v>23.186</v>
      </c>
      <c r="C444">
        <v>23.97</v>
      </c>
      <c r="D444">
        <v>22.01</v>
      </c>
      <c r="E444">
        <v>22.632999999999999</v>
      </c>
      <c r="F444">
        <v>24541.360000000001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-0.36428571428571588</v>
      </c>
      <c r="Q444">
        <f t="shared" si="975"/>
        <v>-8940.066857142896</v>
      </c>
      <c r="R444">
        <f t="shared" si="976"/>
        <v>-76153.230077667686</v>
      </c>
      <c r="S444">
        <f t="shared" si="977"/>
        <v>-0.76153230077667688</v>
      </c>
      <c r="T444">
        <f t="shared" si="978"/>
        <v>-7.6153230077667688E-4</v>
      </c>
    </row>
    <row r="445" spans="1:20" x14ac:dyDescent="0.25">
      <c r="A445" s="5">
        <v>44148</v>
      </c>
      <c r="B445">
        <v>23.123000000000001</v>
      </c>
      <c r="C445">
        <v>24.887</v>
      </c>
      <c r="D445">
        <v>22.573</v>
      </c>
      <c r="E445">
        <v>23.186</v>
      </c>
      <c r="F445">
        <v>55577.125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-0.47018150388936947</v>
      </c>
      <c r="Q445">
        <f t="shared" si="975"/>
        <v>-26131.336214347473</v>
      </c>
      <c r="R445">
        <f t="shared" si="976"/>
        <v>-67213.163220524788</v>
      </c>
      <c r="S445">
        <f t="shared" si="977"/>
        <v>-0.67213163220524785</v>
      </c>
      <c r="T445">
        <f t="shared" si="978"/>
        <v>-6.7213163220524786E-4</v>
      </c>
    </row>
    <row r="446" spans="1:20" x14ac:dyDescent="0.25">
      <c r="A446" s="5">
        <v>44147</v>
      </c>
      <c r="B446">
        <v>22.95</v>
      </c>
      <c r="C446">
        <v>24.294</v>
      </c>
      <c r="D446">
        <v>21.888999999999999</v>
      </c>
      <c r="E446">
        <v>23.091999999999999</v>
      </c>
      <c r="F446">
        <v>41699.065999999999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4.1580041579944655E-4</v>
      </c>
      <c r="Q446">
        <f t="shared" si="975"/>
        <v>17.338488981248563</v>
      </c>
      <c r="R446">
        <f t="shared" si="976"/>
        <v>-41081.827006177315</v>
      </c>
      <c r="S446">
        <f t="shared" si="977"/>
        <v>-0.41081827006177313</v>
      </c>
      <c r="T446">
        <f t="shared" si="978"/>
        <v>-4.1081827006177315E-4</v>
      </c>
    </row>
    <row r="447" spans="1:20" x14ac:dyDescent="0.25">
      <c r="A447" s="5">
        <v>44146</v>
      </c>
      <c r="B447">
        <v>22.652999999999999</v>
      </c>
      <c r="C447">
        <v>24.849</v>
      </c>
      <c r="D447">
        <v>22.6</v>
      </c>
      <c r="E447">
        <v>23.047000000000001</v>
      </c>
      <c r="F447">
        <v>78024.222999999998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-0.60248999555357985</v>
      </c>
      <c r="Q447">
        <f t="shared" si="975"/>
        <v>-47008.813768341519</v>
      </c>
      <c r="R447">
        <f t="shared" si="976"/>
        <v>-41099.165495158566</v>
      </c>
      <c r="S447">
        <f t="shared" si="977"/>
        <v>-0.41099165495158568</v>
      </c>
      <c r="T447">
        <f t="shared" si="978"/>
        <v>-4.1099165495158568E-4</v>
      </c>
    </row>
    <row r="448" spans="1:20" x14ac:dyDescent="0.25">
      <c r="A448" s="5">
        <v>44145</v>
      </c>
      <c r="B448">
        <v>21.341000000000001</v>
      </c>
      <c r="C448">
        <v>23.73</v>
      </c>
      <c r="D448">
        <v>21.209</v>
      </c>
      <c r="E448">
        <v>22.6</v>
      </c>
      <c r="F448">
        <v>64602.277999999998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0.1035303451011514</v>
      </c>
      <c r="Q448">
        <f t="shared" si="975"/>
        <v>6688.296135660521</v>
      </c>
      <c r="R448">
        <f t="shared" si="976"/>
        <v>5909.648273182951</v>
      </c>
      <c r="S448">
        <f t="shared" si="977"/>
        <v>5.9096482731829512E-2</v>
      </c>
      <c r="T448">
        <f t="shared" si="978"/>
        <v>5.909648273182951E-5</v>
      </c>
    </row>
    <row r="449" spans="1:20" x14ac:dyDescent="0.25">
      <c r="A449" s="5">
        <v>44144</v>
      </c>
      <c r="B449">
        <v>21.521999999999998</v>
      </c>
      <c r="C449">
        <v>23.108000000000001</v>
      </c>
      <c r="D449">
        <v>20.954000000000001</v>
      </c>
      <c r="E449">
        <v>21.446000000000002</v>
      </c>
      <c r="F449">
        <v>41247.851999999999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-0.54317548746518018</v>
      </c>
      <c r="Q449">
        <f t="shared" si="975"/>
        <v>-22404.822116991607</v>
      </c>
      <c r="R449">
        <f t="shared" si="976"/>
        <v>-778.64786247757002</v>
      </c>
      <c r="S449">
        <f t="shared" si="977"/>
        <v>-7.7864786247757002E-3</v>
      </c>
      <c r="T449">
        <f t="shared" si="978"/>
        <v>-7.7864786247757004E-6</v>
      </c>
    </row>
    <row r="450" spans="1:20" x14ac:dyDescent="0.25">
      <c r="A450" s="5">
        <v>44143</v>
      </c>
      <c r="B450">
        <v>20.678000000000001</v>
      </c>
      <c r="C450">
        <v>22.58</v>
      </c>
      <c r="D450">
        <v>20.486000000000001</v>
      </c>
      <c r="E450">
        <v>21.425999999999998</v>
      </c>
      <c r="F450">
        <v>23244.833999999999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-0.10219675262655321</v>
      </c>
      <c r="Q450">
        <f t="shared" si="975"/>
        <v>-2375.5465501432932</v>
      </c>
      <c r="R450">
        <f t="shared" si="976"/>
        <v>21626.174254514037</v>
      </c>
      <c r="S450">
        <f t="shared" si="977"/>
        <v>0.21626174254514036</v>
      </c>
      <c r="T450">
        <f t="shared" si="978"/>
        <v>2.1626174254514035E-4</v>
      </c>
    </row>
    <row r="451" spans="1:20" x14ac:dyDescent="0.25">
      <c r="A451" s="5">
        <v>44142</v>
      </c>
      <c r="B451">
        <v>22.122</v>
      </c>
      <c r="C451">
        <v>24.056999999999999</v>
      </c>
      <c r="D451">
        <v>19.213999999999999</v>
      </c>
      <c r="E451">
        <v>20.692</v>
      </c>
      <c r="F451">
        <v>115046.182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-0.38963452405533694</v>
      </c>
      <c r="Q451">
        <f t="shared" si="975"/>
        <v>-44825.964367953675</v>
      </c>
      <c r="R451">
        <f t="shared" si="976"/>
        <v>24001.720804657329</v>
      </c>
      <c r="S451">
        <f t="shared" si="977"/>
        <v>0.24001720804657328</v>
      </c>
      <c r="T451">
        <f t="shared" si="978"/>
        <v>2.4001720804657327E-4</v>
      </c>
    </row>
    <row r="452" spans="1:20" x14ac:dyDescent="0.25">
      <c r="A452" s="5">
        <v>44141</v>
      </c>
      <c r="B452">
        <v>19.815999999999999</v>
      </c>
      <c r="C452">
        <v>22.524000000000001</v>
      </c>
      <c r="D452">
        <v>19.675999999999998</v>
      </c>
      <c r="E452">
        <v>22.126999999999999</v>
      </c>
      <c r="F452">
        <v>72747.231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0.72120786516853819</v>
      </c>
      <c r="Q452">
        <f t="shared" si="975"/>
        <v>52465.875166432503</v>
      </c>
      <c r="R452">
        <f t="shared" si="976"/>
        <v>68827.685172611004</v>
      </c>
      <c r="S452">
        <f t="shared" si="977"/>
        <v>0.68827685172611008</v>
      </c>
      <c r="T452">
        <f t="shared" si="978"/>
        <v>6.8827685172611003E-4</v>
      </c>
    </row>
    <row r="453" spans="1:20" x14ac:dyDescent="0.25">
      <c r="A453" s="5">
        <v>44140</v>
      </c>
      <c r="B453">
        <v>18.858000000000001</v>
      </c>
      <c r="C453">
        <v>20.236999999999998</v>
      </c>
      <c r="D453">
        <v>18.411999999999999</v>
      </c>
      <c r="E453">
        <v>19.756</v>
      </c>
      <c r="F453">
        <v>38213.839999999997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0.47287671232876899</v>
      </c>
      <c r="Q453">
        <f t="shared" si="975"/>
        <v>18070.435024657603</v>
      </c>
      <c r="R453">
        <f t="shared" si="976"/>
        <v>16361.810006178497</v>
      </c>
      <c r="S453">
        <f t="shared" si="977"/>
        <v>0.16361810006178498</v>
      </c>
      <c r="T453">
        <f t="shared" si="978"/>
        <v>1.6361810006178498E-4</v>
      </c>
    </row>
    <row r="454" spans="1:20" x14ac:dyDescent="0.25">
      <c r="A454" s="5">
        <v>44139</v>
      </c>
      <c r="B454">
        <v>19</v>
      </c>
      <c r="C454">
        <v>19.231000000000002</v>
      </c>
      <c r="D454">
        <v>17.960999999999999</v>
      </c>
      <c r="E454">
        <v>18.853999999999999</v>
      </c>
      <c r="F454">
        <v>37770.69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0.40629921259842283</v>
      </c>
      <c r="Q454">
        <f t="shared" ref="Q454:Q517" si="980">F454*P454</f>
        <v>15346.201606299124</v>
      </c>
      <c r="R454">
        <f t="shared" ref="R454:R517" si="981">R455+Q454</f>
        <v>-1708.6250184791061</v>
      </c>
      <c r="S454">
        <f t="shared" ref="S454:S517" si="982">R454/100000</f>
        <v>-1.7086250184791062E-2</v>
      </c>
      <c r="T454">
        <f t="shared" ref="T454:T517" si="983">S454/1000</f>
        <v>-1.7086250184791062E-5</v>
      </c>
    </row>
    <row r="455" spans="1:20" x14ac:dyDescent="0.25">
      <c r="A455" s="5">
        <v>44138</v>
      </c>
      <c r="B455">
        <v>20.018000000000001</v>
      </c>
      <c r="C455">
        <v>20.78</v>
      </c>
      <c r="D455">
        <v>18.3</v>
      </c>
      <c r="E455">
        <v>18.95</v>
      </c>
      <c r="F455">
        <v>45924.858999999997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-0.47580645161290447</v>
      </c>
      <c r="Q455">
        <f t="shared" si="980"/>
        <v>-21851.344201612959</v>
      </c>
      <c r="R455">
        <f t="shared" si="981"/>
        <v>-17054.82662477823</v>
      </c>
      <c r="S455">
        <f t="shared" si="982"/>
        <v>-0.1705482662477823</v>
      </c>
      <c r="T455">
        <f t="shared" si="983"/>
        <v>-1.7054826624778231E-4</v>
      </c>
    </row>
    <row r="456" spans="1:20" x14ac:dyDescent="0.25">
      <c r="A456" s="5">
        <v>44137</v>
      </c>
      <c r="B456">
        <v>21.966999999999999</v>
      </c>
      <c r="C456">
        <v>22.722999999999999</v>
      </c>
      <c r="D456">
        <v>19.628</v>
      </c>
      <c r="E456">
        <v>20.071000000000002</v>
      </c>
      <c r="F456">
        <v>33212.358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-0.71373182552503933</v>
      </c>
      <c r="Q456">
        <f t="shared" si="980"/>
        <v>-23704.716905331145</v>
      </c>
      <c r="R456">
        <f t="shared" si="981"/>
        <v>4796.517576834729</v>
      </c>
      <c r="S456">
        <f t="shared" si="982"/>
        <v>4.7965175768347287E-2</v>
      </c>
      <c r="T456">
        <f t="shared" si="983"/>
        <v>4.7965175768347284E-5</v>
      </c>
    </row>
    <row r="457" spans="1:20" x14ac:dyDescent="0.25">
      <c r="A457" s="5">
        <v>44136</v>
      </c>
      <c r="B457">
        <v>21.076000000000001</v>
      </c>
      <c r="C457">
        <v>22.318000000000001</v>
      </c>
      <c r="D457">
        <v>20.957000000000001</v>
      </c>
      <c r="E457">
        <v>21.899000000000001</v>
      </c>
      <c r="F457">
        <v>10553.164000000001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0.38427626745040372</v>
      </c>
      <c r="Q457">
        <f t="shared" si="980"/>
        <v>4055.3304717119727</v>
      </c>
      <c r="R457">
        <f t="shared" si="981"/>
        <v>28501.234482165873</v>
      </c>
      <c r="S457">
        <f t="shared" si="982"/>
        <v>0.28501234482165871</v>
      </c>
      <c r="T457">
        <f t="shared" si="983"/>
        <v>2.8501234482165871E-4</v>
      </c>
    </row>
    <row r="458" spans="1:20" x14ac:dyDescent="0.25">
      <c r="A458" s="5">
        <v>44135</v>
      </c>
      <c r="B458">
        <v>21.140999999999998</v>
      </c>
      <c r="C458">
        <v>22.8</v>
      </c>
      <c r="D458">
        <v>20.954000000000001</v>
      </c>
      <c r="E458">
        <v>21.149000000000001</v>
      </c>
      <c r="F458">
        <v>16727.43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-0.78873239436619691</v>
      </c>
      <c r="Q458">
        <f t="shared" si="980"/>
        <v>-13193.465915492954</v>
      </c>
      <c r="R458">
        <f t="shared" si="981"/>
        <v>24445.904010453902</v>
      </c>
      <c r="S458">
        <f t="shared" si="982"/>
        <v>0.244459040104539</v>
      </c>
      <c r="T458">
        <f t="shared" si="983"/>
        <v>2.4445904010453898E-4</v>
      </c>
    </row>
    <row r="459" spans="1:20" x14ac:dyDescent="0.25">
      <c r="A459" s="5">
        <v>44134</v>
      </c>
      <c r="B459">
        <v>22.954999999999998</v>
      </c>
      <c r="C459">
        <v>23.503</v>
      </c>
      <c r="D459">
        <v>20.63</v>
      </c>
      <c r="E459">
        <v>21.169</v>
      </c>
      <c r="F459">
        <v>28862.493999999999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-0.62478245736164195</v>
      </c>
      <c r="Q459">
        <f t="shared" si="980"/>
        <v>-18032.779926905645</v>
      </c>
      <c r="R459">
        <f t="shared" si="981"/>
        <v>37639.369925946856</v>
      </c>
      <c r="S459">
        <f t="shared" si="982"/>
        <v>0.37639369925946858</v>
      </c>
      <c r="T459">
        <f t="shared" si="983"/>
        <v>3.7639369925946857E-4</v>
      </c>
    </row>
    <row r="460" spans="1:20" x14ac:dyDescent="0.25">
      <c r="A460" s="5">
        <v>44133</v>
      </c>
      <c r="B460">
        <v>24.524999999999999</v>
      </c>
      <c r="C460">
        <v>25.391999999999999</v>
      </c>
      <c r="D460">
        <v>22.599</v>
      </c>
      <c r="E460">
        <v>22.951000000000001</v>
      </c>
      <c r="F460">
        <v>21702.699000000001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-0.74794128177586794</v>
      </c>
      <c r="Q460">
        <f t="shared" si="980"/>
        <v>-16232.344508055849</v>
      </c>
      <c r="R460">
        <f t="shared" si="981"/>
        <v>55672.149852852497</v>
      </c>
      <c r="S460">
        <f t="shared" si="982"/>
        <v>0.55672149852852493</v>
      </c>
      <c r="T460">
        <f t="shared" si="983"/>
        <v>5.5672149852852492E-4</v>
      </c>
    </row>
    <row r="461" spans="1:20" x14ac:dyDescent="0.25">
      <c r="A461" s="5">
        <v>44132</v>
      </c>
      <c r="B461">
        <v>26.385999999999999</v>
      </c>
      <c r="C461">
        <v>27.027000000000001</v>
      </c>
      <c r="D461">
        <v>23.902999999999999</v>
      </c>
      <c r="E461">
        <v>24.437000000000001</v>
      </c>
      <c r="F461">
        <v>17054.315999999999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-0.65813060179257232</v>
      </c>
      <c r="Q461">
        <f t="shared" si="980"/>
        <v>-11223.967252240695</v>
      </c>
      <c r="R461">
        <f t="shared" si="981"/>
        <v>71904.494360908342</v>
      </c>
      <c r="S461">
        <f t="shared" si="982"/>
        <v>0.71904494360908344</v>
      </c>
      <c r="T461">
        <f t="shared" si="983"/>
        <v>7.190449436090834E-4</v>
      </c>
    </row>
    <row r="462" spans="1:20" x14ac:dyDescent="0.25">
      <c r="A462" s="5">
        <v>44131</v>
      </c>
      <c r="B462">
        <v>27.216999999999999</v>
      </c>
      <c r="C462">
        <v>28.206</v>
      </c>
      <c r="D462">
        <v>25.811</v>
      </c>
      <c r="E462">
        <v>26.385999999999999</v>
      </c>
      <c r="F462">
        <v>14879.446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-0.5198329853862218</v>
      </c>
      <c r="Q462">
        <f t="shared" si="980"/>
        <v>-7734.8268350730768</v>
      </c>
      <c r="R462">
        <f t="shared" si="981"/>
        <v>83128.461613149033</v>
      </c>
      <c r="S462">
        <f t="shared" si="982"/>
        <v>0.83128461613149029</v>
      </c>
      <c r="T462">
        <f t="shared" si="983"/>
        <v>8.3128461613149029E-4</v>
      </c>
    </row>
    <row r="463" spans="1:20" x14ac:dyDescent="0.25">
      <c r="A463" s="5">
        <v>44130</v>
      </c>
      <c r="B463">
        <v>27.376999999999999</v>
      </c>
      <c r="C463">
        <v>27.707000000000001</v>
      </c>
      <c r="D463">
        <v>25.474</v>
      </c>
      <c r="E463">
        <v>27.210999999999999</v>
      </c>
      <c r="F463">
        <v>16066.008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0.55575459023734697</v>
      </c>
      <c r="Q463">
        <f t="shared" si="980"/>
        <v>8928.757692789939</v>
      </c>
      <c r="R463">
        <f t="shared" si="981"/>
        <v>90863.288448222112</v>
      </c>
      <c r="S463">
        <f t="shared" si="982"/>
        <v>0.90863288448222113</v>
      </c>
      <c r="T463">
        <f t="shared" si="983"/>
        <v>9.0863288448222112E-4</v>
      </c>
    </row>
    <row r="464" spans="1:20" x14ac:dyDescent="0.25">
      <c r="A464" s="5">
        <v>44129</v>
      </c>
      <c r="B464">
        <v>28.274999999999999</v>
      </c>
      <c r="C464">
        <v>28.614999999999998</v>
      </c>
      <c r="D464">
        <v>27.084</v>
      </c>
      <c r="E464">
        <v>27.495000000000001</v>
      </c>
      <c r="F464">
        <v>14379.9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-0.46309601567602654</v>
      </c>
      <c r="Q464">
        <f t="shared" si="980"/>
        <v>-6659.2743958196943</v>
      </c>
      <c r="R464">
        <f t="shared" si="981"/>
        <v>81934.530755432177</v>
      </c>
      <c r="S464">
        <f t="shared" si="982"/>
        <v>0.81934530755432178</v>
      </c>
      <c r="T464">
        <f t="shared" si="983"/>
        <v>8.1934530755432182E-4</v>
      </c>
    </row>
    <row r="465" spans="1:20" x14ac:dyDescent="0.25">
      <c r="A465" s="5">
        <v>44128</v>
      </c>
      <c r="B465">
        <v>27.789000000000001</v>
      </c>
      <c r="C465">
        <v>29.3</v>
      </c>
      <c r="D465">
        <v>27.672999999999998</v>
      </c>
      <c r="E465">
        <v>28.265999999999998</v>
      </c>
      <c r="F465">
        <v>8021.6589999999997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-0.27105101413644855</v>
      </c>
      <c r="Q465">
        <f t="shared" si="980"/>
        <v>-2174.2788070067695</v>
      </c>
      <c r="R465">
        <f t="shared" si="981"/>
        <v>88593.805151251872</v>
      </c>
      <c r="S465">
        <f t="shared" si="982"/>
        <v>0.8859380515125187</v>
      </c>
      <c r="T465">
        <f t="shared" si="983"/>
        <v>8.8593805151251871E-4</v>
      </c>
    </row>
    <row r="466" spans="1:20" x14ac:dyDescent="0.25">
      <c r="A466" s="5">
        <v>44127</v>
      </c>
      <c r="B466">
        <v>29.113</v>
      </c>
      <c r="C466">
        <v>29.506</v>
      </c>
      <c r="D466">
        <v>27.15</v>
      </c>
      <c r="E466">
        <v>27.838000000000001</v>
      </c>
      <c r="F466">
        <v>12439.671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-0.4159592529711359</v>
      </c>
      <c r="Q466">
        <f t="shared" si="980"/>
        <v>-5174.3962563667028</v>
      </c>
      <c r="R466">
        <f t="shared" si="981"/>
        <v>90768.083958258649</v>
      </c>
      <c r="S466">
        <f t="shared" si="982"/>
        <v>0.9076808395825865</v>
      </c>
      <c r="T466">
        <f t="shared" si="983"/>
        <v>9.0768083958258652E-4</v>
      </c>
    </row>
    <row r="467" spans="1:20" x14ac:dyDescent="0.25">
      <c r="A467" s="5">
        <v>44126</v>
      </c>
      <c r="B467">
        <v>26.271999999999998</v>
      </c>
      <c r="C467">
        <v>30.097000000000001</v>
      </c>
      <c r="D467">
        <v>26.2</v>
      </c>
      <c r="E467">
        <v>29.122</v>
      </c>
      <c r="F467">
        <v>36658.470999999998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0.49961508852963771</v>
      </c>
      <c r="Q467">
        <f t="shared" si="980"/>
        <v>18315.125234026156</v>
      </c>
      <c r="R467">
        <f t="shared" si="981"/>
        <v>95942.48021462535</v>
      </c>
      <c r="S467">
        <f t="shared" si="982"/>
        <v>0.95942480214625347</v>
      </c>
      <c r="T467">
        <f t="shared" si="983"/>
        <v>9.5942480214625345E-4</v>
      </c>
    </row>
    <row r="468" spans="1:20" x14ac:dyDescent="0.25">
      <c r="A468" s="5">
        <v>44125</v>
      </c>
      <c r="B468">
        <v>24.933</v>
      </c>
      <c r="C468">
        <v>28.488</v>
      </c>
      <c r="D468">
        <v>24.861999999999998</v>
      </c>
      <c r="E468">
        <v>26.271999999999998</v>
      </c>
      <c r="F468">
        <v>23040.992999999999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-0.22228350799779389</v>
      </c>
      <c r="Q468">
        <f t="shared" si="980"/>
        <v>-5121.6327517926129</v>
      </c>
      <c r="R468">
        <f t="shared" si="981"/>
        <v>77627.354980599193</v>
      </c>
      <c r="S468">
        <f t="shared" si="982"/>
        <v>0.77627354980599195</v>
      </c>
      <c r="T468">
        <f t="shared" si="983"/>
        <v>7.7627354980599193E-4</v>
      </c>
    </row>
    <row r="469" spans="1:20" x14ac:dyDescent="0.25">
      <c r="A469" s="5">
        <v>44124</v>
      </c>
      <c r="B469">
        <v>29.018000000000001</v>
      </c>
      <c r="C469">
        <v>29.5</v>
      </c>
      <c r="D469">
        <v>24.701000000000001</v>
      </c>
      <c r="E469">
        <v>25.029</v>
      </c>
      <c r="F469">
        <v>24984.487000000001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-0.86330485517816236</v>
      </c>
      <c r="Q469">
        <f t="shared" si="980"/>
        <v>-21569.228931235681</v>
      </c>
      <c r="R469">
        <f t="shared" si="981"/>
        <v>82748.987732391804</v>
      </c>
      <c r="S469">
        <f t="shared" si="982"/>
        <v>0.8274898773239181</v>
      </c>
      <c r="T469">
        <f t="shared" si="983"/>
        <v>8.274898773239181E-4</v>
      </c>
    </row>
    <row r="470" spans="1:20" x14ac:dyDescent="0.25">
      <c r="A470" s="5">
        <v>44123</v>
      </c>
      <c r="B470">
        <v>29.673999999999999</v>
      </c>
      <c r="C470">
        <v>30.135999999999999</v>
      </c>
      <c r="D470">
        <v>28.363</v>
      </c>
      <c r="E470">
        <v>28.939</v>
      </c>
      <c r="F470">
        <v>10415.073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-0.35025380710659831</v>
      </c>
      <c r="Q470">
        <f t="shared" si="980"/>
        <v>-3647.9189695431405</v>
      </c>
      <c r="R470">
        <f t="shared" si="981"/>
        <v>104318.21666362749</v>
      </c>
      <c r="S470">
        <f t="shared" si="982"/>
        <v>1.0431821666362748</v>
      </c>
      <c r="T470">
        <f t="shared" si="983"/>
        <v>1.0431821666362748E-3</v>
      </c>
    </row>
    <row r="471" spans="1:20" x14ac:dyDescent="0.25">
      <c r="A471" s="5">
        <v>44122</v>
      </c>
      <c r="B471">
        <v>29.407</v>
      </c>
      <c r="C471">
        <v>31.774000000000001</v>
      </c>
      <c r="D471">
        <v>29.407</v>
      </c>
      <c r="E471">
        <v>29.643000000000001</v>
      </c>
      <c r="F471">
        <v>16203.523999999999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-0.80059146599070508</v>
      </c>
      <c r="Q471">
        <f t="shared" si="980"/>
        <v>-12972.403033375573</v>
      </c>
      <c r="R471">
        <f t="shared" si="981"/>
        <v>107966.13563317063</v>
      </c>
      <c r="S471">
        <f t="shared" si="982"/>
        <v>1.0796613563317063</v>
      </c>
      <c r="T471">
        <f t="shared" si="983"/>
        <v>1.0796613563317063E-3</v>
      </c>
    </row>
    <row r="472" spans="1:20" x14ac:dyDescent="0.25">
      <c r="A472" s="5">
        <v>44121</v>
      </c>
      <c r="B472">
        <v>29.609000000000002</v>
      </c>
      <c r="C472">
        <v>30.486000000000001</v>
      </c>
      <c r="D472">
        <v>29.315999999999999</v>
      </c>
      <c r="E472">
        <v>29.448</v>
      </c>
      <c r="F472">
        <v>7464.7979999999998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-0.77435897435897216</v>
      </c>
      <c r="Q472">
        <f t="shared" si="980"/>
        <v>-5780.4333230769062</v>
      </c>
      <c r="R472">
        <f t="shared" si="981"/>
        <v>120938.5386665462</v>
      </c>
      <c r="S472">
        <f t="shared" si="982"/>
        <v>1.209385386665462</v>
      </c>
      <c r="T472">
        <f t="shared" si="983"/>
        <v>1.2093853866654621E-3</v>
      </c>
    </row>
    <row r="473" spans="1:20" x14ac:dyDescent="0.25">
      <c r="A473" s="5">
        <v>44120</v>
      </c>
      <c r="B473">
        <v>31.911999999999999</v>
      </c>
      <c r="C473">
        <v>32.015000000000001</v>
      </c>
      <c r="D473">
        <v>29</v>
      </c>
      <c r="E473">
        <v>29.553000000000001</v>
      </c>
      <c r="F473">
        <v>22834.593000000001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-0.63316749585406251</v>
      </c>
      <c r="Q473">
        <f t="shared" si="980"/>
        <v>-14458.122068656705</v>
      </c>
      <c r="R473">
        <f t="shared" si="981"/>
        <v>126718.97198962311</v>
      </c>
      <c r="S473">
        <f t="shared" si="982"/>
        <v>1.2671897198962312</v>
      </c>
      <c r="T473">
        <f t="shared" si="983"/>
        <v>1.2671897198962311E-3</v>
      </c>
    </row>
    <row r="474" spans="1:20" x14ac:dyDescent="0.25">
      <c r="A474" s="5">
        <v>44119</v>
      </c>
      <c r="B474">
        <v>33.945999999999998</v>
      </c>
      <c r="C474">
        <v>34.012</v>
      </c>
      <c r="D474">
        <v>31.888999999999999</v>
      </c>
      <c r="E474">
        <v>32.055999999999997</v>
      </c>
      <c r="F474">
        <v>8376.4519999999993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-0.84267545925577203</v>
      </c>
      <c r="Q474">
        <f t="shared" si="980"/>
        <v>-7058.6305360339293</v>
      </c>
      <c r="R474">
        <f t="shared" si="981"/>
        <v>141177.09405827982</v>
      </c>
      <c r="S474">
        <f t="shared" si="982"/>
        <v>1.4117709405827983</v>
      </c>
      <c r="T474">
        <f t="shared" si="983"/>
        <v>1.4117709405827982E-3</v>
      </c>
    </row>
    <row r="475" spans="1:20" x14ac:dyDescent="0.25">
      <c r="A475" s="5">
        <v>44118</v>
      </c>
      <c r="B475">
        <v>35.584000000000003</v>
      </c>
      <c r="C475">
        <v>36.091999999999999</v>
      </c>
      <c r="D475">
        <v>33.353999999999999</v>
      </c>
      <c r="E475">
        <v>33.945999999999998</v>
      </c>
      <c r="F475">
        <v>13547.921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-0.56756756756756843</v>
      </c>
      <c r="Q475">
        <f t="shared" si="980"/>
        <v>-7689.360567567579</v>
      </c>
      <c r="R475">
        <f t="shared" si="981"/>
        <v>148235.72459431374</v>
      </c>
      <c r="S475">
        <f t="shared" si="982"/>
        <v>1.4823572459431373</v>
      </c>
      <c r="T475">
        <f t="shared" si="983"/>
        <v>1.4823572459431373E-3</v>
      </c>
    </row>
    <row r="476" spans="1:20" x14ac:dyDescent="0.25">
      <c r="A476" s="5">
        <v>44117</v>
      </c>
      <c r="B476">
        <v>36.216999999999999</v>
      </c>
      <c r="C476">
        <v>36.338000000000001</v>
      </c>
      <c r="D476">
        <v>34.4</v>
      </c>
      <c r="E476">
        <v>35.539000000000001</v>
      </c>
      <c r="F476">
        <v>10716.936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0.17543859649122961</v>
      </c>
      <c r="Q476">
        <f t="shared" si="980"/>
        <v>1880.1642105263322</v>
      </c>
      <c r="R476">
        <f t="shared" si="981"/>
        <v>155925.08516188132</v>
      </c>
      <c r="S476">
        <f t="shared" si="982"/>
        <v>1.5592508516188133</v>
      </c>
      <c r="T476">
        <f t="shared" si="983"/>
        <v>1.5592508516188133E-3</v>
      </c>
    </row>
    <row r="477" spans="1:20" x14ac:dyDescent="0.25">
      <c r="A477" s="5">
        <v>44116</v>
      </c>
      <c r="B477">
        <v>32.499000000000002</v>
      </c>
      <c r="C477">
        <v>40.15</v>
      </c>
      <c r="D477">
        <v>31.603999999999999</v>
      </c>
      <c r="E477">
        <v>36.246000000000002</v>
      </c>
      <c r="F477">
        <v>36492.019999999997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8.6356190030424371E-2</v>
      </c>
      <c r="Q477">
        <f t="shared" si="980"/>
        <v>3151.3118137140464</v>
      </c>
      <c r="R477">
        <f t="shared" si="981"/>
        <v>154044.92095135499</v>
      </c>
      <c r="S477">
        <f t="shared" si="982"/>
        <v>1.5404492095135498</v>
      </c>
      <c r="T477">
        <f t="shared" si="983"/>
        <v>1.5404492095135499E-3</v>
      </c>
    </row>
    <row r="478" spans="1:20" x14ac:dyDescent="0.25">
      <c r="A478" s="5">
        <v>44115</v>
      </c>
      <c r="B478">
        <v>32.829000000000001</v>
      </c>
      <c r="C478">
        <v>33.201999999999998</v>
      </c>
      <c r="D478">
        <v>32.002000000000002</v>
      </c>
      <c r="E478">
        <v>32.545000000000002</v>
      </c>
      <c r="F478">
        <v>9610.0490000000009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-9.4999999999998017E-2</v>
      </c>
      <c r="Q478">
        <f t="shared" si="980"/>
        <v>-912.95465499998102</v>
      </c>
      <c r="R478">
        <f t="shared" si="981"/>
        <v>150893.60913764095</v>
      </c>
      <c r="S478">
        <f t="shared" si="982"/>
        <v>1.5089360913764094</v>
      </c>
      <c r="T478">
        <f t="shared" si="983"/>
        <v>1.5089360913764095E-3</v>
      </c>
    </row>
    <row r="479" spans="1:20" x14ac:dyDescent="0.25">
      <c r="A479" s="5">
        <v>44114</v>
      </c>
      <c r="B479">
        <v>33.317999999999998</v>
      </c>
      <c r="C479">
        <v>34.789000000000001</v>
      </c>
      <c r="D479">
        <v>31.9</v>
      </c>
      <c r="E479">
        <v>32.829000000000001</v>
      </c>
      <c r="F479">
        <v>30014.977999999999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-0.35687088958116919</v>
      </c>
      <c r="Q479">
        <f t="shared" si="980"/>
        <v>-10711.471899619222</v>
      </c>
      <c r="R479">
        <f t="shared" si="981"/>
        <v>151806.56379264093</v>
      </c>
      <c r="S479">
        <f t="shared" si="982"/>
        <v>1.5180656379264093</v>
      </c>
      <c r="T479">
        <f t="shared" si="983"/>
        <v>1.5180656379264093E-3</v>
      </c>
    </row>
    <row r="480" spans="1:20" x14ac:dyDescent="0.25">
      <c r="A480" s="5">
        <v>44113</v>
      </c>
      <c r="B480">
        <v>29.169</v>
      </c>
      <c r="C480">
        <v>33.499000000000002</v>
      </c>
      <c r="D480">
        <v>28.57</v>
      </c>
      <c r="E480">
        <v>33.35</v>
      </c>
      <c r="F480">
        <v>35882.819000000003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0.93954148914587099</v>
      </c>
      <c r="Q480">
        <f t="shared" si="980"/>
        <v>33713.397198011757</v>
      </c>
      <c r="R480">
        <f t="shared" si="981"/>
        <v>162518.03569226013</v>
      </c>
      <c r="S480">
        <f t="shared" si="982"/>
        <v>1.6251803569226013</v>
      </c>
      <c r="T480">
        <f t="shared" si="983"/>
        <v>1.6251803569226012E-3</v>
      </c>
    </row>
    <row r="481" spans="1:20" x14ac:dyDescent="0.25">
      <c r="A481" s="5">
        <v>44112</v>
      </c>
      <c r="B481">
        <v>28.734000000000002</v>
      </c>
      <c r="C481">
        <v>30.4</v>
      </c>
      <c r="D481">
        <v>26.83</v>
      </c>
      <c r="E481">
        <v>29.164999999999999</v>
      </c>
      <c r="F481">
        <v>27801.291000000001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0.30812324929972024</v>
      </c>
      <c r="Q481">
        <f t="shared" si="980"/>
        <v>8566.2241176470689</v>
      </c>
      <c r="R481">
        <f t="shared" si="981"/>
        <v>128804.63849424839</v>
      </c>
      <c r="S481">
        <f t="shared" si="982"/>
        <v>1.2880463849424839</v>
      </c>
      <c r="T481">
        <f t="shared" si="983"/>
        <v>1.2880463849424839E-3</v>
      </c>
    </row>
    <row r="482" spans="1:20" x14ac:dyDescent="0.25">
      <c r="A482" s="5">
        <v>44111</v>
      </c>
      <c r="B482">
        <v>27.692</v>
      </c>
      <c r="C482">
        <v>29</v>
      </c>
      <c r="D482">
        <v>26.216000000000001</v>
      </c>
      <c r="E482">
        <v>28.657</v>
      </c>
      <c r="F482">
        <v>23634.86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0.7535919540229884</v>
      </c>
      <c r="Q482">
        <f t="shared" si="980"/>
        <v>17811.040330459768</v>
      </c>
      <c r="R482">
        <f t="shared" si="981"/>
        <v>120238.41437660131</v>
      </c>
      <c r="S482">
        <f t="shared" si="982"/>
        <v>1.2023841437660132</v>
      </c>
      <c r="T482">
        <f t="shared" si="983"/>
        <v>1.2023841437660131E-3</v>
      </c>
    </row>
    <row r="483" spans="1:20" x14ac:dyDescent="0.25">
      <c r="A483" s="5">
        <v>44110</v>
      </c>
      <c r="B483">
        <v>31.6</v>
      </c>
      <c r="C483">
        <v>31.74</v>
      </c>
      <c r="D483">
        <v>26.975000000000001</v>
      </c>
      <c r="E483">
        <v>27.689</v>
      </c>
      <c r="F483">
        <v>45420.194000000003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-0.70031479538300145</v>
      </c>
      <c r="Q483">
        <f t="shared" si="980"/>
        <v>-31808.433867366231</v>
      </c>
      <c r="R483">
        <f t="shared" si="981"/>
        <v>102427.37404614154</v>
      </c>
      <c r="S483">
        <f t="shared" si="982"/>
        <v>1.0242737404614155</v>
      </c>
      <c r="T483">
        <f t="shared" si="983"/>
        <v>1.0242737404614155E-3</v>
      </c>
    </row>
    <row r="484" spans="1:20" x14ac:dyDescent="0.25">
      <c r="A484" s="5">
        <v>44109</v>
      </c>
      <c r="B484">
        <v>32.15</v>
      </c>
      <c r="C484">
        <v>33.274000000000001</v>
      </c>
      <c r="D484">
        <v>31.344999999999999</v>
      </c>
      <c r="E484">
        <v>31.501000000000001</v>
      </c>
      <c r="F484">
        <v>12200.511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-0.8382581648522528</v>
      </c>
      <c r="Q484">
        <f t="shared" si="980"/>
        <v>-10227.177961119723</v>
      </c>
      <c r="R484">
        <f t="shared" si="981"/>
        <v>134235.80791350777</v>
      </c>
      <c r="S484">
        <f t="shared" si="982"/>
        <v>1.3423580791350778</v>
      </c>
      <c r="T484">
        <f t="shared" si="983"/>
        <v>1.3423580791350777E-3</v>
      </c>
    </row>
    <row r="485" spans="1:20" x14ac:dyDescent="0.25">
      <c r="A485" s="5">
        <v>44108</v>
      </c>
      <c r="B485">
        <v>32.508000000000003</v>
      </c>
      <c r="C485">
        <v>33.332000000000001</v>
      </c>
      <c r="D485">
        <v>30.152999999999999</v>
      </c>
      <c r="E485">
        <v>32.164999999999999</v>
      </c>
      <c r="F485">
        <v>17027.672999999999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0.26580685750235872</v>
      </c>
      <c r="Q485">
        <f t="shared" si="980"/>
        <v>4526.0722507077608</v>
      </c>
      <c r="R485">
        <f t="shared" si="981"/>
        <v>144462.98587462748</v>
      </c>
      <c r="S485">
        <f t="shared" si="982"/>
        <v>1.4446298587462749</v>
      </c>
      <c r="T485">
        <f t="shared" si="983"/>
        <v>1.4446298587462748E-3</v>
      </c>
    </row>
    <row r="486" spans="1:20" x14ac:dyDescent="0.25">
      <c r="A486" s="5">
        <v>44107</v>
      </c>
      <c r="B486">
        <v>33.607999999999997</v>
      </c>
      <c r="C486">
        <v>33.607999999999997</v>
      </c>
      <c r="D486">
        <v>32.201000000000001</v>
      </c>
      <c r="E486">
        <v>32.372</v>
      </c>
      <c r="F486">
        <v>10749.635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-0.75692963752665277</v>
      </c>
      <c r="Q486">
        <f t="shared" si="980"/>
        <v>-8136.71732409382</v>
      </c>
      <c r="R486">
        <f t="shared" si="981"/>
        <v>139936.91362391971</v>
      </c>
      <c r="S486">
        <f t="shared" si="982"/>
        <v>1.3993691362391971</v>
      </c>
      <c r="T486">
        <f t="shared" si="983"/>
        <v>1.3993691362391971E-3</v>
      </c>
    </row>
    <row r="487" spans="1:20" x14ac:dyDescent="0.25">
      <c r="A487" s="5">
        <v>44106</v>
      </c>
      <c r="B487">
        <v>34.22</v>
      </c>
      <c r="C487">
        <v>35.5</v>
      </c>
      <c r="D487">
        <v>31.1</v>
      </c>
      <c r="E487">
        <v>33.600999999999999</v>
      </c>
      <c r="F487">
        <v>34923.29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0.13681818181818112</v>
      </c>
      <c r="Q487">
        <f t="shared" si="980"/>
        <v>4778.1410409090668</v>
      </c>
      <c r="R487">
        <f t="shared" si="981"/>
        <v>148073.63094801354</v>
      </c>
      <c r="S487">
        <f t="shared" si="982"/>
        <v>1.4807363094801353</v>
      </c>
      <c r="T487">
        <f t="shared" si="983"/>
        <v>1.4807363094801354E-3</v>
      </c>
    </row>
    <row r="488" spans="1:20" x14ac:dyDescent="0.25">
      <c r="A488" s="5">
        <v>44105</v>
      </c>
      <c r="B488">
        <v>36.497999999999998</v>
      </c>
      <c r="C488">
        <v>38.155999999999999</v>
      </c>
      <c r="D488">
        <v>32.866</v>
      </c>
      <c r="E488">
        <v>34.25</v>
      </c>
      <c r="F488">
        <v>40447.771000000001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-0.47674858223062361</v>
      </c>
      <c r="Q488">
        <f t="shared" si="980"/>
        <v>-19283.417478638934</v>
      </c>
      <c r="R488">
        <f t="shared" si="981"/>
        <v>143295.48990710446</v>
      </c>
      <c r="S488">
        <f t="shared" si="982"/>
        <v>1.4329548990710446</v>
      </c>
      <c r="T488">
        <f t="shared" si="983"/>
        <v>1.4329548990710446E-3</v>
      </c>
    </row>
    <row r="489" spans="1:20" x14ac:dyDescent="0.25">
      <c r="A489" s="5">
        <v>44104</v>
      </c>
      <c r="B489">
        <v>38.491</v>
      </c>
      <c r="C489">
        <v>38.908000000000001</v>
      </c>
      <c r="D489">
        <v>36</v>
      </c>
      <c r="E489">
        <v>36.286000000000001</v>
      </c>
      <c r="F489">
        <v>24122.906999999999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-0.80330123796423569</v>
      </c>
      <c r="Q489">
        <f t="shared" si="980"/>
        <v>-19377.961056396125</v>
      </c>
      <c r="R489">
        <f t="shared" si="981"/>
        <v>162578.9073857434</v>
      </c>
      <c r="S489">
        <f t="shared" si="982"/>
        <v>1.6257890738574339</v>
      </c>
      <c r="T489">
        <f t="shared" si="983"/>
        <v>1.6257890738574339E-3</v>
      </c>
    </row>
    <row r="490" spans="1:20" x14ac:dyDescent="0.25">
      <c r="A490" s="5">
        <v>44103</v>
      </c>
      <c r="B490">
        <v>38.5</v>
      </c>
      <c r="C490">
        <v>39.094999999999999</v>
      </c>
      <c r="D490">
        <v>36.686999999999998</v>
      </c>
      <c r="E490">
        <v>38.658999999999999</v>
      </c>
      <c r="F490">
        <v>34914.669000000002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0.6378737541528241</v>
      </c>
      <c r="Q490">
        <f t="shared" si="980"/>
        <v>22271.150990033231</v>
      </c>
      <c r="R490">
        <f t="shared" si="981"/>
        <v>181956.86844213953</v>
      </c>
      <c r="S490">
        <f t="shared" si="982"/>
        <v>1.8195686844213954</v>
      </c>
      <c r="T490">
        <f t="shared" si="983"/>
        <v>1.8195686844213953E-3</v>
      </c>
    </row>
    <row r="491" spans="1:20" x14ac:dyDescent="0.25">
      <c r="A491" s="5">
        <v>44102</v>
      </c>
      <c r="B491">
        <v>38.615000000000002</v>
      </c>
      <c r="C491">
        <v>41.087000000000003</v>
      </c>
      <c r="D491">
        <v>38.409999999999997</v>
      </c>
      <c r="E491">
        <v>38.5</v>
      </c>
      <c r="F491">
        <v>32038.716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-0.93276055285767412</v>
      </c>
      <c r="Q491">
        <f t="shared" si="980"/>
        <v>-29884.450449010012</v>
      </c>
      <c r="R491">
        <f t="shared" si="981"/>
        <v>159685.7174521063</v>
      </c>
      <c r="S491">
        <f t="shared" si="982"/>
        <v>1.5968571745210629</v>
      </c>
      <c r="T491">
        <f t="shared" si="983"/>
        <v>1.5968571745210629E-3</v>
      </c>
    </row>
    <row r="492" spans="1:20" x14ac:dyDescent="0.25">
      <c r="A492" s="5">
        <v>44101</v>
      </c>
      <c r="B492">
        <v>41.134</v>
      </c>
      <c r="C492">
        <v>42.529000000000003</v>
      </c>
      <c r="D492">
        <v>37.811999999999998</v>
      </c>
      <c r="E492">
        <v>38.607999999999997</v>
      </c>
      <c r="F492">
        <v>33044.300999999999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-0.66249735001060062</v>
      </c>
      <c r="Q492">
        <f t="shared" si="980"/>
        <v>-21891.761845452638</v>
      </c>
      <c r="R492">
        <f t="shared" si="981"/>
        <v>189570.16790111631</v>
      </c>
      <c r="S492">
        <f t="shared" si="982"/>
        <v>1.8957016790111632</v>
      </c>
      <c r="T492">
        <f t="shared" si="983"/>
        <v>1.8957016790111631E-3</v>
      </c>
    </row>
    <row r="493" spans="1:20" x14ac:dyDescent="0.25">
      <c r="A493" s="5">
        <v>44100</v>
      </c>
      <c r="B493">
        <v>39.704000000000001</v>
      </c>
      <c r="C493">
        <v>43.283999999999999</v>
      </c>
      <c r="D493">
        <v>38.314999999999998</v>
      </c>
      <c r="E493">
        <v>41.2</v>
      </c>
      <c r="F493">
        <v>73035.475999999995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0.16119943650634108</v>
      </c>
      <c r="Q493">
        <f t="shared" si="980"/>
        <v>11773.277576172397</v>
      </c>
      <c r="R493">
        <f t="shared" si="981"/>
        <v>211461.92974656893</v>
      </c>
      <c r="S493">
        <f t="shared" si="982"/>
        <v>2.1146192974656892</v>
      </c>
      <c r="T493">
        <f t="shared" si="983"/>
        <v>2.1146192974656891E-3</v>
      </c>
    </row>
    <row r="494" spans="1:20" x14ac:dyDescent="0.25">
      <c r="A494" s="5">
        <v>44099</v>
      </c>
      <c r="B494">
        <v>38.4</v>
      </c>
      <c r="C494">
        <v>40.561999999999998</v>
      </c>
      <c r="D494">
        <v>36</v>
      </c>
      <c r="E494">
        <v>39.694000000000003</v>
      </c>
      <c r="F494">
        <v>31920.916000000001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0.61946514686541188</v>
      </c>
      <c r="Q494">
        <f t="shared" si="980"/>
        <v>19773.894918018475</v>
      </c>
      <c r="R494">
        <f t="shared" si="981"/>
        <v>199688.65217039653</v>
      </c>
      <c r="S494">
        <f t="shared" si="982"/>
        <v>1.9968865217039653</v>
      </c>
      <c r="T494">
        <f t="shared" si="983"/>
        <v>1.9968865217039654E-3</v>
      </c>
    </row>
    <row r="495" spans="1:20" x14ac:dyDescent="0.25">
      <c r="A495" s="5">
        <v>44098</v>
      </c>
      <c r="B495">
        <v>35.328000000000003</v>
      </c>
      <c r="C495">
        <v>39.53</v>
      </c>
      <c r="D495">
        <v>34.121000000000002</v>
      </c>
      <c r="E495">
        <v>38.372999999999998</v>
      </c>
      <c r="F495">
        <v>46164.711000000003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0.5721944906637072</v>
      </c>
      <c r="Q495">
        <f t="shared" si="980"/>
        <v>26415.193297282243</v>
      </c>
      <c r="R495">
        <f t="shared" si="981"/>
        <v>179914.75725237804</v>
      </c>
      <c r="S495">
        <f t="shared" si="982"/>
        <v>1.7991475725237804</v>
      </c>
      <c r="T495">
        <f t="shared" si="983"/>
        <v>1.7991475725237804E-3</v>
      </c>
    </row>
    <row r="496" spans="1:20" x14ac:dyDescent="0.25">
      <c r="A496" s="5">
        <v>44097</v>
      </c>
      <c r="B496">
        <v>39.578000000000003</v>
      </c>
      <c r="C496">
        <v>40</v>
      </c>
      <c r="D496">
        <v>35.01</v>
      </c>
      <c r="E496">
        <v>35.36</v>
      </c>
      <c r="F496">
        <v>36025.300000000003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-0.85971943887775504</v>
      </c>
      <c r="Q496">
        <f t="shared" si="980"/>
        <v>-30971.650701402792</v>
      </c>
      <c r="R496">
        <f t="shared" si="981"/>
        <v>153499.5639550958</v>
      </c>
      <c r="S496">
        <f t="shared" si="982"/>
        <v>1.5349956395509581</v>
      </c>
      <c r="T496">
        <f t="shared" si="983"/>
        <v>1.5349956395509581E-3</v>
      </c>
    </row>
    <row r="497" spans="1:20" x14ac:dyDescent="0.25">
      <c r="A497" s="5">
        <v>44096</v>
      </c>
      <c r="B497">
        <v>38.033999999999999</v>
      </c>
      <c r="C497">
        <v>41.408999999999999</v>
      </c>
      <c r="D497">
        <v>37.200000000000003</v>
      </c>
      <c r="E497">
        <v>39.578000000000003</v>
      </c>
      <c r="F497">
        <v>33340.086000000003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0.12995961035875617</v>
      </c>
      <c r="Q497">
        <f t="shared" si="980"/>
        <v>4332.8645858874215</v>
      </c>
      <c r="R497">
        <f t="shared" si="981"/>
        <v>184471.2146564986</v>
      </c>
      <c r="S497">
        <f t="shared" si="982"/>
        <v>1.8447121465649861</v>
      </c>
      <c r="T497">
        <f t="shared" si="983"/>
        <v>1.8447121465649861E-3</v>
      </c>
    </row>
    <row r="498" spans="1:20" x14ac:dyDescent="0.25">
      <c r="A498" s="5">
        <v>44095</v>
      </c>
      <c r="B498">
        <v>39.828000000000003</v>
      </c>
      <c r="C498">
        <v>41.887999999999998</v>
      </c>
      <c r="D498">
        <v>34.020000000000003</v>
      </c>
      <c r="E498">
        <v>38.323999999999998</v>
      </c>
      <c r="F498">
        <v>78154.436000000002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9.4051855617691332E-2</v>
      </c>
      <c r="Q498">
        <f t="shared" si="980"/>
        <v>7350.569730554098</v>
      </c>
      <c r="R498">
        <f t="shared" si="981"/>
        <v>180138.3500706112</v>
      </c>
      <c r="S498">
        <f t="shared" si="982"/>
        <v>1.8013835007061119</v>
      </c>
      <c r="T498">
        <f t="shared" si="983"/>
        <v>1.8013835007061119E-3</v>
      </c>
    </row>
    <row r="499" spans="1:20" x14ac:dyDescent="0.25">
      <c r="A499" s="5">
        <v>44094</v>
      </c>
      <c r="B499">
        <v>42.313000000000002</v>
      </c>
      <c r="C499">
        <v>44.499000000000002</v>
      </c>
      <c r="D499">
        <v>38</v>
      </c>
      <c r="E499">
        <v>39.965000000000003</v>
      </c>
      <c r="F499">
        <v>42772.788999999997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-0.39529158332051001</v>
      </c>
      <c r="Q499">
        <f t="shared" si="980"/>
        <v>-16907.723486844094</v>
      </c>
      <c r="R499">
        <f t="shared" si="981"/>
        <v>172787.7803400571</v>
      </c>
      <c r="S499">
        <f t="shared" si="982"/>
        <v>1.7278778034005711</v>
      </c>
      <c r="T499">
        <f t="shared" si="983"/>
        <v>1.7278778034005712E-3</v>
      </c>
    </row>
    <row r="500" spans="1:20" x14ac:dyDescent="0.25">
      <c r="A500" s="5">
        <v>44093</v>
      </c>
      <c r="B500">
        <v>46.15</v>
      </c>
      <c r="C500">
        <v>47.213999999999999</v>
      </c>
      <c r="D500">
        <v>41.25</v>
      </c>
      <c r="E500">
        <v>42.518000000000001</v>
      </c>
      <c r="F500">
        <v>79621.184999999998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-0.57478202548625046</v>
      </c>
      <c r="Q500">
        <f t="shared" si="980"/>
        <v>-45764.825985915464</v>
      </c>
      <c r="R500">
        <f t="shared" si="981"/>
        <v>189695.5038269012</v>
      </c>
      <c r="S500">
        <f t="shared" si="982"/>
        <v>1.8969550382690119</v>
      </c>
      <c r="T500">
        <f t="shared" si="983"/>
        <v>1.896955038269012E-3</v>
      </c>
    </row>
    <row r="501" spans="1:20" x14ac:dyDescent="0.25">
      <c r="A501" s="5">
        <v>44092</v>
      </c>
      <c r="B501">
        <v>48.503999999999998</v>
      </c>
      <c r="C501">
        <v>51.6</v>
      </c>
      <c r="D501">
        <v>44.65</v>
      </c>
      <c r="E501">
        <v>45.933</v>
      </c>
      <c r="F501">
        <v>69748.566999999995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-0.63079136690647464</v>
      </c>
      <c r="Q501">
        <f t="shared" si="980"/>
        <v>-43996.793917697825</v>
      </c>
      <c r="R501">
        <f t="shared" si="981"/>
        <v>235460.32981281666</v>
      </c>
      <c r="S501">
        <f t="shared" si="982"/>
        <v>2.3546032981281666</v>
      </c>
      <c r="T501">
        <f t="shared" si="983"/>
        <v>2.3546032981281665E-3</v>
      </c>
    </row>
    <row r="502" spans="1:20" x14ac:dyDescent="0.25">
      <c r="A502" s="5">
        <v>44091</v>
      </c>
      <c r="B502">
        <v>49.704000000000001</v>
      </c>
      <c r="C502">
        <v>54.636000000000003</v>
      </c>
      <c r="D502">
        <v>46.5</v>
      </c>
      <c r="E502">
        <v>48.475999999999999</v>
      </c>
      <c r="F502">
        <v>116899.311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-0.51425762045231116</v>
      </c>
      <c r="Q502">
        <f t="shared" si="980"/>
        <v>-60116.361507374684</v>
      </c>
      <c r="R502">
        <f t="shared" si="981"/>
        <v>279457.12373051449</v>
      </c>
      <c r="S502">
        <f t="shared" si="982"/>
        <v>2.7945712373051448</v>
      </c>
      <c r="T502">
        <f t="shared" si="983"/>
        <v>2.7945712373051448E-3</v>
      </c>
    </row>
    <row r="503" spans="1:20" x14ac:dyDescent="0.25">
      <c r="A503" s="5">
        <v>44090</v>
      </c>
      <c r="B503">
        <v>50.015000000000001</v>
      </c>
      <c r="C503">
        <v>51.616</v>
      </c>
      <c r="D503">
        <v>45</v>
      </c>
      <c r="E503">
        <v>49.673000000000002</v>
      </c>
      <c r="F503">
        <v>124801.178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0.41263603385731623</v>
      </c>
      <c r="Q503">
        <f t="shared" si="980"/>
        <v>51497.463110640951</v>
      </c>
      <c r="R503">
        <f t="shared" si="981"/>
        <v>339573.48523788917</v>
      </c>
      <c r="S503">
        <f t="shared" si="982"/>
        <v>3.3957348523788915</v>
      </c>
      <c r="T503">
        <f t="shared" si="983"/>
        <v>3.3957348523788915E-3</v>
      </c>
    </row>
    <row r="504" spans="1:20" x14ac:dyDescent="0.25">
      <c r="A504" s="5">
        <v>44089</v>
      </c>
      <c r="B504">
        <v>62.460999999999999</v>
      </c>
      <c r="C504">
        <v>67.3</v>
      </c>
      <c r="D504">
        <v>47.3</v>
      </c>
      <c r="E504">
        <v>49.902999999999999</v>
      </c>
      <c r="F504">
        <v>224455.49299999999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-0.7396999999999998</v>
      </c>
      <c r="Q504">
        <f t="shared" si="980"/>
        <v>-166029.72817209995</v>
      </c>
      <c r="R504">
        <f t="shared" si="981"/>
        <v>288076.02212724823</v>
      </c>
      <c r="S504">
        <f t="shared" si="982"/>
        <v>2.8807602212724821</v>
      </c>
      <c r="T504">
        <f t="shared" si="983"/>
        <v>2.8807602212724821E-3</v>
      </c>
    </row>
    <row r="505" spans="1:20" x14ac:dyDescent="0.25">
      <c r="A505" s="5">
        <v>44088</v>
      </c>
      <c r="B505">
        <v>52.298000000000002</v>
      </c>
      <c r="C505">
        <v>72.763000000000005</v>
      </c>
      <c r="D505">
        <v>46.869</v>
      </c>
      <c r="E505">
        <v>62.256999999999998</v>
      </c>
      <c r="F505">
        <v>260659.82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0.1885378852243759</v>
      </c>
      <c r="Q505">
        <f t="shared" si="980"/>
        <v>49144.251225766478</v>
      </c>
      <c r="R505">
        <f t="shared" si="981"/>
        <v>454105.7502993482</v>
      </c>
      <c r="S505">
        <f t="shared" si="982"/>
        <v>4.5410575029934819</v>
      </c>
      <c r="T505">
        <f t="shared" si="983"/>
        <v>4.5410575029934822E-3</v>
      </c>
    </row>
    <row r="506" spans="1:20" x14ac:dyDescent="0.25">
      <c r="A506" s="5">
        <v>44087</v>
      </c>
      <c r="B506">
        <v>57.587000000000003</v>
      </c>
      <c r="C506">
        <v>61</v>
      </c>
      <c r="D506">
        <v>44.45</v>
      </c>
      <c r="E506">
        <v>52.3</v>
      </c>
      <c r="F506">
        <v>132767.23000000001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-5.1359516616314722E-2</v>
      </c>
      <c r="Q506">
        <f t="shared" si="980"/>
        <v>-6818.860755287079</v>
      </c>
      <c r="R506">
        <f t="shared" si="981"/>
        <v>404961.49907358171</v>
      </c>
      <c r="S506">
        <f t="shared" si="982"/>
        <v>4.049614990735817</v>
      </c>
      <c r="T506">
        <f t="shared" si="983"/>
        <v>4.0496149907358172E-3</v>
      </c>
    </row>
    <row r="507" spans="1:20" x14ac:dyDescent="0.25">
      <c r="A507" s="5">
        <v>44086</v>
      </c>
      <c r="B507">
        <v>48.396000000000001</v>
      </c>
      <c r="C507">
        <v>57.6</v>
      </c>
      <c r="D507">
        <v>48.37</v>
      </c>
      <c r="E507">
        <v>57.58</v>
      </c>
      <c r="F507">
        <v>109100.02499999999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0.99566630552545976</v>
      </c>
      <c r="Q507">
        <f t="shared" si="980"/>
        <v>108627.21882448529</v>
      </c>
      <c r="R507">
        <f t="shared" si="981"/>
        <v>411780.35982886876</v>
      </c>
      <c r="S507">
        <f t="shared" si="982"/>
        <v>4.1178035982886874</v>
      </c>
      <c r="T507">
        <f t="shared" si="983"/>
        <v>4.1178035982886874E-3</v>
      </c>
    </row>
    <row r="508" spans="1:20" x14ac:dyDescent="0.25">
      <c r="A508" s="5">
        <v>44085</v>
      </c>
      <c r="B508">
        <v>40.668999999999997</v>
      </c>
      <c r="C508">
        <v>49.234999999999999</v>
      </c>
      <c r="D508">
        <v>39.267000000000003</v>
      </c>
      <c r="E508">
        <v>48.531999999999996</v>
      </c>
      <c r="F508">
        <v>97786.903000000006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0.85894863563402823</v>
      </c>
      <c r="Q508">
        <f t="shared" si="980"/>
        <v>83993.926914727068</v>
      </c>
      <c r="R508">
        <f t="shared" si="981"/>
        <v>303153.14100438345</v>
      </c>
      <c r="S508">
        <f t="shared" si="982"/>
        <v>3.0315314100438346</v>
      </c>
      <c r="T508">
        <f t="shared" si="983"/>
        <v>3.0315314100438345E-3</v>
      </c>
    </row>
    <row r="509" spans="1:20" x14ac:dyDescent="0.25">
      <c r="A509" s="5">
        <v>44084</v>
      </c>
      <c r="B509">
        <v>38.549999999999997</v>
      </c>
      <c r="C509">
        <v>46.16</v>
      </c>
      <c r="D509">
        <v>38.549999999999997</v>
      </c>
      <c r="E509">
        <v>40.749000000000002</v>
      </c>
      <c r="F509">
        <v>106289.558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-0.42207621550591184</v>
      </c>
      <c r="Q509">
        <f t="shared" si="980"/>
        <v>-44862.294388436116</v>
      </c>
      <c r="R509">
        <f t="shared" si="981"/>
        <v>219159.21408965637</v>
      </c>
      <c r="S509">
        <f t="shared" si="982"/>
        <v>2.1915921408965637</v>
      </c>
      <c r="T509">
        <f t="shared" si="983"/>
        <v>2.1915921408965635E-3</v>
      </c>
    </row>
    <row r="510" spans="1:20" x14ac:dyDescent="0.25">
      <c r="A510" s="5">
        <v>44083</v>
      </c>
      <c r="B510">
        <v>36.369999999999997</v>
      </c>
      <c r="C510">
        <v>40.5</v>
      </c>
      <c r="D510">
        <v>35.15</v>
      </c>
      <c r="E510">
        <v>38.588000000000001</v>
      </c>
      <c r="F510">
        <v>82360.08</v>
      </c>
      <c r="G510">
        <v>0</v>
      </c>
      <c r="L510" t="s">
        <v>8</v>
      </c>
      <c r="M510" t="s">
        <v>7</v>
      </c>
      <c r="N510" t="s">
        <v>8</v>
      </c>
      <c r="P510">
        <f t="shared" si="979"/>
        <v>0.28523364485981362</v>
      </c>
      <c r="Q510">
        <f t="shared" si="980"/>
        <v>23491.86580934584</v>
      </c>
      <c r="R510">
        <f t="shared" si="981"/>
        <v>264021.5084780925</v>
      </c>
      <c r="S510">
        <f t="shared" si="982"/>
        <v>2.6402150847809249</v>
      </c>
      <c r="T510">
        <f t="shared" si="983"/>
        <v>2.6402150847809249E-3</v>
      </c>
    </row>
    <row r="511" spans="1:20" x14ac:dyDescent="0.25">
      <c r="A511" s="5">
        <v>44082</v>
      </c>
      <c r="B511">
        <v>40.299999999999997</v>
      </c>
      <c r="C511">
        <v>41.088000000000001</v>
      </c>
      <c r="D511">
        <v>35.088000000000001</v>
      </c>
      <c r="E511">
        <v>36.347999999999999</v>
      </c>
      <c r="F511">
        <v>54788.247000000003</v>
      </c>
      <c r="G511">
        <v>0</v>
      </c>
      <c r="L511" t="s">
        <v>7</v>
      </c>
      <c r="M511" t="s">
        <v>7</v>
      </c>
      <c r="N511" t="s">
        <v>8</v>
      </c>
      <c r="P511">
        <f t="shared" si="979"/>
        <v>-0.58000000000000063</v>
      </c>
      <c r="Q511">
        <f t="shared" si="980"/>
        <v>-31777.183260000034</v>
      </c>
      <c r="R511">
        <f t="shared" si="981"/>
        <v>240529.64266874664</v>
      </c>
      <c r="S511">
        <f t="shared" si="982"/>
        <v>2.4052964266874666</v>
      </c>
      <c r="T511">
        <f t="shared" si="983"/>
        <v>2.4052964266874665E-3</v>
      </c>
    </row>
    <row r="512" spans="1:20" x14ac:dyDescent="0.25">
      <c r="A512" s="5">
        <v>44081</v>
      </c>
      <c r="B512">
        <v>39.042000000000002</v>
      </c>
      <c r="C512">
        <v>42.887999999999998</v>
      </c>
      <c r="D512">
        <v>34.173999999999999</v>
      </c>
      <c r="E512">
        <v>40.292000000000002</v>
      </c>
      <c r="F512">
        <v>103191.81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0.40417718613725112</v>
      </c>
      <c r="Q512">
        <f t="shared" si="980"/>
        <v>41707.775398209851</v>
      </c>
      <c r="R512">
        <f t="shared" si="981"/>
        <v>272306.82592874666</v>
      </c>
      <c r="S512">
        <f t="shared" si="982"/>
        <v>2.7230682592874667</v>
      </c>
      <c r="T512">
        <f t="shared" si="983"/>
        <v>2.7230682592874669E-3</v>
      </c>
    </row>
    <row r="513" spans="1:20" x14ac:dyDescent="0.25">
      <c r="A513" s="5">
        <v>44080</v>
      </c>
      <c r="B513">
        <v>34.380000000000003</v>
      </c>
      <c r="C513">
        <v>41.747</v>
      </c>
      <c r="D513">
        <v>31.1</v>
      </c>
      <c r="E513">
        <v>38.96</v>
      </c>
      <c r="F513">
        <v>130743.077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0.47647224570301505</v>
      </c>
      <c r="Q513">
        <f t="shared" si="980"/>
        <v>62295.447508312216</v>
      </c>
      <c r="R513">
        <f t="shared" si="981"/>
        <v>230599.0505305368</v>
      </c>
      <c r="S513">
        <f t="shared" si="982"/>
        <v>2.3059905053053682</v>
      </c>
      <c r="T513">
        <f t="shared" si="983"/>
        <v>2.3059905053053682E-3</v>
      </c>
    </row>
    <row r="514" spans="1:20" x14ac:dyDescent="0.25">
      <c r="A514" s="5">
        <v>44079</v>
      </c>
      <c r="B514">
        <v>42.606999999999999</v>
      </c>
      <c r="C514">
        <v>45.767000000000003</v>
      </c>
      <c r="D514">
        <v>30.579000000000001</v>
      </c>
      <c r="E514">
        <v>34.383000000000003</v>
      </c>
      <c r="F514">
        <v>80716.471000000005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-0.49907821964708959</v>
      </c>
      <c r="Q514">
        <f t="shared" si="980"/>
        <v>-40283.832642875939</v>
      </c>
      <c r="R514">
        <f t="shared" si="981"/>
        <v>168303.60302222459</v>
      </c>
      <c r="S514">
        <f t="shared" si="982"/>
        <v>1.6830360302222458</v>
      </c>
      <c r="T514">
        <f t="shared" si="983"/>
        <v>1.6830360302222459E-3</v>
      </c>
    </row>
    <row r="515" spans="1:20" x14ac:dyDescent="0.25">
      <c r="A515" s="5">
        <v>44078</v>
      </c>
      <c r="B515">
        <v>45.779000000000003</v>
      </c>
      <c r="C515">
        <v>49.29</v>
      </c>
      <c r="D515">
        <v>39.018999999999998</v>
      </c>
      <c r="E515">
        <v>42.975999999999999</v>
      </c>
      <c r="F515">
        <v>66142.483999999997</v>
      </c>
      <c r="G515">
        <v>0</v>
      </c>
      <c r="L515" t="s">
        <v>7</v>
      </c>
      <c r="M515" t="s">
        <v>8</v>
      </c>
      <c r="N515" t="s">
        <v>7</v>
      </c>
      <c r="P515">
        <f t="shared" si="979"/>
        <v>-0.22948106318761552</v>
      </c>
      <c r="Q515">
        <f t="shared" si="980"/>
        <v>-15178.447550189847</v>
      </c>
      <c r="R515">
        <f t="shared" si="981"/>
        <v>208587.43566510052</v>
      </c>
      <c r="S515">
        <f t="shared" si="982"/>
        <v>2.0858743566510052</v>
      </c>
      <c r="T515">
        <f t="shared" si="983"/>
        <v>2.0858743566510053E-3</v>
      </c>
    </row>
    <row r="516" spans="1:20" x14ac:dyDescent="0.25">
      <c r="A516" s="5">
        <v>44077</v>
      </c>
      <c r="B516">
        <v>60.174999999999997</v>
      </c>
      <c r="C516">
        <v>61.22</v>
      </c>
      <c r="D516">
        <v>40.000999999999998</v>
      </c>
      <c r="E516">
        <v>45.488999999999997</v>
      </c>
      <c r="F516">
        <v>85576.233999999997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-0.48272774400301621</v>
      </c>
      <c r="Q516">
        <f t="shared" si="980"/>
        <v>-41310.022379094211</v>
      </c>
      <c r="R516">
        <f t="shared" si="981"/>
        <v>223765.88321529038</v>
      </c>
      <c r="S516">
        <f t="shared" si="982"/>
        <v>2.2376588321529036</v>
      </c>
      <c r="T516">
        <f t="shared" si="983"/>
        <v>2.2376588321529035E-3</v>
      </c>
    </row>
    <row r="517" spans="1:20" x14ac:dyDescent="0.25">
      <c r="A517" s="5">
        <v>44076</v>
      </c>
      <c r="B517">
        <v>72.558999999999997</v>
      </c>
      <c r="C517">
        <v>72.935000000000002</v>
      </c>
      <c r="D517">
        <v>55</v>
      </c>
      <c r="E517">
        <v>60.006999999999998</v>
      </c>
      <c r="F517">
        <v>85395.597999999998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-0.44165040423752472</v>
      </c>
      <c r="Q517">
        <f t="shared" si="980"/>
        <v>-37715.000376805154</v>
      </c>
      <c r="R517">
        <f t="shared" si="981"/>
        <v>265075.90559438459</v>
      </c>
      <c r="S517">
        <f t="shared" si="982"/>
        <v>2.6507590559438459</v>
      </c>
      <c r="T517">
        <f t="shared" si="983"/>
        <v>2.6507590559438458E-3</v>
      </c>
    </row>
    <row r="518" spans="1:20" x14ac:dyDescent="0.25">
      <c r="A518" s="5">
        <v>44075</v>
      </c>
      <c r="B518">
        <v>61.88</v>
      </c>
      <c r="C518">
        <v>75.891000000000005</v>
      </c>
      <c r="D518">
        <v>61.6</v>
      </c>
      <c r="E518">
        <v>72.465999999999994</v>
      </c>
      <c r="F518">
        <v>185437.30100000001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0.52067734938072763</v>
      </c>
      <c r="Q518">
        <f t="shared" ref="Q518:Q581" si="985">F518*P518</f>
        <v>96553.00236099615</v>
      </c>
      <c r="R518">
        <f t="shared" ref="R518:R581" si="986">R519+Q518</f>
        <v>302790.90597118973</v>
      </c>
      <c r="S518">
        <f t="shared" ref="S518:S581" si="987">R518/100000</f>
        <v>3.0279090597118974</v>
      </c>
      <c r="T518">
        <f t="shared" ref="T518:T581" si="988">S518/1000</f>
        <v>3.0279090597118974E-3</v>
      </c>
    </row>
    <row r="519" spans="1:20" x14ac:dyDescent="0.25">
      <c r="A519" s="5">
        <v>44074</v>
      </c>
      <c r="B519">
        <v>75.457999999999998</v>
      </c>
      <c r="C519">
        <v>76.144000000000005</v>
      </c>
      <c r="D519">
        <v>60.712000000000003</v>
      </c>
      <c r="E519">
        <v>62</v>
      </c>
      <c r="F519">
        <v>143647.568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-0.83307413167444322</v>
      </c>
      <c r="Q519">
        <f t="shared" si="985"/>
        <v>-119669.07297874553</v>
      </c>
      <c r="R519">
        <f t="shared" si="986"/>
        <v>206237.90361019355</v>
      </c>
      <c r="S519">
        <f t="shared" si="987"/>
        <v>2.0623790361019356</v>
      </c>
      <c r="T519">
        <f t="shared" si="988"/>
        <v>2.0623790361019357E-3</v>
      </c>
    </row>
    <row r="520" spans="1:20" x14ac:dyDescent="0.25">
      <c r="A520" s="5">
        <v>44073</v>
      </c>
      <c r="B520">
        <v>50</v>
      </c>
      <c r="C520">
        <v>78.5</v>
      </c>
      <c r="D520">
        <v>49.258000000000003</v>
      </c>
      <c r="E520">
        <v>75.421999999999997</v>
      </c>
      <c r="F520">
        <v>426590.27899999998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0.78948088366048808</v>
      </c>
      <c r="Q520">
        <f t="shared" si="985"/>
        <v>336784.87042589416</v>
      </c>
      <c r="R520">
        <f t="shared" si="986"/>
        <v>325906.97658893908</v>
      </c>
      <c r="S520">
        <f t="shared" si="987"/>
        <v>3.2590697658893908</v>
      </c>
      <c r="T520">
        <f t="shared" si="988"/>
        <v>3.2590697658893908E-3</v>
      </c>
    </row>
    <row r="521" spans="1:20" x14ac:dyDescent="0.25">
      <c r="A521" s="5">
        <v>44072</v>
      </c>
      <c r="B521">
        <v>47.503</v>
      </c>
      <c r="C521">
        <v>53</v>
      </c>
      <c r="D521">
        <v>46.1</v>
      </c>
      <c r="E521">
        <v>50</v>
      </c>
      <c r="F521">
        <v>45821.413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0.13043478260869548</v>
      </c>
      <c r="Q521">
        <f t="shared" si="985"/>
        <v>5976.7060434782534</v>
      </c>
      <c r="R521">
        <f t="shared" si="986"/>
        <v>-10877.893836955071</v>
      </c>
      <c r="S521">
        <f t="shared" si="987"/>
        <v>-0.1087789383695507</v>
      </c>
      <c r="T521">
        <f t="shared" si="988"/>
        <v>-1.087789383695507E-4</v>
      </c>
    </row>
    <row r="522" spans="1:20" x14ac:dyDescent="0.25">
      <c r="A522" s="5">
        <v>44071</v>
      </c>
      <c r="B522">
        <v>48.88</v>
      </c>
      <c r="C522">
        <v>53</v>
      </c>
      <c r="D522">
        <v>45.523000000000003</v>
      </c>
      <c r="E522">
        <v>47.52</v>
      </c>
      <c r="F522">
        <v>36181.982000000004</v>
      </c>
      <c r="G522">
        <v>0</v>
      </c>
      <c r="P522">
        <f t="shared" si="984"/>
        <v>-0.46582854085863296</v>
      </c>
      <c r="Q522">
        <f t="shared" si="985"/>
        <v>-16854.599880433325</v>
      </c>
      <c r="R522">
        <f t="shared" si="986"/>
        <v>-16854.599880433325</v>
      </c>
      <c r="S522">
        <f t="shared" si="987"/>
        <v>-0.16854599880433324</v>
      </c>
      <c r="T522">
        <f t="shared" si="988"/>
        <v>-1.6854599880433325E-4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X410" sqref="IX41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$A$409</v>
      </c>
      <c r="D111" s="1" t="str">
        <f>ADDRESS(C121-1,D121,1,1)</f>
        <v>$IX$409</v>
      </c>
      <c r="E111"/>
    </row>
    <row r="112" spans="1:5" x14ac:dyDescent="0.25">
      <c r="A112" s="7">
        <v>12164.144957890772</v>
      </c>
      <c r="C112" s="1" t="str">
        <f>ADDRESS(C121,1,1,1)</f>
        <v>$A$410</v>
      </c>
      <c r="D112" s="1" t="str">
        <f>ADDRESS(C121,D121-1,1,1)</f>
        <v>$IW$410</v>
      </c>
      <c r="E112"/>
    </row>
    <row r="113" spans="1:5" x14ac:dyDescent="0.25">
      <c r="A113" s="7">
        <v>11925.63231165762</v>
      </c>
      <c r="C113" s="1" t="str">
        <f>ADDRESS(C121+1,1,1,1)</f>
        <v>$A$411</v>
      </c>
      <c r="D113" s="1" t="str">
        <f>ADDRESS(C121-1,D121+1,1,1)</f>
        <v>$IY$409</v>
      </c>
    </row>
    <row r="114" spans="1:5" x14ac:dyDescent="0.25">
      <c r="A114" s="7">
        <v>11691.796383978059</v>
      </c>
      <c r="C114" s="1" t="str">
        <f>ADDRESS(C121,D121,1,1)</f>
        <v>$IX$410</v>
      </c>
      <c r="D114" s="1" t="str">
        <f>ADDRESS(C121+1,D121+1,1,1)</f>
        <v>$IY$411</v>
      </c>
    </row>
    <row r="115" spans="1:5" x14ac:dyDescent="0.25">
      <c r="A115" s="7">
        <v>11462.545474488292</v>
      </c>
      <c r="C115" s="1" t="str">
        <f>ADDRESS(C121+1,D121,1,1)</f>
        <v>$IX$411</v>
      </c>
    </row>
    <row r="116" spans="1:5" x14ac:dyDescent="0.25">
      <c r="A116" s="7">
        <v>11237.789680870874</v>
      </c>
      <c r="C116" s="1">
        <f>C117-1</f>
        <v>409</v>
      </c>
    </row>
    <row r="117" spans="1:5" x14ac:dyDescent="0.25">
      <c r="A117" s="7">
        <v>11017.440863598895</v>
      </c>
      <c r="C117" s="1">
        <f>C121</f>
        <v>410</v>
      </c>
      <c r="D117" s="1">
        <f>D121</f>
        <v>258</v>
      </c>
    </row>
    <row r="118" spans="1:5" x14ac:dyDescent="0.25">
      <c r="A118" s="7">
        <v>10801.412611371465</v>
      </c>
      <c r="C118" s="1">
        <f>C117+1</f>
        <v>411</v>
      </c>
      <c r="D118" s="1">
        <f>D117+1</f>
        <v>259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410</v>
      </c>
      <c r="D121" s="19">
        <v>258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R410</v>
      </c>
      <c r="D123" s="1" t="str">
        <f>"C"&amp;D121</f>
        <v>C258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33.28360826246054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142" x14ac:dyDescent="0.25">
      <c r="A337" s="7">
        <v>141.26772149168937</v>
      </c>
      <c r="B337"/>
      <c r="C337"/>
      <c r="D337"/>
      <c r="E337"/>
    </row>
    <row r="338" spans="1:142" x14ac:dyDescent="0.25">
      <c r="A338" s="7">
        <v>138.4977661683229</v>
      </c>
      <c r="B338"/>
      <c r="C338"/>
      <c r="D338"/>
      <c r="E338"/>
    </row>
    <row r="339" spans="1:142" x14ac:dyDescent="0.25">
      <c r="A339" s="7">
        <v>135.7821236944342</v>
      </c>
      <c r="B339"/>
      <c r="C339"/>
      <c r="D339"/>
      <c r="E339"/>
    </row>
    <row r="340" spans="1:142" x14ac:dyDescent="0.25">
      <c r="A340" s="7">
        <v>133.11972911219038</v>
      </c>
      <c r="B340"/>
      <c r="C340"/>
      <c r="D340"/>
      <c r="E340"/>
      <c r="EI340" s="27" t="s">
        <v>8</v>
      </c>
    </row>
    <row r="341" spans="1:142" x14ac:dyDescent="0.25">
      <c r="A341" s="7">
        <v>130.50953834528468</v>
      </c>
      <c r="B341"/>
      <c r="C341"/>
      <c r="D341"/>
      <c r="E341"/>
      <c r="EI341" s="27" t="s">
        <v>8</v>
      </c>
      <c r="EJ341" s="27" t="s">
        <v>7</v>
      </c>
    </row>
    <row r="342" spans="1:142" x14ac:dyDescent="0.25">
      <c r="A342" s="7">
        <v>127.95052778949477</v>
      </c>
      <c r="B342"/>
      <c r="C342"/>
      <c r="D342"/>
      <c r="E342"/>
      <c r="EI342" s="27" t="s">
        <v>8</v>
      </c>
      <c r="EJ342" s="27" t="s">
        <v>7</v>
      </c>
    </row>
    <row r="343" spans="1:142" x14ac:dyDescent="0.25">
      <c r="A343" s="7">
        <v>125.44169391126938</v>
      </c>
      <c r="B343"/>
      <c r="C343"/>
      <c r="D343"/>
      <c r="E343"/>
      <c r="EI343" s="27" t="s">
        <v>8</v>
      </c>
      <c r="EJ343" s="27" t="s">
        <v>7</v>
      </c>
    </row>
    <row r="344" spans="1:142" x14ac:dyDescent="0.25">
      <c r="A344" s="7">
        <v>122.98205285418567</v>
      </c>
      <c r="B344"/>
      <c r="C344"/>
      <c r="D344"/>
      <c r="E344"/>
      <c r="EG344" s="27" t="s">
        <v>8</v>
      </c>
      <c r="EI344" s="27" t="s">
        <v>8</v>
      </c>
      <c r="EJ344" s="27" t="s">
        <v>7</v>
      </c>
    </row>
    <row r="345" spans="1:142" x14ac:dyDescent="0.25">
      <c r="A345" s="7">
        <v>120.5706400531232</v>
      </c>
      <c r="B345"/>
      <c r="C345"/>
      <c r="D345"/>
      <c r="E345"/>
      <c r="EG345" s="27" t="s">
        <v>8</v>
      </c>
      <c r="EH345" s="27" t="s">
        <v>7</v>
      </c>
      <c r="EI345" s="27" t="s">
        <v>8</v>
      </c>
      <c r="EJ345" s="27" t="s">
        <v>7</v>
      </c>
    </row>
    <row r="346" spans="1:142" x14ac:dyDescent="0.25">
      <c r="A346" s="7">
        <v>118.20650985600314</v>
      </c>
      <c r="B346"/>
      <c r="C346"/>
      <c r="D346"/>
      <c r="E346"/>
      <c r="EG346" s="27" t="s">
        <v>8</v>
      </c>
      <c r="EH346" s="27" t="s">
        <v>7</v>
      </c>
      <c r="EI346" s="27" t="s">
        <v>8</v>
      </c>
      <c r="EJ346" s="27" t="s">
        <v>7</v>
      </c>
    </row>
    <row r="347" spans="1:142" x14ac:dyDescent="0.25">
      <c r="A347" s="7">
        <v>115.88873515294425</v>
      </c>
      <c r="B347"/>
      <c r="C347"/>
      <c r="D347"/>
      <c r="E347"/>
      <c r="EG347" s="27" t="s">
        <v>8</v>
      </c>
      <c r="EH347" s="27" t="s">
        <v>7</v>
      </c>
      <c r="EI347" s="27" t="s">
        <v>8</v>
      </c>
      <c r="EJ347" s="27" t="s">
        <v>7</v>
      </c>
    </row>
    <row r="348" spans="1:142" x14ac:dyDescent="0.25">
      <c r="A348" s="7">
        <v>113.61640701269044</v>
      </c>
      <c r="B348"/>
      <c r="C348"/>
      <c r="D348"/>
      <c r="E348"/>
      <c r="EG348" s="27" t="s">
        <v>8</v>
      </c>
      <c r="EH348" s="27" t="s">
        <v>7</v>
      </c>
      <c r="EI348" s="27" t="s">
        <v>8</v>
      </c>
      <c r="EJ348" s="27" t="s">
        <v>7</v>
      </c>
      <c r="EK348" s="27" t="s">
        <v>8</v>
      </c>
    </row>
    <row r="349" spans="1:142" x14ac:dyDescent="0.25">
      <c r="A349" s="7">
        <v>111.38863432616711</v>
      </c>
      <c r="B349"/>
      <c r="C349"/>
      <c r="D349"/>
      <c r="E349"/>
      <c r="EG349" s="27" t="s">
        <v>8</v>
      </c>
      <c r="EH349" s="27" t="s">
        <v>7</v>
      </c>
      <c r="EI349" s="27" t="s">
        <v>8</v>
      </c>
      <c r="EJ349" s="27" t="s">
        <v>7</v>
      </c>
      <c r="EK349" s="27" t="s">
        <v>8</v>
      </c>
      <c r="EL349" s="27" t="s">
        <v>7</v>
      </c>
    </row>
    <row r="350" spans="1:142" x14ac:dyDescent="0.25">
      <c r="A350" s="7">
        <v>109.20454345702657</v>
      </c>
      <c r="B350"/>
      <c r="C350"/>
      <c r="D350"/>
      <c r="E350"/>
      <c r="EE350" s="27" t="s">
        <v>8</v>
      </c>
      <c r="EG350" s="27" t="s">
        <v>8</v>
      </c>
      <c r="EH350" s="27" t="s">
        <v>7</v>
      </c>
      <c r="EI350" s="27" t="s">
        <v>8</v>
      </c>
      <c r="EJ350" s="27" t="s">
        <v>7</v>
      </c>
      <c r="EK350" s="27" t="s">
        <v>8</v>
      </c>
      <c r="EL350" s="27" t="s">
        <v>7</v>
      </c>
    </row>
    <row r="351" spans="1:142" x14ac:dyDescent="0.25">
      <c r="A351" s="7">
        <v>107.06327789904566</v>
      </c>
      <c r="B351"/>
      <c r="C351"/>
      <c r="D351"/>
      <c r="E351"/>
      <c r="EE351" s="27" t="s">
        <v>8</v>
      </c>
      <c r="EF351" s="27" t="s">
        <v>7</v>
      </c>
      <c r="EG351" s="27" t="s">
        <v>8</v>
      </c>
      <c r="EH351" s="27" t="s">
        <v>7</v>
      </c>
      <c r="EI351" s="27" t="s">
        <v>8</v>
      </c>
      <c r="EJ351" s="27" t="s">
        <v>7</v>
      </c>
      <c r="EK351" s="27" t="s">
        <v>8</v>
      </c>
      <c r="EL351" s="27" t="s">
        <v>7</v>
      </c>
    </row>
    <row r="352" spans="1:142" x14ac:dyDescent="0.25">
      <c r="A352" s="7">
        <v>104.96399794024084</v>
      </c>
      <c r="B352"/>
      <c r="C352"/>
      <c r="D352"/>
      <c r="E352"/>
      <c r="EA352" s="27" t="s">
        <v>8</v>
      </c>
      <c r="EE352" s="27" t="s">
        <v>8</v>
      </c>
      <c r="EF352" s="27" t="s">
        <v>7</v>
      </c>
      <c r="EG352" s="27" t="s">
        <v>8</v>
      </c>
      <c r="EH352" s="27" t="s">
        <v>7</v>
      </c>
      <c r="EI352" s="27" t="s">
        <v>8</v>
      </c>
      <c r="EJ352" s="27" t="s">
        <v>7</v>
      </c>
      <c r="EK352" s="27" t="s">
        <v>8</v>
      </c>
      <c r="EL352" s="27" t="s">
        <v>7</v>
      </c>
    </row>
    <row r="353" spans="1:229" x14ac:dyDescent="0.25">
      <c r="A353" s="7">
        <v>102.90588033356946</v>
      </c>
      <c r="B353"/>
      <c r="C353"/>
      <c r="D353"/>
      <c r="E353"/>
      <c r="EA353" s="27" t="s">
        <v>8</v>
      </c>
      <c r="EB353" s="27" t="s">
        <v>7</v>
      </c>
      <c r="EE353" s="27" t="s">
        <v>8</v>
      </c>
      <c r="EF353" s="27" t="s">
        <v>7</v>
      </c>
      <c r="EG353" s="27" t="s">
        <v>8</v>
      </c>
      <c r="EH353" s="27" t="s">
        <v>7</v>
      </c>
      <c r="EI353" s="27" t="s">
        <v>8</v>
      </c>
      <c r="EJ353" s="27" t="s">
        <v>7</v>
      </c>
      <c r="EK353" s="27" t="s">
        <v>8</v>
      </c>
      <c r="EL353" s="27" t="s">
        <v>7</v>
      </c>
      <c r="EM353" s="27" t="s">
        <v>8</v>
      </c>
    </row>
    <row r="354" spans="1:229" x14ac:dyDescent="0.25">
      <c r="A354" s="7">
        <v>100.88811797408771</v>
      </c>
      <c r="B354"/>
      <c r="C354"/>
      <c r="D354"/>
      <c r="E354"/>
      <c r="EA354" s="27" t="s">
        <v>8</v>
      </c>
      <c r="EB354" s="27" t="s">
        <v>7</v>
      </c>
      <c r="EC354" s="27" t="s">
        <v>8</v>
      </c>
      <c r="EE354" s="27" t="s">
        <v>8</v>
      </c>
      <c r="EF354" s="27" t="s">
        <v>7</v>
      </c>
      <c r="EG354" s="27" t="s">
        <v>8</v>
      </c>
      <c r="EH354" s="27" t="s">
        <v>7</v>
      </c>
      <c r="EJ354" s="27" t="s">
        <v>7</v>
      </c>
      <c r="EK354" s="27" t="s">
        <v>8</v>
      </c>
      <c r="EL354" s="27" t="s">
        <v>7</v>
      </c>
      <c r="EM354" s="27" t="s">
        <v>8</v>
      </c>
      <c r="EN354" s="27" t="s">
        <v>7</v>
      </c>
    </row>
    <row r="355" spans="1:229" x14ac:dyDescent="0.25">
      <c r="A355" s="7">
        <v>98.909919582438931</v>
      </c>
      <c r="B355"/>
      <c r="C355"/>
      <c r="D355"/>
      <c r="E355"/>
      <c r="EA355" s="27" t="s">
        <v>8</v>
      </c>
      <c r="EB355" s="27" t="s">
        <v>7</v>
      </c>
      <c r="EC355" s="27" t="s">
        <v>8</v>
      </c>
      <c r="ED355" s="27" t="s">
        <v>7</v>
      </c>
      <c r="EE355" s="27" t="s">
        <v>8</v>
      </c>
      <c r="EF355" s="27" t="s">
        <v>7</v>
      </c>
      <c r="EG355" s="27" t="s">
        <v>8</v>
      </c>
      <c r="EJ355" s="27" t="s">
        <v>7</v>
      </c>
      <c r="EK355" s="27" t="s">
        <v>8</v>
      </c>
      <c r="EL355" s="27" t="s">
        <v>7</v>
      </c>
      <c r="EM355" s="27" t="s">
        <v>8</v>
      </c>
      <c r="EN355" s="27" t="s">
        <v>7</v>
      </c>
    </row>
    <row r="356" spans="1:229" x14ac:dyDescent="0.25">
      <c r="A356" s="7">
        <v>96.970509394547975</v>
      </c>
      <c r="B356"/>
      <c r="C356"/>
      <c r="D356"/>
      <c r="E356"/>
      <c r="EA356" s="27" t="s">
        <v>8</v>
      </c>
      <c r="EB356" s="27" t="s">
        <v>7</v>
      </c>
      <c r="EC356" s="27" t="s">
        <v>8</v>
      </c>
      <c r="ED356" s="27" t="s">
        <v>7</v>
      </c>
      <c r="EE356" s="27" t="s">
        <v>8</v>
      </c>
      <c r="EF356" s="27" t="s">
        <v>7</v>
      </c>
      <c r="EG356" s="27" t="s">
        <v>8</v>
      </c>
      <c r="EJ356" s="27" t="s">
        <v>7</v>
      </c>
      <c r="EL356" s="27" t="s">
        <v>7</v>
      </c>
      <c r="EM356" s="27" t="s">
        <v>8</v>
      </c>
      <c r="EN356" s="27" t="s">
        <v>7</v>
      </c>
      <c r="HO356" s="27" t="s">
        <v>8</v>
      </c>
    </row>
    <row r="357" spans="1:229" x14ac:dyDescent="0.25">
      <c r="A357" s="7">
        <v>95.069126857399979</v>
      </c>
      <c r="B357"/>
      <c r="C357"/>
      <c r="D357"/>
      <c r="E357"/>
      <c r="EA357" s="27" t="s">
        <v>8</v>
      </c>
      <c r="EB357" s="27" t="s">
        <v>7</v>
      </c>
      <c r="EC357" s="27" t="s">
        <v>8</v>
      </c>
      <c r="ED357" s="27" t="s">
        <v>7</v>
      </c>
      <c r="EE357" s="27" t="s">
        <v>8</v>
      </c>
      <c r="EF357" s="27" t="s">
        <v>7</v>
      </c>
      <c r="EL357" s="27" t="s">
        <v>7</v>
      </c>
      <c r="EM357" s="27" t="s">
        <v>8</v>
      </c>
      <c r="EN357" s="27" t="s">
        <v>7</v>
      </c>
      <c r="EO357" s="27" t="s">
        <v>8</v>
      </c>
      <c r="HO357" s="27" t="s">
        <v>8</v>
      </c>
      <c r="HP357" s="27" t="s">
        <v>7</v>
      </c>
    </row>
    <row r="358" spans="1:229" x14ac:dyDescent="0.25">
      <c r="A358" s="7">
        <v>93.205026330784293</v>
      </c>
      <c r="B358"/>
      <c r="C358"/>
      <c r="D358"/>
      <c r="E358"/>
      <c r="DS358" s="27" t="s">
        <v>8</v>
      </c>
      <c r="EA358" s="27" t="s">
        <v>8</v>
      </c>
      <c r="EB358" s="27" t="s">
        <v>7</v>
      </c>
      <c r="EC358" s="27" t="s">
        <v>8</v>
      </c>
      <c r="ED358" s="27" t="s">
        <v>7</v>
      </c>
      <c r="EE358" s="27" t="s">
        <v>8</v>
      </c>
      <c r="EL358" s="27" t="s">
        <v>7</v>
      </c>
      <c r="EM358" s="27" t="s">
        <v>8</v>
      </c>
      <c r="EN358" s="27" t="s">
        <v>7</v>
      </c>
      <c r="EO358" s="27" t="s">
        <v>8</v>
      </c>
      <c r="EP358" s="27" t="s">
        <v>7</v>
      </c>
      <c r="HO358" s="27" t="s">
        <v>8</v>
      </c>
      <c r="HP358" s="27" t="s">
        <v>7</v>
      </c>
    </row>
    <row r="359" spans="1:229" x14ac:dyDescent="0.25">
      <c r="A359" s="7">
        <v>91.377476794886562</v>
      </c>
      <c r="B359"/>
      <c r="C359"/>
      <c r="D359"/>
      <c r="E359"/>
      <c r="DS359" s="27" t="s">
        <v>8</v>
      </c>
      <c r="DT359" s="27" t="s">
        <v>7</v>
      </c>
      <c r="EA359" s="27" t="s">
        <v>8</v>
      </c>
      <c r="EB359" s="27" t="s">
        <v>7</v>
      </c>
      <c r="EC359" s="27" t="s">
        <v>8</v>
      </c>
      <c r="ED359" s="27" t="s">
        <v>7</v>
      </c>
      <c r="EE359" s="27" t="s">
        <v>8</v>
      </c>
      <c r="EL359" s="27" t="s">
        <v>7</v>
      </c>
      <c r="EM359" s="27" t="s">
        <v>8</v>
      </c>
      <c r="EN359" s="27" t="s">
        <v>7</v>
      </c>
      <c r="EO359" s="27" t="s">
        <v>8</v>
      </c>
      <c r="EP359" s="27" t="s">
        <v>7</v>
      </c>
      <c r="HO359" s="27" t="s">
        <v>8</v>
      </c>
      <c r="HP359" s="27" t="s">
        <v>7</v>
      </c>
      <c r="HQ359" s="27" t="s">
        <v>8</v>
      </c>
    </row>
    <row r="360" spans="1:229" x14ac:dyDescent="0.25">
      <c r="A360" s="7">
        <v>89.58576156361427</v>
      </c>
      <c r="B360"/>
      <c r="C360"/>
      <c r="D360"/>
      <c r="E360"/>
      <c r="DS360" s="27" t="s">
        <v>8</v>
      </c>
      <c r="DT360" s="27" t="s">
        <v>7</v>
      </c>
      <c r="EA360" s="27" t="s">
        <v>8</v>
      </c>
      <c r="EB360" s="27" t="s">
        <v>7</v>
      </c>
      <c r="EC360" s="27" t="s">
        <v>8</v>
      </c>
      <c r="ED360" s="27" t="s">
        <v>7</v>
      </c>
      <c r="EL360" s="27" t="s">
        <v>7</v>
      </c>
      <c r="EN360" s="27" t="s">
        <v>7</v>
      </c>
      <c r="EO360" s="27" t="s">
        <v>8</v>
      </c>
      <c r="EP360" s="27" t="s">
        <v>7</v>
      </c>
      <c r="GM360" s="27" t="s">
        <v>8</v>
      </c>
      <c r="GY360" s="27" t="s">
        <v>8</v>
      </c>
      <c r="HO360" s="27" t="s">
        <v>8</v>
      </c>
      <c r="HP360" s="27" t="s">
        <v>7</v>
      </c>
      <c r="HQ360" s="27" t="s">
        <v>8</v>
      </c>
      <c r="HR360" s="27" t="s">
        <v>7</v>
      </c>
    </row>
    <row r="361" spans="1:229" x14ac:dyDescent="0.25">
      <c r="A361" s="7">
        <v>87.829178003543404</v>
      </c>
      <c r="B361"/>
      <c r="C361"/>
      <c r="D361"/>
      <c r="E361"/>
      <c r="DS361" s="27" t="s">
        <v>8</v>
      </c>
      <c r="DT361" s="27" t="s">
        <v>7</v>
      </c>
      <c r="EA361" s="27" t="s">
        <v>8</v>
      </c>
      <c r="EB361" s="27" t="s">
        <v>7</v>
      </c>
      <c r="EC361" s="27" t="s">
        <v>8</v>
      </c>
      <c r="EN361" s="27" t="s">
        <v>7</v>
      </c>
      <c r="EO361" s="27" t="s">
        <v>8</v>
      </c>
      <c r="EP361" s="27" t="s">
        <v>7</v>
      </c>
      <c r="GM361" s="27" t="s">
        <v>8</v>
      </c>
      <c r="GN361" s="27" t="s">
        <v>7</v>
      </c>
      <c r="GY361" s="27" t="s">
        <v>8</v>
      </c>
      <c r="GZ361" s="27" t="s">
        <v>7</v>
      </c>
      <c r="HO361" s="27" t="s">
        <v>8</v>
      </c>
      <c r="HP361" s="27" t="s">
        <v>7</v>
      </c>
      <c r="HQ361" s="27" t="s">
        <v>8</v>
      </c>
      <c r="HR361" s="27" t="s">
        <v>7</v>
      </c>
    </row>
    <row r="362" spans="1:229" x14ac:dyDescent="0.25">
      <c r="A362" s="7">
        <v>86.107037258375883</v>
      </c>
      <c r="B362"/>
      <c r="C362"/>
      <c r="D362"/>
      <c r="E362"/>
      <c r="DS362" s="27" t="s">
        <v>8</v>
      </c>
      <c r="DT362" s="27" t="s">
        <v>7</v>
      </c>
      <c r="DW362" s="27" t="s">
        <v>8</v>
      </c>
      <c r="DY362" s="27" t="s">
        <v>8</v>
      </c>
      <c r="EA362" s="27" t="s">
        <v>8</v>
      </c>
      <c r="EB362" s="27" t="s">
        <v>7</v>
      </c>
      <c r="EN362" s="27" t="s">
        <v>7</v>
      </c>
      <c r="EO362" s="27" t="s">
        <v>8</v>
      </c>
      <c r="EP362" s="27" t="s">
        <v>7</v>
      </c>
      <c r="EQ362" s="27" t="s">
        <v>8</v>
      </c>
      <c r="GM362" s="27" t="s">
        <v>8</v>
      </c>
      <c r="GN362" s="27" t="s">
        <v>7</v>
      </c>
      <c r="GY362" s="27" t="s">
        <v>8</v>
      </c>
      <c r="GZ362" s="27" t="s">
        <v>7</v>
      </c>
      <c r="HO362" s="27" t="s">
        <v>8</v>
      </c>
      <c r="HP362" s="27" t="s">
        <v>7</v>
      </c>
      <c r="HQ362" s="27" t="s">
        <v>8</v>
      </c>
      <c r="HR362" s="27" t="s">
        <v>7</v>
      </c>
      <c r="HS362" s="27" t="s">
        <v>8</v>
      </c>
    </row>
    <row r="363" spans="1:229" x14ac:dyDescent="0.25">
      <c r="A363" s="7">
        <v>84.418663978799884</v>
      </c>
      <c r="B363"/>
      <c r="C363"/>
      <c r="D363"/>
      <c r="E363"/>
      <c r="DS363" s="27" t="s">
        <v>8</v>
      </c>
      <c r="DT363" s="27" t="s">
        <v>7</v>
      </c>
      <c r="DW363" s="27" t="s">
        <v>8</v>
      </c>
      <c r="DX363" s="27" t="s">
        <v>7</v>
      </c>
      <c r="DY363" s="27" t="s">
        <v>8</v>
      </c>
      <c r="DZ363" s="27" t="s">
        <v>7</v>
      </c>
      <c r="EA363" s="27" t="s">
        <v>8</v>
      </c>
      <c r="EN363" s="27" t="s">
        <v>7</v>
      </c>
      <c r="EO363" s="27" t="s">
        <v>8</v>
      </c>
      <c r="EP363" s="27" t="s">
        <v>7</v>
      </c>
      <c r="EQ363" s="27" t="s">
        <v>8</v>
      </c>
      <c r="ER363" s="27" t="s">
        <v>7</v>
      </c>
      <c r="GM363" s="27" t="s">
        <v>8</v>
      </c>
      <c r="GN363" s="27" t="s">
        <v>7</v>
      </c>
      <c r="GY363" s="27" t="s">
        <v>8</v>
      </c>
      <c r="GZ363" s="27" t="s">
        <v>7</v>
      </c>
      <c r="HO363" s="27" t="s">
        <v>8</v>
      </c>
      <c r="HP363" s="27" t="s">
        <v>7</v>
      </c>
      <c r="HQ363" s="27" t="s">
        <v>8</v>
      </c>
      <c r="HR363" s="27" t="s">
        <v>7</v>
      </c>
      <c r="HS363" s="27" t="s">
        <v>8</v>
      </c>
      <c r="HT363" s="27" t="s">
        <v>7</v>
      </c>
    </row>
    <row r="364" spans="1:229" x14ac:dyDescent="0.25">
      <c r="A364" s="7">
        <v>82.763396057646943</v>
      </c>
      <c r="B364"/>
      <c r="C364"/>
      <c r="D364"/>
      <c r="E364"/>
      <c r="DS364" s="27" t="s">
        <v>8</v>
      </c>
      <c r="DT364" s="27" t="s">
        <v>7</v>
      </c>
      <c r="DW364" s="27" t="s">
        <v>8</v>
      </c>
      <c r="DX364" s="27" t="s">
        <v>7</v>
      </c>
      <c r="DY364" s="27" t="s">
        <v>8</v>
      </c>
      <c r="DZ364" s="27" t="s">
        <v>7</v>
      </c>
      <c r="EA364" s="27" t="s">
        <v>8</v>
      </c>
      <c r="EN364" s="27" t="s">
        <v>7</v>
      </c>
      <c r="EO364" s="27" t="s">
        <v>8</v>
      </c>
      <c r="EP364" s="27" t="s">
        <v>7</v>
      </c>
      <c r="EQ364" s="27" t="s">
        <v>8</v>
      </c>
      <c r="ER364" s="27" t="s">
        <v>7</v>
      </c>
      <c r="GG364" s="27" t="s">
        <v>8</v>
      </c>
      <c r="GM364" s="27" t="s">
        <v>8</v>
      </c>
      <c r="GN364" s="27" t="s">
        <v>7</v>
      </c>
      <c r="GY364" s="27" t="s">
        <v>8</v>
      </c>
      <c r="GZ364" s="27" t="s">
        <v>7</v>
      </c>
      <c r="HO364" s="27" t="s">
        <v>8</v>
      </c>
      <c r="HP364" s="27" t="s">
        <v>7</v>
      </c>
      <c r="HQ364" s="27" t="s">
        <v>8</v>
      </c>
      <c r="HR364" s="27" t="s">
        <v>7</v>
      </c>
      <c r="HS364" s="27" t="s">
        <v>8</v>
      </c>
      <c r="HT364" s="27" t="s">
        <v>7</v>
      </c>
    </row>
    <row r="365" spans="1:229" x14ac:dyDescent="0.25">
      <c r="A365" s="7">
        <v>81.140584370242095</v>
      </c>
      <c r="B365"/>
      <c r="C365"/>
      <c r="D365"/>
      <c r="E365"/>
      <c r="DS365" s="27" t="s">
        <v>8</v>
      </c>
      <c r="DT365" s="27" t="s">
        <v>7</v>
      </c>
      <c r="DW365" s="27" t="s">
        <v>8</v>
      </c>
      <c r="DX365" s="27" t="s">
        <v>7</v>
      </c>
      <c r="DY365" s="27" t="s">
        <v>8</v>
      </c>
      <c r="DZ365" s="27" t="s">
        <v>7</v>
      </c>
      <c r="EA365" s="27" t="s">
        <v>8</v>
      </c>
      <c r="EN365" s="27" t="s">
        <v>7</v>
      </c>
      <c r="EO365" s="27" t="s">
        <v>8</v>
      </c>
      <c r="EP365" s="27" t="s">
        <v>7</v>
      </c>
      <c r="EQ365" s="27" t="s">
        <v>8</v>
      </c>
      <c r="ER365" s="27" t="s">
        <v>7</v>
      </c>
      <c r="GG365" s="27" t="s">
        <v>8</v>
      </c>
      <c r="GH365" s="27" t="s">
        <v>7</v>
      </c>
      <c r="GM365" s="27" t="s">
        <v>8</v>
      </c>
      <c r="GN365" s="27" t="s">
        <v>7</v>
      </c>
      <c r="GY365" s="27" t="s">
        <v>8</v>
      </c>
      <c r="GZ365" s="27" t="s">
        <v>7</v>
      </c>
      <c r="HO365" s="27" t="s">
        <v>8</v>
      </c>
      <c r="HP365" s="27" t="s">
        <v>7</v>
      </c>
      <c r="HQ365" s="27" t="s">
        <v>8</v>
      </c>
      <c r="HR365" s="27" t="s">
        <v>7</v>
      </c>
      <c r="HT365" s="27" t="s">
        <v>7</v>
      </c>
    </row>
    <row r="366" spans="1:229" x14ac:dyDescent="0.25">
      <c r="A366" s="7">
        <v>79.549592519845191</v>
      </c>
      <c r="B366"/>
      <c r="C366"/>
      <c r="D366"/>
      <c r="E366"/>
      <c r="DS366" s="27" t="s">
        <v>8</v>
      </c>
      <c r="DT366" s="27" t="s">
        <v>7</v>
      </c>
      <c r="DW366" s="27" t="s">
        <v>8</v>
      </c>
      <c r="DX366" s="27" t="s">
        <v>7</v>
      </c>
      <c r="DY366" s="27" t="s">
        <v>8</v>
      </c>
      <c r="DZ366" s="27" t="s">
        <v>7</v>
      </c>
      <c r="EA366" s="27" t="s">
        <v>8</v>
      </c>
      <c r="EN366" s="27" t="s">
        <v>7</v>
      </c>
      <c r="EO366" s="27" t="s">
        <v>8</v>
      </c>
      <c r="EP366" s="27" t="s">
        <v>7</v>
      </c>
      <c r="EQ366" s="27" t="s">
        <v>8</v>
      </c>
      <c r="ER366" s="27" t="s">
        <v>7</v>
      </c>
      <c r="GG366" s="27" t="s">
        <v>8</v>
      </c>
      <c r="GH366" s="27" t="s">
        <v>7</v>
      </c>
      <c r="GM366" s="27" t="s">
        <v>8</v>
      </c>
      <c r="GN366" s="27" t="s">
        <v>7</v>
      </c>
      <c r="GY366" s="27" t="s">
        <v>8</v>
      </c>
      <c r="GZ366" s="27" t="s">
        <v>7</v>
      </c>
      <c r="HO366" s="27" t="s">
        <v>8</v>
      </c>
      <c r="HP366" s="27" t="s">
        <v>7</v>
      </c>
      <c r="HQ366" s="27" t="s">
        <v>8</v>
      </c>
      <c r="HT366" s="27" t="s">
        <v>7</v>
      </c>
    </row>
    <row r="367" spans="1:229" x14ac:dyDescent="0.25">
      <c r="A367" s="7">
        <v>77.989796588083522</v>
      </c>
      <c r="B367"/>
      <c r="C367"/>
      <c r="D367"/>
      <c r="E367" t="s">
        <v>8</v>
      </c>
      <c r="DS367" s="27" t="s">
        <v>8</v>
      </c>
      <c r="DT367" s="27" t="s">
        <v>7</v>
      </c>
      <c r="DW367" s="27" t="s">
        <v>8</v>
      </c>
      <c r="DX367" s="27" t="s">
        <v>7</v>
      </c>
      <c r="DY367" s="27" t="s">
        <v>8</v>
      </c>
      <c r="DZ367" s="27" t="s">
        <v>7</v>
      </c>
      <c r="EA367" s="27" t="s">
        <v>8</v>
      </c>
      <c r="EN367" s="27" t="s">
        <v>7</v>
      </c>
      <c r="EO367" s="27" t="s">
        <v>8</v>
      </c>
      <c r="EP367" s="27" t="s">
        <v>7</v>
      </c>
      <c r="EQ367" s="27" t="s">
        <v>8</v>
      </c>
      <c r="ER367" s="27" t="s">
        <v>7</v>
      </c>
      <c r="EU367" s="27" t="s">
        <v>8</v>
      </c>
      <c r="EW367" s="27" t="s">
        <v>8</v>
      </c>
      <c r="FK367" s="27" t="s">
        <v>8</v>
      </c>
      <c r="GG367" s="27" t="s">
        <v>8</v>
      </c>
      <c r="GH367" s="27" t="s">
        <v>7</v>
      </c>
      <c r="GK367" s="27" t="s">
        <v>8</v>
      </c>
      <c r="GM367" s="27" t="s">
        <v>8</v>
      </c>
      <c r="GN367" s="27" t="s">
        <v>7</v>
      </c>
      <c r="GY367" s="27" t="s">
        <v>8</v>
      </c>
      <c r="GZ367" s="27" t="s">
        <v>7</v>
      </c>
      <c r="HK367" s="27" t="s">
        <v>8</v>
      </c>
      <c r="HM367" s="27" t="s">
        <v>8</v>
      </c>
      <c r="HO367" s="27" t="s">
        <v>8</v>
      </c>
      <c r="HP367" s="27" t="s">
        <v>7</v>
      </c>
      <c r="HQ367" s="27" t="s">
        <v>8</v>
      </c>
      <c r="HT367" s="27" t="s">
        <v>7</v>
      </c>
    </row>
    <row r="368" spans="1:229" x14ac:dyDescent="0.25">
      <c r="A368" s="7">
        <v>76.460584890277957</v>
      </c>
      <c r="B368"/>
      <c r="C368"/>
      <c r="D368"/>
      <c r="E368" t="s">
        <v>8</v>
      </c>
      <c r="F368" s="27" t="s">
        <v>7</v>
      </c>
      <c r="DS368" s="27" t="s">
        <v>8</v>
      </c>
      <c r="DT368" s="27" t="s">
        <v>7</v>
      </c>
      <c r="DW368" s="27" t="s">
        <v>8</v>
      </c>
      <c r="DX368" s="27" t="s">
        <v>7</v>
      </c>
      <c r="DY368" s="27" t="s">
        <v>8</v>
      </c>
      <c r="DZ368" s="27" t="s">
        <v>7</v>
      </c>
      <c r="EA368" s="27" t="s">
        <v>8</v>
      </c>
      <c r="EN368" s="27" t="s">
        <v>7</v>
      </c>
      <c r="EO368" s="27" t="s">
        <v>8</v>
      </c>
      <c r="EP368" s="27" t="s">
        <v>7</v>
      </c>
      <c r="EQ368" s="27" t="s">
        <v>8</v>
      </c>
      <c r="ER368" s="27" t="s">
        <v>7</v>
      </c>
      <c r="EU368" s="27" t="s">
        <v>8</v>
      </c>
      <c r="EV368" s="27" t="s">
        <v>7</v>
      </c>
      <c r="EW368" s="27" t="s">
        <v>8</v>
      </c>
      <c r="EX368" s="27" t="s">
        <v>7</v>
      </c>
      <c r="FK368" s="27" t="s">
        <v>8</v>
      </c>
      <c r="FL368" s="27" t="s">
        <v>7</v>
      </c>
      <c r="GG368" s="27" t="s">
        <v>8</v>
      </c>
      <c r="GH368" s="27" t="s">
        <v>7</v>
      </c>
      <c r="GK368" s="27" t="s">
        <v>8</v>
      </c>
      <c r="GL368" s="27" t="s">
        <v>7</v>
      </c>
      <c r="GM368" s="27" t="s">
        <v>8</v>
      </c>
      <c r="GN368" s="27" t="s">
        <v>7</v>
      </c>
      <c r="GO368" s="27" t="s">
        <v>8</v>
      </c>
      <c r="GQ368" s="27" t="s">
        <v>8</v>
      </c>
      <c r="GY368" s="27" t="s">
        <v>8</v>
      </c>
      <c r="GZ368" s="27" t="s">
        <v>7</v>
      </c>
      <c r="HK368" s="27" t="s">
        <v>8</v>
      </c>
      <c r="HL368" s="27" t="s">
        <v>7</v>
      </c>
      <c r="HM368" s="27" t="s">
        <v>8</v>
      </c>
      <c r="HN368" s="27" t="s">
        <v>7</v>
      </c>
      <c r="HO368" s="27" t="s">
        <v>8</v>
      </c>
      <c r="HP368" s="27" t="s">
        <v>7</v>
      </c>
      <c r="HQ368" s="27" t="s">
        <v>8</v>
      </c>
      <c r="HT368" s="27" t="s">
        <v>7</v>
      </c>
      <c r="HU368" s="27" t="s">
        <v>8</v>
      </c>
    </row>
    <row r="369" spans="1:253" x14ac:dyDescent="0.25">
      <c r="A369" s="7">
        <v>74.961357735566622</v>
      </c>
      <c r="B369"/>
      <c r="C369"/>
      <c r="D369"/>
      <c r="E369" t="s">
        <v>8</v>
      </c>
      <c r="F369" s="27" t="s">
        <v>7</v>
      </c>
      <c r="G369" s="27" t="s">
        <v>8</v>
      </c>
      <c r="DS369" s="27" t="s">
        <v>8</v>
      </c>
      <c r="DT369" s="27" t="s">
        <v>7</v>
      </c>
      <c r="DW369" s="27" t="s">
        <v>8</v>
      </c>
      <c r="DX369" s="27" t="s">
        <v>7</v>
      </c>
      <c r="DY369" s="27" t="s">
        <v>8</v>
      </c>
      <c r="DZ369" s="27" t="s">
        <v>7</v>
      </c>
      <c r="EA369" s="27" t="s">
        <v>8</v>
      </c>
      <c r="EN369" s="27" t="s">
        <v>7</v>
      </c>
      <c r="EO369" s="27" t="s">
        <v>8</v>
      </c>
      <c r="EP369" s="27" t="s">
        <v>7</v>
      </c>
      <c r="EQ369" s="27" t="s">
        <v>8</v>
      </c>
      <c r="ER369" s="27" t="s">
        <v>7</v>
      </c>
      <c r="ES369" s="27" t="s">
        <v>8</v>
      </c>
      <c r="EU369" s="27" t="s">
        <v>8</v>
      </c>
      <c r="EV369" s="27" t="s">
        <v>7</v>
      </c>
      <c r="EW369" s="27" t="s">
        <v>8</v>
      </c>
      <c r="EX369" s="27" t="s">
        <v>7</v>
      </c>
      <c r="FK369" s="27" t="s">
        <v>8</v>
      </c>
      <c r="FL369" s="27" t="s">
        <v>7</v>
      </c>
      <c r="GG369" s="27" t="s">
        <v>8</v>
      </c>
      <c r="GH369" s="27" t="s">
        <v>7</v>
      </c>
      <c r="GK369" s="27" t="s">
        <v>8</v>
      </c>
      <c r="GL369" s="27" t="s">
        <v>7</v>
      </c>
      <c r="GM369" s="27" t="s">
        <v>8</v>
      </c>
      <c r="GN369" s="27" t="s">
        <v>7</v>
      </c>
      <c r="GO369" s="27" t="s">
        <v>8</v>
      </c>
      <c r="GP369" s="27" t="s">
        <v>7</v>
      </c>
      <c r="GQ369" s="27" t="s">
        <v>8</v>
      </c>
      <c r="GR369" s="27" t="s">
        <v>7</v>
      </c>
      <c r="GY369" s="27" t="s">
        <v>8</v>
      </c>
      <c r="GZ369" s="27" t="s">
        <v>7</v>
      </c>
      <c r="HK369" s="27" t="s">
        <v>8</v>
      </c>
      <c r="HL369" s="27" t="s">
        <v>7</v>
      </c>
      <c r="HM369" s="27" t="s">
        <v>8</v>
      </c>
      <c r="HN369" s="27" t="s">
        <v>7</v>
      </c>
      <c r="HO369" s="27" t="s">
        <v>8</v>
      </c>
      <c r="HP369" s="27" t="s">
        <v>7</v>
      </c>
      <c r="HT369" s="27" t="s">
        <v>7</v>
      </c>
      <c r="HU369" s="27" t="s">
        <v>8</v>
      </c>
      <c r="HV369" s="27" t="s">
        <v>7</v>
      </c>
      <c r="HW369" s="27" t="s">
        <v>8</v>
      </c>
    </row>
    <row r="370" spans="1:253" x14ac:dyDescent="0.25">
      <c r="A370" s="7">
        <v>73.491527191731976</v>
      </c>
      <c r="B370"/>
      <c r="C370"/>
      <c r="D370"/>
      <c r="E370" t="s">
        <v>8</v>
      </c>
      <c r="F370" s="27" t="s">
        <v>7</v>
      </c>
      <c r="G370" s="27" t="s">
        <v>8</v>
      </c>
      <c r="H370" s="27" t="s">
        <v>7</v>
      </c>
      <c r="CS370" s="27" t="s">
        <v>8</v>
      </c>
      <c r="DS370" s="27" t="s">
        <v>8</v>
      </c>
      <c r="DT370" s="27" t="s">
        <v>7</v>
      </c>
      <c r="DW370" s="27" t="s">
        <v>8</v>
      </c>
      <c r="DX370" s="27" t="s">
        <v>7</v>
      </c>
      <c r="DY370" s="27" t="s">
        <v>8</v>
      </c>
      <c r="DZ370" s="27" t="s">
        <v>7</v>
      </c>
      <c r="EA370" s="27" t="s">
        <v>8</v>
      </c>
      <c r="EN370" s="27" t="s">
        <v>7</v>
      </c>
      <c r="EO370" s="27" t="s">
        <v>8</v>
      </c>
      <c r="EP370" s="27" t="s">
        <v>7</v>
      </c>
      <c r="EQ370" s="27" t="s">
        <v>8</v>
      </c>
      <c r="ER370" s="27" t="s">
        <v>7</v>
      </c>
      <c r="ES370" s="27" t="s">
        <v>8</v>
      </c>
      <c r="ET370" s="27" t="s">
        <v>7</v>
      </c>
      <c r="EU370" s="27" t="s">
        <v>8</v>
      </c>
      <c r="EV370" s="27" t="s">
        <v>7</v>
      </c>
      <c r="EW370" s="27" t="s">
        <v>8</v>
      </c>
      <c r="EX370" s="27" t="s">
        <v>7</v>
      </c>
      <c r="FK370" s="27" t="s">
        <v>8</v>
      </c>
      <c r="FL370" s="27" t="s">
        <v>7</v>
      </c>
      <c r="GE370" s="27" t="s">
        <v>8</v>
      </c>
      <c r="GG370" s="27" t="s">
        <v>8</v>
      </c>
      <c r="GH370" s="27" t="s">
        <v>7</v>
      </c>
      <c r="GI370" s="27" t="s">
        <v>8</v>
      </c>
      <c r="GK370" s="27" t="s">
        <v>8</v>
      </c>
      <c r="GL370" s="27" t="s">
        <v>7</v>
      </c>
      <c r="GN370" s="27" t="s">
        <v>7</v>
      </c>
      <c r="GO370" s="27" t="s">
        <v>8</v>
      </c>
      <c r="GP370" s="27" t="s">
        <v>7</v>
      </c>
      <c r="GQ370" s="27" t="s">
        <v>8</v>
      </c>
      <c r="GR370" s="27" t="s">
        <v>7</v>
      </c>
      <c r="GY370" s="27" t="s">
        <v>8</v>
      </c>
      <c r="GZ370" s="27" t="s">
        <v>7</v>
      </c>
      <c r="HK370" s="27" t="s">
        <v>8</v>
      </c>
      <c r="HL370" s="27" t="s">
        <v>7</v>
      </c>
      <c r="HM370" s="27" t="s">
        <v>8</v>
      </c>
      <c r="HN370" s="27" t="s">
        <v>7</v>
      </c>
      <c r="HO370" s="27" t="s">
        <v>8</v>
      </c>
      <c r="HT370" s="27" t="s">
        <v>7</v>
      </c>
      <c r="HU370" s="27" t="s">
        <v>8</v>
      </c>
      <c r="HV370" s="27" t="s">
        <v>7</v>
      </c>
      <c r="HW370" s="27" t="s">
        <v>8</v>
      </c>
      <c r="HX370" s="27" t="s">
        <v>7</v>
      </c>
    </row>
    <row r="371" spans="1:253" x14ac:dyDescent="0.25">
      <c r="A371" s="7">
        <v>72.050516854639184</v>
      </c>
      <c r="B371"/>
      <c r="C371"/>
      <c r="D371"/>
      <c r="E371" t="s">
        <v>8</v>
      </c>
      <c r="F371" s="27" t="s">
        <v>7</v>
      </c>
      <c r="G371" s="27" t="s">
        <v>8</v>
      </c>
      <c r="H371" s="27" t="s">
        <v>7</v>
      </c>
      <c r="K371" s="27" t="s">
        <v>8</v>
      </c>
      <c r="CS371" s="27" t="s">
        <v>8</v>
      </c>
      <c r="CT371" s="27" t="s">
        <v>7</v>
      </c>
      <c r="DS371" s="27" t="s">
        <v>8</v>
      </c>
      <c r="DT371" s="27" t="s">
        <v>7</v>
      </c>
      <c r="DU371" s="27" t="s">
        <v>8</v>
      </c>
      <c r="DW371" s="27" t="s">
        <v>8</v>
      </c>
      <c r="DX371" s="27" t="s">
        <v>7</v>
      </c>
      <c r="DY371" s="27" t="s">
        <v>8</v>
      </c>
      <c r="DZ371" s="27" t="s">
        <v>7</v>
      </c>
      <c r="EA371" s="27" t="s">
        <v>8</v>
      </c>
      <c r="EN371" s="27" t="s">
        <v>7</v>
      </c>
      <c r="EO371" s="27" t="s">
        <v>8</v>
      </c>
      <c r="EP371" s="27" t="s">
        <v>7</v>
      </c>
      <c r="EQ371" s="27" t="s">
        <v>8</v>
      </c>
      <c r="ER371" s="27" t="s">
        <v>7</v>
      </c>
      <c r="ES371" s="27" t="s">
        <v>8</v>
      </c>
      <c r="ET371" s="27" t="s">
        <v>7</v>
      </c>
      <c r="EU371" s="27" t="s">
        <v>8</v>
      </c>
      <c r="EV371" s="27" t="s">
        <v>7</v>
      </c>
      <c r="EW371" s="27" t="s">
        <v>8</v>
      </c>
      <c r="EX371" s="27" t="s">
        <v>7</v>
      </c>
      <c r="EY371" s="27" t="s">
        <v>8</v>
      </c>
      <c r="FK371" s="27" t="s">
        <v>8</v>
      </c>
      <c r="FL371" s="27" t="s">
        <v>7</v>
      </c>
      <c r="GE371" s="27" t="s">
        <v>8</v>
      </c>
      <c r="GF371" s="27" t="s">
        <v>7</v>
      </c>
      <c r="GG371" s="27" t="s">
        <v>8</v>
      </c>
      <c r="GH371" s="27" t="s">
        <v>7</v>
      </c>
      <c r="GI371" s="27" t="s">
        <v>8</v>
      </c>
      <c r="GJ371" s="27" t="s">
        <v>7</v>
      </c>
      <c r="GK371" s="27" t="s">
        <v>8</v>
      </c>
      <c r="GN371" s="27" t="s">
        <v>7</v>
      </c>
      <c r="GO371" s="27" t="s">
        <v>8</v>
      </c>
      <c r="GP371" s="27" t="s">
        <v>7</v>
      </c>
      <c r="GQ371" s="27" t="s">
        <v>8</v>
      </c>
      <c r="GR371" s="27" t="s">
        <v>7</v>
      </c>
      <c r="GY371" s="27" t="s">
        <v>8</v>
      </c>
      <c r="GZ371" s="27" t="s">
        <v>7</v>
      </c>
      <c r="HK371" s="27" t="s">
        <v>8</v>
      </c>
      <c r="HL371" s="27" t="s">
        <v>7</v>
      </c>
      <c r="HM371" s="27" t="s">
        <v>8</v>
      </c>
      <c r="HN371" s="27" t="s">
        <v>7</v>
      </c>
      <c r="HO371" s="27" t="s">
        <v>8</v>
      </c>
      <c r="HT371" s="27" t="s">
        <v>7</v>
      </c>
      <c r="HU371" s="27" t="s">
        <v>8</v>
      </c>
      <c r="HV371" s="27" t="s">
        <v>7</v>
      </c>
      <c r="HW371" s="27" t="s">
        <v>8</v>
      </c>
      <c r="HX371" s="27" t="s">
        <v>7</v>
      </c>
      <c r="IE371" s="27" t="s">
        <v>8</v>
      </c>
    </row>
    <row r="372" spans="1:253" x14ac:dyDescent="0.25">
      <c r="A372" s="7">
        <v>70.637761622195271</v>
      </c>
      <c r="B372"/>
      <c r="C372"/>
      <c r="D372"/>
      <c r="E372" t="s">
        <v>8</v>
      </c>
      <c r="F372" s="27" t="s">
        <v>7</v>
      </c>
      <c r="G372" s="27" t="s">
        <v>8</v>
      </c>
      <c r="H372" s="27" t="s">
        <v>7</v>
      </c>
      <c r="K372" s="27" t="s">
        <v>8</v>
      </c>
      <c r="L372" s="27" t="s">
        <v>7</v>
      </c>
      <c r="CS372" s="27" t="s">
        <v>8</v>
      </c>
      <c r="CT372" s="27" t="s">
        <v>7</v>
      </c>
      <c r="DS372" s="27" t="s">
        <v>8</v>
      </c>
      <c r="DT372" s="27" t="s">
        <v>7</v>
      </c>
      <c r="DU372" s="27" t="s">
        <v>8</v>
      </c>
      <c r="DV372" s="27" t="s">
        <v>7</v>
      </c>
      <c r="DW372" s="27" t="s">
        <v>8</v>
      </c>
      <c r="DX372" s="27" t="s">
        <v>7</v>
      </c>
      <c r="DY372" s="27" t="s">
        <v>8</v>
      </c>
      <c r="DZ372" s="27" t="s">
        <v>7</v>
      </c>
      <c r="EA372" s="27" t="s">
        <v>8</v>
      </c>
      <c r="EN372" s="27" t="s">
        <v>7</v>
      </c>
      <c r="EO372" s="27" t="s">
        <v>8</v>
      </c>
      <c r="EP372" s="27" t="s">
        <v>7</v>
      </c>
      <c r="EQ372" s="27" t="s">
        <v>8</v>
      </c>
      <c r="ER372" s="27" t="s">
        <v>7</v>
      </c>
      <c r="ES372" s="27" t="s">
        <v>8</v>
      </c>
      <c r="ET372" s="27" t="s">
        <v>7</v>
      </c>
      <c r="EU372" s="27" t="s">
        <v>8</v>
      </c>
      <c r="EV372" s="27" t="s">
        <v>7</v>
      </c>
      <c r="EX372" s="27" t="s">
        <v>7</v>
      </c>
      <c r="EY372" s="27" t="s">
        <v>8</v>
      </c>
      <c r="EZ372" s="27" t="s">
        <v>7</v>
      </c>
      <c r="FK372" s="27" t="s">
        <v>8</v>
      </c>
      <c r="FL372" s="27" t="s">
        <v>7</v>
      </c>
      <c r="GE372" s="27" t="s">
        <v>8</v>
      </c>
      <c r="GF372" s="27" t="s">
        <v>7</v>
      </c>
      <c r="GG372" s="27" t="s">
        <v>8</v>
      </c>
      <c r="GH372" s="27" t="s">
        <v>7</v>
      </c>
      <c r="GI372" s="27" t="s">
        <v>8</v>
      </c>
      <c r="GJ372" s="27" t="s">
        <v>7</v>
      </c>
      <c r="GK372" s="27" t="s">
        <v>8</v>
      </c>
      <c r="GN372" s="27" t="s">
        <v>7</v>
      </c>
      <c r="GO372" s="27" t="s">
        <v>8</v>
      </c>
      <c r="GP372" s="27" t="s">
        <v>7</v>
      </c>
      <c r="GQ372" s="27" t="s">
        <v>8</v>
      </c>
      <c r="GR372" s="27" t="s">
        <v>7</v>
      </c>
      <c r="GY372" s="27" t="s">
        <v>8</v>
      </c>
      <c r="GZ372" s="27" t="s">
        <v>7</v>
      </c>
      <c r="HK372" s="27" t="s">
        <v>8</v>
      </c>
      <c r="HL372" s="27" t="s">
        <v>7</v>
      </c>
      <c r="HM372" s="27" t="s">
        <v>8</v>
      </c>
      <c r="HN372" s="27" t="s">
        <v>7</v>
      </c>
      <c r="HO372" s="27" t="s">
        <v>8</v>
      </c>
      <c r="HT372" s="27" t="s">
        <v>7</v>
      </c>
      <c r="HU372" s="27" t="s">
        <v>8</v>
      </c>
      <c r="HV372" s="27" t="s">
        <v>7</v>
      </c>
      <c r="HW372" s="27" t="s">
        <v>8</v>
      </c>
      <c r="HX372" s="27" t="s">
        <v>7</v>
      </c>
      <c r="IE372" s="27" t="s">
        <v>8</v>
      </c>
      <c r="IF372" s="27" t="s">
        <v>7</v>
      </c>
      <c r="IG372" s="27" t="s">
        <v>8</v>
      </c>
      <c r="II372" s="27" t="s">
        <v>8</v>
      </c>
      <c r="IK372" s="27" t="s">
        <v>8</v>
      </c>
    </row>
    <row r="373" spans="1:253" x14ac:dyDescent="0.25">
      <c r="A373" s="7">
        <v>69.252707472740454</v>
      </c>
      <c r="B373"/>
      <c r="C373"/>
      <c r="D373"/>
      <c r="E373" t="s">
        <v>8</v>
      </c>
      <c r="F373" s="27" t="s">
        <v>7</v>
      </c>
      <c r="G373" s="27" t="s">
        <v>8</v>
      </c>
      <c r="H373" s="27" t="s">
        <v>7</v>
      </c>
      <c r="K373" s="27" t="s">
        <v>8</v>
      </c>
      <c r="L373" s="27" t="s">
        <v>7</v>
      </c>
      <c r="CQ373" s="27" t="s">
        <v>8</v>
      </c>
      <c r="CS373" s="27" t="s">
        <v>8</v>
      </c>
      <c r="CT373" s="27" t="s">
        <v>7</v>
      </c>
      <c r="DS373" s="27" t="s">
        <v>8</v>
      </c>
      <c r="DT373" s="27" t="s">
        <v>7</v>
      </c>
      <c r="DU373" s="27" t="s">
        <v>8</v>
      </c>
      <c r="DV373" s="27" t="s">
        <v>7</v>
      </c>
      <c r="DW373" s="27" t="s">
        <v>8</v>
      </c>
      <c r="DX373" s="27" t="s">
        <v>7</v>
      </c>
      <c r="DY373" s="27" t="s">
        <v>8</v>
      </c>
      <c r="DZ373" s="27" t="s">
        <v>7</v>
      </c>
      <c r="EA373" s="27" t="s">
        <v>8</v>
      </c>
      <c r="EN373" s="27" t="s">
        <v>7</v>
      </c>
      <c r="EO373" s="27" t="s">
        <v>8</v>
      </c>
      <c r="EP373" s="27" t="s">
        <v>7</v>
      </c>
      <c r="EQ373" s="27" t="s">
        <v>8</v>
      </c>
      <c r="ER373" s="27" t="s">
        <v>7</v>
      </c>
      <c r="ES373" s="27" t="s">
        <v>8</v>
      </c>
      <c r="ET373" s="27" t="s">
        <v>7</v>
      </c>
      <c r="EU373" s="27" t="s">
        <v>8</v>
      </c>
      <c r="EX373" s="27" t="s">
        <v>7</v>
      </c>
      <c r="EY373" s="27" t="s">
        <v>8</v>
      </c>
      <c r="EZ373" s="27" t="s">
        <v>7</v>
      </c>
      <c r="FK373" s="27" t="s">
        <v>8</v>
      </c>
      <c r="FL373" s="27" t="s">
        <v>7</v>
      </c>
      <c r="GE373" s="27" t="s">
        <v>8</v>
      </c>
      <c r="GF373" s="27" t="s">
        <v>7</v>
      </c>
      <c r="GH373" s="27" t="s">
        <v>7</v>
      </c>
      <c r="GI373" s="27" t="s">
        <v>8</v>
      </c>
      <c r="GJ373" s="27" t="s">
        <v>7</v>
      </c>
      <c r="GK373" s="27" t="s">
        <v>8</v>
      </c>
      <c r="GN373" s="27" t="s">
        <v>7</v>
      </c>
      <c r="GO373" s="27" t="s">
        <v>8</v>
      </c>
      <c r="GP373" s="27" t="s">
        <v>7</v>
      </c>
      <c r="GQ373" s="27" t="s">
        <v>8</v>
      </c>
      <c r="GR373" s="27" t="s">
        <v>7</v>
      </c>
      <c r="GY373" s="27" t="s">
        <v>8</v>
      </c>
      <c r="GZ373" s="27" t="s">
        <v>7</v>
      </c>
      <c r="HK373" s="27" t="s">
        <v>8</v>
      </c>
      <c r="HL373" s="27" t="s">
        <v>7</v>
      </c>
      <c r="HM373" s="27" t="s">
        <v>8</v>
      </c>
      <c r="HN373" s="27" t="s">
        <v>7</v>
      </c>
      <c r="HO373" s="27" t="s">
        <v>8</v>
      </c>
      <c r="HT373" s="27" t="s">
        <v>7</v>
      </c>
      <c r="HU373" s="27" t="s">
        <v>8</v>
      </c>
      <c r="HV373" s="27" t="s">
        <v>7</v>
      </c>
      <c r="HX373" s="27" t="s">
        <v>7</v>
      </c>
      <c r="IE373" s="27" t="s">
        <v>8</v>
      </c>
      <c r="IF373" s="27" t="s">
        <v>7</v>
      </c>
      <c r="IG373" s="27" t="s">
        <v>8</v>
      </c>
      <c r="IH373" s="27" t="s">
        <v>7</v>
      </c>
      <c r="II373" s="27" t="s">
        <v>8</v>
      </c>
      <c r="IJ373" s="27" t="s">
        <v>7</v>
      </c>
      <c r="IK373" s="27" t="s">
        <v>8</v>
      </c>
      <c r="IL373" s="27" t="s">
        <v>7</v>
      </c>
      <c r="IM373" s="27" t="s">
        <v>8</v>
      </c>
    </row>
    <row r="374" spans="1:253" x14ac:dyDescent="0.25">
      <c r="A374" s="7">
        <v>67.894811247784759</v>
      </c>
      <c r="B374"/>
      <c r="C374"/>
      <c r="D374"/>
      <c r="E374" t="s">
        <v>8</v>
      </c>
      <c r="F374" s="27" t="s">
        <v>7</v>
      </c>
      <c r="G374" s="27" t="s">
        <v>8</v>
      </c>
      <c r="H374" s="27" t="s">
        <v>7</v>
      </c>
      <c r="K374" s="27" t="s">
        <v>8</v>
      </c>
      <c r="L374" s="27" t="s">
        <v>7</v>
      </c>
      <c r="CM374" s="27" t="s">
        <v>8</v>
      </c>
      <c r="CQ374" s="27" t="s">
        <v>8</v>
      </c>
      <c r="CR374" s="27" t="s">
        <v>7</v>
      </c>
      <c r="CS374" s="27" t="s">
        <v>8</v>
      </c>
      <c r="CT374" s="27" t="s">
        <v>7</v>
      </c>
      <c r="DS374" s="27" t="s">
        <v>8</v>
      </c>
      <c r="DT374" s="27" t="s">
        <v>7</v>
      </c>
      <c r="DU374" s="27" t="s">
        <v>8</v>
      </c>
      <c r="DV374" s="27" t="s">
        <v>7</v>
      </c>
      <c r="DW374" s="27" t="s">
        <v>8</v>
      </c>
      <c r="DX374" s="27" t="s">
        <v>7</v>
      </c>
      <c r="DY374" s="27" t="s">
        <v>8</v>
      </c>
      <c r="DZ374" s="27" t="s">
        <v>7</v>
      </c>
      <c r="EA374" s="27" t="s">
        <v>8</v>
      </c>
      <c r="EN374" s="27" t="s">
        <v>7</v>
      </c>
      <c r="EO374" s="27" t="s">
        <v>8</v>
      </c>
      <c r="EP374" s="27" t="s">
        <v>7</v>
      </c>
      <c r="EQ374" s="27" t="s">
        <v>8</v>
      </c>
      <c r="ER374" s="27" t="s">
        <v>7</v>
      </c>
      <c r="ES374" s="27" t="s">
        <v>8</v>
      </c>
      <c r="ET374" s="27" t="s">
        <v>7</v>
      </c>
      <c r="EU374" s="27" t="s">
        <v>8</v>
      </c>
      <c r="EX374" s="27" t="s">
        <v>7</v>
      </c>
      <c r="EY374" s="27" t="s">
        <v>8</v>
      </c>
      <c r="EZ374" s="27" t="s">
        <v>7</v>
      </c>
      <c r="FA374" s="27" t="s">
        <v>8</v>
      </c>
      <c r="FK374" s="27" t="s">
        <v>8</v>
      </c>
      <c r="FL374" s="27" t="s">
        <v>7</v>
      </c>
      <c r="FW374" s="27" t="s">
        <v>8</v>
      </c>
      <c r="FY374" s="27" t="s">
        <v>8</v>
      </c>
      <c r="GE374" s="27" t="s">
        <v>8</v>
      </c>
      <c r="GH374" s="27" t="s">
        <v>7</v>
      </c>
      <c r="GJ374" s="27" t="s">
        <v>7</v>
      </c>
      <c r="GK374" s="27" t="s">
        <v>8</v>
      </c>
      <c r="GN374" s="27" t="s">
        <v>7</v>
      </c>
      <c r="GO374" s="27" t="s">
        <v>8</v>
      </c>
      <c r="GP374" s="27" t="s">
        <v>7</v>
      </c>
      <c r="GQ374" s="27" t="s">
        <v>8</v>
      </c>
      <c r="GR374" s="27" t="s">
        <v>7</v>
      </c>
      <c r="GS374" s="27" t="s">
        <v>8</v>
      </c>
      <c r="GY374" s="27" t="s">
        <v>8</v>
      </c>
      <c r="GZ374" s="27" t="s">
        <v>7</v>
      </c>
      <c r="HK374" s="27" t="s">
        <v>8</v>
      </c>
      <c r="HL374" s="27" t="s">
        <v>7</v>
      </c>
      <c r="HM374" s="27" t="s">
        <v>8</v>
      </c>
      <c r="HN374" s="27" t="s">
        <v>7</v>
      </c>
      <c r="HO374" s="27" t="s">
        <v>8</v>
      </c>
      <c r="HT374" s="27" t="s">
        <v>7</v>
      </c>
      <c r="HU374" s="27" t="s">
        <v>8</v>
      </c>
      <c r="HX374" s="27" t="s">
        <v>7</v>
      </c>
      <c r="IE374" s="27" t="s">
        <v>8</v>
      </c>
      <c r="IF374" s="27" t="s">
        <v>7</v>
      </c>
      <c r="IG374" s="27" t="s">
        <v>8</v>
      </c>
      <c r="IH374" s="27" t="s">
        <v>7</v>
      </c>
      <c r="II374" s="27" t="s">
        <v>8</v>
      </c>
      <c r="IJ374" s="27" t="s">
        <v>7</v>
      </c>
      <c r="IK374" s="27" t="s">
        <v>8</v>
      </c>
      <c r="IL374" s="27" t="s">
        <v>7</v>
      </c>
      <c r="IM374" s="27" t="s">
        <v>8</v>
      </c>
      <c r="IN374" s="27" t="s">
        <v>7</v>
      </c>
    </row>
    <row r="375" spans="1:253" x14ac:dyDescent="0.25">
      <c r="A375" s="7">
        <v>66.563540439004669</v>
      </c>
      <c r="B375"/>
      <c r="C375"/>
      <c r="D375"/>
      <c r="E375" t="s">
        <v>8</v>
      </c>
      <c r="F375" s="27" t="s">
        <v>7</v>
      </c>
      <c r="G375" s="27" t="s">
        <v>8</v>
      </c>
      <c r="H375" s="27" t="s">
        <v>7</v>
      </c>
      <c r="K375" s="27" t="s">
        <v>8</v>
      </c>
      <c r="L375" s="27" t="s">
        <v>7</v>
      </c>
      <c r="CM375" s="27" t="s">
        <v>8</v>
      </c>
      <c r="CN375" s="27" t="s">
        <v>7</v>
      </c>
      <c r="CO375" s="27" t="s">
        <v>8</v>
      </c>
      <c r="CQ375" s="27" t="s">
        <v>8</v>
      </c>
      <c r="CR375" s="27" t="s">
        <v>7</v>
      </c>
      <c r="CS375" s="27" t="s">
        <v>8</v>
      </c>
      <c r="CT375" s="27" t="s">
        <v>7</v>
      </c>
      <c r="DS375" s="27" t="s">
        <v>8</v>
      </c>
      <c r="DT375" s="27" t="s">
        <v>7</v>
      </c>
      <c r="DV375" s="27" t="s">
        <v>7</v>
      </c>
      <c r="DW375" s="27" t="s">
        <v>8</v>
      </c>
      <c r="DX375" s="27" t="s">
        <v>7</v>
      </c>
      <c r="DY375" s="27" t="s">
        <v>8</v>
      </c>
      <c r="DZ375" s="27" t="s">
        <v>7</v>
      </c>
      <c r="EN375" s="27" t="s">
        <v>7</v>
      </c>
      <c r="EO375" s="27" t="s">
        <v>8</v>
      </c>
      <c r="EP375" s="27" t="s">
        <v>7</v>
      </c>
      <c r="EQ375" s="27" t="s">
        <v>8</v>
      </c>
      <c r="ER375" s="27" t="s">
        <v>7</v>
      </c>
      <c r="ES375" s="27" t="s">
        <v>8</v>
      </c>
      <c r="ET375" s="27" t="s">
        <v>7</v>
      </c>
      <c r="EU375" s="27" t="s">
        <v>8</v>
      </c>
      <c r="EX375" s="27" t="s">
        <v>7</v>
      </c>
      <c r="EY375" s="27" t="s">
        <v>8</v>
      </c>
      <c r="EZ375" s="27" t="s">
        <v>7</v>
      </c>
      <c r="FA375" s="27" t="s">
        <v>8</v>
      </c>
      <c r="FB375" s="27" t="s">
        <v>7</v>
      </c>
      <c r="FK375" s="27" t="s">
        <v>8</v>
      </c>
      <c r="FL375" s="27" t="s">
        <v>7</v>
      </c>
      <c r="FW375" s="27" t="s">
        <v>8</v>
      </c>
      <c r="FX375" s="27" t="s">
        <v>7</v>
      </c>
      <c r="FY375" s="27" t="s">
        <v>8</v>
      </c>
      <c r="FZ375" s="27" t="s">
        <v>7</v>
      </c>
      <c r="GC375" s="27" t="s">
        <v>8</v>
      </c>
      <c r="GE375" s="27" t="s">
        <v>8</v>
      </c>
      <c r="GJ375" s="27" t="s">
        <v>7</v>
      </c>
      <c r="GN375" s="27" t="s">
        <v>7</v>
      </c>
      <c r="GO375" s="27" t="s">
        <v>8</v>
      </c>
      <c r="GP375" s="27" t="s">
        <v>7</v>
      </c>
      <c r="GQ375" s="27" t="s">
        <v>8</v>
      </c>
      <c r="GR375" s="27" t="s">
        <v>7</v>
      </c>
      <c r="GS375" s="27" t="s">
        <v>8</v>
      </c>
      <c r="GT375" s="27" t="s">
        <v>7</v>
      </c>
      <c r="GY375" s="27" t="s">
        <v>8</v>
      </c>
      <c r="GZ375" s="27" t="s">
        <v>7</v>
      </c>
      <c r="HK375" s="27" t="s">
        <v>8</v>
      </c>
      <c r="HL375" s="27" t="s">
        <v>7</v>
      </c>
      <c r="HM375" s="27" t="s">
        <v>8</v>
      </c>
      <c r="HN375" s="27" t="s">
        <v>7</v>
      </c>
      <c r="HT375" s="27" t="s">
        <v>7</v>
      </c>
      <c r="HX375" s="27" t="s">
        <v>7</v>
      </c>
      <c r="HY375" s="27" t="s">
        <v>8</v>
      </c>
      <c r="IE375" s="27" t="s">
        <v>8</v>
      </c>
      <c r="IF375" s="27" t="s">
        <v>7</v>
      </c>
      <c r="IG375" s="27" t="s">
        <v>8</v>
      </c>
      <c r="IH375" s="27" t="s">
        <v>7</v>
      </c>
      <c r="II375" s="27" t="s">
        <v>8</v>
      </c>
      <c r="IJ375" s="27" t="s">
        <v>7</v>
      </c>
      <c r="IK375" s="27" t="s">
        <v>8</v>
      </c>
      <c r="IL375" s="27" t="s">
        <v>7</v>
      </c>
      <c r="IM375" s="27" t="s">
        <v>8</v>
      </c>
      <c r="IN375" s="27" t="s">
        <v>7</v>
      </c>
    </row>
    <row r="376" spans="1:253" x14ac:dyDescent="0.25">
      <c r="A376" s="7">
        <v>65.258372979416336</v>
      </c>
      <c r="B376"/>
      <c r="C376"/>
      <c r="D376"/>
      <c r="E376" t="s">
        <v>8</v>
      </c>
      <c r="F376" s="27" t="s">
        <v>7</v>
      </c>
      <c r="G376" s="27" t="s">
        <v>8</v>
      </c>
      <c r="H376" s="27" t="s">
        <v>7</v>
      </c>
      <c r="K376" s="27" t="s">
        <v>8</v>
      </c>
      <c r="L376" s="27" t="s">
        <v>7</v>
      </c>
      <c r="CM376" s="27" t="s">
        <v>8</v>
      </c>
      <c r="CN376" s="27" t="s">
        <v>7</v>
      </c>
      <c r="CO376" s="27" t="s">
        <v>8</v>
      </c>
      <c r="CP376" s="27" t="s">
        <v>7</v>
      </c>
      <c r="CQ376" s="27" t="s">
        <v>8</v>
      </c>
      <c r="CR376" s="27" t="s">
        <v>7</v>
      </c>
      <c r="CS376" s="27" t="s">
        <v>8</v>
      </c>
      <c r="CT376" s="27" t="s">
        <v>7</v>
      </c>
      <c r="DK376" s="27" t="s">
        <v>8</v>
      </c>
      <c r="DS376" s="27" t="s">
        <v>8</v>
      </c>
      <c r="DV376" s="27" t="s">
        <v>7</v>
      </c>
      <c r="DW376" s="27" t="s">
        <v>8</v>
      </c>
      <c r="DX376" s="27" t="s">
        <v>7</v>
      </c>
      <c r="DY376" s="27" t="s">
        <v>8</v>
      </c>
      <c r="EN376" s="27" t="s">
        <v>7</v>
      </c>
      <c r="EO376" s="27" t="s">
        <v>8</v>
      </c>
      <c r="EP376" s="27" t="s">
        <v>7</v>
      </c>
      <c r="EQ376" s="27" t="s">
        <v>8</v>
      </c>
      <c r="ER376" s="27" t="s">
        <v>7</v>
      </c>
      <c r="ES376" s="27" t="s">
        <v>8</v>
      </c>
      <c r="ET376" s="27" t="s">
        <v>7</v>
      </c>
      <c r="EX376" s="27" t="s">
        <v>7</v>
      </c>
      <c r="EY376" s="27" t="s">
        <v>8</v>
      </c>
      <c r="EZ376" s="27" t="s">
        <v>7</v>
      </c>
      <c r="FA376" s="27" t="s">
        <v>8</v>
      </c>
      <c r="FB376" s="27" t="s">
        <v>7</v>
      </c>
      <c r="FK376" s="27" t="s">
        <v>8</v>
      </c>
      <c r="FL376" s="27" t="s">
        <v>7</v>
      </c>
      <c r="FW376" s="27" t="s">
        <v>8</v>
      </c>
      <c r="FX376" s="27" t="s">
        <v>7</v>
      </c>
      <c r="FY376" s="27" t="s">
        <v>8</v>
      </c>
      <c r="FZ376" s="27" t="s">
        <v>7</v>
      </c>
      <c r="GA376" s="27" t="s">
        <v>8</v>
      </c>
      <c r="GC376" s="27" t="s">
        <v>8</v>
      </c>
      <c r="GD376" s="27" t="s">
        <v>7</v>
      </c>
      <c r="GE376" s="27" t="s">
        <v>8</v>
      </c>
      <c r="GN376" s="27" t="s">
        <v>7</v>
      </c>
      <c r="GP376" s="27" t="s">
        <v>7</v>
      </c>
      <c r="GQ376" s="27" t="s">
        <v>8</v>
      </c>
      <c r="GR376" s="27" t="s">
        <v>7</v>
      </c>
      <c r="GS376" s="27" t="s">
        <v>8</v>
      </c>
      <c r="GT376" s="27" t="s">
        <v>7</v>
      </c>
      <c r="GU376" s="27" t="s">
        <v>8</v>
      </c>
      <c r="GY376" s="27" t="s">
        <v>8</v>
      </c>
      <c r="GZ376" s="27" t="s">
        <v>7</v>
      </c>
      <c r="HK376" s="27" t="s">
        <v>8</v>
      </c>
      <c r="HL376" s="27" t="s">
        <v>7</v>
      </c>
      <c r="HM376" s="27" t="s">
        <v>8</v>
      </c>
      <c r="HX376" s="27" t="s">
        <v>7</v>
      </c>
      <c r="HY376" s="27" t="s">
        <v>8</v>
      </c>
      <c r="HZ376" s="27" t="s">
        <v>7</v>
      </c>
      <c r="IE376" s="27" t="s">
        <v>8</v>
      </c>
      <c r="IF376" s="27" t="s">
        <v>7</v>
      </c>
      <c r="IH376" s="27" t="s">
        <v>7</v>
      </c>
      <c r="II376" s="27" t="s">
        <v>8</v>
      </c>
      <c r="IJ376" s="27" t="s">
        <v>7</v>
      </c>
      <c r="IL376" s="27" t="s">
        <v>7</v>
      </c>
      <c r="IM376" s="27" t="s">
        <v>8</v>
      </c>
      <c r="IN376" s="27" t="s">
        <v>7</v>
      </c>
    </row>
    <row r="377" spans="1:253" x14ac:dyDescent="0.25">
      <c r="A377" s="7">
        <v>63.978797038643471</v>
      </c>
      <c r="B377"/>
      <c r="C377"/>
      <c r="D377"/>
      <c r="E377" t="s">
        <v>8</v>
      </c>
      <c r="F377" s="27" t="s">
        <v>7</v>
      </c>
      <c r="G377" s="27" t="s">
        <v>8</v>
      </c>
      <c r="H377" s="27" t="s">
        <v>7</v>
      </c>
      <c r="K377" s="27" t="s">
        <v>8</v>
      </c>
      <c r="L377" s="27" t="s">
        <v>7</v>
      </c>
      <c r="CM377" s="27" t="s">
        <v>8</v>
      </c>
      <c r="CN377" s="27" t="s">
        <v>7</v>
      </c>
      <c r="CO377" s="27" t="s">
        <v>8</v>
      </c>
      <c r="CP377" s="27" t="s">
        <v>7</v>
      </c>
      <c r="CQ377" s="27" t="s">
        <v>8</v>
      </c>
      <c r="CR377" s="27" t="s">
        <v>7</v>
      </c>
      <c r="CS377" s="27" t="s">
        <v>8</v>
      </c>
      <c r="CT377" s="27" t="s">
        <v>7</v>
      </c>
      <c r="DK377" s="27" t="s">
        <v>8</v>
      </c>
      <c r="DL377" s="27" t="s">
        <v>7</v>
      </c>
      <c r="DS377" s="27" t="s">
        <v>8</v>
      </c>
      <c r="DV377" s="27" t="s">
        <v>7</v>
      </c>
      <c r="DW377" s="27" t="s">
        <v>8</v>
      </c>
      <c r="DX377" s="27" t="s">
        <v>7</v>
      </c>
      <c r="DY377" s="27" t="s">
        <v>8</v>
      </c>
      <c r="EN377" s="27" t="s">
        <v>7</v>
      </c>
      <c r="EO377" s="27" t="s">
        <v>8</v>
      </c>
      <c r="EP377" s="27" t="s">
        <v>7</v>
      </c>
      <c r="EQ377" s="27" t="s">
        <v>8</v>
      </c>
      <c r="ER377" s="27" t="s">
        <v>7</v>
      </c>
      <c r="EX377" s="27" t="s">
        <v>7</v>
      </c>
      <c r="EZ377" s="27" t="s">
        <v>7</v>
      </c>
      <c r="FA377" s="27" t="s">
        <v>8</v>
      </c>
      <c r="FB377" s="27" t="s">
        <v>7</v>
      </c>
      <c r="FI377" s="27" t="s">
        <v>8</v>
      </c>
      <c r="FK377" s="27" t="s">
        <v>8</v>
      </c>
      <c r="FL377" s="27" t="s">
        <v>7</v>
      </c>
      <c r="FW377" s="27" t="s">
        <v>8</v>
      </c>
      <c r="FX377" s="27" t="s">
        <v>7</v>
      </c>
      <c r="FY377" s="27" t="s">
        <v>8</v>
      </c>
      <c r="FZ377" s="27" t="s">
        <v>7</v>
      </c>
      <c r="GA377" s="27" t="s">
        <v>8</v>
      </c>
      <c r="GB377" s="27" t="s">
        <v>7</v>
      </c>
      <c r="GC377" s="27" t="s">
        <v>8</v>
      </c>
      <c r="GD377" s="27" t="s">
        <v>7</v>
      </c>
      <c r="GE377" s="27" t="s">
        <v>8</v>
      </c>
      <c r="GP377" s="27" t="s">
        <v>7</v>
      </c>
      <c r="GQ377" s="27" t="s">
        <v>8</v>
      </c>
      <c r="GR377" s="27" t="s">
        <v>7</v>
      </c>
      <c r="GS377" s="27" t="s">
        <v>8</v>
      </c>
      <c r="GT377" s="27" t="s">
        <v>7</v>
      </c>
      <c r="GU377" s="27" t="s">
        <v>8</v>
      </c>
      <c r="GV377" s="27" t="s">
        <v>7</v>
      </c>
      <c r="GY377" s="27" t="s">
        <v>8</v>
      </c>
      <c r="GZ377" s="27" t="s">
        <v>7</v>
      </c>
      <c r="HK377" s="27" t="s">
        <v>8</v>
      </c>
      <c r="HL377" s="27" t="s">
        <v>7</v>
      </c>
      <c r="HX377" s="27" t="s">
        <v>7</v>
      </c>
      <c r="HY377" s="27" t="s">
        <v>8</v>
      </c>
      <c r="HZ377" s="27" t="s">
        <v>7</v>
      </c>
      <c r="IE377" s="27" t="s">
        <v>8</v>
      </c>
      <c r="IH377" s="27" t="s">
        <v>7</v>
      </c>
      <c r="IL377" s="27" t="s">
        <v>7</v>
      </c>
      <c r="IM377" s="27" t="s">
        <v>8</v>
      </c>
      <c r="IN377" s="27" t="s">
        <v>7</v>
      </c>
    </row>
    <row r="378" spans="1:253" x14ac:dyDescent="0.25">
      <c r="A378" s="7">
        <v>62.724310822199477</v>
      </c>
      <c r="B378"/>
      <c r="C378"/>
      <c r="D378"/>
      <c r="E378" t="s">
        <v>8</v>
      </c>
      <c r="F378" s="27" t="s">
        <v>7</v>
      </c>
      <c r="G378" s="27" t="s">
        <v>8</v>
      </c>
      <c r="H378" s="27" t="s">
        <v>7</v>
      </c>
      <c r="K378" s="27" t="s">
        <v>8</v>
      </c>
      <c r="L378" s="27" t="s">
        <v>7</v>
      </c>
      <c r="CM378" s="27" t="s">
        <v>8</v>
      </c>
      <c r="CN378" s="27" t="s">
        <v>7</v>
      </c>
      <c r="CO378" s="27" t="s">
        <v>8</v>
      </c>
      <c r="CP378" s="27" t="s">
        <v>7</v>
      </c>
      <c r="CQ378" s="27" t="s">
        <v>8</v>
      </c>
      <c r="CR378" s="27" t="s">
        <v>7</v>
      </c>
      <c r="CS378" s="27" t="s">
        <v>8</v>
      </c>
      <c r="CT378" s="27" t="s">
        <v>7</v>
      </c>
      <c r="DK378" s="27" t="s">
        <v>8</v>
      </c>
      <c r="DL378" s="27" t="s">
        <v>7</v>
      </c>
      <c r="DS378" s="27" t="s">
        <v>8</v>
      </c>
      <c r="DV378" s="27" t="s">
        <v>7</v>
      </c>
      <c r="DW378" s="27" t="s">
        <v>8</v>
      </c>
      <c r="DX378" s="27" t="s">
        <v>7</v>
      </c>
      <c r="EN378" s="27" t="s">
        <v>7</v>
      </c>
      <c r="EO378" s="27" t="s">
        <v>8</v>
      </c>
      <c r="EP378" s="27" t="s">
        <v>7</v>
      </c>
      <c r="EQ378" s="27" t="s">
        <v>8</v>
      </c>
      <c r="EZ378" s="27" t="s">
        <v>7</v>
      </c>
      <c r="FA378" s="27" t="s">
        <v>8</v>
      </c>
      <c r="FB378" s="27" t="s">
        <v>7</v>
      </c>
      <c r="FG378" s="27" t="s">
        <v>8</v>
      </c>
      <c r="FI378" s="27" t="s">
        <v>8</v>
      </c>
      <c r="FJ378" s="27" t="s">
        <v>7</v>
      </c>
      <c r="FK378" s="27" t="s">
        <v>8</v>
      </c>
      <c r="FL378" s="27" t="s">
        <v>7</v>
      </c>
      <c r="FW378" s="27" t="s">
        <v>8</v>
      </c>
      <c r="FX378" s="27" t="s">
        <v>7</v>
      </c>
      <c r="FY378" s="27" t="s">
        <v>8</v>
      </c>
      <c r="FZ378" s="27" t="s">
        <v>7</v>
      </c>
      <c r="GA378" s="27" t="s">
        <v>8</v>
      </c>
      <c r="GB378" s="27" t="s">
        <v>7</v>
      </c>
      <c r="GC378" s="27" t="s">
        <v>8</v>
      </c>
      <c r="GD378" s="27" t="s">
        <v>7</v>
      </c>
      <c r="GP378" s="27" t="s">
        <v>7</v>
      </c>
      <c r="GQ378" s="27" t="s">
        <v>8</v>
      </c>
      <c r="GR378" s="27" t="s">
        <v>7</v>
      </c>
      <c r="GS378" s="27" t="s">
        <v>8</v>
      </c>
      <c r="GT378" s="27" t="s">
        <v>7</v>
      </c>
      <c r="GU378" s="27" t="s">
        <v>8</v>
      </c>
      <c r="GV378" s="27" t="s">
        <v>7</v>
      </c>
      <c r="GY378" s="27" t="s">
        <v>8</v>
      </c>
      <c r="GZ378" s="27" t="s">
        <v>7</v>
      </c>
      <c r="HK378" s="27" t="s">
        <v>8</v>
      </c>
      <c r="HX378" s="27" t="s">
        <v>7</v>
      </c>
      <c r="HY378" s="27" t="s">
        <v>8</v>
      </c>
      <c r="HZ378" s="27" t="s">
        <v>7</v>
      </c>
      <c r="IE378" s="27" t="s">
        <v>8</v>
      </c>
      <c r="IL378" s="27" t="s">
        <v>7</v>
      </c>
      <c r="IM378" s="27" t="s">
        <v>8</v>
      </c>
      <c r="IN378" s="27" t="s">
        <v>7</v>
      </c>
    </row>
    <row r="379" spans="1:253" x14ac:dyDescent="0.25">
      <c r="A379" s="7">
        <v>61.494422374705366</v>
      </c>
      <c r="B379"/>
      <c r="C379"/>
      <c r="D379"/>
      <c r="E379" t="s">
        <v>8</v>
      </c>
      <c r="F379" s="27" t="s">
        <v>7</v>
      </c>
      <c r="H379" s="27" t="s">
        <v>7</v>
      </c>
      <c r="K379" s="27" t="s">
        <v>8</v>
      </c>
      <c r="L379" s="27" t="s">
        <v>7</v>
      </c>
      <c r="CM379" s="27" t="s">
        <v>8</v>
      </c>
      <c r="CN379" s="27" t="s">
        <v>7</v>
      </c>
      <c r="CO379" s="27" t="s">
        <v>8</v>
      </c>
      <c r="CP379" s="27" t="s">
        <v>7</v>
      </c>
      <c r="CQ379" s="27" t="s">
        <v>8</v>
      </c>
      <c r="CR379" s="27" t="s">
        <v>7</v>
      </c>
      <c r="CS379" s="27" t="s">
        <v>8</v>
      </c>
      <c r="CT379" s="27" t="s">
        <v>7</v>
      </c>
      <c r="DK379" s="27" t="s">
        <v>8</v>
      </c>
      <c r="DL379" s="27" t="s">
        <v>7</v>
      </c>
      <c r="DM379" s="27" t="s">
        <v>8</v>
      </c>
      <c r="DS379" s="27" t="s">
        <v>8</v>
      </c>
      <c r="DV379" s="27" t="s">
        <v>7</v>
      </c>
      <c r="DW379" s="27" t="s">
        <v>8</v>
      </c>
      <c r="EN379" s="27" t="s">
        <v>7</v>
      </c>
      <c r="EO379" s="27" t="s">
        <v>8</v>
      </c>
      <c r="EP379" s="27" t="s">
        <v>7</v>
      </c>
      <c r="EQ379" s="27" t="s">
        <v>8</v>
      </c>
      <c r="EZ379" s="27" t="s">
        <v>7</v>
      </c>
      <c r="FA379" s="27" t="s">
        <v>8</v>
      </c>
      <c r="FB379" s="27" t="s">
        <v>7</v>
      </c>
      <c r="FC379" s="27" t="s">
        <v>8</v>
      </c>
      <c r="FG379" s="27" t="s">
        <v>8</v>
      </c>
      <c r="FH379" s="27" t="s">
        <v>7</v>
      </c>
      <c r="FI379" s="27" t="s">
        <v>8</v>
      </c>
      <c r="FJ379" s="27" t="s">
        <v>7</v>
      </c>
      <c r="FK379" s="27" t="s">
        <v>8</v>
      </c>
      <c r="FL379" s="27" t="s">
        <v>7</v>
      </c>
      <c r="FW379" s="27" t="s">
        <v>8</v>
      </c>
      <c r="FX379" s="27" t="s">
        <v>7</v>
      </c>
      <c r="FZ379" s="27" t="s">
        <v>7</v>
      </c>
      <c r="GB379" s="27" t="s">
        <v>7</v>
      </c>
      <c r="GC379" s="27" t="s">
        <v>8</v>
      </c>
      <c r="GP379" s="27" t="s">
        <v>7</v>
      </c>
      <c r="GR379" s="27" t="s">
        <v>7</v>
      </c>
      <c r="GS379" s="27" t="s">
        <v>8</v>
      </c>
      <c r="GT379" s="27" t="s">
        <v>7</v>
      </c>
      <c r="GU379" s="27" t="s">
        <v>8</v>
      </c>
      <c r="GV379" s="27" t="s">
        <v>7</v>
      </c>
      <c r="GY379" s="27" t="s">
        <v>8</v>
      </c>
      <c r="GZ379" s="27" t="s">
        <v>7</v>
      </c>
      <c r="HC379" s="27" t="s">
        <v>8</v>
      </c>
      <c r="HK379" s="27" t="s">
        <v>8</v>
      </c>
      <c r="HX379" s="27" t="s">
        <v>7</v>
      </c>
      <c r="HY379" s="27" t="s">
        <v>8</v>
      </c>
      <c r="HZ379" s="27" t="s">
        <v>7</v>
      </c>
      <c r="IA379" s="27" t="s">
        <v>8</v>
      </c>
      <c r="IE379" s="27" t="s">
        <v>8</v>
      </c>
      <c r="IL379" s="27" t="s">
        <v>7</v>
      </c>
      <c r="IM379" s="27" t="s">
        <v>8</v>
      </c>
      <c r="IN379" s="27" t="s">
        <v>7</v>
      </c>
    </row>
    <row r="380" spans="1:253" x14ac:dyDescent="0.25">
      <c r="A380" s="7">
        <v>60.288649386966043</v>
      </c>
      <c r="B380"/>
      <c r="C380"/>
      <c r="D380"/>
      <c r="E380" t="s">
        <v>8</v>
      </c>
      <c r="H380" s="27" t="s">
        <v>7</v>
      </c>
      <c r="K380" s="27" t="s">
        <v>8</v>
      </c>
      <c r="L380" s="27" t="s">
        <v>7</v>
      </c>
      <c r="CM380" s="27" t="s">
        <v>8</v>
      </c>
      <c r="CN380" s="27" t="s">
        <v>7</v>
      </c>
      <c r="CO380" s="27" t="s">
        <v>8</v>
      </c>
      <c r="CP380" s="27" t="s">
        <v>7</v>
      </c>
      <c r="CQ380" s="27" t="s">
        <v>8</v>
      </c>
      <c r="CR380" s="27" t="s">
        <v>7</v>
      </c>
      <c r="CS380" s="27" t="s">
        <v>8</v>
      </c>
      <c r="CT380" s="27" t="s">
        <v>7</v>
      </c>
      <c r="DK380" s="27" t="s">
        <v>8</v>
      </c>
      <c r="DL380" s="27" t="s">
        <v>7</v>
      </c>
      <c r="DM380" s="27" t="s">
        <v>8</v>
      </c>
      <c r="DN380" s="27" t="s">
        <v>7</v>
      </c>
      <c r="DQ380" s="27" t="s">
        <v>8</v>
      </c>
      <c r="DS380" s="27" t="s">
        <v>8</v>
      </c>
      <c r="DV380" s="27" t="s">
        <v>7</v>
      </c>
      <c r="DW380" s="27" t="s">
        <v>8</v>
      </c>
      <c r="EN380" s="27" t="s">
        <v>7</v>
      </c>
      <c r="EO380" s="27" t="s">
        <v>8</v>
      </c>
      <c r="EP380" s="27" t="s">
        <v>7</v>
      </c>
      <c r="EQ380" s="27" t="s">
        <v>8</v>
      </c>
      <c r="EZ380" s="27" t="s">
        <v>7</v>
      </c>
      <c r="FA380" s="27" t="s">
        <v>8</v>
      </c>
      <c r="FB380" s="27" t="s">
        <v>7</v>
      </c>
      <c r="FC380" s="27" t="s">
        <v>8</v>
      </c>
      <c r="FD380" s="27" t="s">
        <v>7</v>
      </c>
      <c r="FE380" s="27" t="s">
        <v>8</v>
      </c>
      <c r="FG380" s="27" t="s">
        <v>8</v>
      </c>
      <c r="FH380" s="27" t="s">
        <v>7</v>
      </c>
      <c r="FI380" s="27" t="s">
        <v>8</v>
      </c>
      <c r="FJ380" s="27" t="s">
        <v>7</v>
      </c>
      <c r="FK380" s="27" t="s">
        <v>8</v>
      </c>
      <c r="FL380" s="27" t="s">
        <v>7</v>
      </c>
      <c r="FU380" s="27" t="s">
        <v>8</v>
      </c>
      <c r="FW380" s="27" t="s">
        <v>8</v>
      </c>
      <c r="GB380" s="27" t="s">
        <v>7</v>
      </c>
      <c r="GC380" s="27" t="s">
        <v>8</v>
      </c>
      <c r="GR380" s="27" t="s">
        <v>7</v>
      </c>
      <c r="GS380" s="27" t="s">
        <v>8</v>
      </c>
      <c r="GT380" s="27" t="s">
        <v>7</v>
      </c>
      <c r="GU380" s="27" t="s">
        <v>8</v>
      </c>
      <c r="GV380" s="27" t="s">
        <v>7</v>
      </c>
      <c r="GY380" s="27" t="s">
        <v>8</v>
      </c>
      <c r="GZ380" s="27" t="s">
        <v>7</v>
      </c>
      <c r="HC380" s="27" t="s">
        <v>8</v>
      </c>
      <c r="HD380" s="27" t="s">
        <v>7</v>
      </c>
      <c r="HE380" s="27" t="s">
        <v>8</v>
      </c>
      <c r="HG380" s="27" t="s">
        <v>8</v>
      </c>
      <c r="HK380" s="27" t="s">
        <v>8</v>
      </c>
      <c r="HX380" s="27" t="s">
        <v>7</v>
      </c>
      <c r="HY380" s="27" t="s">
        <v>8</v>
      </c>
      <c r="HZ380" s="27" t="s">
        <v>7</v>
      </c>
      <c r="IA380" s="27" t="s">
        <v>8</v>
      </c>
      <c r="IB380" s="27" t="s">
        <v>7</v>
      </c>
      <c r="IE380" s="27" t="s">
        <v>8</v>
      </c>
      <c r="IL380" s="27" t="s">
        <v>7</v>
      </c>
      <c r="IM380" s="27" t="s">
        <v>8</v>
      </c>
      <c r="IN380" s="27" t="s">
        <v>7</v>
      </c>
    </row>
    <row r="381" spans="1:253" x14ac:dyDescent="0.25">
      <c r="A381" s="7">
        <v>59.106519006829451</v>
      </c>
      <c r="B381"/>
      <c r="C381"/>
      <c r="D381"/>
      <c r="E381" t="s">
        <v>8</v>
      </c>
      <c r="H381" s="27" t="s">
        <v>7</v>
      </c>
      <c r="K381" s="27" t="s">
        <v>8</v>
      </c>
      <c r="L381" s="27" t="s">
        <v>7</v>
      </c>
      <c r="CM381" s="27" t="s">
        <v>8</v>
      </c>
      <c r="CN381" s="27" t="s">
        <v>7</v>
      </c>
      <c r="CO381" s="27" t="s">
        <v>8</v>
      </c>
      <c r="CP381" s="27" t="s">
        <v>7</v>
      </c>
      <c r="CQ381" s="27" t="s">
        <v>8</v>
      </c>
      <c r="CR381" s="27" t="s">
        <v>7</v>
      </c>
      <c r="CS381" s="27" t="s">
        <v>8</v>
      </c>
      <c r="CT381" s="27" t="s">
        <v>7</v>
      </c>
      <c r="DK381" s="27" t="s">
        <v>8</v>
      </c>
      <c r="DL381" s="27" t="s">
        <v>7</v>
      </c>
      <c r="DM381" s="27" t="s">
        <v>8</v>
      </c>
      <c r="DN381" s="27" t="s">
        <v>7</v>
      </c>
      <c r="DO381" s="27" t="s">
        <v>8</v>
      </c>
      <c r="DQ381" s="27" t="s">
        <v>8</v>
      </c>
      <c r="DR381" s="27" t="s">
        <v>7</v>
      </c>
      <c r="DS381" s="27" t="s">
        <v>8</v>
      </c>
      <c r="DV381" s="27" t="s">
        <v>7</v>
      </c>
      <c r="DW381" s="27" t="s">
        <v>8</v>
      </c>
      <c r="EN381" s="27" t="s">
        <v>7</v>
      </c>
      <c r="EO381" s="27" t="s">
        <v>8</v>
      </c>
      <c r="EP381" s="27" t="s">
        <v>7</v>
      </c>
      <c r="EQ381" s="27" t="s">
        <v>8</v>
      </c>
      <c r="EZ381" s="27" t="s">
        <v>7</v>
      </c>
      <c r="FA381" s="27" t="s">
        <v>8</v>
      </c>
      <c r="FB381" s="27" t="s">
        <v>7</v>
      </c>
      <c r="FC381" s="27" t="s">
        <v>8</v>
      </c>
      <c r="FD381" s="27" t="s">
        <v>7</v>
      </c>
      <c r="FE381" s="27" t="s">
        <v>8</v>
      </c>
      <c r="FF381" s="27" t="s">
        <v>7</v>
      </c>
      <c r="FG381" s="27" t="s">
        <v>8</v>
      </c>
      <c r="FH381" s="27" t="s">
        <v>7</v>
      </c>
      <c r="FI381" s="27" t="s">
        <v>8</v>
      </c>
      <c r="FJ381" s="27" t="s">
        <v>7</v>
      </c>
      <c r="FK381" s="27" t="s">
        <v>8</v>
      </c>
      <c r="FL381" s="27" t="s">
        <v>7</v>
      </c>
      <c r="FU381" s="27" t="s">
        <v>8</v>
      </c>
      <c r="FV381" s="27" t="s">
        <v>7</v>
      </c>
      <c r="FW381" s="27" t="s">
        <v>8</v>
      </c>
      <c r="GB381" s="27" t="s">
        <v>7</v>
      </c>
      <c r="GR381" s="27" t="s">
        <v>7</v>
      </c>
      <c r="GS381" s="27" t="s">
        <v>8</v>
      </c>
      <c r="GT381" s="27" t="s">
        <v>7</v>
      </c>
      <c r="GU381" s="27" t="s">
        <v>8</v>
      </c>
      <c r="GV381" s="27" t="s">
        <v>7</v>
      </c>
      <c r="GW381" s="27" t="s">
        <v>8</v>
      </c>
      <c r="GY381" s="27" t="s">
        <v>8</v>
      </c>
      <c r="GZ381" s="27" t="s">
        <v>7</v>
      </c>
      <c r="HC381" s="27" t="s">
        <v>8</v>
      </c>
      <c r="HD381" s="27" t="s">
        <v>7</v>
      </c>
      <c r="HE381" s="27" t="s">
        <v>8</v>
      </c>
      <c r="HF381" s="27" t="s">
        <v>7</v>
      </c>
      <c r="HG381" s="27" t="s">
        <v>8</v>
      </c>
      <c r="HH381" s="27" t="s">
        <v>7</v>
      </c>
      <c r="HK381" s="27" t="s">
        <v>8</v>
      </c>
      <c r="HX381" s="27" t="s">
        <v>7</v>
      </c>
      <c r="HY381" s="27" t="s">
        <v>8</v>
      </c>
      <c r="HZ381" s="27" t="s">
        <v>7</v>
      </c>
      <c r="IA381" s="27" t="s">
        <v>8</v>
      </c>
      <c r="IB381" s="27" t="s">
        <v>7</v>
      </c>
      <c r="IE381" s="27" t="s">
        <v>8</v>
      </c>
      <c r="IL381" s="27" t="s">
        <v>7</v>
      </c>
      <c r="IM381" s="27" t="s">
        <v>8</v>
      </c>
      <c r="IN381" s="27" t="s">
        <v>7</v>
      </c>
    </row>
    <row r="382" spans="1:253" x14ac:dyDescent="0.25">
      <c r="A382" s="7">
        <v>57.947567653754362</v>
      </c>
      <c r="B382"/>
      <c r="C382"/>
      <c r="D382"/>
      <c r="E382" t="s">
        <v>8</v>
      </c>
      <c r="H382" s="27" t="s">
        <v>7</v>
      </c>
      <c r="K382" s="27" t="s">
        <v>8</v>
      </c>
      <c r="L382" s="27" t="s">
        <v>7</v>
      </c>
      <c r="CM382" s="27" t="s">
        <v>8</v>
      </c>
      <c r="CN382" s="27" t="s">
        <v>7</v>
      </c>
      <c r="CO382" s="27" t="s">
        <v>8</v>
      </c>
      <c r="CP382" s="27" t="s">
        <v>7</v>
      </c>
      <c r="CQ382" s="27" t="s">
        <v>8</v>
      </c>
      <c r="CR382" s="27" t="s">
        <v>7</v>
      </c>
      <c r="CS382" s="27" t="s">
        <v>8</v>
      </c>
      <c r="CT382" s="27" t="s">
        <v>7</v>
      </c>
      <c r="DK382" s="27" t="s">
        <v>8</v>
      </c>
      <c r="DL382" s="27" t="s">
        <v>7</v>
      </c>
      <c r="DM382" s="27" t="s">
        <v>8</v>
      </c>
      <c r="DN382" s="27" t="s">
        <v>7</v>
      </c>
      <c r="DO382" s="27" t="s">
        <v>8</v>
      </c>
      <c r="DP382" s="27" t="s">
        <v>7</v>
      </c>
      <c r="DQ382" s="27" t="s">
        <v>8</v>
      </c>
      <c r="DR382" s="27" t="s">
        <v>7</v>
      </c>
      <c r="DS382" s="27" t="s">
        <v>8</v>
      </c>
      <c r="DV382" s="27" t="s">
        <v>7</v>
      </c>
      <c r="DW382" s="27" t="s">
        <v>8</v>
      </c>
      <c r="EN382" s="27" t="s">
        <v>7</v>
      </c>
      <c r="EO382" s="27" t="s">
        <v>8</v>
      </c>
      <c r="EP382" s="27" t="s">
        <v>7</v>
      </c>
      <c r="EQ382" s="27" t="s">
        <v>8</v>
      </c>
      <c r="EZ382" s="27" t="s">
        <v>7</v>
      </c>
      <c r="FB382" s="27" t="s">
        <v>7</v>
      </c>
      <c r="FC382" s="27" t="s">
        <v>8</v>
      </c>
      <c r="FD382" s="27" t="s">
        <v>7</v>
      </c>
      <c r="FE382" s="27" t="s">
        <v>8</v>
      </c>
      <c r="FF382" s="27" t="s">
        <v>7</v>
      </c>
      <c r="FG382" s="27" t="s">
        <v>8</v>
      </c>
      <c r="FH382" s="27" t="s">
        <v>7</v>
      </c>
      <c r="FI382" s="27" t="s">
        <v>8</v>
      </c>
      <c r="FJ382" s="27" t="s">
        <v>7</v>
      </c>
      <c r="FK382" s="27" t="s">
        <v>8</v>
      </c>
      <c r="FL382" s="27" t="s">
        <v>7</v>
      </c>
      <c r="FU382" s="27" t="s">
        <v>8</v>
      </c>
      <c r="FV382" s="27" t="s">
        <v>7</v>
      </c>
      <c r="FW382" s="27" t="s">
        <v>8</v>
      </c>
      <c r="GR382" s="27" t="s">
        <v>7</v>
      </c>
      <c r="GT382" s="27" t="s">
        <v>7</v>
      </c>
      <c r="GU382" s="27" t="s">
        <v>8</v>
      </c>
      <c r="GV382" s="27" t="s">
        <v>7</v>
      </c>
      <c r="GW382" s="27" t="s">
        <v>8</v>
      </c>
      <c r="GX382" s="27" t="s">
        <v>7</v>
      </c>
      <c r="GY382" s="27" t="s">
        <v>8</v>
      </c>
      <c r="GZ382" s="27" t="s">
        <v>7</v>
      </c>
      <c r="HC382" s="27" t="s">
        <v>8</v>
      </c>
      <c r="HD382" s="27" t="s">
        <v>7</v>
      </c>
      <c r="HE382" s="27" t="s">
        <v>8</v>
      </c>
      <c r="HF382" s="27" t="s">
        <v>7</v>
      </c>
      <c r="HG382" s="27" t="s">
        <v>8</v>
      </c>
      <c r="HH382" s="27" t="s">
        <v>7</v>
      </c>
      <c r="HK382" s="27" t="s">
        <v>8</v>
      </c>
      <c r="HX382" s="27" t="s">
        <v>7</v>
      </c>
      <c r="HY382" s="27" t="s">
        <v>8</v>
      </c>
      <c r="HZ382" s="27" t="s">
        <v>7</v>
      </c>
      <c r="IA382" s="27" t="s">
        <v>8</v>
      </c>
      <c r="IB382" s="27" t="s">
        <v>7</v>
      </c>
      <c r="IE382" s="27" t="s">
        <v>8</v>
      </c>
      <c r="IL382" s="27" t="s">
        <v>7</v>
      </c>
      <c r="IN382" s="27" t="s">
        <v>7</v>
      </c>
      <c r="IO382" s="27" t="s">
        <v>8</v>
      </c>
      <c r="IQ382" s="27" t="s">
        <v>8</v>
      </c>
    </row>
    <row r="383" spans="1:253" x14ac:dyDescent="0.25">
      <c r="A383" s="7">
        <v>56.811340837014079</v>
      </c>
      <c r="B383"/>
      <c r="C383"/>
      <c r="D383"/>
      <c r="E383" t="s">
        <v>8</v>
      </c>
      <c r="H383" s="27" t="s">
        <v>7</v>
      </c>
      <c r="K383" s="27" t="s">
        <v>8</v>
      </c>
      <c r="L383" s="27" t="s">
        <v>7</v>
      </c>
      <c r="CC383" s="27" t="s">
        <v>8</v>
      </c>
      <c r="CM383" s="27" t="s">
        <v>8</v>
      </c>
      <c r="CN383" s="27" t="s">
        <v>7</v>
      </c>
      <c r="CO383" s="27" t="s">
        <v>8</v>
      </c>
      <c r="CP383" s="27" t="s">
        <v>7</v>
      </c>
      <c r="CQ383" s="27" t="s">
        <v>8</v>
      </c>
      <c r="CR383" s="27" t="s">
        <v>7</v>
      </c>
      <c r="CS383" s="27" t="s">
        <v>8</v>
      </c>
      <c r="CT383" s="27" t="s">
        <v>7</v>
      </c>
      <c r="DC383" s="27" t="s">
        <v>8</v>
      </c>
      <c r="DK383" s="27" t="s">
        <v>8</v>
      </c>
      <c r="DL383" s="27" t="s">
        <v>7</v>
      </c>
      <c r="DN383" s="27" t="s">
        <v>7</v>
      </c>
      <c r="DO383" s="27" t="s">
        <v>8</v>
      </c>
      <c r="DP383" s="27" t="s">
        <v>7</v>
      </c>
      <c r="DQ383" s="27" t="s">
        <v>8</v>
      </c>
      <c r="DR383" s="27" t="s">
        <v>7</v>
      </c>
      <c r="DS383" s="27" t="s">
        <v>8</v>
      </c>
      <c r="DV383" s="27" t="s">
        <v>7</v>
      </c>
      <c r="EN383" s="27" t="s">
        <v>7</v>
      </c>
      <c r="EO383" s="27" t="s">
        <v>8</v>
      </c>
      <c r="EP383" s="27" t="s">
        <v>7</v>
      </c>
      <c r="EQ383" s="27" t="s">
        <v>8</v>
      </c>
      <c r="FB383" s="27" t="s">
        <v>7</v>
      </c>
      <c r="FC383" s="27" t="s">
        <v>8</v>
      </c>
      <c r="FD383" s="27" t="s">
        <v>7</v>
      </c>
      <c r="FE383" s="27" t="s">
        <v>8</v>
      </c>
      <c r="FF383" s="27" t="s">
        <v>7</v>
      </c>
      <c r="FG383" s="27" t="s">
        <v>8</v>
      </c>
      <c r="FH383" s="27" t="s">
        <v>7</v>
      </c>
      <c r="FI383" s="27" t="s">
        <v>8</v>
      </c>
      <c r="FJ383" s="27" t="s">
        <v>7</v>
      </c>
      <c r="FL383" s="27" t="s">
        <v>7</v>
      </c>
      <c r="FQ383" s="27" t="s">
        <v>8</v>
      </c>
      <c r="FS383" s="27" t="s">
        <v>8</v>
      </c>
      <c r="FU383" s="27" t="s">
        <v>8</v>
      </c>
      <c r="FV383" s="27" t="s">
        <v>7</v>
      </c>
      <c r="FW383" s="27" t="s">
        <v>8</v>
      </c>
      <c r="GT383" s="27" t="s">
        <v>7</v>
      </c>
      <c r="GU383" s="27" t="s">
        <v>8</v>
      </c>
      <c r="GV383" s="27" t="s">
        <v>7</v>
      </c>
      <c r="GW383" s="27" t="s">
        <v>8</v>
      </c>
      <c r="GX383" s="27" t="s">
        <v>7</v>
      </c>
      <c r="GY383" s="27" t="s">
        <v>8</v>
      </c>
      <c r="GZ383" s="27" t="s">
        <v>7</v>
      </c>
      <c r="HC383" s="27" t="s">
        <v>8</v>
      </c>
      <c r="HD383" s="27" t="s">
        <v>7</v>
      </c>
      <c r="HE383" s="27" t="s">
        <v>8</v>
      </c>
      <c r="HF383" s="27" t="s">
        <v>7</v>
      </c>
      <c r="HG383" s="27" t="s">
        <v>8</v>
      </c>
      <c r="HH383" s="27" t="s">
        <v>7</v>
      </c>
      <c r="HK383" s="27" t="s">
        <v>8</v>
      </c>
      <c r="HX383" s="27" t="s">
        <v>7</v>
      </c>
      <c r="HY383" s="27" t="s">
        <v>8</v>
      </c>
      <c r="HZ383" s="27" t="s">
        <v>7</v>
      </c>
      <c r="IA383" s="27" t="s">
        <v>8</v>
      </c>
      <c r="IB383" s="27" t="s">
        <v>7</v>
      </c>
      <c r="IE383" s="27" t="s">
        <v>8</v>
      </c>
      <c r="IN383" s="27" t="s">
        <v>7</v>
      </c>
      <c r="IO383" s="27" t="s">
        <v>8</v>
      </c>
      <c r="IP383" s="27" t="s">
        <v>7</v>
      </c>
      <c r="IQ383" s="27" t="s">
        <v>8</v>
      </c>
      <c r="IR383" s="27" t="s">
        <v>7</v>
      </c>
    </row>
    <row r="384" spans="1:253" x14ac:dyDescent="0.25">
      <c r="A384" s="7">
        <v>55.69739297746478</v>
      </c>
      <c r="B384"/>
      <c r="C384"/>
      <c r="D384"/>
      <c r="E384" t="s">
        <v>8</v>
      </c>
      <c r="H384" s="27" t="s">
        <v>7</v>
      </c>
      <c r="K384" s="27" t="s">
        <v>8</v>
      </c>
      <c r="L384" s="27" t="s">
        <v>7</v>
      </c>
      <c r="CC384" s="27" t="s">
        <v>8</v>
      </c>
      <c r="CD384" s="27" t="s">
        <v>7</v>
      </c>
      <c r="CM384" s="27" t="s">
        <v>8</v>
      </c>
      <c r="CN384" s="27" t="s">
        <v>7</v>
      </c>
      <c r="CO384" s="27" t="s">
        <v>8</v>
      </c>
      <c r="CP384" s="27" t="s">
        <v>7</v>
      </c>
      <c r="CQ384" s="27" t="s">
        <v>8</v>
      </c>
      <c r="CR384" s="27" t="s">
        <v>7</v>
      </c>
      <c r="CT384" s="27" t="s">
        <v>7</v>
      </c>
      <c r="CU384" s="27" t="s">
        <v>8</v>
      </c>
      <c r="DC384" s="27" t="s">
        <v>8</v>
      </c>
      <c r="DD384" s="27" t="s">
        <v>7</v>
      </c>
      <c r="DK384" s="27" t="s">
        <v>8</v>
      </c>
      <c r="DN384" s="27" t="s">
        <v>7</v>
      </c>
      <c r="DO384" s="27" t="s">
        <v>8</v>
      </c>
      <c r="DP384" s="27" t="s">
        <v>7</v>
      </c>
      <c r="DQ384" s="27" t="s">
        <v>8</v>
      </c>
      <c r="DR384" s="27" t="s">
        <v>7</v>
      </c>
      <c r="EN384" s="27" t="s">
        <v>7</v>
      </c>
      <c r="EO384" s="27" t="s">
        <v>8</v>
      </c>
      <c r="EP384" s="27" t="s">
        <v>7</v>
      </c>
      <c r="EQ384" s="27" t="s">
        <v>8</v>
      </c>
      <c r="FB384" s="27" t="s">
        <v>7</v>
      </c>
      <c r="FC384" s="27" t="s">
        <v>8</v>
      </c>
      <c r="FD384" s="27" t="s">
        <v>7</v>
      </c>
      <c r="FE384" s="27" t="s">
        <v>8</v>
      </c>
      <c r="FF384" s="27" t="s">
        <v>7</v>
      </c>
      <c r="FG384" s="27" t="s">
        <v>8</v>
      </c>
      <c r="FH384" s="27" t="s">
        <v>7</v>
      </c>
      <c r="FL384" s="27" t="s">
        <v>7</v>
      </c>
      <c r="FM384" s="27" t="s">
        <v>8</v>
      </c>
      <c r="FQ384" s="27" t="s">
        <v>8</v>
      </c>
      <c r="FR384" s="27" t="s">
        <v>7</v>
      </c>
      <c r="FS384" s="27" t="s">
        <v>8</v>
      </c>
      <c r="FT384" s="27" t="s">
        <v>7</v>
      </c>
      <c r="FU384" s="27" t="s">
        <v>8</v>
      </c>
      <c r="FV384" s="27" t="s">
        <v>7</v>
      </c>
      <c r="FW384" s="27" t="s">
        <v>8</v>
      </c>
      <c r="GT384" s="27" t="s">
        <v>7</v>
      </c>
      <c r="GV384" s="27" t="s">
        <v>7</v>
      </c>
      <c r="GW384" s="27" t="s">
        <v>8</v>
      </c>
      <c r="GX384" s="27" t="s">
        <v>7</v>
      </c>
      <c r="GY384" s="27" t="s">
        <v>8</v>
      </c>
      <c r="GZ384" s="27" t="s">
        <v>7</v>
      </c>
      <c r="HA384" s="27" t="s">
        <v>8</v>
      </c>
      <c r="HC384" s="27" t="s">
        <v>8</v>
      </c>
      <c r="HD384" s="27" t="s">
        <v>7</v>
      </c>
      <c r="HE384" s="27" t="s">
        <v>8</v>
      </c>
      <c r="HF384" s="27" t="s">
        <v>7</v>
      </c>
      <c r="HH384" s="27" t="s">
        <v>7</v>
      </c>
      <c r="HK384" s="27" t="s">
        <v>8</v>
      </c>
      <c r="HX384" s="27" t="s">
        <v>7</v>
      </c>
      <c r="HY384" s="27" t="s">
        <v>8</v>
      </c>
      <c r="HZ384" s="27" t="s">
        <v>7</v>
      </c>
      <c r="IB384" s="27" t="s">
        <v>7</v>
      </c>
      <c r="IE384" s="27" t="s">
        <v>8</v>
      </c>
      <c r="IN384" s="27" t="s">
        <v>7</v>
      </c>
      <c r="IO384" s="27" t="s">
        <v>8</v>
      </c>
      <c r="IP384" s="27" t="s">
        <v>7</v>
      </c>
      <c r="IQ384" s="27" t="s">
        <v>8</v>
      </c>
      <c r="IR384" s="27" t="s">
        <v>7</v>
      </c>
      <c r="IS384" s="27" t="s">
        <v>8</v>
      </c>
    </row>
    <row r="385" spans="1:255" x14ac:dyDescent="0.25">
      <c r="A385" s="7">
        <v>54.605287232808607</v>
      </c>
      <c r="B385"/>
      <c r="C385"/>
      <c r="D385"/>
      <c r="E385" t="s">
        <v>8</v>
      </c>
      <c r="H385" s="27" t="s">
        <v>7</v>
      </c>
      <c r="K385" s="27" t="s">
        <v>8</v>
      </c>
      <c r="L385" s="27" t="s">
        <v>7</v>
      </c>
      <c r="M385" s="27" t="s">
        <v>8</v>
      </c>
      <c r="CC385" s="27" t="s">
        <v>8</v>
      </c>
      <c r="CD385" s="27" t="s">
        <v>7</v>
      </c>
      <c r="CM385" s="27" t="s">
        <v>8</v>
      </c>
      <c r="CN385" s="27" t="s">
        <v>7</v>
      </c>
      <c r="CO385" s="27" t="s">
        <v>8</v>
      </c>
      <c r="CP385" s="27" t="s">
        <v>7</v>
      </c>
      <c r="CQ385" s="27" t="s">
        <v>8</v>
      </c>
      <c r="CT385" s="27" t="s">
        <v>7</v>
      </c>
      <c r="CU385" s="27" t="s">
        <v>8</v>
      </c>
      <c r="CV385" s="27" t="s">
        <v>7</v>
      </c>
      <c r="DC385" s="27" t="s">
        <v>8</v>
      </c>
      <c r="DD385" s="27" t="s">
        <v>7</v>
      </c>
      <c r="DK385" s="27" t="s">
        <v>8</v>
      </c>
      <c r="DN385" s="27" t="s">
        <v>7</v>
      </c>
      <c r="DO385" s="27" t="s">
        <v>8</v>
      </c>
      <c r="DP385" s="27" t="s">
        <v>7</v>
      </c>
      <c r="EN385" s="27" t="s">
        <v>7</v>
      </c>
      <c r="EO385" s="27" t="s">
        <v>8</v>
      </c>
      <c r="EP385" s="27" t="s">
        <v>7</v>
      </c>
      <c r="EQ385" s="27" t="s">
        <v>8</v>
      </c>
      <c r="FB385" s="27" t="s">
        <v>7</v>
      </c>
      <c r="FC385" s="27" t="s">
        <v>8</v>
      </c>
      <c r="FD385" s="27" t="s">
        <v>7</v>
      </c>
      <c r="FE385" s="27" t="s">
        <v>8</v>
      </c>
      <c r="FF385" s="27" t="s">
        <v>7</v>
      </c>
      <c r="FG385" s="27" t="s">
        <v>8</v>
      </c>
      <c r="FL385" s="27" t="s">
        <v>7</v>
      </c>
      <c r="FM385" s="27" t="s">
        <v>8</v>
      </c>
      <c r="FN385" s="27" t="s">
        <v>7</v>
      </c>
      <c r="FQ385" s="27" t="s">
        <v>8</v>
      </c>
      <c r="FR385" s="27" t="s">
        <v>7</v>
      </c>
      <c r="FS385" s="27" t="s">
        <v>8</v>
      </c>
      <c r="FT385" s="27" t="s">
        <v>7</v>
      </c>
      <c r="FU385" s="27" t="s">
        <v>8</v>
      </c>
      <c r="FV385" s="27" t="s">
        <v>7</v>
      </c>
      <c r="GV385" s="27" t="s">
        <v>7</v>
      </c>
      <c r="GW385" s="27" t="s">
        <v>8</v>
      </c>
      <c r="GX385" s="27" t="s">
        <v>7</v>
      </c>
      <c r="GZ385" s="27" t="s">
        <v>7</v>
      </c>
      <c r="HA385" s="27" t="s">
        <v>8</v>
      </c>
      <c r="HB385" s="27" t="s">
        <v>7</v>
      </c>
      <c r="HC385" s="27" t="s">
        <v>8</v>
      </c>
      <c r="HD385" s="27" t="s">
        <v>7</v>
      </c>
      <c r="HH385" s="27" t="s">
        <v>7</v>
      </c>
      <c r="HK385" s="27" t="s">
        <v>8</v>
      </c>
      <c r="HX385" s="27" t="s">
        <v>7</v>
      </c>
      <c r="HY385" s="27" t="s">
        <v>8</v>
      </c>
      <c r="IB385" s="27" t="s">
        <v>7</v>
      </c>
      <c r="IE385" s="27" t="s">
        <v>8</v>
      </c>
      <c r="IN385" s="27" t="s">
        <v>7</v>
      </c>
      <c r="IO385" s="27" t="s">
        <v>8</v>
      </c>
      <c r="IP385" s="27" t="s">
        <v>7</v>
      </c>
      <c r="IQ385" s="27" t="s">
        <v>8</v>
      </c>
      <c r="IR385" s="27" t="s">
        <v>7</v>
      </c>
      <c r="IS385" s="27" t="s">
        <v>8</v>
      </c>
      <c r="IT385" s="27" t="s">
        <v>7</v>
      </c>
    </row>
    <row r="386" spans="1:255" x14ac:dyDescent="0.25">
      <c r="A386" s="7">
        <v>53.534595326282947</v>
      </c>
      <c r="B386"/>
      <c r="C386"/>
      <c r="D386"/>
      <c r="E386" t="s">
        <v>8</v>
      </c>
      <c r="H386" s="27" t="s">
        <v>7</v>
      </c>
      <c r="K386" s="27" t="s">
        <v>8</v>
      </c>
      <c r="L386" s="27" t="s">
        <v>7</v>
      </c>
      <c r="M386" s="27" t="s">
        <v>8</v>
      </c>
      <c r="N386" s="27" t="s">
        <v>7</v>
      </c>
      <c r="CC386" s="27" t="s">
        <v>8</v>
      </c>
      <c r="CD386" s="27" t="s">
        <v>7</v>
      </c>
      <c r="CM386" s="27" t="s">
        <v>8</v>
      </c>
      <c r="CN386" s="27" t="s">
        <v>7</v>
      </c>
      <c r="CO386" s="27" t="s">
        <v>8</v>
      </c>
      <c r="CP386" s="27" t="s">
        <v>7</v>
      </c>
      <c r="CQ386" s="27" t="s">
        <v>8</v>
      </c>
      <c r="CT386" s="27" t="s">
        <v>7</v>
      </c>
      <c r="CU386" s="27" t="s">
        <v>8</v>
      </c>
      <c r="CV386" s="27" t="s">
        <v>7</v>
      </c>
      <c r="DA386" s="27" t="s">
        <v>8</v>
      </c>
      <c r="DC386" s="27" t="s">
        <v>8</v>
      </c>
      <c r="DD386" s="27" t="s">
        <v>7</v>
      </c>
      <c r="DK386" s="27" t="s">
        <v>8</v>
      </c>
      <c r="DN386" s="27" t="s">
        <v>7</v>
      </c>
      <c r="DO386" s="27" t="s">
        <v>8</v>
      </c>
      <c r="EN386" s="27" t="s">
        <v>7</v>
      </c>
      <c r="EO386" s="27" t="s">
        <v>8</v>
      </c>
      <c r="EP386" s="27" t="s">
        <v>7</v>
      </c>
      <c r="EQ386" s="27" t="s">
        <v>8</v>
      </c>
      <c r="FB386" s="27" t="s">
        <v>7</v>
      </c>
      <c r="FC386" s="27" t="s">
        <v>8</v>
      </c>
      <c r="FD386" s="27" t="s">
        <v>7</v>
      </c>
      <c r="FE386" s="27" t="s">
        <v>8</v>
      </c>
      <c r="FF386" s="27" t="s">
        <v>7</v>
      </c>
      <c r="FG386" s="27" t="s">
        <v>8</v>
      </c>
      <c r="FL386" s="27" t="s">
        <v>7</v>
      </c>
      <c r="FM386" s="27" t="s">
        <v>8</v>
      </c>
      <c r="FN386" s="27" t="s">
        <v>7</v>
      </c>
      <c r="FQ386" s="27" t="s">
        <v>8</v>
      </c>
      <c r="FR386" s="27" t="s">
        <v>7</v>
      </c>
      <c r="FS386" s="27" t="s">
        <v>8</v>
      </c>
      <c r="FT386" s="27" t="s">
        <v>7</v>
      </c>
      <c r="FU386" s="27" t="s">
        <v>8</v>
      </c>
      <c r="GV386" s="27" t="s">
        <v>7</v>
      </c>
      <c r="GW386" s="27" t="s">
        <v>8</v>
      </c>
      <c r="GZ386" s="27" t="s">
        <v>7</v>
      </c>
      <c r="HA386" s="27" t="s">
        <v>8</v>
      </c>
      <c r="HB386" s="27" t="s">
        <v>7</v>
      </c>
      <c r="HC386" s="27" t="s">
        <v>8</v>
      </c>
      <c r="HH386" s="27" t="s">
        <v>7</v>
      </c>
      <c r="HK386" s="27" t="s">
        <v>8</v>
      </c>
      <c r="HX386" s="27" t="s">
        <v>7</v>
      </c>
      <c r="HY386" s="27" t="s">
        <v>8</v>
      </c>
      <c r="IB386" s="27" t="s">
        <v>7</v>
      </c>
      <c r="IC386" s="27" t="s">
        <v>8</v>
      </c>
      <c r="IE386" s="27" t="s">
        <v>8</v>
      </c>
      <c r="IN386" s="27" t="s">
        <v>7</v>
      </c>
      <c r="IO386" s="27" t="s">
        <v>8</v>
      </c>
      <c r="IP386" s="27" t="s">
        <v>7</v>
      </c>
      <c r="IR386" s="27" t="s">
        <v>7</v>
      </c>
      <c r="IS386" s="27" t="s">
        <v>8</v>
      </c>
      <c r="IT386" s="27" t="s">
        <v>7</v>
      </c>
    </row>
    <row r="387" spans="1:255" x14ac:dyDescent="0.25">
      <c r="A387" s="7">
        <v>52.484897378708773</v>
      </c>
      <c r="B387"/>
      <c r="C387"/>
      <c r="D387"/>
      <c r="E387" t="s">
        <v>8</v>
      </c>
      <c r="H387" s="27" t="s">
        <v>7</v>
      </c>
      <c r="K387" s="27" t="s">
        <v>8</v>
      </c>
      <c r="L387" s="27" t="s">
        <v>7</v>
      </c>
      <c r="M387" s="27" t="s">
        <v>8</v>
      </c>
      <c r="N387" s="27" t="s">
        <v>7</v>
      </c>
      <c r="CC387" s="27" t="s">
        <v>8</v>
      </c>
      <c r="CD387" s="27" t="s">
        <v>7</v>
      </c>
      <c r="CM387" s="27" t="s">
        <v>8</v>
      </c>
      <c r="CN387" s="27" t="s">
        <v>7</v>
      </c>
      <c r="CO387" s="27" t="s">
        <v>8</v>
      </c>
      <c r="CP387" s="27" t="s">
        <v>7</v>
      </c>
      <c r="CQ387" s="27" t="s">
        <v>8</v>
      </c>
      <c r="CT387" s="27" t="s">
        <v>7</v>
      </c>
      <c r="CU387" s="27" t="s">
        <v>8</v>
      </c>
      <c r="CV387" s="27" t="s">
        <v>7</v>
      </c>
      <c r="DA387" s="27" t="s">
        <v>8</v>
      </c>
      <c r="DB387" s="27" t="s">
        <v>7</v>
      </c>
      <c r="DC387" s="27" t="s">
        <v>8</v>
      </c>
      <c r="DD387" s="27" t="s">
        <v>7</v>
      </c>
      <c r="DK387" s="27" t="s">
        <v>8</v>
      </c>
      <c r="DN387" s="27" t="s">
        <v>7</v>
      </c>
      <c r="DO387" s="27" t="s">
        <v>8</v>
      </c>
      <c r="EN387" s="27" t="s">
        <v>7</v>
      </c>
      <c r="EO387" s="27" t="s">
        <v>8</v>
      </c>
      <c r="EP387" s="27" t="s">
        <v>7</v>
      </c>
      <c r="EQ387" s="27" t="s">
        <v>8</v>
      </c>
      <c r="FB387" s="27" t="s">
        <v>7</v>
      </c>
      <c r="FC387" s="27" t="s">
        <v>8</v>
      </c>
      <c r="FD387" s="27" t="s">
        <v>7</v>
      </c>
      <c r="FE387" s="27" t="s">
        <v>8</v>
      </c>
      <c r="FF387" s="27" t="s">
        <v>7</v>
      </c>
      <c r="FL387" s="27" t="s">
        <v>7</v>
      </c>
      <c r="FM387" s="27" t="s">
        <v>8</v>
      </c>
      <c r="FN387" s="27" t="s">
        <v>7</v>
      </c>
      <c r="FQ387" s="27" t="s">
        <v>8</v>
      </c>
      <c r="FR387" s="27" t="s">
        <v>7</v>
      </c>
      <c r="FT387" s="27" t="s">
        <v>7</v>
      </c>
      <c r="FU387" s="27" t="s">
        <v>8</v>
      </c>
      <c r="GV387" s="27" t="s">
        <v>7</v>
      </c>
      <c r="GW387" s="27" t="s">
        <v>8</v>
      </c>
      <c r="GZ387" s="27" t="s">
        <v>7</v>
      </c>
      <c r="HA387" s="27" t="s">
        <v>8</v>
      </c>
      <c r="HB387" s="27" t="s">
        <v>7</v>
      </c>
      <c r="HC387" s="27" t="s">
        <v>8</v>
      </c>
      <c r="HH387" s="27" t="s">
        <v>7</v>
      </c>
      <c r="HI387" s="27" t="s">
        <v>8</v>
      </c>
      <c r="HK387" s="27" t="s">
        <v>8</v>
      </c>
      <c r="HX387" s="27" t="s">
        <v>7</v>
      </c>
      <c r="HY387" s="27" t="s">
        <v>8</v>
      </c>
      <c r="IB387" s="27" t="s">
        <v>7</v>
      </c>
      <c r="IC387" s="27" t="s">
        <v>8</v>
      </c>
      <c r="ID387" s="27" t="s">
        <v>7</v>
      </c>
      <c r="IE387" s="27" t="s">
        <v>8</v>
      </c>
      <c r="IN387" s="27" t="s">
        <v>7</v>
      </c>
      <c r="IO387" s="27" t="s">
        <v>8</v>
      </c>
      <c r="IR387" s="27" t="s">
        <v>7</v>
      </c>
      <c r="IS387" s="27" t="s">
        <v>8</v>
      </c>
      <c r="IT387" s="27" t="s">
        <v>7</v>
      </c>
    </row>
    <row r="388" spans="1:255" x14ac:dyDescent="0.25">
      <c r="A388" s="7">
        <v>51.455781743832127</v>
      </c>
      <c r="B388"/>
      <c r="C388"/>
      <c r="D388"/>
      <c r="E388" t="s">
        <v>8</v>
      </c>
      <c r="H388" s="27" t="s">
        <v>7</v>
      </c>
      <c r="K388" s="27" t="s">
        <v>8</v>
      </c>
      <c r="L388" s="27" t="s">
        <v>7</v>
      </c>
      <c r="M388" s="27" t="s">
        <v>8</v>
      </c>
      <c r="N388" s="27" t="s">
        <v>7</v>
      </c>
      <c r="CC388" s="27" t="s">
        <v>8</v>
      </c>
      <c r="CD388" s="27" t="s">
        <v>7</v>
      </c>
      <c r="CG388" s="27" t="s">
        <v>8</v>
      </c>
      <c r="CM388" s="27" t="s">
        <v>8</v>
      </c>
      <c r="CN388" s="27" t="s">
        <v>7</v>
      </c>
      <c r="CO388" s="27" t="s">
        <v>8</v>
      </c>
      <c r="CP388" s="27" t="s">
        <v>7</v>
      </c>
      <c r="CT388" s="27" t="s">
        <v>7</v>
      </c>
      <c r="CU388" s="27" t="s">
        <v>8</v>
      </c>
      <c r="CV388" s="27" t="s">
        <v>7</v>
      </c>
      <c r="DA388" s="27" t="s">
        <v>8</v>
      </c>
      <c r="DB388" s="27" t="s">
        <v>7</v>
      </c>
      <c r="DC388" s="27" t="s">
        <v>8</v>
      </c>
      <c r="DD388" s="27" t="s">
        <v>7</v>
      </c>
      <c r="DE388" s="27" t="s">
        <v>8</v>
      </c>
      <c r="DK388" s="27" t="s">
        <v>8</v>
      </c>
      <c r="DN388" s="27" t="s">
        <v>7</v>
      </c>
      <c r="EN388" s="27" t="s">
        <v>7</v>
      </c>
      <c r="EO388" s="27" t="s">
        <v>8</v>
      </c>
      <c r="EP388" s="27" t="s">
        <v>7</v>
      </c>
      <c r="EQ388" s="27" t="s">
        <v>8</v>
      </c>
      <c r="FB388" s="27" t="s">
        <v>7</v>
      </c>
      <c r="FC388" s="27" t="s">
        <v>8</v>
      </c>
      <c r="FD388" s="27" t="s">
        <v>7</v>
      </c>
      <c r="FE388" s="27" t="s">
        <v>8</v>
      </c>
      <c r="FL388" s="27" t="s">
        <v>7</v>
      </c>
      <c r="FN388" s="27" t="s">
        <v>7</v>
      </c>
      <c r="FO388" s="27" t="s">
        <v>8</v>
      </c>
      <c r="FQ388" s="27" t="s">
        <v>8</v>
      </c>
      <c r="FT388" s="27" t="s">
        <v>7</v>
      </c>
      <c r="GV388" s="27" t="s">
        <v>7</v>
      </c>
      <c r="GZ388" s="27" t="s">
        <v>7</v>
      </c>
      <c r="HA388" s="27" t="s">
        <v>8</v>
      </c>
      <c r="HB388" s="27" t="s">
        <v>7</v>
      </c>
      <c r="HH388" s="27" t="s">
        <v>7</v>
      </c>
      <c r="HI388" s="27" t="s">
        <v>8</v>
      </c>
      <c r="HJ388" s="27" t="s">
        <v>7</v>
      </c>
      <c r="HK388" s="27" t="s">
        <v>8</v>
      </c>
      <c r="HX388" s="27" t="s">
        <v>7</v>
      </c>
      <c r="HY388" s="27" t="s">
        <v>8</v>
      </c>
      <c r="IB388" s="27" t="s">
        <v>7</v>
      </c>
      <c r="IC388" s="27" t="s">
        <v>8</v>
      </c>
      <c r="ID388" s="27" t="s">
        <v>7</v>
      </c>
      <c r="IE388" s="27" t="s">
        <v>8</v>
      </c>
      <c r="IN388" s="27" t="s">
        <v>7</v>
      </c>
      <c r="IO388" s="27" t="s">
        <v>8</v>
      </c>
      <c r="IR388" s="27" t="s">
        <v>7</v>
      </c>
      <c r="IS388" s="27" t="s">
        <v>8</v>
      </c>
      <c r="IT388" s="27" t="s">
        <v>7</v>
      </c>
    </row>
    <row r="389" spans="1:255" x14ac:dyDescent="0.25">
      <c r="A389" s="7">
        <v>50.446844846894244</v>
      </c>
      <c r="B389"/>
      <c r="C389"/>
      <c r="D389"/>
      <c r="E389" t="s">
        <v>8</v>
      </c>
      <c r="H389" s="27" t="s">
        <v>7</v>
      </c>
      <c r="K389" s="27" t="s">
        <v>8</v>
      </c>
      <c r="L389" s="27" t="s">
        <v>7</v>
      </c>
      <c r="M389" s="27" t="s">
        <v>8</v>
      </c>
      <c r="N389" s="27" t="s">
        <v>7</v>
      </c>
      <c r="CC389" s="27" t="s">
        <v>8</v>
      </c>
      <c r="CD389" s="27" t="s">
        <v>7</v>
      </c>
      <c r="CE389" s="27" t="s">
        <v>8</v>
      </c>
      <c r="CG389" s="27" t="s">
        <v>8</v>
      </c>
      <c r="CH389" s="27" t="s">
        <v>7</v>
      </c>
      <c r="CM389" s="27" t="s">
        <v>8</v>
      </c>
      <c r="CN389" s="27" t="s">
        <v>7</v>
      </c>
      <c r="CO389" s="27" t="s">
        <v>8</v>
      </c>
      <c r="CT389" s="27" t="s">
        <v>7</v>
      </c>
      <c r="CU389" s="27" t="s">
        <v>8</v>
      </c>
      <c r="CV389" s="27" t="s">
        <v>7</v>
      </c>
      <c r="CY389" s="27" t="s">
        <v>8</v>
      </c>
      <c r="DA389" s="27" t="s">
        <v>8</v>
      </c>
      <c r="DB389" s="27" t="s">
        <v>7</v>
      </c>
      <c r="DC389" s="27" t="s">
        <v>8</v>
      </c>
      <c r="DD389" s="27" t="s">
        <v>7</v>
      </c>
      <c r="DE389" s="27" t="s">
        <v>8</v>
      </c>
      <c r="DF389" s="27" t="s">
        <v>7</v>
      </c>
      <c r="DG389" s="27" t="s">
        <v>8</v>
      </c>
      <c r="DK389" s="27" t="s">
        <v>8</v>
      </c>
      <c r="EN389" s="27" t="s">
        <v>7</v>
      </c>
      <c r="EO389" s="27" t="s">
        <v>8</v>
      </c>
      <c r="EP389" s="27" t="s">
        <v>7</v>
      </c>
      <c r="FB389" s="27" t="s">
        <v>7</v>
      </c>
      <c r="FC389" s="27" t="s">
        <v>8</v>
      </c>
      <c r="FD389" s="27" t="s">
        <v>7</v>
      </c>
      <c r="FE389" s="27" t="s">
        <v>8</v>
      </c>
      <c r="FN389" s="27" t="s">
        <v>7</v>
      </c>
      <c r="FO389" s="27" t="s">
        <v>8</v>
      </c>
      <c r="FP389" s="27" t="s">
        <v>7</v>
      </c>
      <c r="FQ389" s="27" t="s">
        <v>8</v>
      </c>
      <c r="GZ389" s="27" t="s">
        <v>7</v>
      </c>
      <c r="HH389" s="27" t="s">
        <v>7</v>
      </c>
      <c r="HI389" s="27" t="s">
        <v>8</v>
      </c>
      <c r="HJ389" s="27" t="s">
        <v>7</v>
      </c>
      <c r="HK389" s="27" t="s">
        <v>8</v>
      </c>
      <c r="HX389" s="27" t="s">
        <v>7</v>
      </c>
      <c r="IB389" s="27" t="s">
        <v>7</v>
      </c>
      <c r="ID389" s="27" t="s">
        <v>7</v>
      </c>
      <c r="IE389" s="27" t="s">
        <v>8</v>
      </c>
      <c r="IN389" s="27" t="s">
        <v>7</v>
      </c>
      <c r="IO389" s="27" t="s">
        <v>8</v>
      </c>
      <c r="IR389" s="27" t="s">
        <v>7</v>
      </c>
      <c r="IS389" s="27" t="s">
        <v>8</v>
      </c>
      <c r="IT389" s="27" t="s">
        <v>7</v>
      </c>
    </row>
    <row r="390" spans="1:255" x14ac:dyDescent="0.25">
      <c r="A390" s="7">
        <v>49.457691026366902</v>
      </c>
      <c r="B390"/>
      <c r="C390"/>
      <c r="D390"/>
      <c r="E390" t="s">
        <v>8</v>
      </c>
      <c r="H390" s="27" t="s">
        <v>7</v>
      </c>
      <c r="K390" s="27" t="s">
        <v>8</v>
      </c>
      <c r="L390" s="27" t="s">
        <v>7</v>
      </c>
      <c r="M390" s="27" t="s">
        <v>8</v>
      </c>
      <c r="N390" s="27" t="s">
        <v>7</v>
      </c>
      <c r="CC390" s="27" t="s">
        <v>8</v>
      </c>
      <c r="CD390" s="27" t="s">
        <v>7</v>
      </c>
      <c r="CE390" s="27" t="s">
        <v>8</v>
      </c>
      <c r="CF390" s="27" t="s">
        <v>7</v>
      </c>
      <c r="CG390" s="27" t="s">
        <v>8</v>
      </c>
      <c r="CH390" s="27" t="s">
        <v>7</v>
      </c>
      <c r="CM390" s="27" t="s">
        <v>8</v>
      </c>
      <c r="CN390" s="27" t="s">
        <v>7</v>
      </c>
      <c r="CO390" s="27" t="s">
        <v>8</v>
      </c>
      <c r="CT390" s="27" t="s">
        <v>7</v>
      </c>
      <c r="CU390" s="27" t="s">
        <v>8</v>
      </c>
      <c r="CV390" s="27" t="s">
        <v>7</v>
      </c>
      <c r="CY390" s="27" t="s">
        <v>8</v>
      </c>
      <c r="CZ390" s="27" t="s">
        <v>7</v>
      </c>
      <c r="DA390" s="27" t="s">
        <v>8</v>
      </c>
      <c r="DB390" s="27" t="s">
        <v>7</v>
      </c>
      <c r="DC390" s="27" t="s">
        <v>8</v>
      </c>
      <c r="DD390" s="27" t="s">
        <v>7</v>
      </c>
      <c r="DE390" s="27" t="s">
        <v>8</v>
      </c>
      <c r="DF390" s="27" t="s">
        <v>7</v>
      </c>
      <c r="DG390" s="27" t="s">
        <v>8</v>
      </c>
      <c r="DH390" s="27" t="s">
        <v>7</v>
      </c>
      <c r="DK390" s="27" t="s">
        <v>8</v>
      </c>
      <c r="EN390" s="27" t="s">
        <v>7</v>
      </c>
      <c r="EO390" s="27" t="s">
        <v>8</v>
      </c>
      <c r="FB390" s="27" t="s">
        <v>7</v>
      </c>
      <c r="FC390" s="27" t="s">
        <v>8</v>
      </c>
      <c r="FD390" s="27" t="s">
        <v>7</v>
      </c>
      <c r="FE390" s="27" t="s">
        <v>8</v>
      </c>
      <c r="FN390" s="27" t="s">
        <v>7</v>
      </c>
      <c r="FO390" s="27" t="s">
        <v>8</v>
      </c>
      <c r="FP390" s="27" t="s">
        <v>7</v>
      </c>
      <c r="FQ390" s="27" t="s">
        <v>8</v>
      </c>
      <c r="HH390" s="27" t="s">
        <v>7</v>
      </c>
      <c r="HI390" s="27" t="s">
        <v>8</v>
      </c>
      <c r="HJ390" s="27" t="s">
        <v>7</v>
      </c>
      <c r="HK390" s="27" t="s">
        <v>8</v>
      </c>
      <c r="ID390" s="27" t="s">
        <v>7</v>
      </c>
      <c r="IE390" s="27" t="s">
        <v>8</v>
      </c>
      <c r="IN390" s="27" t="s">
        <v>7</v>
      </c>
      <c r="IO390" s="27" t="s">
        <v>8</v>
      </c>
      <c r="IR390" s="27" t="s">
        <v>7</v>
      </c>
      <c r="IS390" s="27" t="s">
        <v>8</v>
      </c>
      <c r="IT390" s="27" t="s">
        <v>7</v>
      </c>
    </row>
    <row r="391" spans="1:255" x14ac:dyDescent="0.25">
      <c r="A391" s="7">
        <v>48.487932378791079</v>
      </c>
      <c r="B391"/>
      <c r="C391"/>
      <c r="D391"/>
      <c r="E391" t="s">
        <v>8</v>
      </c>
      <c r="H391" s="27" t="s">
        <v>7</v>
      </c>
      <c r="K391" s="27" t="s">
        <v>8</v>
      </c>
      <c r="L391" s="27" t="s">
        <v>7</v>
      </c>
      <c r="M391" s="27" t="s">
        <v>8</v>
      </c>
      <c r="N391" s="27" t="s">
        <v>7</v>
      </c>
      <c r="CC391" s="27" t="s">
        <v>8</v>
      </c>
      <c r="CD391" s="27" t="s">
        <v>7</v>
      </c>
      <c r="CE391" s="27" t="s">
        <v>8</v>
      </c>
      <c r="CF391" s="27" t="s">
        <v>7</v>
      </c>
      <c r="CG391" s="27" t="s">
        <v>8</v>
      </c>
      <c r="CH391" s="27" t="s">
        <v>7</v>
      </c>
      <c r="CM391" s="27" t="s">
        <v>8</v>
      </c>
      <c r="CN391" s="27" t="s">
        <v>7</v>
      </c>
      <c r="CT391" s="27" t="s">
        <v>7</v>
      </c>
      <c r="CU391" s="27" t="s">
        <v>8</v>
      </c>
      <c r="CV391" s="27" t="s">
        <v>7</v>
      </c>
      <c r="CY391" s="27" t="s">
        <v>8</v>
      </c>
      <c r="CZ391" s="27" t="s">
        <v>7</v>
      </c>
      <c r="DA391" s="27" t="s">
        <v>8</v>
      </c>
      <c r="DB391" s="27" t="s">
        <v>7</v>
      </c>
      <c r="DD391" s="27" t="s">
        <v>7</v>
      </c>
      <c r="DE391" s="27" t="s">
        <v>8</v>
      </c>
      <c r="DF391" s="27" t="s">
        <v>7</v>
      </c>
      <c r="DG391" s="27" t="s">
        <v>8</v>
      </c>
      <c r="DH391" s="27" t="s">
        <v>7</v>
      </c>
      <c r="DK391" s="27" t="s">
        <v>8</v>
      </c>
      <c r="EN391" s="27" t="s">
        <v>7</v>
      </c>
      <c r="EO391" s="27" t="s">
        <v>8</v>
      </c>
      <c r="FB391" s="27" t="s">
        <v>7</v>
      </c>
      <c r="FC391" s="27" t="s">
        <v>8</v>
      </c>
      <c r="FD391" s="27" t="s">
        <v>7</v>
      </c>
      <c r="FE391" s="27" t="s">
        <v>8</v>
      </c>
      <c r="FN391" s="27" t="s">
        <v>7</v>
      </c>
      <c r="FO391" s="27" t="s">
        <v>8</v>
      </c>
      <c r="FP391" s="27" t="s">
        <v>7</v>
      </c>
      <c r="HH391" s="27" t="s">
        <v>7</v>
      </c>
      <c r="HI391" s="27" t="s">
        <v>8</v>
      </c>
      <c r="HJ391" s="27" t="s">
        <v>7</v>
      </c>
      <c r="HK391" s="27" t="s">
        <v>8</v>
      </c>
      <c r="ID391" s="27" t="s">
        <v>7</v>
      </c>
      <c r="IE391" s="27" t="s">
        <v>8</v>
      </c>
      <c r="IN391" s="27" t="s">
        <v>7</v>
      </c>
      <c r="IR391" s="27" t="s">
        <v>7</v>
      </c>
      <c r="IT391" s="27" t="s">
        <v>7</v>
      </c>
    </row>
    <row r="392" spans="1:255" x14ac:dyDescent="0.25">
      <c r="A392" s="7">
        <v>47.537188606657921</v>
      </c>
      <c r="B392"/>
      <c r="C392"/>
      <c r="D392"/>
      <c r="E392" t="s">
        <v>8</v>
      </c>
      <c r="H392" s="27" t="s">
        <v>7</v>
      </c>
      <c r="K392" s="27" t="s">
        <v>8</v>
      </c>
      <c r="L392" s="27" t="s">
        <v>7</v>
      </c>
      <c r="M392" s="27" t="s">
        <v>8</v>
      </c>
      <c r="N392" s="27" t="s">
        <v>7</v>
      </c>
      <c r="CC392" s="27" t="s">
        <v>8</v>
      </c>
      <c r="CD392" s="27" t="s">
        <v>7</v>
      </c>
      <c r="CE392" s="27" t="s">
        <v>8</v>
      </c>
      <c r="CF392" s="27" t="s">
        <v>7</v>
      </c>
      <c r="CG392" s="27" t="s">
        <v>8</v>
      </c>
      <c r="CH392" s="27" t="s">
        <v>7</v>
      </c>
      <c r="CM392" s="27" t="s">
        <v>8</v>
      </c>
      <c r="CT392" s="27" t="s">
        <v>7</v>
      </c>
      <c r="CU392" s="27" t="s">
        <v>8</v>
      </c>
      <c r="CV392" s="27" t="s">
        <v>7</v>
      </c>
      <c r="CY392" s="27" t="s">
        <v>8</v>
      </c>
      <c r="CZ392" s="27" t="s">
        <v>7</v>
      </c>
      <c r="DA392" s="27" t="s">
        <v>8</v>
      </c>
      <c r="DD392" s="27" t="s">
        <v>7</v>
      </c>
      <c r="DE392" s="27" t="s">
        <v>8</v>
      </c>
      <c r="DF392" s="27" t="s">
        <v>7</v>
      </c>
      <c r="DG392" s="27" t="s">
        <v>8</v>
      </c>
      <c r="DH392" s="27" t="s">
        <v>7</v>
      </c>
      <c r="DI392" s="27" t="s">
        <v>8</v>
      </c>
      <c r="DK392" s="27" t="s">
        <v>8</v>
      </c>
      <c r="EN392" s="27" t="s">
        <v>7</v>
      </c>
      <c r="EO392" s="27" t="s">
        <v>8</v>
      </c>
      <c r="FB392" s="27" t="s">
        <v>7</v>
      </c>
      <c r="FC392" s="27" t="s">
        <v>8</v>
      </c>
      <c r="FD392" s="27" t="s">
        <v>7</v>
      </c>
      <c r="FE392" s="27" t="s">
        <v>8</v>
      </c>
      <c r="FN392" s="27" t="s">
        <v>7</v>
      </c>
      <c r="FO392" s="27" t="s">
        <v>8</v>
      </c>
      <c r="HH392" s="27" t="s">
        <v>7</v>
      </c>
      <c r="HI392" s="27" t="s">
        <v>8</v>
      </c>
      <c r="HJ392" s="27" t="s">
        <v>7</v>
      </c>
      <c r="HK392" s="27" t="s">
        <v>8</v>
      </c>
      <c r="ID392" s="27" t="s">
        <v>7</v>
      </c>
      <c r="IE392" s="27" t="s">
        <v>8</v>
      </c>
      <c r="IT392" s="27" t="s">
        <v>7</v>
      </c>
    </row>
    <row r="393" spans="1:255" x14ac:dyDescent="0.25">
      <c r="A393" s="7">
        <v>46.605086869272469</v>
      </c>
      <c r="B393"/>
      <c r="C393"/>
      <c r="D393"/>
      <c r="E393" t="s">
        <v>8</v>
      </c>
      <c r="H393" s="27" t="s">
        <v>7</v>
      </c>
      <c r="K393" s="27" t="s">
        <v>8</v>
      </c>
      <c r="L393" s="27" t="s">
        <v>7</v>
      </c>
      <c r="M393" s="27" t="s">
        <v>8</v>
      </c>
      <c r="N393" s="27" t="s">
        <v>7</v>
      </c>
      <c r="CC393" s="27" t="s">
        <v>8</v>
      </c>
      <c r="CD393" s="27" t="s">
        <v>7</v>
      </c>
      <c r="CE393" s="27" t="s">
        <v>8</v>
      </c>
      <c r="CF393" s="27" t="s">
        <v>7</v>
      </c>
      <c r="CG393" s="27" t="s">
        <v>8</v>
      </c>
      <c r="CH393" s="27" t="s">
        <v>7</v>
      </c>
      <c r="CI393" s="27" t="s">
        <v>8</v>
      </c>
      <c r="CM393" s="27" t="s">
        <v>8</v>
      </c>
      <c r="CT393" s="27" t="s">
        <v>7</v>
      </c>
      <c r="CU393" s="27" t="s">
        <v>8</v>
      </c>
      <c r="CV393" s="27" t="s">
        <v>7</v>
      </c>
      <c r="CY393" s="27" t="s">
        <v>8</v>
      </c>
      <c r="CZ393" s="27" t="s">
        <v>7</v>
      </c>
      <c r="DA393" s="27" t="s">
        <v>8</v>
      </c>
      <c r="DD393" s="27" t="s">
        <v>7</v>
      </c>
      <c r="DE393" s="27" t="s">
        <v>8</v>
      </c>
      <c r="DF393" s="27" t="s">
        <v>7</v>
      </c>
      <c r="DG393" s="27" t="s">
        <v>8</v>
      </c>
      <c r="DH393" s="27" t="s">
        <v>7</v>
      </c>
      <c r="DI393" s="27" t="s">
        <v>8</v>
      </c>
      <c r="DJ393" s="27" t="s">
        <v>7</v>
      </c>
      <c r="DK393" s="27" t="s">
        <v>8</v>
      </c>
      <c r="EN393" s="27" t="s">
        <v>7</v>
      </c>
      <c r="EO393" s="27" t="s">
        <v>8</v>
      </c>
      <c r="FB393" s="27" t="s">
        <v>7</v>
      </c>
      <c r="FC393" s="27" t="s">
        <v>8</v>
      </c>
      <c r="FD393" s="27" t="s">
        <v>7</v>
      </c>
      <c r="FN393" s="18" t="s">
        <v>7</v>
      </c>
      <c r="FO393" s="27" t="s">
        <v>8</v>
      </c>
      <c r="HH393" s="27" t="s">
        <v>7</v>
      </c>
      <c r="HI393" s="27" t="s">
        <v>8</v>
      </c>
      <c r="HJ393" s="27" t="s">
        <v>7</v>
      </c>
      <c r="ID393" s="27" t="s">
        <v>7</v>
      </c>
      <c r="IT393" s="27" t="s">
        <v>7</v>
      </c>
    </row>
    <row r="394" spans="1:255" x14ac:dyDescent="0.25">
      <c r="A394" s="7">
        <v>45.691261636541633</v>
      </c>
      <c r="B394"/>
      <c r="C394"/>
      <c r="D394"/>
      <c r="E394" t="s">
        <v>8</v>
      </c>
      <c r="H394" s="27" t="s">
        <v>7</v>
      </c>
      <c r="K394" s="27" t="s">
        <v>8</v>
      </c>
      <c r="L394" s="27" t="s">
        <v>7</v>
      </c>
      <c r="N394" s="27" t="s">
        <v>7</v>
      </c>
      <c r="CC394" s="27" t="s">
        <v>8</v>
      </c>
      <c r="CD394" s="27" t="s">
        <v>7</v>
      </c>
      <c r="CE394" s="27" t="s">
        <v>8</v>
      </c>
      <c r="CF394" s="27" t="s">
        <v>7</v>
      </c>
      <c r="CG394" s="27" t="s">
        <v>8</v>
      </c>
      <c r="CH394" s="27" t="s">
        <v>7</v>
      </c>
      <c r="CI394" s="27" t="s">
        <v>8</v>
      </c>
      <c r="CJ394" s="27" t="s">
        <v>7</v>
      </c>
      <c r="CM394" s="27" t="s">
        <v>8</v>
      </c>
      <c r="CT394" s="27" t="s">
        <v>7</v>
      </c>
      <c r="CU394" s="27" t="s">
        <v>8</v>
      </c>
      <c r="CV394" s="27" t="s">
        <v>7</v>
      </c>
      <c r="CY394" s="27" t="s">
        <v>8</v>
      </c>
      <c r="CZ394" s="27" t="s">
        <v>7</v>
      </c>
      <c r="DA394" s="27" t="s">
        <v>8</v>
      </c>
      <c r="DD394" s="27" t="s">
        <v>7</v>
      </c>
      <c r="DF394" s="27" t="s">
        <v>7</v>
      </c>
      <c r="DG394" s="27" t="s">
        <v>8</v>
      </c>
      <c r="DH394" s="27" t="s">
        <v>7</v>
      </c>
      <c r="DI394" s="27" t="s">
        <v>8</v>
      </c>
      <c r="DJ394" s="27" t="s">
        <v>7</v>
      </c>
      <c r="DK394" s="27" t="s">
        <v>8</v>
      </c>
      <c r="EN394" s="27" t="s">
        <v>7</v>
      </c>
      <c r="EO394" s="27" t="s">
        <v>8</v>
      </c>
      <c r="FB394" s="27" t="s">
        <v>7</v>
      </c>
      <c r="FC394" s="27" t="s">
        <v>8</v>
      </c>
      <c r="FN394" s="27" t="s">
        <v>7</v>
      </c>
      <c r="FO394" s="27" t="s">
        <v>8</v>
      </c>
      <c r="HH394" s="27" t="s">
        <v>7</v>
      </c>
      <c r="IT394" s="27" t="s">
        <v>7</v>
      </c>
    </row>
    <row r="395" spans="1:255" x14ac:dyDescent="0.25">
      <c r="A395" s="7">
        <v>44.795354545629053</v>
      </c>
      <c r="B395"/>
      <c r="C395"/>
      <c r="D395"/>
      <c r="E395" t="s">
        <v>8</v>
      </c>
      <c r="H395" s="27" t="s">
        <v>7</v>
      </c>
      <c r="K395" s="27" t="s">
        <v>8</v>
      </c>
      <c r="N395" s="27" t="s">
        <v>7</v>
      </c>
      <c r="CC395" s="27" t="s">
        <v>8</v>
      </c>
      <c r="CD395" s="27" t="s">
        <v>7</v>
      </c>
      <c r="CE395" s="27" t="s">
        <v>8</v>
      </c>
      <c r="CF395" s="27" t="s">
        <v>7</v>
      </c>
      <c r="CH395" s="27" t="s">
        <v>7</v>
      </c>
      <c r="CI395" s="27" t="s">
        <v>8</v>
      </c>
      <c r="CJ395" s="27" t="s">
        <v>7</v>
      </c>
      <c r="CM395" s="27" t="s">
        <v>8</v>
      </c>
      <c r="CT395" s="27" t="s">
        <v>7</v>
      </c>
      <c r="CU395" s="27" t="s">
        <v>8</v>
      </c>
      <c r="CV395" s="27" t="s">
        <v>7</v>
      </c>
      <c r="CW395" s="27" t="s">
        <v>8</v>
      </c>
      <c r="CY395" s="27" t="s">
        <v>8</v>
      </c>
      <c r="CZ395" s="27" t="s">
        <v>7</v>
      </c>
      <c r="DA395" s="27" t="s">
        <v>8</v>
      </c>
      <c r="DF395" s="27" t="s">
        <v>7</v>
      </c>
      <c r="DH395" s="27" t="s">
        <v>7</v>
      </c>
      <c r="DI395" s="27" t="s">
        <v>8</v>
      </c>
      <c r="DJ395" s="27" t="s">
        <v>7</v>
      </c>
      <c r="DK395" s="27" t="s">
        <v>8</v>
      </c>
      <c r="EN395" s="27" t="s">
        <v>7</v>
      </c>
      <c r="EO395" s="27" t="s">
        <v>8</v>
      </c>
      <c r="FB395" s="27" t="s">
        <v>7</v>
      </c>
      <c r="FC395" s="27" t="s">
        <v>8</v>
      </c>
      <c r="FN395" s="27" t="s">
        <v>7</v>
      </c>
      <c r="FO395" s="27" t="s">
        <v>8</v>
      </c>
      <c r="IT395" s="27" t="s">
        <v>7</v>
      </c>
    </row>
    <row r="396" spans="1:255" x14ac:dyDescent="0.25">
      <c r="A396" s="7">
        <v>43.917014260420636</v>
      </c>
      <c r="B396"/>
      <c r="C396"/>
      <c r="D396"/>
      <c r="E396" t="s">
        <v>8</v>
      </c>
      <c r="H396" s="27" t="s">
        <v>7</v>
      </c>
      <c r="K396" s="27" t="s">
        <v>8</v>
      </c>
      <c r="N396" s="27" t="s">
        <v>7</v>
      </c>
      <c r="CC396" s="27" t="s">
        <v>8</v>
      </c>
      <c r="CD396" s="27" t="s">
        <v>7</v>
      </c>
      <c r="CE396" s="27" t="s">
        <v>8</v>
      </c>
      <c r="CH396" s="27" t="s">
        <v>7</v>
      </c>
      <c r="CI396" s="27" t="s">
        <v>8</v>
      </c>
      <c r="CJ396" s="27" t="s">
        <v>7</v>
      </c>
      <c r="CM396" s="27" t="s">
        <v>8</v>
      </c>
      <c r="CT396" s="27" t="s">
        <v>7</v>
      </c>
      <c r="CU396" s="27" t="s">
        <v>8</v>
      </c>
      <c r="CV396" s="27" t="s">
        <v>7</v>
      </c>
      <c r="CW396" s="27" t="s">
        <v>8</v>
      </c>
      <c r="CX396" s="27" t="s">
        <v>7</v>
      </c>
      <c r="CY396" s="27" t="s">
        <v>8</v>
      </c>
      <c r="CZ396" s="27" t="s">
        <v>7</v>
      </c>
      <c r="DA396" s="27" t="s">
        <v>8</v>
      </c>
      <c r="DH396" s="27" t="s">
        <v>7</v>
      </c>
      <c r="DI396" s="27" t="s">
        <v>8</v>
      </c>
      <c r="DJ396" s="27" t="s">
        <v>7</v>
      </c>
      <c r="EN396" s="27" t="s">
        <v>7</v>
      </c>
      <c r="FB396" s="27" t="s">
        <v>7</v>
      </c>
      <c r="FC396" s="27" t="s">
        <v>8</v>
      </c>
      <c r="FN396" s="27" t="s">
        <v>7</v>
      </c>
      <c r="IT396" s="27" t="s">
        <v>7</v>
      </c>
    </row>
    <row r="397" spans="1:255" x14ac:dyDescent="0.25">
      <c r="A397" s="7">
        <v>43.055896333745721</v>
      </c>
      <c r="B397"/>
      <c r="C397"/>
      <c r="D397"/>
      <c r="E397" t="s">
        <v>8</v>
      </c>
      <c r="H397" s="27" t="s">
        <v>7</v>
      </c>
      <c r="K397" s="27" t="s">
        <v>8</v>
      </c>
      <c r="N397" s="27" t="s">
        <v>7</v>
      </c>
      <c r="Q397" s="27" t="s">
        <v>8</v>
      </c>
      <c r="CC397" s="27" t="s">
        <v>8</v>
      </c>
      <c r="CD397" s="27" t="s">
        <v>7</v>
      </c>
      <c r="CE397" s="27" t="s">
        <v>8</v>
      </c>
      <c r="CH397" s="27" t="s">
        <v>7</v>
      </c>
      <c r="CI397" s="27" t="s">
        <v>8</v>
      </c>
      <c r="CJ397" s="27" t="s">
        <v>7</v>
      </c>
      <c r="CK397" s="27" t="s">
        <v>8</v>
      </c>
      <c r="CM397" s="27" t="s">
        <v>8</v>
      </c>
      <c r="CT397" s="27" t="s">
        <v>7</v>
      </c>
      <c r="CU397" s="27" t="s">
        <v>8</v>
      </c>
      <c r="CV397" s="27" t="s">
        <v>7</v>
      </c>
      <c r="CW397" s="27" t="s">
        <v>8</v>
      </c>
      <c r="CX397" s="27" t="s">
        <v>7</v>
      </c>
      <c r="CY397" s="27" t="s">
        <v>8</v>
      </c>
      <c r="CZ397" s="27" t="s">
        <v>7</v>
      </c>
      <c r="DH397" s="27" t="s">
        <v>7</v>
      </c>
      <c r="DI397" s="27" t="s">
        <v>8</v>
      </c>
      <c r="FB397" s="27" t="s">
        <v>7</v>
      </c>
      <c r="FC397" s="27" t="s">
        <v>8</v>
      </c>
      <c r="IT397" s="27" t="s">
        <v>7</v>
      </c>
    </row>
    <row r="398" spans="1:255" x14ac:dyDescent="0.25">
      <c r="A398" s="7">
        <v>42.211663072299729</v>
      </c>
      <c r="B398"/>
      <c r="C398"/>
      <c r="D398"/>
      <c r="E398" t="s">
        <v>8</v>
      </c>
      <c r="H398" s="27" t="s">
        <v>7</v>
      </c>
      <c r="I398" s="27" t="s">
        <v>8</v>
      </c>
      <c r="K398" s="27" t="s">
        <v>8</v>
      </c>
      <c r="N398" s="27" t="s">
        <v>7</v>
      </c>
      <c r="Q398" s="27" t="s">
        <v>8</v>
      </c>
      <c r="R398" s="27" t="s">
        <v>7</v>
      </c>
      <c r="CC398" s="27" t="s">
        <v>8</v>
      </c>
      <c r="CD398" s="27" t="s">
        <v>7</v>
      </c>
      <c r="CE398" s="27" t="s">
        <v>8</v>
      </c>
      <c r="CH398" s="27" t="s">
        <v>7</v>
      </c>
      <c r="CI398" s="27" t="s">
        <v>8</v>
      </c>
      <c r="CJ398" s="27" t="s">
        <v>7</v>
      </c>
      <c r="CK398" s="27" t="s">
        <v>8</v>
      </c>
      <c r="CL398" s="27" t="s">
        <v>7</v>
      </c>
      <c r="CM398" s="27" t="s">
        <v>8</v>
      </c>
      <c r="CT398" s="27" t="s">
        <v>7</v>
      </c>
      <c r="CU398" s="27" t="s">
        <v>8</v>
      </c>
      <c r="CV398" s="27" t="s">
        <v>7</v>
      </c>
      <c r="CW398" s="27" t="s">
        <v>8</v>
      </c>
      <c r="CX398" s="27" t="s">
        <v>7</v>
      </c>
      <c r="CY398" s="27" t="s">
        <v>8</v>
      </c>
      <c r="DH398" s="27" t="s">
        <v>7</v>
      </c>
      <c r="DI398" s="27" t="s">
        <v>8</v>
      </c>
      <c r="FB398" s="27" t="s">
        <v>7</v>
      </c>
      <c r="FC398" s="27" t="s">
        <v>8</v>
      </c>
      <c r="IT398" s="27" t="s">
        <v>7</v>
      </c>
    </row>
    <row r="399" spans="1:255" x14ac:dyDescent="0.25">
      <c r="A399" s="7">
        <v>41.383983404215421</v>
      </c>
      <c r="B399"/>
      <c r="C399"/>
      <c r="D399"/>
      <c r="E399" t="s">
        <v>8</v>
      </c>
      <c r="H399" s="27" t="s">
        <v>7</v>
      </c>
      <c r="I399" s="27" t="s">
        <v>8</v>
      </c>
      <c r="J399" s="27" t="s">
        <v>7</v>
      </c>
      <c r="K399" s="27" t="s">
        <v>8</v>
      </c>
      <c r="N399" s="27" t="s">
        <v>7</v>
      </c>
      <c r="O399" s="27" t="s">
        <v>8</v>
      </c>
      <c r="Q399" s="27" t="s">
        <v>8</v>
      </c>
      <c r="R399" s="27" t="s">
        <v>7</v>
      </c>
      <c r="CC399" s="27" t="s">
        <v>8</v>
      </c>
      <c r="CD399" s="27" t="s">
        <v>7</v>
      </c>
      <c r="CE399" s="27" t="s">
        <v>8</v>
      </c>
      <c r="CH399" s="27" t="s">
        <v>7</v>
      </c>
      <c r="CI399" s="27" t="s">
        <v>8</v>
      </c>
      <c r="CJ399" s="27" t="s">
        <v>7</v>
      </c>
      <c r="CK399" s="27" t="s">
        <v>8</v>
      </c>
      <c r="CL399" s="27" t="s">
        <v>7</v>
      </c>
      <c r="CM399" s="27" t="s">
        <v>8</v>
      </c>
      <c r="CT399" s="27" t="s">
        <v>7</v>
      </c>
      <c r="CU399" s="27" t="s">
        <v>8</v>
      </c>
      <c r="CV399" s="27" t="s">
        <v>7</v>
      </c>
      <c r="CW399" s="27" t="s">
        <v>8</v>
      </c>
      <c r="CX399" s="27" t="s">
        <v>7</v>
      </c>
      <c r="CY399" s="27" t="s">
        <v>8</v>
      </c>
      <c r="DH399" s="27" t="s">
        <v>7</v>
      </c>
      <c r="DI399" s="27" t="s">
        <v>8</v>
      </c>
      <c r="FB399" s="27" t="s">
        <v>7</v>
      </c>
      <c r="IT399" s="27" t="s">
        <v>7</v>
      </c>
    </row>
    <row r="400" spans="1:255" x14ac:dyDescent="0.25">
      <c r="A400" s="7">
        <v>40.572532749230803</v>
      </c>
      <c r="B400"/>
      <c r="C400"/>
      <c r="D400"/>
      <c r="E400" t="s">
        <v>8</v>
      </c>
      <c r="H400" s="27" t="s">
        <v>7</v>
      </c>
      <c r="I400" s="27" t="s">
        <v>8</v>
      </c>
      <c r="J400" s="27" t="s">
        <v>7</v>
      </c>
      <c r="K400" s="27" t="s">
        <v>8</v>
      </c>
      <c r="N400" s="27" t="s">
        <v>7</v>
      </c>
      <c r="O400" s="27" t="s">
        <v>8</v>
      </c>
      <c r="P400" s="27" t="s">
        <v>7</v>
      </c>
      <c r="Q400" s="27" t="s">
        <v>8</v>
      </c>
      <c r="R400" s="27" t="s">
        <v>7</v>
      </c>
      <c r="S400" s="27" t="s">
        <v>8</v>
      </c>
      <c r="CC400" s="27" t="s">
        <v>8</v>
      </c>
      <c r="CD400" s="27" t="s">
        <v>7</v>
      </c>
      <c r="CE400" s="27" t="s">
        <v>8</v>
      </c>
      <c r="CH400" s="27" t="s">
        <v>7</v>
      </c>
      <c r="CI400" s="27" t="s">
        <v>8</v>
      </c>
      <c r="CJ400" s="27" t="s">
        <v>7</v>
      </c>
      <c r="CK400" s="27" t="s">
        <v>8</v>
      </c>
      <c r="CL400" s="27" t="s">
        <v>7</v>
      </c>
      <c r="CM400" s="27" t="s">
        <v>8</v>
      </c>
      <c r="CT400" s="27" t="s">
        <v>7</v>
      </c>
      <c r="CU400" s="27" t="s">
        <v>8</v>
      </c>
      <c r="CV400" s="27" t="s">
        <v>7</v>
      </c>
      <c r="CX400" s="27" t="s">
        <v>7</v>
      </c>
      <c r="CY400" s="27" t="s">
        <v>8</v>
      </c>
      <c r="DH400" s="27" t="s">
        <v>7</v>
      </c>
      <c r="DI400" s="27" t="s">
        <v>8</v>
      </c>
      <c r="IT400" s="27" t="s">
        <v>7</v>
      </c>
      <c r="IU400" s="27" t="s">
        <v>8</v>
      </c>
    </row>
    <row r="401" spans="1:258" x14ac:dyDescent="0.25">
      <c r="A401" s="7">
        <v>39.776992891402749</v>
      </c>
      <c r="B401"/>
      <c r="C401"/>
      <c r="D401"/>
      <c r="E401" t="s">
        <v>8</v>
      </c>
      <c r="H401" s="27" t="s">
        <v>7</v>
      </c>
      <c r="I401" s="27" t="s">
        <v>8</v>
      </c>
      <c r="J401" s="27" t="s">
        <v>7</v>
      </c>
      <c r="K401" s="27" t="s">
        <v>8</v>
      </c>
      <c r="N401" s="27" t="s">
        <v>7</v>
      </c>
      <c r="O401" s="27" t="s">
        <v>8</v>
      </c>
      <c r="P401" s="27" t="s">
        <v>7</v>
      </c>
      <c r="Q401" s="27" t="s">
        <v>8</v>
      </c>
      <c r="R401" s="27" t="s">
        <v>7</v>
      </c>
      <c r="S401" s="27" t="s">
        <v>8</v>
      </c>
      <c r="T401" s="27" t="s">
        <v>7</v>
      </c>
      <c r="CC401" s="27" t="s">
        <v>8</v>
      </c>
      <c r="CD401" s="27" t="s">
        <v>7</v>
      </c>
      <c r="CE401" s="27" t="s">
        <v>8</v>
      </c>
      <c r="CH401" s="27" t="s">
        <v>7</v>
      </c>
      <c r="CJ401" s="27" t="s">
        <v>7</v>
      </c>
      <c r="CK401" s="27" t="s">
        <v>8</v>
      </c>
      <c r="CL401" s="27" t="s">
        <v>7</v>
      </c>
      <c r="CM401" s="27" t="s">
        <v>8</v>
      </c>
      <c r="CT401" s="27" t="s">
        <v>7</v>
      </c>
      <c r="CX401" s="27" t="s">
        <v>7</v>
      </c>
      <c r="CY401" s="27" t="s">
        <v>8</v>
      </c>
      <c r="DH401" s="27" t="s">
        <v>7</v>
      </c>
      <c r="IT401" s="27" t="s">
        <v>7</v>
      </c>
      <c r="IU401" s="27" t="s">
        <v>8</v>
      </c>
      <c r="IV401" s="27" t="s">
        <v>7</v>
      </c>
    </row>
    <row r="402" spans="1:258" x14ac:dyDescent="0.25">
      <c r="A402" s="7">
        <v>38.997051854316418</v>
      </c>
      <c r="B402"/>
      <c r="C402"/>
      <c r="D402"/>
      <c r="E402" t="s">
        <v>8</v>
      </c>
      <c r="H402" s="27" t="s">
        <v>7</v>
      </c>
      <c r="I402" s="27" t="s">
        <v>8</v>
      </c>
      <c r="J402" s="27" t="s">
        <v>7</v>
      </c>
      <c r="K402" s="27" t="s">
        <v>8</v>
      </c>
      <c r="N402" s="27" t="s">
        <v>7</v>
      </c>
      <c r="O402" s="27" t="s">
        <v>8</v>
      </c>
      <c r="P402" s="27" t="s">
        <v>7</v>
      </c>
      <c r="Q402" s="27" t="s">
        <v>8</v>
      </c>
      <c r="R402" s="27" t="s">
        <v>7</v>
      </c>
      <c r="S402" s="27" t="s">
        <v>8</v>
      </c>
      <c r="T402" s="27" t="s">
        <v>7</v>
      </c>
      <c r="BY402" s="27" t="s">
        <v>8</v>
      </c>
      <c r="CC402" s="27" t="s">
        <v>8</v>
      </c>
      <c r="CD402" s="27" t="s">
        <v>7</v>
      </c>
      <c r="CE402" s="27" t="s">
        <v>8</v>
      </c>
      <c r="CJ402" s="27" t="s">
        <v>7</v>
      </c>
      <c r="CK402" s="27" t="s">
        <v>8</v>
      </c>
      <c r="CL402" s="27" t="s">
        <v>7</v>
      </c>
      <c r="CM402" s="27" t="s">
        <v>8</v>
      </c>
      <c r="CX402" s="27" t="s">
        <v>7</v>
      </c>
      <c r="CY402" s="27" t="s">
        <v>8</v>
      </c>
      <c r="IT402" s="27" t="s">
        <v>7</v>
      </c>
      <c r="IU402" s="27" t="s">
        <v>8</v>
      </c>
      <c r="IV402" s="27" t="s">
        <v>7</v>
      </c>
    </row>
    <row r="403" spans="1:258" x14ac:dyDescent="0.25">
      <c r="A403" s="7">
        <v>38.232403778741585</v>
      </c>
      <c r="B403"/>
      <c r="C403"/>
      <c r="D403"/>
      <c r="E403" t="s">
        <v>8</v>
      </c>
      <c r="H403" s="27" t="s">
        <v>7</v>
      </c>
      <c r="I403" s="27" t="s">
        <v>8</v>
      </c>
      <c r="J403" s="27" t="s">
        <v>7</v>
      </c>
      <c r="K403" s="27" t="s">
        <v>8</v>
      </c>
      <c r="N403" s="27" t="s">
        <v>7</v>
      </c>
      <c r="O403" s="27" t="s">
        <v>8</v>
      </c>
      <c r="P403" s="27" t="s">
        <v>7</v>
      </c>
      <c r="Q403" s="27" t="s">
        <v>8</v>
      </c>
      <c r="R403" s="27" t="s">
        <v>7</v>
      </c>
      <c r="T403" s="27" t="s">
        <v>7</v>
      </c>
      <c r="BY403" s="27" t="s">
        <v>8</v>
      </c>
      <c r="BZ403" s="27" t="s">
        <v>7</v>
      </c>
      <c r="CC403" s="27" t="s">
        <v>8</v>
      </c>
      <c r="CD403" s="27" t="s">
        <v>7</v>
      </c>
      <c r="CE403" s="27" t="s">
        <v>8</v>
      </c>
      <c r="CJ403" s="27" t="s">
        <v>7</v>
      </c>
      <c r="CL403" s="27" t="s">
        <v>7</v>
      </c>
      <c r="CM403" s="27" t="s">
        <v>8</v>
      </c>
      <c r="CX403" s="27" t="s">
        <v>7</v>
      </c>
      <c r="CY403" s="27" t="s">
        <v>8</v>
      </c>
      <c r="IT403" s="27" t="s">
        <v>7</v>
      </c>
      <c r="IU403" s="27" t="s">
        <v>8</v>
      </c>
      <c r="IV403" s="27" t="s">
        <v>7</v>
      </c>
    </row>
    <row r="404" spans="1:258" x14ac:dyDescent="0.25">
      <c r="A404" s="7">
        <v>37.48274880268783</v>
      </c>
      <c r="B404"/>
      <c r="C404"/>
      <c r="D404"/>
      <c r="E404" t="s">
        <v>8</v>
      </c>
      <c r="H404" s="27" t="s">
        <v>7</v>
      </c>
      <c r="I404" s="27" t="s">
        <v>8</v>
      </c>
      <c r="J404" s="27" t="s">
        <v>7</v>
      </c>
      <c r="K404" s="27" t="s">
        <v>8</v>
      </c>
      <c r="N404" s="27" t="s">
        <v>7</v>
      </c>
      <c r="O404" s="27" t="s">
        <v>8</v>
      </c>
      <c r="P404" s="27" t="s">
        <v>7</v>
      </c>
      <c r="Q404" s="27" t="s">
        <v>8</v>
      </c>
      <c r="T404" s="27" t="s">
        <v>7</v>
      </c>
      <c r="BY404" s="27" t="s">
        <v>8</v>
      </c>
      <c r="BZ404" s="27" t="s">
        <v>7</v>
      </c>
      <c r="CC404" s="27" t="s">
        <v>8</v>
      </c>
      <c r="CD404" s="27" t="s">
        <v>7</v>
      </c>
      <c r="CE404" s="27" t="s">
        <v>8</v>
      </c>
      <c r="CL404" s="27" t="s">
        <v>7</v>
      </c>
      <c r="CX404" s="27" t="s">
        <v>7</v>
      </c>
      <c r="IT404" s="27" t="s">
        <v>7</v>
      </c>
      <c r="IV404" s="27" t="s">
        <v>7</v>
      </c>
      <c r="IW404" s="27" t="s">
        <v>8</v>
      </c>
    </row>
    <row r="405" spans="1:258" x14ac:dyDescent="0.25">
      <c r="A405" s="7">
        <v>36.747792943811596</v>
      </c>
      <c r="B405"/>
      <c r="C405"/>
      <c r="D405"/>
      <c r="E405" t="s">
        <v>8</v>
      </c>
      <c r="H405" s="27" t="s">
        <v>7</v>
      </c>
      <c r="I405" s="27" t="s">
        <v>8</v>
      </c>
      <c r="J405" s="27" t="s">
        <v>7</v>
      </c>
      <c r="K405" s="27" t="s">
        <v>8</v>
      </c>
      <c r="N405" s="27" t="s">
        <v>7</v>
      </c>
      <c r="O405" s="27" t="s">
        <v>8</v>
      </c>
      <c r="P405" s="27" t="s">
        <v>7</v>
      </c>
      <c r="Q405" s="27" t="s">
        <v>8</v>
      </c>
      <c r="T405" s="27" t="s">
        <v>7</v>
      </c>
      <c r="BY405" s="27" t="s">
        <v>8</v>
      </c>
      <c r="BZ405" s="27" t="s">
        <v>7</v>
      </c>
      <c r="CC405" s="27" t="s">
        <v>8</v>
      </c>
      <c r="CD405" s="27" t="s">
        <v>7</v>
      </c>
      <c r="CE405" s="27" t="s">
        <v>8</v>
      </c>
      <c r="IV405" s="27" t="s">
        <v>7</v>
      </c>
      <c r="IW405" s="27" t="s">
        <v>8</v>
      </c>
      <c r="IX405" s="27" t="s">
        <v>7</v>
      </c>
    </row>
    <row r="406" spans="1:258" x14ac:dyDescent="0.25">
      <c r="A406" s="7">
        <v>36.027247984129012</v>
      </c>
      <c r="B406"/>
      <c r="C406"/>
      <c r="D406"/>
      <c r="E406" t="s">
        <v>8</v>
      </c>
      <c r="H406" s="27" t="s">
        <v>7</v>
      </c>
      <c r="I406" s="27" t="s">
        <v>8</v>
      </c>
      <c r="J406" s="27" t="s">
        <v>7</v>
      </c>
      <c r="K406" s="27" t="s">
        <v>8</v>
      </c>
      <c r="N406" s="27" t="s">
        <v>7</v>
      </c>
      <c r="O406" s="27" t="s">
        <v>8</v>
      </c>
      <c r="P406" s="27" t="s">
        <v>7</v>
      </c>
      <c r="Q406" s="27" t="s">
        <v>8</v>
      </c>
      <c r="T406" s="27" t="s">
        <v>7</v>
      </c>
      <c r="AA406" s="27" t="s">
        <v>8</v>
      </c>
      <c r="BY406" s="27" t="s">
        <v>8</v>
      </c>
      <c r="BZ406" s="27" t="s">
        <v>7</v>
      </c>
      <c r="CC406" s="27" t="s">
        <v>8</v>
      </c>
      <c r="CD406" s="27" t="s">
        <v>7</v>
      </c>
      <c r="CE406" s="27" t="s">
        <v>8</v>
      </c>
      <c r="IV406" s="27" t="s">
        <v>7</v>
      </c>
      <c r="IW406" s="27" t="s">
        <v>8</v>
      </c>
      <c r="IX406" s="27" t="s">
        <v>7</v>
      </c>
    </row>
    <row r="407" spans="1:258" x14ac:dyDescent="0.25">
      <c r="A407" s="7">
        <v>35.320831356989224</v>
      </c>
      <c r="B407"/>
      <c r="C407"/>
      <c r="D407"/>
      <c r="E407" t="s">
        <v>8</v>
      </c>
      <c r="H407" s="27" t="s">
        <v>7</v>
      </c>
      <c r="I407" s="27" t="s">
        <v>8</v>
      </c>
      <c r="J407" s="27" t="s">
        <v>7</v>
      </c>
      <c r="N407" s="27" t="s">
        <v>7</v>
      </c>
      <c r="O407" s="27" t="s">
        <v>8</v>
      </c>
      <c r="P407" s="27" t="s">
        <v>7</v>
      </c>
      <c r="Q407" s="27" t="s">
        <v>8</v>
      </c>
      <c r="T407" s="27" t="s">
        <v>7</v>
      </c>
      <c r="AA407" s="27" t="s">
        <v>8</v>
      </c>
      <c r="AB407" s="27" t="s">
        <v>7</v>
      </c>
      <c r="BY407" s="27" t="s">
        <v>8</v>
      </c>
      <c r="BZ407" s="27" t="s">
        <v>7</v>
      </c>
      <c r="CA407" s="27" t="s">
        <v>8</v>
      </c>
      <c r="CC407" s="27" t="s">
        <v>8</v>
      </c>
      <c r="CD407" s="27" t="s">
        <v>7</v>
      </c>
      <c r="IV407" s="27" t="s">
        <v>7</v>
      </c>
      <c r="IW407" s="27" t="s">
        <v>8</v>
      </c>
      <c r="IX407" s="27" t="s">
        <v>7</v>
      </c>
    </row>
    <row r="408" spans="1:258" x14ac:dyDescent="0.25">
      <c r="A408" s="7">
        <v>34.628266036263945</v>
      </c>
      <c r="B408"/>
      <c r="C408"/>
      <c r="D408"/>
      <c r="E408" t="s">
        <v>8</v>
      </c>
      <c r="H408" s="27" t="s">
        <v>7</v>
      </c>
      <c r="I408" s="27" t="s">
        <v>8</v>
      </c>
      <c r="N408" s="27" t="s">
        <v>7</v>
      </c>
      <c r="P408" s="27" t="s">
        <v>7</v>
      </c>
      <c r="T408" s="27" t="s">
        <v>7</v>
      </c>
      <c r="Y408" s="27" t="s">
        <v>8</v>
      </c>
      <c r="AA408" s="27" t="s">
        <v>8</v>
      </c>
      <c r="AB408" s="27" t="s">
        <v>7</v>
      </c>
      <c r="BY408" s="27" t="s">
        <v>8</v>
      </c>
      <c r="BZ408" s="27" t="s">
        <v>7</v>
      </c>
      <c r="CA408" s="27" t="s">
        <v>8</v>
      </c>
      <c r="CB408" s="27" t="s">
        <v>7</v>
      </c>
      <c r="CC408" s="27" t="s">
        <v>8</v>
      </c>
      <c r="IV408" s="27" t="s">
        <v>7</v>
      </c>
      <c r="IW408" s="27" t="s">
        <v>8</v>
      </c>
      <c r="IX408" s="27" t="s">
        <v>7</v>
      </c>
    </row>
    <row r="409" spans="1:258" x14ac:dyDescent="0.25">
      <c r="A409" s="7">
        <v>33.949280427709752</v>
      </c>
      <c r="B409"/>
      <c r="C409"/>
      <c r="D409"/>
      <c r="E409" t="s">
        <v>8</v>
      </c>
      <c r="H409" s="27" t="s">
        <v>7</v>
      </c>
      <c r="I409" s="27" t="s">
        <v>8</v>
      </c>
      <c r="T409" s="27" t="s">
        <v>7</v>
      </c>
      <c r="Y409" s="27" t="s">
        <v>8</v>
      </c>
      <c r="Z409" s="27" t="s">
        <v>7</v>
      </c>
      <c r="AA409" s="27" t="s">
        <v>8</v>
      </c>
      <c r="AB409" s="27" t="s">
        <v>7</v>
      </c>
      <c r="BY409" s="27" t="s">
        <v>8</v>
      </c>
      <c r="BZ409" s="27" t="s">
        <v>7</v>
      </c>
      <c r="CA409" s="27" t="s">
        <v>8</v>
      </c>
      <c r="CB409" s="27" t="s">
        <v>7</v>
      </c>
      <c r="CC409" s="27" t="s">
        <v>8</v>
      </c>
      <c r="IV409" s="27" t="s">
        <v>7</v>
      </c>
      <c r="IX409" s="27" t="s">
        <v>7</v>
      </c>
    </row>
    <row r="410" spans="1:258" x14ac:dyDescent="0.25">
      <c r="A410" s="7">
        <v>33.28360826246054</v>
      </c>
      <c r="B410"/>
      <c r="C410"/>
      <c r="D410"/>
      <c r="E410" t="s">
        <v>8</v>
      </c>
      <c r="H410" s="27" t="s">
        <v>7</v>
      </c>
      <c r="I410" s="27" t="s">
        <v>8</v>
      </c>
      <c r="T410" s="27" t="s">
        <v>7</v>
      </c>
      <c r="U410" s="27" t="s">
        <v>8</v>
      </c>
      <c r="Y410" s="27" t="s">
        <v>8</v>
      </c>
      <c r="Z410" s="27" t="s">
        <v>7</v>
      </c>
      <c r="AA410" s="27" t="s">
        <v>8</v>
      </c>
      <c r="AB410" s="27" t="s">
        <v>7</v>
      </c>
      <c r="BS410" s="27" t="s">
        <v>8</v>
      </c>
      <c r="BY410" s="27" t="s">
        <v>8</v>
      </c>
      <c r="BZ410" s="27" t="s">
        <v>7</v>
      </c>
      <c r="CA410" s="27" t="s">
        <v>8</v>
      </c>
      <c r="CB410" s="27" t="s">
        <v>7</v>
      </c>
      <c r="CC410" s="27" t="s">
        <v>8</v>
      </c>
      <c r="IX410" s="27" t="s">
        <v>7</v>
      </c>
    </row>
    <row r="411" spans="1:258" x14ac:dyDescent="0.25">
      <c r="A411" s="7">
        <v>32.630988492608374</v>
      </c>
      <c r="B411"/>
      <c r="C411"/>
      <c r="D411"/>
      <c r="E411" t="s">
        <v>8</v>
      </c>
      <c r="H411" s="27" t="s">
        <v>7</v>
      </c>
      <c r="I411" s="27" t="s">
        <v>8</v>
      </c>
      <c r="T411" s="27" t="s">
        <v>7</v>
      </c>
      <c r="U411" s="27" t="s">
        <v>8</v>
      </c>
      <c r="V411" s="27" t="s">
        <v>7</v>
      </c>
      <c r="W411" s="27" t="s">
        <v>8</v>
      </c>
      <c r="Y411" s="27" t="s">
        <v>8</v>
      </c>
      <c r="Z411" s="27" t="s">
        <v>7</v>
      </c>
      <c r="AA411" s="27" t="s">
        <v>8</v>
      </c>
      <c r="AB411" s="27" t="s">
        <v>7</v>
      </c>
      <c r="BS411" s="27" t="s">
        <v>8</v>
      </c>
      <c r="BT411" s="27" t="s">
        <v>7</v>
      </c>
      <c r="BU411" s="27" t="s">
        <v>8</v>
      </c>
      <c r="BY411" s="27" t="s">
        <v>8</v>
      </c>
      <c r="BZ411" s="27" t="s">
        <v>7</v>
      </c>
      <c r="CA411" s="27" t="s">
        <v>8</v>
      </c>
      <c r="CB411" s="27" t="s">
        <v>7</v>
      </c>
      <c r="CC411" s="27" t="s">
        <v>8</v>
      </c>
    </row>
    <row r="412" spans="1:258" x14ac:dyDescent="0.25">
      <c r="A412" s="7">
        <v>31.99116518883174</v>
      </c>
      <c r="B412"/>
      <c r="C412"/>
      <c r="D412"/>
      <c r="E412" t="s">
        <v>8</v>
      </c>
      <c r="H412" s="27" t="s">
        <v>7</v>
      </c>
      <c r="I412" s="27" t="s">
        <v>8</v>
      </c>
      <c r="T412" s="27" t="s">
        <v>7</v>
      </c>
      <c r="U412" s="27" t="s">
        <v>8</v>
      </c>
      <c r="V412" s="27" t="s">
        <v>7</v>
      </c>
      <c r="W412" s="27" t="s">
        <v>8</v>
      </c>
      <c r="X412" s="27" t="s">
        <v>7</v>
      </c>
      <c r="Y412" s="27" t="s">
        <v>8</v>
      </c>
      <c r="Z412" s="27" t="s">
        <v>7</v>
      </c>
      <c r="AB412" s="27" t="s">
        <v>7</v>
      </c>
      <c r="BS412" s="27" t="s">
        <v>8</v>
      </c>
      <c r="BT412" s="27" t="s">
        <v>7</v>
      </c>
      <c r="BU412" s="27" t="s">
        <v>8</v>
      </c>
      <c r="BV412" s="27" t="s">
        <v>7</v>
      </c>
      <c r="BY412" s="27" t="s">
        <v>8</v>
      </c>
      <c r="BZ412" s="27" t="s">
        <v>7</v>
      </c>
      <c r="CA412" s="27" t="s">
        <v>8</v>
      </c>
      <c r="CB412" s="27" t="s">
        <v>7</v>
      </c>
      <c r="CC412" s="27" t="s">
        <v>8</v>
      </c>
    </row>
    <row r="413" spans="1:258" x14ac:dyDescent="0.25">
      <c r="A413" s="7">
        <v>31.363887440031117</v>
      </c>
      <c r="B413"/>
      <c r="C413"/>
      <c r="D413"/>
      <c r="E413" t="s">
        <v>8</v>
      </c>
      <c r="H413" s="27" t="s">
        <v>7</v>
      </c>
      <c r="I413" s="27" t="s">
        <v>8</v>
      </c>
      <c r="T413" s="27" t="s">
        <v>7</v>
      </c>
      <c r="V413" s="27" t="s">
        <v>7</v>
      </c>
      <c r="W413" s="27" t="s">
        <v>8</v>
      </c>
      <c r="X413" s="27" t="s">
        <v>7</v>
      </c>
      <c r="Y413" s="27" t="s">
        <v>8</v>
      </c>
      <c r="AB413" s="27" t="s">
        <v>7</v>
      </c>
      <c r="AC413" s="27" t="s">
        <v>8</v>
      </c>
      <c r="BS413" s="27" t="s">
        <v>8</v>
      </c>
      <c r="BT413" s="27" t="s">
        <v>7</v>
      </c>
      <c r="BU413" s="27" t="s">
        <v>8</v>
      </c>
      <c r="BV413" s="27" t="s">
        <v>7</v>
      </c>
      <c r="BY413" s="27" t="s">
        <v>8</v>
      </c>
      <c r="BZ413" s="27" t="s">
        <v>7</v>
      </c>
      <c r="CA413" s="27" t="s">
        <v>8</v>
      </c>
      <c r="CB413" s="27" t="s">
        <v>7</v>
      </c>
    </row>
    <row r="414" spans="1:258" x14ac:dyDescent="0.25">
      <c r="A414" s="7">
        <v>30.748909254932467</v>
      </c>
      <c r="B414"/>
      <c r="C414"/>
      <c r="D414"/>
      <c r="E414" t="s">
        <v>8</v>
      </c>
      <c r="H414" s="27" t="s">
        <v>7</v>
      </c>
      <c r="V414" s="27" t="s">
        <v>7</v>
      </c>
      <c r="X414" s="27" t="s">
        <v>7</v>
      </c>
      <c r="Y414" s="27" t="s">
        <v>8</v>
      </c>
      <c r="AB414" s="27" t="s">
        <v>7</v>
      </c>
      <c r="AC414" s="27" t="s">
        <v>8</v>
      </c>
      <c r="AD414" s="27" t="s">
        <v>7</v>
      </c>
      <c r="BS414" s="27" t="s">
        <v>8</v>
      </c>
      <c r="BT414" s="27" t="s">
        <v>7</v>
      </c>
      <c r="BU414" s="27" t="s">
        <v>8</v>
      </c>
      <c r="BV414" s="27" t="s">
        <v>7</v>
      </c>
      <c r="BW414" s="27" t="s">
        <v>8</v>
      </c>
      <c r="BY414" s="27" t="s">
        <v>8</v>
      </c>
      <c r="BZ414" s="27" t="s">
        <v>7</v>
      </c>
      <c r="CA414" s="27" t="s">
        <v>8</v>
      </c>
    </row>
    <row r="415" spans="1:258" x14ac:dyDescent="0.25">
      <c r="A415" s="7">
        <v>30.145989465620065</v>
      </c>
      <c r="B415"/>
      <c r="C415"/>
      <c r="D415"/>
      <c r="E415" t="s">
        <v>8</v>
      </c>
      <c r="X415" s="27" t="s">
        <v>7</v>
      </c>
      <c r="Y415" s="27" t="s">
        <v>8</v>
      </c>
      <c r="AB415" s="27" t="s">
        <v>7</v>
      </c>
      <c r="AC415" s="27" t="s">
        <v>8</v>
      </c>
      <c r="AD415" s="27" t="s">
        <v>7</v>
      </c>
      <c r="BS415" s="27" t="s">
        <v>8</v>
      </c>
      <c r="BT415" s="27" t="s">
        <v>7</v>
      </c>
      <c r="BU415" s="27" t="s">
        <v>8</v>
      </c>
      <c r="BV415" s="27" t="s">
        <v>7</v>
      </c>
      <c r="BW415" s="27" t="s">
        <v>8</v>
      </c>
      <c r="BX415" s="27" t="s">
        <v>7</v>
      </c>
      <c r="BY415" s="27" t="s">
        <v>8</v>
      </c>
      <c r="BZ415" s="27" t="s">
        <v>7</v>
      </c>
    </row>
    <row r="416" spans="1:258" x14ac:dyDescent="0.25">
      <c r="A416" s="7">
        <v>29.55489163296085</v>
      </c>
      <c r="B416"/>
      <c r="C416"/>
      <c r="D416"/>
      <c r="E416" t="s">
        <v>8</v>
      </c>
      <c r="X416" s="27" t="s">
        <v>7</v>
      </c>
      <c r="Y416" s="27" t="s">
        <v>8</v>
      </c>
      <c r="AB416" s="27" t="s">
        <v>7</v>
      </c>
      <c r="AD416" s="27" t="s">
        <v>7</v>
      </c>
      <c r="AE416" s="27" t="s">
        <v>8</v>
      </c>
      <c r="BS416" s="27" t="s">
        <v>8</v>
      </c>
      <c r="BT416" s="27" t="s">
        <v>7</v>
      </c>
      <c r="BU416" s="27" t="s">
        <v>8</v>
      </c>
      <c r="BV416" s="27" t="s">
        <v>7</v>
      </c>
      <c r="BW416" s="27" t="s">
        <v>8</v>
      </c>
      <c r="BX416" s="27" t="s">
        <v>7</v>
      </c>
      <c r="BY416" s="27" t="s">
        <v>8</v>
      </c>
    </row>
    <row r="417" spans="1:77" x14ac:dyDescent="0.25">
      <c r="A417" s="7">
        <v>28.975383953883185</v>
      </c>
      <c r="B417"/>
      <c r="C417"/>
      <c r="D417"/>
      <c r="E417" t="s">
        <v>8</v>
      </c>
      <c r="X417" s="27" t="s">
        <v>7</v>
      </c>
      <c r="Y417" s="27" t="s">
        <v>8</v>
      </c>
      <c r="AD417" s="27" t="s">
        <v>7</v>
      </c>
      <c r="AE417" s="27" t="s">
        <v>8</v>
      </c>
      <c r="AF417" s="27" t="s">
        <v>7</v>
      </c>
      <c r="AG417" s="27" t="s">
        <v>8</v>
      </c>
      <c r="BS417" s="27" t="s">
        <v>8</v>
      </c>
      <c r="BT417" s="27" t="s">
        <v>7</v>
      </c>
      <c r="BU417" s="27" t="s">
        <v>8</v>
      </c>
      <c r="BV417" s="27" t="s">
        <v>7</v>
      </c>
      <c r="BW417" s="27" t="s">
        <v>8</v>
      </c>
      <c r="BX417" s="27" t="s">
        <v>7</v>
      </c>
      <c r="BY417" s="27" t="s">
        <v>8</v>
      </c>
    </row>
    <row r="418" spans="1:77" x14ac:dyDescent="0.25">
      <c r="A418" s="7">
        <v>28.407239170473709</v>
      </c>
      <c r="B418"/>
      <c r="C418"/>
      <c r="D418"/>
      <c r="E418" t="s">
        <v>8</v>
      </c>
      <c r="X418" s="27" t="s">
        <v>7</v>
      </c>
      <c r="Y418" s="27" t="s">
        <v>8</v>
      </c>
      <c r="AD418" s="27" t="s">
        <v>7</v>
      </c>
      <c r="AE418" s="27" t="s">
        <v>8</v>
      </c>
      <c r="AF418" s="27" t="s">
        <v>7</v>
      </c>
      <c r="AG418" s="27" t="s">
        <v>8</v>
      </c>
      <c r="AH418" s="27" t="s">
        <v>7</v>
      </c>
      <c r="AU418" s="27" t="s">
        <v>8</v>
      </c>
      <c r="AW418" s="27" t="s">
        <v>8</v>
      </c>
      <c r="BS418" s="27" t="s">
        <v>8</v>
      </c>
      <c r="BT418" s="27" t="s">
        <v>7</v>
      </c>
      <c r="BU418" s="27" t="s">
        <v>8</v>
      </c>
      <c r="BV418" s="27" t="s">
        <v>7</v>
      </c>
      <c r="BW418" s="27" t="s">
        <v>8</v>
      </c>
      <c r="BX418" s="27" t="s">
        <v>7</v>
      </c>
      <c r="BY418" s="27" t="s">
        <v>8</v>
      </c>
    </row>
    <row r="419" spans="1:77" x14ac:dyDescent="0.25">
      <c r="A419" s="7">
        <v>27.850234480856578</v>
      </c>
      <c r="B419"/>
      <c r="C419"/>
      <c r="D419"/>
      <c r="E419" t="s">
        <v>8</v>
      </c>
      <c r="X419" s="27" t="s">
        <v>7</v>
      </c>
      <c r="Y419" s="27" t="s">
        <v>8</v>
      </c>
      <c r="AD419" s="27" t="s">
        <v>7</v>
      </c>
      <c r="AE419" s="27" t="s">
        <v>8</v>
      </c>
      <c r="AF419" s="27" t="s">
        <v>7</v>
      </c>
      <c r="AG419" s="27" t="s">
        <v>8</v>
      </c>
      <c r="AH419" s="27" t="s">
        <v>7</v>
      </c>
      <c r="AI419" s="27" t="s">
        <v>8</v>
      </c>
      <c r="AS419" s="27" t="s">
        <v>8</v>
      </c>
      <c r="AU419" s="27" t="s">
        <v>8</v>
      </c>
      <c r="AV419" s="27" t="s">
        <v>7</v>
      </c>
      <c r="AW419" s="27" t="s">
        <v>8</v>
      </c>
      <c r="AX419" s="27" t="s">
        <v>7</v>
      </c>
      <c r="BS419" s="27" t="s">
        <v>8</v>
      </c>
      <c r="BT419" s="27" t="s">
        <v>7</v>
      </c>
      <c r="BU419" s="27" t="s">
        <v>8</v>
      </c>
      <c r="BV419" s="27" t="s">
        <v>7</v>
      </c>
      <c r="BW419" s="27" t="s">
        <v>8</v>
      </c>
      <c r="BX419" s="27" t="s">
        <v>7</v>
      </c>
      <c r="BY419" s="27" t="s">
        <v>8</v>
      </c>
    </row>
    <row r="420" spans="1:77" x14ac:dyDescent="0.25">
      <c r="A420" s="7">
        <v>27.304151451820175</v>
      </c>
      <c r="B420"/>
      <c r="C420"/>
      <c r="D420"/>
      <c r="E420" t="s">
        <v>8</v>
      </c>
      <c r="X420" s="27" t="s">
        <v>7</v>
      </c>
      <c r="Y420" s="27" t="s">
        <v>8</v>
      </c>
      <c r="AD420" s="27" t="s">
        <v>7</v>
      </c>
      <c r="AE420" s="27" t="s">
        <v>8</v>
      </c>
      <c r="AF420" s="27" t="s">
        <v>7</v>
      </c>
      <c r="AH420" s="27" t="s">
        <v>7</v>
      </c>
      <c r="AI420" s="27" t="s">
        <v>8</v>
      </c>
      <c r="AJ420" s="27" t="s">
        <v>7</v>
      </c>
      <c r="AS420" s="27" t="s">
        <v>8</v>
      </c>
      <c r="AT420" s="27" t="s">
        <v>7</v>
      </c>
      <c r="AU420" s="27" t="s">
        <v>8</v>
      </c>
      <c r="AV420" s="27" t="s">
        <v>7</v>
      </c>
      <c r="AW420" s="27" t="s">
        <v>8</v>
      </c>
      <c r="AX420" s="27" t="s">
        <v>7</v>
      </c>
      <c r="BS420" s="27" t="s">
        <v>8</v>
      </c>
      <c r="BT420" s="27" t="s">
        <v>7</v>
      </c>
      <c r="BV420" s="27" t="s">
        <v>7</v>
      </c>
      <c r="BW420" s="27" t="s">
        <v>8</v>
      </c>
      <c r="BX420" s="27" t="s">
        <v>7</v>
      </c>
      <c r="BY420" s="27" t="s">
        <v>8</v>
      </c>
    </row>
    <row r="421" spans="1:77" x14ac:dyDescent="0.25">
      <c r="A421" s="7">
        <v>26.768775933157034</v>
      </c>
      <c r="B421"/>
      <c r="C421"/>
      <c r="D421"/>
      <c r="E421" t="s">
        <v>8</v>
      </c>
      <c r="X421" s="27" t="s">
        <v>7</v>
      </c>
      <c r="Y421" s="27" t="s">
        <v>8</v>
      </c>
      <c r="AD421" s="27" t="s">
        <v>7</v>
      </c>
      <c r="AE421" s="27" t="s">
        <v>8</v>
      </c>
      <c r="AH421" s="27" t="s">
        <v>7</v>
      </c>
      <c r="AI421" s="27" t="s">
        <v>8</v>
      </c>
      <c r="AJ421" s="27" t="s">
        <v>7</v>
      </c>
      <c r="AS421" s="27" t="s">
        <v>8</v>
      </c>
      <c r="AT421" s="27" t="s">
        <v>7</v>
      </c>
      <c r="AU421" s="27" t="s">
        <v>8</v>
      </c>
      <c r="AV421" s="27" t="s">
        <v>7</v>
      </c>
      <c r="AW421" s="27" t="s">
        <v>8</v>
      </c>
      <c r="AX421" s="27" t="s">
        <v>7</v>
      </c>
      <c r="BS421" s="27" t="s">
        <v>8</v>
      </c>
      <c r="BV421" s="27" t="s">
        <v>7</v>
      </c>
      <c r="BW421" s="27" t="s">
        <v>8</v>
      </c>
      <c r="BX421" s="27" t="s">
        <v>7</v>
      </c>
      <c r="BY421" s="27" t="s">
        <v>8</v>
      </c>
    </row>
    <row r="422" spans="1:77" x14ac:dyDescent="0.25">
      <c r="A422" s="7">
        <v>26.243897973683367</v>
      </c>
      <c r="B422"/>
      <c r="C422"/>
      <c r="D422"/>
      <c r="E422" t="s">
        <v>8</v>
      </c>
      <c r="X422" s="27" t="s">
        <v>7</v>
      </c>
      <c r="AD422" s="27" t="s">
        <v>7</v>
      </c>
      <c r="AE422" s="27" t="s">
        <v>8</v>
      </c>
      <c r="AH422" s="27" t="s">
        <v>7</v>
      </c>
      <c r="AI422" s="27" t="s">
        <v>8</v>
      </c>
      <c r="AJ422" s="27" t="s">
        <v>7</v>
      </c>
      <c r="AS422" s="27" t="s">
        <v>8</v>
      </c>
      <c r="AT422" s="27" t="s">
        <v>7</v>
      </c>
      <c r="AU422" s="27" t="s">
        <v>8</v>
      </c>
      <c r="AV422" s="27" t="s">
        <v>7</v>
      </c>
      <c r="AW422" s="27" t="s">
        <v>8</v>
      </c>
      <c r="AX422" s="27" t="s">
        <v>7</v>
      </c>
      <c r="BS422" s="27" t="s">
        <v>8</v>
      </c>
      <c r="BV422" s="27" t="s">
        <v>7</v>
      </c>
      <c r="BW422" s="27" t="s">
        <v>8</v>
      </c>
      <c r="BX422" s="27" t="s">
        <v>7</v>
      </c>
      <c r="BY422" s="27" t="s">
        <v>8</v>
      </c>
    </row>
    <row r="423" spans="1:77" x14ac:dyDescent="0.25">
      <c r="A423" s="7">
        <v>25.729311738905263</v>
      </c>
      <c r="B423"/>
      <c r="C423"/>
      <c r="D423"/>
      <c r="E423" t="s">
        <v>8</v>
      </c>
      <c r="AD423" s="27" t="s">
        <v>7</v>
      </c>
      <c r="AE423" s="27" t="s">
        <v>8</v>
      </c>
      <c r="AH423" s="27" t="s">
        <v>7</v>
      </c>
      <c r="AJ423" s="27" t="s">
        <v>7</v>
      </c>
      <c r="AS423" s="27" t="s">
        <v>8</v>
      </c>
      <c r="AT423" s="27" t="s">
        <v>7</v>
      </c>
      <c r="AU423" s="27" t="s">
        <v>8</v>
      </c>
      <c r="AV423" s="27" t="s">
        <v>7</v>
      </c>
      <c r="AX423" s="27" t="s">
        <v>7</v>
      </c>
      <c r="BS423" s="27" t="s">
        <v>8</v>
      </c>
      <c r="BV423" s="27" t="s">
        <v>7</v>
      </c>
      <c r="BX423" s="27" t="s">
        <v>7</v>
      </c>
      <c r="BY423" s="27" t="s">
        <v>8</v>
      </c>
    </row>
    <row r="424" spans="1:77" x14ac:dyDescent="0.25">
      <c r="A424" s="7">
        <v>25.224815430299277</v>
      </c>
      <c r="B424"/>
      <c r="C424"/>
      <c r="D424"/>
      <c r="E424" t="s">
        <v>8</v>
      </c>
      <c r="AD424" s="27" t="s">
        <v>7</v>
      </c>
      <c r="AE424" s="27" t="s">
        <v>8</v>
      </c>
      <c r="AJ424" s="27" t="s">
        <v>7</v>
      </c>
      <c r="AS424" s="27" t="s">
        <v>8</v>
      </c>
      <c r="AT424" s="27" t="s">
        <v>7</v>
      </c>
      <c r="AU424" s="27" t="s">
        <v>8</v>
      </c>
      <c r="AX424" s="27" t="s">
        <v>7</v>
      </c>
      <c r="BS424" s="27" t="s">
        <v>8</v>
      </c>
      <c r="BX424" s="27" t="s">
        <v>7</v>
      </c>
      <c r="BY424" s="27" t="s">
        <v>8</v>
      </c>
    </row>
    <row r="425" spans="1:77" x14ac:dyDescent="0.25">
      <c r="A425" s="7">
        <v>24.73021120617576</v>
      </c>
      <c r="B425"/>
      <c r="C425"/>
      <c r="D425"/>
      <c r="E425" t="s">
        <v>8</v>
      </c>
      <c r="AD425" s="27" t="s">
        <v>7</v>
      </c>
      <c r="AJ425" s="27" t="s">
        <v>7</v>
      </c>
      <c r="AO425" s="27" t="s">
        <v>8</v>
      </c>
      <c r="AQ425" s="27" t="s">
        <v>8</v>
      </c>
      <c r="AS425" s="27" t="s">
        <v>8</v>
      </c>
      <c r="AT425" s="27" t="s">
        <v>7</v>
      </c>
      <c r="AX425" s="27" t="s">
        <v>7</v>
      </c>
      <c r="BS425" s="27" t="s">
        <v>8</v>
      </c>
      <c r="BX425" s="27" t="s">
        <v>7</v>
      </c>
      <c r="BY425" s="27" t="s">
        <v>8</v>
      </c>
    </row>
    <row r="426" spans="1:77" x14ac:dyDescent="0.25">
      <c r="A426" s="7">
        <v>24.24530510409388</v>
      </c>
      <c r="B426"/>
      <c r="C426"/>
      <c r="D426"/>
      <c r="E426" t="s">
        <v>8</v>
      </c>
      <c r="AJ426" s="27" t="s">
        <v>7</v>
      </c>
      <c r="AO426" s="27" t="s">
        <v>8</v>
      </c>
      <c r="AP426" s="27" t="s">
        <v>7</v>
      </c>
      <c r="AQ426" s="27" t="s">
        <v>8</v>
      </c>
      <c r="AR426" s="27" t="s">
        <v>7</v>
      </c>
      <c r="AS426" s="27" t="s">
        <v>8</v>
      </c>
      <c r="AX426" s="27" t="s">
        <v>7</v>
      </c>
      <c r="BO426" s="27" t="s">
        <v>8</v>
      </c>
      <c r="BS426" s="27" t="s">
        <v>8</v>
      </c>
      <c r="BX426" s="27" t="s">
        <v>7</v>
      </c>
      <c r="BY426" s="27" t="s">
        <v>8</v>
      </c>
    </row>
    <row r="427" spans="1:77" x14ac:dyDescent="0.25">
      <c r="A427" s="7">
        <v>23.769906964797922</v>
      </c>
      <c r="B427"/>
      <c r="C427"/>
      <c r="D427"/>
      <c r="E427" t="s">
        <v>8</v>
      </c>
      <c r="AJ427" s="27" t="s">
        <v>7</v>
      </c>
      <c r="AM427" s="27" t="s">
        <v>8</v>
      </c>
      <c r="AO427" s="27" t="s">
        <v>8</v>
      </c>
      <c r="AP427" s="27" t="s">
        <v>7</v>
      </c>
      <c r="AQ427" s="27" t="s">
        <v>8</v>
      </c>
      <c r="AR427" s="27" t="s">
        <v>7</v>
      </c>
      <c r="AS427" s="27" t="s">
        <v>8</v>
      </c>
      <c r="AX427" s="27" t="s">
        <v>7</v>
      </c>
      <c r="BA427" s="27" t="s">
        <v>8</v>
      </c>
      <c r="BO427" s="27" t="s">
        <v>8</v>
      </c>
      <c r="BP427" s="27" t="s">
        <v>7</v>
      </c>
      <c r="BQ427" s="27" t="s">
        <v>8</v>
      </c>
      <c r="BS427" s="27" t="s">
        <v>8</v>
      </c>
      <c r="BX427" s="27" t="s">
        <v>7</v>
      </c>
      <c r="BY427" s="27" t="s">
        <v>8</v>
      </c>
    </row>
    <row r="428" spans="1:77" x14ac:dyDescent="0.25">
      <c r="A428" s="7">
        <v>23.303830357645023</v>
      </c>
      <c r="B428"/>
      <c r="C428"/>
      <c r="D428"/>
      <c r="E428" t="s">
        <v>8</v>
      </c>
      <c r="AJ428" s="27" t="s">
        <v>7</v>
      </c>
      <c r="AM428" s="27" t="s">
        <v>8</v>
      </c>
      <c r="AN428" s="27" t="s">
        <v>7</v>
      </c>
      <c r="AO428" s="27" t="s">
        <v>8</v>
      </c>
      <c r="AP428" s="27" t="s">
        <v>7</v>
      </c>
      <c r="AQ428" s="27" t="s">
        <v>8</v>
      </c>
      <c r="AR428" s="27" t="s">
        <v>7</v>
      </c>
      <c r="AS428" s="27" t="s">
        <v>8</v>
      </c>
      <c r="AX428" s="27" t="s">
        <v>7</v>
      </c>
      <c r="BA428" s="27" t="s">
        <v>8</v>
      </c>
      <c r="BB428" s="27" t="s">
        <v>7</v>
      </c>
      <c r="BC428" s="27" t="s">
        <v>8</v>
      </c>
      <c r="BO428" s="27" t="s">
        <v>8</v>
      </c>
      <c r="BP428" s="27" t="s">
        <v>7</v>
      </c>
      <c r="BQ428" s="27" t="s">
        <v>8</v>
      </c>
      <c r="BR428" s="27" t="s">
        <v>7</v>
      </c>
      <c r="BS428" s="27" t="s">
        <v>8</v>
      </c>
      <c r="BX428" s="27" t="s">
        <v>7</v>
      </c>
      <c r="BY428" s="27" t="s">
        <v>8</v>
      </c>
    </row>
    <row r="429" spans="1:77" x14ac:dyDescent="0.25">
      <c r="A429" s="7">
        <v>22.84689250749512</v>
      </c>
      <c r="B429"/>
      <c r="C429"/>
      <c r="D429"/>
      <c r="E429" t="s">
        <v>8</v>
      </c>
      <c r="AJ429" s="27" t="s">
        <v>7</v>
      </c>
      <c r="AM429" s="27" t="s">
        <v>8</v>
      </c>
      <c r="AN429" s="27" t="s">
        <v>7</v>
      </c>
      <c r="AO429" s="27" t="s">
        <v>8</v>
      </c>
      <c r="AP429" s="27" t="s">
        <v>7</v>
      </c>
      <c r="AQ429" s="27" t="s">
        <v>8</v>
      </c>
      <c r="AR429" s="27" t="s">
        <v>7</v>
      </c>
      <c r="AS429" s="27" t="s">
        <v>8</v>
      </c>
      <c r="AX429" s="27" t="s">
        <v>7</v>
      </c>
      <c r="AY429" s="27" t="s">
        <v>8</v>
      </c>
      <c r="BA429" s="27" t="s">
        <v>8</v>
      </c>
      <c r="BB429" s="27" t="s">
        <v>7</v>
      </c>
      <c r="BC429" s="27" t="s">
        <v>8</v>
      </c>
      <c r="BD429" s="27" t="s">
        <v>7</v>
      </c>
      <c r="BO429" s="27" t="s">
        <v>8</v>
      </c>
      <c r="BP429" s="27" t="s">
        <v>7</v>
      </c>
      <c r="BQ429" s="27" t="s">
        <v>8</v>
      </c>
      <c r="BR429" s="27" t="s">
        <v>7</v>
      </c>
      <c r="BS429" s="27" t="s">
        <v>8</v>
      </c>
      <c r="BX429" s="27" t="s">
        <v>7</v>
      </c>
    </row>
    <row r="430" spans="1:77" x14ac:dyDescent="0.25">
      <c r="A430" s="7">
        <v>22.398914223034431</v>
      </c>
      <c r="B430"/>
      <c r="C430"/>
      <c r="D430"/>
      <c r="E430" t="s">
        <v>8</v>
      </c>
      <c r="AJ430" s="27" t="s">
        <v>7</v>
      </c>
      <c r="AK430" s="27" t="s">
        <v>8</v>
      </c>
      <c r="AM430" s="27" t="s">
        <v>8</v>
      </c>
      <c r="AN430" s="27" t="s">
        <v>7</v>
      </c>
      <c r="AO430" s="27" t="s">
        <v>8</v>
      </c>
      <c r="AP430" s="27" t="s">
        <v>7</v>
      </c>
      <c r="AQ430" s="27" t="s">
        <v>8</v>
      </c>
      <c r="AR430" s="27" t="s">
        <v>7</v>
      </c>
      <c r="AX430" s="27" t="s">
        <v>7</v>
      </c>
      <c r="AY430" s="27" t="s">
        <v>8</v>
      </c>
      <c r="AZ430" s="27" t="s">
        <v>7</v>
      </c>
      <c r="BA430" s="27" t="s">
        <v>8</v>
      </c>
      <c r="BB430" s="27" t="s">
        <v>7</v>
      </c>
      <c r="BC430" s="27" t="s">
        <v>8</v>
      </c>
      <c r="BD430" s="27" t="s">
        <v>7</v>
      </c>
      <c r="BO430" s="27" t="s">
        <v>8</v>
      </c>
      <c r="BP430" s="27" t="s">
        <v>7</v>
      </c>
      <c r="BQ430" s="27" t="s">
        <v>8</v>
      </c>
      <c r="BR430" s="27" t="s">
        <v>7</v>
      </c>
      <c r="BS430" s="27" t="s">
        <v>8</v>
      </c>
    </row>
    <row r="431" spans="1:77" x14ac:dyDescent="0.25">
      <c r="A431" s="7">
        <v>21.959719826504344</v>
      </c>
      <c r="B431"/>
      <c r="C431"/>
      <c r="D431"/>
      <c r="E431" t="s">
        <v>8</v>
      </c>
      <c r="AJ431" s="27" t="s">
        <v>7</v>
      </c>
      <c r="AK431" s="27" t="s">
        <v>8</v>
      </c>
      <c r="AL431" s="27" t="s">
        <v>7</v>
      </c>
      <c r="AM431" s="27" t="s">
        <v>8</v>
      </c>
      <c r="AN431" s="27" t="s">
        <v>7</v>
      </c>
      <c r="AO431" s="27" t="s">
        <v>8</v>
      </c>
      <c r="AP431" s="27" t="s">
        <v>7</v>
      </c>
      <c r="AX431" s="27" t="s">
        <v>7</v>
      </c>
      <c r="AY431" s="27" t="s">
        <v>8</v>
      </c>
      <c r="AZ431" s="27" t="s">
        <v>7</v>
      </c>
      <c r="BA431" s="27" t="s">
        <v>8</v>
      </c>
      <c r="BB431" s="27" t="s">
        <v>7</v>
      </c>
      <c r="BC431" s="27" t="s">
        <v>8</v>
      </c>
      <c r="BD431" s="27" t="s">
        <v>7</v>
      </c>
      <c r="BO431" s="27" t="s">
        <v>8</v>
      </c>
      <c r="BP431" s="27" t="s">
        <v>7</v>
      </c>
      <c r="BQ431" s="27" t="s">
        <v>8</v>
      </c>
      <c r="BR431" s="27" t="s">
        <v>7</v>
      </c>
    </row>
    <row r="432" spans="1:77" x14ac:dyDescent="0.25">
      <c r="A432" s="7">
        <v>21.52913708480818</v>
      </c>
      <c r="B432"/>
      <c r="C432"/>
      <c r="D432"/>
      <c r="E432" t="s">
        <v>8</v>
      </c>
      <c r="AJ432" s="27" t="s">
        <v>7</v>
      </c>
      <c r="AK432" s="27" t="s">
        <v>8</v>
      </c>
      <c r="AL432" s="27" t="s">
        <v>7</v>
      </c>
      <c r="AM432" s="27" t="s">
        <v>8</v>
      </c>
      <c r="AN432" s="27" t="s">
        <v>7</v>
      </c>
      <c r="AO432" s="27" t="s">
        <v>8</v>
      </c>
      <c r="AX432" s="27" t="s">
        <v>7</v>
      </c>
      <c r="AY432" s="27" t="s">
        <v>8</v>
      </c>
      <c r="AZ432" s="27" t="s">
        <v>7</v>
      </c>
      <c r="BA432" s="27" t="s">
        <v>8</v>
      </c>
      <c r="BB432" s="27" t="s">
        <v>7</v>
      </c>
      <c r="BC432" s="27" t="s">
        <v>8</v>
      </c>
      <c r="BD432" s="27" t="s">
        <v>7</v>
      </c>
      <c r="BO432" s="27" t="s">
        <v>8</v>
      </c>
      <c r="BP432" s="27" t="s">
        <v>7</v>
      </c>
      <c r="BQ432" s="27" t="s">
        <v>8</v>
      </c>
    </row>
    <row r="433" spans="1:69" x14ac:dyDescent="0.25">
      <c r="A433" s="7">
        <v>21.106997141968804</v>
      </c>
      <c r="B433"/>
      <c r="C433"/>
      <c r="D433"/>
      <c r="E433" t="s">
        <v>8</v>
      </c>
      <c r="AJ433" s="27" t="s">
        <v>7</v>
      </c>
      <c r="AK433" s="27" t="s">
        <v>8</v>
      </c>
      <c r="AL433" s="27" t="s">
        <v>7</v>
      </c>
      <c r="AM433" s="27" t="s">
        <v>8</v>
      </c>
      <c r="AN433" s="27" t="s">
        <v>7</v>
      </c>
      <c r="AO433" s="27" t="s">
        <v>8</v>
      </c>
      <c r="AX433" s="27" t="s">
        <v>7</v>
      </c>
      <c r="AY433" s="27" t="s">
        <v>8</v>
      </c>
      <c r="AZ433" s="27" t="s">
        <v>7</v>
      </c>
      <c r="BA433" s="27" t="s">
        <v>8</v>
      </c>
      <c r="BB433" s="27" t="s">
        <v>7</v>
      </c>
      <c r="BD433" s="27" t="s">
        <v>7</v>
      </c>
      <c r="BO433" s="27" t="s">
        <v>8</v>
      </c>
      <c r="BP433" s="27" t="s">
        <v>7</v>
      </c>
      <c r="BQ433" s="27" t="s">
        <v>8</v>
      </c>
    </row>
    <row r="434" spans="1:69" x14ac:dyDescent="0.25">
      <c r="A434" s="7">
        <v>20.693134452910591</v>
      </c>
      <c r="B434"/>
      <c r="C434"/>
      <c r="D434"/>
      <c r="E434" t="s">
        <v>8</v>
      </c>
      <c r="AJ434" s="27" t="s">
        <v>7</v>
      </c>
      <c r="AL434" s="27" t="s">
        <v>7</v>
      </c>
      <c r="AM434" s="27" t="s">
        <v>8</v>
      </c>
      <c r="AN434" s="27" t="s">
        <v>7</v>
      </c>
      <c r="AX434" s="27" t="s">
        <v>7</v>
      </c>
      <c r="AY434" s="27" t="s">
        <v>8</v>
      </c>
      <c r="AZ434" s="27" t="s">
        <v>7</v>
      </c>
      <c r="BA434" s="27" t="s">
        <v>8</v>
      </c>
      <c r="BD434" s="27" t="s">
        <v>7</v>
      </c>
      <c r="BO434" s="27" t="s">
        <v>8</v>
      </c>
      <c r="BP434" s="27" t="s">
        <v>7</v>
      </c>
    </row>
    <row r="435" spans="1:69" x14ac:dyDescent="0.25">
      <c r="A435" s="7">
        <v>20.287386718539796</v>
      </c>
      <c r="B435"/>
      <c r="C435"/>
      <c r="D435"/>
      <c r="E435" t="s">
        <v>8</v>
      </c>
      <c r="AL435" s="27" t="s">
        <v>7</v>
      </c>
      <c r="AM435" s="27" t="s">
        <v>8</v>
      </c>
      <c r="AX435" s="27" t="s">
        <v>7</v>
      </c>
      <c r="AY435" s="27" t="s">
        <v>8</v>
      </c>
      <c r="AZ435" s="27" t="s">
        <v>7</v>
      </c>
      <c r="BD435" s="27" t="s">
        <v>7</v>
      </c>
      <c r="BO435" s="27" t="s">
        <v>8</v>
      </c>
    </row>
    <row r="436" spans="1:69" x14ac:dyDescent="0.25">
      <c r="A436" s="7">
        <v>19.889594822097838</v>
      </c>
      <c r="B436"/>
      <c r="C436"/>
      <c r="D436"/>
      <c r="E436" t="s">
        <v>8</v>
      </c>
      <c r="AL436" s="27" t="s">
        <v>7</v>
      </c>
      <c r="AM436" s="27" t="s">
        <v>8</v>
      </c>
      <c r="AX436" s="27" t="s">
        <v>7</v>
      </c>
      <c r="AY436" s="27" t="s">
        <v>8</v>
      </c>
      <c r="BD436" s="27" t="s">
        <v>7</v>
      </c>
      <c r="BE436" s="27" t="s">
        <v>8</v>
      </c>
      <c r="BM436" s="27" t="s">
        <v>8</v>
      </c>
      <c r="BO436" s="27" t="s">
        <v>8</v>
      </c>
    </row>
    <row r="437" spans="1:69" x14ac:dyDescent="0.25">
      <c r="A437" s="7">
        <v>19.499602766762585</v>
      </c>
      <c r="B437"/>
      <c r="C437"/>
      <c r="D437"/>
      <c r="E437" t="s">
        <v>8</v>
      </c>
      <c r="AL437" s="27" t="s">
        <v>7</v>
      </c>
      <c r="AM437" s="27" t="s">
        <v>8</v>
      </c>
      <c r="AX437" s="27" t="s">
        <v>7</v>
      </c>
      <c r="AY437" s="27" t="s">
        <v>8</v>
      </c>
      <c r="BD437" s="27" t="s">
        <v>7</v>
      </c>
      <c r="BE437" s="27" t="s">
        <v>8</v>
      </c>
      <c r="BF437" s="27" t="s">
        <v>7</v>
      </c>
      <c r="BM437" s="27" t="s">
        <v>8</v>
      </c>
      <c r="BN437" s="27" t="s">
        <v>7</v>
      </c>
      <c r="BO437" s="27" t="s">
        <v>8</v>
      </c>
    </row>
    <row r="438" spans="1:69" x14ac:dyDescent="0.25">
      <c r="A438" s="7">
        <v>19.117257614473122</v>
      </c>
      <c r="B438"/>
      <c r="C438"/>
      <c r="D438"/>
      <c r="E438" t="s">
        <v>8</v>
      </c>
      <c r="AL438" s="27" t="s">
        <v>7</v>
      </c>
      <c r="AM438" s="27" t="s">
        <v>8</v>
      </c>
      <c r="AX438" s="27" t="s">
        <v>7</v>
      </c>
      <c r="AY438" s="27" t="s">
        <v>8</v>
      </c>
      <c r="BD438" s="27" t="s">
        <v>7</v>
      </c>
      <c r="BE438" s="27" t="s">
        <v>8</v>
      </c>
      <c r="BF438" s="27" t="s">
        <v>7</v>
      </c>
      <c r="BM438" s="27" t="s">
        <v>8</v>
      </c>
      <c r="BN438" s="27" t="s">
        <v>7</v>
      </c>
      <c r="BO438" s="27" t="s">
        <v>8</v>
      </c>
    </row>
    <row r="439" spans="1:69" x14ac:dyDescent="0.25">
      <c r="A439" s="7">
        <v>18.74240942595404</v>
      </c>
      <c r="B439"/>
      <c r="C439"/>
      <c r="D439"/>
      <c r="E439" t="s">
        <v>8</v>
      </c>
      <c r="AL439" s="27" t="s">
        <v>7</v>
      </c>
      <c r="AM439" s="27" t="s">
        <v>8</v>
      </c>
      <c r="AX439" s="27" t="s">
        <v>7</v>
      </c>
      <c r="AY439" s="27" t="s">
        <v>8</v>
      </c>
      <c r="BD439" s="27" t="s">
        <v>7</v>
      </c>
      <c r="BE439" s="27" t="s">
        <v>8</v>
      </c>
      <c r="BF439" s="27" t="s">
        <v>7</v>
      </c>
      <c r="BM439" s="27" t="s">
        <v>8</v>
      </c>
      <c r="BN439" s="27" t="s">
        <v>7</v>
      </c>
      <c r="BO439" s="27" t="s">
        <v>8</v>
      </c>
    </row>
    <row r="440" spans="1:69" x14ac:dyDescent="0.25">
      <c r="A440" s="7">
        <v>18.374911201915726</v>
      </c>
      <c r="B440"/>
      <c r="C440"/>
      <c r="D440"/>
      <c r="E440" t="s">
        <v>8</v>
      </c>
      <c r="AL440" s="27" t="s">
        <v>7</v>
      </c>
      <c r="AM440" s="27" t="s">
        <v>8</v>
      </c>
      <c r="AX440" s="27" t="s">
        <v>7</v>
      </c>
      <c r="BD440" s="27" t="s">
        <v>7</v>
      </c>
      <c r="BE440" s="27" t="s">
        <v>8</v>
      </c>
      <c r="BF440" s="27" t="s">
        <v>7</v>
      </c>
      <c r="BI440" s="27" t="s">
        <v>8</v>
      </c>
      <c r="BK440" s="27" t="s">
        <v>8</v>
      </c>
      <c r="BM440" s="27" t="s">
        <v>8</v>
      </c>
      <c r="BN440" s="27" t="s">
        <v>7</v>
      </c>
      <c r="BO440" s="27" t="s">
        <v>8</v>
      </c>
    </row>
    <row r="441" spans="1:69" x14ac:dyDescent="0.25">
      <c r="A441" s="7">
        <v>18.014618825407574</v>
      </c>
      <c r="B441"/>
      <c r="C441"/>
      <c r="D441"/>
      <c r="E441" t="s">
        <v>8</v>
      </c>
      <c r="AL441" s="27" t="s">
        <v>7</v>
      </c>
      <c r="BD441" s="27" t="s">
        <v>7</v>
      </c>
      <c r="BE441" s="27" t="s">
        <v>8</v>
      </c>
      <c r="BF441" s="27" t="s">
        <v>7</v>
      </c>
      <c r="BI441" s="27" t="s">
        <v>8</v>
      </c>
      <c r="BJ441" s="27" t="s">
        <v>7</v>
      </c>
      <c r="BK441" s="27" t="s">
        <v>8</v>
      </c>
      <c r="BL441" s="27" t="s">
        <v>7</v>
      </c>
      <c r="BM441" s="27" t="s">
        <v>8</v>
      </c>
      <c r="BN441" s="27" t="s">
        <v>7</v>
      </c>
      <c r="BO441" s="27" t="s">
        <v>8</v>
      </c>
    </row>
    <row r="442" spans="1:69" x14ac:dyDescent="0.25">
      <c r="A442" s="7">
        <v>17.661391005301542</v>
      </c>
      <c r="B442"/>
      <c r="C442"/>
      <c r="D442"/>
      <c r="E442" t="s">
        <v>8</v>
      </c>
      <c r="BD442" s="27" t="s">
        <v>7</v>
      </c>
      <c r="BF442" s="27" t="s">
        <v>7</v>
      </c>
      <c r="BG442" s="27" t="s">
        <v>8</v>
      </c>
      <c r="BI442" s="27" t="s">
        <v>8</v>
      </c>
      <c r="BJ442" s="27" t="s">
        <v>7</v>
      </c>
      <c r="BK442" s="27" t="s">
        <v>8</v>
      </c>
      <c r="BL442" s="27" t="s">
        <v>7</v>
      </c>
      <c r="BM442" s="27" t="s">
        <v>8</v>
      </c>
      <c r="BN442" s="27" t="s">
        <v>7</v>
      </c>
      <c r="BO442" s="27" t="s">
        <v>8</v>
      </c>
    </row>
    <row r="443" spans="1:69" x14ac:dyDescent="0.25">
      <c r="A443" s="7">
        <v>17.315089220883866</v>
      </c>
      <c r="B443"/>
      <c r="C443"/>
      <c r="D443"/>
      <c r="E443" t="s">
        <v>8</v>
      </c>
      <c r="BF443" s="27" t="s">
        <v>7</v>
      </c>
      <c r="BG443" s="27" t="s">
        <v>8</v>
      </c>
      <c r="BH443" s="27" t="s">
        <v>7</v>
      </c>
      <c r="BI443" s="27" t="s">
        <v>8</v>
      </c>
      <c r="BJ443" s="27" t="s">
        <v>7</v>
      </c>
      <c r="BL443" s="27" t="s">
        <v>7</v>
      </c>
      <c r="BM443" s="27" t="s">
        <v>8</v>
      </c>
      <c r="BN443" s="27" t="s">
        <v>7</v>
      </c>
      <c r="BO443" s="27" t="s">
        <v>8</v>
      </c>
    </row>
    <row r="444" spans="1:69" x14ac:dyDescent="0.25">
      <c r="A444" s="7">
        <v>16.975577667533202</v>
      </c>
      <c r="B444"/>
      <c r="C444"/>
      <c r="D444"/>
      <c r="E444" t="s">
        <v>8</v>
      </c>
      <c r="BF444" s="27" t="s">
        <v>7</v>
      </c>
      <c r="BG444" s="27" t="s">
        <v>8</v>
      </c>
      <c r="BH444" s="27" t="s">
        <v>7</v>
      </c>
      <c r="BI444" s="27" t="s">
        <v>8</v>
      </c>
      <c r="BL444" s="27" t="s">
        <v>7</v>
      </c>
      <c r="BM444" s="27" t="s">
        <v>8</v>
      </c>
      <c r="BN444" s="27" t="s">
        <v>7</v>
      </c>
      <c r="BO444" s="27" t="s">
        <v>8</v>
      </c>
    </row>
    <row r="445" spans="1:69" x14ac:dyDescent="0.25">
      <c r="A445" s="7">
        <v>16.642723203463923</v>
      </c>
      <c r="B445"/>
      <c r="C445"/>
      <c r="D445"/>
      <c r="E445" t="s">
        <v>8</v>
      </c>
      <c r="BF445" s="27" t="s">
        <v>7</v>
      </c>
      <c r="BG445" s="27" t="s">
        <v>8</v>
      </c>
      <c r="BH445" s="27" t="s">
        <v>7</v>
      </c>
      <c r="BI445" s="27" t="s">
        <v>8</v>
      </c>
      <c r="BL445" s="27" t="s">
        <v>7</v>
      </c>
      <c r="BM445" s="27" t="s">
        <v>8</v>
      </c>
      <c r="BN445" s="27" t="s">
        <v>7</v>
      </c>
      <c r="BO445" s="27" t="s">
        <v>8</v>
      </c>
    </row>
    <row r="446" spans="1:69" x14ac:dyDescent="0.25">
      <c r="A446" s="7">
        <v>16.316395297513651</v>
      </c>
      <c r="B446"/>
      <c r="C446"/>
      <c r="D446"/>
      <c r="E446" t="s">
        <v>8</v>
      </c>
      <c r="BF446" s="27" t="s">
        <v>7</v>
      </c>
      <c r="BH446" s="27" t="s">
        <v>7</v>
      </c>
      <c r="BI446" s="27" t="s">
        <v>8</v>
      </c>
      <c r="BL446" s="27" t="s">
        <v>7</v>
      </c>
      <c r="BM446" s="27" t="s">
        <v>8</v>
      </c>
      <c r="BN446" s="27" t="s">
        <v>7</v>
      </c>
      <c r="BO446" s="27" t="s">
        <v>8</v>
      </c>
    </row>
    <row r="447" spans="1:69" x14ac:dyDescent="0.25">
      <c r="A447" s="7">
        <v>15.996465977954561</v>
      </c>
      <c r="B447"/>
      <c r="C447"/>
      <c r="D447"/>
      <c r="E447" t="s">
        <v>8</v>
      </c>
      <c r="BH447" s="27" t="s">
        <v>7</v>
      </c>
      <c r="BL447" s="27" t="s">
        <v>7</v>
      </c>
      <c r="BM447" s="27" t="s">
        <v>8</v>
      </c>
      <c r="BN447" s="27" t="s">
        <v>7</v>
      </c>
    </row>
    <row r="448" spans="1:69" x14ac:dyDescent="0.25">
      <c r="A448" s="7">
        <v>15.682809782308393</v>
      </c>
      <c r="B448"/>
      <c r="C448"/>
      <c r="D448"/>
      <c r="E448" t="s">
        <v>8</v>
      </c>
      <c r="BL448" s="27" t="s">
        <v>7</v>
      </c>
      <c r="BM448" s="27" t="s">
        <v>8</v>
      </c>
    </row>
    <row r="449" spans="1:65" x14ac:dyDescent="0.25">
      <c r="A449" s="7">
        <v>15.375303708145482</v>
      </c>
      <c r="B449"/>
      <c r="C449"/>
      <c r="D449"/>
      <c r="E449" t="s">
        <v>8</v>
      </c>
      <c r="BL449" s="27" t="s">
        <v>7</v>
      </c>
      <c r="BM449" s="27" t="s">
        <v>8</v>
      </c>
    </row>
    <row r="450" spans="1:65" x14ac:dyDescent="0.25">
      <c r="A450" s="7">
        <v>15.073827164848511</v>
      </c>
      <c r="B450"/>
      <c r="C450"/>
      <c r="D450"/>
      <c r="E450" t="s">
        <v>8</v>
      </c>
      <c r="BL450" s="27" t="s">
        <v>7</v>
      </c>
    </row>
    <row r="451" spans="1:65" x14ac:dyDescent="0.25">
      <c r="A451" s="7">
        <v>14.77826192632207</v>
      </c>
      <c r="B451"/>
      <c r="C451"/>
      <c r="D451"/>
      <c r="E451" t="s">
        <v>8</v>
      </c>
    </row>
    <row r="452" spans="1:65" x14ac:dyDescent="0.25">
      <c r="A452" s="7">
        <v>14.488492084629481</v>
      </c>
      <c r="B452"/>
      <c r="C452"/>
      <c r="D452"/>
      <c r="E452" t="s">
        <v>8</v>
      </c>
    </row>
    <row r="453" spans="1:65" x14ac:dyDescent="0.25">
      <c r="A453" s="7">
        <v>14.204404004538707</v>
      </c>
      <c r="B453"/>
      <c r="C453"/>
      <c r="D453"/>
      <c r="E453" t="s">
        <v>8</v>
      </c>
    </row>
    <row r="454" spans="1:65" x14ac:dyDescent="0.25">
      <c r="A454" s="7">
        <v>13.925886278959517</v>
      </c>
      <c r="B454"/>
      <c r="C454"/>
      <c r="D454"/>
      <c r="E454" t="s">
        <v>8</v>
      </c>
    </row>
    <row r="455" spans="1:65" x14ac:dyDescent="0.25">
      <c r="A455" s="7">
        <v>13.652829685254428</v>
      </c>
      <c r="B455"/>
      <c r="C455"/>
      <c r="D455"/>
      <c r="E455" t="s">
        <v>8</v>
      </c>
    </row>
    <row r="456" spans="1:65" x14ac:dyDescent="0.25">
      <c r="A456" s="7">
        <v>13.385127142406303</v>
      </c>
      <c r="B456"/>
      <c r="C456"/>
      <c r="D456"/>
      <c r="E456" t="s">
        <v>8</v>
      </c>
    </row>
    <row r="457" spans="1:65" x14ac:dyDescent="0.25">
      <c r="A457" s="7">
        <v>13.122673669025787</v>
      </c>
      <c r="B457"/>
      <c r="C457"/>
      <c r="D457"/>
      <c r="E457" t="s">
        <v>8</v>
      </c>
    </row>
    <row r="458" spans="1:65" x14ac:dyDescent="0.25">
      <c r="A458" s="7">
        <v>12.865366342182144</v>
      </c>
      <c r="B458"/>
      <c r="C458"/>
      <c r="D458"/>
      <c r="E458" t="s">
        <v>8</v>
      </c>
    </row>
    <row r="459" spans="1:65" x14ac:dyDescent="0.25">
      <c r="A459" s="7">
        <v>12.613104257041318</v>
      </c>
      <c r="B459"/>
      <c r="C459"/>
      <c r="D459"/>
      <c r="E459" t="s">
        <v>8</v>
      </c>
    </row>
    <row r="460" spans="1:65" x14ac:dyDescent="0.25">
      <c r="A460" s="7">
        <v>12.36578848729541</v>
      </c>
      <c r="B460"/>
      <c r="C460"/>
      <c r="D460"/>
      <c r="E460" t="s">
        <v>8</v>
      </c>
    </row>
    <row r="461" spans="1:65" x14ac:dyDescent="0.25">
      <c r="A461" s="7">
        <v>12.123322046368049</v>
      </c>
      <c r="B461"/>
      <c r="C461"/>
      <c r="D461"/>
      <c r="E461" t="s">
        <v>8</v>
      </c>
    </row>
    <row r="462" spans="1:65" x14ac:dyDescent="0.25">
      <c r="A462" s="7">
        <v>11.88560984938044</v>
      </c>
      <c r="B462"/>
      <c r="C462"/>
      <c r="D462"/>
      <c r="E462" t="s">
        <v>8</v>
      </c>
    </row>
    <row r="463" spans="1:65" x14ac:dyDescent="0.25">
      <c r="A463" s="7">
        <v>11.652558675863176</v>
      </c>
      <c r="B463"/>
      <c r="C463"/>
      <c r="D463"/>
      <c r="E463" t="s">
        <v>8</v>
      </c>
    </row>
    <row r="464" spans="1:6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23" operator="equal">
      <formula>$U$1</formula>
    </cfRule>
    <cfRule type="cellIs" dxfId="89" priority="924" operator="equal">
      <formula>$S$1</formula>
    </cfRule>
  </conditionalFormatting>
  <conditionalFormatting sqref="D27">
    <cfRule type="cellIs" dxfId="88" priority="921" operator="equal">
      <formula>$S$1</formula>
    </cfRule>
    <cfRule type="cellIs" dxfId="87" priority="922" operator="equal">
      <formula>$U$1</formula>
    </cfRule>
  </conditionalFormatting>
  <conditionalFormatting sqref="C164">
    <cfRule type="cellIs" dxfId="86" priority="919" operator="equal">
      <formula>$U$1</formula>
    </cfRule>
    <cfRule type="cellIs" dxfId="85" priority="920" operator="equal">
      <formula>$S$1</formula>
    </cfRule>
  </conditionalFormatting>
  <conditionalFormatting sqref="D164">
    <cfRule type="cellIs" dxfId="84" priority="917" operator="equal">
      <formula>$S$1</formula>
    </cfRule>
    <cfRule type="cellIs" dxfId="83" priority="918" operator="equal">
      <formula>$U$1</formula>
    </cfRule>
  </conditionalFormatting>
  <conditionalFormatting sqref="C55">
    <cfRule type="cellIs" dxfId="82" priority="915" operator="equal">
      <formula>$U$1</formula>
    </cfRule>
    <cfRule type="cellIs" dxfId="81" priority="916" operator="equal">
      <formula>$S$1</formula>
    </cfRule>
  </conditionalFormatting>
  <conditionalFormatting sqref="D55">
    <cfRule type="cellIs" dxfId="80" priority="913" operator="equal">
      <formula>$S$1</formula>
    </cfRule>
    <cfRule type="cellIs" dxfId="79" priority="914" operator="equal">
      <formula>$U$1</formula>
    </cfRule>
  </conditionalFormatting>
  <conditionalFormatting sqref="C89">
    <cfRule type="cellIs" dxfId="78" priority="911" operator="equal">
      <formula>$U$1</formula>
    </cfRule>
    <cfRule type="cellIs" dxfId="77" priority="912" operator="equal">
      <formula>$S$1</formula>
    </cfRule>
  </conditionalFormatting>
  <conditionalFormatting sqref="D89">
    <cfRule type="cellIs" dxfId="76" priority="909" operator="equal">
      <formula>$S$1</formula>
    </cfRule>
    <cfRule type="cellIs" dxfId="75" priority="910" operator="equal">
      <formula>$U$1</formula>
    </cfRule>
  </conditionalFormatting>
  <conditionalFormatting sqref="C136">
    <cfRule type="cellIs" dxfId="74" priority="907" operator="equal">
      <formula>$U$1</formula>
    </cfRule>
    <cfRule type="cellIs" dxfId="73" priority="908" operator="equal">
      <formula>$S$1</formula>
    </cfRule>
  </conditionalFormatting>
  <conditionalFormatting sqref="D136">
    <cfRule type="cellIs" dxfId="72" priority="905" operator="equal">
      <formula>$S$1</formula>
    </cfRule>
    <cfRule type="cellIs" dxfId="71" priority="906" operator="equal">
      <formula>$U$1</formula>
    </cfRule>
  </conditionalFormatting>
  <conditionalFormatting sqref="C1">
    <cfRule type="cellIs" dxfId="70" priority="90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P168" sqref="DP16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$A$167</v>
      </c>
      <c r="D111" s="1" t="str">
        <f>ADDRESS(C121-1,D121,1,1)</f>
        <v>$DP$167</v>
      </c>
      <c r="E111"/>
    </row>
    <row r="112" spans="1:5" x14ac:dyDescent="0.25">
      <c r="A112" s="30">
        <v>515.50191262726139</v>
      </c>
      <c r="C112" s="1" t="str">
        <f>ADDRESS(C121,1,1,1)</f>
        <v>$A$168</v>
      </c>
      <c r="D112" s="1" t="str">
        <f>ADDRESS(C121,D121-1,1,1)</f>
        <v>$DO$168</v>
      </c>
      <c r="E112"/>
    </row>
    <row r="113" spans="1:5" x14ac:dyDescent="0.25">
      <c r="A113" s="30">
        <v>490.95420250215363</v>
      </c>
      <c r="C113" s="1" t="str">
        <f>ADDRESS(C121+1,1,1,1)</f>
        <v>$A$169</v>
      </c>
      <c r="D113" s="1" t="str">
        <f>ADDRESS(C121-1,D121+1,1,1)</f>
        <v>$DQ$167</v>
      </c>
    </row>
    <row r="114" spans="1:5" x14ac:dyDescent="0.25">
      <c r="A114" s="30">
        <v>467.57543095443202</v>
      </c>
      <c r="C114" s="1" t="str">
        <f>ADDRESS(C121,D121,1,1)</f>
        <v>$DP$168</v>
      </c>
      <c r="D114" s="1" t="str">
        <f>ADDRESS(C121+1,D121+1,1,1)</f>
        <v>$DQ$169</v>
      </c>
    </row>
    <row r="115" spans="1:5" x14ac:dyDescent="0.25">
      <c r="A115" s="30">
        <v>445.30993424231622</v>
      </c>
      <c r="C115" s="1" t="str">
        <f>ADDRESS(C121+1,D121,1,1)</f>
        <v>$DP$169</v>
      </c>
    </row>
    <row r="116" spans="1:5" x14ac:dyDescent="0.25">
      <c r="A116" s="30">
        <v>424.10469927839637</v>
      </c>
      <c r="C116" s="1">
        <f>C117-1</f>
        <v>167</v>
      </c>
    </row>
    <row r="117" spans="1:5" x14ac:dyDescent="0.25">
      <c r="A117" s="30">
        <v>403.9092374079965</v>
      </c>
      <c r="C117" s="1">
        <f>C121</f>
        <v>168</v>
      </c>
      <c r="D117" s="1">
        <f>D121</f>
        <v>120</v>
      </c>
    </row>
    <row r="118" spans="1:5" x14ac:dyDescent="0.25">
      <c r="A118" s="30">
        <v>384.6754641980919</v>
      </c>
      <c r="C118" s="1">
        <f>C117+1</f>
        <v>169</v>
      </c>
      <c r="D118" s="1">
        <f>D117+1</f>
        <v>121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168</v>
      </c>
      <c r="D121" s="19">
        <v>120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R168</v>
      </c>
      <c r="D123" s="1" t="str">
        <f>"C"&amp;D121</f>
        <v>C120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33.545134152904119</v>
      </c>
      <c r="D127"/>
    </row>
    <row r="128" spans="1:5" x14ac:dyDescent="0.25">
      <c r="A128" s="30">
        <v>236.15736578315241</v>
      </c>
    </row>
    <row r="129" spans="1:74" x14ac:dyDescent="0.25">
      <c r="A129" s="30">
        <v>224.91177693633563</v>
      </c>
      <c r="C129" s="1" t="s">
        <v>11</v>
      </c>
      <c r="D129" s="1" t="s">
        <v>12</v>
      </c>
      <c r="E129"/>
    </row>
    <row r="130" spans="1:74" x14ac:dyDescent="0.25">
      <c r="A130" s="30">
        <v>214.20169232031964</v>
      </c>
      <c r="C130" s="6"/>
      <c r="D130" s="6"/>
      <c r="E130"/>
    </row>
    <row r="131" spans="1:74" x14ac:dyDescent="0.25">
      <c r="A131" s="30">
        <v>204.00161173363773</v>
      </c>
      <c r="E131"/>
    </row>
    <row r="132" spans="1:74" x14ac:dyDescent="0.25">
      <c r="A132" s="30">
        <v>194.28724927013116</v>
      </c>
      <c r="C132" s="1" t="s">
        <v>13</v>
      </c>
      <c r="E132"/>
    </row>
    <row r="133" spans="1:74" x14ac:dyDescent="0.25">
      <c r="A133" s="30">
        <v>185.03547549536299</v>
      </c>
      <c r="C133" s="1" t="str">
        <f>C122</f>
        <v>O</v>
      </c>
      <c r="E133"/>
    </row>
    <row r="134" spans="1:74" x14ac:dyDescent="0.25">
      <c r="A134" s="30">
        <v>176.22426237653616</v>
      </c>
      <c r="C134"/>
      <c r="E134"/>
    </row>
    <row r="135" spans="1:74" x14ac:dyDescent="0.25">
      <c r="A135" s="30">
        <v>167.83263083479633</v>
      </c>
      <c r="C135" s="1" t="s">
        <v>14</v>
      </c>
      <c r="E135"/>
    </row>
    <row r="136" spans="1:74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74" x14ac:dyDescent="0.25">
      <c r="A137" s="30">
        <v>152.22914361432771</v>
      </c>
      <c r="E137"/>
    </row>
    <row r="138" spans="1:74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74" x14ac:dyDescent="0.25">
      <c r="A139" s="30">
        <v>138.07632073861922</v>
      </c>
      <c r="E139"/>
    </row>
    <row r="140" spans="1:74" x14ac:dyDescent="0.25">
      <c r="A140" s="30">
        <v>131.50125784630401</v>
      </c>
      <c r="C140" s="1">
        <v>0</v>
      </c>
      <c r="E140"/>
      <c r="BS140" s="27" t="s">
        <v>8</v>
      </c>
    </row>
    <row r="141" spans="1:74" x14ac:dyDescent="0.25">
      <c r="A141" s="30">
        <v>125.23929318695619</v>
      </c>
      <c r="C141" s="1">
        <v>1</v>
      </c>
      <c r="E141"/>
      <c r="BS141" s="27" t="s">
        <v>8</v>
      </c>
      <c r="BT141" s="27" t="s">
        <v>7</v>
      </c>
    </row>
    <row r="142" spans="1:74" x14ac:dyDescent="0.25">
      <c r="A142" s="30">
        <v>119.27551732091065</v>
      </c>
      <c r="C142" s="1">
        <v>2</v>
      </c>
      <c r="E142"/>
      <c r="BQ142" s="27" t="s">
        <v>8</v>
      </c>
      <c r="BS142" s="27" t="s">
        <v>8</v>
      </c>
      <c r="BT142" s="27" t="s">
        <v>7</v>
      </c>
    </row>
    <row r="143" spans="1:74" x14ac:dyDescent="0.25">
      <c r="A143" s="30">
        <v>113.59573078181967</v>
      </c>
      <c r="C143" s="1">
        <v>3</v>
      </c>
      <c r="E143"/>
      <c r="BQ143" s="27" t="s">
        <v>8</v>
      </c>
      <c r="BR143" s="27" t="s">
        <v>7</v>
      </c>
      <c r="BS143" s="27" t="s">
        <v>8</v>
      </c>
      <c r="BT143" s="27" t="s">
        <v>7</v>
      </c>
      <c r="BU143" s="27" t="s">
        <v>8</v>
      </c>
    </row>
    <row r="144" spans="1:74" x14ac:dyDescent="0.25">
      <c r="A144" s="30">
        <v>108.18641026839968</v>
      </c>
      <c r="C144" s="1">
        <v>4</v>
      </c>
      <c r="E144"/>
      <c r="BQ144" s="27" t="s">
        <v>8</v>
      </c>
      <c r="BR144" s="27" t="s">
        <v>7</v>
      </c>
      <c r="BS144" s="27" t="s">
        <v>8</v>
      </c>
      <c r="BT144" s="27" t="s">
        <v>7</v>
      </c>
      <c r="BU144" s="27" t="s">
        <v>8</v>
      </c>
      <c r="BV144" s="27" t="s">
        <v>7</v>
      </c>
    </row>
    <row r="145" spans="1:120" x14ac:dyDescent="0.25">
      <c r="A145" s="30">
        <v>103.03467644609493</v>
      </c>
      <c r="E145"/>
      <c r="BO145" s="27" t="s">
        <v>8</v>
      </c>
      <c r="BQ145" s="27" t="s">
        <v>8</v>
      </c>
      <c r="BR145" s="27" t="s">
        <v>7</v>
      </c>
      <c r="BT145" s="27" t="s">
        <v>7</v>
      </c>
      <c r="BU145" s="27" t="s">
        <v>8</v>
      </c>
      <c r="BV145" s="27" t="s">
        <v>7</v>
      </c>
      <c r="BW145" s="27" t="s">
        <v>8</v>
      </c>
    </row>
    <row r="146" spans="1:120" x14ac:dyDescent="0.25">
      <c r="A146" s="30">
        <v>98.128263281995174</v>
      </c>
      <c r="E146"/>
      <c r="BO146" s="27" t="s">
        <v>8</v>
      </c>
      <c r="BP146" s="27" t="s">
        <v>7</v>
      </c>
      <c r="BQ146" s="27" t="s">
        <v>8</v>
      </c>
      <c r="BT146" s="27" t="s">
        <v>7</v>
      </c>
      <c r="BV146" s="27" t="s">
        <v>7</v>
      </c>
      <c r="BW146" s="27" t="s">
        <v>8</v>
      </c>
      <c r="BX146" s="27" t="s">
        <v>7</v>
      </c>
    </row>
    <row r="147" spans="1:120" x14ac:dyDescent="0.25">
      <c r="A147" s="30">
        <v>93.455488839995397</v>
      </c>
      <c r="E147"/>
      <c r="BI147" s="27" t="s">
        <v>8</v>
      </c>
      <c r="BO147" s="27" t="s">
        <v>8</v>
      </c>
      <c r="BP147" s="27" t="s">
        <v>7</v>
      </c>
      <c r="BQ147" s="27" t="s">
        <v>8</v>
      </c>
      <c r="BV147" s="27" t="s">
        <v>7</v>
      </c>
      <c r="BW147" s="27" t="s">
        <v>8</v>
      </c>
      <c r="BX147" s="27" t="s">
        <v>7</v>
      </c>
      <c r="BY147" s="27" t="s">
        <v>8</v>
      </c>
      <c r="DC147" s="27" t="s">
        <v>8</v>
      </c>
    </row>
    <row r="148" spans="1:120" x14ac:dyDescent="0.25">
      <c r="A148" s="30">
        <v>89.005227466662276</v>
      </c>
      <c r="E148"/>
      <c r="BI148" s="27" t="s">
        <v>8</v>
      </c>
      <c r="BJ148" s="27" t="s">
        <v>7</v>
      </c>
      <c r="BO148" s="27" t="s">
        <v>8</v>
      </c>
      <c r="BP148" s="27" t="s">
        <v>7</v>
      </c>
      <c r="BV148" s="27" t="s">
        <v>7</v>
      </c>
      <c r="BX148" s="27" t="s">
        <v>7</v>
      </c>
      <c r="BY148" s="27" t="s">
        <v>8</v>
      </c>
      <c r="BZ148" s="27" t="s">
        <v>7</v>
      </c>
      <c r="CM148" s="27" t="s">
        <v>8</v>
      </c>
      <c r="CU148" s="27" t="s">
        <v>8</v>
      </c>
      <c r="DC148" s="27" t="s">
        <v>8</v>
      </c>
      <c r="DD148" s="27" t="s">
        <v>7</v>
      </c>
      <c r="DE148" s="27" t="s">
        <v>8</v>
      </c>
    </row>
    <row r="149" spans="1:120" x14ac:dyDescent="0.25">
      <c r="A149" s="30">
        <v>84.766883301583121</v>
      </c>
      <c r="E149"/>
      <c r="BI149" s="27" t="s">
        <v>8</v>
      </c>
      <c r="BJ149" s="27" t="s">
        <v>7</v>
      </c>
      <c r="BK149" s="27" t="s">
        <v>8</v>
      </c>
      <c r="BM149" s="27" t="s">
        <v>8</v>
      </c>
      <c r="BO149" s="27" t="s">
        <v>8</v>
      </c>
      <c r="BX149" s="27" t="s">
        <v>7</v>
      </c>
      <c r="BY149" s="27" t="s">
        <v>8</v>
      </c>
      <c r="BZ149" s="27" t="s">
        <v>7</v>
      </c>
      <c r="CA149" s="27" t="s">
        <v>8</v>
      </c>
      <c r="CC149" s="27" t="s">
        <v>8</v>
      </c>
      <c r="CM149" s="27" t="s">
        <v>8</v>
      </c>
      <c r="CN149" s="27" t="s">
        <v>7</v>
      </c>
      <c r="CU149" s="27" t="s">
        <v>8</v>
      </c>
      <c r="CV149" s="27" t="s">
        <v>7</v>
      </c>
      <c r="DC149" s="27" t="s">
        <v>8</v>
      </c>
      <c r="DD149" s="27" t="s">
        <v>7</v>
      </c>
      <c r="DE149" s="27" t="s">
        <v>8</v>
      </c>
      <c r="DF149" s="27" t="s">
        <v>7</v>
      </c>
    </row>
    <row r="150" spans="1:120" x14ac:dyDescent="0.25">
      <c r="A150" s="30">
        <v>80.730365049126775</v>
      </c>
      <c r="E150"/>
      <c r="BI150" s="27" t="s">
        <v>8</v>
      </c>
      <c r="BJ150" s="27" t="s">
        <v>7</v>
      </c>
      <c r="BK150" s="27" t="s">
        <v>8</v>
      </c>
      <c r="BL150" s="27" t="s">
        <v>7</v>
      </c>
      <c r="BM150" s="27" t="s">
        <v>8</v>
      </c>
      <c r="BN150" s="27" t="s">
        <v>7</v>
      </c>
      <c r="BO150" s="27" t="s">
        <v>8</v>
      </c>
      <c r="BX150" s="27" t="s">
        <v>7</v>
      </c>
      <c r="BY150" s="27" t="s">
        <v>8</v>
      </c>
      <c r="BZ150" s="27" t="s">
        <v>7</v>
      </c>
      <c r="CA150" s="27" t="s">
        <v>8</v>
      </c>
      <c r="CB150" s="27" t="s">
        <v>7</v>
      </c>
      <c r="CC150" s="27" t="s">
        <v>8</v>
      </c>
      <c r="CD150" s="27" t="s">
        <v>7</v>
      </c>
      <c r="CK150" s="27" t="s">
        <v>8</v>
      </c>
      <c r="CM150" s="27" t="s">
        <v>8</v>
      </c>
      <c r="CN150" s="27" t="s">
        <v>7</v>
      </c>
      <c r="CU150" s="27" t="s">
        <v>8</v>
      </c>
      <c r="CV150" s="27" t="s">
        <v>7</v>
      </c>
      <c r="DC150" s="27" t="s">
        <v>8</v>
      </c>
      <c r="DD150" s="27" t="s">
        <v>7</v>
      </c>
      <c r="DE150" s="27" t="s">
        <v>8</v>
      </c>
      <c r="DF150" s="27" t="s">
        <v>7</v>
      </c>
    </row>
    <row r="151" spans="1:120" x14ac:dyDescent="0.25">
      <c r="A151" s="30">
        <v>76.886061951549308</v>
      </c>
      <c r="E151" t="s">
        <v>8</v>
      </c>
      <c r="BI151" s="27" t="s">
        <v>8</v>
      </c>
      <c r="BJ151" s="27" t="s">
        <v>7</v>
      </c>
      <c r="BK151" s="27" t="s">
        <v>8</v>
      </c>
      <c r="BL151" s="27" t="s">
        <v>7</v>
      </c>
      <c r="BM151" s="27" t="s">
        <v>8</v>
      </c>
      <c r="BN151" s="27" t="s">
        <v>7</v>
      </c>
      <c r="BO151" s="27" t="s">
        <v>8</v>
      </c>
      <c r="BX151" s="27" t="s">
        <v>7</v>
      </c>
      <c r="BY151" s="27" t="s">
        <v>8</v>
      </c>
      <c r="BZ151" s="27" t="s">
        <v>7</v>
      </c>
      <c r="CA151" s="27" t="s">
        <v>8</v>
      </c>
      <c r="CB151" s="27" t="s">
        <v>7</v>
      </c>
      <c r="CC151" s="27" t="s">
        <v>8</v>
      </c>
      <c r="CD151" s="27" t="s">
        <v>7</v>
      </c>
      <c r="CI151" s="27" t="s">
        <v>8</v>
      </c>
      <c r="CK151" s="27" t="s">
        <v>8</v>
      </c>
      <c r="CL151" s="27" t="s">
        <v>7</v>
      </c>
      <c r="CM151" s="27" t="s">
        <v>8</v>
      </c>
      <c r="CN151" s="27" t="s">
        <v>7</v>
      </c>
      <c r="CO151" s="27" t="s">
        <v>8</v>
      </c>
      <c r="CQ151" s="27" t="s">
        <v>8</v>
      </c>
      <c r="CU151" s="27" t="s">
        <v>8</v>
      </c>
      <c r="CV151" s="27" t="s">
        <v>7</v>
      </c>
      <c r="CY151" s="27" t="s">
        <v>8</v>
      </c>
      <c r="DA151" s="27" t="s">
        <v>8</v>
      </c>
      <c r="DC151" s="27" t="s">
        <v>8</v>
      </c>
      <c r="DD151" s="27" t="s">
        <v>7</v>
      </c>
      <c r="DF151" s="27" t="s">
        <v>7</v>
      </c>
      <c r="DG151" s="27" t="s">
        <v>8</v>
      </c>
    </row>
    <row r="152" spans="1:120" x14ac:dyDescent="0.25">
      <c r="A152" s="30">
        <v>73.22482090623744</v>
      </c>
      <c r="E152" t="s">
        <v>8</v>
      </c>
      <c r="F152" s="27" t="s">
        <v>7</v>
      </c>
      <c r="G152" s="27" t="s">
        <v>8</v>
      </c>
      <c r="AY152" s="27" t="s">
        <v>8</v>
      </c>
      <c r="BI152" s="27" t="s">
        <v>8</v>
      </c>
      <c r="BJ152" s="27" t="s">
        <v>7</v>
      </c>
      <c r="BK152" s="27" t="s">
        <v>8</v>
      </c>
      <c r="BL152" s="27" t="s">
        <v>7</v>
      </c>
      <c r="BM152" s="27" t="s">
        <v>8</v>
      </c>
      <c r="BN152" s="27" t="s">
        <v>7</v>
      </c>
      <c r="BO152" s="27" t="s">
        <v>8</v>
      </c>
      <c r="BX152" s="27" t="s">
        <v>7</v>
      </c>
      <c r="BY152" s="27" t="s">
        <v>8</v>
      </c>
      <c r="BZ152" s="27" t="s">
        <v>7</v>
      </c>
      <c r="CA152" s="27" t="s">
        <v>8</v>
      </c>
      <c r="CB152" s="27" t="s">
        <v>7</v>
      </c>
      <c r="CC152" s="27" t="s">
        <v>8</v>
      </c>
      <c r="CD152" s="27" t="s">
        <v>7</v>
      </c>
      <c r="CI152" s="27" t="s">
        <v>8</v>
      </c>
      <c r="CJ152" s="27" t="s">
        <v>7</v>
      </c>
      <c r="CK152" s="27" t="s">
        <v>8</v>
      </c>
      <c r="CL152" s="27" t="s">
        <v>7</v>
      </c>
      <c r="CM152" s="27" t="s">
        <v>8</v>
      </c>
      <c r="CN152" s="27" t="s">
        <v>7</v>
      </c>
      <c r="CO152" s="27" t="s">
        <v>8</v>
      </c>
      <c r="CP152" s="27" t="s">
        <v>7</v>
      </c>
      <c r="CQ152" s="27" t="s">
        <v>8</v>
      </c>
      <c r="CR152" s="27" t="s">
        <v>7</v>
      </c>
      <c r="CU152" s="27" t="s">
        <v>8</v>
      </c>
      <c r="CV152" s="27" t="s">
        <v>7</v>
      </c>
      <c r="CY152" s="27" t="s">
        <v>8</v>
      </c>
      <c r="CZ152" s="27" t="s">
        <v>7</v>
      </c>
      <c r="DA152" s="27" t="s">
        <v>8</v>
      </c>
      <c r="DB152" s="27" t="s">
        <v>7</v>
      </c>
      <c r="DC152" s="27" t="s">
        <v>8</v>
      </c>
      <c r="DF152" s="27" t="s">
        <v>7</v>
      </c>
      <c r="DG152" s="27" t="s">
        <v>8</v>
      </c>
      <c r="DH152" s="27" t="s">
        <v>7</v>
      </c>
    </row>
    <row r="153" spans="1:120" x14ac:dyDescent="0.25">
      <c r="A153" s="30">
        <v>69.737924672607079</v>
      </c>
      <c r="C153" s="7"/>
      <c r="D153"/>
      <c r="E153" t="s">
        <v>8</v>
      </c>
      <c r="F153" s="27" t="s">
        <v>7</v>
      </c>
      <c r="G153" s="27" t="s">
        <v>8</v>
      </c>
      <c r="H153" s="27" t="s">
        <v>7</v>
      </c>
      <c r="M153" s="27" t="s">
        <v>8</v>
      </c>
      <c r="AW153" s="27" t="s">
        <v>8</v>
      </c>
      <c r="AY153" s="27" t="s">
        <v>8</v>
      </c>
      <c r="AZ153" s="27" t="s">
        <v>7</v>
      </c>
      <c r="BI153" s="27" t="s">
        <v>8</v>
      </c>
      <c r="BJ153" s="27" t="s">
        <v>7</v>
      </c>
      <c r="BK153" s="27" t="s">
        <v>8</v>
      </c>
      <c r="BL153" s="27" t="s">
        <v>7</v>
      </c>
      <c r="BM153" s="27" t="s">
        <v>8</v>
      </c>
      <c r="BN153" s="27" t="s">
        <v>7</v>
      </c>
      <c r="BO153" s="27" t="s">
        <v>8</v>
      </c>
      <c r="BX153" s="27" t="s">
        <v>7</v>
      </c>
      <c r="BY153" s="27" t="s">
        <v>8</v>
      </c>
      <c r="BZ153" s="27" t="s">
        <v>7</v>
      </c>
      <c r="CA153" s="27" t="s">
        <v>8</v>
      </c>
      <c r="CB153" s="27" t="s">
        <v>7</v>
      </c>
      <c r="CC153" s="27" t="s">
        <v>8</v>
      </c>
      <c r="CD153" s="27" t="s">
        <v>7</v>
      </c>
      <c r="CI153" s="27" t="s">
        <v>8</v>
      </c>
      <c r="CJ153" s="27" t="s">
        <v>7</v>
      </c>
      <c r="CK153" s="27" t="s">
        <v>8</v>
      </c>
      <c r="CL153" s="27" t="s">
        <v>7</v>
      </c>
      <c r="CM153" s="27" t="s">
        <v>8</v>
      </c>
      <c r="CN153" s="27" t="s">
        <v>7</v>
      </c>
      <c r="CO153" s="27" t="s">
        <v>8</v>
      </c>
      <c r="CP153" s="27" t="s">
        <v>7</v>
      </c>
      <c r="CQ153" s="27" t="s">
        <v>8</v>
      </c>
      <c r="CR153" s="27" t="s">
        <v>7</v>
      </c>
      <c r="CU153" s="27" t="s">
        <v>8</v>
      </c>
      <c r="CV153" s="27" t="s">
        <v>7</v>
      </c>
      <c r="CY153" s="27" t="s">
        <v>8</v>
      </c>
      <c r="CZ153" s="27" t="s">
        <v>7</v>
      </c>
      <c r="DA153" s="27" t="s">
        <v>8</v>
      </c>
      <c r="DB153" s="27" t="s">
        <v>7</v>
      </c>
      <c r="DC153" s="27" t="s">
        <v>8</v>
      </c>
      <c r="DF153" s="27" t="s">
        <v>7</v>
      </c>
      <c r="DG153" s="27" t="s">
        <v>8</v>
      </c>
      <c r="DH153" s="27" t="s">
        <v>7</v>
      </c>
      <c r="DK153" s="27" t="s">
        <v>8</v>
      </c>
      <c r="DM153" s="27" t="s">
        <v>8</v>
      </c>
    </row>
    <row r="154" spans="1:120" x14ac:dyDescent="0.25">
      <c r="A154" s="30">
        <v>66.417071116768639</v>
      </c>
      <c r="E154" t="s">
        <v>8</v>
      </c>
      <c r="F154" s="27" t="s">
        <v>7</v>
      </c>
      <c r="G154" s="27" t="s">
        <v>8</v>
      </c>
      <c r="H154" s="27" t="s">
        <v>7</v>
      </c>
      <c r="M154" s="27" t="s">
        <v>8</v>
      </c>
      <c r="N154" s="27" t="s">
        <v>7</v>
      </c>
      <c r="AS154" s="27" t="s">
        <v>8</v>
      </c>
      <c r="AU154" s="27" t="s">
        <v>8</v>
      </c>
      <c r="AW154" s="27" t="s">
        <v>8</v>
      </c>
      <c r="AX154" s="27" t="s">
        <v>7</v>
      </c>
      <c r="AY154" s="27" t="s">
        <v>8</v>
      </c>
      <c r="AZ154" s="27" t="s">
        <v>7</v>
      </c>
      <c r="BI154" s="27" t="s">
        <v>8</v>
      </c>
      <c r="BJ154" s="27" t="s">
        <v>7</v>
      </c>
      <c r="BK154" s="27" t="s">
        <v>8</v>
      </c>
      <c r="BL154" s="27" t="s">
        <v>7</v>
      </c>
      <c r="BM154" s="27" t="s">
        <v>8</v>
      </c>
      <c r="BN154" s="27" t="s">
        <v>7</v>
      </c>
      <c r="BX154" s="27" t="s">
        <v>7</v>
      </c>
      <c r="BY154" s="27" t="s">
        <v>8</v>
      </c>
      <c r="BZ154" s="27" t="s">
        <v>7</v>
      </c>
      <c r="CA154" s="27" t="s">
        <v>8</v>
      </c>
      <c r="CB154" s="27" t="s">
        <v>7</v>
      </c>
      <c r="CD154" s="27" t="s">
        <v>7</v>
      </c>
      <c r="CI154" s="27" t="s">
        <v>8</v>
      </c>
      <c r="CJ154" s="27" t="s">
        <v>7</v>
      </c>
      <c r="CK154" s="27" t="s">
        <v>8</v>
      </c>
      <c r="CL154" s="27" t="s">
        <v>7</v>
      </c>
      <c r="CN154" s="27" t="s">
        <v>7</v>
      </c>
      <c r="CP154" s="27" t="s">
        <v>7</v>
      </c>
      <c r="CQ154" s="27" t="s">
        <v>8</v>
      </c>
      <c r="CR154" s="27" t="s">
        <v>7</v>
      </c>
      <c r="CS154" s="27" t="s">
        <v>8</v>
      </c>
      <c r="CU154" s="27" t="s">
        <v>8</v>
      </c>
      <c r="CV154" s="27" t="s">
        <v>7</v>
      </c>
      <c r="CY154" s="27" t="s">
        <v>8</v>
      </c>
      <c r="CZ154" s="27" t="s">
        <v>7</v>
      </c>
      <c r="DB154" s="27" t="s">
        <v>7</v>
      </c>
      <c r="DF154" s="27" t="s">
        <v>7</v>
      </c>
      <c r="DH154" s="27" t="s">
        <v>7</v>
      </c>
      <c r="DI154" s="27" t="s">
        <v>8</v>
      </c>
      <c r="DK154" s="27" t="s">
        <v>8</v>
      </c>
      <c r="DL154" s="27" t="s">
        <v>7</v>
      </c>
      <c r="DM154" s="27" t="s">
        <v>8</v>
      </c>
      <c r="DN154" s="27" t="s">
        <v>7</v>
      </c>
    </row>
    <row r="155" spans="1:120" x14ac:dyDescent="0.25">
      <c r="A155" s="30">
        <v>63.254353444541557</v>
      </c>
      <c r="E155" t="s">
        <v>8</v>
      </c>
      <c r="F155" s="27" t="s">
        <v>7</v>
      </c>
      <c r="H155" s="27" t="s">
        <v>7</v>
      </c>
      <c r="M155" s="27" t="s">
        <v>8</v>
      </c>
      <c r="N155" s="27" t="s">
        <v>7</v>
      </c>
      <c r="AS155" s="27" t="s">
        <v>8</v>
      </c>
      <c r="AT155" s="27" t="s">
        <v>7</v>
      </c>
      <c r="AU155" s="27" t="s">
        <v>8</v>
      </c>
      <c r="AV155" s="27" t="s">
        <v>7</v>
      </c>
      <c r="AW155" s="27" t="s">
        <v>8</v>
      </c>
      <c r="AX155" s="27" t="s">
        <v>7</v>
      </c>
      <c r="AY155" s="27" t="s">
        <v>8</v>
      </c>
      <c r="AZ155" s="27" t="s">
        <v>7</v>
      </c>
      <c r="BG155" s="27" t="s">
        <v>8</v>
      </c>
      <c r="BI155" s="27" t="s">
        <v>8</v>
      </c>
      <c r="BJ155" s="27" t="s">
        <v>7</v>
      </c>
      <c r="BK155" s="27" t="s">
        <v>8</v>
      </c>
      <c r="BL155" s="27" t="s">
        <v>7</v>
      </c>
      <c r="BX155" s="27" t="s">
        <v>7</v>
      </c>
      <c r="BY155" s="27" t="s">
        <v>8</v>
      </c>
      <c r="BZ155" s="27" t="s">
        <v>7</v>
      </c>
      <c r="CA155" s="27" t="s">
        <v>8</v>
      </c>
      <c r="CD155" s="27" t="s">
        <v>7</v>
      </c>
      <c r="CI155" s="27" t="s">
        <v>8</v>
      </c>
      <c r="CJ155" s="27" t="s">
        <v>7</v>
      </c>
      <c r="CK155" s="27" t="s">
        <v>8</v>
      </c>
      <c r="CP155" s="27" t="s">
        <v>7</v>
      </c>
      <c r="CR155" s="27" t="s">
        <v>7</v>
      </c>
      <c r="CS155" s="27" t="s">
        <v>8</v>
      </c>
      <c r="CT155" s="27" t="s">
        <v>7</v>
      </c>
      <c r="CU155" s="27" t="s">
        <v>8</v>
      </c>
      <c r="CV155" s="27" t="s">
        <v>7</v>
      </c>
      <c r="CY155" s="27" t="s">
        <v>8</v>
      </c>
      <c r="DH155" s="27" t="s">
        <v>7</v>
      </c>
      <c r="DI155" s="27" t="s">
        <v>8</v>
      </c>
      <c r="DJ155" s="27" t="s">
        <v>7</v>
      </c>
      <c r="DK155" s="27" t="s">
        <v>8</v>
      </c>
      <c r="DL155" s="27" t="s">
        <v>7</v>
      </c>
      <c r="DM155" s="27" t="s">
        <v>8</v>
      </c>
      <c r="DN155" s="27" t="s">
        <v>7</v>
      </c>
    </row>
    <row r="156" spans="1:120" x14ac:dyDescent="0.25">
      <c r="A156" s="30">
        <v>60.242241375753864</v>
      </c>
      <c r="C156"/>
      <c r="D156"/>
      <c r="E156" t="s">
        <v>8</v>
      </c>
      <c r="H156" s="27" t="s">
        <v>7</v>
      </c>
      <c r="M156" s="27" t="s">
        <v>8</v>
      </c>
      <c r="N156" s="27" t="s">
        <v>7</v>
      </c>
      <c r="AS156" s="27" t="s">
        <v>8</v>
      </c>
      <c r="AT156" s="27" t="s">
        <v>7</v>
      </c>
      <c r="AU156" s="27" t="s">
        <v>8</v>
      </c>
      <c r="AV156" s="27" t="s">
        <v>7</v>
      </c>
      <c r="AW156" s="27" t="s">
        <v>8</v>
      </c>
      <c r="AX156" s="27" t="s">
        <v>7</v>
      </c>
      <c r="AY156" s="27" t="s">
        <v>8</v>
      </c>
      <c r="AZ156" s="27" t="s">
        <v>7</v>
      </c>
      <c r="BG156" s="27" t="s">
        <v>8</v>
      </c>
      <c r="BH156" s="27" t="s">
        <v>7</v>
      </c>
      <c r="BI156" s="27" t="s">
        <v>8</v>
      </c>
      <c r="BJ156" s="27" t="s">
        <v>7</v>
      </c>
      <c r="BK156" s="27" t="s">
        <v>8</v>
      </c>
      <c r="BX156" s="27" t="s">
        <v>7</v>
      </c>
      <c r="BY156" s="27" t="s">
        <v>8</v>
      </c>
      <c r="BZ156" s="27" t="s">
        <v>7</v>
      </c>
      <c r="CA156" s="27" t="s">
        <v>8</v>
      </c>
      <c r="CD156" s="27" t="s">
        <v>7</v>
      </c>
      <c r="CE156" s="27" t="s">
        <v>8</v>
      </c>
      <c r="CG156" s="27" t="s">
        <v>8</v>
      </c>
      <c r="CI156" s="27" t="s">
        <v>8</v>
      </c>
      <c r="CJ156" s="27" t="s">
        <v>7</v>
      </c>
      <c r="CK156" s="27" t="s">
        <v>8</v>
      </c>
      <c r="CR156" s="27" t="s">
        <v>7</v>
      </c>
      <c r="CS156" s="27" t="s">
        <v>8</v>
      </c>
      <c r="CT156" s="27" t="s">
        <v>7</v>
      </c>
      <c r="CU156" s="27" t="s">
        <v>8</v>
      </c>
      <c r="CV156" s="27" t="s">
        <v>7</v>
      </c>
      <c r="CW156" s="27" t="s">
        <v>8</v>
      </c>
      <c r="CY156" s="27" t="s">
        <v>8</v>
      </c>
      <c r="DH156" s="27" t="s">
        <v>7</v>
      </c>
      <c r="DI156" s="27" t="s">
        <v>8</v>
      </c>
      <c r="DJ156" s="27" t="s">
        <v>7</v>
      </c>
      <c r="DK156" s="27" t="s">
        <v>8</v>
      </c>
      <c r="DL156" s="27" t="s">
        <v>7</v>
      </c>
      <c r="DN156" s="27" t="s">
        <v>7</v>
      </c>
    </row>
    <row r="157" spans="1:120" x14ac:dyDescent="0.25">
      <c r="A157" s="30">
        <v>57.373563215003678</v>
      </c>
      <c r="E157" t="s">
        <v>8</v>
      </c>
      <c r="H157" s="27" t="s">
        <v>7</v>
      </c>
      <c r="M157" s="27" t="s">
        <v>8</v>
      </c>
      <c r="N157" s="27" t="s">
        <v>7</v>
      </c>
      <c r="AO157" s="27" t="s">
        <v>8</v>
      </c>
      <c r="AS157" s="27" t="s">
        <v>8</v>
      </c>
      <c r="AT157" s="27" t="s">
        <v>7</v>
      </c>
      <c r="AU157" s="27" t="s">
        <v>8</v>
      </c>
      <c r="AV157" s="27" t="s">
        <v>7</v>
      </c>
      <c r="AW157" s="27" t="s">
        <v>8</v>
      </c>
      <c r="AX157" s="27" t="s">
        <v>7</v>
      </c>
      <c r="AZ157" s="27" t="s">
        <v>7</v>
      </c>
      <c r="BG157" s="27" t="s">
        <v>8</v>
      </c>
      <c r="BH157" s="27" t="s">
        <v>7</v>
      </c>
      <c r="BI157" s="27" t="s">
        <v>8</v>
      </c>
      <c r="BJ157" s="27" t="s">
        <v>7</v>
      </c>
      <c r="BX157" s="27" t="s">
        <v>7</v>
      </c>
      <c r="BY157" s="27" t="s">
        <v>8</v>
      </c>
      <c r="BZ157" s="27" t="s">
        <v>7</v>
      </c>
      <c r="CA157" s="27" t="s">
        <v>8</v>
      </c>
      <c r="CD157" s="27" t="s">
        <v>7</v>
      </c>
      <c r="CE157" s="27" t="s">
        <v>8</v>
      </c>
      <c r="CF157" s="27" t="s">
        <v>7</v>
      </c>
      <c r="CG157" s="27" t="s">
        <v>8</v>
      </c>
      <c r="CH157" s="27" t="s">
        <v>7</v>
      </c>
      <c r="CI157" s="27" t="s">
        <v>8</v>
      </c>
      <c r="CJ157" s="27" t="s">
        <v>7</v>
      </c>
      <c r="CK157" s="27" t="s">
        <v>8</v>
      </c>
      <c r="CR157" s="27" t="s">
        <v>7</v>
      </c>
      <c r="CT157" s="27" t="s">
        <v>7</v>
      </c>
      <c r="CU157" s="27" t="s">
        <v>8</v>
      </c>
      <c r="CV157" s="27" t="s">
        <v>7</v>
      </c>
      <c r="CW157" s="27" t="s">
        <v>8</v>
      </c>
      <c r="CX157" s="27" t="s">
        <v>7</v>
      </c>
      <c r="CY157" s="27" t="s">
        <v>8</v>
      </c>
      <c r="DH157" s="27" t="s">
        <v>7</v>
      </c>
      <c r="DI157" s="27" t="s">
        <v>8</v>
      </c>
      <c r="DJ157" s="27" t="s">
        <v>7</v>
      </c>
      <c r="DK157" s="27" t="s">
        <v>8</v>
      </c>
      <c r="DN157" s="27" t="s">
        <v>7</v>
      </c>
      <c r="DO157" s="27" t="s">
        <v>8</v>
      </c>
    </row>
    <row r="158" spans="1:120" x14ac:dyDescent="0.25">
      <c r="A158" s="30">
        <v>54.641488776193974</v>
      </c>
      <c r="E158" t="s">
        <v>8</v>
      </c>
      <c r="H158" s="27" t="s">
        <v>7</v>
      </c>
      <c r="M158" s="27" t="s">
        <v>8</v>
      </c>
      <c r="N158" s="27" t="s">
        <v>7</v>
      </c>
      <c r="AO158" s="27" t="s">
        <v>8</v>
      </c>
      <c r="AP158" s="27" t="s">
        <v>7</v>
      </c>
      <c r="AS158" s="27" t="s">
        <v>8</v>
      </c>
      <c r="AT158" s="27" t="s">
        <v>7</v>
      </c>
      <c r="AU158" s="27" t="s">
        <v>8</v>
      </c>
      <c r="AV158" s="27" t="s">
        <v>7</v>
      </c>
      <c r="AW158" s="27" t="s">
        <v>8</v>
      </c>
      <c r="AZ158" s="27" t="s">
        <v>7</v>
      </c>
      <c r="BA158" s="27" t="s">
        <v>8</v>
      </c>
      <c r="BE158" s="27" t="s">
        <v>8</v>
      </c>
      <c r="BG158" s="27" t="s">
        <v>8</v>
      </c>
      <c r="BH158" s="27" t="s">
        <v>7</v>
      </c>
      <c r="BI158" s="27" t="s">
        <v>8</v>
      </c>
      <c r="BX158" s="27" t="s">
        <v>7</v>
      </c>
      <c r="BY158" s="27" t="s">
        <v>8</v>
      </c>
      <c r="BZ158" s="27" t="s">
        <v>7</v>
      </c>
      <c r="CA158" s="27" t="s">
        <v>8</v>
      </c>
      <c r="CD158" s="27" t="s">
        <v>7</v>
      </c>
      <c r="CE158" s="27" t="s">
        <v>8</v>
      </c>
      <c r="CF158" s="27" t="s">
        <v>7</v>
      </c>
      <c r="CG158" s="27" t="s">
        <v>8</v>
      </c>
      <c r="CH158" s="27" t="s">
        <v>7</v>
      </c>
      <c r="CI158" s="27" t="s">
        <v>8</v>
      </c>
      <c r="CJ158" s="27" t="s">
        <v>7</v>
      </c>
      <c r="CK158" s="27" t="s">
        <v>8</v>
      </c>
      <c r="CT158" s="27" t="s">
        <v>7</v>
      </c>
      <c r="CU158" s="27" t="s">
        <v>8</v>
      </c>
      <c r="CV158" s="27" t="s">
        <v>7</v>
      </c>
      <c r="CW158" s="27" t="s">
        <v>8</v>
      </c>
      <c r="CX158" s="27" t="s">
        <v>7</v>
      </c>
      <c r="CY158" s="27" t="s">
        <v>8</v>
      </c>
      <c r="DH158" s="27" t="s">
        <v>7</v>
      </c>
      <c r="DI158" s="27" t="s">
        <v>8</v>
      </c>
      <c r="DJ158" s="27" t="s">
        <v>7</v>
      </c>
      <c r="DK158" s="27" t="s">
        <v>8</v>
      </c>
      <c r="DN158" s="27" t="s">
        <v>7</v>
      </c>
      <c r="DO158" s="27" t="s">
        <v>8</v>
      </c>
      <c r="DP158" s="27" t="s">
        <v>7</v>
      </c>
    </row>
    <row r="159" spans="1:120" x14ac:dyDescent="0.25">
      <c r="A159" s="30">
        <v>52.039513120184736</v>
      </c>
      <c r="E159" t="s">
        <v>8</v>
      </c>
      <c r="H159" s="27" t="s">
        <v>7</v>
      </c>
      <c r="M159" s="27" t="s">
        <v>8</v>
      </c>
      <c r="N159" s="27" t="s">
        <v>7</v>
      </c>
      <c r="AO159" s="27" t="s">
        <v>8</v>
      </c>
      <c r="AP159" s="27" t="s">
        <v>7</v>
      </c>
      <c r="AQ159" s="27" t="s">
        <v>8</v>
      </c>
      <c r="AS159" s="27" t="s">
        <v>8</v>
      </c>
      <c r="AT159" s="27" t="s">
        <v>7</v>
      </c>
      <c r="AU159" s="27" t="s">
        <v>8</v>
      </c>
      <c r="AV159" s="27" t="s">
        <v>7</v>
      </c>
      <c r="AZ159" s="27" t="s">
        <v>7</v>
      </c>
      <c r="BA159" s="27" t="s">
        <v>8</v>
      </c>
      <c r="BB159" s="27" t="s">
        <v>7</v>
      </c>
      <c r="BE159" s="27" t="s">
        <v>8</v>
      </c>
      <c r="BF159" s="27" t="s">
        <v>7</v>
      </c>
      <c r="BG159" s="27" t="s">
        <v>8</v>
      </c>
      <c r="BH159" s="27" t="s">
        <v>7</v>
      </c>
      <c r="BX159" s="27" t="s">
        <v>7</v>
      </c>
      <c r="BY159" s="27" t="s">
        <v>8</v>
      </c>
      <c r="BZ159" s="27" t="s">
        <v>7</v>
      </c>
      <c r="CD159" s="27" t="s">
        <v>7</v>
      </c>
      <c r="CE159" s="27" t="s">
        <v>8</v>
      </c>
      <c r="CF159" s="27" t="s">
        <v>7</v>
      </c>
      <c r="CG159" s="27" t="s">
        <v>8</v>
      </c>
      <c r="CH159" s="27" t="s">
        <v>7</v>
      </c>
      <c r="CJ159" s="27" t="s">
        <v>7</v>
      </c>
      <c r="CK159" s="27" t="s">
        <v>8</v>
      </c>
      <c r="CT159" s="27" t="s">
        <v>7</v>
      </c>
      <c r="CV159" s="27" t="s">
        <v>7</v>
      </c>
      <c r="CX159" s="27" t="s">
        <v>7</v>
      </c>
      <c r="CY159" s="27" t="s">
        <v>8</v>
      </c>
      <c r="DH159" s="27" t="s">
        <v>7</v>
      </c>
      <c r="DJ159" s="27" t="s">
        <v>7</v>
      </c>
      <c r="DK159" s="27" t="s">
        <v>8</v>
      </c>
      <c r="DN159" s="27" t="s">
        <v>7</v>
      </c>
      <c r="DO159" s="27" t="s">
        <v>8</v>
      </c>
      <c r="DP159" s="27" t="s">
        <v>7</v>
      </c>
    </row>
    <row r="160" spans="1:120" x14ac:dyDescent="0.25">
      <c r="A160" s="30">
        <v>49.561441066842605</v>
      </c>
      <c r="C160"/>
      <c r="E160" t="s">
        <v>8</v>
      </c>
      <c r="H160" s="27" t="s">
        <v>7</v>
      </c>
      <c r="M160" s="27" t="s">
        <v>8</v>
      </c>
      <c r="N160" s="27" t="s">
        <v>7</v>
      </c>
      <c r="AO160" s="27" t="s">
        <v>8</v>
      </c>
      <c r="AP160" s="27" t="s">
        <v>7</v>
      </c>
      <c r="AQ160" s="27" t="s">
        <v>8</v>
      </c>
      <c r="AR160" s="27" t="s">
        <v>7</v>
      </c>
      <c r="AS160" s="27" t="s">
        <v>8</v>
      </c>
      <c r="AT160" s="27" t="s">
        <v>7</v>
      </c>
      <c r="AZ160" s="27" t="s">
        <v>7</v>
      </c>
      <c r="BA160" s="27" t="s">
        <v>8</v>
      </c>
      <c r="BB160" s="27" t="s">
        <v>7</v>
      </c>
      <c r="BC160" s="27" t="s">
        <v>8</v>
      </c>
      <c r="BE160" s="27" t="s">
        <v>8</v>
      </c>
      <c r="BF160" s="27" t="s">
        <v>7</v>
      </c>
      <c r="BG160" s="27" t="s">
        <v>8</v>
      </c>
      <c r="BX160" s="27" t="s">
        <v>7</v>
      </c>
      <c r="BY160" s="27" t="s">
        <v>8</v>
      </c>
      <c r="CD160" s="27" t="s">
        <v>7</v>
      </c>
      <c r="CE160" s="27" t="s">
        <v>8</v>
      </c>
      <c r="CF160" s="27" t="s">
        <v>7</v>
      </c>
      <c r="CG160" s="27" t="s">
        <v>8</v>
      </c>
      <c r="CJ160" s="27" t="s">
        <v>7</v>
      </c>
      <c r="CK160" s="27" t="s">
        <v>8</v>
      </c>
      <c r="CX160" s="27" t="s">
        <v>7</v>
      </c>
      <c r="CY160" s="27" t="s">
        <v>8</v>
      </c>
      <c r="DJ160" s="27" t="s">
        <v>7</v>
      </c>
      <c r="DK160" s="27" t="s">
        <v>8</v>
      </c>
      <c r="DN160" s="27" t="s">
        <v>7</v>
      </c>
      <c r="DP160" s="27" t="s">
        <v>7</v>
      </c>
    </row>
    <row r="161" spans="1:120" x14ac:dyDescent="0.25">
      <c r="A161" s="30">
        <v>47.201372444612005</v>
      </c>
      <c r="E161" t="s">
        <v>8</v>
      </c>
      <c r="H161" s="27" t="s">
        <v>7</v>
      </c>
      <c r="I161" s="27" t="s">
        <v>8</v>
      </c>
      <c r="M161" s="27" t="s">
        <v>8</v>
      </c>
      <c r="N161" s="27" t="s">
        <v>7</v>
      </c>
      <c r="AO161" s="27" t="s">
        <v>8</v>
      </c>
      <c r="AP161" s="27" t="s">
        <v>7</v>
      </c>
      <c r="AQ161" s="27" t="s">
        <v>8</v>
      </c>
      <c r="AR161" s="27" t="s">
        <v>7</v>
      </c>
      <c r="AS161" s="27" t="s">
        <v>8</v>
      </c>
      <c r="AZ161" s="27" t="s">
        <v>7</v>
      </c>
      <c r="BA161" s="27" t="s">
        <v>8</v>
      </c>
      <c r="BB161" s="27" t="s">
        <v>7</v>
      </c>
      <c r="BC161" s="27" t="s">
        <v>8</v>
      </c>
      <c r="BD161" s="27" t="s">
        <v>7</v>
      </c>
      <c r="BE161" s="27" t="s">
        <v>8</v>
      </c>
      <c r="BF161" s="27" t="s">
        <v>7</v>
      </c>
      <c r="BG161" s="27" t="s">
        <v>8</v>
      </c>
      <c r="BX161" s="27" t="s">
        <v>7</v>
      </c>
      <c r="BY161" s="27" t="s">
        <v>8</v>
      </c>
      <c r="CD161" s="27" t="s">
        <v>7</v>
      </c>
      <c r="CE161" s="27" t="s">
        <v>8</v>
      </c>
      <c r="CF161" s="27" t="s">
        <v>7</v>
      </c>
      <c r="CJ161" s="18" t="s">
        <v>7</v>
      </c>
      <c r="CK161" s="27" t="s">
        <v>8</v>
      </c>
      <c r="CX161" s="27" t="s">
        <v>7</v>
      </c>
      <c r="DJ161" s="27" t="s">
        <v>7</v>
      </c>
      <c r="DP161" s="27" t="s">
        <v>7</v>
      </c>
    </row>
    <row r="162" spans="1:120" x14ac:dyDescent="0.25">
      <c r="A162" s="30">
        <v>44.95368804248762</v>
      </c>
      <c r="E162" t="s">
        <v>8</v>
      </c>
      <c r="H162" s="27" t="s">
        <v>7</v>
      </c>
      <c r="I162" s="27" t="s">
        <v>8</v>
      </c>
      <c r="J162" s="27" t="s">
        <v>7</v>
      </c>
      <c r="M162" s="27" t="s">
        <v>8</v>
      </c>
      <c r="N162" s="27" t="s">
        <v>7</v>
      </c>
      <c r="AO162" s="27" t="s">
        <v>8</v>
      </c>
      <c r="AP162" s="27" t="s">
        <v>7</v>
      </c>
      <c r="AQ162" s="27" t="s">
        <v>8</v>
      </c>
      <c r="AR162" s="27" t="s">
        <v>7</v>
      </c>
      <c r="AS162" s="27" t="s">
        <v>8</v>
      </c>
      <c r="AZ162" s="27" t="s">
        <v>7</v>
      </c>
      <c r="BA162" s="27" t="s">
        <v>8</v>
      </c>
      <c r="BB162" s="27" t="s">
        <v>7</v>
      </c>
      <c r="BC162" s="27" t="s">
        <v>8</v>
      </c>
      <c r="BD162" s="27" t="s">
        <v>7</v>
      </c>
      <c r="BE162" s="27" t="s">
        <v>8</v>
      </c>
      <c r="BF162" s="27" t="s">
        <v>7</v>
      </c>
      <c r="BG162" s="27" t="s">
        <v>8</v>
      </c>
      <c r="BX162" s="27" t="s">
        <v>7</v>
      </c>
      <c r="CD162" s="27" t="s">
        <v>7</v>
      </c>
      <c r="CE162" s="27" t="s">
        <v>8</v>
      </c>
      <c r="CJ162" s="27" t="s">
        <v>7</v>
      </c>
      <c r="DP162" s="27" t="s">
        <v>7</v>
      </c>
    </row>
    <row r="163" spans="1:120" x14ac:dyDescent="0.25">
      <c r="A163" s="30">
        <v>42.81303623094059</v>
      </c>
      <c r="E163" t="s">
        <v>8</v>
      </c>
      <c r="H163" s="27" t="s">
        <v>7</v>
      </c>
      <c r="I163" s="27" t="s">
        <v>8</v>
      </c>
      <c r="J163" s="27" t="s">
        <v>7</v>
      </c>
      <c r="K163" s="27" t="s">
        <v>8</v>
      </c>
      <c r="M163" s="27" t="s">
        <v>8</v>
      </c>
      <c r="N163" s="27" t="s">
        <v>7</v>
      </c>
      <c r="Q163" s="27" t="s">
        <v>8</v>
      </c>
      <c r="AO163" s="27" t="s">
        <v>8</v>
      </c>
      <c r="AP163" s="27" t="s">
        <v>7</v>
      </c>
      <c r="AQ163" s="27" t="s">
        <v>8</v>
      </c>
      <c r="AR163" s="27" t="s">
        <v>7</v>
      </c>
      <c r="AS163" s="27" t="s">
        <v>8</v>
      </c>
      <c r="AZ163" s="27" t="s">
        <v>7</v>
      </c>
      <c r="BA163" s="27" t="s">
        <v>8</v>
      </c>
      <c r="BB163" s="27" t="s">
        <v>7</v>
      </c>
      <c r="BC163" s="27" t="s">
        <v>8</v>
      </c>
      <c r="BD163" s="27" t="s">
        <v>7</v>
      </c>
      <c r="BF163" s="27" t="s">
        <v>7</v>
      </c>
      <c r="BG163" s="27" t="s">
        <v>8</v>
      </c>
      <c r="CD163" s="27" t="s">
        <v>7</v>
      </c>
      <c r="DP163" s="27" t="s">
        <v>7</v>
      </c>
    </row>
    <row r="164" spans="1:120" x14ac:dyDescent="0.25">
      <c r="A164" s="30">
        <v>40.774320219943419</v>
      </c>
      <c r="E164" t="s">
        <v>8</v>
      </c>
      <c r="H164" s="27" t="s">
        <v>7</v>
      </c>
      <c r="J164" s="27" t="s">
        <v>7</v>
      </c>
      <c r="K164" s="27" t="s">
        <v>8</v>
      </c>
      <c r="L164" s="27" t="s">
        <v>7</v>
      </c>
      <c r="M164" s="27" t="s">
        <v>8</v>
      </c>
      <c r="N164" s="27" t="s">
        <v>7</v>
      </c>
      <c r="O164" s="27" t="s">
        <v>8</v>
      </c>
      <c r="Q164" s="27" t="s">
        <v>8</v>
      </c>
      <c r="R164" s="27" t="s">
        <v>7</v>
      </c>
      <c r="AO164" s="27" t="s">
        <v>8</v>
      </c>
      <c r="AP164" s="27" t="s">
        <v>7</v>
      </c>
      <c r="AQ164" s="27" t="s">
        <v>8</v>
      </c>
      <c r="AR164" s="27" t="s">
        <v>7</v>
      </c>
      <c r="AS164" s="27" t="s">
        <v>8</v>
      </c>
      <c r="AZ164" s="27" t="s">
        <v>7</v>
      </c>
      <c r="BB164" s="27" t="s">
        <v>7</v>
      </c>
      <c r="BC164" s="27" t="s">
        <v>8</v>
      </c>
      <c r="BF164" s="27" t="s">
        <v>7</v>
      </c>
      <c r="DP164" s="27" t="s">
        <v>7</v>
      </c>
    </row>
    <row r="165" spans="1:120" x14ac:dyDescent="0.25">
      <c r="A165" s="30">
        <v>38.832685923755633</v>
      </c>
      <c r="E165" t="s">
        <v>8</v>
      </c>
      <c r="J165" s="27" t="s">
        <v>7</v>
      </c>
      <c r="K165" s="27" t="s">
        <v>8</v>
      </c>
      <c r="L165" s="27" t="s">
        <v>7</v>
      </c>
      <c r="M165" s="27" t="s">
        <v>8</v>
      </c>
      <c r="N165" s="27" t="s">
        <v>7</v>
      </c>
      <c r="O165" s="27" t="s">
        <v>8</v>
      </c>
      <c r="P165" s="27" t="s">
        <v>7</v>
      </c>
      <c r="Q165" s="27" t="s">
        <v>8</v>
      </c>
      <c r="R165" s="27" t="s">
        <v>7</v>
      </c>
      <c r="S165" s="27" t="s">
        <v>8</v>
      </c>
      <c r="AM165" s="27" t="s">
        <v>8</v>
      </c>
      <c r="AO165" s="27" t="s">
        <v>8</v>
      </c>
      <c r="AP165" s="27" t="s">
        <v>7</v>
      </c>
      <c r="AQ165" s="27" t="s">
        <v>8</v>
      </c>
      <c r="AR165" s="27" t="s">
        <v>7</v>
      </c>
      <c r="BB165" s="27" t="s">
        <v>7</v>
      </c>
      <c r="DP165" s="27" t="s">
        <v>7</v>
      </c>
    </row>
    <row r="166" spans="1:120" x14ac:dyDescent="0.25">
      <c r="A166" s="30">
        <v>36.983510403576794</v>
      </c>
      <c r="E166" t="s">
        <v>8</v>
      </c>
      <c r="J166" s="27" t="s">
        <v>7</v>
      </c>
      <c r="K166" s="27" t="s">
        <v>8</v>
      </c>
      <c r="L166" s="27" t="s">
        <v>7</v>
      </c>
      <c r="M166" s="27" t="s">
        <v>8</v>
      </c>
      <c r="N166" s="27" t="s">
        <v>7</v>
      </c>
      <c r="O166" s="27" t="s">
        <v>8</v>
      </c>
      <c r="P166" s="27" t="s">
        <v>7</v>
      </c>
      <c r="Q166" s="27" t="s">
        <v>8</v>
      </c>
      <c r="R166" s="27" t="s">
        <v>7</v>
      </c>
      <c r="S166" s="27" t="s">
        <v>8</v>
      </c>
      <c r="T166" s="27" t="s">
        <v>7</v>
      </c>
      <c r="AM166" s="27" t="s">
        <v>8</v>
      </c>
      <c r="AN166" s="27" t="s">
        <v>7</v>
      </c>
      <c r="AO166" s="27" t="s">
        <v>8</v>
      </c>
      <c r="AP166" s="27" t="s">
        <v>7</v>
      </c>
      <c r="AQ166" s="27" t="s">
        <v>8</v>
      </c>
      <c r="DP166" s="27" t="s">
        <v>7</v>
      </c>
    </row>
    <row r="167" spans="1:120" x14ac:dyDescent="0.25">
      <c r="A167" s="30">
        <v>35.222390860549325</v>
      </c>
      <c r="E167" t="s">
        <v>8</v>
      </c>
      <c r="J167" s="27" t="s">
        <v>7</v>
      </c>
      <c r="K167" s="27" t="s">
        <v>8</v>
      </c>
      <c r="L167" s="27" t="s">
        <v>7</v>
      </c>
      <c r="N167" s="27" t="s">
        <v>7</v>
      </c>
      <c r="P167" s="27" t="s">
        <v>7</v>
      </c>
      <c r="R167" s="27" t="s">
        <v>7</v>
      </c>
      <c r="S167" s="27" t="s">
        <v>8</v>
      </c>
      <c r="T167" s="27" t="s">
        <v>7</v>
      </c>
      <c r="AM167" s="27" t="s">
        <v>8</v>
      </c>
      <c r="AN167" s="27" t="s">
        <v>7</v>
      </c>
      <c r="AO167" s="27" t="s">
        <v>8</v>
      </c>
      <c r="AP167" s="27" t="s">
        <v>7</v>
      </c>
      <c r="DP167" s="27" t="s">
        <v>7</v>
      </c>
    </row>
    <row r="168" spans="1:120" x14ac:dyDescent="0.25">
      <c r="A168" s="30">
        <v>33.545134152904119</v>
      </c>
      <c r="E168" t="s">
        <v>8</v>
      </c>
      <c r="J168" s="27" t="s">
        <v>7</v>
      </c>
      <c r="K168" s="27" t="s">
        <v>8</v>
      </c>
      <c r="R168" s="27" t="s">
        <v>7</v>
      </c>
      <c r="S168" s="27" t="s">
        <v>8</v>
      </c>
      <c r="T168" s="27" t="s">
        <v>7</v>
      </c>
      <c r="AG168" s="27" t="s">
        <v>8</v>
      </c>
      <c r="AM168" s="27" t="s">
        <v>8</v>
      </c>
      <c r="AN168" s="27" t="s">
        <v>7</v>
      </c>
      <c r="AO168" s="27" t="s">
        <v>8</v>
      </c>
      <c r="DP168" s="27" t="s">
        <v>7</v>
      </c>
    </row>
    <row r="169" spans="1:120" x14ac:dyDescent="0.25">
      <c r="A169" s="30">
        <v>31.947746812289637</v>
      </c>
      <c r="E169" t="s">
        <v>8</v>
      </c>
      <c r="J169" s="27" t="s">
        <v>7</v>
      </c>
      <c r="R169" s="27" t="s">
        <v>7</v>
      </c>
      <c r="S169" s="27" t="s">
        <v>8</v>
      </c>
      <c r="T169" s="27" t="s">
        <v>7</v>
      </c>
      <c r="AG169" s="27" t="s">
        <v>8</v>
      </c>
      <c r="AH169" s="27" t="s">
        <v>7</v>
      </c>
      <c r="AI169" s="27" t="s">
        <v>8</v>
      </c>
      <c r="AM169" s="27" t="s">
        <v>8</v>
      </c>
      <c r="AN169" s="27" t="s">
        <v>7</v>
      </c>
      <c r="AO169" s="27" t="s">
        <v>8</v>
      </c>
    </row>
    <row r="170" spans="1:120" x14ac:dyDescent="0.25">
      <c r="A170" s="30">
        <v>30.426425535513939</v>
      </c>
      <c r="E170" t="s">
        <v>8</v>
      </c>
      <c r="R170" s="27" t="s">
        <v>7</v>
      </c>
      <c r="S170" s="27" t="s">
        <v>8</v>
      </c>
      <c r="T170" s="27" t="s">
        <v>7</v>
      </c>
      <c r="AG170" s="27" t="s">
        <v>8</v>
      </c>
      <c r="AH170" s="27" t="s">
        <v>7</v>
      </c>
      <c r="AI170" s="27" t="s">
        <v>8</v>
      </c>
      <c r="AJ170" s="27" t="s">
        <v>7</v>
      </c>
      <c r="AK170" s="27" t="s">
        <v>8</v>
      </c>
      <c r="AM170" s="27" t="s">
        <v>8</v>
      </c>
      <c r="AN170" s="27" t="s">
        <v>7</v>
      </c>
    </row>
    <row r="171" spans="1:120" x14ac:dyDescent="0.25">
      <c r="A171" s="30">
        <v>28.977548129060892</v>
      </c>
      <c r="E171" t="s">
        <v>8</v>
      </c>
      <c r="R171" s="27" t="s">
        <v>7</v>
      </c>
      <c r="S171" s="27" t="s">
        <v>8</v>
      </c>
      <c r="T171" s="27" t="s">
        <v>7</v>
      </c>
      <c r="U171" s="27" t="s">
        <v>8</v>
      </c>
      <c r="AG171" s="27" t="s">
        <v>8</v>
      </c>
      <c r="AH171" s="27" t="s">
        <v>7</v>
      </c>
      <c r="AI171" s="27" t="s">
        <v>8</v>
      </c>
      <c r="AJ171" s="27" t="s">
        <v>7</v>
      </c>
      <c r="AK171" s="27" t="s">
        <v>8</v>
      </c>
      <c r="AL171" s="27" t="s">
        <v>7</v>
      </c>
      <c r="AM171" s="27" t="s">
        <v>8</v>
      </c>
    </row>
    <row r="172" spans="1:120" x14ac:dyDescent="0.25">
      <c r="A172" s="30">
        <v>27.597664884819896</v>
      </c>
      <c r="E172" t="s">
        <v>8</v>
      </c>
      <c r="R172" s="27" t="s">
        <v>7</v>
      </c>
      <c r="S172" s="27" t="s">
        <v>8</v>
      </c>
      <c r="T172" s="27" t="s">
        <v>7</v>
      </c>
      <c r="U172" s="27" t="s">
        <v>8</v>
      </c>
      <c r="V172" s="27" t="s">
        <v>7</v>
      </c>
      <c r="Y172" s="27" t="s">
        <v>8</v>
      </c>
      <c r="AG172" s="27" t="s">
        <v>8</v>
      </c>
      <c r="AH172" s="27" t="s">
        <v>7</v>
      </c>
      <c r="AJ172" s="27" t="s">
        <v>7</v>
      </c>
      <c r="AK172" s="27" t="s">
        <v>8</v>
      </c>
      <c r="AL172" s="27" t="s">
        <v>7</v>
      </c>
      <c r="AM172" s="27" t="s">
        <v>8</v>
      </c>
    </row>
    <row r="173" spans="1:120" x14ac:dyDescent="0.25">
      <c r="A173" s="30">
        <v>26.283490366495137</v>
      </c>
      <c r="E173" t="s">
        <v>8</v>
      </c>
      <c r="R173" s="27" t="s">
        <v>7</v>
      </c>
      <c r="T173" s="27" t="s">
        <v>7</v>
      </c>
      <c r="U173" s="27" t="s">
        <v>8</v>
      </c>
      <c r="V173" s="27" t="s">
        <v>7</v>
      </c>
      <c r="Y173" s="27" t="s">
        <v>8</v>
      </c>
      <c r="Z173" s="27" t="s">
        <v>7</v>
      </c>
      <c r="AG173" s="27" t="s">
        <v>8</v>
      </c>
      <c r="AJ173" s="27" t="s">
        <v>7</v>
      </c>
      <c r="AL173" s="27" t="s">
        <v>7</v>
      </c>
      <c r="AM173" s="27" t="s">
        <v>8</v>
      </c>
    </row>
    <row r="174" spans="1:120" x14ac:dyDescent="0.25">
      <c r="A174" s="30">
        <v>25.031895587138223</v>
      </c>
      <c r="E174" t="s">
        <v>8</v>
      </c>
      <c r="T174" s="27" t="s">
        <v>7</v>
      </c>
      <c r="V174" s="27" t="s">
        <v>7</v>
      </c>
      <c r="Y174" s="27" t="s">
        <v>8</v>
      </c>
      <c r="Z174" s="27" t="s">
        <v>7</v>
      </c>
      <c r="AG174" s="27" t="s">
        <v>8</v>
      </c>
      <c r="AL174" s="27" t="s">
        <v>7</v>
      </c>
      <c r="AM174" s="27" t="s">
        <v>8</v>
      </c>
    </row>
    <row r="175" spans="1:120" x14ac:dyDescent="0.25">
      <c r="A175" s="30">
        <v>23.839900559179259</v>
      </c>
      <c r="E175" t="s">
        <v>8</v>
      </c>
      <c r="V175" s="27" t="s">
        <v>7</v>
      </c>
      <c r="W175" s="27" t="s">
        <v>8</v>
      </c>
      <c r="Y175" s="27" t="s">
        <v>8</v>
      </c>
      <c r="Z175" s="27" t="s">
        <v>7</v>
      </c>
      <c r="AA175" s="27" t="s">
        <v>8</v>
      </c>
      <c r="AE175" s="27" t="s">
        <v>8</v>
      </c>
      <c r="AG175" s="27" t="s">
        <v>8</v>
      </c>
      <c r="AL175" s="27" t="s">
        <v>7</v>
      </c>
      <c r="AM175" s="27" t="s">
        <v>8</v>
      </c>
    </row>
    <row r="176" spans="1:120" x14ac:dyDescent="0.25">
      <c r="A176" s="30">
        <v>22.704667199218342</v>
      </c>
      <c r="E176" t="s">
        <v>8</v>
      </c>
      <c r="V176" s="27" t="s">
        <v>7</v>
      </c>
      <c r="W176" s="27" t="s">
        <v>8</v>
      </c>
      <c r="X176" s="27" t="s">
        <v>7</v>
      </c>
      <c r="Y176" s="27" t="s">
        <v>8</v>
      </c>
      <c r="Z176" s="27" t="s">
        <v>7</v>
      </c>
      <c r="AA176" s="27" t="s">
        <v>8</v>
      </c>
      <c r="AB176" s="27" t="s">
        <v>7</v>
      </c>
      <c r="AE176" s="27" t="s">
        <v>8</v>
      </c>
      <c r="AF176" s="27" t="s">
        <v>7</v>
      </c>
      <c r="AG176" s="27" t="s">
        <v>8</v>
      </c>
      <c r="AL176" s="27" t="s">
        <v>7</v>
      </c>
    </row>
    <row r="177" spans="1:33" x14ac:dyDescent="0.25">
      <c r="A177" s="30">
        <v>21.623492570684135</v>
      </c>
      <c r="E177" t="s">
        <v>8</v>
      </c>
      <c r="V177" s="27" t="s">
        <v>7</v>
      </c>
      <c r="W177" s="27" t="s">
        <v>8</v>
      </c>
      <c r="X177" s="27" t="s">
        <v>7</v>
      </c>
      <c r="Y177" s="27" t="s">
        <v>8</v>
      </c>
      <c r="Z177" s="27" t="s">
        <v>7</v>
      </c>
      <c r="AA177" s="27" t="s">
        <v>8</v>
      </c>
      <c r="AB177" s="27" t="s">
        <v>7</v>
      </c>
      <c r="AE177" s="27" t="s">
        <v>8</v>
      </c>
      <c r="AF177" s="27" t="s">
        <v>7</v>
      </c>
      <c r="AG177" s="27" t="s">
        <v>8</v>
      </c>
    </row>
    <row r="178" spans="1:33" x14ac:dyDescent="0.25">
      <c r="A178" s="30">
        <v>20.593802448270605</v>
      </c>
      <c r="C178" s="7"/>
      <c r="D178"/>
      <c r="E178" t="s">
        <v>8</v>
      </c>
      <c r="V178" s="27" t="s">
        <v>7</v>
      </c>
      <c r="W178" s="27" t="s">
        <v>8</v>
      </c>
      <c r="X178" s="27" t="s">
        <v>7</v>
      </c>
      <c r="Z178" s="27" t="s">
        <v>7</v>
      </c>
      <c r="AA178" s="27" t="s">
        <v>8</v>
      </c>
      <c r="AB178" s="27" t="s">
        <v>7</v>
      </c>
      <c r="AE178" s="27" t="s">
        <v>8</v>
      </c>
      <c r="AF178" s="27" t="s">
        <v>7</v>
      </c>
    </row>
    <row r="179" spans="1:33" x14ac:dyDescent="0.25">
      <c r="A179" s="30">
        <v>19.613145188829147</v>
      </c>
      <c r="E179" t="s">
        <v>8</v>
      </c>
      <c r="V179" s="27" t="s">
        <v>7</v>
      </c>
      <c r="W179" s="27" t="s">
        <v>8</v>
      </c>
      <c r="Z179" s="27" t="s">
        <v>7</v>
      </c>
      <c r="AA179" s="27" t="s">
        <v>8</v>
      </c>
      <c r="AB179" s="27" t="s">
        <v>7</v>
      </c>
      <c r="AC179" s="27" t="s">
        <v>8</v>
      </c>
      <c r="AE179" s="27" t="s">
        <v>8</v>
      </c>
    </row>
    <row r="180" spans="1:33" x14ac:dyDescent="0.25">
      <c r="A180" s="30">
        <v>18.679185894122998</v>
      </c>
      <c r="E180" t="s">
        <v>8</v>
      </c>
      <c r="V180" s="27" t="s">
        <v>7</v>
      </c>
      <c r="Z180" s="27" t="s">
        <v>7</v>
      </c>
      <c r="AB180" s="27" t="s">
        <v>7</v>
      </c>
      <c r="AC180" s="27" t="s">
        <v>8</v>
      </c>
      <c r="AD180" s="27" t="s">
        <v>7</v>
      </c>
      <c r="AE180" s="27" t="s">
        <v>8</v>
      </c>
    </row>
    <row r="181" spans="1:33" x14ac:dyDescent="0.25">
      <c r="A181" s="30">
        <v>17.78970085154571</v>
      </c>
      <c r="C181"/>
      <c r="D181"/>
      <c r="E181" t="s">
        <v>8</v>
      </c>
      <c r="AB181" s="27" t="s">
        <v>7</v>
      </c>
      <c r="AC181" s="27" t="s">
        <v>8</v>
      </c>
      <c r="AD181" s="27" t="s">
        <v>7</v>
      </c>
      <c r="AE181" s="27" t="s">
        <v>8</v>
      </c>
    </row>
    <row r="182" spans="1:33" x14ac:dyDescent="0.25">
      <c r="A182" s="30">
        <v>16.942572239567344</v>
      </c>
      <c r="E182" t="s">
        <v>8</v>
      </c>
      <c r="AB182" s="27" t="s">
        <v>7</v>
      </c>
      <c r="AC182" s="27" t="s">
        <v>8</v>
      </c>
      <c r="AD182" s="27" t="s">
        <v>7</v>
      </c>
      <c r="AE182" s="27" t="s">
        <v>8</v>
      </c>
    </row>
    <row r="183" spans="1:33" x14ac:dyDescent="0.25">
      <c r="A183" s="30">
        <v>16.135783085302233</v>
      </c>
      <c r="E183" t="s">
        <v>8</v>
      </c>
      <c r="AB183" s="27" t="s">
        <v>7</v>
      </c>
      <c r="AC183" s="27" t="s">
        <v>8</v>
      </c>
      <c r="AD183" s="27" t="s">
        <v>7</v>
      </c>
    </row>
    <row r="184" spans="1:33" x14ac:dyDescent="0.25">
      <c r="A184" s="30">
        <v>15.367412462192602</v>
      </c>
      <c r="E184" t="s">
        <v>8</v>
      </c>
      <c r="AB184" s="27" t="s">
        <v>7</v>
      </c>
    </row>
    <row r="185" spans="1:33" x14ac:dyDescent="0.25">
      <c r="A185" s="30">
        <v>14.635630916373906</v>
      </c>
      <c r="C185"/>
      <c r="E185" t="s">
        <v>8</v>
      </c>
    </row>
    <row r="186" spans="1:33" x14ac:dyDescent="0.25">
      <c r="A186" s="30">
        <v>13.938696110832291</v>
      </c>
      <c r="E186" t="s">
        <v>8</v>
      </c>
    </row>
    <row r="187" spans="1:33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33" x14ac:dyDescent="0.25">
      <c r="A188" s="30">
        <v>12.64280826379346</v>
      </c>
      <c r="E188" t="s">
        <v>8</v>
      </c>
    </row>
    <row r="189" spans="1:33" x14ac:dyDescent="0.25">
      <c r="A189" s="30">
        <v>12.04076977504139</v>
      </c>
      <c r="E189" t="s">
        <v>8</v>
      </c>
    </row>
    <row r="190" spans="1:33" x14ac:dyDescent="0.25">
      <c r="A190" s="30">
        <v>11.467399785753704</v>
      </c>
      <c r="E190" t="s">
        <v>8</v>
      </c>
    </row>
    <row r="191" spans="1:33" x14ac:dyDescent="0.25">
      <c r="A191" s="30">
        <v>10.921333129289241</v>
      </c>
      <c r="E191" t="s">
        <v>8</v>
      </c>
    </row>
    <row r="192" spans="1:33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8" operator="equal">
      <formula>$U$1</formula>
    </cfRule>
    <cfRule type="cellIs" dxfId="67" priority="939" operator="equal">
      <formula>$S$1</formula>
    </cfRule>
  </conditionalFormatting>
  <conditionalFormatting sqref="D136">
    <cfRule type="cellIs" dxfId="66" priority="936" operator="equal">
      <formula>$S$1</formula>
    </cfRule>
    <cfRule type="cellIs" dxfId="65" priority="937" operator="equal">
      <formula>$U$1</formula>
    </cfRule>
  </conditionalFormatting>
  <conditionalFormatting sqref="C162">
    <cfRule type="cellIs" dxfId="64" priority="934" operator="equal">
      <formula>$U$1</formula>
    </cfRule>
    <cfRule type="cellIs" dxfId="63" priority="935" operator="equal">
      <formula>$S$1</formula>
    </cfRule>
  </conditionalFormatting>
  <conditionalFormatting sqref="D162">
    <cfRule type="cellIs" dxfId="62" priority="932" operator="equal">
      <formula>$S$1</formula>
    </cfRule>
    <cfRule type="cellIs" dxfId="61" priority="933" operator="equal">
      <formula>$U$1</formula>
    </cfRule>
  </conditionalFormatting>
  <conditionalFormatting sqref="C187">
    <cfRule type="cellIs" dxfId="60" priority="930" operator="equal">
      <formula>$U$1</formula>
    </cfRule>
    <cfRule type="cellIs" dxfId="59" priority="931" operator="equal">
      <formula>$S$1</formula>
    </cfRule>
  </conditionalFormatting>
  <conditionalFormatting sqref="D187">
    <cfRule type="cellIs" dxfId="58" priority="928" operator="equal">
      <formula>$S$1</formula>
    </cfRule>
    <cfRule type="cellIs" dxfId="57" priority="929" operator="equal">
      <formula>$U$1</formula>
    </cfRule>
  </conditionalFormatting>
  <conditionalFormatting sqref="C212">
    <cfRule type="cellIs" dxfId="56" priority="926" operator="equal">
      <formula>$U$1</formula>
    </cfRule>
    <cfRule type="cellIs" dxfId="55" priority="927" operator="equal">
      <formula>$S$1</formula>
    </cfRule>
  </conditionalFormatting>
  <conditionalFormatting sqref="D212">
    <cfRule type="cellIs" dxfId="54" priority="924" operator="equal">
      <formula>$S$1</formula>
    </cfRule>
    <cfRule type="cellIs" dxfId="53" priority="925" operator="equal">
      <formula>$U$1</formula>
    </cfRule>
  </conditionalFormatting>
  <conditionalFormatting sqref="C237">
    <cfRule type="cellIs" dxfId="52" priority="922" operator="equal">
      <formula>$U$1</formula>
    </cfRule>
    <cfRule type="cellIs" dxfId="51" priority="923" operator="equal">
      <formula>$S$1</formula>
    </cfRule>
  </conditionalFormatting>
  <conditionalFormatting sqref="D237">
    <cfRule type="cellIs" dxfId="50" priority="920" operator="equal">
      <formula>$S$1</formula>
    </cfRule>
    <cfRule type="cellIs" dxfId="49" priority="921" operator="equal">
      <formula>$U$1</formula>
    </cfRule>
  </conditionalFormatting>
  <conditionalFormatting sqref="C106">
    <cfRule type="cellIs" dxfId="48" priority="918" operator="equal">
      <formula>$U$1</formula>
    </cfRule>
    <cfRule type="cellIs" dxfId="47" priority="919" operator="equal">
      <formula>$S$1</formula>
    </cfRule>
  </conditionalFormatting>
  <conditionalFormatting sqref="D106">
    <cfRule type="cellIs" dxfId="46" priority="916" operator="equal">
      <formula>$S$1</formula>
    </cfRule>
    <cfRule type="cellIs" dxfId="45" priority="917" operator="equal">
      <formula>$U$1</formula>
    </cfRule>
  </conditionalFormatting>
  <conditionalFormatting sqref="C81">
    <cfRule type="cellIs" dxfId="44" priority="914" operator="equal">
      <formula>$U$1</formula>
    </cfRule>
    <cfRule type="cellIs" dxfId="43" priority="915" operator="equal">
      <formula>$S$1</formula>
    </cfRule>
  </conditionalFormatting>
  <conditionalFormatting sqref="D81">
    <cfRule type="cellIs" dxfId="42" priority="912" operator="equal">
      <formula>$S$1</formula>
    </cfRule>
    <cfRule type="cellIs" dxfId="41" priority="913" operator="equal">
      <formula>$U$1</formula>
    </cfRule>
  </conditionalFormatting>
  <conditionalFormatting sqref="C56">
    <cfRule type="cellIs" dxfId="40" priority="910" operator="equal">
      <formula>$U$1</formula>
    </cfRule>
    <cfRule type="cellIs" dxfId="39" priority="911" operator="equal">
      <formula>$S$1</formula>
    </cfRule>
  </conditionalFormatting>
  <conditionalFormatting sqref="D56">
    <cfRule type="cellIs" dxfId="38" priority="908" operator="equal">
      <formula>$S$1</formula>
    </cfRule>
    <cfRule type="cellIs" dxfId="37" priority="909" operator="equal">
      <formula>$U$1</formula>
    </cfRule>
  </conditionalFormatting>
  <conditionalFormatting sqref="C31">
    <cfRule type="cellIs" dxfId="36" priority="906" operator="equal">
      <formula>$U$1</formula>
    </cfRule>
    <cfRule type="cellIs" dxfId="35" priority="907" operator="equal">
      <formula>$S$1</formula>
    </cfRule>
  </conditionalFormatting>
  <conditionalFormatting sqref="D31">
    <cfRule type="cellIs" dxfId="34" priority="904" operator="equal">
      <formula>$S$1</formula>
    </cfRule>
    <cfRule type="cellIs" dxfId="33" priority="90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R84" sqref="AR8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44" x14ac:dyDescent="0.25">
      <c r="A65" s="30">
        <v>207.96505671840671</v>
      </c>
      <c r="E65"/>
    </row>
    <row r="66" spans="1:44" x14ac:dyDescent="0.25">
      <c r="A66" s="30">
        <v>189.05914247127882</v>
      </c>
      <c r="E66"/>
    </row>
    <row r="67" spans="1:44" x14ac:dyDescent="0.25">
      <c r="A67" s="30">
        <v>171.87194770116255</v>
      </c>
      <c r="C67" s="1" t="s">
        <v>15</v>
      </c>
      <c r="E67"/>
    </row>
    <row r="68" spans="1:44" x14ac:dyDescent="0.25">
      <c r="A68" s="30">
        <v>156.24722518287504</v>
      </c>
      <c r="C68" s="7">
        <v>0.11167815779424731</v>
      </c>
      <c r="D68"/>
      <c r="E68"/>
    </row>
    <row r="69" spans="1:44" x14ac:dyDescent="0.25">
      <c r="A69" s="30">
        <v>142.04293198443185</v>
      </c>
      <c r="E69"/>
    </row>
    <row r="70" spans="1:44" x14ac:dyDescent="0.25">
      <c r="A70" s="30">
        <v>129.1299381676653</v>
      </c>
      <c r="C70" s="1" t="s">
        <v>11</v>
      </c>
      <c r="D70" s="1" t="s">
        <v>12</v>
      </c>
      <c r="E70"/>
      <c r="AC70" s="27" t="s">
        <v>8</v>
      </c>
    </row>
    <row r="71" spans="1:44" x14ac:dyDescent="0.25">
      <c r="A71" s="30">
        <v>117.39085287969573</v>
      </c>
      <c r="C71"/>
      <c r="D71"/>
      <c r="E71"/>
      <c r="AC71" s="27" t="s">
        <v>8</v>
      </c>
      <c r="AD71" s="27" t="s">
        <v>7</v>
      </c>
    </row>
    <row r="72" spans="1:44" x14ac:dyDescent="0.25">
      <c r="A72" s="30">
        <v>106.71895716335975</v>
      </c>
      <c r="E72"/>
      <c r="AC72" s="27" t="s">
        <v>8</v>
      </c>
      <c r="AD72" s="27" t="s">
        <v>7</v>
      </c>
    </row>
    <row r="73" spans="1:44" x14ac:dyDescent="0.25">
      <c r="A73" s="30">
        <v>97.017233784872488</v>
      </c>
      <c r="C73" s="1" t="s">
        <v>13</v>
      </c>
      <c r="E73"/>
      <c r="AC73" s="27" t="s">
        <v>8</v>
      </c>
      <c r="AD73" s="27" t="s">
        <v>7</v>
      </c>
      <c r="AO73" s="27" t="s">
        <v>8</v>
      </c>
    </row>
    <row r="74" spans="1:44" x14ac:dyDescent="0.25">
      <c r="A74" s="30">
        <v>88.197485258974979</v>
      </c>
      <c r="C74" s="1">
        <f>C63</f>
        <v>0</v>
      </c>
      <c r="E74"/>
      <c r="AA74" s="27" t="s">
        <v>8</v>
      </c>
      <c r="AC74" s="27" t="s">
        <v>8</v>
      </c>
      <c r="AD74" s="27" t="s">
        <v>7</v>
      </c>
      <c r="AE74" s="27" t="s">
        <v>8</v>
      </c>
      <c r="AK74" s="27" t="s">
        <v>8</v>
      </c>
      <c r="AM74" s="27" t="s">
        <v>8</v>
      </c>
      <c r="AO74" s="27" t="s">
        <v>8</v>
      </c>
      <c r="AP74" s="27" t="s">
        <v>7</v>
      </c>
    </row>
    <row r="75" spans="1:44" x14ac:dyDescent="0.25">
      <c r="A75" s="30">
        <v>80.179532053613613</v>
      </c>
      <c r="C75"/>
      <c r="D75"/>
      <c r="E75"/>
      <c r="AA75" s="27" t="s">
        <v>8</v>
      </c>
      <c r="AB75" s="27" t="s">
        <v>7</v>
      </c>
      <c r="AC75" s="27" t="s">
        <v>8</v>
      </c>
      <c r="AD75" s="27" t="s">
        <v>7</v>
      </c>
      <c r="AE75" s="27" t="s">
        <v>8</v>
      </c>
      <c r="AF75" s="27" t="s">
        <v>7</v>
      </c>
      <c r="AG75" s="27" t="s">
        <v>8</v>
      </c>
      <c r="AK75" s="27" t="s">
        <v>8</v>
      </c>
      <c r="AL75" s="27" t="s">
        <v>7</v>
      </c>
      <c r="AM75" s="27" t="s">
        <v>8</v>
      </c>
      <c r="AN75" s="27" t="s">
        <v>7</v>
      </c>
      <c r="AO75" s="27" t="s">
        <v>8</v>
      </c>
      <c r="AP75" s="27" t="s">
        <v>7</v>
      </c>
    </row>
    <row r="76" spans="1:44" x14ac:dyDescent="0.25">
      <c r="A76" s="30">
        <v>72.890483685103277</v>
      </c>
      <c r="C76" s="1" t="s">
        <v>14</v>
      </c>
      <c r="E76" t="s">
        <v>8</v>
      </c>
      <c r="U76" s="27" t="s">
        <v>8</v>
      </c>
      <c r="AA76" s="27" t="s">
        <v>8</v>
      </c>
      <c r="AB76" s="27" t="s">
        <v>7</v>
      </c>
      <c r="AC76" s="27" t="s">
        <v>8</v>
      </c>
      <c r="AD76" s="27" t="s">
        <v>7</v>
      </c>
      <c r="AE76" s="27" t="s">
        <v>8</v>
      </c>
      <c r="AF76" s="27" t="s">
        <v>7</v>
      </c>
      <c r="AG76" s="27" t="s">
        <v>8</v>
      </c>
      <c r="AH76" s="27" t="s">
        <v>7</v>
      </c>
      <c r="AI76" s="27" t="s">
        <v>8</v>
      </c>
      <c r="AK76" s="27" t="s">
        <v>8</v>
      </c>
      <c r="AL76" s="27" t="s">
        <v>7</v>
      </c>
      <c r="AM76" s="27" t="s">
        <v>8</v>
      </c>
      <c r="AN76" s="27" t="s">
        <v>7</v>
      </c>
      <c r="AO76" s="27" t="s">
        <v>8</v>
      </c>
      <c r="AP76" s="27" t="s">
        <v>7</v>
      </c>
    </row>
    <row r="77" spans="1:44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F77" s="27" t="s">
        <v>7</v>
      </c>
      <c r="G77" s="27" t="s">
        <v>8</v>
      </c>
      <c r="S77" s="27" t="s">
        <v>8</v>
      </c>
      <c r="U77" s="27" t="s">
        <v>8</v>
      </c>
      <c r="V77" s="27" t="s">
        <v>7</v>
      </c>
      <c r="AA77" s="27" t="s">
        <v>8</v>
      </c>
      <c r="AB77" s="27" t="s">
        <v>7</v>
      </c>
      <c r="AC77" s="27" t="s">
        <v>8</v>
      </c>
      <c r="AD77" s="27" t="s">
        <v>7</v>
      </c>
      <c r="AE77" s="27" t="s">
        <v>8</v>
      </c>
      <c r="AF77" s="27" t="s">
        <v>7</v>
      </c>
      <c r="AG77" s="27" t="s">
        <v>8</v>
      </c>
      <c r="AH77" s="27" t="s">
        <v>7</v>
      </c>
      <c r="AI77" s="27" t="s">
        <v>8</v>
      </c>
      <c r="AJ77" s="27" t="s">
        <v>7</v>
      </c>
      <c r="AK77" s="27" t="s">
        <v>8</v>
      </c>
      <c r="AL77" s="27" t="s">
        <v>7</v>
      </c>
      <c r="AM77" s="27" t="s">
        <v>8</v>
      </c>
      <c r="AN77" s="27" t="s">
        <v>7</v>
      </c>
      <c r="AO77" s="27" t="s">
        <v>8</v>
      </c>
      <c r="AP77" s="27" t="s">
        <v>7</v>
      </c>
      <c r="AQ77" s="27" t="s">
        <v>8</v>
      </c>
    </row>
    <row r="78" spans="1:44" x14ac:dyDescent="0.25">
      <c r="A78" s="30">
        <v>60.240069161242367</v>
      </c>
      <c r="E78" t="s">
        <v>8</v>
      </c>
      <c r="F78" s="27" t="s">
        <v>7</v>
      </c>
      <c r="G78" s="27" t="s">
        <v>8</v>
      </c>
      <c r="H78" s="27" t="s">
        <v>7</v>
      </c>
      <c r="S78" s="27" t="s">
        <v>8</v>
      </c>
      <c r="T78" s="27" t="s">
        <v>7</v>
      </c>
      <c r="U78" s="27" t="s">
        <v>8</v>
      </c>
      <c r="V78" s="27" t="s">
        <v>7</v>
      </c>
      <c r="AA78" s="27" t="s">
        <v>8</v>
      </c>
      <c r="AB78" s="27" t="s">
        <v>7</v>
      </c>
      <c r="AD78" s="27" t="s">
        <v>7</v>
      </c>
      <c r="AE78" s="27" t="s">
        <v>8</v>
      </c>
      <c r="AF78" s="27" t="s">
        <v>7</v>
      </c>
      <c r="AG78" s="27" t="s">
        <v>8</v>
      </c>
      <c r="AH78" s="27" t="s">
        <v>7</v>
      </c>
      <c r="AI78" s="27" t="s">
        <v>8</v>
      </c>
      <c r="AJ78" s="27" t="s">
        <v>7</v>
      </c>
      <c r="AK78" s="27" t="s">
        <v>8</v>
      </c>
      <c r="AL78" s="27" t="s">
        <v>7</v>
      </c>
      <c r="AM78" s="27" t="s">
        <v>8</v>
      </c>
      <c r="AN78" s="27" t="s">
        <v>7</v>
      </c>
      <c r="AO78" s="27" t="s">
        <v>8</v>
      </c>
      <c r="AP78" s="27" t="s">
        <v>7</v>
      </c>
      <c r="AQ78" s="27" t="s">
        <v>8</v>
      </c>
      <c r="AR78" s="27" t="s">
        <v>7</v>
      </c>
    </row>
    <row r="79" spans="1:44" x14ac:dyDescent="0.25">
      <c r="A79" s="30">
        <v>54.763699237493057</v>
      </c>
      <c r="E79" t="s">
        <v>8</v>
      </c>
      <c r="F79" s="27" t="s">
        <v>7</v>
      </c>
      <c r="G79" s="27" t="s">
        <v>8</v>
      </c>
      <c r="H79" s="27" t="s">
        <v>7</v>
      </c>
      <c r="O79" s="27" t="s">
        <v>8</v>
      </c>
      <c r="S79" s="27" t="s">
        <v>8</v>
      </c>
      <c r="T79" s="27" t="s">
        <v>7</v>
      </c>
      <c r="U79" s="27" t="s">
        <v>8</v>
      </c>
      <c r="V79" s="27" t="s">
        <v>7</v>
      </c>
      <c r="W79" s="27" t="s">
        <v>8</v>
      </c>
      <c r="Y79" s="27" t="s">
        <v>8</v>
      </c>
      <c r="AA79" s="27" t="s">
        <v>8</v>
      </c>
      <c r="AD79" s="27" t="s">
        <v>7</v>
      </c>
      <c r="AE79" s="27" t="s">
        <v>8</v>
      </c>
      <c r="AF79" s="27" t="s">
        <v>7</v>
      </c>
      <c r="AG79" s="27" t="s">
        <v>8</v>
      </c>
      <c r="AH79" s="27" t="s">
        <v>7</v>
      </c>
      <c r="AI79" s="27" t="s">
        <v>8</v>
      </c>
      <c r="AJ79" s="27" t="s">
        <v>7</v>
      </c>
      <c r="AK79" s="27" t="s">
        <v>8</v>
      </c>
      <c r="AL79" s="27" t="s">
        <v>7</v>
      </c>
      <c r="AN79" s="27" t="s">
        <v>7</v>
      </c>
      <c r="AO79" s="27" t="s">
        <v>8</v>
      </c>
      <c r="AP79" s="27" t="s">
        <v>7</v>
      </c>
      <c r="AQ79" s="27" t="s">
        <v>8</v>
      </c>
      <c r="AR79" s="27" t="s">
        <v>7</v>
      </c>
    </row>
    <row r="80" spans="1:44" x14ac:dyDescent="0.25">
      <c r="A80" s="30">
        <v>49.785181124993684</v>
      </c>
      <c r="E80" t="s">
        <v>8</v>
      </c>
      <c r="F80" s="27" t="s">
        <v>7</v>
      </c>
      <c r="G80" s="27" t="s">
        <v>8</v>
      </c>
      <c r="H80" s="27" t="s">
        <v>7</v>
      </c>
      <c r="O80" s="27" t="s">
        <v>8</v>
      </c>
      <c r="P80" s="27" t="s">
        <v>7</v>
      </c>
      <c r="Q80" s="27" t="s">
        <v>8</v>
      </c>
      <c r="S80" s="27" t="s">
        <v>8</v>
      </c>
      <c r="T80" s="27" t="s">
        <v>7</v>
      </c>
      <c r="V80" s="27" t="s">
        <v>7</v>
      </c>
      <c r="W80" s="27" t="s">
        <v>8</v>
      </c>
      <c r="X80" s="27" t="s">
        <v>7</v>
      </c>
      <c r="Y80" s="27" t="s">
        <v>8</v>
      </c>
      <c r="Z80" s="27" t="s">
        <v>7</v>
      </c>
      <c r="AA80" s="27" t="s">
        <v>8</v>
      </c>
      <c r="AD80" s="27" t="s">
        <v>7</v>
      </c>
      <c r="AE80" s="27" t="s">
        <v>8</v>
      </c>
      <c r="AF80" s="27" t="s">
        <v>7</v>
      </c>
      <c r="AH80" s="27" t="s">
        <v>7</v>
      </c>
      <c r="AI80" s="27" t="s">
        <v>8</v>
      </c>
      <c r="AJ80" s="18" t="s">
        <v>7</v>
      </c>
      <c r="AK80" s="27" t="s">
        <v>8</v>
      </c>
      <c r="AN80" s="27" t="s">
        <v>7</v>
      </c>
      <c r="AO80" s="27" t="s">
        <v>8</v>
      </c>
      <c r="AP80" s="27" t="s">
        <v>7</v>
      </c>
      <c r="AR80" s="27" t="s">
        <v>7</v>
      </c>
    </row>
    <row r="81" spans="1:44" x14ac:dyDescent="0.25">
      <c r="A81" s="30">
        <v>45.259255568176073</v>
      </c>
      <c r="E81" t="s">
        <v>8</v>
      </c>
      <c r="F81" s="27" t="s">
        <v>7</v>
      </c>
      <c r="G81" s="27" t="s">
        <v>8</v>
      </c>
      <c r="H81" s="27" t="s">
        <v>7</v>
      </c>
      <c r="O81" s="27" t="s">
        <v>8</v>
      </c>
      <c r="P81" s="27" t="s">
        <v>7</v>
      </c>
      <c r="Q81" s="27" t="s">
        <v>8</v>
      </c>
      <c r="R81" s="27" t="s">
        <v>7</v>
      </c>
      <c r="S81" s="27" t="s">
        <v>8</v>
      </c>
      <c r="V81" s="27" t="s">
        <v>7</v>
      </c>
      <c r="W81" s="27" t="s">
        <v>8</v>
      </c>
      <c r="X81" s="27" t="s">
        <v>7</v>
      </c>
      <c r="Y81" s="27" t="s">
        <v>8</v>
      </c>
      <c r="Z81" s="27" t="s">
        <v>7</v>
      </c>
      <c r="AA81" s="27" t="s">
        <v>8</v>
      </c>
      <c r="AD81" s="27" t="s">
        <v>7</v>
      </c>
      <c r="AH81" s="27" t="s">
        <v>7</v>
      </c>
      <c r="AI81" s="27" t="s">
        <v>8</v>
      </c>
      <c r="AJ81" s="27" t="s">
        <v>7</v>
      </c>
      <c r="AN81" s="27" t="s">
        <v>7</v>
      </c>
      <c r="AR81" s="27" t="s">
        <v>7</v>
      </c>
    </row>
    <row r="82" spans="1:44" x14ac:dyDescent="0.25">
      <c r="A82" s="30">
        <v>41.144777789250973</v>
      </c>
      <c r="E82" t="s">
        <v>8</v>
      </c>
      <c r="F82" s="27" t="s">
        <v>7</v>
      </c>
      <c r="G82" s="27" t="s">
        <v>8</v>
      </c>
      <c r="H82" s="27" t="s">
        <v>7</v>
      </c>
      <c r="O82" s="27" t="s">
        <v>8</v>
      </c>
      <c r="P82" s="27" t="s">
        <v>7</v>
      </c>
      <c r="Q82" s="27" t="s">
        <v>8</v>
      </c>
      <c r="R82" s="27" t="s">
        <v>7</v>
      </c>
      <c r="S82" s="27" t="s">
        <v>8</v>
      </c>
      <c r="V82" s="27" t="s">
        <v>7</v>
      </c>
      <c r="X82" s="27" t="s">
        <v>7</v>
      </c>
      <c r="Y82" s="27" t="s">
        <v>8</v>
      </c>
      <c r="Z82" s="27" t="s">
        <v>7</v>
      </c>
      <c r="AH82" s="27" t="s">
        <v>7</v>
      </c>
      <c r="AR82" s="27" t="s">
        <v>7</v>
      </c>
    </row>
    <row r="83" spans="1:44" x14ac:dyDescent="0.25">
      <c r="A83" s="30">
        <v>37.404343444773609</v>
      </c>
      <c r="E83" t="s">
        <v>8</v>
      </c>
      <c r="F83" s="27" t="s">
        <v>7</v>
      </c>
      <c r="G83" s="27" t="s">
        <v>8</v>
      </c>
      <c r="H83" s="27" t="s">
        <v>7</v>
      </c>
      <c r="I83" s="27" t="s">
        <v>8</v>
      </c>
      <c r="O83" s="27" t="s">
        <v>8</v>
      </c>
      <c r="P83" s="27" t="s">
        <v>7</v>
      </c>
      <c r="R83" s="27" t="s">
        <v>7</v>
      </c>
      <c r="X83" s="27" t="s">
        <v>7</v>
      </c>
      <c r="AR83" s="27" t="s">
        <v>7</v>
      </c>
    </row>
    <row r="84" spans="1:44" x14ac:dyDescent="0.25">
      <c r="A84" s="30">
        <v>34.003948586157826</v>
      </c>
      <c r="E84" t="s">
        <v>8</v>
      </c>
      <c r="F84" s="27" t="s">
        <v>7</v>
      </c>
      <c r="G84" s="27" t="s">
        <v>8</v>
      </c>
      <c r="H84" s="27" t="s">
        <v>7</v>
      </c>
      <c r="I84" s="27" t="s">
        <v>8</v>
      </c>
      <c r="J84" s="27" t="s">
        <v>7</v>
      </c>
      <c r="O84" s="27" t="s">
        <v>8</v>
      </c>
      <c r="AR84" s="27" t="s">
        <v>7</v>
      </c>
    </row>
    <row r="85" spans="1:44" x14ac:dyDescent="0.25">
      <c r="A85" s="30">
        <v>30.912680532870748</v>
      </c>
      <c r="E85" t="s">
        <v>8</v>
      </c>
      <c r="F85" s="27" t="s">
        <v>7</v>
      </c>
      <c r="H85" s="27" t="s">
        <v>7</v>
      </c>
      <c r="I85" s="27" t="s">
        <v>8</v>
      </c>
      <c r="J85" s="27" t="s">
        <v>7</v>
      </c>
      <c r="M85" s="27" t="s">
        <v>8</v>
      </c>
      <c r="O85" s="27" t="s">
        <v>8</v>
      </c>
    </row>
    <row r="86" spans="1:44" x14ac:dyDescent="0.25">
      <c r="A86" s="30">
        <v>28.102436848064315</v>
      </c>
      <c r="E86" t="s">
        <v>8</v>
      </c>
      <c r="H86" s="27" t="s">
        <v>7</v>
      </c>
      <c r="J86" s="27" t="s">
        <v>7</v>
      </c>
      <c r="K86" s="27" t="s">
        <v>8</v>
      </c>
      <c r="M86" s="27" t="s">
        <v>8</v>
      </c>
      <c r="N86" s="27" t="s">
        <v>7</v>
      </c>
      <c r="O86" s="27" t="s">
        <v>8</v>
      </c>
    </row>
    <row r="87" spans="1:44" x14ac:dyDescent="0.25">
      <c r="A87" s="30">
        <v>25.547669861876649</v>
      </c>
      <c r="E87" t="s">
        <v>8</v>
      </c>
      <c r="J87" s="27" t="s">
        <v>7</v>
      </c>
      <c r="K87" s="27" t="s">
        <v>8</v>
      </c>
      <c r="L87" s="27" t="s">
        <v>7</v>
      </c>
      <c r="M87" s="27" t="s">
        <v>8</v>
      </c>
      <c r="N87" s="27" t="s">
        <v>7</v>
      </c>
      <c r="O87" s="27" t="s">
        <v>8</v>
      </c>
    </row>
    <row r="88" spans="1:44" x14ac:dyDescent="0.25">
      <c r="A88" s="30">
        <v>23.225154419887861</v>
      </c>
      <c r="E88" t="s">
        <v>8</v>
      </c>
      <c r="J88" s="27" t="s">
        <v>7</v>
      </c>
      <c r="K88" s="27" t="s">
        <v>8</v>
      </c>
      <c r="L88" s="27" t="s">
        <v>7</v>
      </c>
      <c r="M88" s="27" t="s">
        <v>8</v>
      </c>
      <c r="N88" s="27" t="s">
        <v>7</v>
      </c>
    </row>
    <row r="89" spans="1:44" x14ac:dyDescent="0.25">
      <c r="A89" s="30">
        <v>21.113776745352599</v>
      </c>
      <c r="E89" t="s">
        <v>8</v>
      </c>
      <c r="J89" s="27" t="s">
        <v>7</v>
      </c>
      <c r="K89" s="27" t="s">
        <v>8</v>
      </c>
      <c r="L89" s="27" t="s">
        <v>7</v>
      </c>
      <c r="M89" s="27" t="s">
        <v>8</v>
      </c>
    </row>
    <row r="90" spans="1:44" x14ac:dyDescent="0.25">
      <c r="A90" s="30">
        <v>19.194342495775089</v>
      </c>
      <c r="E90" t="s">
        <v>8</v>
      </c>
      <c r="J90" s="27" t="s">
        <v>7</v>
      </c>
      <c r="L90" s="27" t="s">
        <v>7</v>
      </c>
      <c r="M90" s="27" t="s">
        <v>8</v>
      </c>
    </row>
    <row r="91" spans="1:44" x14ac:dyDescent="0.25">
      <c r="A91" s="30">
        <v>17.449402268886445</v>
      </c>
      <c r="E91" t="s">
        <v>8</v>
      </c>
      <c r="L91" s="27" t="s">
        <v>7</v>
      </c>
      <c r="M91" s="27" t="s">
        <v>8</v>
      </c>
    </row>
    <row r="92" spans="1:44" x14ac:dyDescent="0.25">
      <c r="A92" s="30">
        <v>15.863092971714948</v>
      </c>
      <c r="C92" s="1" t="s">
        <v>15</v>
      </c>
      <c r="E92" t="s">
        <v>8</v>
      </c>
      <c r="L92" s="27" t="s">
        <v>7</v>
      </c>
    </row>
    <row r="93" spans="1:44" x14ac:dyDescent="0.25">
      <c r="A93" s="30">
        <v>14.420993610649951</v>
      </c>
      <c r="C93" s="7">
        <v>0.11167815779424731</v>
      </c>
      <c r="D93"/>
      <c r="E93" t="s">
        <v>8</v>
      </c>
    </row>
    <row r="94" spans="1:44" x14ac:dyDescent="0.25">
      <c r="A94" s="30">
        <v>13.109994191499954</v>
      </c>
      <c r="E94" t="s">
        <v>8</v>
      </c>
    </row>
    <row r="95" spans="1:44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44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$A$83</v>
      </c>
      <c r="D111" s="1" t="str">
        <f>ADDRESS(C121-1,D121,1,1)</f>
        <v>$AR$83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$A$84</v>
      </c>
      <c r="D112" s="1" t="str">
        <f>ADDRESS(C121,D121-1,1,1)</f>
        <v>$AQ$84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$A$85</v>
      </c>
      <c r="D113" s="1" t="str">
        <f>ADDRESS(C121-1,D121+1,1,1)</f>
        <v>$AS$83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$AR$84</v>
      </c>
      <c r="D114" s="1" t="str">
        <f>ADDRESS(C121+1,D121+1,1,1)</f>
        <v>$AS$85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$AR$85</v>
      </c>
      <c r="E115" s="1" t="s">
        <v>8</v>
      </c>
    </row>
    <row r="116" spans="1:5" x14ac:dyDescent="0.25">
      <c r="A116" s="30">
        <v>1.6105100000000008</v>
      </c>
      <c r="C116" s="1">
        <f>C117-1</f>
        <v>83</v>
      </c>
      <c r="E116" s="1" t="s">
        <v>8</v>
      </c>
    </row>
    <row r="117" spans="1:5" x14ac:dyDescent="0.25">
      <c r="A117" s="30">
        <v>1.4641000000000006</v>
      </c>
      <c r="C117" s="1">
        <f>C121</f>
        <v>84</v>
      </c>
      <c r="D117" s="1">
        <f>D121</f>
        <v>44</v>
      </c>
      <c r="E117" s="1" t="s">
        <v>8</v>
      </c>
    </row>
    <row r="118" spans="1:5" x14ac:dyDescent="0.25">
      <c r="A118" s="30">
        <v>1.3310000000000004</v>
      </c>
      <c r="C118" s="1">
        <f>C117+1</f>
        <v>85</v>
      </c>
      <c r="D118" s="1">
        <f>D117+1</f>
        <v>45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84</v>
      </c>
      <c r="D121" s="19">
        <v>44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R84</v>
      </c>
      <c r="D123" s="1" t="str">
        <f>"C"&amp;D121</f>
        <v>C44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34.003948586157826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22" operator="equal">
      <formula>$U$1</formula>
    </cfRule>
    <cfRule type="cellIs" dxfId="30" priority="923" operator="equal">
      <formula>$S$1</formula>
    </cfRule>
  </conditionalFormatting>
  <conditionalFormatting sqref="D136">
    <cfRule type="cellIs" dxfId="29" priority="920" operator="equal">
      <formula>$S$1</formula>
    </cfRule>
    <cfRule type="cellIs" dxfId="28" priority="921" operator="equal">
      <formula>$U$1</formula>
    </cfRule>
  </conditionalFormatting>
  <conditionalFormatting sqref="C102">
    <cfRule type="cellIs" dxfId="27" priority="918" operator="equal">
      <formula>$U$1</formula>
    </cfRule>
    <cfRule type="cellIs" dxfId="26" priority="919" operator="equal">
      <formula>$S$1</formula>
    </cfRule>
  </conditionalFormatting>
  <conditionalFormatting sqref="D102">
    <cfRule type="cellIs" dxfId="25" priority="916" operator="equal">
      <formula>$S$1</formula>
    </cfRule>
    <cfRule type="cellIs" dxfId="24" priority="917" operator="equal">
      <formula>$U$1</formula>
    </cfRule>
  </conditionalFormatting>
  <conditionalFormatting sqref="C77">
    <cfRule type="cellIs" dxfId="23" priority="914" operator="equal">
      <formula>$U$1</formula>
    </cfRule>
    <cfRule type="cellIs" dxfId="22" priority="915" operator="equal">
      <formula>$S$1</formula>
    </cfRule>
  </conditionalFormatting>
  <conditionalFormatting sqref="D77">
    <cfRule type="cellIs" dxfId="21" priority="912" operator="equal">
      <formula>$S$1</formula>
    </cfRule>
    <cfRule type="cellIs" dxfId="20" priority="913" operator="equal">
      <formula>$U$1</formula>
    </cfRule>
  </conditionalFormatting>
  <conditionalFormatting sqref="C52">
    <cfRule type="cellIs" dxfId="19" priority="910" operator="equal">
      <formula>$U$1</formula>
    </cfRule>
    <cfRule type="cellIs" dxfId="18" priority="911" operator="equal">
      <formula>$S$1</formula>
    </cfRule>
  </conditionalFormatting>
  <conditionalFormatting sqref="D52">
    <cfRule type="cellIs" dxfId="17" priority="908" operator="equal">
      <formula>$S$1</formula>
    </cfRule>
    <cfRule type="cellIs" dxfId="16" priority="909" operator="equal">
      <formula>$U$1</formula>
    </cfRule>
  </conditionalFormatting>
  <conditionalFormatting sqref="C26">
    <cfRule type="cellIs" dxfId="15" priority="906" operator="equal">
      <formula>$U$1</formula>
    </cfRule>
    <cfRule type="cellIs" dxfId="14" priority="907" operator="equal">
      <formula>$S$1</formula>
    </cfRule>
  </conditionalFormatting>
  <conditionalFormatting sqref="D26">
    <cfRule type="cellIs" dxfId="13" priority="904" operator="equal">
      <formula>$S$1</formula>
    </cfRule>
    <cfRule type="cellIs" dxfId="12" priority="90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2022-01-28T01:23:05Z</dcterms:modified>
</cp:coreProperties>
</file>