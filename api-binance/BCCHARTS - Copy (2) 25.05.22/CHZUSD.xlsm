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6C85BCCF-5CF4-4CAB-A2B9-D7FE1E600618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16" i="4"/>
  <c r="C122" i="4"/>
  <c r="C133" i="4" s="1"/>
  <c r="C136" i="4" s="1"/>
  <c r="R765" i="1"/>
  <c r="S765" i="1" s="1"/>
  <c r="T765" i="1" s="1"/>
  <c r="C116" i="3"/>
  <c r="C122" i="3"/>
  <c r="C133" i="3" s="1"/>
  <c r="D136" i="3" s="1"/>
  <c r="R764" i="1" l="1"/>
  <c r="C136" i="5"/>
  <c r="C138" i="5" s="1"/>
  <c r="D136" i="4"/>
  <c r="C138" i="4" s="1"/>
  <c r="C136" i="3"/>
  <c r="C138" i="3" s="1"/>
  <c r="R763" i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S355" i="1" l="1"/>
  <c r="T355" i="1" s="1"/>
  <c r="R354" i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S347" i="1" l="1"/>
  <c r="T347" i="1" s="1"/>
  <c r="R346" i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S331" i="1" l="1"/>
  <c r="T331" i="1" s="1"/>
  <c r="R330" i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S315" i="1" l="1"/>
  <c r="T315" i="1" s="1"/>
  <c r="R314" i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S307" i="1" l="1"/>
  <c r="T307" i="1" s="1"/>
  <c r="R306" i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S291" i="1" l="1"/>
  <c r="T291" i="1" s="1"/>
  <c r="R290" i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S283" i="1" l="1"/>
  <c r="T283" i="1" s="1"/>
  <c r="R282" i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S259" i="1" l="1"/>
  <c r="T259" i="1" s="1"/>
  <c r="R258" i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S235" i="1" l="1"/>
  <c r="T235" i="1" s="1"/>
  <c r="R234" i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S131" i="1" l="1"/>
  <c r="T131" i="1" s="1"/>
  <c r="R130" i="1"/>
  <c r="R129" i="1" l="1"/>
  <c r="S130" i="1"/>
  <c r="T130" i="1" s="1"/>
  <c r="R128" i="1" l="1"/>
  <c r="S129" i="1"/>
  <c r="T129" i="1" s="1"/>
  <c r="S128" i="1" l="1"/>
  <c r="T128" i="1" s="1"/>
  <c r="R127" i="1"/>
  <c r="R126" i="1" l="1"/>
  <c r="S127" i="1"/>
  <c r="T127" i="1" s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S120" i="1" l="1"/>
  <c r="T120" i="1" s="1"/>
  <c r="R119" i="1"/>
  <c r="R118" i="1" l="1"/>
  <c r="S119" i="1"/>
  <c r="T119" i="1" s="1"/>
  <c r="R117" i="1" l="1"/>
  <c r="S118" i="1"/>
  <c r="T118" i="1" s="1"/>
  <c r="S117" i="1" l="1"/>
  <c r="T117" i="1" s="1"/>
  <c r="R116" i="1"/>
  <c r="R115" i="1" l="1"/>
  <c r="S116" i="1"/>
  <c r="T116" i="1" s="1"/>
  <c r="S115" i="1" l="1"/>
  <c r="T115" i="1" s="1"/>
  <c r="R114" i="1"/>
  <c r="R113" i="1" l="1"/>
  <c r="S114" i="1"/>
  <c r="T114" i="1" s="1"/>
  <c r="R112" i="1" l="1"/>
  <c r="S113" i="1"/>
  <c r="T113" i="1" s="1"/>
  <c r="S112" i="1" l="1"/>
  <c r="T112" i="1" s="1"/>
  <c r="R111" i="1"/>
  <c r="R110" i="1" l="1"/>
  <c r="S111" i="1"/>
  <c r="T111" i="1" s="1"/>
  <c r="R109" i="1" l="1"/>
  <c r="S110" i="1"/>
  <c r="T110" i="1" s="1"/>
  <c r="S109" i="1" l="1"/>
  <c r="T109" i="1" s="1"/>
  <c r="R108" i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S101" i="1" l="1"/>
  <c r="T101" i="1" s="1"/>
  <c r="R100" i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S96" i="1" l="1"/>
  <c r="T96" i="1" s="1"/>
  <c r="R95" i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S91" i="1" l="1"/>
  <c r="T91" i="1" s="1"/>
  <c r="R90" i="1"/>
  <c r="S90" i="1" l="1"/>
  <c r="T90" i="1" s="1"/>
  <c r="R89" i="1"/>
  <c r="S89" i="1" l="1"/>
  <c r="T89" i="1" s="1"/>
  <c r="R88" i="1"/>
  <c r="S88" i="1" l="1"/>
  <c r="T88" i="1" s="1"/>
  <c r="R87" i="1"/>
  <c r="S87" i="1" l="1"/>
  <c r="T87" i="1" s="1"/>
  <c r="R86" i="1"/>
  <c r="S86" i="1" l="1"/>
  <c r="T86" i="1" s="1"/>
  <c r="R85" i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S79" i="1" l="1"/>
  <c r="T79" i="1" s="1"/>
  <c r="R78" i="1"/>
  <c r="S78" i="1" l="1"/>
  <c r="T78" i="1" s="1"/>
  <c r="R77" i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R68" i="1" l="1"/>
  <c r="S69" i="1"/>
  <c r="T69" i="1" s="1"/>
  <c r="R67" i="1" l="1"/>
  <c r="S68" i="1"/>
  <c r="T68" i="1" s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S63" i="1" l="1"/>
  <c r="T63" i="1" s="1"/>
  <c r="R62" i="1"/>
  <c r="S62" i="1" l="1"/>
  <c r="T62" i="1" s="1"/>
  <c r="R61" i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S55" i="1" l="1"/>
  <c r="T55" i="1" s="1"/>
  <c r="R54" i="1"/>
  <c r="S54" i="1" l="1"/>
  <c r="T54" i="1" s="1"/>
  <c r="R53" i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S38" i="1" l="1"/>
  <c r="T38" i="1" s="1"/>
  <c r="R37" i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<sst xmlns="http://schemas.openxmlformats.org/spreadsheetml/2006/main" count="8136" uniqueCount="34">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</sst>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0.17050000000000001</c:v>
                </c:pt>
                <c:pt idx="1">
                  <c:v>0.1726</c:v>
                </c:pt>
                <c:pt idx="2">
                  <c:v>0.17180000000000001</c:v>
                </c:pt>
                <c:pt idx="3">
                  <c:v>0.17530000000000001</c:v>
                </c:pt>
                <c:pt idx="4">
                  <c:v>0.1852</c:v>
                </c:pt>
                <c:pt idx="5">
                  <c:v>0.1762</c:v>
                </c:pt>
                <c:pt idx="6">
                  <c:v>0.1981</c:v>
                </c:pt>
                <c:pt idx="7">
                  <c:v>0.2344</c:v>
                </c:pt>
                <c:pt idx="8">
                  <c:v>0.2462</c:v>
                </c:pt>
                <c:pt idx="9">
                  <c:v>0.2591</c:v>
                </c:pt>
                <c:pt idx="10">
                  <c:v>0.25679999999999997</c:v>
                </c:pt>
                <c:pt idx="11">
                  <c:v>0.26950000000000002</c:v>
                </c:pt>
                <c:pt idx="12">
                  <c:v>0.26679999999999998</c:v>
                </c:pt>
                <c:pt idx="13">
                  <c:v>0.26669999999999999</c:v>
                </c:pt>
                <c:pt idx="14">
                  <c:v>0.26400000000000001</c:v>
                </c:pt>
                <c:pt idx="15">
                  <c:v>0.2777</c:v>
                </c:pt>
                <c:pt idx="16">
                  <c:v>0.26379999999999998</c:v>
                </c:pt>
                <c:pt idx="17">
                  <c:v>0.251</c:v>
                </c:pt>
                <c:pt idx="18">
                  <c:v>0.26100000000000001</c:v>
                </c:pt>
                <c:pt idx="19">
                  <c:v>0.2555</c:v>
                </c:pt>
                <c:pt idx="20">
                  <c:v>0.2641</c:v>
                </c:pt>
                <c:pt idx="21">
                  <c:v>0.28129999999999999</c:v>
                </c:pt>
                <c:pt idx="22">
                  <c:v>0.27889999999999998</c:v>
                </c:pt>
                <c:pt idx="23">
                  <c:v>0.30249999999999999</c:v>
                </c:pt>
                <c:pt idx="24">
                  <c:v>0.3004</c:v>
                </c:pt>
                <c:pt idx="25">
                  <c:v>0.31159999999999999</c:v>
                </c:pt>
                <c:pt idx="26">
                  <c:v>0.29509999999999997</c:v>
                </c:pt>
                <c:pt idx="27">
                  <c:v>0.28339999999999999</c:v>
                </c:pt>
                <c:pt idx="28">
                  <c:v>0.28960000000000002</c:v>
                </c:pt>
                <c:pt idx="29">
                  <c:v>0.28710000000000002</c:v>
                </c:pt>
                <c:pt idx="30">
                  <c:v>0.30349999999999999</c:v>
                </c:pt>
                <c:pt idx="31">
                  <c:v>0.33660000000000001</c:v>
                </c:pt>
                <c:pt idx="32">
                  <c:v>0.3296</c:v>
                </c:pt>
                <c:pt idx="33">
                  <c:v>0.31780000000000003</c:v>
                </c:pt>
                <c:pt idx="34">
                  <c:v>0.30149999999999999</c:v>
                </c:pt>
                <c:pt idx="35">
                  <c:v>0.31280000000000002</c:v>
                </c:pt>
                <c:pt idx="36">
                  <c:v>0.28560000000000002</c:v>
                </c:pt>
                <c:pt idx="37">
                  <c:v>0.28010000000000002</c:v>
                </c:pt>
                <c:pt idx="38">
                  <c:v>0.26750000000000002</c:v>
                </c:pt>
                <c:pt idx="39">
                  <c:v>0.2631</c:v>
                </c:pt>
                <c:pt idx="40">
                  <c:v>0.27179999999999999</c:v>
                </c:pt>
                <c:pt idx="41">
                  <c:v>0.26629999999999998</c:v>
                </c:pt>
                <c:pt idx="42">
                  <c:v>0.27939999999999998</c:v>
                </c:pt>
                <c:pt idx="43">
                  <c:v>0.28670000000000001</c:v>
                </c:pt>
                <c:pt idx="44">
                  <c:v>0.27879999999999999</c:v>
                </c:pt>
                <c:pt idx="45">
                  <c:v>0.27039999999999997</c:v>
                </c:pt>
                <c:pt idx="46">
                  <c:v>0.3034</c:v>
                </c:pt>
                <c:pt idx="47">
                  <c:v>0.28699999999999998</c:v>
                </c:pt>
                <c:pt idx="48">
                  <c:v>0.28349999999999997</c:v>
                </c:pt>
                <c:pt idx="49">
                  <c:v>0.2964</c:v>
                </c:pt>
                <c:pt idx="50">
                  <c:v>0.32990000000000003</c:v>
                </c:pt>
                <c:pt idx="51">
                  <c:v>0.3175</c:v>
                </c:pt>
                <c:pt idx="52">
                  <c:v>0.32069999999999999</c:v>
                </c:pt>
                <c:pt idx="53">
                  <c:v>0.31830000000000003</c:v>
                </c:pt>
                <c:pt idx="54">
                  <c:v>0.33879999999999999</c:v>
                </c:pt>
                <c:pt idx="55">
                  <c:v>0.39429999999999998</c:v>
                </c:pt>
                <c:pt idx="56">
                  <c:v>0.4224</c:v>
                </c:pt>
                <c:pt idx="57">
                  <c:v>0.43569999999999998</c:v>
                </c:pt>
                <c:pt idx="58">
                  <c:v>0.4385</c:v>
                </c:pt>
                <c:pt idx="59">
                  <c:v>0.45939999999999998</c:v>
                </c:pt>
                <c:pt idx="60">
                  <c:v>0.4446</c:v>
                </c:pt>
                <c:pt idx="61">
                  <c:v>0.44629999999999997</c:v>
                </c:pt>
                <c:pt idx="62">
                  <c:v>0.44479999999999997</c:v>
                </c:pt>
                <c:pt idx="63">
                  <c:v>0.50339999999999996</c:v>
                </c:pt>
                <c:pt idx="64">
                  <c:v>0.42430000000000001</c:v>
                </c:pt>
                <c:pt idx="65">
                  <c:v>0.43490000000000001</c:v>
                </c:pt>
                <c:pt idx="66">
                  <c:v>0.43359999999999999</c:v>
                </c:pt>
                <c:pt idx="67">
                  <c:v>0.44180000000000003</c:v>
                </c:pt>
                <c:pt idx="68">
                  <c:v>0.46960000000000002</c:v>
                </c:pt>
                <c:pt idx="69">
                  <c:v>0.46210000000000001</c:v>
                </c:pt>
                <c:pt idx="70">
                  <c:v>0.42980000000000002</c:v>
                </c:pt>
                <c:pt idx="71">
                  <c:v>0.49619999999999997</c:v>
                </c:pt>
                <c:pt idx="72">
                  <c:v>0.48909999999999998</c:v>
                </c:pt>
                <c:pt idx="73">
                  <c:v>0.53520000000000001</c:v>
                </c:pt>
                <c:pt idx="74">
                  <c:v>0.55259999999999998</c:v>
                </c:pt>
                <c:pt idx="75">
                  <c:v>0.53690000000000004</c:v>
                </c:pt>
                <c:pt idx="76">
                  <c:v>0.56510000000000005</c:v>
                </c:pt>
                <c:pt idx="77">
                  <c:v>0.51270000000000004</c:v>
                </c:pt>
                <c:pt idx="78">
                  <c:v>0.47839999999999999</c:v>
                </c:pt>
                <c:pt idx="79">
                  <c:v>0.47099999999999997</c:v>
                </c:pt>
                <c:pt idx="80">
                  <c:v>0.47960000000000003</c:v>
                </c:pt>
                <c:pt idx="81">
                  <c:v>0.4894</c:v>
                </c:pt>
                <c:pt idx="82">
                  <c:v>0.50609999999999999</c:v>
                </c:pt>
                <c:pt idx="83">
                  <c:v>0.45989999999999998</c:v>
                </c:pt>
                <c:pt idx="84">
                  <c:v>0.43809999999999999</c:v>
                </c:pt>
                <c:pt idx="85">
                  <c:v>0.45479999999999998</c:v>
                </c:pt>
                <c:pt idx="86">
                  <c:v>0.49640000000000001</c:v>
                </c:pt>
                <c:pt idx="87">
                  <c:v>0.45150000000000001</c:v>
                </c:pt>
                <c:pt idx="88">
                  <c:v>0.41710000000000003</c:v>
                </c:pt>
                <c:pt idx="89">
                  <c:v>0.52480000000000004</c:v>
                </c:pt>
                <c:pt idx="90">
                  <c:v>0.3553</c:v>
                </c:pt>
                <c:pt idx="91">
                  <c:v>0.32319999999999999</c:v>
                </c:pt>
                <c:pt idx="92">
                  <c:v>0.30009999999999998</c:v>
                </c:pt>
                <c:pt idx="93">
                  <c:v>0.34010000000000001</c:v>
                </c:pt>
                <c:pt idx="94">
                  <c:v>0.33710000000000001</c:v>
                </c:pt>
                <c:pt idx="95">
                  <c:v>0.31680000000000003</c:v>
                </c:pt>
                <c:pt idx="96">
                  <c:v>0.32769999999999999</c:v>
                </c:pt>
                <c:pt idx="97">
                  <c:v>0.3241</c:v>
                </c:pt>
                <c:pt idx="98">
                  <c:v>0.3145</c:v>
                </c:pt>
                <c:pt idx="99">
                  <c:v>0.32869999999999999</c:v>
                </c:pt>
                <c:pt idx="100">
                  <c:v>0.31580000000000003</c:v>
                </c:pt>
                <c:pt idx="101">
                  <c:v>0.32079999999999997</c:v>
                </c:pt>
                <c:pt idx="102">
                  <c:v>0.31169999999999998</c:v>
                </c:pt>
                <c:pt idx="103">
                  <c:v>0.32829999999999998</c:v>
                </c:pt>
                <c:pt idx="104">
                  <c:v>0.32029999999999997</c:v>
                </c:pt>
                <c:pt idx="105">
                  <c:v>0.33139999999999997</c:v>
                </c:pt>
                <c:pt idx="106">
                  <c:v>0.32700000000000001</c:v>
                </c:pt>
                <c:pt idx="107">
                  <c:v>0.31540000000000001</c:v>
                </c:pt>
                <c:pt idx="108">
                  <c:v>0.308</c:v>
                </c:pt>
                <c:pt idx="109">
                  <c:v>0.30819999999999997</c:v>
                </c:pt>
                <c:pt idx="110">
                  <c:v>0.33189999999999997</c:v>
                </c:pt>
                <c:pt idx="111">
                  <c:v>0.33310000000000001</c:v>
                </c:pt>
                <c:pt idx="112">
                  <c:v>0.35580000000000001</c:v>
                </c:pt>
                <c:pt idx="113">
                  <c:v>0.3029</c:v>
                </c:pt>
                <c:pt idx="114">
                  <c:v>0.30630000000000002</c:v>
                </c:pt>
                <c:pt idx="115">
                  <c:v>0.28320000000000001</c:v>
                </c:pt>
                <c:pt idx="116">
                  <c:v>0.28689999999999999</c:v>
                </c:pt>
                <c:pt idx="117">
                  <c:v>0.28339999999999999</c:v>
                </c:pt>
                <c:pt idx="118">
                  <c:v>0.28670000000000001</c:v>
                </c:pt>
                <c:pt idx="119">
                  <c:v>0.26179999999999998</c:v>
                </c:pt>
                <c:pt idx="120">
                  <c:v>0.24909999999999999</c:v>
                </c:pt>
                <c:pt idx="121">
                  <c:v>0.24429999999999999</c:v>
                </c:pt>
                <c:pt idx="122">
                  <c:v>0.25409999999999999</c:v>
                </c:pt>
                <c:pt idx="123">
                  <c:v>0.26329999999999998</c:v>
                </c:pt>
                <c:pt idx="124">
                  <c:v>0.26640000000000003</c:v>
                </c:pt>
                <c:pt idx="125">
                  <c:v>0.2717</c:v>
                </c:pt>
                <c:pt idx="126">
                  <c:v>0.29559999999999997</c:v>
                </c:pt>
                <c:pt idx="127">
                  <c:v>0.29089999999999999</c:v>
                </c:pt>
                <c:pt idx="128">
                  <c:v>0.25340000000000001</c:v>
                </c:pt>
                <c:pt idx="129">
                  <c:v>0.29120000000000001</c:v>
                </c:pt>
                <c:pt idx="130">
                  <c:v>0.31640000000000001</c:v>
                </c:pt>
                <c:pt idx="131">
                  <c:v>0.32869999999999999</c:v>
                </c:pt>
                <c:pt idx="132">
                  <c:v>0.3256</c:v>
                </c:pt>
                <c:pt idx="133">
                  <c:v>0.33739999999999998</c:v>
                </c:pt>
                <c:pt idx="134">
                  <c:v>0.3468</c:v>
                </c:pt>
                <c:pt idx="135">
                  <c:v>0.33700000000000002</c:v>
                </c:pt>
                <c:pt idx="136">
                  <c:v>0.32150000000000001</c:v>
                </c:pt>
                <c:pt idx="137">
                  <c:v>0.33789999999999998</c:v>
                </c:pt>
                <c:pt idx="138">
                  <c:v>0.33250000000000002</c:v>
                </c:pt>
                <c:pt idx="139">
                  <c:v>0.3296</c:v>
                </c:pt>
                <c:pt idx="140">
                  <c:v>0.3468</c:v>
                </c:pt>
                <c:pt idx="141">
                  <c:v>0.33710000000000001</c:v>
                </c:pt>
                <c:pt idx="142">
                  <c:v>0.34239999999999998</c:v>
                </c:pt>
                <c:pt idx="143">
                  <c:v>0.4466</c:v>
                </c:pt>
                <c:pt idx="144">
                  <c:v>0.42530000000000001</c:v>
                </c:pt>
                <c:pt idx="145">
                  <c:v>0.41660000000000003</c:v>
                </c:pt>
                <c:pt idx="146">
                  <c:v>0.39610000000000001</c:v>
                </c:pt>
                <c:pt idx="147">
                  <c:v>0.38450000000000001</c:v>
                </c:pt>
                <c:pt idx="148">
                  <c:v>0.38400000000000001</c:v>
                </c:pt>
                <c:pt idx="149">
                  <c:v>0.36580000000000001</c:v>
                </c:pt>
                <c:pt idx="150">
                  <c:v>0.36840000000000001</c:v>
                </c:pt>
                <c:pt idx="151">
                  <c:v>0.3755</c:v>
                </c:pt>
                <c:pt idx="152">
                  <c:v>0.36830000000000002</c:v>
                </c:pt>
                <c:pt idx="153">
                  <c:v>0.37830000000000003</c:v>
                </c:pt>
                <c:pt idx="154">
                  <c:v>0.35820000000000002</c:v>
                </c:pt>
                <c:pt idx="155">
                  <c:v>0.38773999999999997</c:v>
                </c:pt>
                <c:pt idx="156">
                  <c:v>0.36732999999999999</c:v>
                </c:pt>
                <c:pt idx="157">
                  <c:v>0.40683000000000002</c:v>
                </c:pt>
                <c:pt idx="158">
                  <c:v>0.39104</c:v>
                </c:pt>
                <c:pt idx="159">
                  <c:v>0.38234000000000001</c:v>
                </c:pt>
                <c:pt idx="160">
                  <c:v>0.35455999999999999</c:v>
                </c:pt>
                <c:pt idx="161">
                  <c:v>0.34505999999999998</c:v>
                </c:pt>
                <c:pt idx="162">
                  <c:v>0.33046999999999999</c:v>
                </c:pt>
                <c:pt idx="163">
                  <c:v>0.33561999999999997</c:v>
                </c:pt>
                <c:pt idx="164">
                  <c:v>0.35558000000000001</c:v>
                </c:pt>
                <c:pt idx="165">
                  <c:v>0.37025000000000002</c:v>
                </c:pt>
                <c:pt idx="166">
                  <c:v>0.37119999999999997</c:v>
                </c:pt>
                <c:pt idx="167">
                  <c:v>0.38179999999999997</c:v>
                </c:pt>
                <c:pt idx="168">
                  <c:v>0.36901</c:v>
                </c:pt>
                <c:pt idx="169">
                  <c:v>0.32780999999999999</c:v>
                </c:pt>
                <c:pt idx="170">
                  <c:v>0.32677</c:v>
                </c:pt>
                <c:pt idx="171">
                  <c:v>0.31004999999999999</c:v>
                </c:pt>
                <c:pt idx="172">
                  <c:v>0.27685999999999999</c:v>
                </c:pt>
                <c:pt idx="173">
                  <c:v>0.29297000000000001</c:v>
                </c:pt>
                <c:pt idx="174">
                  <c:v>0.28959000000000001</c:v>
                </c:pt>
                <c:pt idx="175">
                  <c:v>0.26577000000000001</c:v>
                </c:pt>
                <c:pt idx="176">
                  <c:v>0.26468999999999998</c:v>
                </c:pt>
                <c:pt idx="177">
                  <c:v>0.25733</c:v>
                </c:pt>
                <c:pt idx="178">
                  <c:v>0.26543</c:v>
                </c:pt>
                <c:pt idx="179">
                  <c:v>0.26016</c:v>
                </c:pt>
                <c:pt idx="180">
                  <c:v>0.26501999999999998</c:v>
                </c:pt>
                <c:pt idx="181">
                  <c:v>0.26501000000000002</c:v>
                </c:pt>
                <c:pt idx="182">
                  <c:v>0.25635999999999998</c:v>
                </c:pt>
                <c:pt idx="183">
                  <c:v>0.25158000000000003</c:v>
                </c:pt>
                <c:pt idx="184">
                  <c:v>0.25142999999999999</c:v>
                </c:pt>
                <c:pt idx="185">
                  <c:v>0.24745</c:v>
                </c:pt>
                <c:pt idx="186">
                  <c:v>0.25045000000000001</c:v>
                </c:pt>
                <c:pt idx="187">
                  <c:v>0.24818000000000001</c:v>
                </c:pt>
                <c:pt idx="188">
                  <c:v>0.23909</c:v>
                </c:pt>
                <c:pt idx="189">
                  <c:v>0.23043</c:v>
                </c:pt>
                <c:pt idx="190">
                  <c:v>0.22470999999999999</c:v>
                </c:pt>
                <c:pt idx="191">
                  <c:v>0.20660999999999999</c:v>
                </c:pt>
                <c:pt idx="192">
                  <c:v>0.22838</c:v>
                </c:pt>
                <c:pt idx="193">
                  <c:v>0.23683000000000001</c:v>
                </c:pt>
                <c:pt idx="194">
                  <c:v>0.23935999999999999</c:v>
                </c:pt>
                <c:pt idx="195">
                  <c:v>0.23677000000000001</c:v>
                </c:pt>
                <c:pt idx="196">
                  <c:v>0.25913999999999998</c:v>
                </c:pt>
                <c:pt idx="197">
                  <c:v>0.24823000000000001</c:v>
                </c:pt>
                <c:pt idx="198">
                  <c:v>0.24038999999999999</c:v>
                </c:pt>
                <c:pt idx="199">
                  <c:v>0.24743999999999999</c:v>
                </c:pt>
                <c:pt idx="200">
                  <c:v>0.25856000000000001</c:v>
                </c:pt>
                <c:pt idx="201">
                  <c:v>0.25555</c:v>
                </c:pt>
                <c:pt idx="202">
                  <c:v>0.25268000000000002</c:v>
                </c:pt>
                <c:pt idx="203">
                  <c:v>0.24743999999999999</c:v>
                </c:pt>
                <c:pt idx="204">
                  <c:v>0.25996000000000002</c:v>
                </c:pt>
                <c:pt idx="205">
                  <c:v>0.24256</c:v>
                </c:pt>
                <c:pt idx="206">
                  <c:v>0.23372999999999999</c:v>
                </c:pt>
                <c:pt idx="207">
                  <c:v>0.24357000000000001</c:v>
                </c:pt>
                <c:pt idx="208">
                  <c:v>0.24046999999999999</c:v>
                </c:pt>
                <c:pt idx="209">
                  <c:v>0.23782</c:v>
                </c:pt>
                <c:pt idx="210">
                  <c:v>0.24021000000000001</c:v>
                </c:pt>
                <c:pt idx="211">
                  <c:v>0.25380000000000003</c:v>
                </c:pt>
                <c:pt idx="212">
                  <c:v>0.25375999999999999</c:v>
                </c:pt>
                <c:pt idx="213">
                  <c:v>0.24313000000000001</c:v>
                </c:pt>
                <c:pt idx="214">
                  <c:v>0.23916999999999999</c:v>
                </c:pt>
                <c:pt idx="215">
                  <c:v>0.23146</c:v>
                </c:pt>
                <c:pt idx="216">
                  <c:v>0.22522</c:v>
                </c:pt>
                <c:pt idx="217">
                  <c:v>0.24987000000000001</c:v>
                </c:pt>
                <c:pt idx="218">
                  <c:v>0.23977000000000001</c:v>
                </c:pt>
                <c:pt idx="219">
                  <c:v>0.22097</c:v>
                </c:pt>
                <c:pt idx="220">
                  <c:v>0.21429000000000001</c:v>
                </c:pt>
                <c:pt idx="221">
                  <c:v>0.28763</c:v>
                </c:pt>
                <c:pt idx="222">
                  <c:v>0.28358</c:v>
                </c:pt>
                <c:pt idx="223">
                  <c:v>0.28996</c:v>
                </c:pt>
                <c:pt idx="224">
                  <c:v>0.32518000000000002</c:v>
                </c:pt>
                <c:pt idx="225">
                  <c:v>0.33872000000000002</c:v>
                </c:pt>
                <c:pt idx="226">
                  <c:v>0.32851999999999998</c:v>
                </c:pt>
                <c:pt idx="227">
                  <c:v>0.28039999999999998</c:v>
                </c:pt>
                <c:pt idx="228">
                  <c:v>0.28575</c:v>
                </c:pt>
                <c:pt idx="229">
                  <c:v>0.27383000000000002</c:v>
                </c:pt>
                <c:pt idx="230">
                  <c:v>0.29568</c:v>
                </c:pt>
                <c:pt idx="231">
                  <c:v>0.27717000000000003</c:v>
                </c:pt>
                <c:pt idx="232">
                  <c:v>0.24168999999999999</c:v>
                </c:pt>
                <c:pt idx="233">
                  <c:v>0.23277999999999999</c:v>
                </c:pt>
                <c:pt idx="234">
                  <c:v>0.24104999999999999</c:v>
                </c:pt>
                <c:pt idx="235">
                  <c:v>0.26691999999999999</c:v>
                </c:pt>
                <c:pt idx="236">
                  <c:v>0.26075999999999999</c:v>
                </c:pt>
                <c:pt idx="237">
                  <c:v>0.26967000000000002</c:v>
                </c:pt>
                <c:pt idx="238">
                  <c:v>0.29504999999999998</c:v>
                </c:pt>
                <c:pt idx="239">
                  <c:v>0.27739999999999998</c:v>
                </c:pt>
                <c:pt idx="240">
                  <c:v>0.27209</c:v>
                </c:pt>
                <c:pt idx="241">
                  <c:v>0.28159000000000001</c:v>
                </c:pt>
                <c:pt idx="242">
                  <c:v>0.26967000000000002</c:v>
                </c:pt>
                <c:pt idx="243">
                  <c:v>0.27093</c:v>
                </c:pt>
                <c:pt idx="244">
                  <c:v>0.28704000000000002</c:v>
                </c:pt>
                <c:pt idx="245">
                  <c:v>0.30084</c:v>
                </c:pt>
                <c:pt idx="246">
                  <c:v>0.33526</c:v>
                </c:pt>
                <c:pt idx="247">
                  <c:v>0.25774000000000002</c:v>
                </c:pt>
                <c:pt idx="248">
                  <c:v>0.26441999999999999</c:v>
                </c:pt>
                <c:pt idx="249">
                  <c:v>0.21349000000000001</c:v>
                </c:pt>
                <c:pt idx="250">
                  <c:v>0.25296000000000002</c:v>
                </c:pt>
                <c:pt idx="251">
                  <c:v>0.27951999999999999</c:v>
                </c:pt>
                <c:pt idx="252">
                  <c:v>0.30854999999999999</c:v>
                </c:pt>
                <c:pt idx="253">
                  <c:v>0.26255000000000001</c:v>
                </c:pt>
                <c:pt idx="254">
                  <c:v>0.41871999999999998</c:v>
                </c:pt>
                <c:pt idx="255">
                  <c:v>0.40538000000000002</c:v>
                </c:pt>
                <c:pt idx="256">
                  <c:v>0.43552000000000002</c:v>
                </c:pt>
                <c:pt idx="257">
                  <c:v>0.43341000000000002</c:v>
                </c:pt>
                <c:pt idx="258">
                  <c:v>0.43569999999999998</c:v>
                </c:pt>
                <c:pt idx="259">
                  <c:v>0.42820000000000003</c:v>
                </c:pt>
                <c:pt idx="260">
                  <c:v>0.40001999999999999</c:v>
                </c:pt>
                <c:pt idx="261">
                  <c:v>0.45900000000000002</c:v>
                </c:pt>
                <c:pt idx="262">
                  <c:v>0.43474000000000002</c:v>
                </c:pt>
                <c:pt idx="263">
                  <c:v>0.48548999999999998</c:v>
                </c:pt>
                <c:pt idx="264">
                  <c:v>0.49701000000000001</c:v>
                </c:pt>
                <c:pt idx="265">
                  <c:v>0.50519999999999998</c:v>
                </c:pt>
                <c:pt idx="266">
                  <c:v>0.50434999999999997</c:v>
                </c:pt>
                <c:pt idx="267">
                  <c:v>0.51897000000000004</c:v>
                </c:pt>
                <c:pt idx="268">
                  <c:v>0.48663000000000001</c:v>
                </c:pt>
                <c:pt idx="269">
                  <c:v>0.52454000000000001</c:v>
                </c:pt>
                <c:pt idx="270">
                  <c:v>0.53169999999999995</c:v>
                </c:pt>
                <c:pt idx="271">
                  <c:v>0.55344000000000004</c:v>
                </c:pt>
                <c:pt idx="272">
                  <c:v>0.57028999999999996</c:v>
                </c:pt>
                <c:pt idx="273">
                  <c:v>0.56322000000000005</c:v>
                </c:pt>
                <c:pt idx="274">
                  <c:v>0.53573000000000004</c:v>
                </c:pt>
                <c:pt idx="275">
                  <c:v>0.51759999999999995</c:v>
                </c:pt>
                <c:pt idx="276">
                  <c:v>0.45661000000000002</c:v>
                </c:pt>
                <c:pt idx="277">
                  <c:v>0.39288000000000001</c:v>
                </c:pt>
                <c:pt idx="278">
                  <c:v>0.38807000000000003</c:v>
                </c:pt>
                <c:pt idx="279">
                  <c:v>0.43057000000000001</c:v>
                </c:pt>
                <c:pt idx="280">
                  <c:v>0.46507999999999999</c:v>
                </c:pt>
                <c:pt idx="281">
                  <c:v>0.52202999999999999</c:v>
                </c:pt>
                <c:pt idx="282">
                  <c:v>0.51207000000000003</c:v>
                </c:pt>
                <c:pt idx="283">
                  <c:v>0.50619999999999998</c:v>
                </c:pt>
                <c:pt idx="284">
                  <c:v>0.54981000000000002</c:v>
                </c:pt>
                <c:pt idx="285">
                  <c:v>0.61853999999999998</c:v>
                </c:pt>
                <c:pt idx="286">
                  <c:v>0.77</c:v>
                </c:pt>
                <c:pt idx="287">
                  <c:v>0.53371000000000002</c:v>
                </c:pt>
                <c:pt idx="288">
                  <c:v>0.50256000000000001</c:v>
                </c:pt>
                <c:pt idx="289">
                  <c:v>0.51844000000000001</c:v>
                </c:pt>
                <c:pt idx="290">
                  <c:v>0.56820000000000004</c:v>
                </c:pt>
                <c:pt idx="291">
                  <c:v>0.46478999999999998</c:v>
                </c:pt>
                <c:pt idx="292">
                  <c:v>0.46167000000000002</c:v>
                </c:pt>
                <c:pt idx="293">
                  <c:v>0.48276999999999998</c:v>
                </c:pt>
                <c:pt idx="294">
                  <c:v>0.48870999999999998</c:v>
                </c:pt>
                <c:pt idx="295">
                  <c:v>0.45156000000000002</c:v>
                </c:pt>
                <c:pt idx="296">
                  <c:v>0.44652999999999998</c:v>
                </c:pt>
                <c:pt idx="297">
                  <c:v>0.46</c:v>
                </c:pt>
                <c:pt idx="298">
                  <c:v>0.48715000000000003</c:v>
                </c:pt>
                <c:pt idx="299">
                  <c:v>0.45335999999999999</c:v>
                </c:pt>
                <c:pt idx="300">
                  <c:v>0.49281999999999998</c:v>
                </c:pt>
                <c:pt idx="301">
                  <c:v>0.48851</c:v>
                </c:pt>
                <c:pt idx="302">
                  <c:v>0.50034000000000001</c:v>
                </c:pt>
                <c:pt idx="303">
                  <c:v>0.52569999999999995</c:v>
                </c:pt>
                <c:pt idx="304">
                  <c:v>0.52968999999999999</c:v>
                </c:pt>
                <c:pt idx="305">
                  <c:v>0.54015000000000002</c:v>
                </c:pt>
                <c:pt idx="306">
                  <c:v>0.52298999999999995</c:v>
                </c:pt>
                <c:pt idx="307">
                  <c:v>0.51554</c:v>
                </c:pt>
                <c:pt idx="308">
                  <c:v>0.48285</c:v>
                </c:pt>
                <c:pt idx="309">
                  <c:v>0.48221000000000003</c:v>
                </c:pt>
                <c:pt idx="310">
                  <c:v>0.50799000000000005</c:v>
                </c:pt>
                <c:pt idx="311">
                  <c:v>0.50792999999999999</c:v>
                </c:pt>
                <c:pt idx="312">
                  <c:v>0.55498000000000003</c:v>
                </c:pt>
                <c:pt idx="313">
                  <c:v>0.54493999999999998</c:v>
                </c:pt>
                <c:pt idx="314">
                  <c:v>0.60424999999999995</c:v>
                </c:pt>
                <c:pt idx="315">
                  <c:v>0.63724000000000003</c:v>
                </c:pt>
                <c:pt idx="316">
                  <c:v>0.58013000000000003</c:v>
                </c:pt>
                <c:pt idx="317">
                  <c:v>0.52002000000000004</c:v>
                </c:pt>
                <c:pt idx="318">
                  <c:v>0.60555999999999999</c:v>
                </c:pt>
                <c:pt idx="319">
                  <c:v>0.65264999999999995</c:v>
                </c:pt>
                <c:pt idx="320">
                  <c:v>0.60128999999999999</c:v>
                </c:pt>
                <c:pt idx="321">
                  <c:v>0.72770999999999997</c:v>
                </c:pt>
                <c:pt idx="322">
                  <c:v>0.35769000000000001</c:v>
                </c:pt>
                <c:pt idx="323">
                  <c:v>0.248614</c:v>
                </c:pt>
                <c:pt idx="324">
                  <c:v>0.26696700000000001</c:v>
                </c:pt>
                <c:pt idx="325">
                  <c:v>0.21924199999999999</c:v>
                </c:pt>
                <c:pt idx="326">
                  <c:v>0.12826000000000001</c:v>
                </c:pt>
                <c:pt idx="327">
                  <c:v>0.11302</c:v>
                </c:pt>
                <c:pt idx="328">
                  <c:v>0.11058800000000001</c:v>
                </c:pt>
                <c:pt idx="329">
                  <c:v>0.11824999999999999</c:v>
                </c:pt>
                <c:pt idx="330">
                  <c:v>8.5260000000000002E-2</c:v>
                </c:pt>
                <c:pt idx="331">
                  <c:v>6.4979999999999996E-2</c:v>
                </c:pt>
                <c:pt idx="332">
                  <c:v>5.6377999999999998E-2</c:v>
                </c:pt>
                <c:pt idx="333">
                  <c:v>5.0736999999999997E-2</c:v>
                </c:pt>
                <c:pt idx="334">
                  <c:v>5.2865000000000002E-2</c:v>
                </c:pt>
                <c:pt idx="335">
                  <c:v>5.0499000000000002E-2</c:v>
                </c:pt>
                <c:pt idx="336">
                  <c:v>4.9988999999999999E-2</c:v>
                </c:pt>
                <c:pt idx="337">
                  <c:v>5.0878E-2</c:v>
                </c:pt>
                <c:pt idx="338">
                  <c:v>4.2261E-2</c:v>
                </c:pt>
                <c:pt idx="339">
                  <c:v>4.7798E-2</c:v>
                </c:pt>
                <c:pt idx="340">
                  <c:v>5.3561999999999999E-2</c:v>
                </c:pt>
                <c:pt idx="341">
                  <c:v>5.0462E-2</c:v>
                </c:pt>
                <c:pt idx="342">
                  <c:v>5.3391000000000001E-2</c:v>
                </c:pt>
                <c:pt idx="343">
                  <c:v>3.9697000000000003E-2</c:v>
                </c:pt>
                <c:pt idx="344">
                  <c:v>3.6347999999999998E-2</c:v>
                </c:pt>
                <c:pt idx="345">
                  <c:v>3.4804000000000002E-2</c:v>
                </c:pt>
                <c:pt idx="346">
                  <c:v>3.4437000000000002E-2</c:v>
                </c:pt>
                <c:pt idx="347">
                  <c:v>3.4634999999999999E-2</c:v>
                </c:pt>
                <c:pt idx="348">
                  <c:v>3.6656000000000001E-2</c:v>
                </c:pt>
                <c:pt idx="349">
                  <c:v>3.5790000000000002E-2</c:v>
                </c:pt>
                <c:pt idx="350">
                  <c:v>3.0565999999999999E-2</c:v>
                </c:pt>
                <c:pt idx="351">
                  <c:v>2.9340999999999999E-2</c:v>
                </c:pt>
                <c:pt idx="352">
                  <c:v>2.6783999999999999E-2</c:v>
                </c:pt>
                <c:pt idx="353">
                  <c:v>2.4389999999999998E-2</c:v>
                </c:pt>
                <c:pt idx="354">
                  <c:v>2.2918999999999998E-2</c:v>
                </c:pt>
                <c:pt idx="355">
                  <c:v>2.3609999999999999E-2</c:v>
                </c:pt>
                <c:pt idx="356">
                  <c:v>2.5531999999999999E-2</c:v>
                </c:pt>
                <c:pt idx="357">
                  <c:v>2.3165000000000002E-2</c:v>
                </c:pt>
                <c:pt idx="358">
                  <c:v>2.4063000000000001E-2</c:v>
                </c:pt>
                <c:pt idx="359">
                  <c:v>2.2636E-2</c:v>
                </c:pt>
                <c:pt idx="360">
                  <c:v>2.2401999999999998E-2</c:v>
                </c:pt>
                <c:pt idx="361">
                  <c:v>2.1610999999999998E-2</c:v>
                </c:pt>
                <c:pt idx="362">
                  <c:v>2.1248E-2</c:v>
                </c:pt>
                <c:pt idx="363">
                  <c:v>1.9944E-2</c:v>
                </c:pt>
                <c:pt idx="364">
                  <c:v>2.0091999999999999E-2</c:v>
                </c:pt>
                <c:pt idx="365">
                  <c:v>1.8957999999999999E-2</c:v>
                </c:pt>
                <c:pt idx="366">
                  <c:v>2.0650999999999999E-2</c:v>
                </c:pt>
                <c:pt idx="367">
                  <c:v>1.8814000000000001E-2</c:v>
                </c:pt>
                <c:pt idx="368">
                  <c:v>1.9892E-2</c:v>
                </c:pt>
                <c:pt idx="369">
                  <c:v>1.9796000000000001E-2</c:v>
                </c:pt>
                <c:pt idx="370">
                  <c:v>1.9733000000000001E-2</c:v>
                </c:pt>
                <c:pt idx="371">
                  <c:v>1.8853000000000002E-2</c:v>
                </c:pt>
                <c:pt idx="372">
                  <c:v>2.2433999999999999E-2</c:v>
                </c:pt>
                <c:pt idx="373">
                  <c:v>2.2655000000000002E-2</c:v>
                </c:pt>
                <c:pt idx="374">
                  <c:v>2.0532999999999999E-2</c:v>
                </c:pt>
                <c:pt idx="375">
                  <c:v>1.9526999999999999E-2</c:v>
                </c:pt>
                <c:pt idx="376">
                  <c:v>1.9739E-2</c:v>
                </c:pt>
                <c:pt idx="377">
                  <c:v>1.9154000000000001E-2</c:v>
                </c:pt>
                <c:pt idx="378">
                  <c:v>1.9685000000000001E-2</c:v>
                </c:pt>
                <c:pt idx="379">
                  <c:v>2.0334000000000001E-2</c:v>
                </c:pt>
                <c:pt idx="380">
                  <c:v>1.7453E-2</c:v>
                </c:pt>
                <c:pt idx="381">
                  <c:v>1.7680000000000001E-2</c:v>
                </c:pt>
                <c:pt idx="382">
                  <c:v>1.9286000000000001E-2</c:v>
                </c:pt>
                <c:pt idx="383">
                  <c:v>2.0112999999999999E-2</c:v>
                </c:pt>
                <c:pt idx="384">
                  <c:v>1.9261E-2</c:v>
                </c:pt>
                <c:pt idx="385">
                  <c:v>1.9876999999999999E-2</c:v>
                </c:pt>
                <c:pt idx="386">
                  <c:v>2.1121999999999998E-2</c:v>
                </c:pt>
                <c:pt idx="387">
                  <c:v>2.0074000000000002E-2</c:v>
                </c:pt>
                <c:pt idx="388">
                  <c:v>1.8870999999999999E-2</c:v>
                </c:pt>
                <c:pt idx="389">
                  <c:v>1.9518000000000001E-2</c:v>
                </c:pt>
                <c:pt idx="390">
                  <c:v>1.9255999999999999E-2</c:v>
                </c:pt>
                <c:pt idx="391">
                  <c:v>2.0739E-2</c:v>
                </c:pt>
                <c:pt idx="392">
                  <c:v>2.1256000000000001E-2</c:v>
                </c:pt>
                <c:pt idx="393">
                  <c:v>2.2950999999999999E-2</c:v>
                </c:pt>
                <c:pt idx="394">
                  <c:v>2.8393999999999999E-2</c:v>
                </c:pt>
                <c:pt idx="395">
                  <c:v>2.7585999999999999E-2</c:v>
                </c:pt>
                <c:pt idx="396">
                  <c:v>2.4E-2</c:v>
                </c:pt>
                <c:pt idx="397">
                  <c:v>2.1148E-2</c:v>
                </c:pt>
                <c:pt idx="398">
                  <c:v>1.9186000000000002E-2</c:v>
                </c:pt>
                <c:pt idx="399">
                  <c:v>1.8806E-2</c:v>
                </c:pt>
                <c:pt idx="400">
                  <c:v>1.8090999999999999E-2</c:v>
                </c:pt>
                <c:pt idx="401">
                  <c:v>1.7389999999999999E-2</c:v>
                </c:pt>
                <c:pt idx="402">
                  <c:v>1.8859000000000001E-2</c:v>
                </c:pt>
                <c:pt idx="403">
                  <c:v>1.5810000000000001E-2</c:v>
                </c:pt>
                <c:pt idx="404">
                  <c:v>1.6126000000000001E-2</c:v>
                </c:pt>
                <c:pt idx="405">
                  <c:v>1.4742E-2</c:v>
                </c:pt>
                <c:pt idx="406">
                  <c:v>1.4515E-2</c:v>
                </c:pt>
                <c:pt idx="407">
                  <c:v>1.4461999999999999E-2</c:v>
                </c:pt>
                <c:pt idx="408">
                  <c:v>1.4994E-2</c:v>
                </c:pt>
                <c:pt idx="409">
                  <c:v>1.4706E-2</c:v>
                </c:pt>
                <c:pt idx="410">
                  <c:v>1.2614999999999999E-2</c:v>
                </c:pt>
                <c:pt idx="411">
                  <c:v>1.2378999999999999E-2</c:v>
                </c:pt>
                <c:pt idx="412">
                  <c:v>1.2387E-2</c:v>
                </c:pt>
                <c:pt idx="413">
                  <c:v>1.2001E-2</c:v>
                </c:pt>
                <c:pt idx="414">
                  <c:v>1.2159E-2</c:v>
                </c:pt>
                <c:pt idx="415">
                  <c:v>1.226E-2</c:v>
                </c:pt>
                <c:pt idx="416">
                  <c:v>1.2766E-2</c:v>
                </c:pt>
                <c:pt idx="417">
                  <c:v>1.2704E-2</c:v>
                </c:pt>
                <c:pt idx="418">
                  <c:v>1.2699999999999999E-2</c:v>
                </c:pt>
                <c:pt idx="419">
                  <c:v>1.2229E-2</c:v>
                </c:pt>
                <c:pt idx="420">
                  <c:v>1.3051999999999999E-2</c:v>
                </c:pt>
                <c:pt idx="421">
                  <c:v>1.2914999999999999E-2</c:v>
                </c:pt>
                <c:pt idx="422">
                  <c:v>1.2092E-2</c:v>
                </c:pt>
                <c:pt idx="423">
                  <c:v>1.2177E-2</c:v>
                </c:pt>
                <c:pt idx="424">
                  <c:v>1.1662E-2</c:v>
                </c:pt>
                <c:pt idx="425">
                  <c:v>1.1780000000000001E-2</c:v>
                </c:pt>
                <c:pt idx="426">
                  <c:v>1.1585E-2</c:v>
                </c:pt>
                <c:pt idx="427">
                  <c:v>1.1964000000000001E-2</c:v>
                </c:pt>
                <c:pt idx="428">
                  <c:v>1.3422E-2</c:v>
                </c:pt>
                <c:pt idx="429">
                  <c:v>1.252E-2</c:v>
                </c:pt>
                <c:pt idx="430">
                  <c:v>1.1967999999999999E-2</c:v>
                </c:pt>
                <c:pt idx="431">
                  <c:v>1.1143999999999999E-2</c:v>
                </c:pt>
                <c:pt idx="432">
                  <c:v>1.1551000000000001E-2</c:v>
                </c:pt>
                <c:pt idx="433">
                  <c:v>1.0969E-2</c:v>
                </c:pt>
                <c:pt idx="434">
                  <c:v>1.0566000000000001E-2</c:v>
                </c:pt>
                <c:pt idx="435">
                  <c:v>1.0581E-2</c:v>
                </c:pt>
                <c:pt idx="436">
                  <c:v>1.0973E-2</c:v>
                </c:pt>
                <c:pt idx="437">
                  <c:v>1.1027E-2</c:v>
                </c:pt>
                <c:pt idx="438">
                  <c:v>1.0571000000000001E-2</c:v>
                </c:pt>
                <c:pt idx="439">
                  <c:v>1.077E-2</c:v>
                </c:pt>
                <c:pt idx="440">
                  <c:v>1.0975E-2</c:v>
                </c:pt>
                <c:pt idx="441">
                  <c:v>1.0596E-2</c:v>
                </c:pt>
                <c:pt idx="442">
                  <c:v>1.0737999999999999E-2</c:v>
                </c:pt>
                <c:pt idx="443">
                  <c:v>1.0881999999999999E-2</c:v>
                </c:pt>
                <c:pt idx="444">
                  <c:v>1.0747E-2</c:v>
                </c:pt>
                <c:pt idx="445">
                  <c:v>1.0434000000000001E-2</c:v>
                </c:pt>
                <c:pt idx="446">
                  <c:v>1.001E-2</c:v>
                </c:pt>
                <c:pt idx="447">
                  <c:v>1.0453E-2</c:v>
                </c:pt>
                <c:pt idx="448">
                  <c:v>9.7619999999999998E-3</c:v>
                </c:pt>
                <c:pt idx="449">
                  <c:v>9.6509999999999999E-3</c:v>
                </c:pt>
                <c:pt idx="450">
                  <c:v>9.3900000000000008E-3</c:v>
                </c:pt>
                <c:pt idx="451">
                  <c:v>9.4109999999999992E-3</c:v>
                </c:pt>
                <c:pt idx="452">
                  <c:v>9.5149999999999992E-3</c:v>
                </c:pt>
                <c:pt idx="453">
                  <c:v>9.4050000000000002E-3</c:v>
                </c:pt>
                <c:pt idx="454">
                  <c:v>9.4839999999999994E-3</c:v>
                </c:pt>
                <c:pt idx="455">
                  <c:v>9.5999999999999992E-3</c:v>
                </c:pt>
                <c:pt idx="456">
                  <c:v>9.9380000000000007E-3</c:v>
                </c:pt>
                <c:pt idx="457">
                  <c:v>1.0255E-2</c:v>
                </c:pt>
                <c:pt idx="458">
                  <c:v>1.0381E-2</c:v>
                </c:pt>
                <c:pt idx="459">
                  <c:v>1.057E-2</c:v>
                </c:pt>
                <c:pt idx="460">
                  <c:v>1.0867E-2</c:v>
                </c:pt>
                <c:pt idx="461">
                  <c:v>1.0675E-2</c:v>
                </c:pt>
                <c:pt idx="462">
                  <c:v>1.0825E-2</c:v>
                </c:pt>
                <c:pt idx="463">
                  <c:v>1.0453E-2</c:v>
                </c:pt>
                <c:pt idx="464">
                  <c:v>1.0394E-2</c:v>
                </c:pt>
                <c:pt idx="465">
                  <c:v>1.0621999999999999E-2</c:v>
                </c:pt>
                <c:pt idx="466">
                  <c:v>1.0721E-2</c:v>
                </c:pt>
                <c:pt idx="467">
                  <c:v>1.0619E-2</c:v>
                </c:pt>
                <c:pt idx="468">
                  <c:v>1.055E-2</c:v>
                </c:pt>
                <c:pt idx="469">
                  <c:v>1.0685E-2</c:v>
                </c:pt>
                <c:pt idx="470">
                  <c:v>1.0855E-2</c:v>
                </c:pt>
                <c:pt idx="471">
                  <c:v>1.0933999999999999E-2</c:v>
                </c:pt>
                <c:pt idx="472">
                  <c:v>1.1119E-2</c:v>
                </c:pt>
                <c:pt idx="473">
                  <c:v>1.1126E-2</c:v>
                </c:pt>
                <c:pt idx="474">
                  <c:v>1.1185E-2</c:v>
                </c:pt>
                <c:pt idx="475">
                  <c:v>1.1129E-2</c:v>
                </c:pt>
                <c:pt idx="476">
                  <c:v>1.0573000000000001E-2</c:v>
                </c:pt>
                <c:pt idx="477">
                  <c:v>1.0326999999999999E-2</c:v>
                </c:pt>
                <c:pt idx="478">
                  <c:v>1.0345999999999999E-2</c:v>
                </c:pt>
                <c:pt idx="479">
                  <c:v>1.1013E-2</c:v>
                </c:pt>
                <c:pt idx="480">
                  <c:v>1.0999999999999999E-2</c:v>
                </c:pt>
                <c:pt idx="481">
                  <c:v>1.0795000000000001E-2</c:v>
                </c:pt>
                <c:pt idx="482">
                  <c:v>1.0611000000000001E-2</c:v>
                </c:pt>
                <c:pt idx="483">
                  <c:v>1.115E-2</c:v>
                </c:pt>
                <c:pt idx="484">
                  <c:v>1.1566999999999999E-2</c:v>
                </c:pt>
                <c:pt idx="485">
                  <c:v>1.1072E-2</c:v>
                </c:pt>
                <c:pt idx="486">
                  <c:v>1.0904E-2</c:v>
                </c:pt>
                <c:pt idx="487">
                  <c:v>1.1002E-2</c:v>
                </c:pt>
                <c:pt idx="488">
                  <c:v>1.1252E-2</c:v>
                </c:pt>
                <c:pt idx="489">
                  <c:v>1.1218000000000001E-2</c:v>
                </c:pt>
                <c:pt idx="490">
                  <c:v>1.1387E-2</c:v>
                </c:pt>
                <c:pt idx="491">
                  <c:v>1.025E-2</c:v>
                </c:pt>
                <c:pt idx="492">
                  <c:v>1.1254E-2</c:v>
                </c:pt>
                <c:pt idx="493">
                  <c:v>1.0859000000000001E-2</c:v>
                </c:pt>
                <c:pt idx="494">
                  <c:v>1.1523E-2</c:v>
                </c:pt>
                <c:pt idx="495">
                  <c:v>1.2078999999999999E-2</c:v>
                </c:pt>
                <c:pt idx="496">
                  <c:v>1.2217E-2</c:v>
                </c:pt>
                <c:pt idx="497">
                  <c:v>1.269E-2</c:v>
                </c:pt>
                <c:pt idx="498">
                  <c:v>1.2318000000000001E-2</c:v>
                </c:pt>
                <c:pt idx="499">
                  <c:v>1.2822999999999999E-2</c:v>
                </c:pt>
                <c:pt idx="500">
                  <c:v>1.3414000000000001E-2</c:v>
                </c:pt>
                <c:pt idx="501">
                  <c:v>1.2187999999999999E-2</c:v>
                </c:pt>
                <c:pt idx="502">
                  <c:v>1.3047E-2</c:v>
                </c:pt>
                <c:pt idx="503">
                  <c:v>1.2467000000000001E-2</c:v>
                </c:pt>
                <c:pt idx="504">
                  <c:v>1.2482E-2</c:v>
                </c:pt>
                <c:pt idx="505">
                  <c:v>1.2177E-2</c:v>
                </c:pt>
                <c:pt idx="506">
                  <c:v>1.1136999999999999E-2</c:v>
                </c:pt>
                <c:pt idx="507">
                  <c:v>1.1216E-2</c:v>
                </c:pt>
                <c:pt idx="508">
                  <c:v>1.0923E-2</c:v>
                </c:pt>
                <c:pt idx="509">
                  <c:v>1.0567999999999999E-2</c:v>
                </c:pt>
                <c:pt idx="510">
                  <c:v>1.2145E-2</c:v>
                </c:pt>
                <c:pt idx="511">
                  <c:v>1.1115E-2</c:v>
                </c:pt>
                <c:pt idx="512">
                  <c:v>1.4239E-2</c:v>
                </c:pt>
                <c:pt idx="513">
                  <c:v>1.5231E-2</c:v>
                </c:pt>
                <c:pt idx="514">
                  <c:v>1.4829999999999999E-2</c:v>
                </c:pt>
                <c:pt idx="515">
                  <c:v>1.5036000000000001E-2</c:v>
                </c:pt>
                <c:pt idx="516">
                  <c:v>1.4909E-2</c:v>
                </c:pt>
                <c:pt idx="517">
                  <c:v>1.5318999999999999E-2</c:v>
                </c:pt>
                <c:pt idx="518">
                  <c:v>1.443E-2</c:v>
                </c:pt>
                <c:pt idx="519">
                  <c:v>1.5554E-2</c:v>
                </c:pt>
                <c:pt idx="520">
                  <c:v>1.5526999999999999E-2</c:v>
                </c:pt>
                <c:pt idx="521">
                  <c:v>1.7226999999999999E-2</c:v>
                </c:pt>
                <c:pt idx="522">
                  <c:v>1.6871000000000001E-2</c:v>
                </c:pt>
                <c:pt idx="523">
                  <c:v>1.7277000000000001E-2</c:v>
                </c:pt>
                <c:pt idx="524">
                  <c:v>1.6454E-2</c:v>
                </c:pt>
                <c:pt idx="525">
                  <c:v>1.7874999999999999E-2</c:v>
                </c:pt>
                <c:pt idx="526">
                  <c:v>1.6161999999999999E-2</c:v>
                </c:pt>
                <c:pt idx="527">
                  <c:v>1.8225999999999999E-2</c:v>
                </c:pt>
                <c:pt idx="528">
                  <c:v>2.0152E-2</c:v>
                </c:pt>
                <c:pt idx="529">
                  <c:v>1.9559E-2</c:v>
                </c:pt>
                <c:pt idx="530">
                  <c:v>1.8525E-2</c:v>
                </c:pt>
                <c:pt idx="531">
                  <c:v>1.9782000000000001E-2</c:v>
                </c:pt>
                <c:pt idx="532">
                  <c:v>1.8179000000000001E-2</c:v>
                </c:pt>
                <c:pt idx="533">
                  <c:v>1.5973000000000001E-2</c:v>
                </c:pt>
                <c:pt idx="534">
                  <c:v>1.4171E-2</c:v>
                </c:pt>
                <c:pt idx="535">
                  <c:v>1.4344000000000001E-2</c:v>
                </c:pt>
                <c:pt idx="536">
                  <c:v>1.3946E-2</c:v>
                </c:pt>
                <c:pt idx="537">
                  <c:v>1.3325E-2</c:v>
                </c:pt>
                <c:pt idx="538">
                  <c:v>1.3008E-2</c:v>
                </c:pt>
                <c:pt idx="539">
                  <c:v>1.324E-2</c:v>
                </c:pt>
                <c:pt idx="540">
                  <c:v>1.3296000000000001E-2</c:v>
                </c:pt>
                <c:pt idx="541">
                  <c:v>1.3287E-2</c:v>
                </c:pt>
                <c:pt idx="542">
                  <c:v>1.3056999999999999E-2</c:v>
                </c:pt>
                <c:pt idx="543">
                  <c:v>1.2649000000000001E-2</c:v>
                </c:pt>
                <c:pt idx="544">
                  <c:v>1.3413E-2</c:v>
                </c:pt>
                <c:pt idx="545">
                  <c:v>1.4045999999999999E-2</c:v>
                </c:pt>
                <c:pt idx="546">
                  <c:v>1.2966E-2</c:v>
                </c:pt>
                <c:pt idx="547">
                  <c:v>1.2108000000000001E-2</c:v>
                </c:pt>
                <c:pt idx="548">
                  <c:v>1.191E-2</c:v>
                </c:pt>
                <c:pt idx="549">
                  <c:v>1.1551000000000001E-2</c:v>
                </c:pt>
                <c:pt idx="550">
                  <c:v>1.1733E-2</c:v>
                </c:pt>
                <c:pt idx="551">
                  <c:v>1.1834000000000001E-2</c:v>
                </c:pt>
                <c:pt idx="552">
                  <c:v>1.1847999999999999E-2</c:v>
                </c:pt>
                <c:pt idx="553">
                  <c:v>1.2015E-2</c:v>
                </c:pt>
                <c:pt idx="554">
                  <c:v>1.2088E-2</c:v>
                </c:pt>
                <c:pt idx="555">
                  <c:v>1.2017999999999999E-2</c:v>
                </c:pt>
                <c:pt idx="556">
                  <c:v>1.1922E-2</c:v>
                </c:pt>
                <c:pt idx="557">
                  <c:v>1.1972E-2</c:v>
                </c:pt>
                <c:pt idx="558">
                  <c:v>1.2109E-2</c:v>
                </c:pt>
                <c:pt idx="559">
                  <c:v>1.2158E-2</c:v>
                </c:pt>
                <c:pt idx="560">
                  <c:v>1.1990000000000001E-2</c:v>
                </c:pt>
                <c:pt idx="561">
                  <c:v>1.2430999999999999E-2</c:v>
                </c:pt>
                <c:pt idx="562">
                  <c:v>1.2375000000000001E-2</c:v>
                </c:pt>
                <c:pt idx="563">
                  <c:v>1.2304000000000001E-2</c:v>
                </c:pt>
                <c:pt idx="564">
                  <c:v>1.2369E-2</c:v>
                </c:pt>
                <c:pt idx="565">
                  <c:v>1.2470999999999999E-2</c:v>
                </c:pt>
                <c:pt idx="566">
                  <c:v>1.2626999999999999E-2</c:v>
                </c:pt>
                <c:pt idx="567">
                  <c:v>1.2182E-2</c:v>
                </c:pt>
                <c:pt idx="568">
                  <c:v>1.2204E-2</c:v>
                </c:pt>
                <c:pt idx="569">
                  <c:v>1.1958E-2</c:v>
                </c:pt>
                <c:pt idx="570">
                  <c:v>1.2043E-2</c:v>
                </c:pt>
                <c:pt idx="571">
                  <c:v>1.1643000000000001E-2</c:v>
                </c:pt>
                <c:pt idx="572">
                  <c:v>1.1521999999999999E-2</c:v>
                </c:pt>
                <c:pt idx="573">
                  <c:v>1.1273E-2</c:v>
                </c:pt>
                <c:pt idx="574">
                  <c:v>1.1368E-2</c:v>
                </c:pt>
                <c:pt idx="575">
                  <c:v>1.1927999999999999E-2</c:v>
                </c:pt>
                <c:pt idx="576">
                  <c:v>1.1707E-2</c:v>
                </c:pt>
                <c:pt idx="577">
                  <c:v>1.2033E-2</c:v>
                </c:pt>
                <c:pt idx="578">
                  <c:v>1.1736E-2</c:v>
                </c:pt>
                <c:pt idx="579">
                  <c:v>1.1461000000000001E-2</c:v>
                </c:pt>
                <c:pt idx="580">
                  <c:v>1.2208999999999999E-2</c:v>
                </c:pt>
                <c:pt idx="581">
                  <c:v>1.2666999999999999E-2</c:v>
                </c:pt>
                <c:pt idx="582">
                  <c:v>1.3014E-2</c:v>
                </c:pt>
                <c:pt idx="583">
                  <c:v>1.4056000000000001E-2</c:v>
                </c:pt>
                <c:pt idx="584">
                  <c:v>1.3937E-2</c:v>
                </c:pt>
                <c:pt idx="585">
                  <c:v>1.406E-2</c:v>
                </c:pt>
                <c:pt idx="586">
                  <c:v>1.3313999999999999E-2</c:v>
                </c:pt>
                <c:pt idx="587">
                  <c:v>1.3698E-2</c:v>
                </c:pt>
                <c:pt idx="588">
                  <c:v>1.426E-2</c:v>
                </c:pt>
                <c:pt idx="589">
                  <c:v>1.315E-2</c:v>
                </c:pt>
                <c:pt idx="590">
                  <c:v>1.2940999999999999E-2</c:v>
                </c:pt>
                <c:pt idx="591">
                  <c:v>1.1879000000000001E-2</c:v>
                </c:pt>
                <c:pt idx="592">
                  <c:v>1.1655E-2</c:v>
                </c:pt>
                <c:pt idx="593">
                  <c:v>1.2311000000000001E-2</c:v>
                </c:pt>
                <c:pt idx="594">
                  <c:v>1.1903E-2</c:v>
                </c:pt>
                <c:pt idx="595">
                  <c:v>1.128E-2</c:v>
                </c:pt>
                <c:pt idx="596">
                  <c:v>1.2444999999999999E-2</c:v>
                </c:pt>
                <c:pt idx="597">
                  <c:v>1.2532E-2</c:v>
                </c:pt>
                <c:pt idx="598">
                  <c:v>1.2234E-2</c:v>
                </c:pt>
                <c:pt idx="599">
                  <c:v>1.2125E-2</c:v>
                </c:pt>
                <c:pt idx="600">
                  <c:v>1.2167000000000001E-2</c:v>
                </c:pt>
                <c:pt idx="601">
                  <c:v>1.2385999999999999E-2</c:v>
                </c:pt>
                <c:pt idx="602">
                  <c:v>1.2422000000000001E-2</c:v>
                </c:pt>
                <c:pt idx="603">
                  <c:v>1.2106E-2</c:v>
                </c:pt>
                <c:pt idx="604">
                  <c:v>1.1545E-2</c:v>
                </c:pt>
                <c:pt idx="605">
                  <c:v>1.1299999999999999E-2</c:v>
                </c:pt>
                <c:pt idx="606">
                  <c:v>1.0732E-2</c:v>
                </c:pt>
                <c:pt idx="607">
                  <c:v>1.1079E-2</c:v>
                </c:pt>
                <c:pt idx="608">
                  <c:v>1.0961E-2</c:v>
                </c:pt>
                <c:pt idx="609">
                  <c:v>1.0147E-2</c:v>
                </c:pt>
                <c:pt idx="610">
                  <c:v>9.9019999999999993E-3</c:v>
                </c:pt>
                <c:pt idx="611">
                  <c:v>9.8969999999999995E-3</c:v>
                </c:pt>
                <c:pt idx="612">
                  <c:v>9.9159999999999995E-3</c:v>
                </c:pt>
                <c:pt idx="613">
                  <c:v>9.136E-3</c:v>
                </c:pt>
                <c:pt idx="614">
                  <c:v>9.4570000000000001E-3</c:v>
                </c:pt>
                <c:pt idx="615">
                  <c:v>9.4990000000000005E-3</c:v>
                </c:pt>
                <c:pt idx="616">
                  <c:v>8.9960000000000005E-3</c:v>
                </c:pt>
                <c:pt idx="617">
                  <c:v>9.6360000000000005E-3</c:v>
                </c:pt>
                <c:pt idx="618">
                  <c:v>9.58E-3</c:v>
                </c:pt>
                <c:pt idx="619">
                  <c:v>9.6010000000000002E-3</c:v>
                </c:pt>
                <c:pt idx="620">
                  <c:v>9.6010000000000002E-3</c:v>
                </c:pt>
                <c:pt idx="621">
                  <c:v>9.7710000000000002E-3</c:v>
                </c:pt>
                <c:pt idx="622">
                  <c:v>9.3200000000000002E-3</c:v>
                </c:pt>
                <c:pt idx="623">
                  <c:v>9.8040000000000002E-3</c:v>
                </c:pt>
                <c:pt idx="624">
                  <c:v>1.0052999999999999E-2</c:v>
                </c:pt>
                <c:pt idx="625">
                  <c:v>9.1129999999999996E-3</c:v>
                </c:pt>
                <c:pt idx="626">
                  <c:v>8.6320000000000008E-3</c:v>
                </c:pt>
                <c:pt idx="627">
                  <c:v>8.3400000000000002E-3</c:v>
                </c:pt>
                <c:pt idx="628">
                  <c:v>9.2599999999999991E-3</c:v>
                </c:pt>
                <c:pt idx="629">
                  <c:v>9.8960000000000003E-3</c:v>
                </c:pt>
                <c:pt idx="630">
                  <c:v>9.8899999999999995E-3</c:v>
                </c:pt>
                <c:pt idx="631">
                  <c:v>1.0383999999999999E-2</c:v>
                </c:pt>
                <c:pt idx="632">
                  <c:v>9.3710000000000009E-3</c:v>
                </c:pt>
                <c:pt idx="633">
                  <c:v>8.5070000000000007E-3</c:v>
                </c:pt>
                <c:pt idx="634">
                  <c:v>7.6270000000000001E-3</c:v>
                </c:pt>
                <c:pt idx="635">
                  <c:v>7.9249999999999998E-3</c:v>
                </c:pt>
                <c:pt idx="636">
                  <c:v>7.5040000000000003E-3</c:v>
                </c:pt>
                <c:pt idx="637">
                  <c:v>7.1900000000000002E-3</c:v>
                </c:pt>
                <c:pt idx="638">
                  <c:v>7.43E-3</c:v>
                </c:pt>
                <c:pt idx="639">
                  <c:v>7.2620000000000002E-3</c:v>
                </c:pt>
                <c:pt idx="640">
                  <c:v>7.1060000000000003E-3</c:v>
                </c:pt>
                <c:pt idx="641">
                  <c:v>6.8370000000000002E-3</c:v>
                </c:pt>
                <c:pt idx="642">
                  <c:v>6.7869999999999996E-3</c:v>
                </c:pt>
                <c:pt idx="643">
                  <c:v>6.705E-3</c:v>
                </c:pt>
                <c:pt idx="644">
                  <c:v>6.7559999999999999E-3</c:v>
                </c:pt>
                <c:pt idx="645">
                  <c:v>6.5719999999999997E-3</c:v>
                </c:pt>
                <c:pt idx="646">
                  <c:v>6.3699999999999998E-3</c:v>
                </c:pt>
                <c:pt idx="647">
                  <c:v>6.3299999999999997E-3</c:v>
                </c:pt>
                <c:pt idx="648">
                  <c:v>6.7000000000000002E-3</c:v>
                </c:pt>
                <c:pt idx="649">
                  <c:v>6.894E-3</c:v>
                </c:pt>
                <c:pt idx="650">
                  <c:v>6.7759999999999999E-3</c:v>
                </c:pt>
                <c:pt idx="651">
                  <c:v>6.8060000000000004E-3</c:v>
                </c:pt>
                <c:pt idx="652">
                  <c:v>6.156E-3</c:v>
                </c:pt>
                <c:pt idx="653">
                  <c:v>6.5240000000000003E-3</c:v>
                </c:pt>
                <c:pt idx="654">
                  <c:v>6.7000000000000002E-3</c:v>
                </c:pt>
                <c:pt idx="655">
                  <c:v>6.3239999999999998E-3</c:v>
                </c:pt>
                <c:pt idx="656">
                  <c:v>6.2610000000000001E-3</c:v>
                </c:pt>
                <c:pt idx="657">
                  <c:v>6.2740000000000001E-3</c:v>
                </c:pt>
                <c:pt idx="658">
                  <c:v>7.0089999999999996E-3</c:v>
                </c:pt>
                <c:pt idx="659">
                  <c:v>6.8609999999999999E-3</c:v>
                </c:pt>
                <c:pt idx="660">
                  <c:v>6.8659999999999997E-3</c:v>
                </c:pt>
                <c:pt idx="661">
                  <c:v>6.9199999999999999E-3</c:v>
                </c:pt>
                <c:pt idx="662">
                  <c:v>6.5069999999999998E-3</c:v>
                </c:pt>
                <c:pt idx="663">
                  <c:v>6.8329999999999997E-3</c:v>
                </c:pt>
                <c:pt idx="664">
                  <c:v>6.8399999999999997E-3</c:v>
                </c:pt>
                <c:pt idx="665">
                  <c:v>6.5240000000000003E-3</c:v>
                </c:pt>
                <c:pt idx="666">
                  <c:v>6.5139999999999998E-3</c:v>
                </c:pt>
                <c:pt idx="667">
                  <c:v>6.3210000000000002E-3</c:v>
                </c:pt>
                <c:pt idx="668">
                  <c:v>6.3340000000000002E-3</c:v>
                </c:pt>
                <c:pt idx="669">
                  <c:v>6.0959999999999999E-3</c:v>
                </c:pt>
                <c:pt idx="670">
                  <c:v>6.3610000000000003E-3</c:v>
                </c:pt>
                <c:pt idx="671">
                  <c:v>6.4219999999999998E-3</c:v>
                </c:pt>
                <c:pt idx="672">
                  <c:v>6.6769999999999998E-3</c:v>
                </c:pt>
                <c:pt idx="673">
                  <c:v>6.1780000000000003E-3</c:v>
                </c:pt>
                <c:pt idx="674">
                  <c:v>6.2160000000000002E-3</c:v>
                </c:pt>
                <c:pt idx="675">
                  <c:v>6.0829999999999999E-3</c:v>
                </c:pt>
                <c:pt idx="676">
                  <c:v>5.3680000000000004E-3</c:v>
                </c:pt>
                <c:pt idx="677">
                  <c:v>6.0140000000000002E-3</c:v>
                </c:pt>
                <c:pt idx="678">
                  <c:v>6.0720000000000001E-3</c:v>
                </c:pt>
                <c:pt idx="679">
                  <c:v>6.3429999999999997E-3</c:v>
                </c:pt>
                <c:pt idx="680">
                  <c:v>5.274E-3</c:v>
                </c:pt>
                <c:pt idx="681">
                  <c:v>5.7409999999999996E-3</c:v>
                </c:pt>
                <c:pt idx="682">
                  <c:v>5.2009999999999999E-3</c:v>
                </c:pt>
                <c:pt idx="683">
                  <c:v>5.7999999999999996E-3</c:v>
                </c:pt>
                <c:pt idx="684">
                  <c:v>5.6849999999999999E-3</c:v>
                </c:pt>
                <c:pt idx="685">
                  <c:v>6.1669999999999997E-3</c:v>
                </c:pt>
                <c:pt idx="686">
                  <c:v>5.2389999999999997E-3</c:v>
                </c:pt>
                <c:pt idx="687">
                  <c:v>1.0985999999999999E-2</c:v>
                </c:pt>
                <c:pt idx="688">
                  <c:v>1.0689000000000001E-2</c:v>
                </c:pt>
                <c:pt idx="689">
                  <c:v>1.0331E-2</c:v>
                </c:pt>
                <c:pt idx="690">
                  <c:v>1.0482E-2</c:v>
                </c:pt>
                <c:pt idx="691">
                  <c:v>1.2429000000000001E-2</c:v>
                </c:pt>
                <c:pt idx="692">
                  <c:v>1.3076000000000001E-2</c:v>
                </c:pt>
                <c:pt idx="693">
                  <c:v>1.2884E-2</c:v>
                </c:pt>
                <c:pt idx="694">
                  <c:v>1.2898E-2</c:v>
                </c:pt>
                <c:pt idx="695">
                  <c:v>1.1934999999999999E-2</c:v>
                </c:pt>
                <c:pt idx="696">
                  <c:v>1.1899E-2</c:v>
                </c:pt>
                <c:pt idx="697">
                  <c:v>1.2030000000000001E-2</c:v>
                </c:pt>
                <c:pt idx="698">
                  <c:v>1.044E-2</c:v>
                </c:pt>
                <c:pt idx="699">
                  <c:v>1.0579E-2</c:v>
                </c:pt>
                <c:pt idx="700">
                  <c:v>1.0676E-2</c:v>
                </c:pt>
                <c:pt idx="701">
                  <c:v>1.0508999999999999E-2</c:v>
                </c:pt>
                <c:pt idx="702">
                  <c:v>1.1804E-2</c:v>
                </c:pt>
                <c:pt idx="703">
                  <c:v>1.3106E-2</c:v>
                </c:pt>
                <c:pt idx="704">
                  <c:v>1.3457999999999999E-2</c:v>
                </c:pt>
                <c:pt idx="705">
                  <c:v>1.3306E-2</c:v>
                </c:pt>
                <c:pt idx="706">
                  <c:v>1.3658999999999999E-2</c:v>
                </c:pt>
                <c:pt idx="707">
                  <c:v>1.315E-2</c:v>
                </c:pt>
                <c:pt idx="708">
                  <c:v>1.3233999999999999E-2</c:v>
                </c:pt>
                <c:pt idx="709">
                  <c:v>1.3681E-2</c:v>
                </c:pt>
                <c:pt idx="710">
                  <c:v>1.3851E-2</c:v>
                </c:pt>
                <c:pt idx="711">
                  <c:v>1.353E-2</c:v>
                </c:pt>
                <c:pt idx="712">
                  <c:v>1.3883E-2</c:v>
                </c:pt>
                <c:pt idx="713">
                  <c:v>1.5124E-2</c:v>
                </c:pt>
                <c:pt idx="714">
                  <c:v>1.6657000000000002E-2</c:v>
                </c:pt>
                <c:pt idx="715">
                  <c:v>1.3098E-2</c:v>
                </c:pt>
                <c:pt idx="716">
                  <c:v>1.1323E-2</c:v>
                </c:pt>
                <c:pt idx="717">
                  <c:v>1.017E-2</c:v>
                </c:pt>
                <c:pt idx="718">
                  <c:v>1.0496999999999999E-2</c:v>
                </c:pt>
                <c:pt idx="719">
                  <c:v>9.5099999999999994E-3</c:v>
                </c:pt>
                <c:pt idx="720">
                  <c:v>9.7230000000000007E-3</c:v>
                </c:pt>
                <c:pt idx="721">
                  <c:v>1.0413E-2</c:v>
                </c:pt>
                <c:pt idx="722">
                  <c:v>8.6E-3</c:v>
                </c:pt>
                <c:pt idx="723">
                  <c:v>8.9409999999999993E-3</c:v>
                </c:pt>
                <c:pt idx="724">
                  <c:v>8.2719999999999998E-3</c:v>
                </c:pt>
                <c:pt idx="725">
                  <c:v>7.7759999999999999E-3</c:v>
                </c:pt>
                <c:pt idx="726">
                  <c:v>7.4409999999999997E-3</c:v>
                </c:pt>
                <c:pt idx="727">
                  <c:v>7.2040000000000003E-3</c:v>
                </c:pt>
                <c:pt idx="728">
                  <c:v>7.391E-3</c:v>
                </c:pt>
                <c:pt idx="729">
                  <c:v>7.2769999999999996E-3</c:v>
                </c:pt>
                <c:pt idx="730">
                  <c:v>7.2430000000000003E-3</c:v>
                </c:pt>
                <c:pt idx="731">
                  <c:v>6.901E-3</c:v>
                </c:pt>
                <c:pt idx="732">
                  <c:v>6.9160000000000003E-3</c:v>
                </c:pt>
                <c:pt idx="733">
                  <c:v>6.9329999999999999E-3</c:v>
                </c:pt>
                <c:pt idx="734">
                  <c:v>6.9829999999999996E-3</c:v>
                </c:pt>
                <c:pt idx="735">
                  <c:v>7.1729999999999997E-3</c:v>
                </c:pt>
                <c:pt idx="736">
                  <c:v>7.6090000000000003E-3</c:v>
                </c:pt>
                <c:pt idx="737">
                  <c:v>7.4190000000000002E-3</c:v>
                </c:pt>
                <c:pt idx="738">
                  <c:v>7.3070000000000001E-3</c:v>
                </c:pt>
                <c:pt idx="739">
                  <c:v>7.0790000000000002E-3</c:v>
                </c:pt>
                <c:pt idx="740">
                  <c:v>7.5940000000000001E-3</c:v>
                </c:pt>
                <c:pt idx="741">
                  <c:v>7.5760000000000003E-3</c:v>
                </c:pt>
                <c:pt idx="742">
                  <c:v>7.1199999999999996E-3</c:v>
                </c:pt>
                <c:pt idx="743">
                  <c:v>7.169E-3</c:v>
                </c:pt>
                <c:pt idx="744">
                  <c:v>7.1289999999999999E-3</c:v>
                </c:pt>
                <c:pt idx="745">
                  <c:v>6.868E-3</c:v>
                </c:pt>
                <c:pt idx="746">
                  <c:v>7.0080000000000003E-3</c:v>
                </c:pt>
                <c:pt idx="747">
                  <c:v>6.9899999999999997E-3</c:v>
                </c:pt>
                <c:pt idx="748">
                  <c:v>6.829E-3</c:v>
                </c:pt>
                <c:pt idx="749">
                  <c:v>6.9379999999999997E-3</c:v>
                </c:pt>
                <c:pt idx="750">
                  <c:v>7.1050000000000002E-3</c:v>
                </c:pt>
                <c:pt idx="751">
                  <c:v>7.5139999999999998E-3</c:v>
                </c:pt>
                <c:pt idx="752">
                  <c:v>7.613E-3</c:v>
                </c:pt>
                <c:pt idx="753">
                  <c:v>7.8689999999999993E-3</c:v>
                </c:pt>
                <c:pt idx="754">
                  <c:v>7.6800000000000002E-3</c:v>
                </c:pt>
                <c:pt idx="755">
                  <c:v>7.1510000000000002E-3</c:v>
                </c:pt>
                <c:pt idx="756">
                  <c:v>6.7190000000000001E-3</c:v>
                </c:pt>
                <c:pt idx="757">
                  <c:v>6.9230000000000003E-3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A2-4F29-AD23-4E61ABB17EB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-6.777184054529128</c:v>
                </c:pt>
                <c:pt idx="1">
                  <c:v>-6.6977100840943455</c:v>
                </c:pt>
                <c:pt idx="2">
                  <c:v>-5.7687685801320816</c:v>
                </c:pt>
                <c:pt idx="3">
                  <c:v>-5.2736413852672213</c:v>
                </c:pt>
                <c:pt idx="4">
                  <c:v>-5.7473045975907517</c:v>
                </c:pt>
                <c:pt idx="5">
                  <c:v>-5.9312678513220947</c:v>
                </c:pt>
                <c:pt idx="6">
                  <c:v>-5.1975316028495095</c:v>
                </c:pt>
                <c:pt idx="7">
                  <c:v>-3.8484743412670466</c:v>
                </c:pt>
                <c:pt idx="8">
                  <c:v>-3.2040953301420463</c:v>
                </c:pt>
                <c:pt idx="9">
                  <c:v>-2.7980121344943774</c:v>
                </c:pt>
                <c:pt idx="10">
                  <c:v>-2.8948256543074633</c:v>
                </c:pt>
                <c:pt idx="11">
                  <c:v>-2.5559725161107387</c:v>
                </c:pt>
                <c:pt idx="12">
                  <c:v>-2.2951320603042866</c:v>
                </c:pt>
                <c:pt idx="13">
                  <c:v>-2.2537461575265065</c:v>
                </c:pt>
                <c:pt idx="14">
                  <c:v>-2.3923501542128967</c:v>
                </c:pt>
                <c:pt idx="15">
                  <c:v>-1.8681996416723559</c:v>
                </c:pt>
                <c:pt idx="16">
                  <c:v>-2.5529803862056912</c:v>
                </c:pt>
                <c:pt idx="17">
                  <c:v>-3.2722197254810506</c:v>
                </c:pt>
                <c:pt idx="18">
                  <c:v>-3.1308535079810511</c:v>
                </c:pt>
                <c:pt idx="19">
                  <c:v>-3.156841375174035</c:v>
                </c:pt>
                <c:pt idx="20">
                  <c:v>-2.9981017128565752</c:v>
                </c:pt>
                <c:pt idx="21">
                  <c:v>-2.2798271219000537</c:v>
                </c:pt>
                <c:pt idx="22">
                  <c:v>-2.8728438940302312</c:v>
                </c:pt>
                <c:pt idx="23">
                  <c:v>-1.9914300795079378</c:v>
                </c:pt>
                <c:pt idx="24">
                  <c:v>-1.8309373358320462</c:v>
                </c:pt>
                <c:pt idx="25">
                  <c:v>-1.4077560655195449</c:v>
                </c:pt>
                <c:pt idx="26">
                  <c:v>-2.0066177952814459</c:v>
                </c:pt>
                <c:pt idx="27">
                  <c:v>-2.5283738795214417</c:v>
                </c:pt>
                <c:pt idx="28">
                  <c:v>-2.3328896692775394</c:v>
                </c:pt>
                <c:pt idx="29">
                  <c:v>-2.4749242847947834</c:v>
                </c:pt>
                <c:pt idx="30">
                  <c:v>-1.5516457057652502</c:v>
                </c:pt>
                <c:pt idx="31">
                  <c:v>-0.25648181390732505</c:v>
                </c:pt>
                <c:pt idx="32">
                  <c:v>7.193443028743178E-2</c:v>
                </c:pt>
                <c:pt idx="33">
                  <c:v>-0.74517385873217656</c:v>
                </c:pt>
                <c:pt idx="34">
                  <c:v>-1.2659871739585167</c:v>
                </c:pt>
                <c:pt idx="35">
                  <c:v>-0.64349306962375041</c:v>
                </c:pt>
                <c:pt idx="36">
                  <c:v>-1.755407611056587</c:v>
                </c:pt>
                <c:pt idx="37">
                  <c:v>-1.7606478104430925</c:v>
                </c:pt>
                <c:pt idx="38">
                  <c:v>-2.2913309025697894</c:v>
                </c:pt>
                <c:pt idx="39">
                  <c:v>-2.8947963098926239</c:v>
                </c:pt>
                <c:pt idx="40">
                  <c:v>-2.4392513566850789</c:v>
                </c:pt>
                <c:pt idx="41">
                  <c:v>-2.8128026755941695</c:v>
                </c:pt>
                <c:pt idx="42">
                  <c:v>-2.4210135056562803</c:v>
                </c:pt>
                <c:pt idx="43">
                  <c:v>-1.4477008763459307</c:v>
                </c:pt>
                <c:pt idx="44">
                  <c:v>-2.2831621685812271</c:v>
                </c:pt>
                <c:pt idx="45">
                  <c:v>-2.2787103111291724</c:v>
                </c:pt>
                <c:pt idx="46">
                  <c:v>-1.2069153133611181</c:v>
                </c:pt>
                <c:pt idx="47">
                  <c:v>-1.4613664568940514</c:v>
                </c:pt>
                <c:pt idx="48">
                  <c:v>-1.5164480207650186</c:v>
                </c:pt>
                <c:pt idx="49">
                  <c:v>-0.31495779774343263</c:v>
                </c:pt>
                <c:pt idx="50">
                  <c:v>1.2673682016138956</c:v>
                </c:pt>
                <c:pt idx="51">
                  <c:v>-6.7293630886109623E-2</c:v>
                </c:pt>
                <c:pt idx="52">
                  <c:v>1.0815578196439262</c:v>
                </c:pt>
                <c:pt idx="53">
                  <c:v>-1.2741150596879232</c:v>
                </c:pt>
                <c:pt idx="54">
                  <c:v>-0.20736886168792501</c:v>
                </c:pt>
                <c:pt idx="55">
                  <c:v>-1.4400167616879234</c:v>
                </c:pt>
                <c:pt idx="56">
                  <c:v>-0.84613266612340654</c:v>
                </c:pt>
                <c:pt idx="57">
                  <c:v>-0.76926251572018201</c:v>
                </c:pt>
                <c:pt idx="58">
                  <c:v>-0.34275754086723642</c:v>
                </c:pt>
                <c:pt idx="59">
                  <c:v>1.0251127506327606</c:v>
                </c:pt>
                <c:pt idx="60">
                  <c:v>0.35086081748669412</c:v>
                </c:pt>
                <c:pt idx="61">
                  <c:v>-1.5397471671979894</c:v>
                </c:pt>
                <c:pt idx="62">
                  <c:v>-1.2842256532438325</c:v>
                </c:pt>
                <c:pt idx="63">
                  <c:v>0.23724764306441337</c:v>
                </c:pt>
                <c:pt idx="64">
                  <c:v>-0.38378538540733453</c:v>
                </c:pt>
                <c:pt idx="65">
                  <c:v>-8.005227226447742E-2</c:v>
                </c:pt>
                <c:pt idx="66">
                  <c:v>0.29536391746361856</c:v>
                </c:pt>
                <c:pt idx="67">
                  <c:v>0.24858591011668177</c:v>
                </c:pt>
                <c:pt idx="68">
                  <c:v>1.6673945942777508</c:v>
                </c:pt>
                <c:pt idx="69">
                  <c:v>1.4036930799381273</c:v>
                </c:pt>
                <c:pt idx="70">
                  <c:v>0.33401672891008766</c:v>
                </c:pt>
                <c:pt idx="71">
                  <c:v>2.6125685738204805</c:v>
                </c:pt>
                <c:pt idx="72">
                  <c:v>2.2490430236021441</c:v>
                </c:pt>
                <c:pt idx="73">
                  <c:v>2.5999554381413161</c:v>
                </c:pt>
                <c:pt idx="74">
                  <c:v>5.1257740851757996</c:v>
                </c:pt>
                <c:pt idx="75">
                  <c:v>3.5104938514750237</c:v>
                </c:pt>
                <c:pt idx="76">
                  <c:v>7.6069384017902024</c:v>
                </c:pt>
                <c:pt idx="77">
                  <c:v>1.8177985215503769</c:v>
                </c:pt>
                <c:pt idx="78">
                  <c:v>-1.1045384837586558</c:v>
                </c:pt>
                <c:pt idx="79">
                  <c:v>1.1126151476795834</c:v>
                </c:pt>
                <c:pt idx="80">
                  <c:v>1.9793898049930196</c:v>
                </c:pt>
                <c:pt idx="81">
                  <c:v>1.4110076341077704</c:v>
                </c:pt>
                <c:pt idx="82">
                  <c:v>3.0388390436557939</c:v>
                </c:pt>
                <c:pt idx="83">
                  <c:v>0.67814898834517567</c:v>
                </c:pt>
                <c:pt idx="84">
                  <c:v>0.86587876533633179</c:v>
                </c:pt>
                <c:pt idx="85">
                  <c:v>3.2698410711804904</c:v>
                </c:pt>
                <c:pt idx="86">
                  <c:v>5.3505503195138289</c:v>
                </c:pt>
                <c:pt idx="87">
                  <c:v>3.0131273973486254</c:v>
                </c:pt>
                <c:pt idx="88">
                  <c:v>3.2326595018840218</c:v>
                </c:pt>
                <c:pt idx="89">
                  <c:v>18.624251027242021</c:v>
                </c:pt>
                <c:pt idx="90">
                  <c:v>15.398450862565918</c:v>
                </c:pt>
                <c:pt idx="91">
                  <c:v>12.540443016420788</c:v>
                </c:pt>
                <c:pt idx="92">
                  <c:v>10.879325093519235</c:v>
                </c:pt>
                <c:pt idx="93">
                  <c:v>12.673084928018072</c:v>
                </c:pt>
                <c:pt idx="94">
                  <c:v>14.382887333407117</c:v>
                </c:pt>
                <c:pt idx="95">
                  <c:v>13.496308511492222</c:v>
                </c:pt>
                <c:pt idx="96">
                  <c:v>13.725780110675892</c:v>
                </c:pt>
                <c:pt idx="97">
                  <c:v>13.218648103589281</c:v>
                </c:pt>
                <c:pt idx="98">
                  <c:v>13.267040148446423</c:v>
                </c:pt>
                <c:pt idx="99">
                  <c:v>14.619560801751511</c:v>
                </c:pt>
                <c:pt idx="100">
                  <c:v>13.747839731490643</c:v>
                </c:pt>
                <c:pt idx="101">
                  <c:v>14.207020132379526</c:v>
                </c:pt>
                <c:pt idx="102">
                  <c:v>13.62975464108921</c:v>
                </c:pt>
                <c:pt idx="103">
                  <c:v>14.038638890327306</c:v>
                </c:pt>
                <c:pt idx="104">
                  <c:v>13.633573436041592</c:v>
                </c:pt>
                <c:pt idx="105">
                  <c:v>14.06210103681679</c:v>
                </c:pt>
                <c:pt idx="106">
                  <c:v>13.579688273483466</c:v>
                </c:pt>
                <c:pt idx="107">
                  <c:v>11.166230314181135</c:v>
                </c:pt>
                <c:pt idx="108">
                  <c:v>10.03439563122374</c:v>
                </c:pt>
                <c:pt idx="109">
                  <c:v>10.616824619308034</c:v>
                </c:pt>
                <c:pt idx="110">
                  <c:v>11.757846680548347</c:v>
                </c:pt>
                <c:pt idx="111">
                  <c:v>11.730682961702207</c:v>
                </c:pt>
                <c:pt idx="112">
                  <c:v>13.816251303330111</c:v>
                </c:pt>
                <c:pt idx="113">
                  <c:v>10.816243581892822</c:v>
                </c:pt>
                <c:pt idx="114">
                  <c:v>9.9343580592005143</c:v>
                </c:pt>
                <c:pt idx="115">
                  <c:v>9.2181393440723074</c:v>
                </c:pt>
                <c:pt idx="116">
                  <c:v>8.6767599551834191</c:v>
                </c:pt>
                <c:pt idx="117">
                  <c:v>8.7504604594552653</c:v>
                </c:pt>
                <c:pt idx="118">
                  <c:v>9.4541255487005529</c:v>
                </c:pt>
                <c:pt idx="119">
                  <c:v>8.0232992858247361</c:v>
                </c:pt>
                <c:pt idx="120">
                  <c:v>7.2610626350555094</c:v>
                </c:pt>
                <c:pt idx="121">
                  <c:v>7.698500841618011</c:v>
                </c:pt>
                <c:pt idx="122">
                  <c:v>8.5608848866813023</c:v>
                </c:pt>
                <c:pt idx="123">
                  <c:v>9.5761507294745947</c:v>
                </c:pt>
                <c:pt idx="124">
                  <c:v>8.8648061033876431</c:v>
                </c:pt>
                <c:pt idx="125">
                  <c:v>9.0109748019281799</c:v>
                </c:pt>
                <c:pt idx="126">
                  <c:v>9.3807654002087233</c:v>
                </c:pt>
                <c:pt idx="127">
                  <c:v>8.4864049577990883</c:v>
                </c:pt>
                <c:pt idx="128">
                  <c:v>6.2373942950083903</c:v>
                </c:pt>
                <c:pt idx="129">
                  <c:v>7.125876285492649</c:v>
                </c:pt>
                <c:pt idx="130">
                  <c:v>7.7748728741361823</c:v>
                </c:pt>
                <c:pt idx="131">
                  <c:v>8.0761711880492264</c:v>
                </c:pt>
                <c:pt idx="132">
                  <c:v>8.0091716988184594</c:v>
                </c:pt>
                <c:pt idx="133">
                  <c:v>8.8600781331852705</c:v>
                </c:pt>
                <c:pt idx="134">
                  <c:v>9.4992380161677321</c:v>
                </c:pt>
                <c:pt idx="135">
                  <c:v>8.5473533105497541</c:v>
                </c:pt>
                <c:pt idx="136">
                  <c:v>8.0601760443858179</c:v>
                </c:pt>
                <c:pt idx="137">
                  <c:v>7.8433028904333337</c:v>
                </c:pt>
                <c:pt idx="138">
                  <c:v>7.2613622521574737</c:v>
                </c:pt>
                <c:pt idx="139">
                  <c:v>7.1940284680065298</c:v>
                </c:pt>
                <c:pt idx="140">
                  <c:v>8.6663062489901375</c:v>
                </c:pt>
                <c:pt idx="141">
                  <c:v>8.025682939234045</c:v>
                </c:pt>
                <c:pt idx="142">
                  <c:v>6.6133771447895953</c:v>
                </c:pt>
                <c:pt idx="143">
                  <c:v>8.1154910682666692</c:v>
                </c:pt>
                <c:pt idx="144">
                  <c:v>5.0571475970323609</c:v>
                </c:pt>
                <c:pt idx="145">
                  <c:v>4.155592672746641</c:v>
                </c:pt>
                <c:pt idx="146">
                  <c:v>4.5187083228389477</c:v>
                </c:pt>
                <c:pt idx="147">
                  <c:v>3.6522996706089792</c:v>
                </c:pt>
                <c:pt idx="148">
                  <c:v>3.7901316225629986</c:v>
                </c:pt>
                <c:pt idx="149">
                  <c:v>2.1083126616741081</c:v>
                </c:pt>
                <c:pt idx="150">
                  <c:v>2.4615161135297754</c:v>
                </c:pt>
                <c:pt idx="151">
                  <c:v>5.4268581979931874</c:v>
                </c:pt>
                <c:pt idx="152">
                  <c:v>4.8631342104769404</c:v>
                </c:pt>
                <c:pt idx="153">
                  <c:v>5.6362686652382248</c:v>
                </c:pt>
                <c:pt idx="154">
                  <c:v>3.6408220853894155</c:v>
                </c:pt>
                <c:pt idx="155">
                  <c:v>5.8314288472554443</c:v>
                </c:pt>
                <c:pt idx="156">
                  <c:v>3.4813475467189234</c:v>
                </c:pt>
                <c:pt idx="157">
                  <c:v>5.4849303330801904</c:v>
                </c:pt>
                <c:pt idx="158">
                  <c:v>2.9446626833485894</c:v>
                </c:pt>
                <c:pt idx="159">
                  <c:v>3.5393303015514976</c:v>
                </c:pt>
                <c:pt idx="160">
                  <c:v>2.4611397588460675</c:v>
                </c:pt>
                <c:pt idx="161">
                  <c:v>1.2792364536139234</c:v>
                </c:pt>
                <c:pt idx="162">
                  <c:v>-0.50041360012465896</c:v>
                </c:pt>
                <c:pt idx="163">
                  <c:v>-0.8033495677936966</c:v>
                </c:pt>
                <c:pt idx="164">
                  <c:v>1.6570874901337818</c:v>
                </c:pt>
                <c:pt idx="165">
                  <c:v>3.3134042899357494</c:v>
                </c:pt>
                <c:pt idx="166">
                  <c:v>2.1219273204263454</c:v>
                </c:pt>
                <c:pt idx="167">
                  <c:v>2.1611257024608594</c:v>
                </c:pt>
                <c:pt idx="168">
                  <c:v>6.6137932061742552E-2</c:v>
                </c:pt>
                <c:pt idx="169">
                  <c:v>-6.2788045799874341</c:v>
                </c:pt>
                <c:pt idx="170">
                  <c:v>-4.3474149846893866</c:v>
                </c:pt>
                <c:pt idx="171">
                  <c:v>-3.6006314051328361</c:v>
                </c:pt>
                <c:pt idx="172">
                  <c:v>-6.4022367441749859</c:v>
                </c:pt>
                <c:pt idx="173">
                  <c:v>-5.2053141202376931</c:v>
                </c:pt>
                <c:pt idx="174">
                  <c:v>-6.1732981088480257</c:v>
                </c:pt>
                <c:pt idx="175">
                  <c:v>-8.3484604971121943</c:v>
                </c:pt>
                <c:pt idx="176">
                  <c:v>-9.4405454928239401</c:v>
                </c:pt>
                <c:pt idx="177">
                  <c:v>-10.353240602736847</c:v>
                </c:pt>
                <c:pt idx="178">
                  <c:v>-9.8568124229733769</c:v>
                </c:pt>
                <c:pt idx="179">
                  <c:v>-9.9121001033378491</c:v>
                </c:pt>
                <c:pt idx="180">
                  <c:v>-8.5765115922783064</c:v>
                </c:pt>
                <c:pt idx="181">
                  <c:v>-9.1143342772692542</c:v>
                </c:pt>
                <c:pt idx="182">
                  <c:v>-11.105316155903679</c:v>
                </c:pt>
                <c:pt idx="183">
                  <c:v>-12.262930787344002</c:v>
                </c:pt>
                <c:pt idx="184">
                  <c:v>-12.427673684491914</c:v>
                </c:pt>
                <c:pt idx="185">
                  <c:v>-13.416040184897616</c:v>
                </c:pt>
                <c:pt idx="186">
                  <c:v>-11.158960992063562</c:v>
                </c:pt>
                <c:pt idx="187">
                  <c:v>-12.253261164660252</c:v>
                </c:pt>
                <c:pt idx="188">
                  <c:v>-12.111704151732253</c:v>
                </c:pt>
                <c:pt idx="189">
                  <c:v>-13.436807857135305</c:v>
                </c:pt>
                <c:pt idx="190">
                  <c:v>-13.964751458200206</c:v>
                </c:pt>
                <c:pt idx="191">
                  <c:v>-15.752201757776906</c:v>
                </c:pt>
                <c:pt idx="192">
                  <c:v>-14.591235924621618</c:v>
                </c:pt>
                <c:pt idx="193">
                  <c:v>-13.915694729249129</c:v>
                </c:pt>
                <c:pt idx="194">
                  <c:v>-13.411667429297557</c:v>
                </c:pt>
                <c:pt idx="195">
                  <c:v>-14.473467092382284</c:v>
                </c:pt>
                <c:pt idx="196">
                  <c:v>-11.391923498498786</c:v>
                </c:pt>
                <c:pt idx="197">
                  <c:v>-10.253866616219989</c:v>
                </c:pt>
                <c:pt idx="198">
                  <c:v>-11.574383489643429</c:v>
                </c:pt>
                <c:pt idx="199">
                  <c:v>-10.74415024025981</c:v>
                </c:pt>
                <c:pt idx="200">
                  <c:v>-10.301322232431156</c:v>
                </c:pt>
                <c:pt idx="201">
                  <c:v>-10.173138487498422</c:v>
                </c:pt>
                <c:pt idx="202">
                  <c:v>-9.8599034363975075</c:v>
                </c:pt>
                <c:pt idx="203">
                  <c:v>-12.342513057492951</c:v>
                </c:pt>
                <c:pt idx="204">
                  <c:v>-7.9271327518309915</c:v>
                </c:pt>
                <c:pt idx="205">
                  <c:v>-8.1748093733839422</c:v>
                </c:pt>
                <c:pt idx="206">
                  <c:v>-8.2617327088667185</c:v>
                </c:pt>
                <c:pt idx="207">
                  <c:v>-7.7296974690191771</c:v>
                </c:pt>
                <c:pt idx="208">
                  <c:v>-8.0111913419863647</c:v>
                </c:pt>
                <c:pt idx="209">
                  <c:v>-8.5326854404903614</c:v>
                </c:pt>
                <c:pt idx="210">
                  <c:v>-8.8650193178553458</c:v>
                </c:pt>
                <c:pt idx="211">
                  <c:v>-8.0377083055587626</c:v>
                </c:pt>
                <c:pt idx="212">
                  <c:v>-10.018671834844092</c:v>
                </c:pt>
                <c:pt idx="213">
                  <c:v>-10.596904331665149</c:v>
                </c:pt>
                <c:pt idx="214">
                  <c:v>-11.333596189012919</c:v>
                </c:pt>
                <c:pt idx="215">
                  <c:v>-13.429947698339735</c:v>
                </c:pt>
                <c:pt idx="216">
                  <c:v>-14.005182674483693</c:v>
                </c:pt>
                <c:pt idx="217">
                  <c:v>-10.153804988830588</c:v>
                </c:pt>
                <c:pt idx="218">
                  <c:v>-11.828998726434246</c:v>
                </c:pt>
                <c:pt idx="219">
                  <c:v>-13.349248912912158</c:v>
                </c:pt>
                <c:pt idx="220">
                  <c:v>-15.35108767940209</c:v>
                </c:pt>
                <c:pt idx="221">
                  <c:v>-9.6731717965275141</c:v>
                </c:pt>
                <c:pt idx="222">
                  <c:v>-9.5987587818916058</c:v>
                </c:pt>
                <c:pt idx="223">
                  <c:v>-7.6392304625686975</c:v>
                </c:pt>
                <c:pt idx="224">
                  <c:v>-5.4166549098371153</c:v>
                </c:pt>
                <c:pt idx="225">
                  <c:v>-2.8062649690458197</c:v>
                </c:pt>
                <c:pt idx="226">
                  <c:v>-2.3378549968841851</c:v>
                </c:pt>
                <c:pt idx="227">
                  <c:v>-7.9999150385710616</c:v>
                </c:pt>
                <c:pt idx="228">
                  <c:v>-6.744441261096803</c:v>
                </c:pt>
                <c:pt idx="229">
                  <c:v>-9.8038747919919373</c:v>
                </c:pt>
                <c:pt idx="230">
                  <c:v>-0.55431377628254053</c:v>
                </c:pt>
                <c:pt idx="231">
                  <c:v>6.0851427792084936</c:v>
                </c:pt>
                <c:pt idx="232">
                  <c:v>0.77534815390590728</c:v>
                </c:pt>
                <c:pt idx="233">
                  <c:v>-1.1879824221146043</c:v>
                </c:pt>
                <c:pt idx="234">
                  <c:v>-2.2522366390435233</c:v>
                </c:pt>
                <c:pt idx="235">
                  <c:v>-1.021986764765108</c:v>
                </c:pt>
                <c:pt idx="236">
                  <c:v>-1.4564892615098781</c:v>
                </c:pt>
                <c:pt idx="237">
                  <c:v>-0.66284160334980036</c:v>
                </c:pt>
                <c:pt idx="238">
                  <c:v>0.33016520774064451</c:v>
                </c:pt>
                <c:pt idx="239">
                  <c:v>-0.61444218616019564</c:v>
                </c:pt>
                <c:pt idx="240">
                  <c:v>-1.4509511468447847</c:v>
                </c:pt>
                <c:pt idx="241">
                  <c:v>-0.48479451886026081</c:v>
                </c:pt>
                <c:pt idx="242">
                  <c:v>-2.6021465696813015</c:v>
                </c:pt>
                <c:pt idx="243">
                  <c:v>-3.0909440109729363</c:v>
                </c:pt>
                <c:pt idx="244">
                  <c:v>-2.3910687361166665</c:v>
                </c:pt>
                <c:pt idx="245">
                  <c:v>-7.6187038088396788E-2</c:v>
                </c:pt>
                <c:pt idx="246">
                  <c:v>2.473629331677095</c:v>
                </c:pt>
                <c:pt idx="247">
                  <c:v>-3.7327263243760811</c:v>
                </c:pt>
                <c:pt idx="248">
                  <c:v>-4.8357000968050441</c:v>
                </c:pt>
                <c:pt idx="249">
                  <c:v>-10.624031327039788</c:v>
                </c:pt>
                <c:pt idx="250">
                  <c:v>-10.681251526883537</c:v>
                </c:pt>
                <c:pt idx="251">
                  <c:v>-9.0161862721268822</c:v>
                </c:pt>
                <c:pt idx="252">
                  <c:v>-8.27862584462342</c:v>
                </c:pt>
                <c:pt idx="253">
                  <c:v>-10.130089180467488</c:v>
                </c:pt>
                <c:pt idx="254">
                  <c:v>-7.2342071959448297</c:v>
                </c:pt>
                <c:pt idx="255">
                  <c:v>-6.0997625098307253</c:v>
                </c:pt>
                <c:pt idx="256">
                  <c:v>-5.7548072704877145</c:v>
                </c:pt>
                <c:pt idx="257">
                  <c:v>-3.5075617624910009</c:v>
                </c:pt>
                <c:pt idx="258">
                  <c:v>5.2179961232892316</c:v>
                </c:pt>
                <c:pt idx="259">
                  <c:v>4.5612731944813696</c:v>
                </c:pt>
                <c:pt idx="260">
                  <c:v>2.382984749955487</c:v>
                </c:pt>
                <c:pt idx="261">
                  <c:v>4.9734959622808352</c:v>
                </c:pt>
                <c:pt idx="262">
                  <c:v>2.305375552737448</c:v>
                </c:pt>
                <c:pt idx="263">
                  <c:v>3.5452812534954097</c:v>
                </c:pt>
                <c:pt idx="264">
                  <c:v>2.2847745723412172</c:v>
                </c:pt>
                <c:pt idx="265">
                  <c:v>3.8618174553202129</c:v>
                </c:pt>
                <c:pt idx="266">
                  <c:v>5.0818584626524315</c:v>
                </c:pt>
                <c:pt idx="267">
                  <c:v>6.9004236110074926</c:v>
                </c:pt>
                <c:pt idx="268">
                  <c:v>3.1849739237836059</c:v>
                </c:pt>
                <c:pt idx="269">
                  <c:v>8.4531672629543912</c:v>
                </c:pt>
                <c:pt idx="270">
                  <c:v>10.686767624044334</c:v>
                </c:pt>
                <c:pt idx="271">
                  <c:v>10.867427505798329</c:v>
                </c:pt>
                <c:pt idx="272">
                  <c:v>11.389252381487946</c:v>
                </c:pt>
                <c:pt idx="273">
                  <c:v>7.6660739654687342</c:v>
                </c:pt>
                <c:pt idx="274">
                  <c:v>8.0706533827493629</c:v>
                </c:pt>
                <c:pt idx="275">
                  <c:v>4.98035475379492</c:v>
                </c:pt>
                <c:pt idx="276">
                  <c:v>0.16774110893130659</c:v>
                </c:pt>
                <c:pt idx="277">
                  <c:v>-4.2869203012809924</c:v>
                </c:pt>
                <c:pt idx="278">
                  <c:v>-4.1606114948128541</c:v>
                </c:pt>
                <c:pt idx="279">
                  <c:v>1.7805426889025529</c:v>
                </c:pt>
                <c:pt idx="280">
                  <c:v>-4.4936213237719969</c:v>
                </c:pt>
                <c:pt idx="281">
                  <c:v>0.57335319360842107</c:v>
                </c:pt>
                <c:pt idx="282">
                  <c:v>7.089668133255083</c:v>
                </c:pt>
                <c:pt idx="283">
                  <c:v>3.6846822630476286</c:v>
                </c:pt>
                <c:pt idx="284">
                  <c:v>7.8140234734221972</c:v>
                </c:pt>
                <c:pt idx="285">
                  <c:v>7.7946322425420478</c:v>
                </c:pt>
                <c:pt idx="286">
                  <c:v>19.959251772737797</c:v>
                </c:pt>
                <c:pt idx="287">
                  <c:v>0.16791658409681404</c:v>
                </c:pt>
                <c:pt idx="288">
                  <c:v>0.8185242852313227</c:v>
                </c:pt>
                <c:pt idx="289">
                  <c:v>0.54377708027132154</c:v>
                </c:pt>
                <c:pt idx="290">
                  <c:v>5.8689719460886396</c:v>
                </c:pt>
                <c:pt idx="291">
                  <c:v>-2.8926182947852577</c:v>
                </c:pt>
                <c:pt idx="292">
                  <c:v>-3.7932026757777555</c:v>
                </c:pt>
                <c:pt idx="293">
                  <c:v>-3.485404266273092</c:v>
                </c:pt>
                <c:pt idx="294">
                  <c:v>-2.088077019670036</c:v>
                </c:pt>
                <c:pt idx="295">
                  <c:v>-3.232423646499051</c:v>
                </c:pt>
                <c:pt idx="296">
                  <c:v>-7.1997693210372438</c:v>
                </c:pt>
                <c:pt idx="297">
                  <c:v>-7.1190250062040183</c:v>
                </c:pt>
                <c:pt idx="298">
                  <c:v>-3.3848550860905444</c:v>
                </c:pt>
                <c:pt idx="299">
                  <c:v>-1.7882919362889635</c:v>
                </c:pt>
                <c:pt idx="300">
                  <c:v>-0.89956192190562367</c:v>
                </c:pt>
                <c:pt idx="301">
                  <c:v>1.1497443978323791</c:v>
                </c:pt>
                <c:pt idx="302">
                  <c:v>2.0900729619879312</c:v>
                </c:pt>
                <c:pt idx="303">
                  <c:v>1.6132281026522959</c:v>
                </c:pt>
                <c:pt idx="304">
                  <c:v>3.0145228888920514</c:v>
                </c:pt>
                <c:pt idx="305">
                  <c:v>3.1786504505419417</c:v>
                </c:pt>
                <c:pt idx="306">
                  <c:v>1.7998679113772049</c:v>
                </c:pt>
                <c:pt idx="307">
                  <c:v>1.0231254230587208</c:v>
                </c:pt>
                <c:pt idx="308">
                  <c:v>-1.1154547741360139</c:v>
                </c:pt>
                <c:pt idx="309">
                  <c:v>-2.0222493044534957</c:v>
                </c:pt>
                <c:pt idx="310">
                  <c:v>1.2340923354283679</c:v>
                </c:pt>
                <c:pt idx="311">
                  <c:v>0.83489417514580377</c:v>
                </c:pt>
                <c:pt idx="312">
                  <c:v>3.7967100216085874</c:v>
                </c:pt>
                <c:pt idx="313">
                  <c:v>5.9494195242472774</c:v>
                </c:pt>
                <c:pt idx="314">
                  <c:v>11.297867336919804</c:v>
                </c:pt>
                <c:pt idx="315">
                  <c:v>21.025504726048389</c:v>
                </c:pt>
                <c:pt idx="316">
                  <c:v>16.389957581829272</c:v>
                </c:pt>
                <c:pt idx="317">
                  <c:v>8.307922938848078</c:v>
                </c:pt>
                <c:pt idx="318">
                  <c:v>13.393780786816011</c:v>
                </c:pt>
                <c:pt idx="319">
                  <c:v>20.915303341387443</c:v>
                </c:pt>
                <c:pt idx="320">
                  <c:v>23.278080143315911</c:v>
                </c:pt>
                <c:pt idx="321">
                  <c:v>53.16766820332294</c:v>
                </c:pt>
                <c:pt idx="322">
                  <c:v>39.01683322078263</c:v>
                </c:pt>
                <c:pt idx="323">
                  <c:v>32.040797491127684</c:v>
                </c:pt>
                <c:pt idx="324">
                  <c:v>40.222411304890343</c:v>
                </c:pt>
                <c:pt idx="325">
                  <c:v>41.364705165770168</c:v>
                </c:pt>
                <c:pt idx="326">
                  <c:v>9.9364364158520129</c:v>
                </c:pt>
                <c:pt idx="327">
                  <c:v>9.2234668176460382</c:v>
                </c:pt>
                <c:pt idx="328">
                  <c:v>3.1590418763405088</c:v>
                </c:pt>
                <c:pt idx="329">
                  <c:v>25.239947455143707</c:v>
                </c:pt>
                <c:pt idx="330">
                  <c:v>25.443583529086222</c:v>
                </c:pt>
                <c:pt idx="331">
                  <c:v>12.459625036175408</c:v>
                </c:pt>
                <c:pt idx="332">
                  <c:v>5.0344345718457433</c:v>
                </c:pt>
                <c:pt idx="333">
                  <c:v>-0.25893101678242519</c:v>
                </c:pt>
                <c:pt idx="334">
                  <c:v>-0.97477962589108047</c:v>
                </c:pt>
                <c:pt idx="335">
                  <c:v>2.5482741936562716</c:v>
                </c:pt>
                <c:pt idx="336">
                  <c:v>2.5616508643548133</c:v>
                </c:pt>
                <c:pt idx="337">
                  <c:v>16.110708859367765</c:v>
                </c:pt>
                <c:pt idx="338">
                  <c:v>10.743423128255005</c:v>
                </c:pt>
                <c:pt idx="339">
                  <c:v>9.3502299158552908</c:v>
                </c:pt>
                <c:pt idx="340">
                  <c:v>9.1441435419630732</c:v>
                </c:pt>
                <c:pt idx="341">
                  <c:v>8.7441048593592985</c:v>
                </c:pt>
                <c:pt idx="342">
                  <c:v>11.202629735655748</c:v>
                </c:pt>
                <c:pt idx="343">
                  <c:v>14.610332511049242</c:v>
                </c:pt>
                <c:pt idx="344">
                  <c:v>9.1466446736820242</c:v>
                </c:pt>
                <c:pt idx="345">
                  <c:v>8.6607879538600887</c:v>
                </c:pt>
                <c:pt idx="346">
                  <c:v>9.3875520178600915</c:v>
                </c:pt>
                <c:pt idx="347">
                  <c:v>6.5111689793324228</c:v>
                </c:pt>
                <c:pt idx="348">
                  <c:v>9.0409760566491304</c:v>
                </c:pt>
                <c:pt idx="349">
                  <c:v>4.500129142823754</c:v>
                </c:pt>
                <c:pt idx="350">
                  <c:v>-3.1353104049874174</c:v>
                </c:pt>
                <c:pt idx="351">
                  <c:v>-3.4292897938384543</c:v>
                </c:pt>
                <c:pt idx="352">
                  <c:v>-10.111898352425838</c:v>
                </c:pt>
                <c:pt idx="353">
                  <c:v>-12.837714592610871</c:v>
                </c:pt>
                <c:pt idx="354">
                  <c:v>-17.139040532650235</c:v>
                </c:pt>
                <c:pt idx="355">
                  <c:v>-17.595835987426238</c:v>
                </c:pt>
                <c:pt idx="356">
                  <c:v>-16.883732166947475</c:v>
                </c:pt>
                <c:pt idx="357">
                  <c:v>-20.583620266634522</c:v>
                </c:pt>
                <c:pt idx="358">
                  <c:v>-20.740928334527027</c:v>
                </c:pt>
                <c:pt idx="359">
                  <c:v>-21.866837990747499</c:v>
                </c:pt>
                <c:pt idx="360">
                  <c:v>-21.620776443386294</c:v>
                </c:pt>
                <c:pt idx="361">
                  <c:v>-22.732940549188939</c:v>
                </c:pt>
                <c:pt idx="362">
                  <c:v>-23.852992315404418</c:v>
                </c:pt>
                <c:pt idx="363">
                  <c:v>-23.737447949460439</c:v>
                </c:pt>
                <c:pt idx="364">
                  <c:v>-22.332512071117584</c:v>
                </c:pt>
                <c:pt idx="365">
                  <c:v>-23.850391284277563</c:v>
                </c:pt>
                <c:pt idx="366">
                  <c:v>-21.870194688564474</c:v>
                </c:pt>
                <c:pt idx="367">
                  <c:v>-25.125612498564479</c:v>
                </c:pt>
                <c:pt idx="368">
                  <c:v>-22.786499879891338</c:v>
                </c:pt>
                <c:pt idx="369">
                  <c:v>-23.026450175706469</c:v>
                </c:pt>
                <c:pt idx="370">
                  <c:v>-22.656430602125873</c:v>
                </c:pt>
                <c:pt idx="371">
                  <c:v>-24.632052592702678</c:v>
                </c:pt>
                <c:pt idx="372">
                  <c:v>-21.223168235658736</c:v>
                </c:pt>
                <c:pt idx="373">
                  <c:v>-21.954015377492848</c:v>
                </c:pt>
                <c:pt idx="374">
                  <c:v>-25.511626474192269</c:v>
                </c:pt>
                <c:pt idx="375">
                  <c:v>-27.155672529289973</c:v>
                </c:pt>
                <c:pt idx="376">
                  <c:v>-27.923994369500264</c:v>
                </c:pt>
                <c:pt idx="377">
                  <c:v>-28.132169546970498</c:v>
                </c:pt>
                <c:pt idx="378">
                  <c:v>-28.402363077518931</c:v>
                </c:pt>
                <c:pt idx="379">
                  <c:v>-26.327219012194107</c:v>
                </c:pt>
                <c:pt idx="380">
                  <c:v>-28.316550459309489</c:v>
                </c:pt>
                <c:pt idx="381">
                  <c:v>-28.04435561803885</c:v>
                </c:pt>
                <c:pt idx="382">
                  <c:v>-28.549344041440968</c:v>
                </c:pt>
                <c:pt idx="383">
                  <c:v>-28.065492967664355</c:v>
                </c:pt>
                <c:pt idx="384">
                  <c:v>-28.781777897551354</c:v>
                </c:pt>
                <c:pt idx="385">
                  <c:v>-29.898820599117485</c:v>
                </c:pt>
                <c:pt idx="386">
                  <c:v>-28.984098947273228</c:v>
                </c:pt>
                <c:pt idx="387">
                  <c:v>-28.847168684363076</c:v>
                </c:pt>
                <c:pt idx="388">
                  <c:v>-29.44827015242458</c:v>
                </c:pt>
                <c:pt idx="389">
                  <c:v>-29.314094583574121</c:v>
                </c:pt>
                <c:pt idx="390">
                  <c:v>-28.497831865655378</c:v>
                </c:pt>
                <c:pt idx="391">
                  <c:v>-26.07823251125955</c:v>
                </c:pt>
                <c:pt idx="392">
                  <c:v>-25.666946213359783</c:v>
                </c:pt>
                <c:pt idx="393">
                  <c:v>-26.89147291566826</c:v>
                </c:pt>
                <c:pt idx="394">
                  <c:v>-17.085792028160448</c:v>
                </c:pt>
                <c:pt idx="395">
                  <c:v>-13.619361281357646</c:v>
                </c:pt>
                <c:pt idx="396">
                  <c:v>-20.369957526147381</c:v>
                </c:pt>
                <c:pt idx="397">
                  <c:v>-29.202586736147378</c:v>
                </c:pt>
                <c:pt idx="398">
                  <c:v>-31.755495837963007</c:v>
                </c:pt>
                <c:pt idx="399">
                  <c:v>-32.478527344938165</c:v>
                </c:pt>
                <c:pt idx="400">
                  <c:v>-32.959622174820517</c:v>
                </c:pt>
                <c:pt idx="401">
                  <c:v>-27.739655635255296</c:v>
                </c:pt>
                <c:pt idx="402">
                  <c:v>-26.085812130139015</c:v>
                </c:pt>
                <c:pt idx="403">
                  <c:v>-19.33932710792071</c:v>
                </c:pt>
                <c:pt idx="404">
                  <c:v>-18.173657531144755</c:v>
                </c:pt>
                <c:pt idx="405">
                  <c:v>-18.665153630327058</c:v>
                </c:pt>
                <c:pt idx="406">
                  <c:v>-19.484818786907368</c:v>
                </c:pt>
                <c:pt idx="407">
                  <c:v>-19.477188624956153</c:v>
                </c:pt>
                <c:pt idx="408">
                  <c:v>-19.150470481759122</c:v>
                </c:pt>
                <c:pt idx="409">
                  <c:v>-19.739390540990573</c:v>
                </c:pt>
                <c:pt idx="410">
                  <c:v>-21.077697610009047</c:v>
                </c:pt>
                <c:pt idx="411">
                  <c:v>-21.165000086809048</c:v>
                </c:pt>
                <c:pt idx="412">
                  <c:v>-21.027990345000536</c:v>
                </c:pt>
                <c:pt idx="413">
                  <c:v>-21.327811532916598</c:v>
                </c:pt>
                <c:pt idx="414">
                  <c:v>-21.398351414916601</c:v>
                </c:pt>
                <c:pt idx="415">
                  <c:v>-21.862694645544739</c:v>
                </c:pt>
                <c:pt idx="416">
                  <c:v>-21.567241865426396</c:v>
                </c:pt>
                <c:pt idx="417">
                  <c:v>-21.416042155365325</c:v>
                </c:pt>
                <c:pt idx="418">
                  <c:v>-21.553745886965327</c:v>
                </c:pt>
                <c:pt idx="419">
                  <c:v>-21.891496886965328</c:v>
                </c:pt>
                <c:pt idx="420">
                  <c:v>-21.161527456241348</c:v>
                </c:pt>
                <c:pt idx="421">
                  <c:v>-21.51303216558377</c:v>
                </c:pt>
                <c:pt idx="422">
                  <c:v>-22.029934751126167</c:v>
                </c:pt>
                <c:pt idx="423">
                  <c:v>-21.75979076585412</c:v>
                </c:pt>
                <c:pt idx="424">
                  <c:v>-22.30259049248269</c:v>
                </c:pt>
                <c:pt idx="425">
                  <c:v>-22.318290289333518</c:v>
                </c:pt>
                <c:pt idx="426">
                  <c:v>-22.469548708783059</c:v>
                </c:pt>
                <c:pt idx="427">
                  <c:v>-22.285360416775553</c:v>
                </c:pt>
                <c:pt idx="428">
                  <c:v>-21.885295222812911</c:v>
                </c:pt>
                <c:pt idx="429">
                  <c:v>-21.978158324002731</c:v>
                </c:pt>
                <c:pt idx="430">
                  <c:v>-22.138039507085441</c:v>
                </c:pt>
                <c:pt idx="431">
                  <c:v>-22.693910270123414</c:v>
                </c:pt>
                <c:pt idx="432">
                  <c:v>-22.671432527295547</c:v>
                </c:pt>
                <c:pt idx="433">
                  <c:v>-23.366521307569034</c:v>
                </c:pt>
                <c:pt idx="434">
                  <c:v>-23.560544706620128</c:v>
                </c:pt>
                <c:pt idx="435">
                  <c:v>-23.579894064659342</c:v>
                </c:pt>
                <c:pt idx="436">
                  <c:v>-23.393981608290225</c:v>
                </c:pt>
                <c:pt idx="437">
                  <c:v>-23.457120008936776</c:v>
                </c:pt>
                <c:pt idx="438">
                  <c:v>-23.726239112970866</c:v>
                </c:pt>
                <c:pt idx="439">
                  <c:v>-23.67710886258126</c:v>
                </c:pt>
                <c:pt idx="440">
                  <c:v>-23.71167027952291</c:v>
                </c:pt>
                <c:pt idx="441">
                  <c:v>-23.652229009204369</c:v>
                </c:pt>
                <c:pt idx="442">
                  <c:v>-23.649078181825402</c:v>
                </c:pt>
                <c:pt idx="443">
                  <c:v>-23.420123548907757</c:v>
                </c:pt>
                <c:pt idx="444">
                  <c:v>-23.430070487733666</c:v>
                </c:pt>
                <c:pt idx="445">
                  <c:v>-23.778213717563283</c:v>
                </c:pt>
                <c:pt idx="446">
                  <c:v>-24.013415325759428</c:v>
                </c:pt>
                <c:pt idx="447">
                  <c:v>-23.663296063196192</c:v>
                </c:pt>
                <c:pt idx="448">
                  <c:v>-23.893523533822346</c:v>
                </c:pt>
                <c:pt idx="449">
                  <c:v>-24.112989956795321</c:v>
                </c:pt>
                <c:pt idx="450">
                  <c:v>-24.260943106169172</c:v>
                </c:pt>
                <c:pt idx="451">
                  <c:v>-24.334853358169173</c:v>
                </c:pt>
                <c:pt idx="452">
                  <c:v>-24.201370073521794</c:v>
                </c:pt>
                <c:pt idx="453">
                  <c:v>-24.232299733344803</c:v>
                </c:pt>
                <c:pt idx="454">
                  <c:v>-24.197640587617801</c:v>
                </c:pt>
                <c:pt idx="455">
                  <c:v>-24.589065780581574</c:v>
                </c:pt>
                <c:pt idx="456">
                  <c:v>-24.471400419153003</c:v>
                </c:pt>
                <c:pt idx="457">
                  <c:v>-24.429380314870652</c:v>
                </c:pt>
                <c:pt idx="458">
                  <c:v>-24.270740565805234</c:v>
                </c:pt>
                <c:pt idx="459">
                  <c:v>-24.105735892902011</c:v>
                </c:pt>
                <c:pt idx="460">
                  <c:v>-23.866246804023294</c:v>
                </c:pt>
                <c:pt idx="461">
                  <c:v>-23.856375208309011</c:v>
                </c:pt>
                <c:pt idx="462">
                  <c:v>-23.849342240998087</c:v>
                </c:pt>
                <c:pt idx="463">
                  <c:v>-23.995106721562749</c:v>
                </c:pt>
                <c:pt idx="464">
                  <c:v>-23.833545467257668</c:v>
                </c:pt>
                <c:pt idx="465">
                  <c:v>-23.642624323257667</c:v>
                </c:pt>
                <c:pt idx="466">
                  <c:v>-23.617221739300447</c:v>
                </c:pt>
                <c:pt idx="467">
                  <c:v>-23.606317408219365</c:v>
                </c:pt>
                <c:pt idx="468">
                  <c:v>-23.639408420934597</c:v>
                </c:pt>
                <c:pt idx="469">
                  <c:v>-23.721608244033188</c:v>
                </c:pt>
                <c:pt idx="470">
                  <c:v>-23.662768670566852</c:v>
                </c:pt>
                <c:pt idx="471">
                  <c:v>-23.622944537233522</c:v>
                </c:pt>
                <c:pt idx="472">
                  <c:v>-23.240546525378935</c:v>
                </c:pt>
                <c:pt idx="473">
                  <c:v>-23.011976866787048</c:v>
                </c:pt>
                <c:pt idx="474">
                  <c:v>-22.893490063910335</c:v>
                </c:pt>
                <c:pt idx="475">
                  <c:v>-22.332437277347836</c:v>
                </c:pt>
                <c:pt idx="476">
                  <c:v>-22.683860190426621</c:v>
                </c:pt>
                <c:pt idx="477">
                  <c:v>-22.914505191490452</c:v>
                </c:pt>
                <c:pt idx="478">
                  <c:v>-22.981624702740451</c:v>
                </c:pt>
                <c:pt idx="479">
                  <c:v>-22.747028785375512</c:v>
                </c:pt>
                <c:pt idx="480">
                  <c:v>-22.4429085316787</c:v>
                </c:pt>
                <c:pt idx="481">
                  <c:v>-22.535177151146787</c:v>
                </c:pt>
                <c:pt idx="482">
                  <c:v>-22.452937357949029</c:v>
                </c:pt>
                <c:pt idx="483">
                  <c:v>-22.333079200557723</c:v>
                </c:pt>
                <c:pt idx="484">
                  <c:v>-22.062077413083053</c:v>
                </c:pt>
                <c:pt idx="485">
                  <c:v>-22.401500885001866</c:v>
                </c:pt>
                <c:pt idx="486">
                  <c:v>-22.479874627610563</c:v>
                </c:pt>
                <c:pt idx="487">
                  <c:v>-22.323167318231256</c:v>
                </c:pt>
                <c:pt idx="488">
                  <c:v>-22.186613404897919</c:v>
                </c:pt>
                <c:pt idx="489">
                  <c:v>-22.15659221716108</c:v>
                </c:pt>
                <c:pt idx="490">
                  <c:v>-22.106416907752337</c:v>
                </c:pt>
                <c:pt idx="491">
                  <c:v>-22.435429075334753</c:v>
                </c:pt>
                <c:pt idx="492">
                  <c:v>-21.936975427822563</c:v>
                </c:pt>
                <c:pt idx="493">
                  <c:v>-22.080534548138139</c:v>
                </c:pt>
                <c:pt idx="494">
                  <c:v>-22.077397746466463</c:v>
                </c:pt>
                <c:pt idx="495">
                  <c:v>-21.990171265263456</c:v>
                </c:pt>
                <c:pt idx="496">
                  <c:v>-22.221153127081639</c:v>
                </c:pt>
                <c:pt idx="497">
                  <c:v>-22.109256067220702</c:v>
                </c:pt>
                <c:pt idx="498">
                  <c:v>-22.421557121610945</c:v>
                </c:pt>
                <c:pt idx="499">
                  <c:v>-22.390325209925557</c:v>
                </c:pt>
                <c:pt idx="500">
                  <c:v>-22.146356937225256</c:v>
                </c:pt>
                <c:pt idx="501">
                  <c:v>-22.614551749787239</c:v>
                </c:pt>
                <c:pt idx="502">
                  <c:v>-22.309617978504015</c:v>
                </c:pt>
                <c:pt idx="503">
                  <c:v>-22.796801714208861</c:v>
                </c:pt>
                <c:pt idx="504">
                  <c:v>-22.695850581789685</c:v>
                </c:pt>
                <c:pt idx="505">
                  <c:v>-22.718468065886995</c:v>
                </c:pt>
                <c:pt idx="506">
                  <c:v>-23.447883972244789</c:v>
                </c:pt>
                <c:pt idx="507">
                  <c:v>-23.548569102125263</c:v>
                </c:pt>
                <c:pt idx="508">
                  <c:v>-23.764207360308252</c:v>
                </c:pt>
                <c:pt idx="509">
                  <c:v>-24.167739218131594</c:v>
                </c:pt>
                <c:pt idx="510">
                  <c:v>-23.784369624787345</c:v>
                </c:pt>
                <c:pt idx="511">
                  <c:v>-24.480411864152178</c:v>
                </c:pt>
                <c:pt idx="512">
                  <c:v>-23.569810256232525</c:v>
                </c:pt>
                <c:pt idx="513">
                  <c:v>-23.476943680711688</c:v>
                </c:pt>
                <c:pt idx="514">
                  <c:v>-23.322832219647449</c:v>
                </c:pt>
                <c:pt idx="515">
                  <c:v>-23.047030956419096</c:v>
                </c:pt>
                <c:pt idx="516">
                  <c:v>-23.388566722958331</c:v>
                </c:pt>
                <c:pt idx="517">
                  <c:v>-23.050353823307166</c:v>
                </c:pt>
                <c:pt idx="518">
                  <c:v>-23.803611622558268</c:v>
                </c:pt>
                <c:pt idx="519">
                  <c:v>-23.206285511148572</c:v>
                </c:pt>
                <c:pt idx="520">
                  <c:v>-23.137299662297085</c:v>
                </c:pt>
                <c:pt idx="521">
                  <c:v>-22.49755808775431</c:v>
                </c:pt>
                <c:pt idx="522">
                  <c:v>-22.843172168417816</c:v>
                </c:pt>
                <c:pt idx="523">
                  <c:v>-22.766128119268362</c:v>
                </c:pt>
                <c:pt idx="524">
                  <c:v>-23.260164744235205</c:v>
                </c:pt>
                <c:pt idx="525">
                  <c:v>-21.191580885198217</c:v>
                </c:pt>
                <c:pt idx="526">
                  <c:v>-21.897361035534132</c:v>
                </c:pt>
                <c:pt idx="527">
                  <c:v>-20.792532337777196</c:v>
                </c:pt>
                <c:pt idx="528">
                  <c:v>-18.21329806269117</c:v>
                </c:pt>
                <c:pt idx="529">
                  <c:v>-18.681842804918041</c:v>
                </c:pt>
                <c:pt idx="530">
                  <c:v>-19.137590422946214</c:v>
                </c:pt>
                <c:pt idx="531">
                  <c:v>-18.359732371072372</c:v>
                </c:pt>
                <c:pt idx="532">
                  <c:v>-20.36957822398298</c:v>
                </c:pt>
                <c:pt idx="533">
                  <c:v>-22.792570048984707</c:v>
                </c:pt>
                <c:pt idx="534">
                  <c:v>-24.559190250850595</c:v>
                </c:pt>
                <c:pt idx="535">
                  <c:v>-24.818493637710848</c:v>
                </c:pt>
                <c:pt idx="536">
                  <c:v>-25.75392158136906</c:v>
                </c:pt>
                <c:pt idx="537">
                  <c:v>-26.625686190922131</c:v>
                </c:pt>
                <c:pt idx="538">
                  <c:v>-27.369432485222138</c:v>
                </c:pt>
                <c:pt idx="539">
                  <c:v>-27.362437860983363</c:v>
                </c:pt>
                <c:pt idx="540">
                  <c:v>-26.97280542636798</c:v>
                </c:pt>
                <c:pt idx="541">
                  <c:v>-27.038472834300567</c:v>
                </c:pt>
                <c:pt idx="542">
                  <c:v>-27.015642730446608</c:v>
                </c:pt>
                <c:pt idx="543">
                  <c:v>-26.914210549444331</c:v>
                </c:pt>
                <c:pt idx="544">
                  <c:v>-26.76956192882697</c:v>
                </c:pt>
                <c:pt idx="545">
                  <c:v>-26.540160332759775</c:v>
                </c:pt>
                <c:pt idx="546">
                  <c:v>-24.753898509847453</c:v>
                </c:pt>
                <c:pt idx="547">
                  <c:v>-24.504666483480069</c:v>
                </c:pt>
                <c:pt idx="548">
                  <c:v>-24.556092396272859</c:v>
                </c:pt>
                <c:pt idx="549">
                  <c:v>-24.575455760907008</c:v>
                </c:pt>
                <c:pt idx="550">
                  <c:v>-24.935619597032467</c:v>
                </c:pt>
                <c:pt idx="551">
                  <c:v>-24.690435346212791</c:v>
                </c:pt>
                <c:pt idx="552">
                  <c:v>-24.392570255530977</c:v>
                </c:pt>
                <c:pt idx="553">
                  <c:v>-24.269721344892677</c:v>
                </c:pt>
                <c:pt idx="554">
                  <c:v>-23.963443567914485</c:v>
                </c:pt>
                <c:pt idx="555">
                  <c:v>-24.109109077111562</c:v>
                </c:pt>
                <c:pt idx="556">
                  <c:v>-24.194961747964808</c:v>
                </c:pt>
                <c:pt idx="557">
                  <c:v>-24.043878363298141</c:v>
                </c:pt>
                <c:pt idx="558">
                  <c:v>-24.647251886304918</c:v>
                </c:pt>
                <c:pt idx="559">
                  <c:v>-24.674650854304915</c:v>
                </c:pt>
                <c:pt idx="560">
                  <c:v>-24.683463142057075</c:v>
                </c:pt>
                <c:pt idx="561">
                  <c:v>-24.623543685135239</c:v>
                </c:pt>
                <c:pt idx="562">
                  <c:v>-24.754852615223736</c:v>
                </c:pt>
                <c:pt idx="563">
                  <c:v>-25.045102005360729</c:v>
                </c:pt>
                <c:pt idx="564">
                  <c:v>-24.601345845165923</c:v>
                </c:pt>
                <c:pt idx="565">
                  <c:v>-24.661023279376447</c:v>
                </c:pt>
                <c:pt idx="566">
                  <c:v>-24.672619257084786</c:v>
                </c:pt>
                <c:pt idx="567">
                  <c:v>-25.142195237190744</c:v>
                </c:pt>
                <c:pt idx="568">
                  <c:v>-24.914356764883049</c:v>
                </c:pt>
                <c:pt idx="569">
                  <c:v>-24.948567481175186</c:v>
                </c:pt>
                <c:pt idx="570">
                  <c:v>-24.7314926520828</c:v>
                </c:pt>
                <c:pt idx="571">
                  <c:v>-24.97161584970992</c:v>
                </c:pt>
                <c:pt idx="572">
                  <c:v>-24.956394167528369</c:v>
                </c:pt>
                <c:pt idx="573">
                  <c:v>-24.994987191457486</c:v>
                </c:pt>
                <c:pt idx="574">
                  <c:v>-25.131624809915987</c:v>
                </c:pt>
                <c:pt idx="575">
                  <c:v>-24.945042317904154</c:v>
                </c:pt>
                <c:pt idx="576">
                  <c:v>-25.171761521397599</c:v>
                </c:pt>
                <c:pt idx="577">
                  <c:v>-25.065091097116781</c:v>
                </c:pt>
                <c:pt idx="578">
                  <c:v>-25.232510540574406</c:v>
                </c:pt>
                <c:pt idx="579">
                  <c:v>-25.502753973435521</c:v>
                </c:pt>
                <c:pt idx="580">
                  <c:v>-25.193160840858205</c:v>
                </c:pt>
                <c:pt idx="581">
                  <c:v>-25.064808202385652</c:v>
                </c:pt>
                <c:pt idx="582">
                  <c:v>-24.811264208908014</c:v>
                </c:pt>
                <c:pt idx="583">
                  <c:v>-23.965388445990467</c:v>
                </c:pt>
                <c:pt idx="584">
                  <c:v>-24.174389326636348</c:v>
                </c:pt>
                <c:pt idx="585">
                  <c:v>-22.563707876694149</c:v>
                </c:pt>
                <c:pt idx="586">
                  <c:v>-22.9924319000006</c:v>
                </c:pt>
                <c:pt idx="587">
                  <c:v>-22.665154354664278</c:v>
                </c:pt>
                <c:pt idx="588">
                  <c:v>-22.299472546003486</c:v>
                </c:pt>
                <c:pt idx="589">
                  <c:v>-23.234230432161844</c:v>
                </c:pt>
                <c:pt idx="590">
                  <c:v>-23.864354747403478</c:v>
                </c:pt>
                <c:pt idx="591">
                  <c:v>-25.148574822972073</c:v>
                </c:pt>
                <c:pt idx="592">
                  <c:v>-25.499075780810873</c:v>
                </c:pt>
                <c:pt idx="593">
                  <c:v>-25.267524296473521</c:v>
                </c:pt>
                <c:pt idx="594">
                  <c:v>-25.638305457940586</c:v>
                </c:pt>
                <c:pt idx="595">
                  <c:v>-26.068477330003251</c:v>
                </c:pt>
                <c:pt idx="596">
                  <c:v>-25.612606419787348</c:v>
                </c:pt>
                <c:pt idx="597">
                  <c:v>-25.74571263587276</c:v>
                </c:pt>
                <c:pt idx="598">
                  <c:v>-26.059903448903064</c:v>
                </c:pt>
                <c:pt idx="599">
                  <c:v>-26.135347707653064</c:v>
                </c:pt>
                <c:pt idx="600">
                  <c:v>-26.59618768597198</c:v>
                </c:pt>
                <c:pt idx="601">
                  <c:v>-26.420095237501393</c:v>
                </c:pt>
                <c:pt idx="602">
                  <c:v>-25.995214331835097</c:v>
                </c:pt>
                <c:pt idx="603">
                  <c:v>-26.64083138879392</c:v>
                </c:pt>
                <c:pt idx="604">
                  <c:v>-27.525938215847059</c:v>
                </c:pt>
                <c:pt idx="605">
                  <c:v>-28.826881568028263</c:v>
                </c:pt>
                <c:pt idx="606">
                  <c:v>-29.411133422619706</c:v>
                </c:pt>
                <c:pt idx="607">
                  <c:v>-28.468390905240643</c:v>
                </c:pt>
                <c:pt idx="608">
                  <c:v>-28.725056715753123</c:v>
                </c:pt>
                <c:pt idx="609">
                  <c:v>-29.655479050348795</c:v>
                </c:pt>
                <c:pt idx="610">
                  <c:v>-29.783795411473154</c:v>
                </c:pt>
                <c:pt idx="611">
                  <c:v>-29.70172452166095</c:v>
                </c:pt>
                <c:pt idx="612">
                  <c:v>-29.823343161698123</c:v>
                </c:pt>
                <c:pt idx="613">
                  <c:v>-30.592621037984767</c:v>
                </c:pt>
                <c:pt idx="614">
                  <c:v>-30.062014263606986</c:v>
                </c:pt>
                <c:pt idx="615">
                  <c:v>-30.078418756041199</c:v>
                </c:pt>
                <c:pt idx="616">
                  <c:v>-30.448433267214384</c:v>
                </c:pt>
                <c:pt idx="617">
                  <c:v>-30.225758748078583</c:v>
                </c:pt>
                <c:pt idx="618">
                  <c:v>-30.252669757739604</c:v>
                </c:pt>
                <c:pt idx="619">
                  <c:v>-30.320112603318552</c:v>
                </c:pt>
                <c:pt idx="620">
                  <c:v>-30.48071410113938</c:v>
                </c:pt>
                <c:pt idx="621">
                  <c:v>-30.074338549507331</c:v>
                </c:pt>
                <c:pt idx="622">
                  <c:v>-30.513881233776992</c:v>
                </c:pt>
                <c:pt idx="623">
                  <c:v>-30.15213692778276</c:v>
                </c:pt>
                <c:pt idx="624">
                  <c:v>-30.058598016319714</c:v>
                </c:pt>
                <c:pt idx="625">
                  <c:v>-30.934057678156112</c:v>
                </c:pt>
                <c:pt idx="626">
                  <c:v>-31.218381060957089</c:v>
                </c:pt>
                <c:pt idx="627">
                  <c:v>-31.351930852775272</c:v>
                </c:pt>
                <c:pt idx="628">
                  <c:v>-30.995812583917949</c:v>
                </c:pt>
                <c:pt idx="629">
                  <c:v>-29.767145413917948</c:v>
                </c:pt>
                <c:pt idx="630">
                  <c:v>-28.558168952026602</c:v>
                </c:pt>
                <c:pt idx="631">
                  <c:v>-23.472080272095276</c:v>
                </c:pt>
                <c:pt idx="632">
                  <c:v>-23.71832127446438</c:v>
                </c:pt>
                <c:pt idx="633">
                  <c:v>-25.341886515126799</c:v>
                </c:pt>
                <c:pt idx="634">
                  <c:v>-27.203845153370047</c:v>
                </c:pt>
                <c:pt idx="635">
                  <c:v>-26.820437119730649</c:v>
                </c:pt>
                <c:pt idx="636">
                  <c:v>-27.744675762547551</c:v>
                </c:pt>
                <c:pt idx="637">
                  <c:v>-27.830253871522885</c:v>
                </c:pt>
                <c:pt idx="638">
                  <c:v>-27.365805175260984</c:v>
                </c:pt>
                <c:pt idx="639">
                  <c:v>-28.258668509664655</c:v>
                </c:pt>
                <c:pt idx="640">
                  <c:v>-28.639947654972573</c:v>
                </c:pt>
                <c:pt idx="641">
                  <c:v>-28.989962361549754</c:v>
                </c:pt>
                <c:pt idx="642">
                  <c:v>-29.21531565127578</c:v>
                </c:pt>
                <c:pt idx="643">
                  <c:v>-29.142343054124446</c:v>
                </c:pt>
                <c:pt idx="644">
                  <c:v>-28.963861932768513</c:v>
                </c:pt>
                <c:pt idx="645">
                  <c:v>-29.080544444075816</c:v>
                </c:pt>
                <c:pt idx="646">
                  <c:v>-29.230670618696504</c:v>
                </c:pt>
                <c:pt idx="647">
                  <c:v>-29.306647911344477</c:v>
                </c:pt>
                <c:pt idx="648">
                  <c:v>-29.004598174997959</c:v>
                </c:pt>
                <c:pt idx="649">
                  <c:v>-28.834994154730897</c:v>
                </c:pt>
                <c:pt idx="650">
                  <c:v>-28.760349031157695</c:v>
                </c:pt>
                <c:pt idx="651">
                  <c:v>-25.924743170135116</c:v>
                </c:pt>
                <c:pt idx="652">
                  <c:v>-26.342342916420833</c:v>
                </c:pt>
                <c:pt idx="653">
                  <c:v>-26.037065786615003</c:v>
                </c:pt>
                <c:pt idx="654">
                  <c:v>-25.72606086843982</c:v>
                </c:pt>
                <c:pt idx="655">
                  <c:v>-25.94514269374049</c:v>
                </c:pt>
                <c:pt idx="656">
                  <c:v>-25.899581753656101</c:v>
                </c:pt>
                <c:pt idx="657">
                  <c:v>-25.868673343287441</c:v>
                </c:pt>
                <c:pt idx="658">
                  <c:v>-25.71532616757835</c:v>
                </c:pt>
                <c:pt idx="659">
                  <c:v>-25.814598381527929</c:v>
                </c:pt>
                <c:pt idx="660">
                  <c:v>-25.837952038302124</c:v>
                </c:pt>
                <c:pt idx="661">
                  <c:v>-25.562961135517313</c:v>
                </c:pt>
                <c:pt idx="662">
                  <c:v>-25.384090935378971</c:v>
                </c:pt>
                <c:pt idx="663">
                  <c:v>-25.020550637778967</c:v>
                </c:pt>
                <c:pt idx="664">
                  <c:v>-25.120545709093257</c:v>
                </c:pt>
                <c:pt idx="665">
                  <c:v>-23.575479922283129</c:v>
                </c:pt>
                <c:pt idx="666">
                  <c:v>-23.260435361548794</c:v>
                </c:pt>
                <c:pt idx="667">
                  <c:v>-23.548289334979753</c:v>
                </c:pt>
                <c:pt idx="668">
                  <c:v>-23.460742761287445</c:v>
                </c:pt>
                <c:pt idx="669">
                  <c:v>-23.162194277287448</c:v>
                </c:pt>
                <c:pt idx="670">
                  <c:v>-23.113163607962296</c:v>
                </c:pt>
                <c:pt idx="671">
                  <c:v>-23.16669090907666</c:v>
                </c:pt>
                <c:pt idx="672">
                  <c:v>-22.295180476568067</c:v>
                </c:pt>
                <c:pt idx="673">
                  <c:v>-22.500031951653078</c:v>
                </c:pt>
                <c:pt idx="674">
                  <c:v>-22.475719887700134</c:v>
                </c:pt>
                <c:pt idx="675">
                  <c:v>-22.557623719995853</c:v>
                </c:pt>
                <c:pt idx="676">
                  <c:v>-22.757530835765078</c:v>
                </c:pt>
                <c:pt idx="677">
                  <c:v>-22.572385636230194</c:v>
                </c:pt>
                <c:pt idx="678">
                  <c:v>-22.583170219200493</c:v>
                </c:pt>
                <c:pt idx="679">
                  <c:v>-22.400929656266783</c:v>
                </c:pt>
                <c:pt idx="680">
                  <c:v>-22.531831882189973</c:v>
                </c:pt>
                <c:pt idx="681">
                  <c:v>-22.106980867136592</c:v>
                </c:pt>
                <c:pt idx="682">
                  <c:v>-22.280726132816781</c:v>
                </c:pt>
                <c:pt idx="683">
                  <c:v>-22.250368292746483</c:v>
                </c:pt>
                <c:pt idx="684">
                  <c:v>-22.176475879761405</c:v>
                </c:pt>
                <c:pt idx="685">
                  <c:v>-21.99708464127378</c:v>
                </c:pt>
                <c:pt idx="686">
                  <c:v>-22.611515612271528</c:v>
                </c:pt>
                <c:pt idx="687">
                  <c:v>-3.7261305166592811</c:v>
                </c:pt>
                <c:pt idx="688">
                  <c:v>-4.7203562255598044</c:v>
                </c:pt>
                <c:pt idx="689">
                  <c:v>-6.1662572381162004</c:v>
                </c:pt>
                <c:pt idx="690">
                  <c:v>-6.6716115682531854</c:v>
                </c:pt>
                <c:pt idx="691">
                  <c:v>-3.9411516848079318</c:v>
                </c:pt>
                <c:pt idx="692">
                  <c:v>-0.55790485124259925</c:v>
                </c:pt>
                <c:pt idx="693">
                  <c:v>-0.96139888019089192</c:v>
                </c:pt>
                <c:pt idx="694">
                  <c:v>-0.45005241190517614</c:v>
                </c:pt>
                <c:pt idx="695">
                  <c:v>-0.55946555770956385</c:v>
                </c:pt>
                <c:pt idx="696">
                  <c:v>-0.47343474355027038</c:v>
                </c:pt>
                <c:pt idx="697">
                  <c:v>-0.73731209684396781</c:v>
                </c:pt>
                <c:pt idx="698">
                  <c:v>-0.84010728858309869</c:v>
                </c:pt>
                <c:pt idx="699">
                  <c:v>-0.58143776858309859</c:v>
                </c:pt>
                <c:pt idx="700">
                  <c:v>-0.60575823799355466</c:v>
                </c:pt>
                <c:pt idx="701">
                  <c:v>-0.63451368309689282</c:v>
                </c:pt>
                <c:pt idx="702">
                  <c:v>-0.24692034384895423</c:v>
                </c:pt>
                <c:pt idx="703">
                  <c:v>0.25072809657507344</c:v>
                </c:pt>
                <c:pt idx="704">
                  <c:v>0.65155893580329938</c:v>
                </c:pt>
                <c:pt idx="705">
                  <c:v>0.4675215036788074</c:v>
                </c:pt>
                <c:pt idx="706">
                  <c:v>0.53805375019806534</c:v>
                </c:pt>
                <c:pt idx="707">
                  <c:v>0.42750608889714603</c:v>
                </c:pt>
                <c:pt idx="708">
                  <c:v>0.62570264468661962</c:v>
                </c:pt>
                <c:pt idx="709">
                  <c:v>1.0725725115933809</c:v>
                </c:pt>
                <c:pt idx="710">
                  <c:v>0.98770104385043345</c:v>
                </c:pt>
                <c:pt idx="711">
                  <c:v>1.3046930580451896</c:v>
                </c:pt>
                <c:pt idx="712">
                  <c:v>1.2481327209814777</c:v>
                </c:pt>
                <c:pt idx="713">
                  <c:v>2.2142370134208784</c:v>
                </c:pt>
                <c:pt idx="714">
                  <c:v>3.4589648191746183</c:v>
                </c:pt>
                <c:pt idx="715">
                  <c:v>1.5870669685162657</c:v>
                </c:pt>
                <c:pt idx="716">
                  <c:v>1.314137583668336</c:v>
                </c:pt>
                <c:pt idx="717">
                  <c:v>0.94411377200621061</c:v>
                </c:pt>
                <c:pt idx="718">
                  <c:v>0.83166376846564205</c:v>
                </c:pt>
                <c:pt idx="719">
                  <c:v>0.55577201890978745</c:v>
                </c:pt>
                <c:pt idx="720">
                  <c:v>0.62988186069449037</c:v>
                </c:pt>
                <c:pt idx="721">
                  <c:v>0.91282982028976822</c:v>
                </c:pt>
                <c:pt idx="722">
                  <c:v>0.17263140747135416</c:v>
                </c:pt>
                <c:pt idx="723">
                  <c:v>1.6911275335627165E-3</c:v>
                </c:pt>
                <c:pt idx="724">
                  <c:v>-8.8079019238011917E-3</c:v>
                </c:pt>
                <c:pt idx="725">
                  <c:v>-0.23814887751551694</c:v>
                </c:pt>
                <c:pt idx="726">
                  <c:v>-0.45493708887144835</c:v>
                </c:pt>
                <c:pt idx="727">
                  <c:v>-0.55995384161376516</c:v>
                </c:pt>
                <c:pt idx="728">
                  <c:v>-0.51498985624791149</c:v>
                </c:pt>
                <c:pt idx="729">
                  <c:v>-0.61971304750974077</c:v>
                </c:pt>
                <c:pt idx="730">
                  <c:v>-0.44725395391368128</c:v>
                </c:pt>
                <c:pt idx="731">
                  <c:v>-0.6606388460662701</c:v>
                </c:pt>
                <c:pt idx="732">
                  <c:v>-0.64192522118437989</c:v>
                </c:pt>
                <c:pt idx="733">
                  <c:v>-0.61927445896215805</c:v>
                </c:pt>
                <c:pt idx="734">
                  <c:v>-0.68244820912088777</c:v>
                </c:pt>
                <c:pt idx="735">
                  <c:v>-0.81284205793745579</c:v>
                </c:pt>
                <c:pt idx="736">
                  <c:v>-0.44304202750089355</c:v>
                </c:pt>
                <c:pt idx="737">
                  <c:v>-0.47083215845111992</c:v>
                </c:pt>
                <c:pt idx="738">
                  <c:v>-0.25986211828047134</c:v>
                </c:pt>
                <c:pt idx="739">
                  <c:v>-0.35215489565273433</c:v>
                </c:pt>
                <c:pt idx="740">
                  <c:v>-0.23268546380476601</c:v>
                </c:pt>
                <c:pt idx="741">
                  <c:v>-0.21199231558350828</c:v>
                </c:pt>
                <c:pt idx="742">
                  <c:v>-0.32145676139303242</c:v>
                </c:pt>
                <c:pt idx="743">
                  <c:v>-0.27968592806709008</c:v>
                </c:pt>
                <c:pt idx="744">
                  <c:v>-0.32299013990382441</c:v>
                </c:pt>
                <c:pt idx="745">
                  <c:v>-0.3829268168980437</c:v>
                </c:pt>
                <c:pt idx="746">
                  <c:v>-0.25462560737423406</c:v>
                </c:pt>
                <c:pt idx="747">
                  <c:v>-0.34797310474512677</c:v>
                </c:pt>
                <c:pt idx="748">
                  <c:v>-0.42130682756066001</c:v>
                </c:pt>
                <c:pt idx="749">
                  <c:v>-0.42734527479249357</c:v>
                </c:pt>
                <c:pt idx="750">
                  <c:v>-0.46759960208555806</c:v>
                </c:pt>
                <c:pt idx="751">
                  <c:v>-6.6026639661316097E-2</c:v>
                </c:pt>
                <c:pt idx="752">
                  <c:v>-0.15341561450592286</c:v>
                </c:pt>
                <c:pt idx="753">
                  <c:v>-7.7623461672870667E-2</c:v>
                </c:pt>
                <c:pt idx="754">
                  <c:v>-6.1898786609578073E-2</c:v>
                </c:pt>
                <c:pt idx="755">
                  <c:v>-3.3237523405531474E-2</c:v>
                </c:pt>
                <c:pt idx="756">
                  <c:v>-0.1382668819321772</c:v>
                </c:pt>
                <c:pt idx="757">
                  <c:v>-4.4098843772455057E-2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A2-4F29-AD23-4E61ABB17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0111279"/>
        <c:axId val="1810109615"/>
      </c:lineChart>
      <c:dateAx>
        <c:axId val="181011127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09615"/>
        <c:crosses val="autoZero"/>
        <c:auto val="1"/>
        <c:lblOffset val="100"/>
        <c:baseTimeUnit val="days"/>
      </c:dateAx>
      <c:valAx>
        <c:axId val="1810109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11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CC96C70-993A-463D-B287-B43BE1F0E447}">
  <sheetPr codeName="Chart1"/>
  <sheetViews>
    <sheetView zoomScale="9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3712" cy="60806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E7EB0C-09BE-4AA6-9E57-71209D871FE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0.94489999999999996</v>
      </c>
      <c r="D2" s="4">
        <f>MIN(D3:D1912)</f>
        <v>3.813E-3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0.1726</v>
      </c>
      <c r="C5">
        <v>0.17710000000000001</v>
      </c>
      <c r="D5">
        <v>0.17019999999999999</v>
      </c>
      <c r="E5">
        <v>0.17050000000000001</v>
      </c>
      <c r="F5">
        <v>8704292</v>
      </c>
      <c r="G5">
        <v>0.17050000000000001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-0.91304347826086329</v>
      </c>
      <c r="Q5">
        <f t="shared" ref="Q5" si="1">F5*P5</f>
        <v>-7947397.0434782067</v>
      </c>
      <c r="R5">
        <f t="shared" ref="R5" si="2">R6+Q5</f>
        <v>-677718405.45291281</v>
      </c>
      <c r="S5">
        <f t="shared" ref="S5" si="3">R5/100000</f>
        <v>-6777.1840545291279</v>
      </c>
      <c r="T5">
        <f t="shared" ref="T5" si="4">S5/1000</f>
        <v>-6.777184054529128</v>
      </c>
    </row>
    <row r="6" spans="1:20" x14ac:dyDescent="0.25">
      <c r="A6" s="5">
        <v>44587</v>
      </c>
      <c r="B6">
        <v>0.1719</v>
      </c>
      <c r="C6">
        <v>0.1893</v>
      </c>
      <c r="D6">
        <v>0.1681</v>
      </c>
      <c r="E6">
        <v>0.1726</v>
      </c>
      <c r="F6">
        <v>161422622</v>
      </c>
      <c r="G6">
        <v>0.1726</v>
      </c>
      <c r="L6" t="s">
        <v>8</v>
      </c>
      <c r="M6" t="s">
        <v>7</v>
      </c>
      <c r="N6" t="s">
        <v>7</v>
      </c>
      <c r="P6">
        <f t="shared" ref="P6" si="5">IF(C6=D6,0,((E6-D6)-(C6-E6))/(C6-D6))</f>
        <v>-0.57547169811320709</v>
      </c>
      <c r="Q6">
        <f t="shared" ref="Q6" si="6">F6*P6</f>
        <v>-92894150.396226346</v>
      </c>
      <c r="R6">
        <f t="shared" ref="R6" si="7">R7+Q6</f>
        <v>-669771008.40943456</v>
      </c>
      <c r="S6">
        <f t="shared" ref="S6" si="8">R6/100000</f>
        <v>-6697.7100840943458</v>
      </c>
      <c r="T6">
        <f t="shared" ref="T6" si="9">S6/1000</f>
        <v>-6.6977100840943455</v>
      </c>
    </row>
    <row r="7" spans="1:20" x14ac:dyDescent="0.25">
      <c r="A7" s="5">
        <v>44586</v>
      </c>
      <c r="B7">
        <v>0.17530000000000001</v>
      </c>
      <c r="C7">
        <v>0.17929999999999999</v>
      </c>
      <c r="D7">
        <v>0.16819999999999999</v>
      </c>
      <c r="E7">
        <v>0.17180000000000001</v>
      </c>
      <c r="F7">
        <v>140920817</v>
      </c>
      <c r="G7">
        <v>0.17180000000000001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-0.35135135135134771</v>
      </c>
      <c r="Q7">
        <f t="shared" ref="Q7" si="11">F7*P7</f>
        <v>-49512719.486485973</v>
      </c>
      <c r="R7">
        <f t="shared" ref="R7" si="12">R8+Q7</f>
        <v>-576876858.01320815</v>
      </c>
      <c r="S7">
        <f t="shared" ref="S7" si="13">R7/100000</f>
        <v>-5768.7685801320813</v>
      </c>
      <c r="T7">
        <f t="shared" ref="T7" si="14">S7/1000</f>
        <v>-5.7687685801320816</v>
      </c>
    </row>
    <row r="8" spans="1:20" x14ac:dyDescent="0.25">
      <c r="A8" s="5">
        <v>44585</v>
      </c>
      <c r="B8">
        <v>0.1852</v>
      </c>
      <c r="C8">
        <v>0.1852</v>
      </c>
      <c r="D8">
        <v>0.158</v>
      </c>
      <c r="E8">
        <v>0.17530000000000001</v>
      </c>
      <c r="F8">
        <v>174103234.80000001</v>
      </c>
      <c r="G8">
        <v>0.17530000000000001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0.27205882352941241</v>
      </c>
      <c r="Q8">
        <f t="shared" ref="Q8" si="16">F8*P8</f>
        <v>47366321.232353054</v>
      </c>
      <c r="R8">
        <f t="shared" ref="R8" si="17">R9+Q8</f>
        <v>-527364138.52672213</v>
      </c>
      <c r="S8">
        <f t="shared" ref="S8" si="18">R8/100000</f>
        <v>-5273.6413852672213</v>
      </c>
      <c r="T8">
        <f t="shared" ref="T8" si="19">S8/1000</f>
        <v>-5.2736413852672213</v>
      </c>
    </row>
    <row r="9" spans="1:20" x14ac:dyDescent="0.25">
      <c r="A9" s="5">
        <v>44584</v>
      </c>
      <c r="B9">
        <v>0.1764</v>
      </c>
      <c r="C9">
        <v>0.19370000000000001</v>
      </c>
      <c r="D9">
        <v>0.1736</v>
      </c>
      <c r="E9">
        <v>0.1852</v>
      </c>
      <c r="F9">
        <v>119279400</v>
      </c>
      <c r="G9">
        <v>0.1852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0.15422885572139255</v>
      </c>
      <c r="Q9">
        <f t="shared" ref="Q9" si="21">F9*P9</f>
        <v>18396325.37313427</v>
      </c>
      <c r="R9">
        <f t="shared" ref="R9" si="22">R10+Q9</f>
        <v>-574730459.75907516</v>
      </c>
      <c r="S9">
        <f t="shared" ref="S9" si="23">R9/100000</f>
        <v>-5747.3045975907517</v>
      </c>
      <c r="T9">
        <f t="shared" ref="T9" si="24">S9/1000</f>
        <v>-5.7473045975907517</v>
      </c>
    </row>
    <row r="10" spans="1:20" x14ac:dyDescent="0.25">
      <c r="A10" s="5">
        <v>44583</v>
      </c>
      <c r="B10">
        <v>0.19789999999999999</v>
      </c>
      <c r="C10">
        <v>0.20119999999999999</v>
      </c>
      <c r="D10">
        <v>0.16289999999999999</v>
      </c>
      <c r="E10">
        <v>0.1762</v>
      </c>
      <c r="F10">
        <v>240188874.5</v>
      </c>
      <c r="G10">
        <v>0.1762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-0.30548302872062633</v>
      </c>
      <c r="Q10">
        <f t="shared" ref="Q10" si="26">F10*P10</f>
        <v>-73373624.847258419</v>
      </c>
      <c r="R10">
        <f t="shared" ref="R10" si="27">R11+Q10</f>
        <v>-593126785.13220942</v>
      </c>
      <c r="S10">
        <f t="shared" ref="S10" si="28">R10/100000</f>
        <v>-5931.2678513220944</v>
      </c>
      <c r="T10">
        <f t="shared" ref="T10" si="29">S10/1000</f>
        <v>-5.9312678513220947</v>
      </c>
    </row>
    <row r="11" spans="1:20" x14ac:dyDescent="0.25">
      <c r="A11" s="5">
        <v>44582</v>
      </c>
      <c r="B11">
        <v>0.2344</v>
      </c>
      <c r="C11">
        <v>0.24</v>
      </c>
      <c r="D11">
        <v>0.19209999999999999</v>
      </c>
      <c r="E11">
        <v>0.1981</v>
      </c>
      <c r="F11">
        <v>179999562.19999999</v>
      </c>
      <c r="G11">
        <v>0.1981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-0.74947807933194133</v>
      </c>
      <c r="Q11">
        <f t="shared" ref="Q11" si="31">F11*P11</f>
        <v>-134905726.15824631</v>
      </c>
      <c r="R11">
        <f t="shared" ref="R11" si="32">R12+Q11</f>
        <v>-519753160.28495097</v>
      </c>
      <c r="S11">
        <f t="shared" ref="S11" si="33">R11/100000</f>
        <v>-5197.5316028495099</v>
      </c>
      <c r="T11">
        <f t="shared" ref="T11" si="34">S11/1000</f>
        <v>-5.1975316028495095</v>
      </c>
    </row>
    <row r="12" spans="1:20" x14ac:dyDescent="0.25">
      <c r="A12" s="5">
        <v>44581</v>
      </c>
      <c r="B12">
        <v>0.24629999999999999</v>
      </c>
      <c r="C12">
        <v>0.25850000000000001</v>
      </c>
      <c r="D12">
        <v>0.2329</v>
      </c>
      <c r="E12">
        <v>0.2344</v>
      </c>
      <c r="F12">
        <v>72991604.799999997</v>
      </c>
      <c r="G12">
        <v>0.2344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-0.8828125</v>
      </c>
      <c r="Q12">
        <f t="shared" ref="Q12" si="36">F12*P12</f>
        <v>-64437901.112499997</v>
      </c>
      <c r="R12">
        <f t="shared" ref="R12" si="37">R13+Q12</f>
        <v>-384847434.12670463</v>
      </c>
      <c r="S12">
        <f t="shared" ref="S12" si="38">R12/100000</f>
        <v>-3848.4743412670464</v>
      </c>
      <c r="T12">
        <f t="shared" ref="T12" si="39">S12/1000</f>
        <v>-3.8484743412670466</v>
      </c>
    </row>
    <row r="13" spans="1:20" x14ac:dyDescent="0.25">
      <c r="A13" s="5">
        <v>44580</v>
      </c>
      <c r="B13">
        <v>0.2591</v>
      </c>
      <c r="C13">
        <v>0.26090000000000002</v>
      </c>
      <c r="D13">
        <v>0.24160000000000001</v>
      </c>
      <c r="E13">
        <v>0.2462</v>
      </c>
      <c r="F13">
        <v>77598076</v>
      </c>
      <c r="G13">
        <v>0.2462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-0.52331606217616677</v>
      </c>
      <c r="Q13">
        <f t="shared" ref="Q13" si="41">F13*P13</f>
        <v>-40608319.564766914</v>
      </c>
      <c r="R13">
        <f t="shared" ref="R13" si="42">R14+Q13</f>
        <v>-320409533.01420462</v>
      </c>
      <c r="S13">
        <f t="shared" ref="S13" si="43">R13/100000</f>
        <v>-3204.0953301420464</v>
      </c>
      <c r="T13">
        <f t="shared" ref="T13" si="44">S13/1000</f>
        <v>-3.2040953301420463</v>
      </c>
    </row>
    <row r="14" spans="1:20" x14ac:dyDescent="0.25">
      <c r="A14" s="5">
        <v>44579</v>
      </c>
      <c r="B14">
        <v>0.25679999999999997</v>
      </c>
      <c r="C14">
        <v>0.26889999999999997</v>
      </c>
      <c r="D14">
        <v>0.2475</v>
      </c>
      <c r="E14">
        <v>0.2591</v>
      </c>
      <c r="F14">
        <v>115100518</v>
      </c>
      <c r="G14">
        <v>0.2591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8.4112149532711497E-2</v>
      </c>
      <c r="Q14">
        <f t="shared" ref="Q14" si="46">F14*P14</f>
        <v>9681351.9813085515</v>
      </c>
      <c r="R14">
        <f t="shared" ref="R14" si="47">R15+Q14</f>
        <v>-279801213.44943774</v>
      </c>
      <c r="S14">
        <f t="shared" ref="S14" si="48">R14/100000</f>
        <v>-2798.0121344943773</v>
      </c>
      <c r="T14">
        <f t="shared" ref="T14" si="49">S14/1000</f>
        <v>-2.7980121344943774</v>
      </c>
    </row>
    <row r="15" spans="1:20" x14ac:dyDescent="0.25">
      <c r="A15" s="5">
        <v>44578</v>
      </c>
      <c r="B15">
        <v>0.26950000000000002</v>
      </c>
      <c r="C15">
        <v>0.27060000000000001</v>
      </c>
      <c r="D15">
        <v>0.25230000000000002</v>
      </c>
      <c r="E15">
        <v>0.25679999999999997</v>
      </c>
      <c r="F15">
        <v>66677553</v>
      </c>
      <c r="G15">
        <v>0.25679999999999997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-0.50819672131148064</v>
      </c>
      <c r="Q15">
        <f t="shared" ref="Q15" si="51">F15*P15</f>
        <v>-33885313.81967248</v>
      </c>
      <c r="R15">
        <f t="shared" ref="R15" si="52">R16+Q15</f>
        <v>-289482565.43074632</v>
      </c>
      <c r="S15">
        <f t="shared" ref="S15" si="53">R15/100000</f>
        <v>-2894.8256543074631</v>
      </c>
      <c r="T15">
        <f t="shared" ref="T15" si="54">S15/1000</f>
        <v>-2.8948256543074633</v>
      </c>
    </row>
    <row r="16" spans="1:20" x14ac:dyDescent="0.25">
      <c r="A16" s="5">
        <v>44577</v>
      </c>
      <c r="B16">
        <v>0.26679999999999998</v>
      </c>
      <c r="C16">
        <v>0.28000000000000003</v>
      </c>
      <c r="D16">
        <v>0.26450000000000001</v>
      </c>
      <c r="E16">
        <v>0.26950000000000002</v>
      </c>
      <c r="F16">
        <v>73509583</v>
      </c>
      <c r="G16">
        <v>0.26950000000000002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-0.35483870967741937</v>
      </c>
      <c r="Q16">
        <f t="shared" ref="Q16" si="56">F16*P16</f>
        <v>-26084045.580645163</v>
      </c>
      <c r="R16">
        <f t="shared" ref="R16" si="57">R17+Q16</f>
        <v>-255597251.61107385</v>
      </c>
      <c r="S16">
        <f t="shared" ref="S16" si="58">R16/100000</f>
        <v>-2555.9725161107385</v>
      </c>
      <c r="T16">
        <f t="shared" ref="T16" si="59">S16/1000</f>
        <v>-2.5559725161107387</v>
      </c>
    </row>
    <row r="17" spans="1:20" x14ac:dyDescent="0.25">
      <c r="A17" s="5">
        <v>44576</v>
      </c>
      <c r="B17">
        <v>0.26650000000000001</v>
      </c>
      <c r="C17">
        <v>0.2727</v>
      </c>
      <c r="D17">
        <v>0.26190000000000002</v>
      </c>
      <c r="E17">
        <v>0.26679999999999998</v>
      </c>
      <c r="F17">
        <v>44696775</v>
      </c>
      <c r="G17">
        <v>0.26679999999999998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-9.2592592592598014E-2</v>
      </c>
      <c r="Q17">
        <f t="shared" ref="Q17" si="61">F17*P17</f>
        <v>-4138590.2777780201</v>
      </c>
      <c r="R17">
        <f t="shared" ref="R17" si="62">R18+Q17</f>
        <v>-229513206.03042868</v>
      </c>
      <c r="S17">
        <f t="shared" ref="S17" si="63">R17/100000</f>
        <v>-2295.1320603042868</v>
      </c>
      <c r="T17">
        <f t="shared" ref="T17" si="64">S17/1000</f>
        <v>-2.2951320603042866</v>
      </c>
    </row>
    <row r="18" spans="1:20" x14ac:dyDescent="0.25">
      <c r="A18" s="5">
        <v>44575</v>
      </c>
      <c r="B18">
        <v>0.26390000000000002</v>
      </c>
      <c r="C18">
        <v>0.27329999999999999</v>
      </c>
      <c r="D18">
        <v>0.25640000000000002</v>
      </c>
      <c r="E18">
        <v>0.26669999999999999</v>
      </c>
      <c r="F18">
        <v>63308312</v>
      </c>
      <c r="G18">
        <v>0.26669999999999999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0.21893491124260281</v>
      </c>
      <c r="Q18">
        <f t="shared" ref="Q18" si="66">F18*P18</f>
        <v>13860399.668639006</v>
      </c>
      <c r="R18">
        <f t="shared" ref="R18" si="67">R19+Q18</f>
        <v>-225374615.75265065</v>
      </c>
      <c r="S18">
        <f t="shared" ref="S18" si="68">R18/100000</f>
        <v>-2253.7461575265065</v>
      </c>
      <c r="T18">
        <f t="shared" ref="T18" si="69">S18/1000</f>
        <v>-2.2537461575265065</v>
      </c>
    </row>
    <row r="19" spans="1:20" x14ac:dyDescent="0.25">
      <c r="A19" s="5">
        <v>44574</v>
      </c>
      <c r="B19">
        <v>0.27760000000000001</v>
      </c>
      <c r="C19">
        <v>0.27989999999999998</v>
      </c>
      <c r="D19">
        <v>0.26140000000000002</v>
      </c>
      <c r="E19">
        <v>0.26400000000000001</v>
      </c>
      <c r="F19">
        <v>72908154</v>
      </c>
      <c r="G19">
        <v>0.26400000000000001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-0.71891891891891924</v>
      </c>
      <c r="Q19">
        <f t="shared" ref="Q19" si="71">F19*P19</f>
        <v>-52415051.254054077</v>
      </c>
      <c r="R19">
        <f t="shared" ref="R19" si="72">R20+Q19</f>
        <v>-239235015.42128965</v>
      </c>
      <c r="S19">
        <f t="shared" ref="S19" si="73">R19/100000</f>
        <v>-2392.3501542128965</v>
      </c>
      <c r="T19">
        <f t="shared" ref="T19" si="74">S19/1000</f>
        <v>-2.3923501542128967</v>
      </c>
    </row>
    <row r="20" spans="1:20" x14ac:dyDescent="0.25">
      <c r="A20" s="5">
        <v>44573</v>
      </c>
      <c r="B20">
        <v>0.26390000000000002</v>
      </c>
      <c r="C20">
        <v>0.27839999999999998</v>
      </c>
      <c r="D20">
        <v>0.26340000000000002</v>
      </c>
      <c r="E20">
        <v>0.2777</v>
      </c>
      <c r="F20">
        <v>75527288</v>
      </c>
      <c r="G20">
        <v>0.2777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0.90666666666666929</v>
      </c>
      <c r="Q20">
        <f t="shared" ref="Q20" si="76">F20*P20</f>
        <v>68478074.453333527</v>
      </c>
      <c r="R20">
        <f t="shared" ref="R20" si="77">R21+Q20</f>
        <v>-186819964.16723558</v>
      </c>
      <c r="S20">
        <f t="shared" ref="S20" si="78">R20/100000</f>
        <v>-1868.1996416723559</v>
      </c>
      <c r="T20">
        <f t="shared" ref="T20" si="79">S20/1000</f>
        <v>-1.8681996416723559</v>
      </c>
    </row>
    <row r="21" spans="1:20" x14ac:dyDescent="0.25">
      <c r="A21" s="5">
        <v>44572</v>
      </c>
      <c r="B21">
        <v>0.251</v>
      </c>
      <c r="C21">
        <v>0.26500000000000001</v>
      </c>
      <c r="D21">
        <v>0.24429999999999999</v>
      </c>
      <c r="E21">
        <v>0.26379999999999998</v>
      </c>
      <c r="F21">
        <v>81356581</v>
      </c>
      <c r="G21">
        <v>0.26379999999999998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0.88405797101448957</v>
      </c>
      <c r="Q21">
        <f t="shared" ref="Q21" si="81">F21*P21</f>
        <v>71923933.927535966</v>
      </c>
      <c r="R21">
        <f t="shared" ref="R21" si="82">R22+Q21</f>
        <v>-255298038.62056911</v>
      </c>
      <c r="S21">
        <f t="shared" ref="S21" si="83">R21/100000</f>
        <v>-2552.980386205691</v>
      </c>
      <c r="T21">
        <f t="shared" ref="T21" si="84">S21/1000</f>
        <v>-2.5529803862056912</v>
      </c>
    </row>
    <row r="22" spans="1:20" x14ac:dyDescent="0.25">
      <c r="A22" s="5">
        <v>44571</v>
      </c>
      <c r="B22">
        <v>0.26100000000000001</v>
      </c>
      <c r="C22">
        <v>0.26989999999999997</v>
      </c>
      <c r="D22">
        <v>0.23630000000000001</v>
      </c>
      <c r="E22">
        <v>0.251</v>
      </c>
      <c r="F22">
        <v>113092974</v>
      </c>
      <c r="G22">
        <v>0.251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-0.12499999999999958</v>
      </c>
      <c r="Q22">
        <f t="shared" ref="Q22" si="86">F22*P22</f>
        <v>-14136621.749999953</v>
      </c>
      <c r="R22">
        <f t="shared" ref="R22" si="87">R23+Q22</f>
        <v>-327221972.54810506</v>
      </c>
      <c r="S22">
        <f t="shared" ref="S22" si="88">R22/100000</f>
        <v>-3272.2197254810508</v>
      </c>
      <c r="T22">
        <f t="shared" ref="T22" si="89">S22/1000</f>
        <v>-3.2722197254810506</v>
      </c>
    </row>
    <row r="23" spans="1:20" x14ac:dyDescent="0.25">
      <c r="A23" s="5">
        <v>44570</v>
      </c>
      <c r="B23">
        <v>0.25559999999999999</v>
      </c>
      <c r="C23">
        <v>0.26919999999999999</v>
      </c>
      <c r="D23">
        <v>0.25209999999999999</v>
      </c>
      <c r="E23">
        <v>0.26100000000000001</v>
      </c>
      <c r="F23">
        <v>63484647</v>
      </c>
      <c r="G23">
        <v>0.26100000000000001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4.0935672514621858E-2</v>
      </c>
      <c r="Q23">
        <f t="shared" ref="Q23" si="91">F23*P23</f>
        <v>2598786.7192983711</v>
      </c>
      <c r="R23">
        <f t="shared" ref="R23" si="92">R24+Q23</f>
        <v>-313085350.79810512</v>
      </c>
      <c r="S23">
        <f t="shared" ref="S23" si="93">R23/100000</f>
        <v>-3130.8535079810513</v>
      </c>
      <c r="T23">
        <f t="shared" ref="T23" si="94">S23/1000</f>
        <v>-3.1308535079810511</v>
      </c>
    </row>
    <row r="24" spans="1:20" x14ac:dyDescent="0.25">
      <c r="A24" s="5">
        <v>44569</v>
      </c>
      <c r="B24">
        <v>0.26419999999999999</v>
      </c>
      <c r="C24">
        <v>0.27389999999999998</v>
      </c>
      <c r="D24">
        <v>0.2424</v>
      </c>
      <c r="E24">
        <v>0.2555</v>
      </c>
      <c r="F24">
        <v>94345271</v>
      </c>
      <c r="G24">
        <v>0.2555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-0.16825396825396749</v>
      </c>
      <c r="Q24">
        <f t="shared" ref="Q24" si="96">F24*P24</f>
        <v>-15873966.23174596</v>
      </c>
      <c r="R24">
        <f t="shared" ref="R24" si="97">R25+Q24</f>
        <v>-315684137.51740348</v>
      </c>
      <c r="S24">
        <f t="shared" ref="S24" si="98">R24/100000</f>
        <v>-3156.841375174035</v>
      </c>
      <c r="T24">
        <f t="shared" ref="T24" si="99">S24/1000</f>
        <v>-3.156841375174035</v>
      </c>
    </row>
    <row r="25" spans="1:20" x14ac:dyDescent="0.25">
      <c r="A25" s="5">
        <v>44568</v>
      </c>
      <c r="B25">
        <v>0.28110000000000002</v>
      </c>
      <c r="C25">
        <v>0.28299999999999997</v>
      </c>
      <c r="D25">
        <v>0.26</v>
      </c>
      <c r="E25">
        <v>0.2641</v>
      </c>
      <c r="F25">
        <v>111623754</v>
      </c>
      <c r="G25">
        <v>0.2641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-0.64347826086956528</v>
      </c>
      <c r="Q25">
        <f t="shared" ref="Q25" si="101">F25*P25</f>
        <v>-71827459.095652178</v>
      </c>
      <c r="R25">
        <f t="shared" ref="R25" si="102">R26+Q25</f>
        <v>-299810171.28565753</v>
      </c>
      <c r="S25">
        <f t="shared" ref="S25" si="103">R25/100000</f>
        <v>-2998.1017128565754</v>
      </c>
      <c r="T25">
        <f t="shared" ref="T25" si="104">S25/1000</f>
        <v>-2.9981017128565752</v>
      </c>
    </row>
    <row r="26" spans="1:20" x14ac:dyDescent="0.25">
      <c r="A26" s="5">
        <v>44567</v>
      </c>
      <c r="B26">
        <v>0.27900000000000003</v>
      </c>
      <c r="C26">
        <v>0.28489999999999999</v>
      </c>
      <c r="D26">
        <v>0.26800000000000002</v>
      </c>
      <c r="E26">
        <v>0.28129999999999999</v>
      </c>
      <c r="F26">
        <v>103319417</v>
      </c>
      <c r="G26">
        <v>0.28129999999999999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0.57396449704142027</v>
      </c>
      <c r="Q26">
        <f t="shared" ref="Q26" si="106">F26*P26</f>
        <v>59301677.213017769</v>
      </c>
      <c r="R26">
        <f t="shared" ref="R26" si="107">R27+Q26</f>
        <v>-227982712.19000536</v>
      </c>
      <c r="S26">
        <f t="shared" ref="S26" si="108">R26/100000</f>
        <v>-2279.8271219000535</v>
      </c>
      <c r="T26">
        <f t="shared" ref="T26" si="109">S26/1000</f>
        <v>-2.2798271219000537</v>
      </c>
    </row>
    <row r="27" spans="1:20" x14ac:dyDescent="0.25">
      <c r="A27" s="5">
        <v>44566</v>
      </c>
      <c r="B27">
        <v>0.30259999999999998</v>
      </c>
      <c r="C27">
        <v>0.32550000000000001</v>
      </c>
      <c r="D27">
        <v>0.26269999999999999</v>
      </c>
      <c r="E27">
        <v>0.27889999999999998</v>
      </c>
      <c r="F27">
        <v>182081538</v>
      </c>
      <c r="G27">
        <v>0.27889999999999998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-0.48407643312101956</v>
      </c>
      <c r="Q27">
        <f t="shared" ref="Q27" si="111">F27*P27</f>
        <v>-88141381.452229381</v>
      </c>
      <c r="R27">
        <f t="shared" ref="R27" si="112">R28+Q27</f>
        <v>-287284389.40302312</v>
      </c>
      <c r="S27">
        <f t="shared" ref="S27" si="113">R27/100000</f>
        <v>-2872.8438940302312</v>
      </c>
      <c r="T27">
        <f t="shared" ref="T27" si="114">S27/1000</f>
        <v>-2.8728438940302312</v>
      </c>
    </row>
    <row r="28" spans="1:20" x14ac:dyDescent="0.25">
      <c r="A28" s="5">
        <v>44565</v>
      </c>
      <c r="B28">
        <v>0.30059999999999998</v>
      </c>
      <c r="C28">
        <v>0.31740000000000002</v>
      </c>
      <c r="D28">
        <v>0.29210000000000003</v>
      </c>
      <c r="E28">
        <v>0.30249999999999999</v>
      </c>
      <c r="F28">
        <v>90232587</v>
      </c>
      <c r="G28">
        <v>0.30249999999999999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-0.17786561264822376</v>
      </c>
      <c r="Q28">
        <f t="shared" ref="Q28" si="116">F28*P28</f>
        <v>-16049274.367589151</v>
      </c>
      <c r="R28">
        <f t="shared" ref="R28" si="117">R29+Q28</f>
        <v>-199143007.95079377</v>
      </c>
      <c r="S28">
        <f t="shared" ref="S28" si="118">R28/100000</f>
        <v>-1991.4300795079378</v>
      </c>
      <c r="T28">
        <f t="shared" ref="T28" si="119">S28/1000</f>
        <v>-1.9914300795079378</v>
      </c>
    </row>
    <row r="29" spans="1:20" x14ac:dyDescent="0.25">
      <c r="A29" s="5">
        <v>44564</v>
      </c>
      <c r="B29">
        <v>0.31159999999999999</v>
      </c>
      <c r="C29">
        <v>0.31919999999999998</v>
      </c>
      <c r="D29">
        <v>0.29360000000000003</v>
      </c>
      <c r="E29">
        <v>0.3004</v>
      </c>
      <c r="F29">
        <v>90278671</v>
      </c>
      <c r="G29">
        <v>0.3004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-0.46875000000000122</v>
      </c>
      <c r="Q29">
        <f t="shared" ref="Q29" si="121">F29*P29</f>
        <v>-42318127.031250112</v>
      </c>
      <c r="R29">
        <f t="shared" ref="R29" si="122">R30+Q29</f>
        <v>-183093733.58320463</v>
      </c>
      <c r="S29">
        <f t="shared" ref="S29" si="123">R29/100000</f>
        <v>-1830.9373358320463</v>
      </c>
      <c r="T29">
        <f t="shared" ref="T29" si="124">S29/1000</f>
        <v>-1.8309373358320462</v>
      </c>
    </row>
    <row r="30" spans="1:20" x14ac:dyDescent="0.25">
      <c r="A30" s="5">
        <v>44563</v>
      </c>
      <c r="B30">
        <v>0.29499999999999998</v>
      </c>
      <c r="C30">
        <v>0.31830000000000003</v>
      </c>
      <c r="D30">
        <v>0.29310000000000003</v>
      </c>
      <c r="E30">
        <v>0.31159999999999999</v>
      </c>
      <c r="F30">
        <v>127892505</v>
      </c>
      <c r="G30">
        <v>0.31159999999999999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0.46825396825396515</v>
      </c>
      <c r="Q30">
        <f t="shared" ref="Q30" si="126">F30*P30</f>
        <v>59886172.976190075</v>
      </c>
      <c r="R30">
        <f t="shared" ref="R30" si="127">R31+Q30</f>
        <v>-140775606.55195451</v>
      </c>
      <c r="S30">
        <f t="shared" ref="S30" si="128">R30/100000</f>
        <v>-1407.756065519545</v>
      </c>
      <c r="T30">
        <f t="shared" ref="T30" si="129">S30/1000</f>
        <v>-1.4077560655195449</v>
      </c>
    </row>
    <row r="31" spans="1:20" x14ac:dyDescent="0.25">
      <c r="A31" s="5">
        <v>44562</v>
      </c>
      <c r="B31">
        <v>0.28339999999999999</v>
      </c>
      <c r="C31">
        <v>0.29570000000000002</v>
      </c>
      <c r="D31">
        <v>0.28320000000000001</v>
      </c>
      <c r="E31">
        <v>0.29509999999999997</v>
      </c>
      <c r="F31">
        <v>57716381</v>
      </c>
      <c r="G31">
        <v>0.29509999999999997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0.90399999999999292</v>
      </c>
      <c r="Q31">
        <f t="shared" ref="Q31" si="131">F31*P31</f>
        <v>52175608.423999593</v>
      </c>
      <c r="R31">
        <f t="shared" ref="R31" si="132">R32+Q31</f>
        <v>-200661779.5281446</v>
      </c>
      <c r="S31">
        <f t="shared" ref="S31" si="133">R31/100000</f>
        <v>-2006.617795281446</v>
      </c>
      <c r="T31">
        <f t="shared" ref="T31" si="134">S31/1000</f>
        <v>-2.0066177952814459</v>
      </c>
    </row>
    <row r="32" spans="1:20" x14ac:dyDescent="0.25">
      <c r="A32" s="5">
        <v>44561</v>
      </c>
      <c r="B32">
        <v>0.28970000000000001</v>
      </c>
      <c r="C32">
        <v>0.2959</v>
      </c>
      <c r="D32">
        <v>0.27539999999999998</v>
      </c>
      <c r="E32">
        <v>0.28339999999999999</v>
      </c>
      <c r="F32">
        <v>89053918</v>
      </c>
      <c r="G32">
        <v>0.28339999999999999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-0.21951219512195122</v>
      </c>
      <c r="Q32">
        <f t="shared" ref="Q32" si="136">F32*P32</f>
        <v>-19548421.024390243</v>
      </c>
      <c r="R32">
        <f t="shared" ref="R32" si="137">R33+Q32</f>
        <v>-252837387.95214418</v>
      </c>
      <c r="S32">
        <f t="shared" ref="S32" si="138">R32/100000</f>
        <v>-2528.3738795214417</v>
      </c>
      <c r="T32">
        <f t="shared" ref="T32" si="139">S32/1000</f>
        <v>-2.5283738795214417</v>
      </c>
    </row>
    <row r="33" spans="1:20" x14ac:dyDescent="0.25">
      <c r="A33" s="5">
        <v>44560</v>
      </c>
      <c r="B33">
        <v>0.28710000000000002</v>
      </c>
      <c r="C33">
        <v>0.29680000000000001</v>
      </c>
      <c r="D33">
        <v>0.27939999999999998</v>
      </c>
      <c r="E33">
        <v>0.28960000000000002</v>
      </c>
      <c r="F33">
        <v>82380077</v>
      </c>
      <c r="G33">
        <v>0.28960000000000002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0.17241379310345137</v>
      </c>
      <c r="Q33">
        <f t="shared" ref="Q33" si="141">F33*P33</f>
        <v>14203461.551724393</v>
      </c>
      <c r="R33">
        <f t="shared" ref="R33" si="142">R34+Q33</f>
        <v>-233288966.92775393</v>
      </c>
      <c r="S33">
        <f t="shared" ref="S33" si="143">R33/100000</f>
        <v>-2332.8896692775393</v>
      </c>
      <c r="T33">
        <f t="shared" ref="T33" si="144">S33/1000</f>
        <v>-2.3328896692775394</v>
      </c>
    </row>
    <row r="34" spans="1:20" x14ac:dyDescent="0.25">
      <c r="A34" s="5">
        <v>44559</v>
      </c>
      <c r="B34">
        <v>0.30349999999999999</v>
      </c>
      <c r="C34">
        <v>0.308</v>
      </c>
      <c r="D34">
        <v>0.2843</v>
      </c>
      <c r="E34">
        <v>0.28710000000000002</v>
      </c>
      <c r="F34">
        <v>120893383</v>
      </c>
      <c r="G34">
        <v>0.28710000000000002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-0.76371308016877426</v>
      </c>
      <c r="Q34">
        <f t="shared" ref="Q34" si="146">F34*P34</f>
        <v>-92327857.902953327</v>
      </c>
      <c r="R34">
        <f t="shared" ref="R34" si="147">R35+Q34</f>
        <v>-247492428.47947833</v>
      </c>
      <c r="S34">
        <f t="shared" ref="S34" si="148">R34/100000</f>
        <v>-2474.9242847947835</v>
      </c>
      <c r="T34">
        <f t="shared" ref="T34" si="149">S34/1000</f>
        <v>-2.4749242847947834</v>
      </c>
    </row>
    <row r="35" spans="1:20" x14ac:dyDescent="0.25">
      <c r="A35" s="5">
        <v>44558</v>
      </c>
      <c r="B35">
        <v>0.3367</v>
      </c>
      <c r="C35">
        <v>0.33689999999999998</v>
      </c>
      <c r="D35">
        <v>0.30030000000000001</v>
      </c>
      <c r="E35">
        <v>0.30349999999999999</v>
      </c>
      <c r="F35">
        <v>156963571</v>
      </c>
      <c r="G35">
        <v>0.30349999999999999</v>
      </c>
      <c r="L35" t="s">
        <v>7</v>
      </c>
      <c r="M35" t="s">
        <v>8</v>
      </c>
      <c r="N35" t="s">
        <v>8</v>
      </c>
      <c r="P35">
        <f t="shared" ref="P35" si="150">IF(C35=D35,0,((E35-D35)-(C35-E35))/(C35-D35))</f>
        <v>-0.82513661202185884</v>
      </c>
      <c r="Q35">
        <f t="shared" ref="Q35" si="151">F35*P35</f>
        <v>-129516389.18579249</v>
      </c>
      <c r="R35">
        <f t="shared" ref="R35" si="152">R36+Q35</f>
        <v>-155164570.576525</v>
      </c>
      <c r="S35">
        <f t="shared" ref="S35" si="153">R35/100000</f>
        <v>-1551.6457057652501</v>
      </c>
      <c r="T35">
        <f t="shared" ref="T35" si="154">S35/1000</f>
        <v>-1.5516457057652502</v>
      </c>
    </row>
    <row r="36" spans="1:20" x14ac:dyDescent="0.25">
      <c r="A36" s="5">
        <v>44557</v>
      </c>
      <c r="B36">
        <v>0.32979999999999998</v>
      </c>
      <c r="C36">
        <v>0.35320000000000001</v>
      </c>
      <c r="D36">
        <v>0.32650000000000001</v>
      </c>
      <c r="E36">
        <v>0.33660000000000001</v>
      </c>
      <c r="F36">
        <v>134903288</v>
      </c>
      <c r="G36">
        <v>0.33660000000000001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-0.24344569288389534</v>
      </c>
      <c r="Q36">
        <f t="shared" ref="Q36" si="156">F36*P36</f>
        <v>-32841624.419475682</v>
      </c>
      <c r="R36">
        <f t="shared" ref="R36" si="157">R37+Q36</f>
        <v>-25648181.390732504</v>
      </c>
      <c r="S36">
        <f t="shared" ref="S36" si="158">R36/100000</f>
        <v>-256.48181390732503</v>
      </c>
      <c r="T36">
        <f t="shared" ref="T36" si="159">S36/1000</f>
        <v>-0.25648181390732505</v>
      </c>
    </row>
    <row r="37" spans="1:20" x14ac:dyDescent="0.25">
      <c r="A37" s="5">
        <v>44556</v>
      </c>
      <c r="B37">
        <v>0.318</v>
      </c>
      <c r="C37">
        <v>0.3327</v>
      </c>
      <c r="D37">
        <v>0.31230000000000002</v>
      </c>
      <c r="E37">
        <v>0.3296</v>
      </c>
      <c r="F37">
        <v>117387388</v>
      </c>
      <c r="G37">
        <v>0.3296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0.69607843137254943</v>
      </c>
      <c r="Q37">
        <f t="shared" ref="Q37" si="161">F37*P37</f>
        <v>81710828.901960835</v>
      </c>
      <c r="R37">
        <f t="shared" ref="R37" si="162">R38+Q37</f>
        <v>7193443.0287431777</v>
      </c>
      <c r="S37">
        <f t="shared" ref="S37" si="163">R37/100000</f>
        <v>71.93443028743178</v>
      </c>
      <c r="T37">
        <f t="shared" ref="T37" si="164">S37/1000</f>
        <v>7.193443028743178E-2</v>
      </c>
    </row>
    <row r="38" spans="1:20" x14ac:dyDescent="0.25">
      <c r="A38" s="5">
        <v>44555</v>
      </c>
      <c r="B38">
        <v>0.30159999999999998</v>
      </c>
      <c r="C38">
        <v>0.32269999999999999</v>
      </c>
      <c r="D38">
        <v>0.2984</v>
      </c>
      <c r="E38">
        <v>0.31780000000000003</v>
      </c>
      <c r="F38">
        <v>87281128</v>
      </c>
      <c r="G38">
        <v>0.31780000000000003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0.59670781893004421</v>
      </c>
      <c r="Q38">
        <f t="shared" ref="Q38" si="166">F38*P38</f>
        <v>52081331.522634014</v>
      </c>
      <c r="R38">
        <f t="shared" ref="R38" si="167">R39+Q38</f>
        <v>-74517385.873217657</v>
      </c>
      <c r="S38">
        <f t="shared" ref="S38" si="168">R38/100000</f>
        <v>-745.17385873217654</v>
      </c>
      <c r="T38">
        <f t="shared" ref="T38" si="169">S38/1000</f>
        <v>-0.74517385873217656</v>
      </c>
    </row>
    <row r="39" spans="1:20" x14ac:dyDescent="0.25">
      <c r="A39" s="5">
        <v>44554</v>
      </c>
      <c r="B39">
        <v>0.31290000000000001</v>
      </c>
      <c r="C39">
        <v>0.32100000000000001</v>
      </c>
      <c r="D39">
        <v>0.29770000000000002</v>
      </c>
      <c r="E39">
        <v>0.30149999999999999</v>
      </c>
      <c r="F39">
        <v>92382883</v>
      </c>
      <c r="G39">
        <v>0.30149999999999999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-0.67381974248927279</v>
      </c>
      <c r="Q39">
        <f t="shared" ref="Q39" si="171">F39*P39</f>
        <v>-62249410.433476619</v>
      </c>
      <c r="R39">
        <f t="shared" ref="R39" si="172">R40+Q39</f>
        <v>-126598717.39585167</v>
      </c>
      <c r="S39">
        <f t="shared" ref="S39" si="173">R39/100000</f>
        <v>-1265.9871739585167</v>
      </c>
      <c r="T39">
        <f t="shared" ref="T39" si="174">S39/1000</f>
        <v>-1.2659871739585167</v>
      </c>
    </row>
    <row r="40" spans="1:20" x14ac:dyDescent="0.25">
      <c r="A40" s="5">
        <v>44553</v>
      </c>
      <c r="B40">
        <v>0.28570000000000001</v>
      </c>
      <c r="C40">
        <v>0.31440000000000001</v>
      </c>
      <c r="D40">
        <v>0.28089999999999998</v>
      </c>
      <c r="E40">
        <v>0.31280000000000002</v>
      </c>
      <c r="F40">
        <v>122934446</v>
      </c>
      <c r="G40">
        <v>0.31280000000000002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0.90447761194029919</v>
      </c>
      <c r="Q40">
        <f t="shared" ref="Q40" si="176">F40*P40</f>
        <v>111191454.14328367</v>
      </c>
      <c r="R40">
        <f t="shared" ref="R40" si="177">R41+Q40</f>
        <v>-64349306.962375045</v>
      </c>
      <c r="S40">
        <f t="shared" ref="S40" si="178">R40/100000</f>
        <v>-643.49306962375044</v>
      </c>
      <c r="T40">
        <f t="shared" ref="T40" si="179">S40/1000</f>
        <v>-0.64349306962375041</v>
      </c>
    </row>
    <row r="41" spans="1:20" x14ac:dyDescent="0.25">
      <c r="A41" s="5">
        <v>44552</v>
      </c>
      <c r="B41">
        <v>0.28010000000000002</v>
      </c>
      <c r="C41">
        <v>0.29370000000000002</v>
      </c>
      <c r="D41">
        <v>0.27739999999999998</v>
      </c>
      <c r="E41">
        <v>0.28560000000000002</v>
      </c>
      <c r="F41">
        <v>85415250</v>
      </c>
      <c r="G41">
        <v>0.28560000000000002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6.1349693251560901E-3</v>
      </c>
      <c r="Q41">
        <f t="shared" ref="Q41" si="181">F41*P41</f>
        <v>524019.93865053874</v>
      </c>
      <c r="R41">
        <f t="shared" ref="R41" si="182">R42+Q41</f>
        <v>-175540761.10565871</v>
      </c>
      <c r="S41">
        <f t="shared" ref="S41" si="183">R41/100000</f>
        <v>-1755.407611056587</v>
      </c>
      <c r="T41">
        <f t="shared" ref="T41" si="184">S41/1000</f>
        <v>-1.755407611056587</v>
      </c>
    </row>
    <row r="42" spans="1:20" x14ac:dyDescent="0.25">
      <c r="A42" s="5">
        <v>44551</v>
      </c>
      <c r="B42">
        <v>0.26750000000000002</v>
      </c>
      <c r="C42">
        <v>0.28510000000000002</v>
      </c>
      <c r="D42">
        <v>0.26300000000000001</v>
      </c>
      <c r="E42">
        <v>0.28010000000000002</v>
      </c>
      <c r="F42">
        <v>96926416</v>
      </c>
      <c r="G42">
        <v>0.28010000000000002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0.54751131221719429</v>
      </c>
      <c r="Q42">
        <f t="shared" ref="Q42" si="186">F42*P42</f>
        <v>53068309.212669656</v>
      </c>
      <c r="R42">
        <f t="shared" ref="R42" si="187">R43+Q42</f>
        <v>-176064781.04430926</v>
      </c>
      <c r="S42">
        <f t="shared" ref="S42" si="188">R42/100000</f>
        <v>-1760.6478104430926</v>
      </c>
      <c r="T42">
        <f t="shared" ref="T42" si="189">S42/1000</f>
        <v>-1.7606478104430925</v>
      </c>
    </row>
    <row r="43" spans="1:20" x14ac:dyDescent="0.25">
      <c r="A43" s="5">
        <v>44550</v>
      </c>
      <c r="B43">
        <v>0.26319999999999999</v>
      </c>
      <c r="C43">
        <v>0.27350000000000002</v>
      </c>
      <c r="D43">
        <v>0.24809999999999999</v>
      </c>
      <c r="E43">
        <v>0.26750000000000002</v>
      </c>
      <c r="F43">
        <v>114388219</v>
      </c>
      <c r="G43">
        <v>0.26750000000000002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0.52755905511811041</v>
      </c>
      <c r="Q43">
        <f t="shared" ref="Q43" si="191">F43*P43</f>
        <v>60346540.732283488</v>
      </c>
      <c r="R43">
        <f t="shared" ref="R43" si="192">R44+Q43</f>
        <v>-229133090.25697893</v>
      </c>
      <c r="S43">
        <f t="shared" ref="S43" si="193">R43/100000</f>
        <v>-2291.3309025697895</v>
      </c>
      <c r="T43">
        <f t="shared" ref="T43" si="194">S43/1000</f>
        <v>-2.2913309025697894</v>
      </c>
    </row>
    <row r="44" spans="1:20" x14ac:dyDescent="0.25">
      <c r="A44" s="5">
        <v>44549</v>
      </c>
      <c r="B44">
        <v>0.27179999999999999</v>
      </c>
      <c r="C44">
        <v>0.2757</v>
      </c>
      <c r="D44">
        <v>0.25979999999999998</v>
      </c>
      <c r="E44">
        <v>0.2631</v>
      </c>
      <c r="F44">
        <v>77883492</v>
      </c>
      <c r="G44">
        <v>0.2631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-0.58490566037735603</v>
      </c>
      <c r="Q44">
        <f t="shared" ref="Q44" si="196">F44*P44</f>
        <v>-45554495.320754528</v>
      </c>
      <c r="R44">
        <f t="shared" ref="R44" si="197">R45+Q44</f>
        <v>-289479630.9892624</v>
      </c>
      <c r="S44">
        <f t="shared" ref="S44" si="198">R44/100000</f>
        <v>-2894.7963098926239</v>
      </c>
      <c r="T44">
        <f t="shared" ref="T44" si="199">S44/1000</f>
        <v>-2.8947963098926239</v>
      </c>
    </row>
    <row r="45" spans="1:20" x14ac:dyDescent="0.25">
      <c r="A45" s="5">
        <v>44548</v>
      </c>
      <c r="B45">
        <v>0.26629999999999998</v>
      </c>
      <c r="C45">
        <v>0.27539999999999998</v>
      </c>
      <c r="D45">
        <v>0.25890000000000002</v>
      </c>
      <c r="E45">
        <v>0.27179999999999999</v>
      </c>
      <c r="F45">
        <v>66275234</v>
      </c>
      <c r="G45">
        <v>0.27179999999999999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0.56363636363636349</v>
      </c>
      <c r="Q45">
        <f t="shared" ref="Q45" si="201">F45*P45</f>
        <v>37355131.890909083</v>
      </c>
      <c r="R45">
        <f t="shared" ref="R45" si="202">R46+Q45</f>
        <v>-243925135.66850787</v>
      </c>
      <c r="S45">
        <f t="shared" ref="S45" si="203">R45/100000</f>
        <v>-2439.2513566850789</v>
      </c>
      <c r="T45">
        <f t="shared" ref="T45" si="204">S45/1000</f>
        <v>-2.4392513566850789</v>
      </c>
    </row>
    <row r="46" spans="1:20" x14ac:dyDescent="0.25">
      <c r="A46" s="5">
        <v>44547</v>
      </c>
      <c r="B46">
        <v>0.27939999999999998</v>
      </c>
      <c r="C46">
        <v>0.2868</v>
      </c>
      <c r="D46">
        <v>0.25459999999999999</v>
      </c>
      <c r="E46">
        <v>0.26629999999999998</v>
      </c>
      <c r="F46">
        <v>143359219</v>
      </c>
      <c r="G46">
        <v>0.26629999999999998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-0.27329192546583941</v>
      </c>
      <c r="Q46">
        <f t="shared" ref="Q46" si="206">F46*P46</f>
        <v>-39178916.99378895</v>
      </c>
      <c r="R46">
        <f t="shared" ref="R46" si="207">R47+Q46</f>
        <v>-281280267.55941695</v>
      </c>
      <c r="S46">
        <f t="shared" ref="S46" si="208">R46/100000</f>
        <v>-2812.8026755941696</v>
      </c>
      <c r="T46">
        <f t="shared" ref="T46" si="209">S46/1000</f>
        <v>-2.8128026755941695</v>
      </c>
    </row>
    <row r="47" spans="1:20" x14ac:dyDescent="0.25">
      <c r="A47" s="5">
        <v>44546</v>
      </c>
      <c r="B47">
        <v>0.28670000000000001</v>
      </c>
      <c r="C47">
        <v>0.29830000000000001</v>
      </c>
      <c r="D47">
        <v>0.27800000000000002</v>
      </c>
      <c r="E47">
        <v>0.27939999999999998</v>
      </c>
      <c r="F47">
        <v>112904265</v>
      </c>
      <c r="G47">
        <v>0.27939999999999998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-0.86206896551724554</v>
      </c>
      <c r="Q47">
        <f t="shared" ref="Q47" si="211">F47*P47</f>
        <v>-97331262.931034952</v>
      </c>
      <c r="R47">
        <f t="shared" ref="R47" si="212">R48+Q47</f>
        <v>-242101350.56562802</v>
      </c>
      <c r="S47">
        <f t="shared" ref="S47" si="213">R47/100000</f>
        <v>-2421.0135056562804</v>
      </c>
      <c r="T47">
        <f t="shared" ref="T47" si="214">S47/1000</f>
        <v>-2.4210135056562803</v>
      </c>
    </row>
    <row r="48" spans="1:20" x14ac:dyDescent="0.25">
      <c r="A48" s="5">
        <v>44545</v>
      </c>
      <c r="B48">
        <v>0.2787</v>
      </c>
      <c r="C48">
        <v>0.29249999999999998</v>
      </c>
      <c r="D48">
        <v>0.25850000000000001</v>
      </c>
      <c r="E48">
        <v>0.28670000000000001</v>
      </c>
      <c r="F48">
        <v>126811089</v>
      </c>
      <c r="G48">
        <v>0.28670000000000001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0.65882352941176614</v>
      </c>
      <c r="Q48">
        <f t="shared" ref="Q48" si="216">F48*P48</f>
        <v>83546129.223529592</v>
      </c>
      <c r="R48">
        <f t="shared" ref="R48" si="217">R49+Q48</f>
        <v>-144770087.63459307</v>
      </c>
      <c r="S48">
        <f t="shared" ref="S48" si="218">R48/100000</f>
        <v>-1447.7008763459307</v>
      </c>
      <c r="T48">
        <f t="shared" ref="T48" si="219">S48/1000</f>
        <v>-1.4477008763459307</v>
      </c>
    </row>
    <row r="49" spans="1:20" x14ac:dyDescent="0.25">
      <c r="A49" s="5">
        <v>44544</v>
      </c>
      <c r="B49">
        <v>0.27039999999999997</v>
      </c>
      <c r="C49">
        <v>0.29709999999999998</v>
      </c>
      <c r="D49">
        <v>0.2606</v>
      </c>
      <c r="E49">
        <v>0.27879999999999999</v>
      </c>
      <c r="F49">
        <v>162492797</v>
      </c>
      <c r="G49">
        <v>0.27879999999999999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-2.7397260273969602E-3</v>
      </c>
      <c r="Q49">
        <f t="shared" ref="Q49" si="221">F49*P49</f>
        <v>-445185.74520543066</v>
      </c>
      <c r="R49">
        <f t="shared" ref="R49" si="222">R50+Q49</f>
        <v>-228316216.85812268</v>
      </c>
      <c r="S49">
        <f t="shared" ref="S49" si="223">R49/100000</f>
        <v>-2283.162168581227</v>
      </c>
      <c r="T49">
        <f t="shared" ref="T49" si="224">S49/1000</f>
        <v>-2.2831621685812271</v>
      </c>
    </row>
    <row r="50" spans="1:20" x14ac:dyDescent="0.25">
      <c r="A50" s="5">
        <v>44543</v>
      </c>
      <c r="B50">
        <v>0.3034</v>
      </c>
      <c r="C50">
        <v>0.31080000000000002</v>
      </c>
      <c r="D50">
        <v>0.2651</v>
      </c>
      <c r="E50">
        <v>0.27039999999999997</v>
      </c>
      <c r="F50">
        <v>139547098</v>
      </c>
      <c r="G50">
        <v>0.27039999999999997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-0.76805251641137995</v>
      </c>
      <c r="Q50">
        <f t="shared" ref="Q50" si="226">F50*P50</f>
        <v>-107179499.77680545</v>
      </c>
      <c r="R50">
        <f t="shared" ref="R50" si="227">R51+Q50</f>
        <v>-227871031.11291724</v>
      </c>
      <c r="S50">
        <f t="shared" ref="S50" si="228">R50/100000</f>
        <v>-2278.7103111291726</v>
      </c>
      <c r="T50">
        <f t="shared" ref="T50" si="229">S50/1000</f>
        <v>-2.2787103111291724</v>
      </c>
    </row>
    <row r="51" spans="1:20" x14ac:dyDescent="0.25">
      <c r="A51" s="5">
        <v>44542</v>
      </c>
      <c r="B51">
        <v>0.29770000000000002</v>
      </c>
      <c r="C51">
        <v>0.30890000000000001</v>
      </c>
      <c r="D51">
        <v>0.29220000000000002</v>
      </c>
      <c r="E51">
        <v>0.3034</v>
      </c>
      <c r="F51">
        <v>74549721</v>
      </c>
      <c r="G51">
        <v>0.3034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0.34131736526946022</v>
      </c>
      <c r="Q51">
        <f t="shared" ref="Q51" si="231">F51*P51</f>
        <v>25445114.353293348</v>
      </c>
      <c r="R51">
        <f t="shared" ref="R51" si="232">R52+Q51</f>
        <v>-120691531.3361118</v>
      </c>
      <c r="S51">
        <f t="shared" ref="S51" si="233">R51/100000</f>
        <v>-1206.915313361118</v>
      </c>
      <c r="T51">
        <f t="shared" ref="T51" si="234">S51/1000</f>
        <v>-1.2069153133611181</v>
      </c>
    </row>
    <row r="52" spans="1:20" x14ac:dyDescent="0.25">
      <c r="A52" s="5">
        <v>44541</v>
      </c>
      <c r="B52">
        <v>0.28349999999999997</v>
      </c>
      <c r="C52">
        <v>0.2888</v>
      </c>
      <c r="D52">
        <v>0.27950000000000003</v>
      </c>
      <c r="E52">
        <v>0.28699999999999998</v>
      </c>
      <c r="F52">
        <v>8986992</v>
      </c>
      <c r="G52">
        <v>0.28699999999999998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0.61290322580644541</v>
      </c>
      <c r="Q52">
        <f t="shared" ref="Q52" si="236">F52*P52</f>
        <v>5508156.387096718</v>
      </c>
      <c r="R52">
        <f t="shared" ref="R52" si="237">R53+Q52</f>
        <v>-146136645.68940514</v>
      </c>
      <c r="S52">
        <f t="shared" ref="S52" si="238">R52/100000</f>
        <v>-1461.3664568940515</v>
      </c>
      <c r="T52">
        <f t="shared" ref="T52" si="239">S52/1000</f>
        <v>-1.4613664568940514</v>
      </c>
    </row>
    <row r="53" spans="1:20" x14ac:dyDescent="0.25">
      <c r="A53" s="5">
        <v>44540</v>
      </c>
      <c r="B53">
        <v>0.29699999999999999</v>
      </c>
      <c r="C53">
        <v>0.31</v>
      </c>
      <c r="D53">
        <v>0.28220000000000001</v>
      </c>
      <c r="E53">
        <v>0.28349999999999997</v>
      </c>
      <c r="F53">
        <v>132545350</v>
      </c>
      <c r="G53">
        <v>0.28349999999999997</v>
      </c>
      <c r="L53" t="s">
        <v>7</v>
      </c>
      <c r="M53" t="s">
        <v>8</v>
      </c>
      <c r="N53" t="s">
        <v>8</v>
      </c>
      <c r="P53">
        <f t="shared" ref="P53" si="240">IF(C53=D53,0,((E53-D53)-(C53-E53))/(C53-D53))</f>
        <v>-0.90647482014388714</v>
      </c>
      <c r="Q53">
        <f t="shared" ref="Q53" si="241">F53*P53</f>
        <v>-120149022.30215856</v>
      </c>
      <c r="R53">
        <f t="shared" ref="R53" si="242">R54+Q53</f>
        <v>-151644802.07650185</v>
      </c>
      <c r="S53">
        <f t="shared" ref="S53" si="243">R53/100000</f>
        <v>-1516.4480207650186</v>
      </c>
      <c r="T53">
        <f t="shared" ref="T53" si="244">S53/1000</f>
        <v>-1.5164480207650186</v>
      </c>
    </row>
    <row r="54" spans="1:20" x14ac:dyDescent="0.25">
      <c r="A54" s="5">
        <v>44539</v>
      </c>
      <c r="B54">
        <v>0.32990000000000003</v>
      </c>
      <c r="C54">
        <v>0.33510000000000001</v>
      </c>
      <c r="D54">
        <v>0.29620000000000002</v>
      </c>
      <c r="E54">
        <v>0.2964</v>
      </c>
      <c r="F54">
        <v>159876575</v>
      </c>
      <c r="G54">
        <v>0.2964</v>
      </c>
      <c r="L54" t="s">
        <v>7</v>
      </c>
      <c r="M54" t="s">
        <v>8</v>
      </c>
      <c r="N54" t="s">
        <v>8</v>
      </c>
      <c r="P54">
        <f t="shared" ref="P54" si="245">IF(C54=D54,0,((E54-D54)-(C54-E54))/(C54-D54))</f>
        <v>-0.98971722365038672</v>
      </c>
      <c r="Q54">
        <f t="shared" ref="Q54" si="246">F54*P54</f>
        <v>-158232599.93573284</v>
      </c>
      <c r="R54">
        <f t="shared" ref="R54" si="247">R55+Q54</f>
        <v>-31495779.774343267</v>
      </c>
      <c r="S54">
        <f t="shared" ref="S54" si="248">R54/100000</f>
        <v>-314.95779774343265</v>
      </c>
      <c r="T54">
        <f t="shared" ref="T54" si="249">S54/1000</f>
        <v>-0.31495779774343263</v>
      </c>
    </row>
    <row r="55" spans="1:20" x14ac:dyDescent="0.25">
      <c r="A55" s="5">
        <v>44538</v>
      </c>
      <c r="B55">
        <v>0.3175</v>
      </c>
      <c r="C55">
        <v>0.33389999999999997</v>
      </c>
      <c r="D55">
        <v>0.3019</v>
      </c>
      <c r="E55">
        <v>0.32990000000000003</v>
      </c>
      <c r="F55">
        <v>177954911</v>
      </c>
      <c r="G55">
        <v>0.32990000000000003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0.750000000000003</v>
      </c>
      <c r="Q55">
        <f t="shared" ref="Q55" si="251">F55*P55</f>
        <v>133466183.25000054</v>
      </c>
      <c r="R55">
        <f t="shared" ref="R55" si="252">R56+Q55</f>
        <v>126736820.16138957</v>
      </c>
      <c r="S55">
        <f t="shared" ref="S55" si="253">R55/100000</f>
        <v>1267.3682016138957</v>
      </c>
      <c r="T55">
        <f t="shared" ref="T55" si="254">S55/1000</f>
        <v>1.2673682016138956</v>
      </c>
    </row>
    <row r="56" spans="1:20" x14ac:dyDescent="0.25">
      <c r="A56" s="5">
        <v>44537</v>
      </c>
      <c r="B56">
        <v>0.32069999999999999</v>
      </c>
      <c r="C56">
        <v>0.3407</v>
      </c>
      <c r="D56">
        <v>0.31240000000000001</v>
      </c>
      <c r="E56">
        <v>0.3175</v>
      </c>
      <c r="F56">
        <v>179627050</v>
      </c>
      <c r="G56">
        <v>0.3175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-0.63957597173144909</v>
      </c>
      <c r="Q56">
        <f t="shared" ref="Q56" si="256">F56*P56</f>
        <v>-114885145.05300359</v>
      </c>
      <c r="R56">
        <f t="shared" ref="R56" si="257">R57+Q56</f>
        <v>-6729363.088610962</v>
      </c>
      <c r="S56">
        <f t="shared" ref="S56" si="258">R56/100000</f>
        <v>-67.293630886109625</v>
      </c>
      <c r="T56">
        <f t="shared" ref="T56" si="259">S56/1000</f>
        <v>-6.7293630886109623E-2</v>
      </c>
    </row>
    <row r="57" spans="1:20" x14ac:dyDescent="0.25">
      <c r="A57" s="5">
        <v>44536</v>
      </c>
      <c r="B57">
        <v>0.31840000000000002</v>
      </c>
      <c r="C57">
        <v>0.32429999999999998</v>
      </c>
      <c r="D57">
        <v>0.27939999999999998</v>
      </c>
      <c r="E57">
        <v>0.32069999999999999</v>
      </c>
      <c r="F57">
        <v>280556266</v>
      </c>
      <c r="G57">
        <v>0.32069999999999999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0.83964365256124751</v>
      </c>
      <c r="Q57">
        <f t="shared" ref="Q57" si="261">F57*P57</f>
        <v>235567287.93318495</v>
      </c>
      <c r="R57">
        <f t="shared" ref="R57" si="262">R58+Q57</f>
        <v>108155781.96439263</v>
      </c>
      <c r="S57">
        <f t="shared" ref="S57" si="263">R57/100000</f>
        <v>1081.5578196439262</v>
      </c>
      <c r="T57">
        <f t="shared" ref="T57" si="264">S57/1000</f>
        <v>1.0815578196439262</v>
      </c>
    </row>
    <row r="58" spans="1:20" x14ac:dyDescent="0.25">
      <c r="A58" s="5">
        <v>44535</v>
      </c>
      <c r="B58">
        <v>0.33860000000000001</v>
      </c>
      <c r="C58">
        <v>0.35630000000000001</v>
      </c>
      <c r="D58">
        <v>0.30130000000000001</v>
      </c>
      <c r="E58">
        <v>0.31830000000000003</v>
      </c>
      <c r="F58">
        <v>279385909</v>
      </c>
      <c r="G58">
        <v>0.31830000000000003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-0.38181818181818117</v>
      </c>
      <c r="Q58">
        <f t="shared" ref="Q58" si="266">F58*P58</f>
        <v>-106674619.79999982</v>
      </c>
      <c r="R58">
        <f t="shared" ref="R58" si="267">R59+Q58</f>
        <v>-127411505.96879232</v>
      </c>
      <c r="S58">
        <f t="shared" ref="S58" si="268">R58/100000</f>
        <v>-1274.1150596879231</v>
      </c>
      <c r="T58">
        <f t="shared" ref="T58" si="269">S58/1000</f>
        <v>-1.2741150596879232</v>
      </c>
    </row>
    <row r="59" spans="1:20" x14ac:dyDescent="0.25">
      <c r="A59" s="5">
        <v>44534</v>
      </c>
      <c r="B59">
        <v>0.39410000000000001</v>
      </c>
      <c r="C59">
        <v>0.4</v>
      </c>
      <c r="D59">
        <v>0.23932</v>
      </c>
      <c r="E59">
        <v>0.33879999999999999</v>
      </c>
      <c r="F59">
        <v>517402990</v>
      </c>
      <c r="G59">
        <v>0.33879999999999999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0.23823749066467481</v>
      </c>
      <c r="Q59">
        <f t="shared" ref="Q59" si="271">F59*P59</f>
        <v>123264789.99999984</v>
      </c>
      <c r="R59">
        <f t="shared" ref="R59" si="272">R60+Q59</f>
        <v>-20736886.168792501</v>
      </c>
      <c r="S59">
        <f t="shared" ref="S59" si="273">R59/100000</f>
        <v>-207.368861687925</v>
      </c>
      <c r="T59">
        <f t="shared" ref="T59" si="274">S59/1000</f>
        <v>-0.20736886168792501</v>
      </c>
    </row>
    <row r="60" spans="1:20" x14ac:dyDescent="0.25">
      <c r="A60" s="5">
        <v>44533</v>
      </c>
      <c r="B60">
        <v>0.4224</v>
      </c>
      <c r="C60">
        <v>0.42859999999999998</v>
      </c>
      <c r="D60">
        <v>0.379</v>
      </c>
      <c r="E60">
        <v>0.39429999999999998</v>
      </c>
      <c r="F60">
        <v>155035006</v>
      </c>
      <c r="G60">
        <v>0.39429999999999998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-0.38306451612903275</v>
      </c>
      <c r="Q60">
        <f t="shared" ref="Q60" si="276">F60*P60</f>
        <v>-59388409.556451686</v>
      </c>
      <c r="R60">
        <f t="shared" ref="R60" si="277">R61+Q60</f>
        <v>-144001676.16879234</v>
      </c>
      <c r="S60">
        <f t="shared" ref="S60" si="278">R60/100000</f>
        <v>-1440.0167616879235</v>
      </c>
      <c r="T60">
        <f t="shared" ref="T60" si="279">S60/1000</f>
        <v>-1.4400167616879234</v>
      </c>
    </row>
    <row r="61" spans="1:20" x14ac:dyDescent="0.25">
      <c r="A61" s="5">
        <v>44532</v>
      </c>
      <c r="B61">
        <v>0.43569999999999998</v>
      </c>
      <c r="C61">
        <v>0.43569999999999998</v>
      </c>
      <c r="D61">
        <v>0.41089999999999999</v>
      </c>
      <c r="E61">
        <v>0.4224</v>
      </c>
      <c r="F61">
        <v>105909985</v>
      </c>
      <c r="G61">
        <v>0.4224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-7.2580645161289079E-2</v>
      </c>
      <c r="Q61">
        <f t="shared" ref="Q61" si="281">F61*P61</f>
        <v>-7687015.0403224491</v>
      </c>
      <c r="R61">
        <f t="shared" ref="R61" si="282">R62+Q61</f>
        <v>-84613266.612340659</v>
      </c>
      <c r="S61">
        <f t="shared" ref="S61" si="283">R61/100000</f>
        <v>-846.13266612340658</v>
      </c>
      <c r="T61">
        <f t="shared" ref="T61" si="284">S61/1000</f>
        <v>-0.84613266612340654</v>
      </c>
    </row>
    <row r="62" spans="1:20" x14ac:dyDescent="0.25">
      <c r="A62" s="5">
        <v>44531</v>
      </c>
      <c r="B62">
        <v>0.4385</v>
      </c>
      <c r="C62">
        <v>0.45390000000000003</v>
      </c>
      <c r="D62">
        <v>0.42670000000000002</v>
      </c>
      <c r="E62">
        <v>0.43569999999999998</v>
      </c>
      <c r="F62">
        <v>126097123</v>
      </c>
      <c r="G62">
        <v>0.43569999999999998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-0.33823529411765058</v>
      </c>
      <c r="Q62">
        <f t="shared" ref="Q62" si="286">F62*P62</f>
        <v>-42650497.485294558</v>
      </c>
      <c r="R62">
        <f t="shared" ref="R62" si="287">R63+Q62</f>
        <v>-76926251.572018206</v>
      </c>
      <c r="S62">
        <f t="shared" ref="S62" si="288">R62/100000</f>
        <v>-769.26251572018202</v>
      </c>
      <c r="T62">
        <f t="shared" ref="T62" si="289">S62/1000</f>
        <v>-0.76926251572018201</v>
      </c>
    </row>
    <row r="63" spans="1:20" x14ac:dyDescent="0.25">
      <c r="A63" s="5">
        <v>44530</v>
      </c>
      <c r="B63">
        <v>0.4592</v>
      </c>
      <c r="C63">
        <v>0.4632</v>
      </c>
      <c r="D63">
        <v>0.43519999999999998</v>
      </c>
      <c r="E63">
        <v>0.4385</v>
      </c>
      <c r="F63">
        <v>178973683</v>
      </c>
      <c r="G63">
        <v>0.4385</v>
      </c>
      <c r="L63" t="s">
        <v>7</v>
      </c>
      <c r="M63" t="s">
        <v>8</v>
      </c>
      <c r="N63" t="s">
        <v>7</v>
      </c>
      <c r="P63">
        <f t="shared" ref="P63" si="290">IF(C63=D63,0,((E63-D63)-(C63-E63))/(C63-D63))</f>
        <v>-0.76428571428571268</v>
      </c>
      <c r="Q63">
        <f t="shared" ref="Q63" si="291">F63*P63</f>
        <v>-136787029.14999971</v>
      </c>
      <c r="R63">
        <f t="shared" ref="R63" si="292">R64+Q63</f>
        <v>-34275754.086723641</v>
      </c>
      <c r="S63">
        <f t="shared" ref="S63" si="293">R63/100000</f>
        <v>-342.7575408672364</v>
      </c>
      <c r="T63">
        <f t="shared" ref="T63" si="294">S63/1000</f>
        <v>-0.34275754086723642</v>
      </c>
    </row>
    <row r="64" spans="1:20" x14ac:dyDescent="0.25">
      <c r="A64" s="5">
        <v>44529</v>
      </c>
      <c r="B64">
        <v>0.44440000000000002</v>
      </c>
      <c r="C64">
        <v>0.47549999999999998</v>
      </c>
      <c r="D64">
        <v>0.43099999999999999</v>
      </c>
      <c r="E64">
        <v>0.45939999999999998</v>
      </c>
      <c r="F64">
        <v>243936675</v>
      </c>
      <c r="G64">
        <v>0.45939999999999998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0.27640449438202208</v>
      </c>
      <c r="Q64">
        <f t="shared" ref="Q64" si="296">F64*P64</f>
        <v>67425193.314606652</v>
      </c>
      <c r="R64">
        <f t="shared" ref="R64" si="297">R65+Q64</f>
        <v>102511275.06327607</v>
      </c>
      <c r="S64">
        <f t="shared" ref="S64" si="298">R64/100000</f>
        <v>1025.1127506327607</v>
      </c>
      <c r="T64">
        <f t="shared" ref="T64" si="299">S64/1000</f>
        <v>1.0251127506327606</v>
      </c>
    </row>
    <row r="65" spans="1:20" x14ac:dyDescent="0.25">
      <c r="A65" s="5">
        <v>44528</v>
      </c>
      <c r="B65">
        <v>0.44640000000000002</v>
      </c>
      <c r="C65">
        <v>0.44650000000000001</v>
      </c>
      <c r="D65">
        <v>0.39100000000000001</v>
      </c>
      <c r="E65">
        <v>0.4446</v>
      </c>
      <c r="F65">
        <v>202956950</v>
      </c>
      <c r="G65">
        <v>0.4446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0.93153153153153101</v>
      </c>
      <c r="Q65">
        <f t="shared" ref="Q65" si="301">F65*P65</f>
        <v>189060798.46846837</v>
      </c>
      <c r="R65">
        <f t="shared" ref="R65" si="302">R66+Q65</f>
        <v>35086081.748669416</v>
      </c>
      <c r="S65">
        <f t="shared" ref="S65" si="303">R65/100000</f>
        <v>350.86081748669415</v>
      </c>
      <c r="T65">
        <f t="shared" ref="T65" si="304">S65/1000</f>
        <v>0.35086081748669412</v>
      </c>
    </row>
    <row r="66" spans="1:20" x14ac:dyDescent="0.25">
      <c r="A66" s="5">
        <v>44527</v>
      </c>
      <c r="B66">
        <v>0.4446</v>
      </c>
      <c r="C66">
        <v>0.46679999999999999</v>
      </c>
      <c r="D66">
        <v>0.43190000000000001</v>
      </c>
      <c r="E66">
        <v>0.44629999999999997</v>
      </c>
      <c r="F66">
        <v>146191817</v>
      </c>
      <c r="G66">
        <v>0.44629999999999997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-0.17478510028653443</v>
      </c>
      <c r="Q66">
        <f t="shared" ref="Q66" si="306">F66*P66</f>
        <v>-25552151.39541569</v>
      </c>
      <c r="R66">
        <f t="shared" ref="R66" si="307">R67+Q66</f>
        <v>-153974716.71979895</v>
      </c>
      <c r="S66">
        <f t="shared" ref="S66" si="308">R66/100000</f>
        <v>-1539.7471671979895</v>
      </c>
      <c r="T66">
        <f t="shared" ref="T66" si="309">S66/1000</f>
        <v>-1.5397471671979894</v>
      </c>
    </row>
    <row r="67" spans="1:20" x14ac:dyDescent="0.25">
      <c r="A67" s="5">
        <v>44526</v>
      </c>
      <c r="B67">
        <v>0.50339999999999996</v>
      </c>
      <c r="C67">
        <v>0.50570000000000004</v>
      </c>
      <c r="D67">
        <v>0.42199999999999999</v>
      </c>
      <c r="E67">
        <v>0.44479999999999997</v>
      </c>
      <c r="F67">
        <v>334244921</v>
      </c>
      <c r="G67">
        <v>0.44479999999999997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-0.45519713261648809</v>
      </c>
      <c r="Q67">
        <f t="shared" ref="Q67" si="311">F67*P67</f>
        <v>-152147329.6308246</v>
      </c>
      <c r="R67">
        <f t="shared" ref="R67" si="312">R68+Q67</f>
        <v>-128422565.32438326</v>
      </c>
      <c r="S67">
        <f t="shared" ref="S67" si="313">R67/100000</f>
        <v>-1284.2256532438325</v>
      </c>
      <c r="T67">
        <f t="shared" ref="T67" si="314">S67/1000</f>
        <v>-1.2842256532438325</v>
      </c>
    </row>
    <row r="68" spans="1:20" x14ac:dyDescent="0.25">
      <c r="A68" s="5">
        <v>44525</v>
      </c>
      <c r="B68">
        <v>0.4884</v>
      </c>
      <c r="C68">
        <v>0.52980000000000005</v>
      </c>
      <c r="D68">
        <v>0.46960000000000002</v>
      </c>
      <c r="E68">
        <v>0.50339999999999996</v>
      </c>
      <c r="F68">
        <v>505218761</v>
      </c>
      <c r="G68">
        <v>0.50339999999999996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0.12292358803986457</v>
      </c>
      <c r="Q68">
        <f t="shared" ref="Q68" si="316">F68*P68</f>
        <v>62103302.847174793</v>
      </c>
      <c r="R68">
        <f t="shared" ref="R68" si="317">R69+Q68</f>
        <v>23724764.306441337</v>
      </c>
      <c r="S68">
        <f t="shared" ref="S68" si="318">R68/100000</f>
        <v>237.24764306441338</v>
      </c>
      <c r="T68">
        <f t="shared" ref="T68" si="319">S68/1000</f>
        <v>0.23724764306441337</v>
      </c>
    </row>
    <row r="69" spans="1:20" x14ac:dyDescent="0.25">
      <c r="A69" s="5">
        <v>44524</v>
      </c>
      <c r="B69">
        <v>0.43480000000000002</v>
      </c>
      <c r="C69">
        <v>0.43730000000000002</v>
      </c>
      <c r="D69">
        <v>0.41980000000000001</v>
      </c>
      <c r="E69">
        <v>0.42430000000000001</v>
      </c>
      <c r="F69">
        <v>62533288</v>
      </c>
      <c r="G69">
        <v>0.42430000000000001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-0.48571428571428571</v>
      </c>
      <c r="Q69">
        <f t="shared" ref="Q69" si="321">F69*P69</f>
        <v>-30373311.314285714</v>
      </c>
      <c r="R69">
        <f t="shared" ref="R69" si="322">R70+Q69</f>
        <v>-38378538.540733457</v>
      </c>
      <c r="S69">
        <f t="shared" ref="S69" si="323">R69/100000</f>
        <v>-383.78538540733456</v>
      </c>
      <c r="T69">
        <f t="shared" ref="T69" si="324">S69/1000</f>
        <v>-0.38378538540733453</v>
      </c>
    </row>
    <row r="70" spans="1:20" x14ac:dyDescent="0.25">
      <c r="A70" s="5">
        <v>44523</v>
      </c>
      <c r="B70">
        <v>0.43369999999999997</v>
      </c>
      <c r="C70">
        <v>0.45429999999999998</v>
      </c>
      <c r="D70">
        <v>0.42120000000000002</v>
      </c>
      <c r="E70">
        <v>0.43490000000000001</v>
      </c>
      <c r="F70">
        <v>218004840</v>
      </c>
      <c r="G70">
        <v>0.43490000000000001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-0.17220543806646493</v>
      </c>
      <c r="Q70">
        <f t="shared" ref="Q70" si="326">F70*P70</f>
        <v>-37541618.972809598</v>
      </c>
      <c r="R70">
        <f t="shared" ref="R70" si="327">R71+Q70</f>
        <v>-8005227.2264477424</v>
      </c>
      <c r="S70">
        <f t="shared" ref="S70" si="328">R70/100000</f>
        <v>-80.052272264477423</v>
      </c>
      <c r="T70">
        <f t="shared" ref="T70" si="329">S70/1000</f>
        <v>-8.005227226447742E-2</v>
      </c>
    </row>
    <row r="71" spans="1:20" x14ac:dyDescent="0.25">
      <c r="A71" s="5">
        <v>44522</v>
      </c>
      <c r="B71">
        <v>0.442</v>
      </c>
      <c r="C71">
        <v>0.44790000000000002</v>
      </c>
      <c r="D71">
        <v>0.41849999999999998</v>
      </c>
      <c r="E71">
        <v>0.43359999999999999</v>
      </c>
      <c r="F71">
        <v>171909177</v>
      </c>
      <c r="G71">
        <v>0.43359999999999999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2.7210884353740354E-2</v>
      </c>
      <c r="Q71">
        <f t="shared" ref="Q71" si="331">F71*P71</f>
        <v>4677800.7346936809</v>
      </c>
      <c r="R71">
        <f t="shared" ref="R71" si="332">R72+Q71</f>
        <v>29536391.746361855</v>
      </c>
      <c r="S71">
        <f t="shared" ref="S71" si="333">R71/100000</f>
        <v>295.36391746361858</v>
      </c>
      <c r="T71">
        <f t="shared" ref="T71" si="334">S71/1000</f>
        <v>0.29536391746361856</v>
      </c>
    </row>
    <row r="72" spans="1:20" x14ac:dyDescent="0.25">
      <c r="A72" s="5">
        <v>44521</v>
      </c>
      <c r="B72">
        <v>0.46970000000000001</v>
      </c>
      <c r="C72">
        <v>0.47049999999999997</v>
      </c>
      <c r="D72">
        <v>0.44069999999999998</v>
      </c>
      <c r="E72">
        <v>0.44180000000000003</v>
      </c>
      <c r="F72">
        <v>153190213</v>
      </c>
      <c r="G72">
        <v>0.44180000000000003</v>
      </c>
      <c r="L72" t="s">
        <v>7</v>
      </c>
      <c r="M72" t="s">
        <v>8</v>
      </c>
      <c r="N72" t="s">
        <v>7</v>
      </c>
      <c r="P72">
        <f t="shared" ref="P72" si="335">IF(C72=D72,0,((E72-D72)-(C72-E72))/(C72-D72))</f>
        <v>-0.92617449664429219</v>
      </c>
      <c r="Q72">
        <f t="shared" ref="Q72" si="336">F72*P72</f>
        <v>-141880868.41610691</v>
      </c>
      <c r="R72">
        <f t="shared" ref="R72" si="337">R73+Q72</f>
        <v>24858591.011668175</v>
      </c>
      <c r="S72">
        <f t="shared" ref="S72" si="338">R72/100000</f>
        <v>248.58591011668176</v>
      </c>
      <c r="T72">
        <f t="shared" ref="T72" si="339">S72/1000</f>
        <v>0.24858591011668177</v>
      </c>
    </row>
    <row r="73" spans="1:20" x14ac:dyDescent="0.25">
      <c r="A73" s="5">
        <v>44520</v>
      </c>
      <c r="B73">
        <v>0.4622</v>
      </c>
      <c r="C73">
        <v>0.48570000000000002</v>
      </c>
      <c r="D73">
        <v>0.4486</v>
      </c>
      <c r="E73">
        <v>0.46960000000000002</v>
      </c>
      <c r="F73">
        <v>199659718</v>
      </c>
      <c r="G73">
        <v>0.46960000000000002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0.13207547169811354</v>
      </c>
      <c r="Q73">
        <f t="shared" ref="Q73" si="341">F73*P73</f>
        <v>26370151.43396233</v>
      </c>
      <c r="R73">
        <f t="shared" ref="R73" si="342">R74+Q73</f>
        <v>166739459.42777508</v>
      </c>
      <c r="S73">
        <f t="shared" ref="S73" si="343">R73/100000</f>
        <v>1667.3945942777509</v>
      </c>
      <c r="T73">
        <f t="shared" ref="T73" si="344">S73/1000</f>
        <v>1.6673945942777508</v>
      </c>
    </row>
    <row r="74" spans="1:20" x14ac:dyDescent="0.25">
      <c r="A74" s="5">
        <v>44519</v>
      </c>
      <c r="B74">
        <v>0.43</v>
      </c>
      <c r="C74">
        <v>0.47499999999999998</v>
      </c>
      <c r="D74">
        <v>0.42149999999999999</v>
      </c>
      <c r="E74">
        <v>0.46210000000000001</v>
      </c>
      <c r="F74">
        <v>206598140</v>
      </c>
      <c r="G74">
        <v>0.46210000000000001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0.5177570093457956</v>
      </c>
      <c r="Q74">
        <f t="shared" ref="Q74" si="346">F74*P74</f>
        <v>106967635.10280399</v>
      </c>
      <c r="R74">
        <f t="shared" ref="R74" si="347">R75+Q74</f>
        <v>140369307.99381274</v>
      </c>
      <c r="S74">
        <f t="shared" ref="S74" si="348">R74/100000</f>
        <v>1403.6930799381273</v>
      </c>
      <c r="T74">
        <f t="shared" ref="T74" si="349">S74/1000</f>
        <v>1.4036930799381273</v>
      </c>
    </row>
    <row r="75" spans="1:20" x14ac:dyDescent="0.25">
      <c r="A75" s="5">
        <v>44518</v>
      </c>
      <c r="B75">
        <v>0.49619999999999997</v>
      </c>
      <c r="C75">
        <v>0.4975</v>
      </c>
      <c r="D75">
        <v>0.4138</v>
      </c>
      <c r="E75">
        <v>0.42980000000000002</v>
      </c>
      <c r="F75">
        <v>368887407</v>
      </c>
      <c r="G75">
        <v>0.42980000000000002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-0.61768219832735927</v>
      </c>
      <c r="Q75">
        <f t="shared" ref="Q75" si="351">F75*P75</f>
        <v>-227855184.49103931</v>
      </c>
      <c r="R75">
        <f t="shared" ref="R75" si="352">R76+Q75</f>
        <v>33401672.891008765</v>
      </c>
      <c r="S75">
        <f t="shared" ref="S75" si="353">R75/100000</f>
        <v>334.01672891008764</v>
      </c>
      <c r="T75">
        <f t="shared" ref="T75" si="354">S75/1000</f>
        <v>0.33401672891008766</v>
      </c>
    </row>
    <row r="76" spans="1:20" x14ac:dyDescent="0.25">
      <c r="A76" s="5">
        <v>44517</v>
      </c>
      <c r="B76">
        <v>0.4894</v>
      </c>
      <c r="C76">
        <v>0.51580000000000004</v>
      </c>
      <c r="D76">
        <v>0.47</v>
      </c>
      <c r="E76">
        <v>0.49619999999999997</v>
      </c>
      <c r="F76">
        <v>252264700</v>
      </c>
      <c r="G76">
        <v>0.49619999999999997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0.14410480349344826</v>
      </c>
      <c r="Q76">
        <f t="shared" ref="Q76" si="356">F76*P76</f>
        <v>36352555.021833673</v>
      </c>
      <c r="R76">
        <f t="shared" ref="R76" si="357">R77+Q76</f>
        <v>261256857.38204807</v>
      </c>
      <c r="S76">
        <f t="shared" ref="S76" si="358">R76/100000</f>
        <v>2612.5685738204807</v>
      </c>
      <c r="T76">
        <f t="shared" ref="T76" si="359">S76/1000</f>
        <v>2.6125685738204805</v>
      </c>
    </row>
    <row r="77" spans="1:20" x14ac:dyDescent="0.25">
      <c r="A77" s="5">
        <v>44516</v>
      </c>
      <c r="B77">
        <v>0.53539999999999999</v>
      </c>
      <c r="C77">
        <v>0.53539999999999999</v>
      </c>
      <c r="D77">
        <v>0.4486</v>
      </c>
      <c r="E77">
        <v>0.48909999999999998</v>
      </c>
      <c r="F77">
        <v>525158579</v>
      </c>
      <c r="G77">
        <v>0.48909999999999998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-6.6820276497696174E-2</v>
      </c>
      <c r="Q77">
        <f t="shared" ref="Q77" si="361">F77*P77</f>
        <v>-35091241.45391722</v>
      </c>
      <c r="R77">
        <f t="shared" ref="R77" si="362">R78+Q77</f>
        <v>224904302.36021441</v>
      </c>
      <c r="S77">
        <f t="shared" ref="S77" si="363">R77/100000</f>
        <v>2249.0430236021443</v>
      </c>
      <c r="T77">
        <f t="shared" ref="T77" si="364">S77/1000</f>
        <v>2.2490430236021441</v>
      </c>
    </row>
    <row r="78" spans="1:20" x14ac:dyDescent="0.25">
      <c r="A78" s="5">
        <v>44515</v>
      </c>
      <c r="B78">
        <v>0.55259999999999998</v>
      </c>
      <c r="C78">
        <v>0.58599999999999997</v>
      </c>
      <c r="D78">
        <v>0.52800000000000002</v>
      </c>
      <c r="E78">
        <v>0.53520000000000001</v>
      </c>
      <c r="F78">
        <v>336003398</v>
      </c>
      <c r="G78">
        <v>0.53520000000000001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-0.75172413793103476</v>
      </c>
      <c r="Q78">
        <f t="shared" ref="Q78" si="366">F78*P78</f>
        <v>-252581864.70344839</v>
      </c>
      <c r="R78">
        <f t="shared" ref="R78" si="367">R79+Q78</f>
        <v>259995543.81413165</v>
      </c>
      <c r="S78">
        <f t="shared" ref="S78" si="368">R78/100000</f>
        <v>2599.9554381413163</v>
      </c>
      <c r="T78">
        <f t="shared" ref="T78" si="369">S78/1000</f>
        <v>2.5999554381413161</v>
      </c>
    </row>
    <row r="79" spans="1:20" x14ac:dyDescent="0.25">
      <c r="A79" s="5">
        <v>44514</v>
      </c>
      <c r="B79">
        <v>0.53680000000000005</v>
      </c>
      <c r="C79">
        <v>0.56100000000000005</v>
      </c>
      <c r="D79">
        <v>0.52290000000000003</v>
      </c>
      <c r="E79">
        <v>0.55259999999999998</v>
      </c>
      <c r="F79">
        <v>288930408</v>
      </c>
      <c r="G79">
        <v>0.55259999999999998</v>
      </c>
      <c r="L79" t="s">
        <v>7</v>
      </c>
      <c r="M79" t="s">
        <v>8</v>
      </c>
      <c r="N79" t="s">
        <v>8</v>
      </c>
      <c r="P79">
        <f t="shared" ref="P79" si="370">IF(C79=D79,0,((E79-D79)-(C79-E79))/(C79-D79))</f>
        <v>0.55905511811023256</v>
      </c>
      <c r="Q79">
        <f t="shared" ref="Q79" si="371">F79*P79</f>
        <v>161528023.37007767</v>
      </c>
      <c r="R79">
        <f t="shared" ref="R79" si="372">R80+Q79</f>
        <v>512577408.51758003</v>
      </c>
      <c r="S79">
        <f t="shared" ref="S79" si="373">R79/100000</f>
        <v>5125.7740851757999</v>
      </c>
      <c r="T79">
        <f t="shared" ref="T79" si="374">S79/1000</f>
        <v>5.1257740851757996</v>
      </c>
    </row>
    <row r="80" spans="1:20" x14ac:dyDescent="0.25">
      <c r="A80" s="5">
        <v>44513</v>
      </c>
      <c r="B80">
        <v>0.5655</v>
      </c>
      <c r="C80">
        <v>0.59599999999999997</v>
      </c>
      <c r="D80">
        <v>0.5262</v>
      </c>
      <c r="E80">
        <v>0.53690000000000004</v>
      </c>
      <c r="F80">
        <v>590768243</v>
      </c>
      <c r="G80">
        <v>0.53690000000000004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-0.69340974212034245</v>
      </c>
      <c r="Q80">
        <f t="shared" ref="Q80" si="376">F80*P80</f>
        <v>-409644455.0315178</v>
      </c>
      <c r="R80">
        <f t="shared" ref="R80" si="377">R81+Q80</f>
        <v>351049385.14750236</v>
      </c>
      <c r="S80">
        <f t="shared" ref="S80" si="378">R80/100000</f>
        <v>3510.4938514750238</v>
      </c>
      <c r="T80">
        <f t="shared" ref="T80" si="379">S80/1000</f>
        <v>3.5104938514750237</v>
      </c>
    </row>
    <row r="81" spans="1:20" x14ac:dyDescent="0.25">
      <c r="A81" s="5">
        <v>44512</v>
      </c>
      <c r="B81">
        <v>0.51270000000000004</v>
      </c>
      <c r="C81">
        <v>0.57299999999999995</v>
      </c>
      <c r="D81">
        <v>0.48959999999999998</v>
      </c>
      <c r="E81">
        <v>0.56510000000000005</v>
      </c>
      <c r="F81">
        <v>714222287</v>
      </c>
      <c r="G81">
        <v>0.56510000000000005</v>
      </c>
      <c r="L81" t="s">
        <v>8</v>
      </c>
      <c r="M81" t="s">
        <v>8</v>
      </c>
      <c r="N81" t="s">
        <v>8</v>
      </c>
      <c r="P81">
        <f t="shared" ref="P81" si="380">IF(C81=D81,0,((E81-D81)-(C81-E81))/(C81-D81))</f>
        <v>0.81055155875299978</v>
      </c>
      <c r="Q81">
        <f t="shared" ref="Q81" si="381">F81*P81</f>
        <v>578913988.02398241</v>
      </c>
      <c r="R81">
        <f t="shared" ref="R81" si="382">R82+Q81</f>
        <v>760693840.17902017</v>
      </c>
      <c r="S81">
        <f t="shared" ref="S81" si="383">R81/100000</f>
        <v>7606.9384017902021</v>
      </c>
      <c r="T81">
        <f t="shared" ref="T81" si="384">S81/1000</f>
        <v>7.6069384017902024</v>
      </c>
    </row>
    <row r="82" spans="1:20" x14ac:dyDescent="0.25">
      <c r="A82" s="5">
        <v>44511</v>
      </c>
      <c r="B82">
        <v>0.47839999999999999</v>
      </c>
      <c r="C82">
        <v>0.52470000000000006</v>
      </c>
      <c r="D82">
        <v>0.46160000000000001</v>
      </c>
      <c r="E82">
        <v>0.51270000000000004</v>
      </c>
      <c r="F82">
        <v>471609885</v>
      </c>
      <c r="G82">
        <v>0.51270000000000004</v>
      </c>
      <c r="L82" t="s">
        <v>8</v>
      </c>
      <c r="M82" t="s">
        <v>8</v>
      </c>
      <c r="N82" t="s">
        <v>7</v>
      </c>
      <c r="P82">
        <f t="shared" ref="P82" si="385">IF(C82=D82,0,((E82-D82)-(C82-E82))/(C82-D82))</f>
        <v>0.61965134706814573</v>
      </c>
      <c r="Q82">
        <f t="shared" ref="Q82" si="386">F82*P82</f>
        <v>292233700.53090328</v>
      </c>
      <c r="R82">
        <f t="shared" ref="R82" si="387">R83+Q82</f>
        <v>181779852.1550377</v>
      </c>
      <c r="S82">
        <f t="shared" ref="S82" si="388">R82/100000</f>
        <v>1817.798521550377</v>
      </c>
      <c r="T82">
        <f t="shared" ref="T82" si="389">S82/1000</f>
        <v>1.8177985215503769</v>
      </c>
    </row>
    <row r="83" spans="1:20" x14ac:dyDescent="0.25">
      <c r="A83" s="5">
        <v>44510</v>
      </c>
      <c r="B83">
        <v>0.47120000000000001</v>
      </c>
      <c r="C83">
        <v>0.5514</v>
      </c>
      <c r="D83">
        <v>0.43319999999999997</v>
      </c>
      <c r="E83">
        <v>0.47839999999999999</v>
      </c>
      <c r="F83">
        <v>942689062</v>
      </c>
      <c r="G83">
        <v>0.47839999999999999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-0.23519458544839242</v>
      </c>
      <c r="Q83">
        <f t="shared" ref="Q83" si="391">F83*P83</f>
        <v>-221715363.14382389</v>
      </c>
      <c r="R83">
        <f t="shared" ref="R83" si="392">R84+Q83</f>
        <v>-110453848.37586556</v>
      </c>
      <c r="S83">
        <f t="shared" ref="S83" si="393">R83/100000</f>
        <v>-1104.5384837586557</v>
      </c>
      <c r="T83">
        <f t="shared" ref="T83" si="394">S83/1000</f>
        <v>-1.1045384837586558</v>
      </c>
    </row>
    <row r="84" spans="1:20" x14ac:dyDescent="0.25">
      <c r="A84" s="5">
        <v>44509</v>
      </c>
      <c r="B84">
        <v>0.47960000000000003</v>
      </c>
      <c r="C84">
        <v>0.49</v>
      </c>
      <c r="D84">
        <v>0.4632</v>
      </c>
      <c r="E84">
        <v>0.47099999999999997</v>
      </c>
      <c r="F84">
        <v>207406793</v>
      </c>
      <c r="G84">
        <v>0.47099999999999997</v>
      </c>
      <c r="L84" t="s">
        <v>7</v>
      </c>
      <c r="M84" t="s">
        <v>8</v>
      </c>
      <c r="N84" t="s">
        <v>7</v>
      </c>
      <c r="P84">
        <f t="shared" ref="P84" si="395">IF(C84=D84,0,((E84-D84)-(C84-E84))/(C84-D84))</f>
        <v>-0.41791044776119579</v>
      </c>
      <c r="Q84">
        <f t="shared" ref="Q84" si="396">F84*P84</f>
        <v>-86677465.731343642</v>
      </c>
      <c r="R84">
        <f t="shared" ref="R84" si="397">R85+Q84</f>
        <v>111261514.76795833</v>
      </c>
      <c r="S84">
        <f t="shared" ref="S84" si="398">R84/100000</f>
        <v>1112.6151476795833</v>
      </c>
      <c r="T84">
        <f t="shared" ref="T84" si="399">S84/1000</f>
        <v>1.1126151476795834</v>
      </c>
    </row>
    <row r="85" spans="1:20" x14ac:dyDescent="0.25">
      <c r="A85" s="5">
        <v>44508</v>
      </c>
      <c r="B85">
        <v>0.48949999999999999</v>
      </c>
      <c r="C85">
        <v>0.49130000000000001</v>
      </c>
      <c r="D85">
        <v>0.46079999999999999</v>
      </c>
      <c r="E85">
        <v>0.47960000000000003</v>
      </c>
      <c r="F85">
        <v>244164172</v>
      </c>
      <c r="G85">
        <v>0.47960000000000003</v>
      </c>
      <c r="L85" t="s">
        <v>7</v>
      </c>
      <c r="M85" t="s">
        <v>8</v>
      </c>
      <c r="N85" t="s">
        <v>7</v>
      </c>
      <c r="P85">
        <f t="shared" ref="P85" si="400">IF(C85=D85,0,((E85-D85)-(C85-E85))/(C85-D85))</f>
        <v>0.2327868852459031</v>
      </c>
      <c r="Q85">
        <f t="shared" ref="Q85" si="401">F85*P85</f>
        <v>56838217.088524945</v>
      </c>
      <c r="R85">
        <f t="shared" ref="R85" si="402">R86+Q85</f>
        <v>197938980.49930197</v>
      </c>
      <c r="S85">
        <f t="shared" ref="S85" si="403">R85/100000</f>
        <v>1979.3898049930197</v>
      </c>
      <c r="T85">
        <f t="shared" ref="T85" si="404">S85/1000</f>
        <v>1.9793898049930196</v>
      </c>
    </row>
    <row r="86" spans="1:20" x14ac:dyDescent="0.25">
      <c r="A86" s="5">
        <v>44507</v>
      </c>
      <c r="B86">
        <v>0.50609999999999999</v>
      </c>
      <c r="C86">
        <v>0.52829999999999999</v>
      </c>
      <c r="D86">
        <v>0.47520000000000001</v>
      </c>
      <c r="E86">
        <v>0.4894</v>
      </c>
      <c r="F86">
        <v>349950801</v>
      </c>
      <c r="G86">
        <v>0.4894</v>
      </c>
      <c r="L86" t="s">
        <v>7</v>
      </c>
      <c r="M86" t="s">
        <v>8</v>
      </c>
      <c r="N86" t="s">
        <v>7</v>
      </c>
      <c r="P86">
        <f t="shared" ref="P86" si="405">IF(C86=D86,0,((E86-D86)-(C86-E86))/(C86-D86))</f>
        <v>-0.46516007532956705</v>
      </c>
      <c r="Q86">
        <f t="shared" ref="Q86" si="406">F86*P86</f>
        <v>-162783140.95480233</v>
      </c>
      <c r="R86">
        <f t="shared" ref="R86" si="407">R87+Q86</f>
        <v>141100763.41077703</v>
      </c>
      <c r="S86">
        <f t="shared" ref="S86" si="408">R86/100000</f>
        <v>1411.0076341077704</v>
      </c>
      <c r="T86">
        <f t="shared" ref="T86" si="409">S86/1000</f>
        <v>1.4110076341077704</v>
      </c>
    </row>
    <row r="87" spans="1:20" x14ac:dyDescent="0.25">
      <c r="A87" s="5">
        <v>44506</v>
      </c>
      <c r="B87">
        <v>0.45960000000000001</v>
      </c>
      <c r="C87">
        <v>0.54</v>
      </c>
      <c r="D87">
        <v>0.44019999999999998</v>
      </c>
      <c r="E87">
        <v>0.50609999999999999</v>
      </c>
      <c r="F87">
        <v>736240211</v>
      </c>
      <c r="G87">
        <v>0.50609999999999999</v>
      </c>
      <c r="L87" t="s">
        <v>8</v>
      </c>
      <c r="M87" t="s">
        <v>8</v>
      </c>
      <c r="N87" t="s">
        <v>7</v>
      </c>
      <c r="P87">
        <f t="shared" ref="P87" si="410">IF(C87=D87,0,((E87-D87)-(C87-E87))/(C87-D87))</f>
        <v>0.3206412825651298</v>
      </c>
      <c r="Q87">
        <f t="shared" ref="Q87" si="411">F87*P87</f>
        <v>236069005.5310618</v>
      </c>
      <c r="R87">
        <f t="shared" ref="R87" si="412">R88+Q87</f>
        <v>303883904.36557937</v>
      </c>
      <c r="S87">
        <f t="shared" ref="S87" si="413">R87/100000</f>
        <v>3038.8390436557938</v>
      </c>
      <c r="T87">
        <f t="shared" ref="T87" si="414">S87/1000</f>
        <v>3.0388390436557939</v>
      </c>
    </row>
    <row r="88" spans="1:20" x14ac:dyDescent="0.25">
      <c r="A88" s="5">
        <v>44505</v>
      </c>
      <c r="B88">
        <v>0.43830000000000002</v>
      </c>
      <c r="C88">
        <v>0.48349999999999999</v>
      </c>
      <c r="D88">
        <v>0.43830000000000002</v>
      </c>
      <c r="E88">
        <v>0.45989999999999998</v>
      </c>
      <c r="F88">
        <v>424269296</v>
      </c>
      <c r="G88">
        <v>0.45989999999999998</v>
      </c>
      <c r="L88" t="s">
        <v>8</v>
      </c>
      <c r="M88" t="s">
        <v>7</v>
      </c>
      <c r="N88" t="s">
        <v>7</v>
      </c>
      <c r="P88">
        <f t="shared" ref="P88" si="415">IF(C88=D88,0,((E88-D88)-(C88-E88))/(C88-D88))</f>
        <v>-4.4247787610620773E-2</v>
      </c>
      <c r="Q88">
        <f t="shared" ref="Q88" si="416">F88*P88</f>
        <v>-18772977.699115597</v>
      </c>
      <c r="R88">
        <f t="shared" ref="R88" si="417">R89+Q88</f>
        <v>67814898.834517568</v>
      </c>
      <c r="S88">
        <f t="shared" ref="S88" si="418">R88/100000</f>
        <v>678.14898834517567</v>
      </c>
      <c r="T88">
        <f t="shared" ref="T88" si="419">S88/1000</f>
        <v>0.67814898834517567</v>
      </c>
    </row>
    <row r="89" spans="1:20" x14ac:dyDescent="0.25">
      <c r="A89" s="5">
        <v>44504</v>
      </c>
      <c r="B89">
        <v>0.45469999999999999</v>
      </c>
      <c r="C89">
        <v>0.49049999999999999</v>
      </c>
      <c r="D89">
        <v>0.42120000000000002</v>
      </c>
      <c r="E89">
        <v>0.43809999999999999</v>
      </c>
      <c r="F89">
        <v>469280529</v>
      </c>
      <c r="G89">
        <v>0.43809999999999999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-0.51226551226551287</v>
      </c>
      <c r="Q89">
        <f t="shared" ref="Q89" si="421">F89*P89</f>
        <v>-240396230.58441585</v>
      </c>
      <c r="R89">
        <f t="shared" ref="R89" si="422">R90+Q89</f>
        <v>86587876.533633173</v>
      </c>
      <c r="S89">
        <f t="shared" ref="S89" si="423">R89/100000</f>
        <v>865.87876533633175</v>
      </c>
      <c r="T89">
        <f t="shared" ref="T89" si="424">S89/1000</f>
        <v>0.86587876533633179</v>
      </c>
    </row>
    <row r="90" spans="1:20" x14ac:dyDescent="0.25">
      <c r="A90" s="5">
        <v>44503</v>
      </c>
      <c r="B90">
        <v>0.4965</v>
      </c>
      <c r="C90">
        <v>0.50780000000000003</v>
      </c>
      <c r="D90">
        <v>0.43580000000000002</v>
      </c>
      <c r="E90">
        <v>0.45479999999999998</v>
      </c>
      <c r="F90">
        <v>440620782</v>
      </c>
      <c r="G90">
        <v>0.45479999999999998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-0.47222222222222338</v>
      </c>
      <c r="Q90">
        <f t="shared" ref="Q90" si="426">F90*P90</f>
        <v>-208070924.83333385</v>
      </c>
      <c r="R90">
        <f t="shared" ref="R90" si="427">R91+Q90</f>
        <v>326984107.11804903</v>
      </c>
      <c r="S90">
        <f t="shared" ref="S90" si="428">R90/100000</f>
        <v>3269.8410711804904</v>
      </c>
      <c r="T90">
        <f t="shared" ref="T90" si="429">S90/1000</f>
        <v>3.2698410711804904</v>
      </c>
    </row>
    <row r="91" spans="1:20" x14ac:dyDescent="0.25">
      <c r="A91" s="5">
        <v>44502</v>
      </c>
      <c r="B91">
        <v>0.45129999999999998</v>
      </c>
      <c r="C91">
        <v>0.52470000000000006</v>
      </c>
      <c r="D91">
        <v>0.44479999999999997</v>
      </c>
      <c r="E91">
        <v>0.49640000000000001</v>
      </c>
      <c r="F91">
        <v>801545457</v>
      </c>
      <c r="G91">
        <v>0.49640000000000001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0.29161451814768413</v>
      </c>
      <c r="Q91">
        <f t="shared" ref="Q91" si="431">F91*P91</f>
        <v>233742292.21652028</v>
      </c>
      <c r="R91">
        <f t="shared" ref="R91" si="432">R92+Q91</f>
        <v>535055031.95138288</v>
      </c>
      <c r="S91">
        <f t="shared" ref="S91" si="433">R91/100000</f>
        <v>5350.550319513829</v>
      </c>
      <c r="T91">
        <f t="shared" ref="T91" si="434">S91/1000</f>
        <v>5.3505503195138289</v>
      </c>
    </row>
    <row r="92" spans="1:20" x14ac:dyDescent="0.25">
      <c r="A92" s="5">
        <v>44501</v>
      </c>
      <c r="B92">
        <v>0.41689999999999999</v>
      </c>
      <c r="C92">
        <v>0.49780000000000002</v>
      </c>
      <c r="D92">
        <v>0.40739999999999998</v>
      </c>
      <c r="E92">
        <v>0.45150000000000001</v>
      </c>
      <c r="F92">
        <v>902077375</v>
      </c>
      <c r="G92">
        <v>0.45150000000000001</v>
      </c>
      <c r="L92" t="s">
        <v>8</v>
      </c>
      <c r="M92" t="s">
        <v>8</v>
      </c>
      <c r="N92" t="s">
        <v>7</v>
      </c>
      <c r="P92">
        <f t="shared" ref="P92" si="435">IF(C92=D92,0,((E92-D92)-(C92-E92))/(C92-D92))</f>
        <v>-2.4336283185840475E-2</v>
      </c>
      <c r="Q92">
        <f t="shared" ref="Q92" si="436">F92*P92</f>
        <v>-21953210.453539614</v>
      </c>
      <c r="R92">
        <f t="shared" ref="R92" si="437">R93+Q92</f>
        <v>301312739.73486257</v>
      </c>
      <c r="S92">
        <f t="shared" ref="S92" si="438">R92/100000</f>
        <v>3013.1273973486254</v>
      </c>
      <c r="T92">
        <f t="shared" ref="T92" si="439">S92/1000</f>
        <v>3.0131273973486254</v>
      </c>
    </row>
    <row r="93" spans="1:20" x14ac:dyDescent="0.25">
      <c r="A93" s="5">
        <v>44500</v>
      </c>
      <c r="B93">
        <v>0.52490000000000003</v>
      </c>
      <c r="C93">
        <v>0.59899999999999998</v>
      </c>
      <c r="D93">
        <v>0.39090000000000003</v>
      </c>
      <c r="E93">
        <v>0.41710000000000003</v>
      </c>
      <c r="F93">
        <v>2057154911</v>
      </c>
      <c r="G93">
        <v>0.41710000000000003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-0.74819798173954821</v>
      </c>
      <c r="Q93">
        <f t="shared" ref="Q93" si="441">F93*P93</f>
        <v>-1539159152.5358</v>
      </c>
      <c r="R93">
        <f t="shared" ref="R93" si="442">R94+Q93</f>
        <v>323265950.18840218</v>
      </c>
      <c r="S93">
        <f t="shared" ref="S93" si="443">R93/100000</f>
        <v>3232.6595018840217</v>
      </c>
      <c r="T93">
        <f t="shared" ref="T93" si="444">S93/1000</f>
        <v>3.2326595018840218</v>
      </c>
    </row>
    <row r="94" spans="1:20" x14ac:dyDescent="0.25">
      <c r="A94" s="5">
        <v>44499</v>
      </c>
      <c r="B94">
        <v>0.35539999999999999</v>
      </c>
      <c r="C94">
        <v>0.65610000000000002</v>
      </c>
      <c r="D94">
        <v>0.33810000000000001</v>
      </c>
      <c r="E94">
        <v>0.52480000000000004</v>
      </c>
      <c r="F94">
        <v>1851632585.5</v>
      </c>
      <c r="G94">
        <v>0.52480000000000004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0.1742138364779876</v>
      </c>
      <c r="Q94">
        <f t="shared" ref="Q94" si="446">F94*P94</f>
        <v>322580016.46761042</v>
      </c>
      <c r="R94">
        <f t="shared" ref="R94" si="447">R95+Q94</f>
        <v>1862425102.7242022</v>
      </c>
      <c r="S94">
        <f t="shared" ref="S94" si="448">R94/100000</f>
        <v>18624.251027242022</v>
      </c>
      <c r="T94">
        <f t="shared" ref="T94" si="449">S94/1000</f>
        <v>18.624251027242021</v>
      </c>
    </row>
    <row r="95" spans="1:20" x14ac:dyDescent="0.25">
      <c r="A95" s="5">
        <v>44498</v>
      </c>
      <c r="B95">
        <v>0.32300000000000001</v>
      </c>
      <c r="C95">
        <v>0.36209999999999998</v>
      </c>
      <c r="D95">
        <v>0.318</v>
      </c>
      <c r="E95">
        <v>0.3553</v>
      </c>
      <c r="F95">
        <v>413239823</v>
      </c>
      <c r="G95">
        <v>0.3553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0.6916099773242641</v>
      </c>
      <c r="Q95">
        <f t="shared" ref="Q95" si="451">F95*P95</f>
        <v>285800784.61451292</v>
      </c>
      <c r="R95">
        <f t="shared" ref="R95" si="452">R96+Q95</f>
        <v>1539845086.2565918</v>
      </c>
      <c r="S95">
        <f t="shared" ref="S95" si="453">R95/100000</f>
        <v>15398.450862565918</v>
      </c>
      <c r="T95">
        <f t="shared" ref="T95" si="454">S95/1000</f>
        <v>15.398450862565918</v>
      </c>
    </row>
    <row r="96" spans="1:20" x14ac:dyDescent="0.25">
      <c r="A96" s="5">
        <v>44497</v>
      </c>
      <c r="B96">
        <v>0.30009999999999998</v>
      </c>
      <c r="C96">
        <v>0.33339999999999997</v>
      </c>
      <c r="D96">
        <v>0.29480000000000001</v>
      </c>
      <c r="E96">
        <v>0.32319999999999999</v>
      </c>
      <c r="F96">
        <v>352303032</v>
      </c>
      <c r="G96">
        <v>0.32319999999999999</v>
      </c>
      <c r="L96" t="s">
        <v>8</v>
      </c>
      <c r="M96" t="s">
        <v>8</v>
      </c>
      <c r="N96" t="s">
        <v>8</v>
      </c>
      <c r="P96">
        <f t="shared" ref="P96" si="455">IF(C96=D96,0,((E96-D96)-(C96-E96))/(C96-D96))</f>
        <v>0.47150259067357536</v>
      </c>
      <c r="Q96">
        <f t="shared" ref="Q96" si="456">F96*P96</f>
        <v>166111792.29015553</v>
      </c>
      <c r="R96">
        <f t="shared" ref="R96" si="457">R97+Q96</f>
        <v>1254044301.6420789</v>
      </c>
      <c r="S96">
        <f t="shared" ref="S96" si="458">R96/100000</f>
        <v>12540.443016420788</v>
      </c>
      <c r="T96">
        <f t="shared" ref="T96" si="459">S96/1000</f>
        <v>12.540443016420788</v>
      </c>
    </row>
    <row r="97" spans="1:20" x14ac:dyDescent="0.25">
      <c r="A97" s="5">
        <v>44496</v>
      </c>
      <c r="B97">
        <v>0.34029999999999999</v>
      </c>
      <c r="C97">
        <v>0.3609</v>
      </c>
      <c r="D97">
        <v>0.27510000000000001</v>
      </c>
      <c r="E97">
        <v>0.30009999999999998</v>
      </c>
      <c r="F97">
        <v>429901100</v>
      </c>
      <c r="G97">
        <v>0.30009999999999998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-0.41724941724941794</v>
      </c>
      <c r="Q97">
        <f t="shared" ref="Q97" si="461">F97*P97</f>
        <v>-179375983.44988376</v>
      </c>
      <c r="R97">
        <f t="shared" ref="R97" si="462">R98+Q97</f>
        <v>1087932509.3519235</v>
      </c>
      <c r="S97">
        <f t="shared" ref="S97" si="463">R97/100000</f>
        <v>10879.325093519235</v>
      </c>
      <c r="T97">
        <f t="shared" ref="T97" si="464">S97/1000</f>
        <v>10.879325093519235</v>
      </c>
    </row>
    <row r="98" spans="1:20" x14ac:dyDescent="0.25">
      <c r="A98" s="5">
        <v>44495</v>
      </c>
      <c r="B98">
        <v>0.33700000000000002</v>
      </c>
      <c r="C98">
        <v>0.3669</v>
      </c>
      <c r="D98">
        <v>0.3322</v>
      </c>
      <c r="E98">
        <v>0.34010000000000001</v>
      </c>
      <c r="F98">
        <v>313916103</v>
      </c>
      <c r="G98">
        <v>0.34010000000000001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-0.54466858789625272</v>
      </c>
      <c r="Q98">
        <f t="shared" ref="Q98" si="466">F98*P98</f>
        <v>-170980240.53890464</v>
      </c>
      <c r="R98">
        <f t="shared" ref="R98" si="467">R99+Q98</f>
        <v>1267308492.8018072</v>
      </c>
      <c r="S98">
        <f t="shared" ref="S98" si="468">R98/100000</f>
        <v>12673.084928018072</v>
      </c>
      <c r="T98">
        <f t="shared" ref="T98" si="469">S98/1000</f>
        <v>12.673084928018072</v>
      </c>
    </row>
    <row r="99" spans="1:20" x14ac:dyDescent="0.25">
      <c r="A99" s="5">
        <v>44494</v>
      </c>
      <c r="B99">
        <v>0.31680000000000003</v>
      </c>
      <c r="C99">
        <v>0.34289999999999998</v>
      </c>
      <c r="D99">
        <v>0.31469999999999998</v>
      </c>
      <c r="E99">
        <v>0.33710000000000001</v>
      </c>
      <c r="F99">
        <v>150611583</v>
      </c>
      <c r="G99">
        <v>0.33710000000000001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0.58865248226950562</v>
      </c>
      <c r="Q99">
        <f t="shared" ref="Q99" si="471">F99*P99</f>
        <v>88657882.191489667</v>
      </c>
      <c r="R99">
        <f t="shared" ref="R99" si="472">R100+Q99</f>
        <v>1438288733.3407118</v>
      </c>
      <c r="S99">
        <f t="shared" ref="S99" si="473">R99/100000</f>
        <v>14382.887333407118</v>
      </c>
      <c r="T99">
        <f t="shared" ref="T99" si="474">S99/1000</f>
        <v>14.382887333407117</v>
      </c>
    </row>
    <row r="100" spans="1:20" x14ac:dyDescent="0.25">
      <c r="A100" s="5">
        <v>44493</v>
      </c>
      <c r="B100">
        <v>0.32769999999999999</v>
      </c>
      <c r="C100">
        <v>0.32900000000000001</v>
      </c>
      <c r="D100">
        <v>0.30940000000000001</v>
      </c>
      <c r="E100">
        <v>0.31680000000000003</v>
      </c>
      <c r="F100">
        <v>93700903</v>
      </c>
      <c r="G100">
        <v>0.31680000000000003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-0.24489795918367191</v>
      </c>
      <c r="Q100">
        <f t="shared" ref="Q100" si="476">F100*P100</f>
        <v>-22947159.9183672</v>
      </c>
      <c r="R100">
        <f t="shared" ref="R100" si="477">R101+Q100</f>
        <v>1349630851.1492221</v>
      </c>
      <c r="S100">
        <f t="shared" ref="S100" si="478">R100/100000</f>
        <v>13496.308511492221</v>
      </c>
      <c r="T100">
        <f t="shared" ref="T100" si="479">S100/1000</f>
        <v>13.496308511492222</v>
      </c>
    </row>
    <row r="101" spans="1:20" x14ac:dyDescent="0.25">
      <c r="A101" s="5">
        <v>44492</v>
      </c>
      <c r="B101">
        <v>0.32419999999999999</v>
      </c>
      <c r="C101">
        <v>0.33</v>
      </c>
      <c r="D101">
        <v>0.31730000000000003</v>
      </c>
      <c r="E101">
        <v>0.32769999999999999</v>
      </c>
      <c r="F101">
        <v>79513290</v>
      </c>
      <c r="G101">
        <v>0.32769999999999999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0.63779527559054705</v>
      </c>
      <c r="Q101">
        <f t="shared" ref="Q101" si="481">F101*P101</f>
        <v>50713200.708661087</v>
      </c>
      <c r="R101">
        <f t="shared" ref="R101" si="482">R102+Q101</f>
        <v>1372578011.0675893</v>
      </c>
      <c r="S101">
        <f t="shared" ref="S101" si="483">R101/100000</f>
        <v>13725.780110675893</v>
      </c>
      <c r="T101">
        <f t="shared" ref="T101" si="484">S101/1000</f>
        <v>13.725780110675892</v>
      </c>
    </row>
    <row r="102" spans="1:20" x14ac:dyDescent="0.25">
      <c r="A102" s="5">
        <v>44491</v>
      </c>
      <c r="B102">
        <v>0.31419999999999998</v>
      </c>
      <c r="C102">
        <v>0.33489999999999998</v>
      </c>
      <c r="D102">
        <v>0.31390000000000001</v>
      </c>
      <c r="E102">
        <v>0.3241</v>
      </c>
      <c r="F102">
        <v>169372157</v>
      </c>
      <c r="G102">
        <v>0.3241</v>
      </c>
      <c r="L102" t="s">
        <v>8</v>
      </c>
      <c r="M102" t="s">
        <v>7</v>
      </c>
      <c r="N102" t="s">
        <v>8</v>
      </c>
      <c r="P102">
        <f t="shared" ref="P102" si="485">IF(C102=D102,0,((E102-D102)-(C102-E102))/(C102-D102))</f>
        <v>-2.857142857142812E-2</v>
      </c>
      <c r="Q102">
        <f t="shared" ref="Q102" si="486">F102*P102</f>
        <v>-4839204.4857142093</v>
      </c>
      <c r="R102">
        <f t="shared" ref="R102" si="487">R103+Q102</f>
        <v>1321864810.3589282</v>
      </c>
      <c r="S102">
        <f t="shared" ref="S102" si="488">R102/100000</f>
        <v>13218.648103589281</v>
      </c>
      <c r="T102">
        <f t="shared" ref="T102" si="489">S102/1000</f>
        <v>13.218648103589281</v>
      </c>
    </row>
    <row r="103" spans="1:20" x14ac:dyDescent="0.25">
      <c r="A103" s="5">
        <v>44490</v>
      </c>
      <c r="B103">
        <v>0.3286</v>
      </c>
      <c r="C103">
        <v>0.33539999999999998</v>
      </c>
      <c r="D103">
        <v>0.31180000000000002</v>
      </c>
      <c r="E103">
        <v>0.3145</v>
      </c>
      <c r="F103">
        <v>175381799</v>
      </c>
      <c r="G103">
        <v>0.3145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-0.77118644067796738</v>
      </c>
      <c r="Q103">
        <f t="shared" ref="Q103" si="491">F103*P103</f>
        <v>-135252065.33050871</v>
      </c>
      <c r="R103">
        <f t="shared" ref="R103" si="492">R104+Q103</f>
        <v>1326704014.8446424</v>
      </c>
      <c r="S103">
        <f t="shared" ref="S103" si="493">R103/100000</f>
        <v>13267.040148446424</v>
      </c>
      <c r="T103">
        <f t="shared" ref="T103" si="494">S103/1000</f>
        <v>13.267040148446423</v>
      </c>
    </row>
    <row r="104" spans="1:20" x14ac:dyDescent="0.25">
      <c r="A104" s="5">
        <v>44489</v>
      </c>
      <c r="B104">
        <v>0.31580000000000003</v>
      </c>
      <c r="C104">
        <v>0.33210000000000001</v>
      </c>
      <c r="D104">
        <v>0.30909999999999999</v>
      </c>
      <c r="E104">
        <v>0.32869999999999999</v>
      </c>
      <c r="F104">
        <v>123762868</v>
      </c>
      <c r="G104">
        <v>0.32869999999999999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0.70434782608695556</v>
      </c>
      <c r="Q104">
        <f t="shared" ref="Q104" si="496">F104*P104</f>
        <v>87172107.026086837</v>
      </c>
      <c r="R104">
        <f t="shared" ref="R104" si="497">R105+Q104</f>
        <v>1461956080.1751511</v>
      </c>
      <c r="S104">
        <f t="shared" ref="S104" si="498">R104/100000</f>
        <v>14619.560801751511</v>
      </c>
      <c r="T104">
        <f t="shared" ref="T104" si="499">S104/1000</f>
        <v>14.619560801751511</v>
      </c>
    </row>
    <row r="105" spans="1:20" x14ac:dyDescent="0.25">
      <c r="A105" s="5">
        <v>44488</v>
      </c>
      <c r="B105">
        <v>0.32079999999999997</v>
      </c>
      <c r="C105">
        <v>0.3256</v>
      </c>
      <c r="D105">
        <v>0.31209999999999999</v>
      </c>
      <c r="E105">
        <v>0.31580000000000003</v>
      </c>
      <c r="F105">
        <v>101621892</v>
      </c>
      <c r="G105">
        <v>0.31580000000000003</v>
      </c>
      <c r="L105" t="s">
        <v>8</v>
      </c>
      <c r="M105" t="s">
        <v>7</v>
      </c>
      <c r="N105" t="s">
        <v>8</v>
      </c>
      <c r="P105">
        <f t="shared" ref="P105" si="500">IF(C105=D105,0,((E105-D105)-(C105-E105))/(C105-D105))</f>
        <v>-0.4518518518518469</v>
      </c>
      <c r="Q105">
        <f t="shared" ref="Q105" si="501">F105*P105</f>
        <v>-45918040.088888384</v>
      </c>
      <c r="R105">
        <f t="shared" ref="R105" si="502">R106+Q105</f>
        <v>1374783973.1490643</v>
      </c>
      <c r="S105">
        <f t="shared" ref="S105" si="503">R105/100000</f>
        <v>13747.839731490643</v>
      </c>
      <c r="T105">
        <f t="shared" ref="T105" si="504">S105/1000</f>
        <v>13.747839731490643</v>
      </c>
    </row>
    <row r="106" spans="1:20" x14ac:dyDescent="0.25">
      <c r="A106" s="5">
        <v>44487</v>
      </c>
      <c r="B106">
        <v>0.31169999999999998</v>
      </c>
      <c r="C106">
        <v>0.32550000000000001</v>
      </c>
      <c r="D106">
        <v>0.31</v>
      </c>
      <c r="E106">
        <v>0.32079999999999997</v>
      </c>
      <c r="F106">
        <v>146682215</v>
      </c>
      <c r="G106">
        <v>0.32079999999999997</v>
      </c>
      <c r="L106" t="s">
        <v>8</v>
      </c>
      <c r="M106" t="s">
        <v>7</v>
      </c>
      <c r="N106" t="s">
        <v>8</v>
      </c>
      <c r="P106">
        <f t="shared" ref="P106" si="505">IF(C106=D106,0,((E106-D106)-(C106-E106))/(C106-D106))</f>
        <v>0.39354838709676987</v>
      </c>
      <c r="Q106">
        <f t="shared" ref="Q106" si="506">F106*P106</f>
        <v>57726549.129031621</v>
      </c>
      <c r="R106">
        <f t="shared" ref="R106" si="507">R107+Q106</f>
        <v>1420702013.2379527</v>
      </c>
      <c r="S106">
        <f t="shared" ref="S106" si="508">R106/100000</f>
        <v>14207.020132379526</v>
      </c>
      <c r="T106">
        <f t="shared" ref="T106" si="509">S106/1000</f>
        <v>14.207020132379526</v>
      </c>
    </row>
    <row r="107" spans="1:20" x14ac:dyDescent="0.25">
      <c r="A107" s="5">
        <v>44486</v>
      </c>
      <c r="B107">
        <v>0.3281</v>
      </c>
      <c r="C107">
        <v>0.33189999999999997</v>
      </c>
      <c r="D107">
        <v>0.3004</v>
      </c>
      <c r="E107">
        <v>0.31169999999999998</v>
      </c>
      <c r="F107">
        <v>144717459</v>
      </c>
      <c r="G107">
        <v>0.31169999999999998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-0.28253968253968337</v>
      </c>
      <c r="Q107">
        <f t="shared" ref="Q107" si="511">F107*P107</f>
        <v>-40888424.92380964</v>
      </c>
      <c r="R107">
        <f t="shared" ref="R107" si="512">R108+Q107</f>
        <v>1362975464.1089211</v>
      </c>
      <c r="S107">
        <f t="shared" ref="S107" si="513">R107/100000</f>
        <v>13629.75464108921</v>
      </c>
      <c r="T107">
        <f t="shared" ref="T107" si="514">S107/1000</f>
        <v>13.62975464108921</v>
      </c>
    </row>
    <row r="108" spans="1:20" x14ac:dyDescent="0.25">
      <c r="A108" s="5">
        <v>44485</v>
      </c>
      <c r="B108">
        <v>0.32040000000000002</v>
      </c>
      <c r="C108">
        <v>0.33279999999999998</v>
      </c>
      <c r="D108">
        <v>0.32019999999999998</v>
      </c>
      <c r="E108">
        <v>0.32829999999999998</v>
      </c>
      <c r="F108">
        <v>141772909</v>
      </c>
      <c r="G108">
        <v>0.32829999999999998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0.28571428571428509</v>
      </c>
      <c r="Q108">
        <f t="shared" ref="Q108" si="516">F108*P108</f>
        <v>40506545.428571343</v>
      </c>
      <c r="R108">
        <f t="shared" ref="R108" si="517">R109+Q108</f>
        <v>1403863889.0327306</v>
      </c>
      <c r="S108">
        <f t="shared" ref="S108" si="518">R108/100000</f>
        <v>14038.638890327305</v>
      </c>
      <c r="T108">
        <f t="shared" ref="T108" si="519">S108/1000</f>
        <v>14.038638890327306</v>
      </c>
    </row>
    <row r="109" spans="1:20" x14ac:dyDescent="0.25">
      <c r="A109" s="5">
        <v>44484</v>
      </c>
      <c r="B109">
        <v>0.33129999999999998</v>
      </c>
      <c r="C109">
        <v>0.3357</v>
      </c>
      <c r="D109">
        <v>0.30990000000000001</v>
      </c>
      <c r="E109">
        <v>0.32029999999999997</v>
      </c>
      <c r="F109">
        <v>221120242</v>
      </c>
      <c r="G109">
        <v>0.32029999999999997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-0.1937984496124055</v>
      </c>
      <c r="Q109">
        <f t="shared" ref="Q109" si="521">F109*P109</f>
        <v>-42852760.077519909</v>
      </c>
      <c r="R109">
        <f t="shared" ref="R109" si="522">R110+Q109</f>
        <v>1363357343.6041591</v>
      </c>
      <c r="S109">
        <f t="shared" ref="S109" si="523">R109/100000</f>
        <v>13633.573436041592</v>
      </c>
      <c r="T109">
        <f t="shared" ref="T109" si="524">S109/1000</f>
        <v>13.633573436041592</v>
      </c>
    </row>
    <row r="110" spans="1:20" x14ac:dyDescent="0.25">
      <c r="A110" s="5">
        <v>44483</v>
      </c>
      <c r="B110">
        <v>0.32719999999999999</v>
      </c>
      <c r="C110">
        <v>0.33610000000000001</v>
      </c>
      <c r="D110">
        <v>0.32200000000000001</v>
      </c>
      <c r="E110">
        <v>0.33139999999999997</v>
      </c>
      <c r="F110">
        <v>144723829</v>
      </c>
      <c r="G110">
        <v>0.33139999999999997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0.3333333333333281</v>
      </c>
      <c r="Q110">
        <f t="shared" ref="Q110" si="526">F110*P110</f>
        <v>48241276.333332576</v>
      </c>
      <c r="R110">
        <f t="shared" ref="R110" si="527">R111+Q110</f>
        <v>1406210103.681679</v>
      </c>
      <c r="S110">
        <f t="shared" ref="S110" si="528">R110/100000</f>
        <v>14062.10103681679</v>
      </c>
      <c r="T110">
        <f t="shared" ref="T110" si="529">S110/1000</f>
        <v>14.06210103681679</v>
      </c>
    </row>
    <row r="111" spans="1:20" x14ac:dyDescent="0.25">
      <c r="A111" s="5">
        <v>44482</v>
      </c>
      <c r="B111">
        <v>0.31540000000000001</v>
      </c>
      <c r="C111">
        <v>0.33119999999999999</v>
      </c>
      <c r="D111">
        <v>0.30109999999999998</v>
      </c>
      <c r="E111">
        <v>0.32700000000000001</v>
      </c>
      <c r="F111">
        <v>334769975</v>
      </c>
      <c r="G111">
        <v>0.32700000000000001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0.72093023255814093</v>
      </c>
      <c r="Q111">
        <f t="shared" ref="Q111" si="531">F111*P111</f>
        <v>241345795.93023303</v>
      </c>
      <c r="R111">
        <f t="shared" ref="R111" si="532">R112+Q111</f>
        <v>1357968827.3483465</v>
      </c>
      <c r="S111">
        <f t="shared" ref="S111" si="533">R111/100000</f>
        <v>13579.688273483465</v>
      </c>
      <c r="T111">
        <f t="shared" ref="T111" si="534">S111/1000</f>
        <v>13.579688273483466</v>
      </c>
    </row>
    <row r="112" spans="1:20" x14ac:dyDescent="0.25">
      <c r="A112" s="5">
        <v>44481</v>
      </c>
      <c r="B112">
        <v>0.30809999999999998</v>
      </c>
      <c r="C112">
        <v>0.3261</v>
      </c>
      <c r="D112">
        <v>0.28620000000000001</v>
      </c>
      <c r="E112">
        <v>0.31540000000000001</v>
      </c>
      <c r="F112">
        <v>244109210</v>
      </c>
      <c r="G112">
        <v>0.31540000000000001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0.46365914786967471</v>
      </c>
      <c r="Q112">
        <f t="shared" ref="Q112" si="536">F112*P112</f>
        <v>113183468.29573947</v>
      </c>
      <c r="R112">
        <f t="shared" ref="R112" si="537">R113+Q112</f>
        <v>1116623031.4181135</v>
      </c>
      <c r="S112">
        <f t="shared" ref="S112" si="538">R112/100000</f>
        <v>11166.230314181135</v>
      </c>
      <c r="T112">
        <f t="shared" ref="T112" si="539">S112/1000</f>
        <v>11.166230314181135</v>
      </c>
    </row>
    <row r="113" spans="1:20" x14ac:dyDescent="0.25">
      <c r="A113" s="5">
        <v>44480</v>
      </c>
      <c r="B113">
        <v>0.30819999999999997</v>
      </c>
      <c r="C113">
        <v>0.32640000000000002</v>
      </c>
      <c r="D113">
        <v>0.30030000000000001</v>
      </c>
      <c r="E113">
        <v>0.308</v>
      </c>
      <c r="F113">
        <v>142069127</v>
      </c>
      <c r="G113">
        <v>0.308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-0.40996168582375625</v>
      </c>
      <c r="Q113">
        <f t="shared" ref="Q113" si="541">F113*P113</f>
        <v>-58242898.808429323</v>
      </c>
      <c r="R113">
        <f t="shared" ref="R113" si="542">R114+Q113</f>
        <v>1003439563.1223741</v>
      </c>
      <c r="S113">
        <f t="shared" ref="S113" si="543">R113/100000</f>
        <v>10034.395631223741</v>
      </c>
      <c r="T113">
        <f t="shared" ref="T113" si="544">S113/1000</f>
        <v>10.03439563122374</v>
      </c>
    </row>
    <row r="114" spans="1:20" x14ac:dyDescent="0.25">
      <c r="A114" s="5">
        <v>44479</v>
      </c>
      <c r="B114">
        <v>0.33179999999999998</v>
      </c>
      <c r="C114">
        <v>0.33210000000000001</v>
      </c>
      <c r="D114">
        <v>0.30630000000000002</v>
      </c>
      <c r="E114">
        <v>0.30819999999999997</v>
      </c>
      <c r="F114">
        <v>133810769</v>
      </c>
      <c r="G114">
        <v>0.30819999999999997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-0.85271317829457693</v>
      </c>
      <c r="Q114">
        <f t="shared" ref="Q114" si="546">F114*P114</f>
        <v>-114102206.12403145</v>
      </c>
      <c r="R114">
        <f t="shared" ref="R114" si="547">R115+Q114</f>
        <v>1061682461.9308034</v>
      </c>
      <c r="S114">
        <f t="shared" ref="S114" si="548">R114/100000</f>
        <v>10616.824619308034</v>
      </c>
      <c r="T114">
        <f t="shared" ref="T114" si="549">S114/1000</f>
        <v>10.616824619308034</v>
      </c>
    </row>
    <row r="115" spans="1:20" x14ac:dyDescent="0.25">
      <c r="A115" s="5">
        <v>44478</v>
      </c>
      <c r="B115">
        <v>0.33310000000000001</v>
      </c>
      <c r="C115">
        <v>0.33700000000000002</v>
      </c>
      <c r="D115">
        <v>0.3266</v>
      </c>
      <c r="E115">
        <v>0.33189999999999997</v>
      </c>
      <c r="F115">
        <v>141251338</v>
      </c>
      <c r="G115">
        <v>0.33189999999999997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1.9230769230761738E-2</v>
      </c>
      <c r="Q115">
        <f t="shared" ref="Q115" si="551">F115*P115</f>
        <v>2716371.8846143261</v>
      </c>
      <c r="R115">
        <f t="shared" ref="R115" si="552">R116+Q115</f>
        <v>1175784668.0548348</v>
      </c>
      <c r="S115">
        <f t="shared" ref="S115" si="553">R115/100000</f>
        <v>11757.846680548348</v>
      </c>
      <c r="T115">
        <f t="shared" ref="T115" si="554">S115/1000</f>
        <v>11.757846680548347</v>
      </c>
    </row>
    <row r="116" spans="1:20" x14ac:dyDescent="0.25">
      <c r="A116" s="5">
        <v>44477</v>
      </c>
      <c r="B116">
        <v>0.35580000000000001</v>
      </c>
      <c r="C116">
        <v>0.35620000000000002</v>
      </c>
      <c r="D116">
        <v>0.3261</v>
      </c>
      <c r="E116">
        <v>0.33310000000000001</v>
      </c>
      <c r="F116">
        <v>389910603</v>
      </c>
      <c r="G116">
        <v>0.33310000000000001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-0.5348837209302324</v>
      </c>
      <c r="Q116">
        <f t="shared" ref="Q116" si="556">F116*P116</f>
        <v>-208556834.16279063</v>
      </c>
      <c r="R116">
        <f t="shared" ref="R116" si="557">R117+Q116</f>
        <v>1173068296.1702206</v>
      </c>
      <c r="S116">
        <f t="shared" ref="S116" si="558">R116/100000</f>
        <v>11730.682961702207</v>
      </c>
      <c r="T116">
        <f t="shared" ref="T116" si="559">S116/1000</f>
        <v>11.730682961702207</v>
      </c>
    </row>
    <row r="117" spans="1:20" x14ac:dyDescent="0.25">
      <c r="A117" s="5">
        <v>44476</v>
      </c>
      <c r="B117">
        <v>0.30280000000000001</v>
      </c>
      <c r="C117">
        <v>0.38</v>
      </c>
      <c r="D117">
        <v>0.29149999999999998</v>
      </c>
      <c r="E117">
        <v>0.35580000000000001</v>
      </c>
      <c r="F117">
        <v>662096467.20000005</v>
      </c>
      <c r="G117">
        <v>0.35580000000000001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0.45310734463276853</v>
      </c>
      <c r="Q117">
        <f t="shared" ref="Q117" si="561">F117*P117</f>
        <v>300000772.14372897</v>
      </c>
      <c r="R117">
        <f t="shared" ref="R117" si="562">R118+Q117</f>
        <v>1381625130.3330112</v>
      </c>
      <c r="S117">
        <f t="shared" ref="S117" si="563">R117/100000</f>
        <v>13816.251303330111</v>
      </c>
      <c r="T117">
        <f t="shared" ref="T117" si="564">S117/1000</f>
        <v>13.816251303330111</v>
      </c>
    </row>
    <row r="118" spans="1:20" x14ac:dyDescent="0.25">
      <c r="A118" s="5">
        <v>44475</v>
      </c>
      <c r="B118">
        <v>0.30640000000000001</v>
      </c>
      <c r="C118">
        <v>0.31190000000000001</v>
      </c>
      <c r="D118">
        <v>0.28070000000000001</v>
      </c>
      <c r="E118">
        <v>0.3029</v>
      </c>
      <c r="F118">
        <v>208445669</v>
      </c>
      <c r="G118">
        <v>0.3029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0.42307692307692268</v>
      </c>
      <c r="Q118">
        <f t="shared" ref="Q118" si="566">F118*P118</f>
        <v>88188552.269230694</v>
      </c>
      <c r="R118">
        <f t="shared" ref="R118" si="567">R119+Q118</f>
        <v>1081624358.1892822</v>
      </c>
      <c r="S118">
        <f t="shared" ref="S118" si="568">R118/100000</f>
        <v>10816.243581892822</v>
      </c>
      <c r="T118">
        <f t="shared" ref="T118" si="569">S118/1000</f>
        <v>10.816243581892822</v>
      </c>
    </row>
    <row r="119" spans="1:20" x14ac:dyDescent="0.25">
      <c r="A119" s="5">
        <v>44474</v>
      </c>
      <c r="B119">
        <v>0.28349999999999997</v>
      </c>
      <c r="C119">
        <v>0.31990000000000002</v>
      </c>
      <c r="D119">
        <v>0.28089999999999998</v>
      </c>
      <c r="E119">
        <v>0.30630000000000002</v>
      </c>
      <c r="F119">
        <v>236716355</v>
      </c>
      <c r="G119">
        <v>0.30630000000000002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0.30256410256410315</v>
      </c>
      <c r="Q119">
        <f t="shared" ref="Q119" si="571">F119*P119</f>
        <v>71621871.512820646</v>
      </c>
      <c r="R119">
        <f t="shared" ref="R119" si="572">R120+Q119</f>
        <v>993435805.92005146</v>
      </c>
      <c r="S119">
        <f t="shared" ref="S119" si="573">R119/100000</f>
        <v>9934.3580592005146</v>
      </c>
      <c r="T119">
        <f t="shared" ref="T119" si="574">S119/1000</f>
        <v>9.9343580592005143</v>
      </c>
    </row>
    <row r="120" spans="1:20" x14ac:dyDescent="0.25">
      <c r="A120" s="5">
        <v>44473</v>
      </c>
      <c r="B120">
        <v>0.28699999999999998</v>
      </c>
      <c r="C120">
        <v>0.2883</v>
      </c>
      <c r="D120">
        <v>0.27210000000000001</v>
      </c>
      <c r="E120">
        <v>0.28320000000000001</v>
      </c>
      <c r="F120">
        <v>146172435</v>
      </c>
      <c r="G120">
        <v>0.28320000000000001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0.3703703703703709</v>
      </c>
      <c r="Q120">
        <f t="shared" ref="Q120" si="576">F120*P120</f>
        <v>54137938.88888897</v>
      </c>
      <c r="R120">
        <f t="shared" ref="R120" si="577">R121+Q120</f>
        <v>921813934.40723085</v>
      </c>
      <c r="S120">
        <f t="shared" ref="S120" si="578">R120/100000</f>
        <v>9218.1393440723077</v>
      </c>
      <c r="T120">
        <f t="shared" ref="T120" si="579">S120/1000</f>
        <v>9.2181393440723074</v>
      </c>
    </row>
    <row r="121" spans="1:20" x14ac:dyDescent="0.25">
      <c r="A121" s="5">
        <v>44472</v>
      </c>
      <c r="B121">
        <v>0.2833</v>
      </c>
      <c r="C121">
        <v>0.29780000000000001</v>
      </c>
      <c r="D121">
        <v>0.2772</v>
      </c>
      <c r="E121">
        <v>0.28689999999999999</v>
      </c>
      <c r="F121">
        <v>126519199</v>
      </c>
      <c r="G121">
        <v>0.28689999999999999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-5.8252427184467666E-2</v>
      </c>
      <c r="Q121">
        <f t="shared" ref="Q121" si="581">F121*P121</f>
        <v>-7370050.427184674</v>
      </c>
      <c r="R121">
        <f t="shared" ref="R121" si="582">R122+Q121</f>
        <v>867675995.5183419</v>
      </c>
      <c r="S121">
        <f t="shared" ref="S121" si="583">R121/100000</f>
        <v>8676.7599551834192</v>
      </c>
      <c r="T121">
        <f t="shared" ref="T121" si="584">S121/1000</f>
        <v>8.6767599551834191</v>
      </c>
    </row>
    <row r="122" spans="1:20" x14ac:dyDescent="0.25">
      <c r="A122" s="5">
        <v>44471</v>
      </c>
      <c r="B122">
        <v>0.28689999999999999</v>
      </c>
      <c r="C122">
        <v>0.29549999999999998</v>
      </c>
      <c r="D122">
        <v>0.27960000000000002</v>
      </c>
      <c r="E122">
        <v>0.28339999999999999</v>
      </c>
      <c r="F122">
        <v>134798493</v>
      </c>
      <c r="G122">
        <v>0.28339999999999999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-0.52201257861635508</v>
      </c>
      <c r="Q122">
        <f t="shared" ref="Q122" si="586">F122*P122</f>
        <v>-70366508.924528688</v>
      </c>
      <c r="R122">
        <f t="shared" ref="R122" si="587">R123+Q122</f>
        <v>875046045.9455266</v>
      </c>
      <c r="S122">
        <f t="shared" ref="S122" si="588">R122/100000</f>
        <v>8750.4604594552657</v>
      </c>
      <c r="T122">
        <f t="shared" ref="T122" si="589">S122/1000</f>
        <v>8.7504604594552653</v>
      </c>
    </row>
    <row r="123" spans="1:20" x14ac:dyDescent="0.25">
      <c r="A123" s="5">
        <v>44470</v>
      </c>
      <c r="B123">
        <v>0.26200000000000001</v>
      </c>
      <c r="C123">
        <v>0.2883</v>
      </c>
      <c r="D123">
        <v>0.25769999999999998</v>
      </c>
      <c r="E123">
        <v>0.28670000000000001</v>
      </c>
      <c r="F123">
        <v>159793006</v>
      </c>
      <c r="G123">
        <v>0.28670000000000001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0.89542483660130789</v>
      </c>
      <c r="Q123">
        <f t="shared" ref="Q123" si="591">F123*P123</f>
        <v>143082626.2875818</v>
      </c>
      <c r="R123">
        <f t="shared" ref="R123" si="592">R124+Q123</f>
        <v>945412554.87005532</v>
      </c>
      <c r="S123">
        <f t="shared" ref="S123" si="593">R123/100000</f>
        <v>9454.1255487005528</v>
      </c>
      <c r="T123">
        <f t="shared" ref="T123" si="594">S123/1000</f>
        <v>9.4541255487005529</v>
      </c>
    </row>
    <row r="124" spans="1:20" x14ac:dyDescent="0.25">
      <c r="A124" s="5">
        <v>44469</v>
      </c>
      <c r="B124">
        <v>0.249</v>
      </c>
      <c r="C124">
        <v>0.26390000000000002</v>
      </c>
      <c r="D124">
        <v>0.24829999999999999</v>
      </c>
      <c r="E124">
        <v>0.26179999999999998</v>
      </c>
      <c r="F124">
        <v>104306068</v>
      </c>
      <c r="G124">
        <v>0.26179999999999998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0.7307692307692254</v>
      </c>
      <c r="Q124">
        <f t="shared" ref="Q124" si="596">F124*P124</f>
        <v>76223665.076922521</v>
      </c>
      <c r="R124">
        <f t="shared" ref="R124" si="597">R125+Q124</f>
        <v>802329928.58247352</v>
      </c>
      <c r="S124">
        <f t="shared" ref="S124" si="598">R124/100000</f>
        <v>8023.2992858247353</v>
      </c>
      <c r="T124">
        <f t="shared" ref="T124" si="599">S124/1000</f>
        <v>8.0232992858247361</v>
      </c>
    </row>
    <row r="125" spans="1:20" x14ac:dyDescent="0.25">
      <c r="A125" s="5">
        <v>44468</v>
      </c>
      <c r="B125">
        <v>0.2442</v>
      </c>
      <c r="C125">
        <v>0.2626</v>
      </c>
      <c r="D125">
        <v>0.24340000000000001</v>
      </c>
      <c r="E125">
        <v>0.24909999999999999</v>
      </c>
      <c r="F125">
        <v>107677097</v>
      </c>
      <c r="G125">
        <v>0.24909999999999999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-0.40625000000000161</v>
      </c>
      <c r="Q125">
        <f t="shared" ref="Q125" si="601">F125*P125</f>
        <v>-43743820.656250171</v>
      </c>
      <c r="R125">
        <f t="shared" ref="R125" si="602">R126+Q125</f>
        <v>726106263.50555098</v>
      </c>
      <c r="S125">
        <f t="shared" ref="S125" si="603">R125/100000</f>
        <v>7261.0626350555094</v>
      </c>
      <c r="T125">
        <f t="shared" ref="T125" si="604">S125/1000</f>
        <v>7.2610626350555094</v>
      </c>
    </row>
    <row r="126" spans="1:20" x14ac:dyDescent="0.25">
      <c r="A126" s="5">
        <v>44467</v>
      </c>
      <c r="B126">
        <v>0.254</v>
      </c>
      <c r="C126">
        <v>0.2591</v>
      </c>
      <c r="D126">
        <v>0.24329999999999999</v>
      </c>
      <c r="E126">
        <v>0.24429999999999999</v>
      </c>
      <c r="F126">
        <v>98736724</v>
      </c>
      <c r="G126">
        <v>0.24429999999999999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-0.87341772151898733</v>
      </c>
      <c r="Q126">
        <f t="shared" ref="Q126" si="606">F126*P126</f>
        <v>-86238404.506329119</v>
      </c>
      <c r="R126">
        <f t="shared" ref="R126" si="607">R127+Q126</f>
        <v>769850084.1618011</v>
      </c>
      <c r="S126">
        <f t="shared" ref="S126" si="608">R126/100000</f>
        <v>7698.5008416180108</v>
      </c>
      <c r="T126">
        <f t="shared" ref="T126" si="609">S126/1000</f>
        <v>7.698500841618011</v>
      </c>
    </row>
    <row r="127" spans="1:20" x14ac:dyDescent="0.25">
      <c r="A127" s="5">
        <v>44466</v>
      </c>
      <c r="B127">
        <v>0.26319999999999999</v>
      </c>
      <c r="C127">
        <v>0.27160000000000001</v>
      </c>
      <c r="D127">
        <v>0.25369999999999998</v>
      </c>
      <c r="E127">
        <v>0.25409999999999999</v>
      </c>
      <c r="F127">
        <v>106276366</v>
      </c>
      <c r="G127">
        <v>0.25409999999999999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-0.95530726256983123</v>
      </c>
      <c r="Q127">
        <f t="shared" ref="Q127" si="611">F127*P127</f>
        <v>-101526584.27932948</v>
      </c>
      <c r="R127">
        <f t="shared" ref="R127" si="612">R128+Q127</f>
        <v>856088488.66813016</v>
      </c>
      <c r="S127">
        <f t="shared" ref="S127" si="613">R127/100000</f>
        <v>8560.8848866813023</v>
      </c>
      <c r="T127">
        <f t="shared" ref="T127" si="614">S127/1000</f>
        <v>8.5608848866813023</v>
      </c>
    </row>
    <row r="128" spans="1:20" x14ac:dyDescent="0.25">
      <c r="A128" s="5">
        <v>44465</v>
      </c>
      <c r="B128">
        <v>0.26640000000000003</v>
      </c>
      <c r="C128">
        <v>0.2681</v>
      </c>
      <c r="D128">
        <v>0.24740000000000001</v>
      </c>
      <c r="E128">
        <v>0.26329999999999998</v>
      </c>
      <c r="F128">
        <v>132656160</v>
      </c>
      <c r="G128">
        <v>0.26329999999999998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0.5362318840579684</v>
      </c>
      <c r="Q128">
        <f t="shared" ref="Q128" si="616">F128*P128</f>
        <v>71134462.608695298</v>
      </c>
      <c r="R128">
        <f t="shared" ref="R128" si="617">R129+Q128</f>
        <v>957615072.94745958</v>
      </c>
      <c r="S128">
        <f t="shared" ref="S128" si="618">R128/100000</f>
        <v>9576.1507294745952</v>
      </c>
      <c r="T128">
        <f t="shared" ref="T128" si="619">S128/1000</f>
        <v>9.5761507294745947</v>
      </c>
    </row>
    <row r="129" spans="1:20" x14ac:dyDescent="0.25">
      <c r="A129" s="5">
        <v>44464</v>
      </c>
      <c r="B129">
        <v>0.27189999999999998</v>
      </c>
      <c r="C129">
        <v>0.2767</v>
      </c>
      <c r="D129">
        <v>0.25819999999999999</v>
      </c>
      <c r="E129">
        <v>0.26640000000000003</v>
      </c>
      <c r="F129">
        <v>128767663</v>
      </c>
      <c r="G129">
        <v>0.26640000000000003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-0.11351351351350991</v>
      </c>
      <c r="Q129">
        <f t="shared" ref="Q129" si="621">F129*P129</f>
        <v>-14616869.85405359</v>
      </c>
      <c r="R129">
        <f t="shared" ref="R129" si="622">R130+Q129</f>
        <v>886480610.33876431</v>
      </c>
      <c r="S129">
        <f t="shared" ref="S129" si="623">R129/100000</f>
        <v>8864.8061033876438</v>
      </c>
      <c r="T129">
        <f t="shared" ref="T129" si="624">S129/1000</f>
        <v>8.8648061033876431</v>
      </c>
    </row>
    <row r="130" spans="1:20" x14ac:dyDescent="0.25">
      <c r="A130" s="5">
        <v>44463</v>
      </c>
      <c r="B130">
        <v>0.2954</v>
      </c>
      <c r="C130">
        <v>0.29799999999999999</v>
      </c>
      <c r="D130">
        <v>0.25380000000000003</v>
      </c>
      <c r="E130">
        <v>0.2717</v>
      </c>
      <c r="F130">
        <v>194580291</v>
      </c>
      <c r="G130">
        <v>0.2717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-0.19004524886877885</v>
      </c>
      <c r="Q130">
        <f t="shared" ref="Q130" si="626">F130*P130</f>
        <v>-36979059.828054413</v>
      </c>
      <c r="R130">
        <f t="shared" ref="R130" si="627">R131+Q130</f>
        <v>901097480.19281793</v>
      </c>
      <c r="S130">
        <f t="shared" ref="S130" si="628">R130/100000</f>
        <v>9010.9748019281797</v>
      </c>
      <c r="T130">
        <f t="shared" ref="T130" si="629">S130/1000</f>
        <v>9.0109748019281799</v>
      </c>
    </row>
    <row r="131" spans="1:20" x14ac:dyDescent="0.25">
      <c r="A131" s="5">
        <v>44462</v>
      </c>
      <c r="B131">
        <v>0.2908</v>
      </c>
      <c r="C131">
        <v>0.3</v>
      </c>
      <c r="D131">
        <v>0.28339999999999999</v>
      </c>
      <c r="E131">
        <v>0.29559999999999997</v>
      </c>
      <c r="F131">
        <v>190338248</v>
      </c>
      <c r="G131">
        <v>0.29559999999999997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0.46987951807228745</v>
      </c>
      <c r="Q131">
        <f t="shared" ref="Q131" si="631">F131*P131</f>
        <v>89436044.240963534</v>
      </c>
      <c r="R131">
        <f t="shared" ref="R131" si="632">R132+Q131</f>
        <v>938076540.02087235</v>
      </c>
      <c r="S131">
        <f t="shared" ref="S131" si="633">R131/100000</f>
        <v>9380.7654002087238</v>
      </c>
      <c r="T131">
        <f t="shared" ref="T131" si="634">S131/1000</f>
        <v>9.3807654002087233</v>
      </c>
    </row>
    <row r="132" spans="1:20" x14ac:dyDescent="0.25">
      <c r="A132" s="5">
        <v>44461</v>
      </c>
      <c r="B132">
        <v>0.2535</v>
      </c>
      <c r="C132">
        <v>0.29189999999999999</v>
      </c>
      <c r="D132">
        <v>0.24890000000000001</v>
      </c>
      <c r="E132">
        <v>0.29089999999999999</v>
      </c>
      <c r="F132">
        <v>235871850</v>
      </c>
      <c r="G132">
        <v>0.29089999999999999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0.95348837209302317</v>
      </c>
      <c r="Q132">
        <f t="shared" ref="Q132" si="636">F132*P132</f>
        <v>224901066.27906975</v>
      </c>
      <c r="R132">
        <f t="shared" ref="R132" si="637">R133+Q132</f>
        <v>848640495.77990878</v>
      </c>
      <c r="S132">
        <f t="shared" ref="S132" si="638">R132/100000</f>
        <v>8486.4049577990882</v>
      </c>
      <c r="T132">
        <f t="shared" ref="T132" si="639">S132/1000</f>
        <v>8.4864049577990883</v>
      </c>
    </row>
    <row r="133" spans="1:20" x14ac:dyDescent="0.25">
      <c r="A133" s="5">
        <v>44460</v>
      </c>
      <c r="B133">
        <v>0.27129999999999999</v>
      </c>
      <c r="C133">
        <v>0.28179999999999999</v>
      </c>
      <c r="D133">
        <v>0.24049999999999999</v>
      </c>
      <c r="E133">
        <v>0.25340000000000001</v>
      </c>
      <c r="F133">
        <v>236737459.40000001</v>
      </c>
      <c r="G133">
        <v>0.25340000000000001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-0.37530266343825563</v>
      </c>
      <c r="Q133">
        <f t="shared" ref="Q133" si="641">F133*P133</f>
        <v>-88848199.048425913</v>
      </c>
      <c r="R133">
        <f t="shared" ref="R133" si="642">R134+Q133</f>
        <v>623739429.50083899</v>
      </c>
      <c r="S133">
        <f t="shared" ref="S133" si="643">R133/100000</f>
        <v>6237.3942950083901</v>
      </c>
      <c r="T133">
        <f t="shared" ref="T133" si="644">S133/1000</f>
        <v>6.2373942950083903</v>
      </c>
    </row>
    <row r="134" spans="1:20" x14ac:dyDescent="0.25">
      <c r="A134" s="5">
        <v>44459</v>
      </c>
      <c r="B134">
        <v>0.31630000000000003</v>
      </c>
      <c r="C134">
        <v>0.31680000000000003</v>
      </c>
      <c r="D134">
        <v>0.28510000000000002</v>
      </c>
      <c r="E134">
        <v>0.29120000000000001</v>
      </c>
      <c r="F134">
        <v>105503548</v>
      </c>
      <c r="G134">
        <v>0.29120000000000001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-0.61514195583596254</v>
      </c>
      <c r="Q134">
        <f t="shared" ref="Q134" si="646">F134*P134</f>
        <v>-64899658.864353351</v>
      </c>
      <c r="R134">
        <f t="shared" ref="R134" si="647">R135+Q134</f>
        <v>712587628.54926491</v>
      </c>
      <c r="S134">
        <f t="shared" ref="S134" si="648">R134/100000</f>
        <v>7125.876285492649</v>
      </c>
      <c r="T134">
        <f t="shared" ref="T134" si="649">S134/1000</f>
        <v>7.125876285492649</v>
      </c>
    </row>
    <row r="135" spans="1:20" x14ac:dyDescent="0.25">
      <c r="A135" s="5">
        <v>44458</v>
      </c>
      <c r="B135">
        <v>0.32879999999999998</v>
      </c>
      <c r="C135">
        <v>0.32919999999999999</v>
      </c>
      <c r="D135">
        <v>0.31080000000000002</v>
      </c>
      <c r="E135">
        <v>0.31640000000000001</v>
      </c>
      <c r="F135">
        <v>76998458</v>
      </c>
      <c r="G135">
        <v>0.31640000000000001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-0.3913043478260867</v>
      </c>
      <c r="Q135">
        <f t="shared" ref="Q135" si="651">F135*P135</f>
        <v>-30129831.391304329</v>
      </c>
      <c r="R135">
        <f t="shared" ref="R135" si="652">R136+Q135</f>
        <v>777487287.41361821</v>
      </c>
      <c r="S135">
        <f t="shared" ref="S135" si="653">R135/100000</f>
        <v>7774.872874136182</v>
      </c>
      <c r="T135">
        <f t="shared" ref="T135" si="654">S135/1000</f>
        <v>7.7748728741361823</v>
      </c>
    </row>
    <row r="136" spans="1:20" x14ac:dyDescent="0.25">
      <c r="A136" s="5">
        <v>44457</v>
      </c>
      <c r="B136">
        <v>0.3256</v>
      </c>
      <c r="C136">
        <v>0.33410000000000001</v>
      </c>
      <c r="D136">
        <v>0.32240000000000002</v>
      </c>
      <c r="E136">
        <v>0.32869999999999999</v>
      </c>
      <c r="F136">
        <v>87099336</v>
      </c>
      <c r="G136">
        <v>0.32869999999999999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7.6923076923073277E-2</v>
      </c>
      <c r="Q136">
        <f t="shared" ref="Q136" si="656">F136*P136</f>
        <v>6699948.9230766054</v>
      </c>
      <c r="R136">
        <f t="shared" ref="R136" si="657">R137+Q136</f>
        <v>807617118.80492258</v>
      </c>
      <c r="S136">
        <f t="shared" ref="S136" si="658">R136/100000</f>
        <v>8076.1711880492257</v>
      </c>
      <c r="T136">
        <f t="shared" ref="T136" si="659">S136/1000</f>
        <v>8.0761711880492264</v>
      </c>
    </row>
    <row r="137" spans="1:20" x14ac:dyDescent="0.25">
      <c r="A137" s="5">
        <v>44456</v>
      </c>
      <c r="B137">
        <v>0.33729999999999999</v>
      </c>
      <c r="C137">
        <v>0.34499999999999997</v>
      </c>
      <c r="D137">
        <v>0.3221</v>
      </c>
      <c r="E137">
        <v>0.3256</v>
      </c>
      <c r="F137">
        <v>122551933</v>
      </c>
      <c r="G137">
        <v>0.3256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-0.69432314410480289</v>
      </c>
      <c r="Q137">
        <f t="shared" ref="Q137" si="661">F137*P137</f>
        <v>-85090643.436681151</v>
      </c>
      <c r="R137">
        <f t="shared" ref="R137" si="662">R138+Q137</f>
        <v>800917169.88184595</v>
      </c>
      <c r="S137">
        <f t="shared" ref="S137" si="663">R137/100000</f>
        <v>8009.1716988184598</v>
      </c>
      <c r="T137">
        <f t="shared" ref="T137" si="664">S137/1000</f>
        <v>8.0091716988184594</v>
      </c>
    </row>
    <row r="138" spans="1:20" x14ac:dyDescent="0.25">
      <c r="A138" s="5">
        <v>44455</v>
      </c>
      <c r="B138">
        <v>0.34670000000000001</v>
      </c>
      <c r="C138">
        <v>0.35289999999999999</v>
      </c>
      <c r="D138">
        <v>0.3301</v>
      </c>
      <c r="E138">
        <v>0.33739999999999998</v>
      </c>
      <c r="F138">
        <v>177717626</v>
      </c>
      <c r="G138">
        <v>0.33739999999999998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-0.35964912280701955</v>
      </c>
      <c r="Q138">
        <f t="shared" ref="Q138" si="666">F138*P138</f>
        <v>-63915988.298245974</v>
      </c>
      <c r="R138">
        <f t="shared" ref="R138" si="667">R139+Q138</f>
        <v>886007813.3185271</v>
      </c>
      <c r="S138">
        <f t="shared" ref="S138" si="668">R138/100000</f>
        <v>8860.0781331852704</v>
      </c>
      <c r="T138">
        <f t="shared" ref="T138" si="669">S138/1000</f>
        <v>8.8600781331852705</v>
      </c>
    </row>
    <row r="139" spans="1:20" x14ac:dyDescent="0.25">
      <c r="A139" s="5">
        <v>44454</v>
      </c>
      <c r="B139">
        <v>0.33689999999999998</v>
      </c>
      <c r="C139">
        <v>0.34889999999999999</v>
      </c>
      <c r="D139">
        <v>0.33110000000000001</v>
      </c>
      <c r="E139">
        <v>0.3468</v>
      </c>
      <c r="F139">
        <v>124584910</v>
      </c>
      <c r="G139">
        <v>0.3468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0.76404494382022548</v>
      </c>
      <c r="Q139">
        <f t="shared" ref="Q139" si="671">F139*P139</f>
        <v>95188470.561797842</v>
      </c>
      <c r="R139">
        <f t="shared" ref="R139" si="672">R140+Q139</f>
        <v>949923801.61677313</v>
      </c>
      <c r="S139">
        <f t="shared" ref="S139" si="673">R139/100000</f>
        <v>9499.238016167732</v>
      </c>
      <c r="T139">
        <f t="shared" ref="T139" si="674">S139/1000</f>
        <v>9.4992380161677321</v>
      </c>
    </row>
    <row r="140" spans="1:20" x14ac:dyDescent="0.25">
      <c r="A140" s="5">
        <v>44453</v>
      </c>
      <c r="B140">
        <v>0.3216</v>
      </c>
      <c r="C140">
        <v>0.34860000000000002</v>
      </c>
      <c r="D140">
        <v>0.31809999999999999</v>
      </c>
      <c r="E140">
        <v>0.33700000000000002</v>
      </c>
      <c r="F140">
        <v>203546666</v>
      </c>
      <c r="G140">
        <v>0.33700000000000002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0.23934426229508268</v>
      </c>
      <c r="Q140">
        <f t="shared" ref="Q140" si="676">F140*P140</f>
        <v>48717726.616393588</v>
      </c>
      <c r="R140">
        <f t="shared" ref="R140" si="677">R141+Q140</f>
        <v>854735331.05497527</v>
      </c>
      <c r="S140">
        <f t="shared" ref="S140" si="678">R140/100000</f>
        <v>8547.3533105497536</v>
      </c>
      <c r="T140">
        <f t="shared" ref="T140" si="679">S140/1000</f>
        <v>8.5473533105497541</v>
      </c>
    </row>
    <row r="141" spans="1:20" x14ac:dyDescent="0.25">
      <c r="A141" s="5">
        <v>44452</v>
      </c>
      <c r="B141">
        <v>0.33789999999999998</v>
      </c>
      <c r="C141">
        <v>0.34150000000000003</v>
      </c>
      <c r="D141">
        <v>0.29520000000000002</v>
      </c>
      <c r="E141">
        <v>0.32150000000000001</v>
      </c>
      <c r="F141">
        <v>159384556</v>
      </c>
      <c r="G141">
        <v>0.32150000000000001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0.13606911447084172</v>
      </c>
      <c r="Q141">
        <f t="shared" ref="Q141" si="681">F141*P141</f>
        <v>21687315.395248283</v>
      </c>
      <c r="R141">
        <f t="shared" ref="R141" si="682">R142+Q141</f>
        <v>806017604.43858171</v>
      </c>
      <c r="S141">
        <f t="shared" ref="S141" si="683">R141/100000</f>
        <v>8060.1760443858175</v>
      </c>
      <c r="T141">
        <f t="shared" ref="T141" si="684">S141/1000</f>
        <v>8.0601760443858179</v>
      </c>
    </row>
    <row r="142" spans="1:20" x14ac:dyDescent="0.25">
      <c r="A142" s="5">
        <v>44451</v>
      </c>
      <c r="B142">
        <v>0.33260000000000001</v>
      </c>
      <c r="C142">
        <v>0.34429999999999999</v>
      </c>
      <c r="D142">
        <v>0.3211</v>
      </c>
      <c r="E142">
        <v>0.33789999999999998</v>
      </c>
      <c r="F142">
        <v>129817527</v>
      </c>
      <c r="G142">
        <v>0.33789999999999998</v>
      </c>
      <c r="L142" t="s">
        <v>7</v>
      </c>
      <c r="M142" t="s">
        <v>8</v>
      </c>
      <c r="N142" t="s">
        <v>7</v>
      </c>
      <c r="P142">
        <f t="shared" ref="P142" si="685">IF(C142=D142,0,((E142-D142)-(C142-E142))/(C142-D142))</f>
        <v>0.44827586206896403</v>
      </c>
      <c r="Q142">
        <f t="shared" ref="Q142" si="686">F142*P142</f>
        <v>58194063.82758601</v>
      </c>
      <c r="R142">
        <f t="shared" ref="R142" si="687">R143+Q142</f>
        <v>784330289.04333341</v>
      </c>
      <c r="S142">
        <f t="shared" ref="S142" si="688">R142/100000</f>
        <v>7843.3028904333341</v>
      </c>
      <c r="T142">
        <f t="shared" ref="T142" si="689">S142/1000</f>
        <v>7.8433028904333337</v>
      </c>
    </row>
    <row r="143" spans="1:20" x14ac:dyDescent="0.25">
      <c r="A143" s="5">
        <v>44450</v>
      </c>
      <c r="B143">
        <v>0.3296</v>
      </c>
      <c r="C143">
        <v>0.34</v>
      </c>
      <c r="D143">
        <v>0.3241</v>
      </c>
      <c r="E143">
        <v>0.33250000000000002</v>
      </c>
      <c r="F143">
        <v>118956352</v>
      </c>
      <c r="G143">
        <v>0.33250000000000002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5.6603773584906321E-2</v>
      </c>
      <c r="Q143">
        <f t="shared" ref="Q143" si="691">F143*P143</f>
        <v>6733378.4150944185</v>
      </c>
      <c r="R143">
        <f t="shared" ref="R143" si="692">R144+Q143</f>
        <v>726136225.21574736</v>
      </c>
      <c r="S143">
        <f t="shared" ref="S143" si="693">R143/100000</f>
        <v>7261.3622521574734</v>
      </c>
      <c r="T143">
        <f t="shared" ref="T143" si="694">S143/1000</f>
        <v>7.2613622521574737</v>
      </c>
    </row>
    <row r="144" spans="1:20" x14ac:dyDescent="0.25">
      <c r="A144" s="5">
        <v>44449</v>
      </c>
      <c r="B144">
        <v>0.34670000000000001</v>
      </c>
      <c r="C144">
        <v>0.36680000000000001</v>
      </c>
      <c r="D144">
        <v>0.318</v>
      </c>
      <c r="E144">
        <v>0.3296</v>
      </c>
      <c r="F144">
        <v>280652952</v>
      </c>
      <c r="G144">
        <v>0.3296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-0.52459016393442637</v>
      </c>
      <c r="Q144">
        <f t="shared" ref="Q144" si="696">F144*P144</f>
        <v>-147227778.09836069</v>
      </c>
      <c r="R144">
        <f t="shared" ref="R144" si="697">R145+Q144</f>
        <v>719402846.80065298</v>
      </c>
      <c r="S144">
        <f t="shared" ref="S144" si="698">R144/100000</f>
        <v>7194.0284680065297</v>
      </c>
      <c r="T144">
        <f t="shared" ref="T144" si="699">S144/1000</f>
        <v>7.1940284680065298</v>
      </c>
    </row>
    <row r="145" spans="1:20" x14ac:dyDescent="0.25">
      <c r="A145" s="5">
        <v>44448</v>
      </c>
      <c r="B145">
        <v>0.33689999999999998</v>
      </c>
      <c r="C145">
        <v>0.35610000000000003</v>
      </c>
      <c r="D145">
        <v>0.33150000000000002</v>
      </c>
      <c r="E145">
        <v>0.3468</v>
      </c>
      <c r="F145">
        <v>262655557</v>
      </c>
      <c r="G145">
        <v>0.3468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0.2439024390243881</v>
      </c>
      <c r="Q145">
        <f t="shared" ref="Q145" si="701">F145*P145</f>
        <v>64062330.975609191</v>
      </c>
      <c r="R145">
        <f t="shared" ref="R145" si="702">R146+Q145</f>
        <v>866630624.89901364</v>
      </c>
      <c r="S145">
        <f t="shared" ref="S145" si="703">R145/100000</f>
        <v>8666.3062489901367</v>
      </c>
      <c r="T145">
        <f t="shared" ref="T145" si="704">S145/1000</f>
        <v>8.6663062489901375</v>
      </c>
    </row>
    <row r="146" spans="1:20" x14ac:dyDescent="0.25">
      <c r="A146" s="5">
        <v>44447</v>
      </c>
      <c r="B146">
        <v>0.34239999999999998</v>
      </c>
      <c r="C146">
        <v>0.35099999999999998</v>
      </c>
      <c r="D146">
        <v>0.30509999999999998</v>
      </c>
      <c r="E146">
        <v>0.33710000000000001</v>
      </c>
      <c r="F146">
        <v>358148265</v>
      </c>
      <c r="G146">
        <v>0.33710000000000001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0.39433551198257216</v>
      </c>
      <c r="Q146">
        <f t="shared" ref="Q146" si="706">F146*P146</f>
        <v>141230579.44444492</v>
      </c>
      <c r="R146">
        <f t="shared" ref="R146" si="707">R147+Q146</f>
        <v>802568293.92340446</v>
      </c>
      <c r="S146">
        <f t="shared" ref="S146" si="708">R146/100000</f>
        <v>8025.6829392340442</v>
      </c>
      <c r="T146">
        <f t="shared" ref="T146" si="709">S146/1000</f>
        <v>8.025682939234045</v>
      </c>
    </row>
    <row r="147" spans="1:20" x14ac:dyDescent="0.25">
      <c r="A147" s="5">
        <v>44446</v>
      </c>
      <c r="B147">
        <v>0.44669999999999999</v>
      </c>
      <c r="C147">
        <v>0.44690000000000002</v>
      </c>
      <c r="D147">
        <v>0.27900000000000003</v>
      </c>
      <c r="E147">
        <v>0.34239999999999998</v>
      </c>
      <c r="F147">
        <v>613637293.79999995</v>
      </c>
      <c r="G147">
        <v>0.34239999999999998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-0.24478856462179918</v>
      </c>
      <c r="Q147">
        <f t="shared" ref="Q147" si="711">F147*P147</f>
        <v>-150211392.34770727</v>
      </c>
      <c r="R147">
        <f t="shared" ref="R147" si="712">R148+Q147</f>
        <v>661337714.47895956</v>
      </c>
      <c r="S147">
        <f t="shared" ref="S147" si="713">R147/100000</f>
        <v>6613.3771447895951</v>
      </c>
      <c r="T147">
        <f t="shared" ref="T147" si="714">S147/1000</f>
        <v>6.6133771447895953</v>
      </c>
    </row>
    <row r="148" spans="1:20" x14ac:dyDescent="0.25">
      <c r="A148" s="5">
        <v>44445</v>
      </c>
      <c r="B148">
        <v>0.4254</v>
      </c>
      <c r="C148">
        <v>0.45</v>
      </c>
      <c r="D148">
        <v>0.4022</v>
      </c>
      <c r="E148">
        <v>0.4466</v>
      </c>
      <c r="F148">
        <v>356558092.5</v>
      </c>
      <c r="G148">
        <v>0.4466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0.85774058577405798</v>
      </c>
      <c r="Q148">
        <f t="shared" ref="Q148" si="716">F148*P148</f>
        <v>305834347.12343073</v>
      </c>
      <c r="R148">
        <f t="shared" ref="R148" si="717">R149+Q148</f>
        <v>811549106.82666683</v>
      </c>
      <c r="S148">
        <f t="shared" ref="S148" si="718">R148/100000</f>
        <v>8115.4910682666687</v>
      </c>
      <c r="T148">
        <f t="shared" ref="T148" si="719">S148/1000</f>
        <v>8.1154910682666692</v>
      </c>
    </row>
    <row r="149" spans="1:20" x14ac:dyDescent="0.25">
      <c r="A149" s="5">
        <v>44444</v>
      </c>
      <c r="B149">
        <v>0.41660000000000003</v>
      </c>
      <c r="C149">
        <v>0.43219999999999997</v>
      </c>
      <c r="D149">
        <v>0.40629999999999999</v>
      </c>
      <c r="E149">
        <v>0.42530000000000001</v>
      </c>
      <c r="F149">
        <v>192977459</v>
      </c>
      <c r="G149">
        <v>0.42530000000000001</v>
      </c>
      <c r="L149" t="s">
        <v>7</v>
      </c>
      <c r="M149" t="s">
        <v>8</v>
      </c>
      <c r="N149" t="s">
        <v>8</v>
      </c>
      <c r="P149">
        <f t="shared" ref="P149" si="720">IF(C149=D149,0,((E149-D149)-(C149-E149))/(C149-D149))</f>
        <v>0.46718146718146969</v>
      </c>
      <c r="Q149">
        <f t="shared" ref="Q149" si="721">F149*P149</f>
        <v>90155492.42857191</v>
      </c>
      <c r="R149">
        <f t="shared" ref="R149" si="722">R150+Q149</f>
        <v>505714759.7032361</v>
      </c>
      <c r="S149">
        <f t="shared" ref="S149" si="723">R149/100000</f>
        <v>5057.1475970323609</v>
      </c>
      <c r="T149">
        <f t="shared" ref="T149" si="724">S149/1000</f>
        <v>5.0571475970323609</v>
      </c>
    </row>
    <row r="150" spans="1:20" x14ac:dyDescent="0.25">
      <c r="A150" s="5">
        <v>44443</v>
      </c>
      <c r="B150">
        <v>0.3962</v>
      </c>
      <c r="C150">
        <v>0.44500000000000001</v>
      </c>
      <c r="D150">
        <v>0.39300000000000002</v>
      </c>
      <c r="E150">
        <v>0.41660000000000003</v>
      </c>
      <c r="F150">
        <v>393375287.60000002</v>
      </c>
      <c r="G150">
        <v>0.41660000000000003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-9.2307692307691772E-2</v>
      </c>
      <c r="Q150">
        <f t="shared" ref="Q150" si="726">F150*P150</f>
        <v>-36311565.009230562</v>
      </c>
      <c r="R150">
        <f t="shared" ref="R150" si="727">R151+Q150</f>
        <v>415559267.27466416</v>
      </c>
      <c r="S150">
        <f t="shared" ref="S150" si="728">R150/100000</f>
        <v>4155.5926727466413</v>
      </c>
      <c r="T150">
        <f t="shared" ref="T150" si="729">S150/1000</f>
        <v>4.155592672746641</v>
      </c>
    </row>
    <row r="151" spans="1:20" x14ac:dyDescent="0.25">
      <c r="A151" s="5">
        <v>44442</v>
      </c>
      <c r="B151">
        <v>0.3846</v>
      </c>
      <c r="C151">
        <v>0.40479999999999999</v>
      </c>
      <c r="D151">
        <v>0.37609999999999999</v>
      </c>
      <c r="E151">
        <v>0.39610000000000001</v>
      </c>
      <c r="F151">
        <v>220052463</v>
      </c>
      <c r="G151">
        <v>0.39610000000000001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0.39372822299651677</v>
      </c>
      <c r="Q151">
        <f t="shared" ref="Q151" si="731">F151*P151</f>
        <v>86640865.222996756</v>
      </c>
      <c r="R151">
        <f t="shared" ref="R151" si="732">R152+Q151</f>
        <v>451870832.28389472</v>
      </c>
      <c r="S151">
        <f t="shared" ref="S151" si="733">R151/100000</f>
        <v>4518.7083228389474</v>
      </c>
      <c r="T151">
        <f t="shared" ref="T151" si="734">S151/1000</f>
        <v>4.5187083228389477</v>
      </c>
    </row>
    <row r="152" spans="1:20" x14ac:dyDescent="0.25">
      <c r="A152" s="5">
        <v>44441</v>
      </c>
      <c r="B152">
        <v>0.38400000000000001</v>
      </c>
      <c r="C152">
        <v>0.39389999999999997</v>
      </c>
      <c r="D152">
        <v>0.3765</v>
      </c>
      <c r="E152">
        <v>0.38450000000000001</v>
      </c>
      <c r="F152">
        <v>171305426</v>
      </c>
      <c r="G152">
        <v>0.38450000000000001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-8.0459770114940182E-2</v>
      </c>
      <c r="Q152">
        <f t="shared" ref="Q152" si="736">F152*P152</f>
        <v>-13783195.195401898</v>
      </c>
      <c r="R152">
        <f t="shared" ref="R152" si="737">R153+Q152</f>
        <v>365229967.06089795</v>
      </c>
      <c r="S152">
        <f t="shared" ref="S152" si="738">R152/100000</f>
        <v>3652.2996706089793</v>
      </c>
      <c r="T152">
        <f t="shared" ref="T152" si="739">S152/1000</f>
        <v>3.6522996706089792</v>
      </c>
    </row>
    <row r="153" spans="1:20" x14ac:dyDescent="0.25">
      <c r="A153" s="5">
        <v>44440</v>
      </c>
      <c r="B153">
        <v>0.36580000000000001</v>
      </c>
      <c r="C153">
        <v>0.3856</v>
      </c>
      <c r="D153">
        <v>0.35859999999999997</v>
      </c>
      <c r="E153">
        <v>0.38400000000000001</v>
      </c>
      <c r="F153">
        <v>190794588</v>
      </c>
      <c r="G153">
        <v>0.38400000000000001</v>
      </c>
      <c r="L153" t="s">
        <v>7</v>
      </c>
      <c r="M153" t="s">
        <v>8</v>
      </c>
      <c r="N153" t="s">
        <v>8</v>
      </c>
      <c r="P153">
        <f t="shared" ref="P153" si="740">IF(C153=D153,0,((E153-D153)-(C153-E153))/(C153-D153))</f>
        <v>0.88148148148148231</v>
      </c>
      <c r="Q153">
        <f t="shared" ref="Q153" si="741">F153*P153</f>
        <v>168181896.08888903</v>
      </c>
      <c r="R153">
        <f t="shared" ref="R153" si="742">R154+Q153</f>
        <v>379013162.25629985</v>
      </c>
      <c r="S153">
        <f t="shared" ref="S153" si="743">R153/100000</f>
        <v>3790.1316225629985</v>
      </c>
      <c r="T153">
        <f t="shared" ref="T153" si="744">S153/1000</f>
        <v>3.7901316225629986</v>
      </c>
    </row>
    <row r="154" spans="1:20" x14ac:dyDescent="0.25">
      <c r="A154" s="5">
        <v>44439</v>
      </c>
      <c r="B154">
        <v>0.36849999999999999</v>
      </c>
      <c r="C154">
        <v>0.37740000000000001</v>
      </c>
      <c r="D154">
        <v>0.35799999999999998</v>
      </c>
      <c r="E154">
        <v>0.36580000000000001</v>
      </c>
      <c r="F154">
        <v>180319657</v>
      </c>
      <c r="G154">
        <v>0.36580000000000001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-0.19587628865979198</v>
      </c>
      <c r="Q154">
        <f t="shared" ref="Q154" si="746">F154*P154</f>
        <v>-35320345.185566679</v>
      </c>
      <c r="R154">
        <f t="shared" ref="R154" si="747">R155+Q154</f>
        <v>210831266.16741085</v>
      </c>
      <c r="S154">
        <f t="shared" ref="S154" si="748">R154/100000</f>
        <v>2108.3126616741083</v>
      </c>
      <c r="T154">
        <f t="shared" ref="T154" si="749">S154/1000</f>
        <v>2.1083126616741081</v>
      </c>
    </row>
    <row r="155" spans="1:20" x14ac:dyDescent="0.25">
      <c r="A155" s="5">
        <v>44438</v>
      </c>
      <c r="B155">
        <v>0.37559999999999999</v>
      </c>
      <c r="C155">
        <v>0.40600000000000003</v>
      </c>
      <c r="D155">
        <v>0.36499999999999999</v>
      </c>
      <c r="E155">
        <v>0.36840000000000001</v>
      </c>
      <c r="F155">
        <v>355494226.5</v>
      </c>
      <c r="G155">
        <v>0.36840000000000001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-0.83414634146341404</v>
      </c>
      <c r="Q155">
        <f t="shared" ref="Q155" si="751">F155*P155</f>
        <v>-296534208.44634128</v>
      </c>
      <c r="R155">
        <f t="shared" ref="R155" si="752">R156+Q155</f>
        <v>246151611.35297751</v>
      </c>
      <c r="S155">
        <f t="shared" ref="S155" si="753">R155/100000</f>
        <v>2461.5161135297753</v>
      </c>
      <c r="T155">
        <f t="shared" ref="T155" si="754">S155/1000</f>
        <v>2.4615161135297754</v>
      </c>
    </row>
    <row r="156" spans="1:20" x14ac:dyDescent="0.25">
      <c r="A156" s="5">
        <v>44437</v>
      </c>
      <c r="B156">
        <v>0.36840000000000001</v>
      </c>
      <c r="C156">
        <v>0.38569999999999999</v>
      </c>
      <c r="D156">
        <v>0.35799999999999998</v>
      </c>
      <c r="E156">
        <v>0.3755</v>
      </c>
      <c r="F156">
        <v>213906225.40000001</v>
      </c>
      <c r="G156">
        <v>0.3755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0.26353790613718514</v>
      </c>
      <c r="Q156">
        <f t="shared" ref="Q156" si="756">F156*P156</f>
        <v>56372398.75162477</v>
      </c>
      <c r="R156">
        <f t="shared" ref="R156" si="757">R157+Q156</f>
        <v>542685819.79931879</v>
      </c>
      <c r="S156">
        <f t="shared" ref="S156" si="758">R156/100000</f>
        <v>5426.8581979931878</v>
      </c>
      <c r="T156">
        <f t="shared" ref="T156" si="759">S156/1000</f>
        <v>5.4268581979931874</v>
      </c>
    </row>
    <row r="157" spans="1:20" x14ac:dyDescent="0.25">
      <c r="A157" s="5">
        <v>44436</v>
      </c>
      <c r="B157">
        <v>0.37819999999999998</v>
      </c>
      <c r="C157">
        <v>0.38059999999999999</v>
      </c>
      <c r="D157">
        <v>0.36509999999999998</v>
      </c>
      <c r="E157">
        <v>0.36830000000000002</v>
      </c>
      <c r="F157">
        <v>131687736.8</v>
      </c>
      <c r="G157">
        <v>0.36830000000000002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-0.58709677419354411</v>
      </c>
      <c r="Q157">
        <f t="shared" ref="Q157" si="761">F157*P157</f>
        <v>-77313445.476128474</v>
      </c>
      <c r="R157">
        <f t="shared" ref="R157" si="762">R158+Q157</f>
        <v>486313421.04769397</v>
      </c>
      <c r="S157">
        <f t="shared" ref="S157" si="763">R157/100000</f>
        <v>4863.1342104769401</v>
      </c>
      <c r="T157">
        <f t="shared" ref="T157" si="764">S157/1000</f>
        <v>4.8631342104769404</v>
      </c>
    </row>
    <row r="158" spans="1:20" x14ac:dyDescent="0.25">
      <c r="A158" s="5">
        <v>44435</v>
      </c>
      <c r="B158">
        <v>0.3579</v>
      </c>
      <c r="C158">
        <v>0.3805</v>
      </c>
      <c r="D158">
        <v>0.34279999999999999</v>
      </c>
      <c r="E158">
        <v>0.37830000000000003</v>
      </c>
      <c r="F158">
        <v>225910919.09999999</v>
      </c>
      <c r="G158">
        <v>0.37830000000000003</v>
      </c>
      <c r="L158" t="s">
        <v>7</v>
      </c>
      <c r="M158" t="s">
        <v>8</v>
      </c>
      <c r="N158" t="s">
        <v>8</v>
      </c>
      <c r="P158">
        <f t="shared" ref="P158" si="765">IF(C158=D158,0,((E158-D158)-(C158-E158))/(C158-D158))</f>
        <v>0.88328912466843612</v>
      </c>
      <c r="Q158">
        <f t="shared" ref="Q158" si="766">F158*P158</f>
        <v>199544657.98488089</v>
      </c>
      <c r="R158">
        <f t="shared" ref="R158" si="767">R159+Q158</f>
        <v>563626866.52382243</v>
      </c>
      <c r="S158">
        <f t="shared" ref="S158" si="768">R158/100000</f>
        <v>5636.2686652382245</v>
      </c>
      <c r="T158">
        <f t="shared" ref="T158" si="769">S158/1000</f>
        <v>5.6362686652382248</v>
      </c>
    </row>
    <row r="159" spans="1:20" x14ac:dyDescent="0.25">
      <c r="A159" s="5">
        <v>44434</v>
      </c>
      <c r="B159">
        <v>0.38769999999999999</v>
      </c>
      <c r="C159">
        <v>0.38900000000000001</v>
      </c>
      <c r="D159">
        <v>0.35316999999999998</v>
      </c>
      <c r="E159">
        <v>0.35820000000000002</v>
      </c>
      <c r="F159">
        <v>304576795.80000001</v>
      </c>
      <c r="G159">
        <v>0.35820000000000002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-0.71922969578565277</v>
      </c>
      <c r="Q159">
        <f t="shared" ref="Q159" si="771">F159*P159</f>
        <v>-219060676.18660289</v>
      </c>
      <c r="R159">
        <f t="shared" ref="R159" si="772">R160+Q159</f>
        <v>364082208.53894156</v>
      </c>
      <c r="S159">
        <f t="shared" ref="S159" si="773">R159/100000</f>
        <v>3640.8220853894154</v>
      </c>
      <c r="T159">
        <f t="shared" ref="T159" si="774">S159/1000</f>
        <v>3.6408220853894155</v>
      </c>
    </row>
    <row r="160" spans="1:20" x14ac:dyDescent="0.25">
      <c r="A160" s="5">
        <v>44433</v>
      </c>
      <c r="B160">
        <v>0.36734</v>
      </c>
      <c r="C160">
        <v>0.39406999999999998</v>
      </c>
      <c r="D160">
        <v>0.34806999999999999</v>
      </c>
      <c r="E160">
        <v>0.38773999999999997</v>
      </c>
      <c r="F160">
        <v>324246370.19999999</v>
      </c>
      <c r="G160">
        <v>0.38773999999999997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0.72478260869565203</v>
      </c>
      <c r="Q160">
        <f t="shared" ref="Q160" si="776">F160*P160</f>
        <v>235008130.05365211</v>
      </c>
      <c r="R160">
        <f t="shared" ref="R160" si="777">R161+Q160</f>
        <v>583142884.72554445</v>
      </c>
      <c r="S160">
        <f t="shared" ref="S160" si="778">R160/100000</f>
        <v>5831.4288472554445</v>
      </c>
      <c r="T160">
        <f t="shared" ref="T160" si="779">S160/1000</f>
        <v>5.8314288472554443</v>
      </c>
    </row>
    <row r="161" spans="1:20" x14ac:dyDescent="0.25">
      <c r="A161" s="5">
        <v>44432</v>
      </c>
      <c r="B161">
        <v>0.40676000000000001</v>
      </c>
      <c r="C161">
        <v>0.40887000000000001</v>
      </c>
      <c r="D161">
        <v>0.35636000000000001</v>
      </c>
      <c r="E161">
        <v>0.36732999999999999</v>
      </c>
      <c r="F161">
        <v>344154831.89999998</v>
      </c>
      <c r="G161">
        <v>0.36732999999999999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-0.58217482384307828</v>
      </c>
      <c r="Q161">
        <f t="shared" ref="Q161" si="781">F161*P161</f>
        <v>-200358278.6361267</v>
      </c>
      <c r="R161">
        <f t="shared" ref="R161" si="782">R162+Q161</f>
        <v>348134754.67189234</v>
      </c>
      <c r="S161">
        <f t="shared" ref="S161" si="783">R161/100000</f>
        <v>3481.3475467189232</v>
      </c>
      <c r="T161">
        <f t="shared" ref="T161" si="784">S161/1000</f>
        <v>3.4813475467189234</v>
      </c>
    </row>
    <row r="162" spans="1:20" x14ac:dyDescent="0.25">
      <c r="A162" s="5">
        <v>44431</v>
      </c>
      <c r="B162">
        <v>0.37737999999999999</v>
      </c>
      <c r="C162">
        <v>0.41499999999999998</v>
      </c>
      <c r="D162">
        <v>0.37248999999999999</v>
      </c>
      <c r="E162">
        <v>0.40683000000000002</v>
      </c>
      <c r="F162">
        <v>412635757.69999999</v>
      </c>
      <c r="G162">
        <v>0.40683000000000002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0.61561985415196629</v>
      </c>
      <c r="Q162">
        <f t="shared" ref="Q162" si="786">F162*P162</f>
        <v>254026764.97316009</v>
      </c>
      <c r="R162">
        <f t="shared" ref="R162" si="787">R163+Q162</f>
        <v>548493033.30801904</v>
      </c>
      <c r="S162">
        <f t="shared" ref="S162" si="788">R162/100000</f>
        <v>5484.9303330801904</v>
      </c>
      <c r="T162">
        <f t="shared" ref="T162" si="789">S162/1000</f>
        <v>5.4849303330801904</v>
      </c>
    </row>
    <row r="163" spans="1:20" x14ac:dyDescent="0.25">
      <c r="A163" s="5">
        <v>44430</v>
      </c>
      <c r="B163">
        <v>0.38246999999999998</v>
      </c>
      <c r="C163">
        <v>0.41369</v>
      </c>
      <c r="D163">
        <v>0.38205</v>
      </c>
      <c r="E163">
        <v>0.39104</v>
      </c>
      <c r="F163">
        <v>137739995.90000001</v>
      </c>
      <c r="G163">
        <v>0.39104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-0.43173198482933012</v>
      </c>
      <c r="Q163">
        <f t="shared" ref="Q163" si="791">F163*P163</f>
        <v>-59466761.820290796</v>
      </c>
      <c r="R163">
        <f t="shared" ref="R163" si="792">R164+Q163</f>
        <v>294466268.33485895</v>
      </c>
      <c r="S163">
        <f t="shared" ref="S163" si="793">R163/100000</f>
        <v>2944.6626833485893</v>
      </c>
      <c r="T163">
        <f t="shared" ref="T163" si="794">S163/1000</f>
        <v>2.9446626833485894</v>
      </c>
    </row>
    <row r="164" spans="1:20" x14ac:dyDescent="0.25">
      <c r="A164" s="5">
        <v>44429</v>
      </c>
      <c r="B164">
        <v>0.35446</v>
      </c>
      <c r="C164">
        <v>0.40812999999999999</v>
      </c>
      <c r="D164">
        <v>0.34604000000000001</v>
      </c>
      <c r="E164">
        <v>0.38234000000000001</v>
      </c>
      <c r="F164">
        <v>636963375.79999995</v>
      </c>
      <c r="G164">
        <v>0.38234000000000001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0.16927041391528463</v>
      </c>
      <c r="Q164">
        <f t="shared" ref="Q164" si="796">F164*P164</f>
        <v>107819054.27054299</v>
      </c>
      <c r="R164">
        <f t="shared" ref="R164" si="797">R165+Q164</f>
        <v>353933030.15514976</v>
      </c>
      <c r="S164">
        <f t="shared" ref="S164" si="798">R164/100000</f>
        <v>3539.3303015514975</v>
      </c>
      <c r="T164">
        <f t="shared" ref="T164" si="799">S164/1000</f>
        <v>3.5393303015514976</v>
      </c>
    </row>
    <row r="165" spans="1:20" x14ac:dyDescent="0.25">
      <c r="A165" s="5">
        <v>44428</v>
      </c>
      <c r="B165">
        <v>0.34508</v>
      </c>
      <c r="C165">
        <v>0.35815999999999998</v>
      </c>
      <c r="D165">
        <v>0.34023999999999999</v>
      </c>
      <c r="E165">
        <v>0.35455999999999999</v>
      </c>
      <c r="F165">
        <v>197571895.80000001</v>
      </c>
      <c r="G165">
        <v>0.35455999999999999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0.59821428571428636</v>
      </c>
      <c r="Q165">
        <f t="shared" ref="Q165" si="801">F165*P165</f>
        <v>118190330.52321441</v>
      </c>
      <c r="R165">
        <f t="shared" ref="R165" si="802">R166+Q165</f>
        <v>246113975.88460678</v>
      </c>
      <c r="S165">
        <f t="shared" ref="S165" si="803">R165/100000</f>
        <v>2461.1397588460677</v>
      </c>
      <c r="T165">
        <f t="shared" ref="T165" si="804">S165/1000</f>
        <v>2.4611397588460675</v>
      </c>
    </row>
    <row r="166" spans="1:20" x14ac:dyDescent="0.25">
      <c r="A166" s="5">
        <v>44427</v>
      </c>
      <c r="B166">
        <v>0.33076</v>
      </c>
      <c r="C166">
        <v>0.34605000000000002</v>
      </c>
      <c r="D166">
        <v>0.31953999999999999</v>
      </c>
      <c r="E166">
        <v>0.34505999999999998</v>
      </c>
      <c r="F166">
        <v>192329893.69999999</v>
      </c>
      <c r="G166">
        <v>0.34505999999999998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0.92531120331949868</v>
      </c>
      <c r="Q166">
        <f t="shared" ref="Q166" si="806">F166*P166</f>
        <v>177965005.37385824</v>
      </c>
      <c r="R166">
        <f t="shared" ref="R166" si="807">R167+Q166</f>
        <v>127923645.36139235</v>
      </c>
      <c r="S166">
        <f t="shared" ref="S166" si="808">R166/100000</f>
        <v>1279.2364536139235</v>
      </c>
      <c r="T166">
        <f t="shared" ref="T166" si="809">S166/1000</f>
        <v>1.2792364536139234</v>
      </c>
    </row>
    <row r="167" spans="1:20" x14ac:dyDescent="0.25">
      <c r="A167" s="5">
        <v>44426</v>
      </c>
      <c r="B167">
        <v>0.33539999999999998</v>
      </c>
      <c r="C167">
        <v>0.34390999999999999</v>
      </c>
      <c r="D167">
        <v>0.313</v>
      </c>
      <c r="E167">
        <v>0.33046999999999999</v>
      </c>
      <c r="F167">
        <v>232351135.5</v>
      </c>
      <c r="G167">
        <v>0.33046999999999999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0.13037851827887348</v>
      </c>
      <c r="Q167">
        <f t="shared" ref="Q167" si="811">F167*P167</f>
        <v>30293596.766903758</v>
      </c>
      <c r="R167">
        <f t="shared" ref="R167" si="812">R168+Q167</f>
        <v>-50041360.012465894</v>
      </c>
      <c r="S167">
        <f t="shared" ref="S167" si="813">R167/100000</f>
        <v>-500.41360012465896</v>
      </c>
      <c r="T167">
        <f t="shared" ref="T167" si="814">S167/1000</f>
        <v>-0.50041360012465896</v>
      </c>
    </row>
    <row r="168" spans="1:20" x14ac:dyDescent="0.25">
      <c r="A168" s="5">
        <v>44425</v>
      </c>
      <c r="B168">
        <v>0.35558000000000001</v>
      </c>
      <c r="C168">
        <v>0.379</v>
      </c>
      <c r="D168">
        <v>0.32895000000000002</v>
      </c>
      <c r="E168">
        <v>0.33561999999999997</v>
      </c>
      <c r="F168">
        <v>335453213.69999999</v>
      </c>
      <c r="G168">
        <v>0.33561999999999997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-0.73346653346653523</v>
      </c>
      <c r="Q168">
        <f t="shared" ref="Q168" si="816">F168*P168</f>
        <v>-246043705.79274783</v>
      </c>
      <c r="R168">
        <f t="shared" ref="R168" si="817">R169+Q168</f>
        <v>-80334956.779369652</v>
      </c>
      <c r="S168">
        <f t="shared" ref="S168" si="818">R168/100000</f>
        <v>-803.34956779369656</v>
      </c>
      <c r="T168">
        <f t="shared" ref="T168" si="819">S168/1000</f>
        <v>-0.8033495677936966</v>
      </c>
    </row>
    <row r="169" spans="1:20" x14ac:dyDescent="0.25">
      <c r="A169" s="5">
        <v>44424</v>
      </c>
      <c r="B169">
        <v>0.37015999999999999</v>
      </c>
      <c r="C169">
        <v>0.38700000000000001</v>
      </c>
      <c r="D169">
        <v>0.34837000000000001</v>
      </c>
      <c r="E169">
        <v>0.35558000000000001</v>
      </c>
      <c r="F169">
        <v>264285493.5</v>
      </c>
      <c r="G169">
        <v>0.35558000000000001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-0.62671498835102279</v>
      </c>
      <c r="Q169">
        <f t="shared" ref="Q169" si="821">F169*P169</f>
        <v>-165631679.9801968</v>
      </c>
      <c r="R169">
        <f t="shared" ref="R169" si="822">R170+Q169</f>
        <v>165708749.01337817</v>
      </c>
      <c r="S169">
        <f t="shared" ref="S169" si="823">R169/100000</f>
        <v>1657.0874901337818</v>
      </c>
      <c r="T169">
        <f t="shared" ref="T169" si="824">S169/1000</f>
        <v>1.6570874901337818</v>
      </c>
    </row>
    <row r="170" spans="1:20" x14ac:dyDescent="0.25">
      <c r="A170" s="5">
        <v>44423</v>
      </c>
      <c r="B170">
        <v>0.37114000000000003</v>
      </c>
      <c r="C170">
        <v>0.37558000000000002</v>
      </c>
      <c r="D170">
        <v>0.35111999999999999</v>
      </c>
      <c r="E170">
        <v>0.37025000000000002</v>
      </c>
      <c r="F170">
        <v>211184975.90000001</v>
      </c>
      <c r="G170">
        <v>0.37025000000000002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0.56418642681929732</v>
      </c>
      <c r="Q170">
        <f t="shared" ref="Q170" si="826">F170*P170</f>
        <v>119147696.95094042</v>
      </c>
      <c r="R170">
        <f t="shared" ref="R170" si="827">R171+Q170</f>
        <v>331340428.99357498</v>
      </c>
      <c r="S170">
        <f t="shared" ref="S170" si="828">R170/100000</f>
        <v>3313.4042899357496</v>
      </c>
      <c r="T170">
        <f t="shared" ref="T170" si="829">S170/1000</f>
        <v>3.3134042899357494</v>
      </c>
    </row>
    <row r="171" spans="1:20" x14ac:dyDescent="0.25">
      <c r="A171" s="5">
        <v>44422</v>
      </c>
      <c r="B171">
        <v>0.38179999999999997</v>
      </c>
      <c r="C171">
        <v>0.38399</v>
      </c>
      <c r="D171">
        <v>0.35877999999999999</v>
      </c>
      <c r="E171">
        <v>0.37119999999999997</v>
      </c>
      <c r="F171">
        <v>267078705.69999999</v>
      </c>
      <c r="G171">
        <v>0.37119999999999997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-1.4676715589053424E-2</v>
      </c>
      <c r="Q171">
        <f t="shared" ref="Q171" si="831">F171*P171</f>
        <v>-3919838.2034514016</v>
      </c>
      <c r="R171">
        <f t="shared" ref="R171" si="832">R172+Q171</f>
        <v>212192732.04263455</v>
      </c>
      <c r="S171">
        <f t="shared" ref="S171" si="833">R171/100000</f>
        <v>2121.9273204263454</v>
      </c>
      <c r="T171">
        <f t="shared" ref="T171" si="834">S171/1000</f>
        <v>2.1219273204263454</v>
      </c>
    </row>
    <row r="172" spans="1:20" x14ac:dyDescent="0.25">
      <c r="A172" s="5">
        <v>44421</v>
      </c>
      <c r="B172">
        <v>0.36958999999999997</v>
      </c>
      <c r="C172">
        <v>0.38973999999999998</v>
      </c>
      <c r="D172">
        <v>0.35792000000000002</v>
      </c>
      <c r="E172">
        <v>0.38179999999999997</v>
      </c>
      <c r="F172">
        <v>418208976.5</v>
      </c>
      <c r="G172">
        <v>0.38179999999999997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0.50094280326838392</v>
      </c>
      <c r="Q172">
        <f t="shared" ref="Q172" si="836">F172*P172</f>
        <v>209498777.03991169</v>
      </c>
      <c r="R172">
        <f t="shared" ref="R172" si="837">R173+Q172</f>
        <v>216112570.24608594</v>
      </c>
      <c r="S172">
        <f t="shared" ref="S172" si="838">R172/100000</f>
        <v>2161.1257024608594</v>
      </c>
      <c r="T172">
        <f t="shared" ref="T172" si="839">S172/1000</f>
        <v>2.1611257024608594</v>
      </c>
    </row>
    <row r="173" spans="1:20" x14ac:dyDescent="0.25">
      <c r="A173" s="5">
        <v>44420</v>
      </c>
      <c r="B173">
        <v>0.32779000000000003</v>
      </c>
      <c r="C173">
        <v>0.37</v>
      </c>
      <c r="D173">
        <v>0.31001000000000001</v>
      </c>
      <c r="E173">
        <v>0.36901</v>
      </c>
      <c r="F173">
        <v>656150838.29999995</v>
      </c>
      <c r="G173">
        <v>0.36901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0.9669944990831808</v>
      </c>
      <c r="Q173">
        <f t="shared" ref="Q173" si="841">F173*P173</f>
        <v>634494251.20491767</v>
      </c>
      <c r="R173">
        <f t="shared" ref="R173" si="842">R174+Q173</f>
        <v>6613793.2061742544</v>
      </c>
      <c r="S173">
        <f t="shared" ref="S173" si="843">R173/100000</f>
        <v>66.137932061742546</v>
      </c>
      <c r="T173">
        <f t="shared" ref="T173" si="844">S173/1000</f>
        <v>6.6137932061742552E-2</v>
      </c>
    </row>
    <row r="174" spans="1:20" x14ac:dyDescent="0.25">
      <c r="A174" s="5">
        <v>44419</v>
      </c>
      <c r="B174">
        <v>0.32669999999999999</v>
      </c>
      <c r="C174">
        <v>0.34836</v>
      </c>
      <c r="D174">
        <v>0.32078000000000001</v>
      </c>
      <c r="E174">
        <v>0.32780999999999999</v>
      </c>
      <c r="F174">
        <v>393992049.10000002</v>
      </c>
      <c r="G174">
        <v>0.32780999999999999</v>
      </c>
      <c r="L174" t="s">
        <v>7</v>
      </c>
      <c r="M174" t="s">
        <v>8</v>
      </c>
      <c r="N174" t="s">
        <v>8</v>
      </c>
      <c r="P174">
        <f t="shared" ref="P174" si="845">IF(C174=D174,0,((E174-D174)-(C174-E174))/(C174-D174))</f>
        <v>-0.49021029731689758</v>
      </c>
      <c r="Q174">
        <f t="shared" ref="Q174" si="846">F174*P174</f>
        <v>-193138959.52980474</v>
      </c>
      <c r="R174">
        <f t="shared" ref="R174" si="847">R175+Q174</f>
        <v>-627880457.99874341</v>
      </c>
      <c r="S174">
        <f t="shared" ref="S174" si="848">R174/100000</f>
        <v>-6278.8045799874344</v>
      </c>
      <c r="T174">
        <f t="shared" ref="T174" si="849">S174/1000</f>
        <v>-6.2788045799874341</v>
      </c>
    </row>
    <row r="175" spans="1:20" x14ac:dyDescent="0.25">
      <c r="A175" s="5">
        <v>44418</v>
      </c>
      <c r="B175">
        <v>0.31003999999999998</v>
      </c>
      <c r="C175">
        <v>0.3548</v>
      </c>
      <c r="D175">
        <v>0.30581999999999998</v>
      </c>
      <c r="E175">
        <v>0.32677</v>
      </c>
      <c r="F175">
        <v>516630787.10000002</v>
      </c>
      <c r="G175">
        <v>0.32677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-0.14454879542670421</v>
      </c>
      <c r="Q175">
        <f t="shared" ref="Q175" si="851">F175*P175</f>
        <v>-74678357.955655083</v>
      </c>
      <c r="R175">
        <f t="shared" ref="R175" si="852">R176+Q175</f>
        <v>-434741498.46893871</v>
      </c>
      <c r="S175">
        <f t="shared" ref="S175" si="853">R175/100000</f>
        <v>-4347.414984689387</v>
      </c>
      <c r="T175">
        <f t="shared" ref="T175" si="854">S175/1000</f>
        <v>-4.3474149846893866</v>
      </c>
    </row>
    <row r="176" spans="1:20" x14ac:dyDescent="0.25">
      <c r="A176" s="5">
        <v>44417</v>
      </c>
      <c r="B176">
        <v>0.27693000000000001</v>
      </c>
      <c r="C176">
        <v>0.32672000000000001</v>
      </c>
      <c r="D176">
        <v>0.26504</v>
      </c>
      <c r="E176">
        <v>0.31004999999999999</v>
      </c>
      <c r="F176">
        <v>609749531.79999995</v>
      </c>
      <c r="G176">
        <v>0.31004999999999999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0.45946822308689966</v>
      </c>
      <c r="Q176">
        <f t="shared" ref="Q176" si="856">F176*P176</f>
        <v>280160533.90421498</v>
      </c>
      <c r="R176">
        <f t="shared" ref="R176" si="857">R177+Q176</f>
        <v>-360063140.51328361</v>
      </c>
      <c r="S176">
        <f t="shared" ref="S176" si="858">R176/100000</f>
        <v>-3600.6314051328359</v>
      </c>
      <c r="T176">
        <f t="shared" ref="T176" si="859">S176/1000</f>
        <v>-3.6006314051328361</v>
      </c>
    </row>
    <row r="177" spans="1:20" x14ac:dyDescent="0.25">
      <c r="A177" s="5">
        <v>44416</v>
      </c>
      <c r="B177">
        <v>0.29299999999999998</v>
      </c>
      <c r="C177">
        <v>0.29504999999999998</v>
      </c>
      <c r="D177">
        <v>0.27081</v>
      </c>
      <c r="E177">
        <v>0.27685999999999999</v>
      </c>
      <c r="F177">
        <v>238990151.59999999</v>
      </c>
      <c r="G177">
        <v>0.27685999999999999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-0.50082508250825053</v>
      </c>
      <c r="Q177">
        <f t="shared" ref="Q177" si="861">F177*P177</f>
        <v>-119692262.3937293</v>
      </c>
      <c r="R177">
        <f t="shared" ref="R177" si="862">R178+Q177</f>
        <v>-640223674.41749859</v>
      </c>
      <c r="S177">
        <f t="shared" ref="S177" si="863">R177/100000</f>
        <v>-6402.2367441749857</v>
      </c>
      <c r="T177">
        <f t="shared" ref="T177" si="864">S177/1000</f>
        <v>-6.4022367441749859</v>
      </c>
    </row>
    <row r="178" spans="1:20" x14ac:dyDescent="0.25">
      <c r="A178" s="5">
        <v>44415</v>
      </c>
      <c r="B178">
        <v>0.28969</v>
      </c>
      <c r="C178">
        <v>0.29926999999999998</v>
      </c>
      <c r="D178">
        <v>0.28010000000000002</v>
      </c>
      <c r="E178">
        <v>0.29297000000000001</v>
      </c>
      <c r="F178">
        <v>282439163.80000001</v>
      </c>
      <c r="G178">
        <v>0.29297000000000001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0.34272300469483735</v>
      </c>
      <c r="Q178">
        <f t="shared" ref="Q178" si="866">F178*P178</f>
        <v>96798398.861033335</v>
      </c>
      <c r="R178">
        <f t="shared" ref="R178" si="867">R179+Q178</f>
        <v>-520531412.02376926</v>
      </c>
      <c r="S178">
        <f t="shared" ref="S178" si="868">R178/100000</f>
        <v>-5205.3141202376928</v>
      </c>
      <c r="T178">
        <f t="shared" ref="T178" si="869">S178/1000</f>
        <v>-5.2053141202376931</v>
      </c>
    </row>
    <row r="179" spans="1:20" x14ac:dyDescent="0.25">
      <c r="A179" s="5">
        <v>44414</v>
      </c>
      <c r="B179">
        <v>0.26573999999999998</v>
      </c>
      <c r="C179">
        <v>0.29260999999999998</v>
      </c>
      <c r="D179">
        <v>0.26118999999999998</v>
      </c>
      <c r="E179">
        <v>0.28959000000000001</v>
      </c>
      <c r="F179">
        <v>269281332.69999999</v>
      </c>
      <c r="G179">
        <v>0.28959000000000001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0.80776575429662845</v>
      </c>
      <c r="Q179">
        <f t="shared" ref="Q179" si="871">F179*P179</f>
        <v>217516238.82641685</v>
      </c>
      <c r="R179">
        <f t="shared" ref="R179" si="872">R180+Q179</f>
        <v>-617329810.88480258</v>
      </c>
      <c r="S179">
        <f t="shared" ref="S179" si="873">R179/100000</f>
        <v>-6173.2981088480255</v>
      </c>
      <c r="T179">
        <f t="shared" ref="T179" si="874">S179/1000</f>
        <v>-6.1732981088480257</v>
      </c>
    </row>
    <row r="180" spans="1:20" x14ac:dyDescent="0.25">
      <c r="A180" s="5">
        <v>44413</v>
      </c>
      <c r="B180">
        <v>0.26456000000000002</v>
      </c>
      <c r="C180">
        <v>0.26695000000000002</v>
      </c>
      <c r="D180">
        <v>0.25512000000000001</v>
      </c>
      <c r="E180">
        <v>0.26577000000000001</v>
      </c>
      <c r="F180">
        <v>136424134.09999999</v>
      </c>
      <c r="G180">
        <v>0.26577000000000001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0.80050718512256747</v>
      </c>
      <c r="Q180">
        <f t="shared" ref="Q180" si="876">F180*P180</f>
        <v>109208499.57117467</v>
      </c>
      <c r="R180">
        <f t="shared" ref="R180" si="877">R181+Q180</f>
        <v>-834846049.71121943</v>
      </c>
      <c r="S180">
        <f t="shared" ref="S180" si="878">R180/100000</f>
        <v>-8348.4604971121935</v>
      </c>
      <c r="T180">
        <f t="shared" ref="T180" si="879">S180/1000</f>
        <v>-8.3484604971121943</v>
      </c>
    </row>
    <row r="181" spans="1:20" x14ac:dyDescent="0.25">
      <c r="A181" s="5">
        <v>44412</v>
      </c>
      <c r="B181">
        <v>0.25734000000000001</v>
      </c>
      <c r="C181">
        <v>0.26608999999999999</v>
      </c>
      <c r="D181">
        <v>0.25323000000000001</v>
      </c>
      <c r="E181">
        <v>0.26468999999999998</v>
      </c>
      <c r="F181">
        <v>116672555.8</v>
      </c>
      <c r="G181">
        <v>0.26468999999999998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0.78227060653187963</v>
      </c>
      <c r="Q181">
        <f t="shared" ref="Q181" si="881">F181*P181</f>
        <v>91269510.991290569</v>
      </c>
      <c r="R181">
        <f t="shared" ref="R181" si="882">R182+Q181</f>
        <v>-944054549.28239405</v>
      </c>
      <c r="S181">
        <f t="shared" ref="S181" si="883">R181/100000</f>
        <v>-9440.5454928239396</v>
      </c>
      <c r="T181">
        <f t="shared" ref="T181" si="884">S181/1000</f>
        <v>-9.4405454928239401</v>
      </c>
    </row>
    <row r="182" spans="1:20" x14ac:dyDescent="0.25">
      <c r="A182" s="5">
        <v>44411</v>
      </c>
      <c r="B182">
        <v>0.26545000000000002</v>
      </c>
      <c r="C182">
        <v>0.26839000000000002</v>
      </c>
      <c r="D182">
        <v>0.25317000000000001</v>
      </c>
      <c r="E182">
        <v>0.25733</v>
      </c>
      <c r="F182">
        <v>109501984</v>
      </c>
      <c r="G182">
        <v>0.25733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-0.45335085413929122</v>
      </c>
      <c r="Q182">
        <f t="shared" ref="Q182" si="886">F182*P182</f>
        <v>-49642817.976346999</v>
      </c>
      <c r="R182">
        <f t="shared" ref="R182" si="887">R183+Q182</f>
        <v>-1035324060.2736846</v>
      </c>
      <c r="S182">
        <f t="shared" ref="S182" si="888">R182/100000</f>
        <v>-10353.240602736847</v>
      </c>
      <c r="T182">
        <f t="shared" ref="T182" si="889">S182/1000</f>
        <v>-10.353240602736847</v>
      </c>
    </row>
    <row r="183" spans="1:20" x14ac:dyDescent="0.25">
      <c r="A183" s="5">
        <v>44410</v>
      </c>
      <c r="B183">
        <v>0.2601</v>
      </c>
      <c r="C183">
        <v>0.27327000000000001</v>
      </c>
      <c r="D183">
        <v>0.25700000000000001</v>
      </c>
      <c r="E183">
        <v>0.26543</v>
      </c>
      <c r="F183">
        <v>152462806.69999999</v>
      </c>
      <c r="G183">
        <v>0.26543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3.626306084818557E-2</v>
      </c>
      <c r="Q183">
        <f t="shared" ref="Q183" si="891">F183*P183</f>
        <v>5528768.036447254</v>
      </c>
      <c r="R183">
        <f t="shared" ref="R183" si="892">R184+Q183</f>
        <v>-985681242.29733765</v>
      </c>
      <c r="S183">
        <f t="shared" ref="S183" si="893">R183/100000</f>
        <v>-9856.8124229733767</v>
      </c>
      <c r="T183">
        <f t="shared" ref="T183" si="894">S183/1000</f>
        <v>-9.8568124229733769</v>
      </c>
    </row>
    <row r="184" spans="1:20" x14ac:dyDescent="0.25">
      <c r="A184" s="5">
        <v>44409</v>
      </c>
      <c r="B184">
        <v>0.26528000000000002</v>
      </c>
      <c r="C184">
        <v>0.27800000000000002</v>
      </c>
      <c r="D184">
        <v>0.25751000000000002</v>
      </c>
      <c r="E184">
        <v>0.26016</v>
      </c>
      <c r="F184">
        <v>180159371.90000001</v>
      </c>
      <c r="G184">
        <v>0.26016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-0.74133723767691706</v>
      </c>
      <c r="Q184">
        <f t="shared" ref="Q184" si="896">F184*P184</f>
        <v>-133558851.10595439</v>
      </c>
      <c r="R184">
        <f t="shared" ref="R184" si="897">R185+Q184</f>
        <v>-991210010.33378494</v>
      </c>
      <c r="S184">
        <f t="shared" ref="S184" si="898">R184/100000</f>
        <v>-9912.1001033378489</v>
      </c>
      <c r="T184">
        <f t="shared" ref="T184" si="899">S184/1000</f>
        <v>-9.9121001033378491</v>
      </c>
    </row>
    <row r="185" spans="1:20" x14ac:dyDescent="0.25">
      <c r="A185" s="5">
        <v>44408</v>
      </c>
      <c r="B185">
        <v>0.26477000000000001</v>
      </c>
      <c r="C185">
        <v>0.26828000000000002</v>
      </c>
      <c r="D185">
        <v>0.25722</v>
      </c>
      <c r="E185">
        <v>0.26501999999999998</v>
      </c>
      <c r="F185">
        <v>131020240</v>
      </c>
      <c r="G185">
        <v>0.26501999999999998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0.41048824593127731</v>
      </c>
      <c r="Q185">
        <f t="shared" ref="Q185" si="901">F185*P185</f>
        <v>53782268.499094978</v>
      </c>
      <c r="R185">
        <f t="shared" ref="R185" si="902">R186+Q185</f>
        <v>-857651159.22783053</v>
      </c>
      <c r="S185">
        <f t="shared" ref="S185" si="903">R185/100000</f>
        <v>-8576.5115922783061</v>
      </c>
      <c r="T185">
        <f t="shared" ref="T185" si="904">S185/1000</f>
        <v>-8.5765115922783064</v>
      </c>
    </row>
    <row r="186" spans="1:20" x14ac:dyDescent="0.25">
      <c r="A186" s="5">
        <v>44407</v>
      </c>
      <c r="B186">
        <v>0.25640000000000002</v>
      </c>
      <c r="C186">
        <v>0.26701000000000003</v>
      </c>
      <c r="D186">
        <v>0.24778</v>
      </c>
      <c r="E186">
        <v>0.26501000000000002</v>
      </c>
      <c r="F186">
        <v>251389241.80000001</v>
      </c>
      <c r="G186">
        <v>0.26501000000000002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0.79199167966718675</v>
      </c>
      <c r="Q186">
        <f t="shared" ref="Q186" si="906">F186*P186</f>
        <v>199098187.86344257</v>
      </c>
      <c r="R186">
        <f t="shared" ref="R186" si="907">R187+Q186</f>
        <v>-911433427.72692549</v>
      </c>
      <c r="S186">
        <f t="shared" ref="S186" si="908">R186/100000</f>
        <v>-9114.334277269254</v>
      </c>
      <c r="T186">
        <f t="shared" ref="T186" si="909">S186/1000</f>
        <v>-9.1143342772692542</v>
      </c>
    </row>
    <row r="187" spans="1:20" x14ac:dyDescent="0.25">
      <c r="A187" s="5">
        <v>44406</v>
      </c>
      <c r="B187">
        <v>0.25148999999999999</v>
      </c>
      <c r="C187">
        <v>0.25700000000000001</v>
      </c>
      <c r="D187">
        <v>0.24728</v>
      </c>
      <c r="E187">
        <v>0.25635999999999998</v>
      </c>
      <c r="F187">
        <v>133317704</v>
      </c>
      <c r="G187">
        <v>0.25635999999999998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0.86831275720164014</v>
      </c>
      <c r="Q187">
        <f t="shared" ref="Q187" si="911">F187*P187</f>
        <v>115761463.14403214</v>
      </c>
      <c r="R187">
        <f t="shared" ref="R187" si="912">R188+Q187</f>
        <v>-1110531615.590368</v>
      </c>
      <c r="S187">
        <f t="shared" ref="S187" si="913">R187/100000</f>
        <v>-11105.31615590368</v>
      </c>
      <c r="T187">
        <f t="shared" ref="T187" si="914">S187/1000</f>
        <v>-11.105316155903679</v>
      </c>
    </row>
    <row r="188" spans="1:20" x14ac:dyDescent="0.25">
      <c r="A188" s="5">
        <v>44405</v>
      </c>
      <c r="B188">
        <v>0.25147999999999998</v>
      </c>
      <c r="C188">
        <v>0.25691999999999998</v>
      </c>
      <c r="D188">
        <v>0.24501999999999999</v>
      </c>
      <c r="E188">
        <v>0.25158000000000003</v>
      </c>
      <c r="F188">
        <v>160691842.30000001</v>
      </c>
      <c r="G188">
        <v>0.25158000000000003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0.10252100840336829</v>
      </c>
      <c r="Q188">
        <f t="shared" ref="Q188" si="916">F188*P188</f>
        <v>16474289.714791033</v>
      </c>
      <c r="R188">
        <f t="shared" ref="R188" si="917">R189+Q188</f>
        <v>-1226293078.7344003</v>
      </c>
      <c r="S188">
        <f t="shared" ref="S188" si="918">R188/100000</f>
        <v>-12262.930787344003</v>
      </c>
      <c r="T188">
        <f t="shared" ref="T188" si="919">S188/1000</f>
        <v>-12.262930787344002</v>
      </c>
    </row>
    <row r="189" spans="1:20" x14ac:dyDescent="0.25">
      <c r="A189" s="5">
        <v>44404</v>
      </c>
      <c r="B189">
        <v>0.24718000000000001</v>
      </c>
      <c r="C189">
        <v>0.2555</v>
      </c>
      <c r="D189">
        <v>0.23938000000000001</v>
      </c>
      <c r="E189">
        <v>0.25142999999999999</v>
      </c>
      <c r="F189">
        <v>199654987.30000001</v>
      </c>
      <c r="G189">
        <v>0.25142999999999999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0.49503722084367008</v>
      </c>
      <c r="Q189">
        <f t="shared" ref="Q189" si="921">F189*P189</f>
        <v>98836650.040570244</v>
      </c>
      <c r="R189">
        <f t="shared" ref="R189" si="922">R190+Q189</f>
        <v>-1242767368.4491913</v>
      </c>
      <c r="S189">
        <f t="shared" ref="S189" si="923">R189/100000</f>
        <v>-12427.673684491914</v>
      </c>
      <c r="T189">
        <f t="shared" ref="T189" si="924">S189/1000</f>
        <v>-12.427673684491914</v>
      </c>
    </row>
    <row r="190" spans="1:20" x14ac:dyDescent="0.25">
      <c r="A190" s="5">
        <v>44403</v>
      </c>
      <c r="B190">
        <v>0.25045000000000001</v>
      </c>
      <c r="C190">
        <v>0.26745999999999998</v>
      </c>
      <c r="D190">
        <v>0.24209</v>
      </c>
      <c r="E190">
        <v>0.24745</v>
      </c>
      <c r="F190">
        <v>390867570.80000001</v>
      </c>
      <c r="G190">
        <v>0.24745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-0.57745368545526143</v>
      </c>
      <c r="Q190">
        <f t="shared" ref="Q190" si="926">F190*P190</f>
        <v>-225707919.28340533</v>
      </c>
      <c r="R190">
        <f t="shared" ref="R190" si="927">R191+Q190</f>
        <v>-1341604018.4897616</v>
      </c>
      <c r="S190">
        <f t="shared" ref="S190" si="928">R190/100000</f>
        <v>-13416.040184897616</v>
      </c>
      <c r="T190">
        <f t="shared" ref="T190" si="929">S190/1000</f>
        <v>-13.416040184897616</v>
      </c>
    </row>
    <row r="191" spans="1:20" x14ac:dyDescent="0.25">
      <c r="A191" s="5">
        <v>44402</v>
      </c>
      <c r="B191">
        <v>0.24820999999999999</v>
      </c>
      <c r="C191">
        <v>0.25363999999999998</v>
      </c>
      <c r="D191">
        <v>0.23916000000000001</v>
      </c>
      <c r="E191">
        <v>0.25045000000000001</v>
      </c>
      <c r="F191">
        <v>195623043.19999999</v>
      </c>
      <c r="G191">
        <v>0.25045000000000001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0.55939226519337315</v>
      </c>
      <c r="Q191">
        <f t="shared" ref="Q191" si="931">F191*P191</f>
        <v>109430017.25966908</v>
      </c>
      <c r="R191">
        <f t="shared" ref="R191" si="932">R192+Q191</f>
        <v>-1115896099.2063563</v>
      </c>
      <c r="S191">
        <f t="shared" ref="S191" si="933">R191/100000</f>
        <v>-11158.960992063563</v>
      </c>
      <c r="T191">
        <f t="shared" ref="T191:T197" si="934">S191/1000</f>
        <v>-11.158960992063562</v>
      </c>
    </row>
    <row r="192" spans="1:20" x14ac:dyDescent="0.25">
      <c r="A192" s="5">
        <v>44401</v>
      </c>
      <c r="B192">
        <v>0.23909</v>
      </c>
      <c r="C192">
        <v>0.26185000000000003</v>
      </c>
      <c r="D192">
        <v>0.2356</v>
      </c>
      <c r="E192">
        <v>0.24818000000000001</v>
      </c>
      <c r="F192">
        <v>340905650.39999998</v>
      </c>
      <c r="G192">
        <v>0.24818000000000001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-4.1523809523809775E-2</v>
      </c>
      <c r="Q192">
        <f t="shared" ref="Q192" si="936">F192*P192</f>
        <v>-14155701.292800086</v>
      </c>
      <c r="R192">
        <f t="shared" ref="R192" si="937">R193+Q192</f>
        <v>-1225326116.4660254</v>
      </c>
      <c r="S192">
        <f t="shared" ref="S192" si="938">R192/100000</f>
        <v>-12253.261164660253</v>
      </c>
      <c r="T192">
        <f t="shared" si="934"/>
        <v>-12.253261164660252</v>
      </c>
    </row>
    <row r="193" spans="1:20" x14ac:dyDescent="0.25">
      <c r="A193" s="5">
        <v>44400</v>
      </c>
      <c r="B193">
        <v>0.23044000000000001</v>
      </c>
      <c r="C193">
        <v>0.24145</v>
      </c>
      <c r="D193">
        <v>0.22375999999999999</v>
      </c>
      <c r="E193">
        <v>0.23909</v>
      </c>
      <c r="F193">
        <v>180733111.40000001</v>
      </c>
      <c r="G193">
        <v>0.23909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0.73318258903335221</v>
      </c>
      <c r="Q193">
        <f t="shared" ref="Q193" si="940">F193*P193</f>
        <v>132510370.54030527</v>
      </c>
      <c r="R193">
        <f t="shared" ref="R193" si="941">R194+Q193</f>
        <v>-1211170415.1732252</v>
      </c>
      <c r="S193">
        <f t="shared" ref="S193" si="942">R193/100000</f>
        <v>-12111.704151732252</v>
      </c>
      <c r="T193">
        <f t="shared" si="934"/>
        <v>-12.111704151732253</v>
      </c>
    </row>
    <row r="194" spans="1:20" x14ac:dyDescent="0.25">
      <c r="A194" s="5">
        <v>44399</v>
      </c>
      <c r="B194">
        <v>0.22470999999999999</v>
      </c>
      <c r="C194">
        <v>0.23569999999999999</v>
      </c>
      <c r="D194">
        <v>0.22059999999999999</v>
      </c>
      <c r="E194">
        <v>0.23043</v>
      </c>
      <c r="F194">
        <v>174823429.30000001</v>
      </c>
      <c r="G194">
        <v>0.23043</v>
      </c>
      <c r="L194" t="s">
        <v>8</v>
      </c>
      <c r="M194" t="s">
        <v>8</v>
      </c>
      <c r="N194" t="s">
        <v>8</v>
      </c>
      <c r="P194">
        <f t="shared" ref="P194" si="943">IF(C194=D194,0,((E194-D194)-(C194-E194))/(C194-D194))</f>
        <v>0.30198675496688793</v>
      </c>
      <c r="Q194">
        <f t="shared" ref="Q194" si="944">F194*P194</f>
        <v>52794360.106490158</v>
      </c>
      <c r="R194">
        <f t="shared" ref="R194" si="945">R195+Q194</f>
        <v>-1343680785.7135305</v>
      </c>
      <c r="S194">
        <f t="shared" ref="S194" si="946">R194/100000</f>
        <v>-13436.807857135305</v>
      </c>
      <c r="T194">
        <f t="shared" si="934"/>
        <v>-13.436807857135305</v>
      </c>
    </row>
    <row r="195" spans="1:20" x14ac:dyDescent="0.25">
      <c r="A195" s="5">
        <v>44398</v>
      </c>
      <c r="B195">
        <v>0.20673</v>
      </c>
      <c r="C195">
        <v>0.23</v>
      </c>
      <c r="D195">
        <v>0.20021</v>
      </c>
      <c r="E195">
        <v>0.22470999999999999</v>
      </c>
      <c r="F195">
        <v>277189715.89999998</v>
      </c>
      <c r="G195">
        <v>0.22470999999999999</v>
      </c>
      <c r="L195" t="s">
        <v>8</v>
      </c>
      <c r="M195" t="s">
        <v>7</v>
      </c>
      <c r="N195" t="s">
        <v>8</v>
      </c>
      <c r="P195">
        <f t="shared" ref="P195" si="947">IF(C195=D195,0,((E195-D195)-(C195-E195))/(C195-D195))</f>
        <v>0.64484726418261062</v>
      </c>
      <c r="Q195">
        <f t="shared" ref="Q195" si="948">F195*P195</f>
        <v>178745029.95767006</v>
      </c>
      <c r="R195">
        <f t="shared" ref="R195" si="949">R196+Q195</f>
        <v>-1396475145.8200207</v>
      </c>
      <c r="S195">
        <f t="shared" ref="S195" si="950">R195/100000</f>
        <v>-13964.751458200206</v>
      </c>
      <c r="T195">
        <f t="shared" si="934"/>
        <v>-13.964751458200206</v>
      </c>
    </row>
    <row r="196" spans="1:20" x14ac:dyDescent="0.25">
      <c r="A196" s="5">
        <v>44397</v>
      </c>
      <c r="B196">
        <v>0.22850000000000001</v>
      </c>
      <c r="C196">
        <v>0.23172000000000001</v>
      </c>
      <c r="D196">
        <v>0.19861999999999999</v>
      </c>
      <c r="E196">
        <v>0.20660999999999999</v>
      </c>
      <c r="F196">
        <v>224462436.19999999</v>
      </c>
      <c r="G196">
        <v>0.20660999999999999</v>
      </c>
      <c r="L196" t="s">
        <v>7</v>
      </c>
      <c r="M196" t="s">
        <v>7</v>
      </c>
      <c r="N196" t="s">
        <v>8</v>
      </c>
      <c r="P196">
        <f t="shared" ref="P196" si="951">IF(C196=D196,0,((E196-D196)-(C196-E196))/(C196-D196))</f>
        <v>-0.51722054380664695</v>
      </c>
      <c r="Q196">
        <f t="shared" ref="Q196" si="952">F196*P196</f>
        <v>-116096583.3155288</v>
      </c>
      <c r="R196">
        <f t="shared" ref="R196" si="953">R197+Q196</f>
        <v>-1575220175.7776906</v>
      </c>
      <c r="S196">
        <f t="shared" ref="S196" si="954">R196/100000</f>
        <v>-15752.201757776906</v>
      </c>
      <c r="T196">
        <f t="shared" si="934"/>
        <v>-15.752201757776906</v>
      </c>
    </row>
    <row r="197" spans="1:20" x14ac:dyDescent="0.25">
      <c r="A197" s="5">
        <v>44396</v>
      </c>
      <c r="B197">
        <v>0.23680000000000001</v>
      </c>
      <c r="C197">
        <v>0.24199999999999999</v>
      </c>
      <c r="D197">
        <v>0.22259000000000001</v>
      </c>
      <c r="E197">
        <v>0.22838</v>
      </c>
      <c r="F197">
        <v>167461744.59999999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-0.40340030911901137</v>
      </c>
      <c r="Q197">
        <f t="shared" ref="Q197" si="956">F197*P197</f>
        <v>-67554119.537248924</v>
      </c>
      <c r="R197">
        <f t="shared" ref="R197" si="957">R198+Q197</f>
        <v>-1459123592.4621618</v>
      </c>
      <c r="S197">
        <f t="shared" ref="S197" si="958">R197/100000</f>
        <v>-14591.235924621618</v>
      </c>
      <c r="T197">
        <f t="shared" si="934"/>
        <v>-14.591235924621618</v>
      </c>
    </row>
    <row r="198" spans="1:20" x14ac:dyDescent="0.25">
      <c r="A198" s="5">
        <v>44395</v>
      </c>
      <c r="B198">
        <v>0.23937</v>
      </c>
      <c r="C198">
        <v>0.24829000000000001</v>
      </c>
      <c r="D198">
        <v>0.23177</v>
      </c>
      <c r="E198">
        <v>0.23683000000000001</v>
      </c>
      <c r="F198">
        <v>130102046.8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-0.38740920096852216</v>
      </c>
      <c r="Q198">
        <f t="shared" ref="Q198:Q261" si="960">F198*P198</f>
        <v>-50402729.995157272</v>
      </c>
      <c r="R198">
        <f t="shared" ref="R198:R261" si="961">R199+Q198</f>
        <v>-1391569472.9249129</v>
      </c>
      <c r="S198">
        <f t="shared" ref="S198:S261" si="962">R198/100000</f>
        <v>-13915.69472924913</v>
      </c>
      <c r="T198">
        <f t="shared" ref="T198:T261" si="963">S198/1000</f>
        <v>-13.915694729249129</v>
      </c>
    </row>
    <row r="199" spans="1:20" x14ac:dyDescent="0.25">
      <c r="A199" s="5">
        <v>44394</v>
      </c>
      <c r="B199">
        <v>0.23676</v>
      </c>
      <c r="C199">
        <v>0.24149999999999999</v>
      </c>
      <c r="D199">
        <v>0.23017000000000001</v>
      </c>
      <c r="E199">
        <v>0.23935999999999999</v>
      </c>
      <c r="F199">
        <v>170640995.5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0.62224183583406756</v>
      </c>
      <c r="Q199">
        <f t="shared" si="960"/>
        <v>106179966.30847286</v>
      </c>
      <c r="R199">
        <f t="shared" si="961"/>
        <v>-1341166742.9297557</v>
      </c>
      <c r="S199">
        <f t="shared" si="962"/>
        <v>-13411.667429297557</v>
      </c>
      <c r="T199">
        <f t="shared" si="963"/>
        <v>-13.411667429297557</v>
      </c>
    </row>
    <row r="200" spans="1:20" x14ac:dyDescent="0.25">
      <c r="A200" s="5">
        <v>44393</v>
      </c>
      <c r="B200">
        <v>0.25896000000000002</v>
      </c>
      <c r="C200">
        <v>0.26757999999999998</v>
      </c>
      <c r="D200">
        <v>0.23582</v>
      </c>
      <c r="E200">
        <v>0.23677000000000001</v>
      </c>
      <c r="F200">
        <v>327762305.89999998</v>
      </c>
      <c r="G200">
        <v>0</v>
      </c>
      <c r="L200" t="s">
        <v>7</v>
      </c>
      <c r="M200" t="s">
        <v>8</v>
      </c>
      <c r="N200" t="s">
        <v>8</v>
      </c>
      <c r="P200">
        <f t="shared" si="959"/>
        <v>-0.94017632241813553</v>
      </c>
      <c r="Q200">
        <f t="shared" si="960"/>
        <v>-308154359.38834995</v>
      </c>
      <c r="R200">
        <f t="shared" si="961"/>
        <v>-1447346709.2382286</v>
      </c>
      <c r="S200">
        <f t="shared" si="962"/>
        <v>-14473.467092382285</v>
      </c>
      <c r="T200">
        <f t="shared" si="963"/>
        <v>-14.473467092382284</v>
      </c>
    </row>
    <row r="201" spans="1:20" x14ac:dyDescent="0.25">
      <c r="A201" s="5">
        <v>44392</v>
      </c>
      <c r="B201">
        <v>0.24815000000000001</v>
      </c>
      <c r="C201">
        <v>0.28076000000000001</v>
      </c>
      <c r="D201">
        <v>0.24281</v>
      </c>
      <c r="E201">
        <v>0.25913999999999998</v>
      </c>
      <c r="F201">
        <v>816432111.20000005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-0.13939393939394054</v>
      </c>
      <c r="Q201">
        <f t="shared" si="960"/>
        <v>-113805688.22787973</v>
      </c>
      <c r="R201">
        <f t="shared" si="961"/>
        <v>-1139192349.8498785</v>
      </c>
      <c r="S201">
        <f t="shared" si="962"/>
        <v>-11391.923498498785</v>
      </c>
      <c r="T201">
        <f t="shared" si="963"/>
        <v>-11.391923498498786</v>
      </c>
    </row>
    <row r="202" spans="1:20" x14ac:dyDescent="0.25">
      <c r="A202" s="5">
        <v>44391</v>
      </c>
      <c r="B202">
        <v>0.24032000000000001</v>
      </c>
      <c r="C202">
        <v>0.25448999999999999</v>
      </c>
      <c r="D202">
        <v>0.22359999999999999</v>
      </c>
      <c r="E202">
        <v>0.24823000000000001</v>
      </c>
      <c r="F202">
        <v>222050986.5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0.59469083845904902</v>
      </c>
      <c r="Q202">
        <f t="shared" si="960"/>
        <v>132051687.34234397</v>
      </c>
      <c r="R202">
        <f t="shared" si="961"/>
        <v>-1025386661.6219989</v>
      </c>
      <c r="S202">
        <f t="shared" si="962"/>
        <v>-10253.86661621999</v>
      </c>
      <c r="T202">
        <f t="shared" si="963"/>
        <v>-10.253866616219989</v>
      </c>
    </row>
    <row r="203" spans="1:20" x14ac:dyDescent="0.25">
      <c r="A203" s="5">
        <v>44390</v>
      </c>
      <c r="B203">
        <v>0.24739</v>
      </c>
      <c r="C203">
        <v>0.25141999999999998</v>
      </c>
      <c r="D203">
        <v>0.23749999999999999</v>
      </c>
      <c r="E203">
        <v>0.24038999999999999</v>
      </c>
      <c r="F203">
        <v>141976005.30000001</v>
      </c>
      <c r="G203">
        <v>0</v>
      </c>
      <c r="L203" t="s">
        <v>7</v>
      </c>
      <c r="M203" t="s">
        <v>8</v>
      </c>
      <c r="N203" t="s">
        <v>8</v>
      </c>
      <c r="P203">
        <f t="shared" si="959"/>
        <v>-0.58477011494252784</v>
      </c>
      <c r="Q203">
        <f t="shared" si="960"/>
        <v>-83023324.938361943</v>
      </c>
      <c r="R203">
        <f t="shared" si="961"/>
        <v>-1157438348.9643428</v>
      </c>
      <c r="S203">
        <f t="shared" si="962"/>
        <v>-11574.383489643429</v>
      </c>
      <c r="T203">
        <f t="shared" si="963"/>
        <v>-11.574383489643429</v>
      </c>
    </row>
    <row r="204" spans="1:20" x14ac:dyDescent="0.25">
      <c r="A204" s="5">
        <v>44389</v>
      </c>
      <c r="B204">
        <v>0.25857000000000002</v>
      </c>
      <c r="C204">
        <v>0.25877</v>
      </c>
      <c r="D204">
        <v>0.24132000000000001</v>
      </c>
      <c r="E204">
        <v>0.24743999999999999</v>
      </c>
      <c r="F204">
        <v>148317634.09999999</v>
      </c>
      <c r="G204">
        <v>0</v>
      </c>
      <c r="L204" t="s">
        <v>7</v>
      </c>
      <c r="M204" t="s">
        <v>8</v>
      </c>
      <c r="N204" t="s">
        <v>8</v>
      </c>
      <c r="P204">
        <f t="shared" si="959"/>
        <v>-0.29856733524355428</v>
      </c>
      <c r="Q204">
        <f t="shared" si="960"/>
        <v>-44282800.782865517</v>
      </c>
      <c r="R204">
        <f t="shared" si="961"/>
        <v>-1074415024.0259809</v>
      </c>
      <c r="S204">
        <f t="shared" si="962"/>
        <v>-10744.150240259809</v>
      </c>
      <c r="T204">
        <f t="shared" si="963"/>
        <v>-10.74415024025981</v>
      </c>
    </row>
    <row r="205" spans="1:20" x14ac:dyDescent="0.25">
      <c r="A205" s="5">
        <v>44388</v>
      </c>
      <c r="B205">
        <v>0.25563999999999998</v>
      </c>
      <c r="C205">
        <v>0.26800000000000002</v>
      </c>
      <c r="D205">
        <v>0.25015999999999999</v>
      </c>
      <c r="E205">
        <v>0.25856000000000001</v>
      </c>
      <c r="F205">
        <v>219884424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-5.8295964125559645E-2</v>
      </c>
      <c r="Q205">
        <f t="shared" si="960"/>
        <v>-12818374.493273346</v>
      </c>
      <c r="R205">
        <f t="shared" si="961"/>
        <v>-1030132223.2431155</v>
      </c>
      <c r="S205">
        <f t="shared" si="962"/>
        <v>-10301.322232431155</v>
      </c>
      <c r="T205">
        <f t="shared" si="963"/>
        <v>-10.301322232431156</v>
      </c>
    </row>
    <row r="206" spans="1:20" x14ac:dyDescent="0.25">
      <c r="A206" s="5">
        <v>44387</v>
      </c>
      <c r="B206">
        <v>0.25274000000000002</v>
      </c>
      <c r="C206">
        <v>0.26630999999999999</v>
      </c>
      <c r="D206">
        <v>0.24668999999999999</v>
      </c>
      <c r="E206">
        <v>0.25555</v>
      </c>
      <c r="F206">
        <v>323456405.39999998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-9.6839959225279576E-2</v>
      </c>
      <c r="Q206">
        <f t="shared" si="960"/>
        <v>-31323505.1100915</v>
      </c>
      <c r="R206">
        <f t="shared" si="961"/>
        <v>-1017313848.7498422</v>
      </c>
      <c r="S206">
        <f t="shared" si="962"/>
        <v>-10173.138487498421</v>
      </c>
      <c r="T206">
        <f t="shared" si="963"/>
        <v>-10.173138487498422</v>
      </c>
    </row>
    <row r="207" spans="1:20" x14ac:dyDescent="0.25">
      <c r="A207" s="5">
        <v>44386</v>
      </c>
      <c r="B207">
        <v>0.24757000000000001</v>
      </c>
      <c r="C207">
        <v>0.25441999999999998</v>
      </c>
      <c r="D207">
        <v>0.23053000000000001</v>
      </c>
      <c r="E207">
        <v>0.25268000000000002</v>
      </c>
      <c r="F207">
        <v>290590611.69999999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0.85433235663457796</v>
      </c>
      <c r="Q207">
        <f t="shared" si="960"/>
        <v>248260962.10954455</v>
      </c>
      <c r="R207">
        <f t="shared" si="961"/>
        <v>-985990343.63975072</v>
      </c>
      <c r="S207">
        <f t="shared" si="962"/>
        <v>-9859.9034363975079</v>
      </c>
      <c r="T207">
        <f t="shared" si="963"/>
        <v>-9.8599034363975075</v>
      </c>
    </row>
    <row r="208" spans="1:20" x14ac:dyDescent="0.25">
      <c r="A208" s="5">
        <v>44385</v>
      </c>
      <c r="B208">
        <v>0.25994</v>
      </c>
      <c r="C208">
        <v>0.28420000000000001</v>
      </c>
      <c r="D208">
        <v>0.24243000000000001</v>
      </c>
      <c r="E208">
        <v>0.24743999999999999</v>
      </c>
      <c r="F208">
        <v>580883261</v>
      </c>
      <c r="G208">
        <v>0</v>
      </c>
      <c r="L208" t="s">
        <v>8</v>
      </c>
      <c r="M208" t="s">
        <v>8</v>
      </c>
      <c r="N208" t="s">
        <v>8</v>
      </c>
      <c r="P208">
        <f t="shared" si="959"/>
        <v>-0.76011491501077388</v>
      </c>
      <c r="Q208">
        <f t="shared" si="960"/>
        <v>-441538030.5661962</v>
      </c>
      <c r="R208">
        <f t="shared" si="961"/>
        <v>-1234251305.7492952</v>
      </c>
      <c r="S208">
        <f t="shared" si="962"/>
        <v>-12342.513057492952</v>
      </c>
      <c r="T208">
        <f t="shared" si="963"/>
        <v>-12.342513057492951</v>
      </c>
    </row>
    <row r="209" spans="1:20" x14ac:dyDescent="0.25">
      <c r="A209" s="5">
        <v>44384</v>
      </c>
      <c r="B209">
        <v>0.24243000000000001</v>
      </c>
      <c r="C209">
        <v>0.28000000000000003</v>
      </c>
      <c r="D209">
        <v>0.23826</v>
      </c>
      <c r="E209">
        <v>0.25996000000000002</v>
      </c>
      <c r="F209">
        <v>622772420.70000005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3.9770004791567358E-2</v>
      </c>
      <c r="Q209">
        <f t="shared" si="960"/>
        <v>24767662.155295003</v>
      </c>
      <c r="R209">
        <f t="shared" si="961"/>
        <v>-792713275.18309915</v>
      </c>
      <c r="S209">
        <f t="shared" si="962"/>
        <v>-7927.1327518309918</v>
      </c>
      <c r="T209">
        <f t="shared" si="963"/>
        <v>-7.9271327518309915</v>
      </c>
    </row>
    <row r="210" spans="1:20" x14ac:dyDescent="0.25">
      <c r="A210" s="5">
        <v>44383</v>
      </c>
      <c r="B210">
        <v>0.23358000000000001</v>
      </c>
      <c r="C210">
        <v>0.251</v>
      </c>
      <c r="D210">
        <v>0.23329</v>
      </c>
      <c r="E210">
        <v>0.24256</v>
      </c>
      <c r="F210">
        <v>185471358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4.6866177300959752E-2</v>
      </c>
      <c r="Q210">
        <f t="shared" si="960"/>
        <v>8692333.5482777804</v>
      </c>
      <c r="R210">
        <f t="shared" si="961"/>
        <v>-817480937.33839417</v>
      </c>
      <c r="S210">
        <f t="shared" si="962"/>
        <v>-8174.8093733839414</v>
      </c>
      <c r="T210">
        <f t="shared" si="963"/>
        <v>-8.1748093733839422</v>
      </c>
    </row>
    <row r="211" spans="1:20" x14ac:dyDescent="0.25">
      <c r="A211" s="5">
        <v>44382</v>
      </c>
      <c r="B211">
        <v>0.24349999999999999</v>
      </c>
      <c r="C211">
        <v>0.24362</v>
      </c>
      <c r="D211">
        <v>0.22919</v>
      </c>
      <c r="E211">
        <v>0.23372999999999999</v>
      </c>
      <c r="F211">
        <v>143500346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-0.37075537075537229</v>
      </c>
      <c r="Q211">
        <f t="shared" si="960"/>
        <v>-53203523.984754205</v>
      </c>
      <c r="R211">
        <f t="shared" si="961"/>
        <v>-826173270.8866719</v>
      </c>
      <c r="S211">
        <f t="shared" si="962"/>
        <v>-8261.7327088667189</v>
      </c>
      <c r="T211">
        <f t="shared" si="963"/>
        <v>-8.2617327088667185</v>
      </c>
    </row>
    <row r="212" spans="1:20" x14ac:dyDescent="0.25">
      <c r="A212" s="5">
        <v>44381</v>
      </c>
      <c r="B212">
        <v>0.24045</v>
      </c>
      <c r="C212">
        <v>0.24807999999999999</v>
      </c>
      <c r="D212">
        <v>0.23649999999999999</v>
      </c>
      <c r="E212">
        <v>0.24357000000000001</v>
      </c>
      <c r="F212">
        <v>127331994.09999999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0.22107081174438972</v>
      </c>
      <c r="Q212">
        <f t="shared" si="960"/>
        <v>28149387.296718843</v>
      </c>
      <c r="R212">
        <f t="shared" si="961"/>
        <v>-772969746.9019177</v>
      </c>
      <c r="S212">
        <f t="shared" si="962"/>
        <v>-7729.6974690191773</v>
      </c>
      <c r="T212">
        <f t="shared" si="963"/>
        <v>-7.7296974690191771</v>
      </c>
    </row>
    <row r="213" spans="1:20" x14ac:dyDescent="0.25">
      <c r="A213" s="5">
        <v>44380</v>
      </c>
      <c r="B213">
        <v>0.2379</v>
      </c>
      <c r="C213">
        <v>0.24285000000000001</v>
      </c>
      <c r="D213">
        <v>0.2341</v>
      </c>
      <c r="E213">
        <v>0.24046999999999999</v>
      </c>
      <c r="F213">
        <v>114362740.90000001</v>
      </c>
      <c r="G213">
        <v>0</v>
      </c>
      <c r="L213" t="s">
        <v>7</v>
      </c>
      <c r="M213" t="s">
        <v>8</v>
      </c>
      <c r="N213" t="s">
        <v>8</v>
      </c>
      <c r="P213">
        <f t="shared" si="959"/>
        <v>0.45599999999999569</v>
      </c>
      <c r="Q213">
        <f t="shared" si="960"/>
        <v>52149409.850399509</v>
      </c>
      <c r="R213">
        <f t="shared" si="961"/>
        <v>-801119134.19863653</v>
      </c>
      <c r="S213">
        <f t="shared" si="962"/>
        <v>-8011.1913419863649</v>
      </c>
      <c r="T213">
        <f t="shared" si="963"/>
        <v>-8.0111913419863647</v>
      </c>
    </row>
    <row r="214" spans="1:20" x14ac:dyDescent="0.25">
      <c r="A214" s="5">
        <v>44379</v>
      </c>
      <c r="B214">
        <v>0.24038999999999999</v>
      </c>
      <c r="C214">
        <v>0.24312</v>
      </c>
      <c r="D214">
        <v>0.22964000000000001</v>
      </c>
      <c r="E214">
        <v>0.23782</v>
      </c>
      <c r="F214">
        <v>155550717.59999999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0.21364985163204714</v>
      </c>
      <c r="Q214">
        <f t="shared" si="960"/>
        <v>33233387.736498464</v>
      </c>
      <c r="R214">
        <f t="shared" si="961"/>
        <v>-853268544.04903603</v>
      </c>
      <c r="S214">
        <f t="shared" si="962"/>
        <v>-8532.6854404903606</v>
      </c>
      <c r="T214">
        <f t="shared" si="963"/>
        <v>-8.5326854404903614</v>
      </c>
    </row>
    <row r="215" spans="1:20" x14ac:dyDescent="0.25">
      <c r="A215" s="5">
        <v>44378</v>
      </c>
      <c r="B215">
        <v>0.25385000000000002</v>
      </c>
      <c r="C215">
        <v>0.255</v>
      </c>
      <c r="D215">
        <v>0.23449999999999999</v>
      </c>
      <c r="E215">
        <v>0.24021000000000001</v>
      </c>
      <c r="F215">
        <v>186782772.59999999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-0.44292682926829119</v>
      </c>
      <c r="Q215">
        <f t="shared" si="960"/>
        <v>-82731101.229658261</v>
      </c>
      <c r="R215">
        <f t="shared" si="961"/>
        <v>-886501931.7855345</v>
      </c>
      <c r="S215">
        <f t="shared" si="962"/>
        <v>-8865.0193178553454</v>
      </c>
      <c r="T215">
        <f t="shared" si="963"/>
        <v>-8.8650193178553458</v>
      </c>
    </row>
    <row r="216" spans="1:20" x14ac:dyDescent="0.25">
      <c r="A216" s="5">
        <v>44377</v>
      </c>
      <c r="B216">
        <v>0.25378000000000001</v>
      </c>
      <c r="C216">
        <v>0.25597999999999999</v>
      </c>
      <c r="D216">
        <v>0.23425000000000001</v>
      </c>
      <c r="E216">
        <v>0.25380000000000003</v>
      </c>
      <c r="F216">
        <v>247820020.09999999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0.79935572940635413</v>
      </c>
      <c r="Q216">
        <f t="shared" si="960"/>
        <v>198096352.92853284</v>
      </c>
      <c r="R216">
        <f t="shared" si="961"/>
        <v>-803770830.55587626</v>
      </c>
      <c r="S216">
        <f t="shared" si="962"/>
        <v>-8037.7083055587627</v>
      </c>
      <c r="T216">
        <f t="shared" si="963"/>
        <v>-8.0377083055587626</v>
      </c>
    </row>
    <row r="217" spans="1:20" x14ac:dyDescent="0.25">
      <c r="A217" s="5">
        <v>44376</v>
      </c>
      <c r="B217">
        <v>0.24313000000000001</v>
      </c>
      <c r="C217">
        <v>0.26161000000000001</v>
      </c>
      <c r="D217">
        <v>0.24204999999999999</v>
      </c>
      <c r="E217">
        <v>0.25375999999999999</v>
      </c>
      <c r="F217">
        <v>293011078.69999999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0.19734151329243202</v>
      </c>
      <c r="Q217">
        <f t="shared" si="960"/>
        <v>57823249.682105891</v>
      </c>
      <c r="R217">
        <f t="shared" si="961"/>
        <v>-1001867183.4844091</v>
      </c>
      <c r="S217">
        <f t="shared" si="962"/>
        <v>-10018.671834844092</v>
      </c>
      <c r="T217">
        <f t="shared" si="963"/>
        <v>-10.018671834844092</v>
      </c>
    </row>
    <row r="218" spans="1:20" x14ac:dyDescent="0.25">
      <c r="A218" s="5">
        <v>44375</v>
      </c>
      <c r="B218">
        <v>0.23916999999999999</v>
      </c>
      <c r="C218">
        <v>0.24772</v>
      </c>
      <c r="D218">
        <v>0.23408999999999999</v>
      </c>
      <c r="E218">
        <v>0.24313000000000001</v>
      </c>
      <c r="F218">
        <v>225642921.69999999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0.32648569332355365</v>
      </c>
      <c r="Q218">
        <f t="shared" si="960"/>
        <v>73669185.734776825</v>
      </c>
      <c r="R218">
        <f t="shared" si="961"/>
        <v>-1059690433.166515</v>
      </c>
      <c r="S218">
        <f t="shared" si="962"/>
        <v>-10596.90433166515</v>
      </c>
      <c r="T218">
        <f t="shared" si="963"/>
        <v>-10.596904331665149</v>
      </c>
    </row>
    <row r="219" spans="1:20" x14ac:dyDescent="0.25">
      <c r="A219" s="5">
        <v>44374</v>
      </c>
      <c r="B219">
        <v>0.23150000000000001</v>
      </c>
      <c r="C219">
        <v>0.24</v>
      </c>
      <c r="D219">
        <v>0.22414999999999999</v>
      </c>
      <c r="E219">
        <v>0.23916999999999999</v>
      </c>
      <c r="F219">
        <v>234159065.69999999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0.89526813880126221</v>
      </c>
      <c r="Q219">
        <f t="shared" si="960"/>
        <v>209635150.93268147</v>
      </c>
      <c r="R219">
        <f t="shared" si="961"/>
        <v>-1133359618.9012918</v>
      </c>
      <c r="S219">
        <f t="shared" si="962"/>
        <v>-11333.596189012918</v>
      </c>
      <c r="T219">
        <f t="shared" si="963"/>
        <v>-11.333596189012919</v>
      </c>
    </row>
    <row r="220" spans="1:20" x14ac:dyDescent="0.25">
      <c r="A220" s="5">
        <v>44373</v>
      </c>
      <c r="B220">
        <v>0.22525999999999999</v>
      </c>
      <c r="C220">
        <v>0.24279999999999999</v>
      </c>
      <c r="D220">
        <v>0.21557000000000001</v>
      </c>
      <c r="E220">
        <v>0.23146</v>
      </c>
      <c r="F220">
        <v>344256008.80000001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0.16709511568123403</v>
      </c>
      <c r="Q220">
        <f t="shared" si="960"/>
        <v>57523497.614395924</v>
      </c>
      <c r="R220">
        <f t="shared" si="961"/>
        <v>-1342994769.8339734</v>
      </c>
      <c r="S220">
        <f t="shared" si="962"/>
        <v>-13429.947698339734</v>
      </c>
      <c r="T220">
        <f t="shared" si="963"/>
        <v>-13.429947698339735</v>
      </c>
    </row>
    <row r="221" spans="1:20" x14ac:dyDescent="0.25">
      <c r="A221" s="5">
        <v>44372</v>
      </c>
      <c r="B221">
        <v>0.24987000000000001</v>
      </c>
      <c r="C221">
        <v>0.26029999999999998</v>
      </c>
      <c r="D221">
        <v>0.22294</v>
      </c>
      <c r="E221">
        <v>0.22522</v>
      </c>
      <c r="F221">
        <v>438681312</v>
      </c>
      <c r="G221">
        <v>0</v>
      </c>
      <c r="L221" t="s">
        <v>7</v>
      </c>
      <c r="M221" t="s">
        <v>8</v>
      </c>
      <c r="N221" t="s">
        <v>8</v>
      </c>
      <c r="P221">
        <f t="shared" si="959"/>
        <v>-0.87794432548179846</v>
      </c>
      <c r="Q221">
        <f t="shared" si="960"/>
        <v>-385137768.56531036</v>
      </c>
      <c r="R221">
        <f t="shared" si="961"/>
        <v>-1400518267.4483693</v>
      </c>
      <c r="S221">
        <f t="shared" si="962"/>
        <v>-14005.182674483693</v>
      </c>
      <c r="T221">
        <f t="shared" si="963"/>
        <v>-14.005182674483693</v>
      </c>
    </row>
    <row r="222" spans="1:20" x14ac:dyDescent="0.25">
      <c r="A222" s="5">
        <v>44371</v>
      </c>
      <c r="B222">
        <v>0.23968999999999999</v>
      </c>
      <c r="C222">
        <v>0.25900000000000001</v>
      </c>
      <c r="D222">
        <v>0.22672999999999999</v>
      </c>
      <c r="E222">
        <v>0.24987000000000001</v>
      </c>
      <c r="F222">
        <v>385856544.69999999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0.43414936473504845</v>
      </c>
      <c r="Q222">
        <f t="shared" si="960"/>
        <v>167519373.76036581</v>
      </c>
      <c r="R222">
        <f t="shared" si="961"/>
        <v>-1015380498.8830589</v>
      </c>
      <c r="S222">
        <f t="shared" si="962"/>
        <v>-10153.804988830589</v>
      </c>
      <c r="T222">
        <f t="shared" si="963"/>
        <v>-10.153804988830588</v>
      </c>
    </row>
    <row r="223" spans="1:20" x14ac:dyDescent="0.25">
      <c r="A223" s="5">
        <v>44370</v>
      </c>
      <c r="B223">
        <v>0.22091</v>
      </c>
      <c r="C223">
        <v>0.25750000000000001</v>
      </c>
      <c r="D223">
        <v>0.21065</v>
      </c>
      <c r="E223">
        <v>0.23977000000000001</v>
      </c>
      <c r="F223">
        <v>625318009.10000002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0.24311632870864483</v>
      </c>
      <c r="Q223">
        <f t="shared" si="960"/>
        <v>152025018.64779097</v>
      </c>
      <c r="R223">
        <f t="shared" si="961"/>
        <v>-1182899872.6434247</v>
      </c>
      <c r="S223">
        <f t="shared" si="962"/>
        <v>-11828.998726434247</v>
      </c>
      <c r="T223">
        <f t="shared" si="963"/>
        <v>-11.828998726434246</v>
      </c>
    </row>
    <row r="224" spans="1:20" x14ac:dyDescent="0.25">
      <c r="A224" s="5">
        <v>44369</v>
      </c>
      <c r="B224">
        <v>0.21446000000000001</v>
      </c>
      <c r="C224">
        <v>0.25</v>
      </c>
      <c r="D224">
        <v>0.17848</v>
      </c>
      <c r="E224">
        <v>0.22097</v>
      </c>
      <c r="F224">
        <v>1063681341.6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0.18819910514541385</v>
      </c>
      <c r="Q224">
        <f t="shared" si="960"/>
        <v>200183876.64899328</v>
      </c>
      <c r="R224">
        <f t="shared" si="961"/>
        <v>-1334924891.2912157</v>
      </c>
      <c r="S224">
        <f t="shared" si="962"/>
        <v>-13349.248912912157</v>
      </c>
      <c r="T224">
        <f t="shared" si="963"/>
        <v>-13.349248912912158</v>
      </c>
    </row>
    <row r="225" spans="1:20" x14ac:dyDescent="0.25">
      <c r="A225" s="5">
        <v>44368</v>
      </c>
      <c r="B225">
        <v>0.28750999999999999</v>
      </c>
      <c r="C225">
        <v>0.28971000000000002</v>
      </c>
      <c r="D225">
        <v>0.21102000000000001</v>
      </c>
      <c r="E225">
        <v>0.21429000000000001</v>
      </c>
      <c r="F225">
        <v>619258767.60000002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-0.91688905833015644</v>
      </c>
      <c r="Q225">
        <f t="shared" si="960"/>
        <v>-567791588.28745723</v>
      </c>
      <c r="R225">
        <f t="shared" si="961"/>
        <v>-1535108767.9402089</v>
      </c>
      <c r="S225">
        <f t="shared" si="962"/>
        <v>-15351.08767940209</v>
      </c>
      <c r="T225">
        <f t="shared" si="963"/>
        <v>-15.35108767940209</v>
      </c>
    </row>
    <row r="226" spans="1:20" x14ac:dyDescent="0.25">
      <c r="A226" s="5">
        <v>44367</v>
      </c>
      <c r="B226">
        <v>0.28359000000000001</v>
      </c>
      <c r="C226">
        <v>0.31</v>
      </c>
      <c r="D226">
        <v>0.26600000000000001</v>
      </c>
      <c r="E226">
        <v>0.28763</v>
      </c>
      <c r="F226">
        <v>442455762.69999999</v>
      </c>
      <c r="G226">
        <v>0</v>
      </c>
      <c r="L226" t="s">
        <v>8</v>
      </c>
      <c r="M226" t="s">
        <v>7</v>
      </c>
      <c r="N226" t="s">
        <v>8</v>
      </c>
      <c r="P226">
        <f t="shared" si="959"/>
        <v>-1.6818181818182242E-2</v>
      </c>
      <c r="Q226">
        <f t="shared" si="960"/>
        <v>-7441301.4635910969</v>
      </c>
      <c r="R226">
        <f t="shared" si="961"/>
        <v>-967317179.65275156</v>
      </c>
      <c r="S226">
        <f t="shared" si="962"/>
        <v>-9673.1717965275147</v>
      </c>
      <c r="T226">
        <f t="shared" si="963"/>
        <v>-9.6731717965275141</v>
      </c>
    </row>
    <row r="227" spans="1:20" x14ac:dyDescent="0.25">
      <c r="A227" s="5">
        <v>44366</v>
      </c>
      <c r="B227">
        <v>0.29015000000000002</v>
      </c>
      <c r="C227">
        <v>0.30249999999999999</v>
      </c>
      <c r="D227">
        <v>0.27949000000000002</v>
      </c>
      <c r="E227">
        <v>0.28358</v>
      </c>
      <c r="F227">
        <v>304037401.39999998</v>
      </c>
      <c r="G227">
        <v>0</v>
      </c>
      <c r="L227" t="s">
        <v>8</v>
      </c>
      <c r="M227" t="s">
        <v>7</v>
      </c>
      <c r="N227" t="s">
        <v>8</v>
      </c>
      <c r="P227">
        <f t="shared" si="959"/>
        <v>-0.64450239026510325</v>
      </c>
      <c r="Q227">
        <f t="shared" si="960"/>
        <v>-195952831.93229064</v>
      </c>
      <c r="R227">
        <f t="shared" si="961"/>
        <v>-959875878.18916047</v>
      </c>
      <c r="S227">
        <f t="shared" si="962"/>
        <v>-9598.7587818916054</v>
      </c>
      <c r="T227">
        <f t="shared" si="963"/>
        <v>-9.5987587818916058</v>
      </c>
    </row>
    <row r="228" spans="1:20" x14ac:dyDescent="0.25">
      <c r="A228" s="5">
        <v>44365</v>
      </c>
      <c r="B228">
        <v>0.32518999999999998</v>
      </c>
      <c r="C228">
        <v>0.32534999999999997</v>
      </c>
      <c r="D228">
        <v>0.27877999999999997</v>
      </c>
      <c r="E228">
        <v>0.28996</v>
      </c>
      <c r="F228">
        <v>427531365.10000002</v>
      </c>
      <c r="G228">
        <v>0</v>
      </c>
      <c r="L228" t="s">
        <v>7</v>
      </c>
      <c r="M228" t="s">
        <v>7</v>
      </c>
      <c r="N228" t="s">
        <v>8</v>
      </c>
      <c r="P228">
        <f t="shared" si="959"/>
        <v>-0.51986257247154721</v>
      </c>
      <c r="Q228">
        <f t="shared" si="960"/>
        <v>-222257555.27315828</v>
      </c>
      <c r="R228">
        <f t="shared" si="961"/>
        <v>-763923046.25686979</v>
      </c>
      <c r="S228">
        <f t="shared" si="962"/>
        <v>-7639.2304625686975</v>
      </c>
      <c r="T228">
        <f t="shared" si="963"/>
        <v>-7.6392304625686975</v>
      </c>
    </row>
    <row r="229" spans="1:20" x14ac:dyDescent="0.25">
      <c r="A229" s="5">
        <v>44364</v>
      </c>
      <c r="B229">
        <v>0.33888000000000001</v>
      </c>
      <c r="C229">
        <v>0.34960000000000002</v>
      </c>
      <c r="D229">
        <v>0.31509999999999999</v>
      </c>
      <c r="E229">
        <v>0.32518000000000002</v>
      </c>
      <c r="F229">
        <v>628022684.5</v>
      </c>
      <c r="G229">
        <v>0</v>
      </c>
      <c r="L229" t="s">
        <v>7</v>
      </c>
      <c r="M229" t="s">
        <v>8</v>
      </c>
      <c r="N229" t="s">
        <v>8</v>
      </c>
      <c r="P229">
        <f t="shared" si="959"/>
        <v>-0.41565217391304204</v>
      </c>
      <c r="Q229">
        <f t="shared" si="960"/>
        <v>-261038994.07912955</v>
      </c>
      <c r="R229">
        <f t="shared" si="961"/>
        <v>-541665490.98371148</v>
      </c>
      <c r="S229">
        <f t="shared" si="962"/>
        <v>-5416.6549098371152</v>
      </c>
      <c r="T229">
        <f t="shared" si="963"/>
        <v>-5.4166549098371153</v>
      </c>
    </row>
    <row r="230" spans="1:20" x14ac:dyDescent="0.25">
      <c r="A230" s="5">
        <v>44363</v>
      </c>
      <c r="B230">
        <v>0.32826</v>
      </c>
      <c r="C230">
        <v>0.36842999999999998</v>
      </c>
      <c r="D230">
        <v>0.31102000000000002</v>
      </c>
      <c r="E230">
        <v>0.33872000000000002</v>
      </c>
      <c r="F230">
        <v>1337881418</v>
      </c>
      <c r="G230">
        <v>0</v>
      </c>
      <c r="L230" t="s">
        <v>8</v>
      </c>
      <c r="M230" t="s">
        <v>8</v>
      </c>
      <c r="N230" t="s">
        <v>8</v>
      </c>
      <c r="P230">
        <f t="shared" si="959"/>
        <v>-3.5011322069325161E-2</v>
      </c>
      <c r="Q230">
        <f t="shared" si="960"/>
        <v>-46840997.216163442</v>
      </c>
      <c r="R230">
        <f t="shared" si="961"/>
        <v>-280626496.90458196</v>
      </c>
      <c r="S230">
        <f t="shared" si="962"/>
        <v>-2806.2649690458197</v>
      </c>
      <c r="T230">
        <f t="shared" si="963"/>
        <v>-2.8062649690458197</v>
      </c>
    </row>
    <row r="231" spans="1:20" x14ac:dyDescent="0.25">
      <c r="A231" s="5">
        <v>44362</v>
      </c>
      <c r="B231">
        <v>0.28049000000000002</v>
      </c>
      <c r="C231">
        <v>0.34099000000000002</v>
      </c>
      <c r="D231">
        <v>0.27685999999999999</v>
      </c>
      <c r="E231">
        <v>0.32851999999999998</v>
      </c>
      <c r="F231">
        <v>926532050.20000005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0.61110244815218984</v>
      </c>
      <c r="Q231">
        <f t="shared" si="960"/>
        <v>566206004.1686877</v>
      </c>
      <c r="R231">
        <f t="shared" si="961"/>
        <v>-233785499.68841851</v>
      </c>
      <c r="S231">
        <f t="shared" si="962"/>
        <v>-2337.8549968841849</v>
      </c>
      <c r="T231">
        <f t="shared" si="963"/>
        <v>-2.3378549968841851</v>
      </c>
    </row>
    <row r="232" spans="1:20" x14ac:dyDescent="0.25">
      <c r="A232" s="5">
        <v>44361</v>
      </c>
      <c r="B232">
        <v>0.28575</v>
      </c>
      <c r="C232">
        <v>0.29857</v>
      </c>
      <c r="D232">
        <v>0.27195999999999998</v>
      </c>
      <c r="E232">
        <v>0.28039999999999998</v>
      </c>
      <c r="F232">
        <v>343352078.30000001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-0.36565201052236035</v>
      </c>
      <c r="Q232">
        <f t="shared" si="960"/>
        <v>-125547377.7474259</v>
      </c>
      <c r="R232">
        <f t="shared" si="961"/>
        <v>-799991503.85710621</v>
      </c>
      <c r="S232">
        <f t="shared" si="962"/>
        <v>-7999.9150385710618</v>
      </c>
      <c r="T232">
        <f t="shared" si="963"/>
        <v>-7.9999150385710616</v>
      </c>
    </row>
    <row r="233" spans="1:20" x14ac:dyDescent="0.25">
      <c r="A233" s="5">
        <v>44360</v>
      </c>
      <c r="B233">
        <v>0.27383000000000002</v>
      </c>
      <c r="C233">
        <v>0.28888000000000003</v>
      </c>
      <c r="D233">
        <v>0.26274999999999998</v>
      </c>
      <c r="E233">
        <v>0.28575</v>
      </c>
      <c r="F233">
        <v>402330136.69999999</v>
      </c>
      <c r="G233">
        <v>0</v>
      </c>
      <c r="L233" t="s">
        <v>7</v>
      </c>
      <c r="M233" t="s">
        <v>7</v>
      </c>
      <c r="N233" t="s">
        <v>7</v>
      </c>
      <c r="P233">
        <f t="shared" si="959"/>
        <v>0.76042862610026662</v>
      </c>
      <c r="Q233">
        <f t="shared" si="960"/>
        <v>305943353.08951342</v>
      </c>
      <c r="R233">
        <f t="shared" si="961"/>
        <v>-674444126.10968029</v>
      </c>
      <c r="S233">
        <f t="shared" si="962"/>
        <v>-6744.4412610968029</v>
      </c>
      <c r="T233">
        <f t="shared" si="963"/>
        <v>-6.744441261096803</v>
      </c>
    </row>
    <row r="234" spans="1:20" x14ac:dyDescent="0.25">
      <c r="A234" s="5">
        <v>44359</v>
      </c>
      <c r="B234">
        <v>0.29574</v>
      </c>
      <c r="C234">
        <v>0.32274000000000003</v>
      </c>
      <c r="D234">
        <v>0.27243000000000001</v>
      </c>
      <c r="E234">
        <v>0.27383000000000002</v>
      </c>
      <c r="F234">
        <v>979468353.39999998</v>
      </c>
      <c r="G234">
        <v>0</v>
      </c>
      <c r="L234" t="s">
        <v>7</v>
      </c>
      <c r="M234" t="s">
        <v>7</v>
      </c>
      <c r="N234" t="s">
        <v>8</v>
      </c>
      <c r="P234">
        <f t="shared" si="959"/>
        <v>-0.94434506062412993</v>
      </c>
      <c r="Q234">
        <f t="shared" si="960"/>
        <v>-924956101.57093966</v>
      </c>
      <c r="R234">
        <f t="shared" si="961"/>
        <v>-980387479.19919372</v>
      </c>
      <c r="S234">
        <f t="shared" si="962"/>
        <v>-9803.8747919919369</v>
      </c>
      <c r="T234">
        <f t="shared" si="963"/>
        <v>-9.8038747919919373</v>
      </c>
    </row>
    <row r="235" spans="1:20" x14ac:dyDescent="0.25">
      <c r="A235" s="5">
        <v>44358</v>
      </c>
      <c r="B235">
        <v>0.27700000000000002</v>
      </c>
      <c r="C235">
        <v>0.35704999999999998</v>
      </c>
      <c r="D235">
        <v>0.26007000000000002</v>
      </c>
      <c r="E235">
        <v>0.29568</v>
      </c>
      <c r="F235">
        <v>2499590437.6999998</v>
      </c>
      <c r="G235">
        <v>0</v>
      </c>
      <c r="L235" t="s">
        <v>8</v>
      </c>
      <c r="M235" t="s">
        <v>8</v>
      </c>
      <c r="N235" t="s">
        <v>8</v>
      </c>
      <c r="P235">
        <f t="shared" si="959"/>
        <v>-0.26562177768612105</v>
      </c>
      <c r="Q235">
        <f t="shared" si="960"/>
        <v>-663945655.54910338</v>
      </c>
      <c r="R235">
        <f t="shared" si="961"/>
        <v>-55431377.628254056</v>
      </c>
      <c r="S235">
        <f t="shared" si="962"/>
        <v>-554.31377628254052</v>
      </c>
      <c r="T235">
        <f t="shared" si="963"/>
        <v>-0.55431377628254053</v>
      </c>
    </row>
    <row r="236" spans="1:20" x14ac:dyDescent="0.25">
      <c r="A236" s="5">
        <v>44357</v>
      </c>
      <c r="B236">
        <v>0.2417</v>
      </c>
      <c r="C236">
        <v>0.28077000000000002</v>
      </c>
      <c r="D236">
        <v>0.22928000000000001</v>
      </c>
      <c r="E236">
        <v>0.27717000000000003</v>
      </c>
      <c r="F236">
        <v>617298092.70000005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0.86016702272285916</v>
      </c>
      <c r="Q236">
        <f t="shared" si="960"/>
        <v>530979462.53025854</v>
      </c>
      <c r="R236">
        <f t="shared" si="961"/>
        <v>608514277.92084932</v>
      </c>
      <c r="S236">
        <f t="shared" si="962"/>
        <v>6085.1427792084933</v>
      </c>
      <c r="T236">
        <f t="shared" si="963"/>
        <v>6.0851427792084936</v>
      </c>
    </row>
    <row r="237" spans="1:20" x14ac:dyDescent="0.25">
      <c r="A237" s="5">
        <v>44356</v>
      </c>
      <c r="B237">
        <v>0.23277</v>
      </c>
      <c r="C237">
        <v>0.24385999999999999</v>
      </c>
      <c r="D237">
        <v>0.21656</v>
      </c>
      <c r="E237">
        <v>0.24168999999999999</v>
      </c>
      <c r="F237">
        <v>233444794.09999999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0.84102564102564059</v>
      </c>
      <c r="Q237">
        <f t="shared" si="960"/>
        <v>196333057.60205117</v>
      </c>
      <c r="R237">
        <f t="shared" si="961"/>
        <v>77534815.390590727</v>
      </c>
      <c r="S237">
        <f t="shared" si="962"/>
        <v>775.34815390590722</v>
      </c>
      <c r="T237">
        <f t="shared" si="963"/>
        <v>0.77534815390590728</v>
      </c>
    </row>
    <row r="238" spans="1:20" x14ac:dyDescent="0.25">
      <c r="A238" s="5">
        <v>44355</v>
      </c>
      <c r="B238">
        <v>0.24115</v>
      </c>
      <c r="C238">
        <v>0.24607999999999999</v>
      </c>
      <c r="D238">
        <v>0.20499999999999999</v>
      </c>
      <c r="E238">
        <v>0.23277999999999999</v>
      </c>
      <c r="F238">
        <v>301930685.30000001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0.35248296007789659</v>
      </c>
      <c r="Q238">
        <f t="shared" si="960"/>
        <v>106425421.69289187</v>
      </c>
      <c r="R238">
        <f t="shared" si="961"/>
        <v>-118798242.21146044</v>
      </c>
      <c r="S238">
        <f t="shared" si="962"/>
        <v>-1187.9824221146043</v>
      </c>
      <c r="T238">
        <f t="shared" si="963"/>
        <v>-1.1879824221146043</v>
      </c>
    </row>
    <row r="239" spans="1:20" x14ac:dyDescent="0.25">
      <c r="A239" s="5">
        <v>44354</v>
      </c>
      <c r="B239">
        <v>0.26691999999999999</v>
      </c>
      <c r="C239">
        <v>0.27500000000000002</v>
      </c>
      <c r="D239">
        <v>0.23743</v>
      </c>
      <c r="E239">
        <v>0.24104999999999999</v>
      </c>
      <c r="F239">
        <v>152391980.80000001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-0.80729305296779441</v>
      </c>
      <c r="Q239">
        <f t="shared" si="960"/>
        <v>-123024987.42784151</v>
      </c>
      <c r="R239">
        <f t="shared" si="961"/>
        <v>-225223663.90435231</v>
      </c>
      <c r="S239">
        <f t="shared" si="962"/>
        <v>-2252.2366390435232</v>
      </c>
      <c r="T239">
        <f t="shared" si="963"/>
        <v>-2.2522366390435233</v>
      </c>
    </row>
    <row r="240" spans="1:20" x14ac:dyDescent="0.25">
      <c r="A240" s="5">
        <v>44353</v>
      </c>
      <c r="B240">
        <v>0.26077</v>
      </c>
      <c r="C240">
        <v>0.26941999999999999</v>
      </c>
      <c r="D240">
        <v>0.25985999999999998</v>
      </c>
      <c r="E240">
        <v>0.26691999999999999</v>
      </c>
      <c r="F240">
        <v>91093067.299999997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0.47698744769874502</v>
      </c>
      <c r="Q240">
        <f t="shared" si="960"/>
        <v>43450249.674477011</v>
      </c>
      <c r="R240">
        <f t="shared" si="961"/>
        <v>-102198676.47651079</v>
      </c>
      <c r="S240">
        <f t="shared" si="962"/>
        <v>-1021.986764765108</v>
      </c>
      <c r="T240">
        <f t="shared" si="963"/>
        <v>-1.021986764765108</v>
      </c>
    </row>
    <row r="241" spans="1:20" x14ac:dyDescent="0.25">
      <c r="A241" s="5">
        <v>44352</v>
      </c>
      <c r="B241">
        <v>0.26961000000000002</v>
      </c>
      <c r="C241">
        <v>0.28310999999999997</v>
      </c>
      <c r="D241">
        <v>0.252</v>
      </c>
      <c r="E241">
        <v>0.26075999999999999</v>
      </c>
      <c r="F241">
        <v>181680490.40000001</v>
      </c>
      <c r="G241">
        <v>0</v>
      </c>
      <c r="L241" t="s">
        <v>8</v>
      </c>
      <c r="M241" t="s">
        <v>7</v>
      </c>
      <c r="N241" t="s">
        <v>8</v>
      </c>
      <c r="P241">
        <f t="shared" si="959"/>
        <v>-0.43683702989392492</v>
      </c>
      <c r="Q241">
        <f t="shared" si="960"/>
        <v>-79364765.816007748</v>
      </c>
      <c r="R241">
        <f t="shared" si="961"/>
        <v>-145648926.1509878</v>
      </c>
      <c r="S241">
        <f t="shared" si="962"/>
        <v>-1456.4892615098781</v>
      </c>
      <c r="T241">
        <f t="shared" si="963"/>
        <v>-1.4564892615098781</v>
      </c>
    </row>
    <row r="242" spans="1:20" x14ac:dyDescent="0.25">
      <c r="A242" s="5">
        <v>44351</v>
      </c>
      <c r="B242">
        <v>0.29488999999999999</v>
      </c>
      <c r="C242">
        <v>0.30132999999999999</v>
      </c>
      <c r="D242">
        <v>0.25412000000000001</v>
      </c>
      <c r="E242">
        <v>0.26967000000000002</v>
      </c>
      <c r="F242">
        <v>290998457.80000001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-0.34124126244439668</v>
      </c>
      <c r="Q242">
        <f t="shared" si="960"/>
        <v>-99300681.109044492</v>
      </c>
      <c r="R242">
        <f t="shared" si="961"/>
        <v>-66284160.334980041</v>
      </c>
      <c r="S242">
        <f t="shared" si="962"/>
        <v>-662.84160334980038</v>
      </c>
      <c r="T242">
        <f t="shared" si="963"/>
        <v>-0.66284160334980036</v>
      </c>
    </row>
    <row r="243" spans="1:20" x14ac:dyDescent="0.25">
      <c r="A243" s="5">
        <v>44350</v>
      </c>
      <c r="B243">
        <v>0.27740999999999999</v>
      </c>
      <c r="C243">
        <v>0.30608000000000002</v>
      </c>
      <c r="D243">
        <v>0.27421000000000001</v>
      </c>
      <c r="E243">
        <v>0.29504999999999998</v>
      </c>
      <c r="F243">
        <v>306877040.19999999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0.3078129902729817</v>
      </c>
      <c r="Q243">
        <f t="shared" si="960"/>
        <v>94460739.390084013</v>
      </c>
      <c r="R243">
        <f t="shared" si="961"/>
        <v>33016520.774064451</v>
      </c>
      <c r="S243">
        <f t="shared" si="962"/>
        <v>330.16520774064452</v>
      </c>
      <c r="T243">
        <f t="shared" si="963"/>
        <v>0.33016520774064451</v>
      </c>
    </row>
    <row r="244" spans="1:20" x14ac:dyDescent="0.25">
      <c r="A244" s="5">
        <v>44349</v>
      </c>
      <c r="B244">
        <v>0.27206999999999998</v>
      </c>
      <c r="C244">
        <v>0.28220000000000001</v>
      </c>
      <c r="D244">
        <v>0.26584000000000002</v>
      </c>
      <c r="E244">
        <v>0.27739999999999998</v>
      </c>
      <c r="F244">
        <v>202445068</v>
      </c>
      <c r="G244">
        <v>0</v>
      </c>
      <c r="L244" t="s">
        <v>7</v>
      </c>
      <c r="M244" t="s">
        <v>7</v>
      </c>
      <c r="N244" t="s">
        <v>8</v>
      </c>
      <c r="P244">
        <f t="shared" si="959"/>
        <v>0.41320293398532632</v>
      </c>
      <c r="Q244">
        <f t="shared" si="960"/>
        <v>83650896.0684589</v>
      </c>
      <c r="R244">
        <f t="shared" si="961"/>
        <v>-61444218.616019562</v>
      </c>
      <c r="S244">
        <f t="shared" si="962"/>
        <v>-614.44218616019566</v>
      </c>
      <c r="T244">
        <f t="shared" si="963"/>
        <v>-0.61444218616019564</v>
      </c>
    </row>
    <row r="245" spans="1:20" x14ac:dyDescent="0.25">
      <c r="A245" s="5">
        <v>44348</v>
      </c>
      <c r="B245">
        <v>0.28178999999999998</v>
      </c>
      <c r="C245">
        <v>0.28731000000000001</v>
      </c>
      <c r="D245">
        <v>0.26662999999999998</v>
      </c>
      <c r="E245">
        <v>0.27209</v>
      </c>
      <c r="F245">
        <v>204714334.69999999</v>
      </c>
      <c r="G245">
        <v>0</v>
      </c>
      <c r="L245" t="s">
        <v>8</v>
      </c>
      <c r="M245" t="s">
        <v>7</v>
      </c>
      <c r="N245" t="s">
        <v>8</v>
      </c>
      <c r="P245">
        <f t="shared" si="959"/>
        <v>-0.47195357833655588</v>
      </c>
      <c r="Q245">
        <f t="shared" si="960"/>
        <v>-96615662.798452362</v>
      </c>
      <c r="R245">
        <f t="shared" si="961"/>
        <v>-145095114.68447846</v>
      </c>
      <c r="S245">
        <f t="shared" si="962"/>
        <v>-1450.9511468447847</v>
      </c>
      <c r="T245">
        <f t="shared" si="963"/>
        <v>-1.4509511468447847</v>
      </c>
    </row>
    <row r="246" spans="1:20" x14ac:dyDescent="0.25">
      <c r="A246" s="5">
        <v>44347</v>
      </c>
      <c r="B246">
        <v>0.26946999999999999</v>
      </c>
      <c r="C246">
        <v>0.28351999999999999</v>
      </c>
      <c r="D246">
        <v>0.25234000000000001</v>
      </c>
      <c r="E246">
        <v>0.28159000000000001</v>
      </c>
      <c r="F246">
        <v>241650940.5</v>
      </c>
      <c r="G246">
        <v>0</v>
      </c>
      <c r="L246" t="s">
        <v>8</v>
      </c>
      <c r="M246" t="s">
        <v>7</v>
      </c>
      <c r="N246" t="s">
        <v>8</v>
      </c>
      <c r="P246">
        <f t="shared" si="959"/>
        <v>0.87620269403463835</v>
      </c>
      <c r="Q246">
        <f t="shared" si="960"/>
        <v>211735205.08210409</v>
      </c>
      <c r="R246">
        <f t="shared" si="961"/>
        <v>-48479451.886026084</v>
      </c>
      <c r="S246">
        <f t="shared" si="962"/>
        <v>-484.79451886026084</v>
      </c>
      <c r="T246">
        <f t="shared" si="963"/>
        <v>-0.48479451886026081</v>
      </c>
    </row>
    <row r="247" spans="1:20" x14ac:dyDescent="0.25">
      <c r="A247" s="5">
        <v>44346</v>
      </c>
      <c r="B247">
        <v>0.27116000000000001</v>
      </c>
      <c r="C247">
        <v>0.28521000000000002</v>
      </c>
      <c r="D247">
        <v>0.24828</v>
      </c>
      <c r="E247">
        <v>0.26967000000000002</v>
      </c>
      <c r="F247">
        <v>308569051.39999998</v>
      </c>
      <c r="G247">
        <v>0</v>
      </c>
      <c r="L247" t="s">
        <v>7</v>
      </c>
      <c r="M247" t="s">
        <v>7</v>
      </c>
      <c r="N247" t="s">
        <v>8</v>
      </c>
      <c r="P247">
        <f t="shared" si="959"/>
        <v>0.15840779853777467</v>
      </c>
      <c r="Q247">
        <f t="shared" si="960"/>
        <v>48879744.129163437</v>
      </c>
      <c r="R247">
        <f t="shared" si="961"/>
        <v>-260214656.96813017</v>
      </c>
      <c r="S247">
        <f t="shared" si="962"/>
        <v>-2602.1465696813016</v>
      </c>
      <c r="T247">
        <f t="shared" si="963"/>
        <v>-2.6021465696813015</v>
      </c>
    </row>
    <row r="248" spans="1:20" x14ac:dyDescent="0.25">
      <c r="A248" s="5">
        <v>44345</v>
      </c>
      <c r="B248">
        <v>0.28710000000000002</v>
      </c>
      <c r="C248">
        <v>0.29452</v>
      </c>
      <c r="D248">
        <v>0.25528000000000001</v>
      </c>
      <c r="E248">
        <v>0.27093</v>
      </c>
      <c r="F248">
        <v>345882944.39999998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-0.20234454638124372</v>
      </c>
      <c r="Q248">
        <f t="shared" si="960"/>
        <v>-69987527.485626936</v>
      </c>
      <c r="R248">
        <f t="shared" si="961"/>
        <v>-309094401.09729362</v>
      </c>
      <c r="S248">
        <f t="shared" si="962"/>
        <v>-3090.9440109729362</v>
      </c>
      <c r="T248">
        <f t="shared" si="963"/>
        <v>-3.0909440109729363</v>
      </c>
    </row>
    <row r="249" spans="1:20" x14ac:dyDescent="0.25">
      <c r="A249" s="5">
        <v>44344</v>
      </c>
      <c r="B249">
        <v>0.30071999999999999</v>
      </c>
      <c r="C249">
        <v>0.32450000000000001</v>
      </c>
      <c r="D249">
        <v>0.26790000000000003</v>
      </c>
      <c r="E249">
        <v>0.28704000000000002</v>
      </c>
      <c r="F249">
        <v>715187249.5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-0.32367491166077755</v>
      </c>
      <c r="Q249">
        <f t="shared" si="960"/>
        <v>-231488169.80282697</v>
      </c>
      <c r="R249">
        <f t="shared" si="961"/>
        <v>-239106873.61166665</v>
      </c>
      <c r="S249">
        <f t="shared" si="962"/>
        <v>-2391.0687361166665</v>
      </c>
      <c r="T249">
        <f t="shared" si="963"/>
        <v>-2.3910687361166665</v>
      </c>
    </row>
    <row r="250" spans="1:20" x14ac:dyDescent="0.25">
      <c r="A250" s="5">
        <v>44343</v>
      </c>
      <c r="B250">
        <v>0.33539000000000002</v>
      </c>
      <c r="C250">
        <v>0.33593000000000001</v>
      </c>
      <c r="D250">
        <v>0.28766000000000003</v>
      </c>
      <c r="E250">
        <v>0.30084</v>
      </c>
      <c r="F250">
        <v>561750963.79999995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-0.45390511704992853</v>
      </c>
      <c r="Q250">
        <f t="shared" si="960"/>
        <v>-254981636.97654915</v>
      </c>
      <c r="R250">
        <f t="shared" si="961"/>
        <v>-7618703.8088396788</v>
      </c>
      <c r="S250">
        <f t="shared" si="962"/>
        <v>-76.18703808839679</v>
      </c>
      <c r="T250">
        <f t="shared" si="963"/>
        <v>-7.6187038088396788E-2</v>
      </c>
    </row>
    <row r="251" spans="1:20" x14ac:dyDescent="0.25">
      <c r="A251" s="5">
        <v>44342</v>
      </c>
      <c r="B251">
        <v>0.25799</v>
      </c>
      <c r="C251">
        <v>0.33768999999999999</v>
      </c>
      <c r="D251">
        <v>0.25042999999999999</v>
      </c>
      <c r="E251">
        <v>0.33526</v>
      </c>
      <c r="F251">
        <v>657241012.79999995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0.94430437772175135</v>
      </c>
      <c r="Q251">
        <f t="shared" si="960"/>
        <v>620635565.60531759</v>
      </c>
      <c r="R251">
        <f t="shared" si="961"/>
        <v>247362933.16770947</v>
      </c>
      <c r="S251">
        <f t="shared" si="962"/>
        <v>2473.6293316770948</v>
      </c>
      <c r="T251">
        <f t="shared" si="963"/>
        <v>2.473629331677095</v>
      </c>
    </row>
    <row r="252" spans="1:20" x14ac:dyDescent="0.25">
      <c r="A252" s="5">
        <v>44341</v>
      </c>
      <c r="B252">
        <v>0.26462999999999998</v>
      </c>
      <c r="C252">
        <v>0.27495999999999998</v>
      </c>
      <c r="D252">
        <v>0.23019999999999999</v>
      </c>
      <c r="E252">
        <v>0.25774000000000002</v>
      </c>
      <c r="F252">
        <v>478382810.60000002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0.23056300268096694</v>
      </c>
      <c r="Q252">
        <f t="shared" si="960"/>
        <v>110297377.2428963</v>
      </c>
      <c r="R252">
        <f t="shared" si="961"/>
        <v>-373272632.43760812</v>
      </c>
      <c r="S252">
        <f t="shared" si="962"/>
        <v>-3732.7263243760813</v>
      </c>
      <c r="T252">
        <f t="shared" si="963"/>
        <v>-3.7327263243760811</v>
      </c>
    </row>
    <row r="253" spans="1:20" x14ac:dyDescent="0.25">
      <c r="A253" s="5">
        <v>44340</v>
      </c>
      <c r="B253">
        <v>0.21329999999999999</v>
      </c>
      <c r="C253">
        <v>0.26463999999999999</v>
      </c>
      <c r="D253">
        <v>0.20499999999999999</v>
      </c>
      <c r="E253">
        <v>0.26441999999999999</v>
      </c>
      <c r="F253">
        <v>583135261.10000002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0.9926224010731054</v>
      </c>
      <c r="Q253">
        <f t="shared" si="960"/>
        <v>578833123.02347422</v>
      </c>
      <c r="R253">
        <f t="shared" si="961"/>
        <v>-483570009.68050444</v>
      </c>
      <c r="S253">
        <f t="shared" si="962"/>
        <v>-4835.7000968050443</v>
      </c>
      <c r="T253">
        <f t="shared" si="963"/>
        <v>-4.8357000968050441</v>
      </c>
    </row>
    <row r="254" spans="1:20" x14ac:dyDescent="0.25">
      <c r="A254" s="5">
        <v>44339</v>
      </c>
      <c r="B254">
        <v>0.25317000000000001</v>
      </c>
      <c r="C254">
        <v>0.26200000000000001</v>
      </c>
      <c r="D254">
        <v>0.16408</v>
      </c>
      <c r="E254">
        <v>0.21349000000000001</v>
      </c>
      <c r="F254">
        <v>622555774.29999995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9.191176470588357E-3</v>
      </c>
      <c r="Q254">
        <f t="shared" si="960"/>
        <v>5722019.9843750754</v>
      </c>
      <c r="R254">
        <f t="shared" si="961"/>
        <v>-1062403132.7039787</v>
      </c>
      <c r="S254">
        <f t="shared" si="962"/>
        <v>-10624.031327039787</v>
      </c>
      <c r="T254">
        <f t="shared" si="963"/>
        <v>-10.624031327039788</v>
      </c>
    </row>
    <row r="255" spans="1:20" x14ac:dyDescent="0.25">
      <c r="A255" s="5">
        <v>44338</v>
      </c>
      <c r="B255">
        <v>0.27982000000000001</v>
      </c>
      <c r="C255">
        <v>0.28665000000000002</v>
      </c>
      <c r="D255">
        <v>0.23857</v>
      </c>
      <c r="E255">
        <v>0.25296000000000002</v>
      </c>
      <c r="F255">
        <v>414799675.89999998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-0.4014143094841926</v>
      </c>
      <c r="Q255">
        <f t="shared" si="960"/>
        <v>-166506525.47566539</v>
      </c>
      <c r="R255">
        <f t="shared" si="961"/>
        <v>-1068125152.6883538</v>
      </c>
      <c r="S255">
        <f t="shared" si="962"/>
        <v>-10681.251526883538</v>
      </c>
      <c r="T255">
        <f t="shared" si="963"/>
        <v>-10.681251526883537</v>
      </c>
    </row>
    <row r="256" spans="1:20" x14ac:dyDescent="0.25">
      <c r="A256" s="5">
        <v>44337</v>
      </c>
      <c r="B256">
        <v>0.30824000000000001</v>
      </c>
      <c r="C256">
        <v>0.33799000000000001</v>
      </c>
      <c r="D256">
        <v>0.23399</v>
      </c>
      <c r="E256">
        <v>0.27951999999999999</v>
      </c>
      <c r="F256">
        <v>592784269.39999998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-0.12442307692307725</v>
      </c>
      <c r="Q256">
        <f t="shared" si="960"/>
        <v>-73756042.750346348</v>
      </c>
      <c r="R256">
        <f t="shared" si="961"/>
        <v>-901618627.21268833</v>
      </c>
      <c r="S256">
        <f t="shared" si="962"/>
        <v>-9016.1862721268826</v>
      </c>
      <c r="T256">
        <f t="shared" si="963"/>
        <v>-9.0161862721268822</v>
      </c>
    </row>
    <row r="257" spans="1:20" x14ac:dyDescent="0.25">
      <c r="A257" s="5">
        <v>44336</v>
      </c>
      <c r="B257">
        <v>0.26152999999999998</v>
      </c>
      <c r="C257">
        <v>0.35</v>
      </c>
      <c r="D257">
        <v>0.23200000000000001</v>
      </c>
      <c r="E257">
        <v>0.30854999999999999</v>
      </c>
      <c r="F257">
        <v>622429269.60000002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0.2974576271186441</v>
      </c>
      <c r="Q257">
        <f t="shared" si="960"/>
        <v>185146333.58440679</v>
      </c>
      <c r="R257">
        <f t="shared" si="961"/>
        <v>-827862584.46234202</v>
      </c>
      <c r="S257">
        <f t="shared" si="962"/>
        <v>-8278.6258446234206</v>
      </c>
      <c r="T257">
        <f t="shared" si="963"/>
        <v>-8.27862584462342</v>
      </c>
    </row>
    <row r="258" spans="1:20" x14ac:dyDescent="0.25">
      <c r="A258" s="5">
        <v>44335</v>
      </c>
      <c r="B258">
        <v>0.41904999999999998</v>
      </c>
      <c r="C258">
        <v>0.42899999999999999</v>
      </c>
      <c r="D258">
        <v>0.18209</v>
      </c>
      <c r="E258">
        <v>0.26255000000000001</v>
      </c>
      <c r="F258">
        <v>831517875.10000002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-0.34826454983597255</v>
      </c>
      <c r="Q258">
        <f t="shared" si="960"/>
        <v>-289588198.45226598</v>
      </c>
      <c r="R258">
        <f t="shared" si="961"/>
        <v>-1013008918.0467489</v>
      </c>
      <c r="S258">
        <f t="shared" si="962"/>
        <v>-10130.089180467488</v>
      </c>
      <c r="T258">
        <f t="shared" si="963"/>
        <v>-10.130089180467488</v>
      </c>
    </row>
    <row r="259" spans="1:20" x14ac:dyDescent="0.25">
      <c r="A259" s="5">
        <v>44334</v>
      </c>
      <c r="B259">
        <v>0.40605999999999998</v>
      </c>
      <c r="C259">
        <v>0.45499000000000001</v>
      </c>
      <c r="D259">
        <v>0.39924999999999999</v>
      </c>
      <c r="E259">
        <v>0.41871999999999998</v>
      </c>
      <c r="F259">
        <v>376392540.5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-0.30139935414424174</v>
      </c>
      <c r="Q259">
        <f t="shared" si="960"/>
        <v>-113444468.61141035</v>
      </c>
      <c r="R259">
        <f t="shared" si="961"/>
        <v>-723420719.5944829</v>
      </c>
      <c r="S259">
        <f t="shared" si="962"/>
        <v>-7234.2071959448294</v>
      </c>
      <c r="T259">
        <f t="shared" si="963"/>
        <v>-7.2342071959448297</v>
      </c>
    </row>
    <row r="260" spans="1:20" x14ac:dyDescent="0.25">
      <c r="A260" s="5">
        <v>44333</v>
      </c>
      <c r="B260">
        <v>0.43583</v>
      </c>
      <c r="C260">
        <v>0.43586999999999998</v>
      </c>
      <c r="D260">
        <v>0.38009999999999999</v>
      </c>
      <c r="E260">
        <v>0.40538000000000002</v>
      </c>
      <c r="F260">
        <v>369254389.60000002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-9.3419401111707698E-2</v>
      </c>
      <c r="Q260">
        <f t="shared" si="960"/>
        <v>-34495523.93430119</v>
      </c>
      <c r="R260">
        <f t="shared" si="961"/>
        <v>-609976250.98307252</v>
      </c>
      <c r="S260">
        <f t="shared" si="962"/>
        <v>-6099.7625098307253</v>
      </c>
      <c r="T260">
        <f t="shared" si="963"/>
        <v>-6.0997625098307253</v>
      </c>
    </row>
    <row r="261" spans="1:20" x14ac:dyDescent="0.25">
      <c r="A261" s="5">
        <v>44332</v>
      </c>
      <c r="B261">
        <v>0.43340000000000001</v>
      </c>
      <c r="C261">
        <v>0.48665999999999998</v>
      </c>
      <c r="D261">
        <v>0.41358</v>
      </c>
      <c r="E261">
        <v>0.43552000000000002</v>
      </c>
      <c r="F261">
        <v>562427060.70000005</v>
      </c>
      <c r="G261">
        <v>0</v>
      </c>
      <c r="L261" t="s">
        <v>7</v>
      </c>
      <c r="M261" t="s">
        <v>7</v>
      </c>
      <c r="N261" t="s">
        <v>8</v>
      </c>
      <c r="P261">
        <f t="shared" si="959"/>
        <v>-0.39956212370005412</v>
      </c>
      <c r="Q261">
        <f t="shared" si="960"/>
        <v>-224724550.79967126</v>
      </c>
      <c r="R261">
        <f t="shared" si="961"/>
        <v>-575480727.04877138</v>
      </c>
      <c r="S261">
        <f t="shared" si="962"/>
        <v>-5754.807270487714</v>
      </c>
      <c r="T261">
        <f t="shared" si="963"/>
        <v>-5.7548072704877145</v>
      </c>
    </row>
    <row r="262" spans="1:20" x14ac:dyDescent="0.25">
      <c r="A262" s="5">
        <v>44331</v>
      </c>
      <c r="B262">
        <v>0.43554999999999999</v>
      </c>
      <c r="C262">
        <v>0.52449999999999997</v>
      </c>
      <c r="D262">
        <v>0.42107</v>
      </c>
      <c r="E262">
        <v>0.43341000000000002</v>
      </c>
      <c r="F262">
        <v>1146012002.7</v>
      </c>
      <c r="G262">
        <v>0</v>
      </c>
      <c r="L262" t="s">
        <v>8</v>
      </c>
      <c r="M262" t="s">
        <v>8</v>
      </c>
      <c r="N262" t="s">
        <v>8</v>
      </c>
      <c r="P262">
        <f t="shared" ref="P262:P325" si="964">IF(C262=D262,0,((E262-D262)-(C262-E262))/(C262-D262))</f>
        <v>-0.76138451126365614</v>
      </c>
      <c r="Q262">
        <f t="shared" ref="Q262:Q325" si="965">F262*P262</f>
        <v>-872555788.57802331</v>
      </c>
      <c r="R262">
        <f t="shared" ref="R262:R325" si="966">R263+Q262</f>
        <v>-350756176.24910009</v>
      </c>
      <c r="S262">
        <f t="shared" ref="S262:S325" si="967">R262/100000</f>
        <v>-3507.561762491001</v>
      </c>
      <c r="T262">
        <f t="shared" ref="T262:T325" si="968">S262/1000</f>
        <v>-3.5075617624910009</v>
      </c>
    </row>
    <row r="263" spans="1:20" x14ac:dyDescent="0.25">
      <c r="A263" s="5">
        <v>44330</v>
      </c>
      <c r="B263">
        <v>0.42792000000000002</v>
      </c>
      <c r="C263">
        <v>0.44718000000000002</v>
      </c>
      <c r="D263">
        <v>0.41667999999999999</v>
      </c>
      <c r="E263">
        <v>0.43569999999999998</v>
      </c>
      <c r="F263">
        <v>265650521.59999999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0.24721311475409602</v>
      </c>
      <c r="Q263">
        <f t="shared" si="965"/>
        <v>65672292.880786262</v>
      </c>
      <c r="R263">
        <f t="shared" si="966"/>
        <v>521799612.32892323</v>
      </c>
      <c r="S263">
        <f t="shared" si="967"/>
        <v>5217.9961232892319</v>
      </c>
      <c r="T263">
        <f t="shared" si="968"/>
        <v>5.2179961232892316</v>
      </c>
    </row>
    <row r="264" spans="1:20" x14ac:dyDescent="0.25">
      <c r="A264" s="5">
        <v>44329</v>
      </c>
      <c r="B264">
        <v>0.39961999999999998</v>
      </c>
      <c r="C264">
        <v>0.46276</v>
      </c>
      <c r="D264">
        <v>0.36481000000000002</v>
      </c>
      <c r="E264">
        <v>0.42820000000000003</v>
      </c>
      <c r="F264">
        <v>740074065.70000005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0.29433384379785632</v>
      </c>
      <c r="Q264">
        <f t="shared" si="965"/>
        <v>217828844.45258826</v>
      </c>
      <c r="R264">
        <f t="shared" si="966"/>
        <v>456127319.44813699</v>
      </c>
      <c r="S264">
        <f t="shared" si="967"/>
        <v>4561.2731944813695</v>
      </c>
      <c r="T264">
        <f t="shared" si="968"/>
        <v>4.5612731944813696</v>
      </c>
    </row>
    <row r="265" spans="1:20" x14ac:dyDescent="0.25">
      <c r="A265" s="5">
        <v>44328</v>
      </c>
      <c r="B265">
        <v>0.45900000000000002</v>
      </c>
      <c r="C265">
        <v>0.48188999999999999</v>
      </c>
      <c r="D265">
        <v>0.38255</v>
      </c>
      <c r="E265">
        <v>0.40001999999999999</v>
      </c>
      <c r="F265">
        <v>399598422.10000002</v>
      </c>
      <c r="G265">
        <v>0</v>
      </c>
      <c r="L265" t="s">
        <v>8</v>
      </c>
      <c r="M265" t="s">
        <v>8</v>
      </c>
      <c r="N265" t="s">
        <v>7</v>
      </c>
      <c r="P265">
        <f t="shared" si="964"/>
        <v>-0.64827863901751581</v>
      </c>
      <c r="Q265">
        <f t="shared" si="965"/>
        <v>-259051121.23253483</v>
      </c>
      <c r="R265">
        <f t="shared" si="966"/>
        <v>238298474.99554873</v>
      </c>
      <c r="S265">
        <f t="shared" si="967"/>
        <v>2382.9847499554871</v>
      </c>
      <c r="T265">
        <f t="shared" si="968"/>
        <v>2.382984749955487</v>
      </c>
    </row>
    <row r="266" spans="1:20" x14ac:dyDescent="0.25">
      <c r="A266" s="5">
        <v>44327</v>
      </c>
      <c r="B266">
        <v>0.43480999999999997</v>
      </c>
      <c r="C266">
        <v>0.46100000000000002</v>
      </c>
      <c r="D266">
        <v>0.42492999999999997</v>
      </c>
      <c r="E266">
        <v>0.45900000000000002</v>
      </c>
      <c r="F266">
        <v>300090748.89999998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0.88910451899085119</v>
      </c>
      <c r="Q266">
        <f t="shared" si="965"/>
        <v>266812040.95433879</v>
      </c>
      <c r="R266">
        <f t="shared" si="966"/>
        <v>497349596.22808355</v>
      </c>
      <c r="S266">
        <f t="shared" si="967"/>
        <v>4973.4959622808356</v>
      </c>
      <c r="T266">
        <f t="shared" si="968"/>
        <v>4.9734959622808352</v>
      </c>
    </row>
    <row r="267" spans="1:20" x14ac:dyDescent="0.25">
      <c r="A267" s="5">
        <v>44326</v>
      </c>
      <c r="B267">
        <v>0.48535</v>
      </c>
      <c r="C267">
        <v>0.50563999999999998</v>
      </c>
      <c r="D267">
        <v>0.39450000000000002</v>
      </c>
      <c r="E267">
        <v>0.43474000000000002</v>
      </c>
      <c r="F267">
        <v>449455706.39999998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-0.27586827424869514</v>
      </c>
      <c r="Q267">
        <f t="shared" si="965"/>
        <v>-123990570.0757962</v>
      </c>
      <c r="R267">
        <f t="shared" si="966"/>
        <v>230537555.27374476</v>
      </c>
      <c r="S267">
        <f t="shared" si="967"/>
        <v>2305.3755527374478</v>
      </c>
      <c r="T267">
        <f t="shared" si="968"/>
        <v>2.305375552737448</v>
      </c>
    </row>
    <row r="268" spans="1:20" x14ac:dyDescent="0.25">
      <c r="A268" s="5">
        <v>44325</v>
      </c>
      <c r="B268">
        <v>0.49697000000000002</v>
      </c>
      <c r="C268">
        <v>0.49967</v>
      </c>
      <c r="D268">
        <v>0.45583000000000001</v>
      </c>
      <c r="E268">
        <v>0.48548999999999998</v>
      </c>
      <c r="F268">
        <v>356980703.5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0.35310218978102059</v>
      </c>
      <c r="Q268">
        <f t="shared" si="965"/>
        <v>126050668.11541924</v>
      </c>
      <c r="R268">
        <f t="shared" si="966"/>
        <v>354528125.34954095</v>
      </c>
      <c r="S268">
        <f t="shared" si="967"/>
        <v>3545.2812534954096</v>
      </c>
      <c r="T268">
        <f t="shared" si="968"/>
        <v>3.5452812534954097</v>
      </c>
    </row>
    <row r="269" spans="1:20" x14ac:dyDescent="0.25">
      <c r="A269" s="5">
        <v>44324</v>
      </c>
      <c r="B269">
        <v>0.50524000000000002</v>
      </c>
      <c r="C269">
        <v>0.51600000000000001</v>
      </c>
      <c r="D269">
        <v>0.49220000000000003</v>
      </c>
      <c r="E269">
        <v>0.49701000000000001</v>
      </c>
      <c r="F269">
        <v>264694080.5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-0.59579831932773253</v>
      </c>
      <c r="Q269">
        <f t="shared" si="965"/>
        <v>-157704288.29789954</v>
      </c>
      <c r="R269">
        <f t="shared" si="966"/>
        <v>228477457.23412174</v>
      </c>
      <c r="S269">
        <f t="shared" si="967"/>
        <v>2284.7745723412172</v>
      </c>
      <c r="T269">
        <f t="shared" si="968"/>
        <v>2.2847745723412172</v>
      </c>
    </row>
    <row r="270" spans="1:20" x14ac:dyDescent="0.25">
      <c r="A270" s="5">
        <v>44323</v>
      </c>
      <c r="B270">
        <v>0.50434999999999997</v>
      </c>
      <c r="C270">
        <v>0.52805999999999997</v>
      </c>
      <c r="D270">
        <v>0.49230000000000002</v>
      </c>
      <c r="E270">
        <v>0.50519999999999998</v>
      </c>
      <c r="F270">
        <v>438038819.5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-0.27852348993288689</v>
      </c>
      <c r="Q270">
        <f t="shared" si="965"/>
        <v>-122004100.7332219</v>
      </c>
      <c r="R270">
        <f t="shared" si="966"/>
        <v>386181745.53202128</v>
      </c>
      <c r="S270">
        <f t="shared" si="967"/>
        <v>3861.817455320213</v>
      </c>
      <c r="T270">
        <f t="shared" si="968"/>
        <v>3.8618174553202129</v>
      </c>
    </row>
    <row r="271" spans="1:20" x14ac:dyDescent="0.25">
      <c r="A271" s="5">
        <v>44322</v>
      </c>
      <c r="B271">
        <v>0.51895999999999998</v>
      </c>
      <c r="C271">
        <v>0.53449999999999998</v>
      </c>
      <c r="D271">
        <v>0.49</v>
      </c>
      <c r="E271">
        <v>0.50434999999999997</v>
      </c>
      <c r="F271">
        <v>512190817.10000002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-0.35505617977528187</v>
      </c>
      <c r="Q271">
        <f t="shared" si="965"/>
        <v>-181856514.83550611</v>
      </c>
      <c r="R271">
        <f t="shared" si="966"/>
        <v>508185846.26524317</v>
      </c>
      <c r="S271">
        <f t="shared" si="967"/>
        <v>5081.8584626524316</v>
      </c>
      <c r="T271">
        <f t="shared" si="968"/>
        <v>5.0818584626524315</v>
      </c>
    </row>
    <row r="272" spans="1:20" x14ac:dyDescent="0.25">
      <c r="A272" s="5">
        <v>44321</v>
      </c>
      <c r="B272">
        <v>0.48658000000000001</v>
      </c>
      <c r="C272">
        <v>0.52500000000000002</v>
      </c>
      <c r="D272">
        <v>0.48010999999999998</v>
      </c>
      <c r="E272">
        <v>0.51897000000000004</v>
      </c>
      <c r="F272">
        <v>508030875.60000002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0.73134328358209066</v>
      </c>
      <c r="Q272">
        <f t="shared" si="965"/>
        <v>371544968.72238863</v>
      </c>
      <c r="R272">
        <f t="shared" si="966"/>
        <v>690042361.10074925</v>
      </c>
      <c r="S272">
        <f t="shared" si="967"/>
        <v>6900.4236110074926</v>
      </c>
      <c r="T272">
        <f t="shared" si="968"/>
        <v>6.9004236110074926</v>
      </c>
    </row>
    <row r="273" spans="1:20" x14ac:dyDescent="0.25">
      <c r="A273" s="5">
        <v>44320</v>
      </c>
      <c r="B273">
        <v>0.52449999999999997</v>
      </c>
      <c r="C273">
        <v>0.55869000000000002</v>
      </c>
      <c r="D273">
        <v>0.47244000000000003</v>
      </c>
      <c r="E273">
        <v>0.48663000000000001</v>
      </c>
      <c r="F273">
        <v>785176560.39999998</v>
      </c>
      <c r="G273">
        <v>0</v>
      </c>
      <c r="L273" t="s">
        <v>8</v>
      </c>
      <c r="M273" t="s">
        <v>7</v>
      </c>
      <c r="N273" t="s">
        <v>8</v>
      </c>
      <c r="P273">
        <f t="shared" si="964"/>
        <v>-0.6709565217391309</v>
      </c>
      <c r="Q273">
        <f t="shared" si="965"/>
        <v>-526819333.91707861</v>
      </c>
      <c r="R273">
        <f t="shared" si="966"/>
        <v>318497392.37836063</v>
      </c>
      <c r="S273">
        <f t="shared" si="967"/>
        <v>3184.9739237836061</v>
      </c>
      <c r="T273">
        <f t="shared" si="968"/>
        <v>3.1849739237836059</v>
      </c>
    </row>
    <row r="274" spans="1:20" x14ac:dyDescent="0.25">
      <c r="A274" s="5">
        <v>44319</v>
      </c>
      <c r="B274">
        <v>0.53173999999999999</v>
      </c>
      <c r="C274">
        <v>0.55000000000000004</v>
      </c>
      <c r="D274">
        <v>0.51931000000000005</v>
      </c>
      <c r="E274">
        <v>0.52454000000000001</v>
      </c>
      <c r="F274">
        <v>338849209.5</v>
      </c>
      <c r="G274">
        <v>0</v>
      </c>
      <c r="L274" t="s">
        <v>8</v>
      </c>
      <c r="M274" t="s">
        <v>7</v>
      </c>
      <c r="N274" t="s">
        <v>8</v>
      </c>
      <c r="P274">
        <f t="shared" si="964"/>
        <v>-0.65917236884979091</v>
      </c>
      <c r="Q274">
        <f t="shared" si="965"/>
        <v>-223360036.10899407</v>
      </c>
      <c r="R274">
        <f t="shared" si="966"/>
        <v>845316726.29543924</v>
      </c>
      <c r="S274">
        <f t="shared" si="967"/>
        <v>8453.1672629543918</v>
      </c>
      <c r="T274">
        <f t="shared" si="968"/>
        <v>8.4531672629543912</v>
      </c>
    </row>
    <row r="275" spans="1:20" x14ac:dyDescent="0.25">
      <c r="A275" s="5">
        <v>44318</v>
      </c>
      <c r="B275">
        <v>0.55357000000000001</v>
      </c>
      <c r="C275">
        <v>0.55576999999999999</v>
      </c>
      <c r="D275">
        <v>0.51</v>
      </c>
      <c r="E275">
        <v>0.53169999999999995</v>
      </c>
      <c r="F275">
        <v>348894632.39999998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-5.1780642342147597E-2</v>
      </c>
      <c r="Q275">
        <f t="shared" si="965"/>
        <v>-18065988.17539946</v>
      </c>
      <c r="R275">
        <f t="shared" si="966"/>
        <v>1068676762.4044334</v>
      </c>
      <c r="S275">
        <f t="shared" si="967"/>
        <v>10686.767624044334</v>
      </c>
      <c r="T275">
        <f t="shared" si="968"/>
        <v>10.686767624044334</v>
      </c>
    </row>
    <row r="276" spans="1:20" x14ac:dyDescent="0.25">
      <c r="A276" s="5">
        <v>44317</v>
      </c>
      <c r="B276">
        <v>0.57027000000000005</v>
      </c>
      <c r="C276">
        <v>0.57050000000000001</v>
      </c>
      <c r="D276">
        <v>0.54059999999999997</v>
      </c>
      <c r="E276">
        <v>0.55344000000000004</v>
      </c>
      <c r="F276">
        <v>369728999.60000002</v>
      </c>
      <c r="G276">
        <v>0</v>
      </c>
      <c r="L276" t="s">
        <v>7</v>
      </c>
      <c r="M276" t="s">
        <v>8</v>
      </c>
      <c r="N276" t="s">
        <v>8</v>
      </c>
      <c r="P276">
        <f t="shared" si="964"/>
        <v>-0.14113712374581555</v>
      </c>
      <c r="Q276">
        <f t="shared" si="965"/>
        <v>-52182487.568961792</v>
      </c>
      <c r="R276">
        <f t="shared" si="966"/>
        <v>1086742750.5798328</v>
      </c>
      <c r="S276">
        <f t="shared" si="967"/>
        <v>10867.427505798329</v>
      </c>
      <c r="T276">
        <f t="shared" si="968"/>
        <v>10.867427505798329</v>
      </c>
    </row>
    <row r="277" spans="1:20" x14ac:dyDescent="0.25">
      <c r="A277" s="5">
        <v>44316</v>
      </c>
      <c r="B277">
        <v>0.56320000000000003</v>
      </c>
      <c r="C277">
        <v>0.57698000000000005</v>
      </c>
      <c r="D277">
        <v>0.53851000000000004</v>
      </c>
      <c r="E277">
        <v>0.57028999999999996</v>
      </c>
      <c r="F277">
        <v>570867571.39999998</v>
      </c>
      <c r="G277">
        <v>0</v>
      </c>
      <c r="L277" t="s">
        <v>7</v>
      </c>
      <c r="M277" t="s">
        <v>8</v>
      </c>
      <c r="N277" t="s">
        <v>8</v>
      </c>
      <c r="P277">
        <f t="shared" si="964"/>
        <v>0.65219651676630708</v>
      </c>
      <c r="Q277">
        <f t="shared" si="965"/>
        <v>372317841.60192108</v>
      </c>
      <c r="R277">
        <f t="shared" si="966"/>
        <v>1138925238.1487947</v>
      </c>
      <c r="S277">
        <f t="shared" si="967"/>
        <v>11389.252381487946</v>
      </c>
      <c r="T277">
        <f t="shared" si="968"/>
        <v>11.389252381487946</v>
      </c>
    </row>
    <row r="278" spans="1:20" x14ac:dyDescent="0.25">
      <c r="A278" s="5">
        <v>44315</v>
      </c>
      <c r="B278">
        <v>0.53595000000000004</v>
      </c>
      <c r="C278">
        <v>0.61673999999999995</v>
      </c>
      <c r="D278">
        <v>0.51297999999999999</v>
      </c>
      <c r="E278">
        <v>0.56322000000000005</v>
      </c>
      <c r="F278">
        <v>1279852449.3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-3.1611410948340787E-2</v>
      </c>
      <c r="Q278">
        <f t="shared" si="965"/>
        <v>-40457941.728062794</v>
      </c>
      <c r="R278">
        <f t="shared" si="966"/>
        <v>766607396.54687345</v>
      </c>
      <c r="S278">
        <f t="shared" si="967"/>
        <v>7666.0739654687341</v>
      </c>
      <c r="T278">
        <f t="shared" si="968"/>
        <v>7.6660739654687342</v>
      </c>
    </row>
    <row r="279" spans="1:20" x14ac:dyDescent="0.25">
      <c r="A279" s="5">
        <v>44314</v>
      </c>
      <c r="B279">
        <v>0.51744999999999997</v>
      </c>
      <c r="C279">
        <v>0.56599999999999995</v>
      </c>
      <c r="D279">
        <v>0.47339999999999999</v>
      </c>
      <c r="E279">
        <v>0.53573000000000004</v>
      </c>
      <c r="F279">
        <v>892581575.29999995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0.34622030237581164</v>
      </c>
      <c r="Q279">
        <f t="shared" si="965"/>
        <v>309029862.89544427</v>
      </c>
      <c r="R279">
        <f t="shared" si="966"/>
        <v>807065338.2749362</v>
      </c>
      <c r="S279">
        <f t="shared" si="967"/>
        <v>8070.6533827493622</v>
      </c>
      <c r="T279">
        <f t="shared" si="968"/>
        <v>8.0706533827493629</v>
      </c>
    </row>
    <row r="280" spans="1:20" x14ac:dyDescent="0.25">
      <c r="A280" s="5">
        <v>44313</v>
      </c>
      <c r="B280">
        <v>0.45661000000000002</v>
      </c>
      <c r="C280">
        <v>0.53800000000000003</v>
      </c>
      <c r="D280">
        <v>0.44281999999999999</v>
      </c>
      <c r="E280">
        <v>0.51759999999999995</v>
      </c>
      <c r="F280">
        <v>842340137.39999998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0.5713385164950604</v>
      </c>
      <c r="Q280">
        <f t="shared" si="965"/>
        <v>481261364.48636132</v>
      </c>
      <c r="R280">
        <f t="shared" si="966"/>
        <v>498035475.37949198</v>
      </c>
      <c r="S280">
        <f t="shared" si="967"/>
        <v>4980.3547537949198</v>
      </c>
      <c r="T280">
        <f t="shared" si="968"/>
        <v>4.98035475379492</v>
      </c>
    </row>
    <row r="281" spans="1:20" x14ac:dyDescent="0.25">
      <c r="A281" s="5">
        <v>44312</v>
      </c>
      <c r="B281">
        <v>0.39300000000000002</v>
      </c>
      <c r="C281">
        <v>0.47860000000000003</v>
      </c>
      <c r="D281">
        <v>0.38689000000000001</v>
      </c>
      <c r="E281">
        <v>0.45661000000000002</v>
      </c>
      <c r="F281">
        <v>855933370.89999998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0.5204448806018972</v>
      </c>
      <c r="Q281">
        <f t="shared" si="965"/>
        <v>445466141.02122986</v>
      </c>
      <c r="R281">
        <f t="shared" si="966"/>
        <v>16774110.89313066</v>
      </c>
      <c r="S281">
        <f t="shared" si="967"/>
        <v>167.7411089313066</v>
      </c>
      <c r="T281">
        <f t="shared" si="968"/>
        <v>0.16774110893130659</v>
      </c>
    </row>
    <row r="282" spans="1:20" x14ac:dyDescent="0.25">
      <c r="A282" s="5">
        <v>44311</v>
      </c>
      <c r="B282">
        <v>0.38823000000000002</v>
      </c>
      <c r="C282">
        <v>0.43148999999999998</v>
      </c>
      <c r="D282">
        <v>0.35599999999999998</v>
      </c>
      <c r="E282">
        <v>0.39288000000000001</v>
      </c>
      <c r="F282">
        <v>551159063.60000002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-2.2916942641408845E-2</v>
      </c>
      <c r="Q282">
        <f t="shared" si="965"/>
        <v>-12630880.64681381</v>
      </c>
      <c r="R282">
        <f t="shared" si="966"/>
        <v>-428692030.1280992</v>
      </c>
      <c r="S282">
        <f t="shared" si="967"/>
        <v>-4286.9203012809921</v>
      </c>
      <c r="T282">
        <f t="shared" si="968"/>
        <v>-4.2869203012809924</v>
      </c>
    </row>
    <row r="283" spans="1:20" x14ac:dyDescent="0.25">
      <c r="A283" s="5">
        <v>44310</v>
      </c>
      <c r="B283">
        <v>0.43081999999999998</v>
      </c>
      <c r="C283">
        <v>0.44</v>
      </c>
      <c r="D283">
        <v>0.38406000000000001</v>
      </c>
      <c r="E283">
        <v>0.38807000000000003</v>
      </c>
      <c r="F283">
        <v>693547923.70000005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-0.85663210582767202</v>
      </c>
      <c r="Q283">
        <f t="shared" si="965"/>
        <v>-594115418.37154067</v>
      </c>
      <c r="R283">
        <f t="shared" si="966"/>
        <v>-416061149.48128539</v>
      </c>
      <c r="S283">
        <f t="shared" si="967"/>
        <v>-4160.6114948128543</v>
      </c>
      <c r="T283">
        <f t="shared" si="968"/>
        <v>-4.1606114948128541</v>
      </c>
    </row>
    <row r="284" spans="1:20" x14ac:dyDescent="0.25">
      <c r="A284" s="5">
        <v>44309</v>
      </c>
      <c r="B284">
        <v>0.46534999999999999</v>
      </c>
      <c r="C284">
        <v>0.47499999999999998</v>
      </c>
      <c r="D284">
        <v>0.32100000000000001</v>
      </c>
      <c r="E284">
        <v>0.43057000000000001</v>
      </c>
      <c r="F284">
        <v>1483299444.2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0.42298701298701324</v>
      </c>
      <c r="Q284">
        <f t="shared" si="965"/>
        <v>627416401.26745498</v>
      </c>
      <c r="R284">
        <f t="shared" si="966"/>
        <v>178054268.89025527</v>
      </c>
      <c r="S284">
        <f t="shared" si="967"/>
        <v>1780.5426889025528</v>
      </c>
      <c r="T284">
        <f t="shared" si="968"/>
        <v>1.7805426889025529</v>
      </c>
    </row>
    <row r="285" spans="1:20" x14ac:dyDescent="0.25">
      <c r="A285" s="5">
        <v>44308</v>
      </c>
      <c r="B285">
        <v>0.52163000000000004</v>
      </c>
      <c r="C285">
        <v>0.54183999999999999</v>
      </c>
      <c r="D285">
        <v>0.44152999999999998</v>
      </c>
      <c r="E285">
        <v>0.46507999999999999</v>
      </c>
      <c r="F285">
        <v>955211828.29999995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-0.53045558767819734</v>
      </c>
      <c r="Q285">
        <f t="shared" si="965"/>
        <v>-506697451.73804182</v>
      </c>
      <c r="R285">
        <f t="shared" si="966"/>
        <v>-449362132.37719971</v>
      </c>
      <c r="S285">
        <f t="shared" si="967"/>
        <v>-4493.6213237719967</v>
      </c>
      <c r="T285">
        <f t="shared" si="968"/>
        <v>-4.4936213237719969</v>
      </c>
    </row>
    <row r="286" spans="1:20" x14ac:dyDescent="0.25">
      <c r="A286" s="5">
        <v>44307</v>
      </c>
      <c r="B286">
        <v>0.51219000000000003</v>
      </c>
      <c r="C286">
        <v>0.58470999999999995</v>
      </c>
      <c r="D286">
        <v>0.50200999999999996</v>
      </c>
      <c r="E286">
        <v>0.52202999999999999</v>
      </c>
      <c r="F286">
        <v>1263242488.3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-0.51584038694074874</v>
      </c>
      <c r="Q286">
        <f t="shared" si="965"/>
        <v>-651631493.96466625</v>
      </c>
      <c r="R286">
        <f t="shared" si="966"/>
        <v>57335319.360842109</v>
      </c>
      <c r="S286">
        <f t="shared" si="967"/>
        <v>573.35319360842107</v>
      </c>
      <c r="T286">
        <f t="shared" si="968"/>
        <v>0.57335319360842107</v>
      </c>
    </row>
    <row r="287" spans="1:20" x14ac:dyDescent="0.25">
      <c r="A287" s="5">
        <v>44306</v>
      </c>
      <c r="B287">
        <v>0.50626000000000004</v>
      </c>
      <c r="C287">
        <v>0.53759000000000001</v>
      </c>
      <c r="D287">
        <v>0.4501</v>
      </c>
      <c r="E287">
        <v>0.51207000000000003</v>
      </c>
      <c r="F287">
        <v>817290024.10000002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0.41661904217624907</v>
      </c>
      <c r="Q287">
        <f t="shared" si="965"/>
        <v>340498587.02074552</v>
      </c>
      <c r="R287">
        <f t="shared" si="966"/>
        <v>708966813.32550836</v>
      </c>
      <c r="S287">
        <f t="shared" si="967"/>
        <v>7089.6681332550834</v>
      </c>
      <c r="T287">
        <f t="shared" si="968"/>
        <v>7.089668133255083</v>
      </c>
    </row>
    <row r="288" spans="1:20" x14ac:dyDescent="0.25">
      <c r="A288" s="5">
        <v>44305</v>
      </c>
      <c r="B288">
        <v>0.54978000000000005</v>
      </c>
      <c r="C288">
        <v>0.58669000000000004</v>
      </c>
      <c r="D288">
        <v>0.48110000000000003</v>
      </c>
      <c r="E288">
        <v>0.50619999999999998</v>
      </c>
      <c r="F288">
        <v>787176635.5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-0.524576190927172</v>
      </c>
      <c r="Q288">
        <f t="shared" si="965"/>
        <v>-412934121.03745687</v>
      </c>
      <c r="R288">
        <f t="shared" si="966"/>
        <v>368468226.30476284</v>
      </c>
      <c r="S288">
        <f t="shared" si="967"/>
        <v>3684.6822630476286</v>
      </c>
      <c r="T288">
        <f t="shared" si="968"/>
        <v>3.6846822630476286</v>
      </c>
    </row>
    <row r="289" spans="1:20" x14ac:dyDescent="0.25">
      <c r="A289" s="5">
        <v>44304</v>
      </c>
      <c r="B289">
        <v>0.61855000000000004</v>
      </c>
      <c r="C289">
        <v>0.66327000000000003</v>
      </c>
      <c r="D289">
        <v>0.43598999999999999</v>
      </c>
      <c r="E289">
        <v>0.54981000000000002</v>
      </c>
      <c r="F289">
        <v>1224233042.9000001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1.5839493136220824E-3</v>
      </c>
      <c r="Q289">
        <f t="shared" si="965"/>
        <v>1939123.0880149284</v>
      </c>
      <c r="R289">
        <f t="shared" si="966"/>
        <v>781402347.34221971</v>
      </c>
      <c r="S289">
        <f t="shared" si="967"/>
        <v>7814.0234734221967</v>
      </c>
      <c r="T289">
        <f t="shared" si="968"/>
        <v>7.8140234734221972</v>
      </c>
    </row>
    <row r="290" spans="1:20" x14ac:dyDescent="0.25">
      <c r="A290" s="5">
        <v>44303</v>
      </c>
      <c r="B290">
        <v>0.76856000000000002</v>
      </c>
      <c r="C290">
        <v>0.79200000000000004</v>
      </c>
      <c r="D290">
        <v>0.59582999999999997</v>
      </c>
      <c r="E290">
        <v>0.61853999999999998</v>
      </c>
      <c r="F290">
        <v>1582974071.8</v>
      </c>
      <c r="G290">
        <v>0</v>
      </c>
      <c r="L290" t="s">
        <v>7</v>
      </c>
      <c r="M290" t="s">
        <v>7</v>
      </c>
      <c r="N290" t="s">
        <v>7</v>
      </c>
      <c r="P290">
        <f t="shared" si="964"/>
        <v>-0.76846612631900901</v>
      </c>
      <c r="Q290">
        <f t="shared" si="965"/>
        <v>-1216461953.0195749</v>
      </c>
      <c r="R290">
        <f t="shared" si="966"/>
        <v>779463224.25420475</v>
      </c>
      <c r="S290">
        <f t="shared" si="967"/>
        <v>7794.6322425420476</v>
      </c>
      <c r="T290">
        <f t="shared" si="968"/>
        <v>7.7946322425420478</v>
      </c>
    </row>
    <row r="291" spans="1:20" x14ac:dyDescent="0.25">
      <c r="A291" s="5">
        <v>44302</v>
      </c>
      <c r="B291">
        <v>0.53391999999999995</v>
      </c>
      <c r="C291">
        <v>0.84</v>
      </c>
      <c r="D291">
        <v>0.50888</v>
      </c>
      <c r="E291">
        <v>0.77</v>
      </c>
      <c r="F291">
        <v>3428896456.5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0.5771925585890314</v>
      </c>
      <c r="Q291">
        <f t="shared" si="965"/>
        <v>1979133518.8640983</v>
      </c>
      <c r="R291">
        <f t="shared" si="966"/>
        <v>1995925177.2737796</v>
      </c>
      <c r="S291">
        <f t="shared" si="967"/>
        <v>19959.251772737796</v>
      </c>
      <c r="T291">
        <f t="shared" si="968"/>
        <v>19.959251772737797</v>
      </c>
    </row>
    <row r="292" spans="1:20" x14ac:dyDescent="0.25">
      <c r="A292" s="5">
        <v>44301</v>
      </c>
      <c r="B292">
        <v>0.50212999999999997</v>
      </c>
      <c r="C292">
        <v>0.57659000000000005</v>
      </c>
      <c r="D292">
        <v>0.496</v>
      </c>
      <c r="E292">
        <v>0.53371000000000002</v>
      </c>
      <c r="F292">
        <v>1014167787.9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-6.4151879885841978E-2</v>
      </c>
      <c r="Q292">
        <f t="shared" si="965"/>
        <v>-65060770.113450862</v>
      </c>
      <c r="R292">
        <f t="shared" si="966"/>
        <v>16791658.409681402</v>
      </c>
      <c r="S292">
        <f t="shared" si="967"/>
        <v>167.91658409681403</v>
      </c>
      <c r="T292">
        <f t="shared" si="968"/>
        <v>0.16791658409681404</v>
      </c>
    </row>
    <row r="293" spans="1:20" x14ac:dyDescent="0.25">
      <c r="A293" s="5">
        <v>44300</v>
      </c>
      <c r="B293">
        <v>0.51842999999999995</v>
      </c>
      <c r="C293">
        <v>0.52800000000000002</v>
      </c>
      <c r="D293">
        <v>0.47499999999999998</v>
      </c>
      <c r="E293">
        <v>0.50256000000000001</v>
      </c>
      <c r="F293">
        <v>686868012.39999998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4.0000000000000167E-2</v>
      </c>
      <c r="Q293">
        <f t="shared" si="965"/>
        <v>27474720.496000115</v>
      </c>
      <c r="R293">
        <f t="shared" si="966"/>
        <v>81852428.523132265</v>
      </c>
      <c r="S293">
        <f t="shared" si="967"/>
        <v>818.52428523132266</v>
      </c>
      <c r="T293">
        <f t="shared" si="968"/>
        <v>0.8185242852313227</v>
      </c>
    </row>
    <row r="294" spans="1:20" x14ac:dyDescent="0.25">
      <c r="A294" s="5">
        <v>44299</v>
      </c>
      <c r="B294">
        <v>0.56786000000000003</v>
      </c>
      <c r="C294">
        <v>0.57499999999999996</v>
      </c>
      <c r="D294">
        <v>0.50065999999999999</v>
      </c>
      <c r="E294">
        <v>0.51844000000000001</v>
      </c>
      <c r="F294">
        <v>1020822553.7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-0.52165725047080902</v>
      </c>
      <c r="Q294">
        <f t="shared" si="965"/>
        <v>-532519486.5817318</v>
      </c>
      <c r="R294">
        <f t="shared" si="966"/>
        <v>54377708.027132154</v>
      </c>
      <c r="S294">
        <f t="shared" si="967"/>
        <v>543.77708027132155</v>
      </c>
      <c r="T294">
        <f t="shared" si="968"/>
        <v>0.54377708027132154</v>
      </c>
    </row>
    <row r="295" spans="1:20" x14ac:dyDescent="0.25">
      <c r="A295" s="5">
        <v>44298</v>
      </c>
      <c r="B295">
        <v>0.46466000000000002</v>
      </c>
      <c r="C295">
        <v>0.58852000000000004</v>
      </c>
      <c r="D295">
        <v>0.4572</v>
      </c>
      <c r="E295">
        <v>0.56820000000000004</v>
      </c>
      <c r="F295">
        <v>1268826676.7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0.69052695705147737</v>
      </c>
      <c r="Q295">
        <f t="shared" si="965"/>
        <v>876159024.08738971</v>
      </c>
      <c r="R295">
        <f t="shared" si="966"/>
        <v>586897194.60886395</v>
      </c>
      <c r="S295">
        <f t="shared" si="967"/>
        <v>5868.9719460886399</v>
      </c>
      <c r="T295">
        <f t="shared" si="968"/>
        <v>5.8689719460886396</v>
      </c>
    </row>
    <row r="296" spans="1:20" x14ac:dyDescent="0.25">
      <c r="A296" s="5">
        <v>44297</v>
      </c>
      <c r="B296">
        <v>0.46143000000000001</v>
      </c>
      <c r="C296">
        <v>0.48199999999999998</v>
      </c>
      <c r="D296">
        <v>0.43667</v>
      </c>
      <c r="E296">
        <v>0.46478999999999998</v>
      </c>
      <c r="F296">
        <v>374184142.89999998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0.24067946172512641</v>
      </c>
      <c r="Q296">
        <f t="shared" si="965"/>
        <v>90058438.09924978</v>
      </c>
      <c r="R296">
        <f t="shared" si="966"/>
        <v>-289261829.47852576</v>
      </c>
      <c r="S296">
        <f t="shared" si="967"/>
        <v>-2892.6182947852576</v>
      </c>
      <c r="T296">
        <f t="shared" si="968"/>
        <v>-2.8926182947852577</v>
      </c>
    </row>
    <row r="297" spans="1:20" x14ac:dyDescent="0.25">
      <c r="A297" s="5">
        <v>44296</v>
      </c>
      <c r="B297">
        <v>0.48277999999999999</v>
      </c>
      <c r="C297">
        <v>0.48299999999999998</v>
      </c>
      <c r="D297">
        <v>0.44444</v>
      </c>
      <c r="E297">
        <v>0.46167000000000002</v>
      </c>
      <c r="F297">
        <v>289480650.5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-0.10632780082987393</v>
      </c>
      <c r="Q297">
        <f t="shared" si="965"/>
        <v>-30779840.950466346</v>
      </c>
      <c r="R297">
        <f t="shared" si="966"/>
        <v>-379320267.57777554</v>
      </c>
      <c r="S297">
        <f t="shared" si="967"/>
        <v>-3793.2026757777553</v>
      </c>
      <c r="T297">
        <f t="shared" si="968"/>
        <v>-3.7932026757777555</v>
      </c>
    </row>
    <row r="298" spans="1:20" x14ac:dyDescent="0.25">
      <c r="A298" s="5">
        <v>44295</v>
      </c>
      <c r="B298">
        <v>0.48870999999999998</v>
      </c>
      <c r="C298">
        <v>0.50787000000000004</v>
      </c>
      <c r="D298">
        <v>0.46910000000000002</v>
      </c>
      <c r="E298">
        <v>0.48276999999999998</v>
      </c>
      <c r="F298">
        <v>473966556</v>
      </c>
      <c r="G298">
        <v>0</v>
      </c>
      <c r="L298" t="s">
        <v>7</v>
      </c>
      <c r="M298" t="s">
        <v>8</v>
      </c>
      <c r="N298" t="s">
        <v>8</v>
      </c>
      <c r="P298">
        <f t="shared" si="964"/>
        <v>-0.29481557905597366</v>
      </c>
      <c r="Q298">
        <f t="shared" si="965"/>
        <v>-139732724.66030556</v>
      </c>
      <c r="R298">
        <f t="shared" si="966"/>
        <v>-348540426.6273092</v>
      </c>
      <c r="S298">
        <f t="shared" si="967"/>
        <v>-3485.4042662730922</v>
      </c>
      <c r="T298">
        <f t="shared" si="968"/>
        <v>-3.485404266273092</v>
      </c>
    </row>
    <row r="299" spans="1:20" x14ac:dyDescent="0.25">
      <c r="A299" s="5">
        <v>44294</v>
      </c>
      <c r="B299">
        <v>0.45202999999999999</v>
      </c>
      <c r="C299">
        <v>0.53200000000000003</v>
      </c>
      <c r="D299">
        <v>0.43648999999999999</v>
      </c>
      <c r="E299">
        <v>0.48870999999999998</v>
      </c>
      <c r="F299">
        <v>1223925490.8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9.3498063030048525E-2</v>
      </c>
      <c r="Q299">
        <f t="shared" si="965"/>
        <v>114434662.68290147</v>
      </c>
      <c r="R299">
        <f t="shared" si="966"/>
        <v>-208807701.96700361</v>
      </c>
      <c r="S299">
        <f t="shared" si="967"/>
        <v>-2088.077019670036</v>
      </c>
      <c r="T299">
        <f t="shared" si="968"/>
        <v>-2.088077019670036</v>
      </c>
    </row>
    <row r="300" spans="1:20" x14ac:dyDescent="0.25">
      <c r="A300" s="5">
        <v>44293</v>
      </c>
      <c r="B300">
        <v>0.44651999999999997</v>
      </c>
      <c r="C300">
        <v>0.49481000000000003</v>
      </c>
      <c r="D300">
        <v>0.36637999999999998</v>
      </c>
      <c r="E300">
        <v>0.45156000000000002</v>
      </c>
      <c r="F300">
        <v>1215182935.8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0.32648135170910231</v>
      </c>
      <c r="Q300">
        <f t="shared" si="965"/>
        <v>396734567.45381927</v>
      </c>
      <c r="R300">
        <f t="shared" si="966"/>
        <v>-323242364.64990509</v>
      </c>
      <c r="S300">
        <f t="shared" si="967"/>
        <v>-3232.4236464990508</v>
      </c>
      <c r="T300">
        <f t="shared" si="968"/>
        <v>-3.232423646499051</v>
      </c>
    </row>
    <row r="301" spans="1:20" x14ac:dyDescent="0.25">
      <c r="A301" s="5">
        <v>44292</v>
      </c>
      <c r="B301">
        <v>0.45999000000000001</v>
      </c>
      <c r="C301">
        <v>0.47</v>
      </c>
      <c r="D301">
        <v>0.42394999999999999</v>
      </c>
      <c r="E301">
        <v>0.44652999999999998</v>
      </c>
      <c r="F301">
        <v>417783786.30000001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-1.9326818675352925E-2</v>
      </c>
      <c r="Q301">
        <f t="shared" si="965"/>
        <v>-8074431.4833224956</v>
      </c>
      <c r="R301">
        <f t="shared" si="966"/>
        <v>-719976932.10372436</v>
      </c>
      <c r="S301">
        <f t="shared" si="967"/>
        <v>-7199.7693210372436</v>
      </c>
      <c r="T301">
        <f t="shared" si="968"/>
        <v>-7.1997693210372438</v>
      </c>
    </row>
    <row r="302" spans="1:20" x14ac:dyDescent="0.25">
      <c r="A302" s="5">
        <v>44291</v>
      </c>
      <c r="B302">
        <v>0.48715000000000003</v>
      </c>
      <c r="C302">
        <v>0.49802999999999997</v>
      </c>
      <c r="D302">
        <v>0.45573000000000002</v>
      </c>
      <c r="E302">
        <v>0.46</v>
      </c>
      <c r="F302">
        <v>467877333</v>
      </c>
      <c r="G302">
        <v>0</v>
      </c>
      <c r="L302" t="s">
        <v>7</v>
      </c>
      <c r="M302" t="s">
        <v>7</v>
      </c>
      <c r="N302" t="s">
        <v>7</v>
      </c>
      <c r="P302">
        <f t="shared" si="964"/>
        <v>-0.79810874704491719</v>
      </c>
      <c r="Q302">
        <f t="shared" si="965"/>
        <v>-373416992.01134747</v>
      </c>
      <c r="R302">
        <f t="shared" si="966"/>
        <v>-711902500.62040186</v>
      </c>
      <c r="S302">
        <f t="shared" si="967"/>
        <v>-7119.0250062040186</v>
      </c>
      <c r="T302">
        <f t="shared" si="968"/>
        <v>-7.1190250062040183</v>
      </c>
    </row>
    <row r="303" spans="1:20" x14ac:dyDescent="0.25">
      <c r="A303" s="5">
        <v>44290</v>
      </c>
      <c r="B303">
        <v>0.45337</v>
      </c>
      <c r="C303">
        <v>0.54998999999999998</v>
      </c>
      <c r="D303">
        <v>0.44284000000000001</v>
      </c>
      <c r="E303">
        <v>0.48715000000000003</v>
      </c>
      <c r="F303">
        <v>923215010.79999995</v>
      </c>
      <c r="G303">
        <v>0</v>
      </c>
      <c r="L303" t="s">
        <v>8</v>
      </c>
      <c r="M303" t="s">
        <v>8</v>
      </c>
      <c r="N303" t="s">
        <v>7</v>
      </c>
      <c r="P303">
        <f t="shared" si="964"/>
        <v>-0.17293513765748894</v>
      </c>
      <c r="Q303">
        <f t="shared" si="965"/>
        <v>-159656314.98015812</v>
      </c>
      <c r="R303">
        <f t="shared" si="966"/>
        <v>-338485508.60905445</v>
      </c>
      <c r="S303">
        <f t="shared" si="967"/>
        <v>-3384.8550860905443</v>
      </c>
      <c r="T303">
        <f t="shared" si="968"/>
        <v>-3.3848550860905444</v>
      </c>
    </row>
    <row r="304" spans="1:20" x14ac:dyDescent="0.25">
      <c r="A304" s="5">
        <v>44289</v>
      </c>
      <c r="B304">
        <v>0.49281999999999998</v>
      </c>
      <c r="C304">
        <v>0.50739999999999996</v>
      </c>
      <c r="D304">
        <v>0.41567999999999999</v>
      </c>
      <c r="E304">
        <v>0.45335999999999999</v>
      </c>
      <c r="F304">
        <v>498253770.89999998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-0.17836894897514163</v>
      </c>
      <c r="Q304">
        <f t="shared" si="965"/>
        <v>-88873001.438334003</v>
      </c>
      <c r="R304">
        <f t="shared" si="966"/>
        <v>-178829193.62889636</v>
      </c>
      <c r="S304">
        <f t="shared" si="967"/>
        <v>-1788.2919362889636</v>
      </c>
      <c r="T304">
        <f t="shared" si="968"/>
        <v>-1.7882919362889635</v>
      </c>
    </row>
    <row r="305" spans="1:20" x14ac:dyDescent="0.25">
      <c r="A305" s="5">
        <v>44288</v>
      </c>
      <c r="B305">
        <v>0.48851</v>
      </c>
      <c r="C305">
        <v>0.52300000000000002</v>
      </c>
      <c r="D305">
        <v>0.48299999999999998</v>
      </c>
      <c r="E305">
        <v>0.49281999999999998</v>
      </c>
      <c r="F305">
        <v>402614208.19999999</v>
      </c>
      <c r="G305">
        <v>0</v>
      </c>
      <c r="L305" t="s">
        <v>8</v>
      </c>
      <c r="M305" t="s">
        <v>7</v>
      </c>
      <c r="N305" t="s">
        <v>7</v>
      </c>
      <c r="P305">
        <f t="shared" si="964"/>
        <v>-0.50900000000000067</v>
      </c>
      <c r="Q305">
        <f t="shared" si="965"/>
        <v>-204930631.97380027</v>
      </c>
      <c r="R305">
        <f t="shared" si="966"/>
        <v>-89956192.190562367</v>
      </c>
      <c r="S305">
        <f t="shared" si="967"/>
        <v>-899.56192190562365</v>
      </c>
      <c r="T305">
        <f t="shared" si="968"/>
        <v>-0.89956192190562367</v>
      </c>
    </row>
    <row r="306" spans="1:20" x14ac:dyDescent="0.25">
      <c r="A306" s="5">
        <v>44287</v>
      </c>
      <c r="B306">
        <v>0.50034000000000001</v>
      </c>
      <c r="C306">
        <v>0.50666</v>
      </c>
      <c r="D306">
        <v>0.47965999999999998</v>
      </c>
      <c r="E306">
        <v>0.48851</v>
      </c>
      <c r="F306">
        <v>272998615.39999998</v>
      </c>
      <c r="G306">
        <v>0</v>
      </c>
      <c r="L306" t="s">
        <v>8</v>
      </c>
      <c r="M306" t="s">
        <v>7</v>
      </c>
      <c r="N306" t="s">
        <v>7</v>
      </c>
      <c r="P306">
        <f t="shared" si="964"/>
        <v>-0.34444444444444322</v>
      </c>
      <c r="Q306">
        <f t="shared" si="965"/>
        <v>-94032856.415555209</v>
      </c>
      <c r="R306">
        <f t="shared" si="966"/>
        <v>114974439.7832379</v>
      </c>
      <c r="S306">
        <f t="shared" si="967"/>
        <v>1149.744397832379</v>
      </c>
      <c r="T306">
        <f t="shared" si="968"/>
        <v>1.1497443978323791</v>
      </c>
    </row>
    <row r="307" spans="1:20" x14ac:dyDescent="0.25">
      <c r="A307" s="5">
        <v>44286</v>
      </c>
      <c r="B307">
        <v>0.52566999999999997</v>
      </c>
      <c r="C307">
        <v>0.52900000000000003</v>
      </c>
      <c r="D307">
        <v>0.46529999999999999</v>
      </c>
      <c r="E307">
        <v>0.50034000000000001</v>
      </c>
      <c r="F307">
        <v>476097453.60000002</v>
      </c>
      <c r="G307">
        <v>0</v>
      </c>
      <c r="L307" t="s">
        <v>7</v>
      </c>
      <c r="M307" t="s">
        <v>7</v>
      </c>
      <c r="N307" t="s">
        <v>7</v>
      </c>
      <c r="P307">
        <f t="shared" si="964"/>
        <v>0.10015698587127148</v>
      </c>
      <c r="Q307">
        <f t="shared" si="965"/>
        <v>47684485.93356353</v>
      </c>
      <c r="R307">
        <f t="shared" si="966"/>
        <v>209007296.19879311</v>
      </c>
      <c r="S307">
        <f t="shared" si="967"/>
        <v>2090.0729619879312</v>
      </c>
      <c r="T307">
        <f t="shared" si="968"/>
        <v>2.0900729619879312</v>
      </c>
    </row>
    <row r="308" spans="1:20" x14ac:dyDescent="0.25">
      <c r="A308" s="5">
        <v>44285</v>
      </c>
      <c r="B308">
        <v>0.53</v>
      </c>
      <c r="C308">
        <v>0.54257</v>
      </c>
      <c r="D308">
        <v>0.51700000000000002</v>
      </c>
      <c r="E308">
        <v>0.52569999999999995</v>
      </c>
      <c r="F308">
        <v>438569249.5</v>
      </c>
      <c r="G308">
        <v>0</v>
      </c>
      <c r="L308" t="s">
        <v>7</v>
      </c>
      <c r="M308" t="s">
        <v>8</v>
      </c>
      <c r="N308" t="s">
        <v>7</v>
      </c>
      <c r="P308">
        <f t="shared" si="964"/>
        <v>-0.31951505670708358</v>
      </c>
      <c r="Q308">
        <f t="shared" si="965"/>
        <v>-140129478.62397557</v>
      </c>
      <c r="R308">
        <f t="shared" si="966"/>
        <v>161322810.26522958</v>
      </c>
      <c r="S308">
        <f t="shared" si="967"/>
        <v>1613.2281026522958</v>
      </c>
      <c r="T308">
        <f t="shared" si="968"/>
        <v>1.6132281026522959</v>
      </c>
    </row>
    <row r="309" spans="1:20" x14ac:dyDescent="0.25">
      <c r="A309" s="5">
        <v>44284</v>
      </c>
      <c r="B309">
        <v>0.54012000000000004</v>
      </c>
      <c r="C309">
        <v>0.54361999999999999</v>
      </c>
      <c r="D309">
        <v>0.51700000000000002</v>
      </c>
      <c r="E309">
        <v>0.52968999999999999</v>
      </c>
      <c r="F309">
        <v>352344813.80000001</v>
      </c>
      <c r="G309">
        <v>0</v>
      </c>
      <c r="L309" t="s">
        <v>7</v>
      </c>
      <c r="M309" t="s">
        <v>8</v>
      </c>
      <c r="N309" t="s">
        <v>7</v>
      </c>
      <c r="P309">
        <f t="shared" si="964"/>
        <v>-4.6581517655898567E-2</v>
      </c>
      <c r="Q309">
        <f t="shared" si="965"/>
        <v>-16412756.164988995</v>
      </c>
      <c r="R309">
        <f t="shared" si="966"/>
        <v>301452288.88920516</v>
      </c>
      <c r="S309">
        <f t="shared" si="967"/>
        <v>3014.5228888920515</v>
      </c>
      <c r="T309">
        <f t="shared" si="968"/>
        <v>3.0145228888920514</v>
      </c>
    </row>
    <row r="310" spans="1:20" x14ac:dyDescent="0.25">
      <c r="A310" s="5">
        <v>44283</v>
      </c>
      <c r="B310">
        <v>0.52298999999999995</v>
      </c>
      <c r="C310">
        <v>0.55849000000000004</v>
      </c>
      <c r="D310">
        <v>0.51090000000000002</v>
      </c>
      <c r="E310">
        <v>0.54015000000000002</v>
      </c>
      <c r="F310">
        <v>601432273.5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0.22924984240386573</v>
      </c>
      <c r="Q310">
        <f t="shared" si="965"/>
        <v>137878253.91647366</v>
      </c>
      <c r="R310">
        <f t="shared" si="966"/>
        <v>317865045.05419415</v>
      </c>
      <c r="S310">
        <f t="shared" si="967"/>
        <v>3178.6504505419416</v>
      </c>
      <c r="T310">
        <f t="shared" si="968"/>
        <v>3.1786504505419417</v>
      </c>
    </row>
    <row r="311" spans="1:20" x14ac:dyDescent="0.25">
      <c r="A311" s="5">
        <v>44282</v>
      </c>
      <c r="B311">
        <v>0.51585000000000003</v>
      </c>
      <c r="C311">
        <v>0.54749999999999999</v>
      </c>
      <c r="D311">
        <v>0.49023</v>
      </c>
      <c r="E311">
        <v>0.52298999999999995</v>
      </c>
      <c r="F311">
        <v>539200512.79999995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0.14405447878470273</v>
      </c>
      <c r="Q311">
        <f t="shared" si="965"/>
        <v>77674248.831848428</v>
      </c>
      <c r="R311">
        <f t="shared" si="966"/>
        <v>179986791.1377205</v>
      </c>
      <c r="S311">
        <f t="shared" si="967"/>
        <v>1799.867911377205</v>
      </c>
      <c r="T311">
        <f t="shared" si="968"/>
        <v>1.7998679113772049</v>
      </c>
    </row>
    <row r="312" spans="1:20" x14ac:dyDescent="0.25">
      <c r="A312" s="5">
        <v>44281</v>
      </c>
      <c r="B312">
        <v>0.48277999999999999</v>
      </c>
      <c r="C312">
        <v>0.53332000000000002</v>
      </c>
      <c r="D312">
        <v>0.48011999999999999</v>
      </c>
      <c r="E312">
        <v>0.51554</v>
      </c>
      <c r="F312">
        <v>644968630.89999998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0.3315789473684207</v>
      </c>
      <c r="Q312">
        <f t="shared" si="965"/>
        <v>213858019.71947345</v>
      </c>
      <c r="R312">
        <f t="shared" si="966"/>
        <v>102312542.30587207</v>
      </c>
      <c r="S312">
        <f t="shared" si="967"/>
        <v>1023.1254230587207</v>
      </c>
      <c r="T312">
        <f t="shared" si="968"/>
        <v>1.0231254230587208</v>
      </c>
    </row>
    <row r="313" spans="1:20" x14ac:dyDescent="0.25">
      <c r="A313" s="5">
        <v>44280</v>
      </c>
      <c r="B313">
        <v>0.48268</v>
      </c>
      <c r="C313">
        <v>0.50288999999999995</v>
      </c>
      <c r="D313">
        <v>0.45412999999999998</v>
      </c>
      <c r="E313">
        <v>0.48285</v>
      </c>
      <c r="F313">
        <v>509392872.10000002</v>
      </c>
      <c r="G313">
        <v>0</v>
      </c>
      <c r="L313" t="s">
        <v>8</v>
      </c>
      <c r="M313" t="s">
        <v>7</v>
      </c>
      <c r="N313" t="s">
        <v>7</v>
      </c>
      <c r="P313">
        <f t="shared" si="964"/>
        <v>0.17801476620180642</v>
      </c>
      <c r="Q313">
        <f t="shared" si="965"/>
        <v>90679453.031748191</v>
      </c>
      <c r="R313">
        <f t="shared" si="966"/>
        <v>-111545477.41360138</v>
      </c>
      <c r="S313">
        <f t="shared" si="967"/>
        <v>-1115.4547741360138</v>
      </c>
      <c r="T313">
        <f t="shared" si="968"/>
        <v>-1.1154547741360139</v>
      </c>
    </row>
    <row r="314" spans="1:20" x14ac:dyDescent="0.25">
      <c r="A314" s="5">
        <v>44279</v>
      </c>
      <c r="B314">
        <v>0.50719999999999998</v>
      </c>
      <c r="C314">
        <v>0.56106</v>
      </c>
      <c r="D314">
        <v>0.45</v>
      </c>
      <c r="E314">
        <v>0.48221000000000003</v>
      </c>
      <c r="F314">
        <v>775405880.20000005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-0.41995317846209224</v>
      </c>
      <c r="Q314">
        <f t="shared" si="965"/>
        <v>-325634163.98818636</v>
      </c>
      <c r="R314">
        <f t="shared" si="966"/>
        <v>-202224930.44534957</v>
      </c>
      <c r="S314">
        <f t="shared" si="967"/>
        <v>-2022.2493044534958</v>
      </c>
      <c r="T314">
        <f t="shared" si="968"/>
        <v>-2.0222493044534957</v>
      </c>
    </row>
    <row r="315" spans="1:20" x14ac:dyDescent="0.25">
      <c r="A315" s="5">
        <v>44278</v>
      </c>
      <c r="B315">
        <v>0.50827</v>
      </c>
      <c r="C315">
        <v>0.53766999999999998</v>
      </c>
      <c r="D315">
        <v>0.47399999999999998</v>
      </c>
      <c r="E315">
        <v>0.50799000000000005</v>
      </c>
      <c r="F315">
        <v>589720344.89999998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6.7692790953355536E-2</v>
      </c>
      <c r="Q315">
        <f t="shared" si="965"/>
        <v>39919816.028256424</v>
      </c>
      <c r="R315">
        <f t="shared" si="966"/>
        <v>123409233.54283679</v>
      </c>
      <c r="S315">
        <f t="shared" si="967"/>
        <v>1234.092335428368</v>
      </c>
      <c r="T315">
        <f t="shared" si="968"/>
        <v>1.2340923354283679</v>
      </c>
    </row>
    <row r="316" spans="1:20" x14ac:dyDescent="0.25">
      <c r="A316" s="5">
        <v>44277</v>
      </c>
      <c r="B316">
        <v>0.55478000000000005</v>
      </c>
      <c r="C316">
        <v>0.56496999999999997</v>
      </c>
      <c r="D316">
        <v>0.49390000000000001</v>
      </c>
      <c r="E316">
        <v>0.50792999999999999</v>
      </c>
      <c r="F316">
        <v>489412351.10000002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-0.60517799352750823</v>
      </c>
      <c r="Q316">
        <f t="shared" si="965"/>
        <v>-296181584.64627838</v>
      </c>
      <c r="R316">
        <f t="shared" si="966"/>
        <v>83489417.514580369</v>
      </c>
      <c r="S316">
        <f t="shared" si="967"/>
        <v>834.89417514580373</v>
      </c>
      <c r="T316">
        <f t="shared" si="968"/>
        <v>0.83489417514580377</v>
      </c>
    </row>
    <row r="317" spans="1:20" x14ac:dyDescent="0.25">
      <c r="A317" s="5">
        <v>44276</v>
      </c>
      <c r="B317">
        <v>0.54488000000000003</v>
      </c>
      <c r="C317">
        <v>0.59899999999999998</v>
      </c>
      <c r="D317">
        <v>0.53180000000000005</v>
      </c>
      <c r="E317">
        <v>0.55498000000000003</v>
      </c>
      <c r="F317">
        <v>694155847.29999995</v>
      </c>
      <c r="G317">
        <v>0</v>
      </c>
      <c r="L317" t="s">
        <v>8</v>
      </c>
      <c r="M317" t="s">
        <v>7</v>
      </c>
      <c r="N317" t="s">
        <v>8</v>
      </c>
      <c r="P317">
        <f t="shared" si="964"/>
        <v>-0.31011904761904752</v>
      </c>
      <c r="Q317">
        <f t="shared" si="965"/>
        <v>-215270950.26386896</v>
      </c>
      <c r="R317">
        <f t="shared" si="966"/>
        <v>379671002.16085875</v>
      </c>
      <c r="S317">
        <f t="shared" si="967"/>
        <v>3796.7100216085873</v>
      </c>
      <c r="T317">
        <f t="shared" si="968"/>
        <v>3.7967100216085874</v>
      </c>
    </row>
    <row r="318" spans="1:20" x14ac:dyDescent="0.25">
      <c r="A318" s="5">
        <v>44275</v>
      </c>
      <c r="B318">
        <v>0.60424999999999995</v>
      </c>
      <c r="C318">
        <v>0.61719000000000002</v>
      </c>
      <c r="D318">
        <v>0.53415999999999997</v>
      </c>
      <c r="E318">
        <v>0.54493999999999998</v>
      </c>
      <c r="F318">
        <v>722436346</v>
      </c>
      <c r="G318">
        <v>0</v>
      </c>
      <c r="L318" t="s">
        <v>7</v>
      </c>
      <c r="M318" t="s">
        <v>7</v>
      </c>
      <c r="N318" t="s">
        <v>8</v>
      </c>
      <c r="P318">
        <f t="shared" si="964"/>
        <v>-0.74033481874021423</v>
      </c>
      <c r="Q318">
        <f t="shared" si="965"/>
        <v>-534844781.26725268</v>
      </c>
      <c r="R318">
        <f t="shared" si="966"/>
        <v>594941952.42472768</v>
      </c>
      <c r="S318">
        <f t="shared" si="967"/>
        <v>5949.419524247277</v>
      </c>
      <c r="T318">
        <f t="shared" si="968"/>
        <v>5.9494195242472774</v>
      </c>
    </row>
    <row r="319" spans="1:20" x14ac:dyDescent="0.25">
      <c r="A319" s="5">
        <v>44274</v>
      </c>
      <c r="B319">
        <v>0.63773000000000002</v>
      </c>
      <c r="C319">
        <v>0.71399999999999997</v>
      </c>
      <c r="D319">
        <v>0.58535999999999999</v>
      </c>
      <c r="E319">
        <v>0.60424999999999995</v>
      </c>
      <c r="F319">
        <v>1377243312.5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-0.70631218905472692</v>
      </c>
      <c r="Q319">
        <f t="shared" si="965"/>
        <v>-972763738.91285837</v>
      </c>
      <c r="R319">
        <f t="shared" si="966"/>
        <v>1129786733.6919804</v>
      </c>
      <c r="S319">
        <f t="shared" si="967"/>
        <v>11297.867336919804</v>
      </c>
      <c r="T319">
        <f t="shared" si="968"/>
        <v>11.297867336919804</v>
      </c>
    </row>
    <row r="320" spans="1:20" x14ac:dyDescent="0.25">
      <c r="A320" s="5">
        <v>44273</v>
      </c>
      <c r="B320">
        <v>0.57991000000000004</v>
      </c>
      <c r="C320">
        <v>0.67235</v>
      </c>
      <c r="D320">
        <v>0.56399999999999995</v>
      </c>
      <c r="E320">
        <v>0.63724000000000003</v>
      </c>
      <c r="F320">
        <v>1317234547.8</v>
      </c>
      <c r="G320">
        <v>0</v>
      </c>
      <c r="L320" t="s">
        <v>8</v>
      </c>
      <c r="M320" t="s">
        <v>8</v>
      </c>
      <c r="N320" t="s">
        <v>7</v>
      </c>
      <c r="P320">
        <f t="shared" si="964"/>
        <v>0.35191508998615678</v>
      </c>
      <c r="Q320">
        <f t="shared" si="965"/>
        <v>463554714.42191154</v>
      </c>
      <c r="R320">
        <f t="shared" si="966"/>
        <v>2102550472.6048388</v>
      </c>
      <c r="S320">
        <f t="shared" si="967"/>
        <v>21025.504726048388</v>
      </c>
      <c r="T320">
        <f t="shared" si="968"/>
        <v>21.025504726048389</v>
      </c>
    </row>
    <row r="321" spans="1:20" x14ac:dyDescent="0.25">
      <c r="A321" s="5">
        <v>44272</v>
      </c>
      <c r="B321">
        <v>0.52034999999999998</v>
      </c>
      <c r="C321">
        <v>0.61609999999999998</v>
      </c>
      <c r="D321">
        <v>0.47899999999999998</v>
      </c>
      <c r="E321">
        <v>0.58013000000000003</v>
      </c>
      <c r="F321">
        <v>1700501764.2</v>
      </c>
      <c r="G321">
        <v>0</v>
      </c>
      <c r="L321" t="s">
        <v>8</v>
      </c>
      <c r="M321" t="s">
        <v>8</v>
      </c>
      <c r="N321" t="s">
        <v>7</v>
      </c>
      <c r="P321">
        <f t="shared" si="964"/>
        <v>0.47527352297593078</v>
      </c>
      <c r="Q321">
        <f t="shared" si="965"/>
        <v>808203464.29811954</v>
      </c>
      <c r="R321">
        <f t="shared" si="966"/>
        <v>1638995758.1829274</v>
      </c>
      <c r="S321">
        <f t="shared" si="967"/>
        <v>16389.957581829272</v>
      </c>
      <c r="T321">
        <f t="shared" si="968"/>
        <v>16.389957581829272</v>
      </c>
    </row>
    <row r="322" spans="1:20" x14ac:dyDescent="0.25">
      <c r="A322" s="5">
        <v>44271</v>
      </c>
      <c r="B322">
        <v>0.60562000000000005</v>
      </c>
      <c r="C322">
        <v>0.61429999999999996</v>
      </c>
      <c r="D322">
        <v>0.47144000000000003</v>
      </c>
      <c r="E322">
        <v>0.52002000000000004</v>
      </c>
      <c r="F322">
        <v>1589859195.0999999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-0.31989360212795692</v>
      </c>
      <c r="Q322">
        <f t="shared" si="965"/>
        <v>-508585784.79679322</v>
      </c>
      <c r="R322">
        <f t="shared" si="966"/>
        <v>830792293.88480783</v>
      </c>
      <c r="S322">
        <f t="shared" si="967"/>
        <v>8307.922938848078</v>
      </c>
      <c r="T322">
        <f t="shared" si="968"/>
        <v>8.307922938848078</v>
      </c>
    </row>
    <row r="323" spans="1:20" x14ac:dyDescent="0.25">
      <c r="A323" s="5">
        <v>44270</v>
      </c>
      <c r="B323">
        <v>0.65329000000000004</v>
      </c>
      <c r="C323">
        <v>0.68688000000000005</v>
      </c>
      <c r="D323">
        <v>0.58579999999999999</v>
      </c>
      <c r="E323">
        <v>0.60555999999999999</v>
      </c>
      <c r="F323">
        <v>1235015431.8</v>
      </c>
      <c r="G323">
        <v>0</v>
      </c>
      <c r="L323" t="s">
        <v>8</v>
      </c>
      <c r="M323" t="s">
        <v>7</v>
      </c>
      <c r="N323" t="s">
        <v>7</v>
      </c>
      <c r="P323">
        <f t="shared" si="964"/>
        <v>-0.60902255639097769</v>
      </c>
      <c r="Q323">
        <f t="shared" si="965"/>
        <v>-752152255.45714319</v>
      </c>
      <c r="R323">
        <f t="shared" si="966"/>
        <v>1339378078.681601</v>
      </c>
      <c r="S323">
        <f t="shared" si="967"/>
        <v>13393.780786816011</v>
      </c>
      <c r="T323">
        <f t="shared" si="968"/>
        <v>13.393780786816011</v>
      </c>
    </row>
    <row r="324" spans="1:20" x14ac:dyDescent="0.25">
      <c r="A324" s="5">
        <v>44269</v>
      </c>
      <c r="B324">
        <v>0.60128999999999999</v>
      </c>
      <c r="C324">
        <v>0.75990000000000002</v>
      </c>
      <c r="D324">
        <v>0.56699999999999995</v>
      </c>
      <c r="E324">
        <v>0.65264999999999995</v>
      </c>
      <c r="F324">
        <v>2110090949.5</v>
      </c>
      <c r="G324">
        <v>0</v>
      </c>
      <c r="L324" t="s">
        <v>7</v>
      </c>
      <c r="M324" t="s">
        <v>8</v>
      </c>
      <c r="N324" t="s">
        <v>7</v>
      </c>
      <c r="P324">
        <f t="shared" si="964"/>
        <v>-0.11197511664074679</v>
      </c>
      <c r="Q324">
        <f t="shared" si="965"/>
        <v>-236277680.19284666</v>
      </c>
      <c r="R324">
        <f t="shared" si="966"/>
        <v>2091530334.1387444</v>
      </c>
      <c r="S324">
        <f t="shared" si="967"/>
        <v>20915.303341387444</v>
      </c>
      <c r="T324">
        <f t="shared" si="968"/>
        <v>20.915303341387443</v>
      </c>
    </row>
    <row r="325" spans="1:20" x14ac:dyDescent="0.25">
      <c r="A325" s="5">
        <v>44268</v>
      </c>
      <c r="B325">
        <v>0.72770999999999997</v>
      </c>
      <c r="C325">
        <v>0.88888</v>
      </c>
      <c r="D325">
        <v>0.58118000000000003</v>
      </c>
      <c r="E325">
        <v>0.60128999999999999</v>
      </c>
      <c r="F325">
        <v>3438397729.1999998</v>
      </c>
      <c r="G325">
        <v>0</v>
      </c>
      <c r="L325" t="s">
        <v>7</v>
      </c>
      <c r="M325" t="s">
        <v>7</v>
      </c>
      <c r="N325" t="s">
        <v>7</v>
      </c>
      <c r="P325">
        <f t="shared" si="964"/>
        <v>-0.86928826779330537</v>
      </c>
      <c r="Q325">
        <f t="shared" si="965"/>
        <v>-2988958806.0007024</v>
      </c>
      <c r="R325">
        <f t="shared" si="966"/>
        <v>2327808014.3315911</v>
      </c>
      <c r="S325">
        <f t="shared" si="967"/>
        <v>23278.08014331591</v>
      </c>
      <c r="T325">
        <f t="shared" si="968"/>
        <v>23.278080143315911</v>
      </c>
    </row>
    <row r="326" spans="1:20" x14ac:dyDescent="0.25">
      <c r="A326" s="5">
        <v>44267</v>
      </c>
      <c r="B326">
        <v>0.35769000000000001</v>
      </c>
      <c r="C326">
        <v>0.94489999999999996</v>
      </c>
      <c r="D326">
        <v>0.35533999999999999</v>
      </c>
      <c r="E326">
        <v>0.72770999999999997</v>
      </c>
      <c r="F326">
        <v>5376186539.6999998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0.26321324377501865</v>
      </c>
      <c r="Q326">
        <f t="shared" ref="Q326:Q389" si="970">F326*P326</f>
        <v>1415083498.25403</v>
      </c>
      <c r="R326">
        <f t="shared" ref="R326:R389" si="971">R327+Q326</f>
        <v>5316766820.3322935</v>
      </c>
      <c r="S326">
        <f t="shared" ref="S326:S389" si="972">R326/100000</f>
        <v>53167.668203322937</v>
      </c>
      <c r="T326">
        <f t="shared" ref="T326:T389" si="973">S326/1000</f>
        <v>53.16766820332294</v>
      </c>
    </row>
    <row r="327" spans="1:20" x14ac:dyDescent="0.25">
      <c r="A327" s="5">
        <v>44266</v>
      </c>
      <c r="B327">
        <v>0.24878500000000001</v>
      </c>
      <c r="C327">
        <v>0.43</v>
      </c>
      <c r="D327">
        <v>0.24510000000000001</v>
      </c>
      <c r="E327">
        <v>0.35769000000000001</v>
      </c>
      <c r="F327">
        <v>3202256719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0.21784748512709581</v>
      </c>
      <c r="Q327">
        <f t="shared" si="970"/>
        <v>697603572.96549511</v>
      </c>
      <c r="R327">
        <f t="shared" si="971"/>
        <v>3901683322.0782633</v>
      </c>
      <c r="S327">
        <f t="shared" si="972"/>
        <v>39016.833220782632</v>
      </c>
      <c r="T327">
        <f t="shared" si="973"/>
        <v>39.01683322078263</v>
      </c>
    </row>
    <row r="328" spans="1:20" x14ac:dyDescent="0.25">
      <c r="A328" s="5">
        <v>44265</v>
      </c>
      <c r="B328">
        <v>0.26672000000000001</v>
      </c>
      <c r="C328">
        <v>0.28000000000000003</v>
      </c>
      <c r="D328">
        <v>0.23499999999999999</v>
      </c>
      <c r="E328">
        <v>0.248614</v>
      </c>
      <c r="F328">
        <v>2071644281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-0.39493333333333319</v>
      </c>
      <c r="Q328">
        <f t="shared" si="970"/>
        <v>-818161381.37626636</v>
      </c>
      <c r="R328">
        <f t="shared" si="971"/>
        <v>3204079749.1127682</v>
      </c>
      <c r="S328">
        <f t="shared" si="972"/>
        <v>32040.797491127683</v>
      </c>
      <c r="T328">
        <f t="shared" si="973"/>
        <v>32.040797491127684</v>
      </c>
    </row>
    <row r="329" spans="1:20" x14ac:dyDescent="0.25">
      <c r="A329" s="5">
        <v>44264</v>
      </c>
      <c r="B329">
        <v>0.21895700000000001</v>
      </c>
      <c r="C329">
        <v>0.317</v>
      </c>
      <c r="D329">
        <v>0.21895700000000001</v>
      </c>
      <c r="E329">
        <v>0.26696700000000001</v>
      </c>
      <c r="F329">
        <v>5536031488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-2.0633803535183515E-2</v>
      </c>
      <c r="Q329">
        <f t="shared" si="970"/>
        <v>-114229386.08798166</v>
      </c>
      <c r="R329">
        <f t="shared" si="971"/>
        <v>4022241130.4890347</v>
      </c>
      <c r="S329">
        <f t="shared" si="972"/>
        <v>40222.411304890345</v>
      </c>
      <c r="T329">
        <f t="shared" si="973"/>
        <v>40.222411304890343</v>
      </c>
    </row>
    <row r="330" spans="1:20" x14ac:dyDescent="0.25">
      <c r="A330" s="5">
        <v>44263</v>
      </c>
      <c r="B330">
        <v>0.128357</v>
      </c>
      <c r="C330">
        <v>0.24399999999999999</v>
      </c>
      <c r="D330">
        <v>0.12817000000000001</v>
      </c>
      <c r="E330">
        <v>0.21924199999999999</v>
      </c>
      <c r="F330">
        <v>5489544243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0.57251143917810576</v>
      </c>
      <c r="Q330">
        <f t="shared" si="970"/>
        <v>3142826874.9918151</v>
      </c>
      <c r="R330">
        <f t="shared" si="971"/>
        <v>4136470516.5770164</v>
      </c>
      <c r="S330">
        <f t="shared" si="972"/>
        <v>41364.705165770167</v>
      </c>
      <c r="T330">
        <f t="shared" si="973"/>
        <v>41.364705165770168</v>
      </c>
    </row>
    <row r="331" spans="1:20" x14ac:dyDescent="0.25">
      <c r="A331" s="5">
        <v>44262</v>
      </c>
      <c r="B331">
        <v>0.112958</v>
      </c>
      <c r="C331">
        <v>0.142732</v>
      </c>
      <c r="D331">
        <v>0.1129</v>
      </c>
      <c r="E331">
        <v>0.12826000000000001</v>
      </c>
      <c r="F331">
        <v>2395192461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2.9766693483508574E-2</v>
      </c>
      <c r="Q331">
        <f t="shared" si="970"/>
        <v>71296959.820597559</v>
      </c>
      <c r="R331">
        <f t="shared" si="971"/>
        <v>993643641.58520138</v>
      </c>
      <c r="S331">
        <f t="shared" si="972"/>
        <v>9936.4364158520129</v>
      </c>
      <c r="T331">
        <f t="shared" si="973"/>
        <v>9.9364364158520129</v>
      </c>
    </row>
    <row r="332" spans="1:20" x14ac:dyDescent="0.25">
      <c r="A332" s="5">
        <v>44261</v>
      </c>
      <c r="B332">
        <v>0.11057699999999999</v>
      </c>
      <c r="C332">
        <v>0.118635</v>
      </c>
      <c r="D332">
        <v>0.10040499999999999</v>
      </c>
      <c r="E332">
        <v>0.11302</v>
      </c>
      <c r="F332">
        <v>1579349524</v>
      </c>
      <c r="G332">
        <v>0</v>
      </c>
      <c r="L332" t="s">
        <v>7</v>
      </c>
      <c r="M332" t="s">
        <v>7</v>
      </c>
      <c r="N332" t="s">
        <v>7</v>
      </c>
      <c r="P332">
        <f t="shared" si="969"/>
        <v>0.38398244651673002</v>
      </c>
      <c r="Q332">
        <f t="shared" si="970"/>
        <v>606442494.13055301</v>
      </c>
      <c r="R332">
        <f t="shared" si="971"/>
        <v>922346681.76460385</v>
      </c>
      <c r="S332">
        <f t="shared" si="972"/>
        <v>9223.4668176460382</v>
      </c>
      <c r="T332">
        <f t="shared" si="973"/>
        <v>9.2234668176460382</v>
      </c>
    </row>
    <row r="333" spans="1:20" x14ac:dyDescent="0.25">
      <c r="A333" s="5">
        <v>44260</v>
      </c>
      <c r="B333">
        <v>0.11824900000000001</v>
      </c>
      <c r="C333">
        <v>0.13919999999999999</v>
      </c>
      <c r="D333">
        <v>0.107181</v>
      </c>
      <c r="E333">
        <v>0.11058800000000001</v>
      </c>
      <c r="F333">
        <v>2805032794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-0.78718885661638349</v>
      </c>
      <c r="Q333">
        <f t="shared" si="970"/>
        <v>-2208090557.8803196</v>
      </c>
      <c r="R333">
        <f t="shared" si="971"/>
        <v>315904187.63405085</v>
      </c>
      <c r="S333">
        <f t="shared" si="972"/>
        <v>3159.0418763405087</v>
      </c>
      <c r="T333">
        <f t="shared" si="973"/>
        <v>3.1590418763405088</v>
      </c>
    </row>
    <row r="334" spans="1:20" x14ac:dyDescent="0.25">
      <c r="A334" s="5">
        <v>44259</v>
      </c>
      <c r="B334">
        <v>8.5375999999999994E-2</v>
      </c>
      <c r="C334">
        <v>0.155004</v>
      </c>
      <c r="D334">
        <v>8.1740999999999994E-2</v>
      </c>
      <c r="E334">
        <v>0.11824999999999999</v>
      </c>
      <c r="F334">
        <v>6089383545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-3.3441164025498418E-3</v>
      </c>
      <c r="Q334">
        <f t="shared" si="970"/>
        <v>-20363607.394251604</v>
      </c>
      <c r="R334">
        <f t="shared" si="971"/>
        <v>2523994745.5143704</v>
      </c>
      <c r="S334">
        <f t="shared" si="972"/>
        <v>25239.947455143705</v>
      </c>
      <c r="T334">
        <f t="shared" si="973"/>
        <v>25.239947455143707</v>
      </c>
    </row>
    <row r="335" spans="1:20" x14ac:dyDescent="0.25">
      <c r="A335" s="5">
        <v>44258</v>
      </c>
      <c r="B335">
        <v>6.4860000000000001E-2</v>
      </c>
      <c r="C335">
        <v>9.2999999999999999E-2</v>
      </c>
      <c r="D335">
        <v>6.3770999999999994E-2</v>
      </c>
      <c r="E335">
        <v>8.5260000000000002E-2</v>
      </c>
      <c r="F335">
        <v>2760259821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0.47038899722877991</v>
      </c>
      <c r="Q335">
        <f t="shared" si="970"/>
        <v>1298395849.2910814</v>
      </c>
      <c r="R335">
        <f t="shared" si="971"/>
        <v>2544358352.9086223</v>
      </c>
      <c r="S335">
        <f t="shared" si="972"/>
        <v>25443.583529086223</v>
      </c>
      <c r="T335">
        <f t="shared" si="973"/>
        <v>25.443583529086222</v>
      </c>
    </row>
    <row r="336" spans="1:20" x14ac:dyDescent="0.25">
      <c r="A336" s="5">
        <v>44257</v>
      </c>
      <c r="B336">
        <v>5.6305000000000001E-2</v>
      </c>
      <c r="C336">
        <v>6.9599999999999995E-2</v>
      </c>
      <c r="D336">
        <v>5.3414000000000003E-2</v>
      </c>
      <c r="E336">
        <v>6.4979999999999996E-2</v>
      </c>
      <c r="F336">
        <v>1730263934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0.42913629062152459</v>
      </c>
      <c r="Q336">
        <f t="shared" si="970"/>
        <v>742519046.43296647</v>
      </c>
      <c r="R336">
        <f t="shared" si="971"/>
        <v>1245962503.6175408</v>
      </c>
      <c r="S336">
        <f t="shared" si="972"/>
        <v>12459.625036175408</v>
      </c>
      <c r="T336">
        <f t="shared" si="973"/>
        <v>12.459625036175408</v>
      </c>
    </row>
    <row r="337" spans="1:20" x14ac:dyDescent="0.25">
      <c r="A337" s="5">
        <v>44256</v>
      </c>
      <c r="B337">
        <v>5.0735000000000002E-2</v>
      </c>
      <c r="C337">
        <v>5.6399999999999999E-2</v>
      </c>
      <c r="D337">
        <v>4.9854000000000002E-2</v>
      </c>
      <c r="E337">
        <v>5.6377999999999998E-2</v>
      </c>
      <c r="F337">
        <v>532918658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0.99327833791628439</v>
      </c>
      <c r="Q337">
        <f t="shared" si="970"/>
        <v>529336558.86281681</v>
      </c>
      <c r="R337">
        <f t="shared" si="971"/>
        <v>503443457.18457431</v>
      </c>
      <c r="S337">
        <f t="shared" si="972"/>
        <v>5034.4345718457434</v>
      </c>
      <c r="T337">
        <f t="shared" si="973"/>
        <v>5.0344345718457433</v>
      </c>
    </row>
    <row r="338" spans="1:20" x14ac:dyDescent="0.25">
      <c r="A338" s="5">
        <v>44255</v>
      </c>
      <c r="B338">
        <v>5.2777999999999999E-2</v>
      </c>
      <c r="C338">
        <v>5.3983999999999997E-2</v>
      </c>
      <c r="D338">
        <v>4.6557000000000001E-2</v>
      </c>
      <c r="E338">
        <v>5.0736999999999997E-2</v>
      </c>
      <c r="F338">
        <v>569840045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0.12562272788474443</v>
      </c>
      <c r="Q338">
        <f t="shared" si="970"/>
        <v>71584860.91086553</v>
      </c>
      <c r="R338">
        <f t="shared" si="971"/>
        <v>-25893101.678242519</v>
      </c>
      <c r="S338">
        <f t="shared" si="972"/>
        <v>-258.93101678242522</v>
      </c>
      <c r="T338">
        <f t="shared" si="973"/>
        <v>-0.25893101678242519</v>
      </c>
    </row>
    <row r="339" spans="1:20" x14ac:dyDescent="0.25">
      <c r="A339" s="5">
        <v>44254</v>
      </c>
      <c r="B339">
        <v>5.0494999999999998E-2</v>
      </c>
      <c r="C339">
        <v>6.0795000000000002E-2</v>
      </c>
      <c r="D339">
        <v>5.0014000000000003E-2</v>
      </c>
      <c r="E339">
        <v>5.2865000000000002E-2</v>
      </c>
      <c r="F339">
        <v>747825226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-0.47110657638437997</v>
      </c>
      <c r="Q339">
        <f t="shared" si="970"/>
        <v>-352305381.95473522</v>
      </c>
      <c r="R339">
        <f t="shared" si="971"/>
        <v>-97477962.58910805</v>
      </c>
      <c r="S339">
        <f t="shared" si="972"/>
        <v>-974.77962589108051</v>
      </c>
      <c r="T339">
        <f t="shared" si="973"/>
        <v>-0.97477962589108047</v>
      </c>
    </row>
    <row r="340" spans="1:20" x14ac:dyDescent="0.25">
      <c r="A340" s="5">
        <v>44253</v>
      </c>
      <c r="B340">
        <v>4.9988999999999999E-2</v>
      </c>
      <c r="C340">
        <v>5.45E-2</v>
      </c>
      <c r="D340">
        <v>4.6511999999999998E-2</v>
      </c>
      <c r="E340">
        <v>5.0499000000000002E-2</v>
      </c>
      <c r="F340">
        <v>763234611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-1.752628943414269E-3</v>
      </c>
      <c r="Q340">
        <f t="shared" si="970"/>
        <v>-1337667.0698541307</v>
      </c>
      <c r="R340">
        <f t="shared" si="971"/>
        <v>254827419.36562717</v>
      </c>
      <c r="S340">
        <f t="shared" si="972"/>
        <v>2548.2741936562716</v>
      </c>
      <c r="T340">
        <f t="shared" si="973"/>
        <v>2.5482741936562716</v>
      </c>
    </row>
    <row r="341" spans="1:20" x14ac:dyDescent="0.25">
      <c r="A341" s="5">
        <v>44252</v>
      </c>
      <c r="B341">
        <v>5.0878E-2</v>
      </c>
      <c r="C341">
        <v>6.2E-2</v>
      </c>
      <c r="D341">
        <v>4.9251000000000003E-2</v>
      </c>
      <c r="E341">
        <v>4.9988999999999999E-2</v>
      </c>
      <c r="F341">
        <v>1532306754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-0.88422621382069244</v>
      </c>
      <c r="Q341">
        <f t="shared" si="970"/>
        <v>-1354905799.5012951</v>
      </c>
      <c r="R341">
        <f t="shared" si="971"/>
        <v>256165086.43548131</v>
      </c>
      <c r="S341">
        <f t="shared" si="972"/>
        <v>2561.6508643548132</v>
      </c>
      <c r="T341">
        <f t="shared" si="973"/>
        <v>2.5616508643548133</v>
      </c>
    </row>
    <row r="342" spans="1:20" x14ac:dyDescent="0.25">
      <c r="A342" s="5">
        <v>44251</v>
      </c>
      <c r="B342">
        <v>4.2257999999999997E-2</v>
      </c>
      <c r="C342">
        <v>5.7569000000000002E-2</v>
      </c>
      <c r="D342">
        <v>3.8714999999999999E-2</v>
      </c>
      <c r="E342">
        <v>5.0878E-2</v>
      </c>
      <c r="F342">
        <v>1849320270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0.29023018988013138</v>
      </c>
      <c r="Q342">
        <f t="shared" si="970"/>
        <v>536728573.11127585</v>
      </c>
      <c r="R342">
        <f t="shared" si="971"/>
        <v>1611070885.9367764</v>
      </c>
      <c r="S342">
        <f t="shared" si="972"/>
        <v>16110.708859367764</v>
      </c>
      <c r="T342">
        <f t="shared" si="973"/>
        <v>16.110708859367765</v>
      </c>
    </row>
    <row r="343" spans="1:20" x14ac:dyDescent="0.25">
      <c r="A343" s="5">
        <v>44250</v>
      </c>
      <c r="B343">
        <v>4.7799000000000001E-2</v>
      </c>
      <c r="C343">
        <v>4.922E-2</v>
      </c>
      <c r="D343">
        <v>3.2467999999999997E-2</v>
      </c>
      <c r="E343">
        <v>4.2261E-2</v>
      </c>
      <c r="F343">
        <v>823527618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0.16917382999044905</v>
      </c>
      <c r="Q343">
        <f t="shared" si="970"/>
        <v>139319321.23997146</v>
      </c>
      <c r="R343">
        <f t="shared" si="971"/>
        <v>1074342312.8255005</v>
      </c>
      <c r="S343">
        <f t="shared" si="972"/>
        <v>10743.423128255004</v>
      </c>
      <c r="T343">
        <f t="shared" si="973"/>
        <v>10.743423128255005</v>
      </c>
    </row>
    <row r="344" spans="1:20" x14ac:dyDescent="0.25">
      <c r="A344" s="5">
        <v>44249</v>
      </c>
      <c r="B344">
        <v>5.3706999999999998E-2</v>
      </c>
      <c r="C344">
        <v>5.5899999999999998E-2</v>
      </c>
      <c r="D344">
        <v>3.9199999999999999E-2</v>
      </c>
      <c r="E344">
        <v>4.7798E-2</v>
      </c>
      <c r="F344">
        <v>693879525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2.9700598802395412E-2</v>
      </c>
      <c r="Q344">
        <f t="shared" si="970"/>
        <v>20608637.389221698</v>
      </c>
      <c r="R344">
        <f t="shared" si="971"/>
        <v>935022991.58552897</v>
      </c>
      <c r="S344">
        <f t="shared" si="972"/>
        <v>9350.2299158552905</v>
      </c>
      <c r="T344">
        <f t="shared" si="973"/>
        <v>9.3502299158552908</v>
      </c>
    </row>
    <row r="345" spans="1:20" x14ac:dyDescent="0.25">
      <c r="A345" s="5">
        <v>44248</v>
      </c>
      <c r="B345">
        <v>5.0462E-2</v>
      </c>
      <c r="C345">
        <v>5.7299999999999997E-2</v>
      </c>
      <c r="D345">
        <v>4.9349999999999998E-2</v>
      </c>
      <c r="E345">
        <v>5.3561999999999999E-2</v>
      </c>
      <c r="F345">
        <v>670950955</v>
      </c>
      <c r="G345">
        <v>0</v>
      </c>
      <c r="L345" t="s">
        <v>8</v>
      </c>
      <c r="M345" t="s">
        <v>8</v>
      </c>
      <c r="N345" t="s">
        <v>7</v>
      </c>
      <c r="P345">
        <f t="shared" si="969"/>
        <v>5.9622641509434249E-2</v>
      </c>
      <c r="Q345">
        <f t="shared" si="970"/>
        <v>40003868.260377549</v>
      </c>
      <c r="R345">
        <f t="shared" si="971"/>
        <v>914414354.1963073</v>
      </c>
      <c r="S345">
        <f t="shared" si="972"/>
        <v>9144.1435419630725</v>
      </c>
      <c r="T345">
        <f t="shared" si="973"/>
        <v>9.1441435419630732</v>
      </c>
    </row>
    <row r="346" spans="1:20" x14ac:dyDescent="0.25">
      <c r="A346" s="5">
        <v>44247</v>
      </c>
      <c r="B346">
        <v>5.3329000000000001E-2</v>
      </c>
      <c r="C346">
        <v>5.6675000000000003E-2</v>
      </c>
      <c r="D346">
        <v>4.7040999999999999E-2</v>
      </c>
      <c r="E346">
        <v>5.0462E-2</v>
      </c>
      <c r="F346">
        <v>848331972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-0.28980693377620942</v>
      </c>
      <c r="Q346">
        <f t="shared" si="970"/>
        <v>-245852487.62964514</v>
      </c>
      <c r="R346">
        <f t="shared" si="971"/>
        <v>874410485.93592978</v>
      </c>
      <c r="S346">
        <f t="shared" si="972"/>
        <v>8744.1048593592986</v>
      </c>
      <c r="T346">
        <f t="shared" si="973"/>
        <v>8.7441048593592985</v>
      </c>
    </row>
    <row r="347" spans="1:20" x14ac:dyDescent="0.25">
      <c r="A347" s="5">
        <v>44246</v>
      </c>
      <c r="B347">
        <v>3.9697999999999997E-2</v>
      </c>
      <c r="C347">
        <v>6.9989999999999997E-2</v>
      </c>
      <c r="D347">
        <v>3.9697999999999997E-2</v>
      </c>
      <c r="E347">
        <v>5.3391000000000001E-2</v>
      </c>
      <c r="F347">
        <v>3552172487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-9.5932919582727844E-2</v>
      </c>
      <c r="Q347">
        <f t="shared" si="970"/>
        <v>-340770277.53934938</v>
      </c>
      <c r="R347">
        <f t="shared" si="971"/>
        <v>1120262973.5655749</v>
      </c>
      <c r="S347">
        <f t="shared" si="972"/>
        <v>11202.629735655748</v>
      </c>
      <c r="T347">
        <f t="shared" si="973"/>
        <v>11.202629735655748</v>
      </c>
    </row>
    <row r="348" spans="1:20" x14ac:dyDescent="0.25">
      <c r="A348" s="5">
        <v>44245</v>
      </c>
      <c r="B348">
        <v>3.6392000000000001E-2</v>
      </c>
      <c r="C348">
        <v>3.9899999999999998E-2</v>
      </c>
      <c r="D348">
        <v>3.5569999999999997E-2</v>
      </c>
      <c r="E348">
        <v>3.9697000000000003E-2</v>
      </c>
      <c r="F348">
        <v>602899295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0.90623556581986386</v>
      </c>
      <c r="Q348">
        <f t="shared" si="970"/>
        <v>546368783.73672199</v>
      </c>
      <c r="R348">
        <f t="shared" si="971"/>
        <v>1461033251.1049242</v>
      </c>
      <c r="S348">
        <f t="shared" si="972"/>
        <v>14610.332511049242</v>
      </c>
      <c r="T348">
        <f t="shared" si="973"/>
        <v>14.610332511049242</v>
      </c>
    </row>
    <row r="349" spans="1:20" x14ac:dyDescent="0.25">
      <c r="A349" s="5">
        <v>44244</v>
      </c>
      <c r="B349">
        <v>3.4897999999999998E-2</v>
      </c>
      <c r="C349">
        <v>3.9300000000000002E-2</v>
      </c>
      <c r="D349">
        <v>3.3009999999999998E-2</v>
      </c>
      <c r="E349">
        <v>3.6347999999999998E-2</v>
      </c>
      <c r="F349">
        <v>791719888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6.1367249602543278E-2</v>
      </c>
      <c r="Q349">
        <f t="shared" si="970"/>
        <v>48585671.982193612</v>
      </c>
      <c r="R349">
        <f t="shared" si="971"/>
        <v>914664467.36820233</v>
      </c>
      <c r="S349">
        <f t="shared" si="972"/>
        <v>9146.6446736820235</v>
      </c>
      <c r="T349">
        <f t="shared" si="973"/>
        <v>9.1466446736820242</v>
      </c>
    </row>
    <row r="350" spans="1:20" x14ac:dyDescent="0.25">
      <c r="A350" s="5">
        <v>44243</v>
      </c>
      <c r="B350">
        <v>3.4492000000000002E-2</v>
      </c>
      <c r="C350">
        <v>3.7525000000000003E-2</v>
      </c>
      <c r="D350">
        <v>3.2675000000000003E-2</v>
      </c>
      <c r="E350">
        <v>3.4804000000000002E-2</v>
      </c>
      <c r="F350">
        <v>595406370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-0.12206185567010355</v>
      </c>
      <c r="Q350">
        <f t="shared" si="970"/>
        <v>-72676406.400000274</v>
      </c>
      <c r="R350">
        <f t="shared" si="971"/>
        <v>866078795.38600874</v>
      </c>
      <c r="S350">
        <f t="shared" si="972"/>
        <v>8660.7879538600882</v>
      </c>
      <c r="T350">
        <f t="shared" si="973"/>
        <v>8.6607879538600887</v>
      </c>
    </row>
    <row r="351" spans="1:20" x14ac:dyDescent="0.25">
      <c r="A351" s="5">
        <v>44242</v>
      </c>
      <c r="B351">
        <v>3.4658000000000001E-2</v>
      </c>
      <c r="C351">
        <v>3.8589999999999999E-2</v>
      </c>
      <c r="D351">
        <v>2.7165999999999999E-2</v>
      </c>
      <c r="E351">
        <v>3.4437000000000002E-2</v>
      </c>
      <c r="F351">
        <v>1053874273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0.27293417366946832</v>
      </c>
      <c r="Q351">
        <f t="shared" si="970"/>
        <v>287638303.85276669</v>
      </c>
      <c r="R351">
        <f t="shared" si="971"/>
        <v>938755201.78600907</v>
      </c>
      <c r="S351">
        <f t="shared" si="972"/>
        <v>9387.5520178600909</v>
      </c>
      <c r="T351">
        <f t="shared" si="973"/>
        <v>9.3875520178600915</v>
      </c>
    </row>
    <row r="352" spans="1:20" x14ac:dyDescent="0.25">
      <c r="A352" s="5">
        <v>44241</v>
      </c>
      <c r="B352">
        <v>3.6719000000000002E-2</v>
      </c>
      <c r="C352">
        <v>3.8581999999999998E-2</v>
      </c>
      <c r="D352">
        <v>3.329E-2</v>
      </c>
      <c r="E352">
        <v>3.4634999999999999E-2</v>
      </c>
      <c r="F352">
        <v>514517258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-0.49168556311413475</v>
      </c>
      <c r="Q352">
        <f t="shared" si="970"/>
        <v>-252980707.73167056</v>
      </c>
      <c r="R352">
        <f t="shared" si="971"/>
        <v>651116897.93324232</v>
      </c>
      <c r="S352">
        <f t="shared" si="972"/>
        <v>6511.1689793324231</v>
      </c>
      <c r="T352">
        <f t="shared" si="973"/>
        <v>6.5111689793324228</v>
      </c>
    </row>
    <row r="353" spans="1:20" x14ac:dyDescent="0.25">
      <c r="A353" s="5">
        <v>44240</v>
      </c>
      <c r="B353">
        <v>3.5899E-2</v>
      </c>
      <c r="C353">
        <v>3.7899000000000002E-2</v>
      </c>
      <c r="D353">
        <v>3.2641999999999997E-2</v>
      </c>
      <c r="E353">
        <v>3.6656000000000001E-2</v>
      </c>
      <c r="F353">
        <v>861466338</v>
      </c>
      <c r="G353">
        <v>0</v>
      </c>
      <c r="L353" t="s">
        <v>7</v>
      </c>
      <c r="M353" t="s">
        <v>8</v>
      </c>
      <c r="N353" t="s">
        <v>8</v>
      </c>
      <c r="P353">
        <f t="shared" si="969"/>
        <v>0.52710671485638194</v>
      </c>
      <c r="Q353">
        <f t="shared" si="970"/>
        <v>454084691.38253754</v>
      </c>
      <c r="R353">
        <f t="shared" si="971"/>
        <v>904097605.66491294</v>
      </c>
      <c r="S353">
        <f t="shared" si="972"/>
        <v>9040.9760566491295</v>
      </c>
      <c r="T353">
        <f t="shared" si="973"/>
        <v>9.0409760566491304</v>
      </c>
    </row>
    <row r="354" spans="1:20" x14ac:dyDescent="0.25">
      <c r="A354" s="5">
        <v>44239</v>
      </c>
      <c r="B354">
        <v>3.0561000000000001E-2</v>
      </c>
      <c r="C354">
        <v>3.7749999999999999E-2</v>
      </c>
      <c r="D354">
        <v>2.9595E-2</v>
      </c>
      <c r="E354">
        <v>3.5790000000000002E-2</v>
      </c>
      <c r="F354">
        <v>1470295384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0.51931330472103088</v>
      </c>
      <c r="Q354">
        <f t="shared" si="970"/>
        <v>763543954.78111708</v>
      </c>
      <c r="R354">
        <f t="shared" si="971"/>
        <v>450012914.28237534</v>
      </c>
      <c r="S354">
        <f t="shared" si="972"/>
        <v>4500.1291428237537</v>
      </c>
      <c r="T354">
        <f t="shared" si="973"/>
        <v>4.500129142823754</v>
      </c>
    </row>
    <row r="355" spans="1:20" x14ac:dyDescent="0.25">
      <c r="A355" s="5">
        <v>44238</v>
      </c>
      <c r="B355">
        <v>2.9389999999999999E-2</v>
      </c>
      <c r="C355">
        <v>3.2746999999999998E-2</v>
      </c>
      <c r="D355">
        <v>2.8256E-2</v>
      </c>
      <c r="E355">
        <v>3.0565999999999999E-2</v>
      </c>
      <c r="F355">
        <v>1023458477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2.8724114896459738E-2</v>
      </c>
      <c r="Q355">
        <f t="shared" si="970"/>
        <v>29397938.885103695</v>
      </c>
      <c r="R355">
        <f t="shared" si="971"/>
        <v>-313531040.49874175</v>
      </c>
      <c r="S355">
        <f t="shared" si="972"/>
        <v>-3135.3104049874173</v>
      </c>
      <c r="T355">
        <f t="shared" si="973"/>
        <v>-3.1353104049874174</v>
      </c>
    </row>
    <row r="356" spans="1:20" x14ac:dyDescent="0.25">
      <c r="A356" s="5">
        <v>44237</v>
      </c>
      <c r="B356">
        <v>2.6794999999999999E-2</v>
      </c>
      <c r="C356">
        <v>3.1049E-2</v>
      </c>
      <c r="D356">
        <v>2.4246E-2</v>
      </c>
      <c r="E356">
        <v>2.9340999999999999E-2</v>
      </c>
      <c r="F356">
        <v>1342243461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0.49786858738791673</v>
      </c>
      <c r="Q356">
        <f t="shared" si="970"/>
        <v>668260855.8587383</v>
      </c>
      <c r="R356">
        <f t="shared" si="971"/>
        <v>-342928979.38384545</v>
      </c>
      <c r="S356">
        <f t="shared" si="972"/>
        <v>-3429.2897938384544</v>
      </c>
      <c r="T356">
        <f t="shared" si="973"/>
        <v>-3.4292897938384543</v>
      </c>
    </row>
    <row r="357" spans="1:20" x14ac:dyDescent="0.25">
      <c r="A357" s="5">
        <v>44236</v>
      </c>
      <c r="B357">
        <v>2.4400000000000002E-2</v>
      </c>
      <c r="C357">
        <v>2.7890999999999999E-2</v>
      </c>
      <c r="D357">
        <v>2.4161999999999999E-2</v>
      </c>
      <c r="E357">
        <v>2.6783999999999999E-2</v>
      </c>
      <c r="F357">
        <v>670928631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0.40627514078841487</v>
      </c>
      <c r="Q357">
        <f t="shared" si="970"/>
        <v>272581624.01850343</v>
      </c>
      <c r="R357">
        <f t="shared" si="971"/>
        <v>-1011189835.2425838</v>
      </c>
      <c r="S357">
        <f t="shared" si="972"/>
        <v>-10111.898352425838</v>
      </c>
      <c r="T357">
        <f t="shared" si="973"/>
        <v>-10.111898352425838</v>
      </c>
    </row>
    <row r="358" spans="1:20" x14ac:dyDescent="0.25">
      <c r="A358" s="5">
        <v>44235</v>
      </c>
      <c r="B358">
        <v>2.2918000000000001E-2</v>
      </c>
      <c r="C358">
        <v>2.478E-2</v>
      </c>
      <c r="D358">
        <v>2.1732000000000001E-2</v>
      </c>
      <c r="E358">
        <v>2.4389999999999998E-2</v>
      </c>
      <c r="F358">
        <v>578061793</v>
      </c>
      <c r="G358">
        <v>0</v>
      </c>
      <c r="L358" t="s">
        <v>8</v>
      </c>
      <c r="M358" t="s">
        <v>7</v>
      </c>
      <c r="N358" t="s">
        <v>8</v>
      </c>
      <c r="P358">
        <f t="shared" si="969"/>
        <v>0.74409448818897528</v>
      </c>
      <c r="Q358">
        <f t="shared" si="970"/>
        <v>430132594.00393635</v>
      </c>
      <c r="R358">
        <f t="shared" si="971"/>
        <v>-1283771459.2610872</v>
      </c>
      <c r="S358">
        <f t="shared" si="972"/>
        <v>-12837.714592610871</v>
      </c>
      <c r="T358">
        <f t="shared" si="973"/>
        <v>-12.837714592610871</v>
      </c>
    </row>
    <row r="359" spans="1:20" x14ac:dyDescent="0.25">
      <c r="A359" s="5">
        <v>44234</v>
      </c>
      <c r="B359">
        <v>2.3609999999999999E-2</v>
      </c>
      <c r="C359">
        <v>2.4093E-2</v>
      </c>
      <c r="D359">
        <v>2.1392000000000001E-2</v>
      </c>
      <c r="E359">
        <v>2.2918999999999998E-2</v>
      </c>
      <c r="F359">
        <v>349519695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0.13069233617178669</v>
      </c>
      <c r="Q359">
        <f t="shared" si="970"/>
        <v>45679545.477600351</v>
      </c>
      <c r="R359">
        <f t="shared" si="971"/>
        <v>-1713904053.2650235</v>
      </c>
      <c r="S359">
        <f t="shared" si="972"/>
        <v>-17139.040532650233</v>
      </c>
      <c r="T359">
        <f t="shared" si="973"/>
        <v>-17.139040532650235</v>
      </c>
    </row>
    <row r="360" spans="1:20" x14ac:dyDescent="0.25">
      <c r="A360" s="5">
        <v>44233</v>
      </c>
      <c r="B360">
        <v>2.5531000000000002E-2</v>
      </c>
      <c r="C360">
        <v>2.5950000000000001E-2</v>
      </c>
      <c r="D360">
        <v>2.1877000000000001E-2</v>
      </c>
      <c r="E360">
        <v>2.3609999999999999E-2</v>
      </c>
      <c r="F360">
        <v>477825183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-0.14903019887061217</v>
      </c>
      <c r="Q360">
        <f t="shared" si="970"/>
        <v>-71210382.047876656</v>
      </c>
      <c r="R360">
        <f t="shared" si="971"/>
        <v>-1759583598.7426238</v>
      </c>
      <c r="S360">
        <f t="shared" si="972"/>
        <v>-17595.835987426239</v>
      </c>
      <c r="T360">
        <f t="shared" si="973"/>
        <v>-17.595835987426238</v>
      </c>
    </row>
    <row r="361" spans="1:20" x14ac:dyDescent="0.25">
      <c r="A361" s="5">
        <v>44232</v>
      </c>
      <c r="B361">
        <v>2.3199000000000001E-2</v>
      </c>
      <c r="C361">
        <v>2.5814E-2</v>
      </c>
      <c r="D361">
        <v>2.3002000000000002E-2</v>
      </c>
      <c r="E361">
        <v>2.5531999999999999E-2</v>
      </c>
      <c r="F361">
        <v>462815184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0.79943100995732497</v>
      </c>
      <c r="Q361">
        <f t="shared" si="970"/>
        <v>369988809.96870518</v>
      </c>
      <c r="R361">
        <f t="shared" si="971"/>
        <v>-1688373216.6947472</v>
      </c>
      <c r="S361">
        <f t="shared" si="972"/>
        <v>-16883.732166947473</v>
      </c>
      <c r="T361">
        <f t="shared" si="973"/>
        <v>-16.883732166947475</v>
      </c>
    </row>
    <row r="362" spans="1:20" x14ac:dyDescent="0.25">
      <c r="A362" s="5">
        <v>44231</v>
      </c>
      <c r="B362">
        <v>2.4063000000000001E-2</v>
      </c>
      <c r="C362">
        <v>2.4652E-2</v>
      </c>
      <c r="D362">
        <v>2.1600999999999999E-2</v>
      </c>
      <c r="E362">
        <v>2.3165000000000002E-2</v>
      </c>
      <c r="F362">
        <v>623307682</v>
      </c>
      <c r="G362">
        <v>0</v>
      </c>
      <c r="L362" t="s">
        <v>7</v>
      </c>
      <c r="M362" t="s">
        <v>8</v>
      </c>
      <c r="N362" t="s">
        <v>8</v>
      </c>
      <c r="P362">
        <f t="shared" si="969"/>
        <v>2.523762700753986E-2</v>
      </c>
      <c r="Q362">
        <f t="shared" si="970"/>
        <v>15730806.789250266</v>
      </c>
      <c r="R362">
        <f t="shared" si="971"/>
        <v>-2058362026.6634524</v>
      </c>
      <c r="S362">
        <f t="shared" si="972"/>
        <v>-20583.620266634523</v>
      </c>
      <c r="T362">
        <f t="shared" si="973"/>
        <v>-20.583620266634522</v>
      </c>
    </row>
    <row r="363" spans="1:20" x14ac:dyDescent="0.25">
      <c r="A363" s="5">
        <v>44230</v>
      </c>
      <c r="B363">
        <v>2.2631999999999999E-2</v>
      </c>
      <c r="C363">
        <v>2.5000000000000001E-2</v>
      </c>
      <c r="D363">
        <v>2.2460000000000001E-2</v>
      </c>
      <c r="E363">
        <v>2.4063000000000001E-2</v>
      </c>
      <c r="F363">
        <v>429400980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0.26220472440944875</v>
      </c>
      <c r="Q363">
        <f t="shared" si="970"/>
        <v>112590965.62204722</v>
      </c>
      <c r="R363">
        <f t="shared" si="971"/>
        <v>-2074092833.4527028</v>
      </c>
      <c r="S363">
        <f t="shared" si="972"/>
        <v>-20740.928334527027</v>
      </c>
      <c r="T363">
        <f t="shared" si="973"/>
        <v>-20.740928334527027</v>
      </c>
    </row>
    <row r="364" spans="1:20" x14ac:dyDescent="0.25">
      <c r="A364" s="5">
        <v>44229</v>
      </c>
      <c r="B364">
        <v>2.24E-2</v>
      </c>
      <c r="C364">
        <v>2.3456000000000001E-2</v>
      </c>
      <c r="D364">
        <v>2.1925E-2</v>
      </c>
      <c r="E364">
        <v>2.2636E-2</v>
      </c>
      <c r="F364">
        <v>345614889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-7.1195297191379084E-2</v>
      </c>
      <c r="Q364">
        <f t="shared" si="970"/>
        <v>-24606154.736120492</v>
      </c>
      <c r="R364">
        <f t="shared" si="971"/>
        <v>-2186683799.0747499</v>
      </c>
      <c r="S364">
        <f t="shared" si="972"/>
        <v>-21866.837990747499</v>
      </c>
      <c r="T364">
        <f t="shared" si="973"/>
        <v>-21.866837990747499</v>
      </c>
    </row>
    <row r="365" spans="1:20" x14ac:dyDescent="0.25">
      <c r="A365" s="5">
        <v>44228</v>
      </c>
      <c r="B365">
        <v>2.1611999999999999E-2</v>
      </c>
      <c r="C365">
        <v>2.3567999999999999E-2</v>
      </c>
      <c r="D365">
        <v>2.0851999999999999E-2</v>
      </c>
      <c r="E365">
        <v>2.2401999999999998E-2</v>
      </c>
      <c r="F365">
        <v>786624404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0.14138438880706883</v>
      </c>
      <c r="Q365">
        <f t="shared" si="970"/>
        <v>111216410.58026479</v>
      </c>
      <c r="R365">
        <f t="shared" si="971"/>
        <v>-2162077644.3386292</v>
      </c>
      <c r="S365">
        <f t="shared" si="972"/>
        <v>-21620.776443386294</v>
      </c>
      <c r="T365">
        <f t="shared" si="973"/>
        <v>-21.620776443386294</v>
      </c>
    </row>
    <row r="366" spans="1:20" x14ac:dyDescent="0.25">
      <c r="A366" s="5">
        <v>44227</v>
      </c>
      <c r="B366">
        <v>2.1263000000000001E-2</v>
      </c>
      <c r="C366">
        <v>2.2447000000000002E-2</v>
      </c>
      <c r="D366">
        <v>2.0201E-2</v>
      </c>
      <c r="E366">
        <v>2.1610999999999998E-2</v>
      </c>
      <c r="F366">
        <v>438264158</v>
      </c>
      <c r="G366">
        <v>0</v>
      </c>
      <c r="L366" t="s">
        <v>7</v>
      </c>
      <c r="M366" t="s">
        <v>8</v>
      </c>
      <c r="N366" t="s">
        <v>8</v>
      </c>
      <c r="P366">
        <f t="shared" si="969"/>
        <v>0.25556544968833228</v>
      </c>
      <c r="Q366">
        <f t="shared" si="970"/>
        <v>112005176.62154831</v>
      </c>
      <c r="R366">
        <f t="shared" si="971"/>
        <v>-2273294054.9188938</v>
      </c>
      <c r="S366">
        <f t="shared" si="972"/>
        <v>-22732.940549188937</v>
      </c>
      <c r="T366">
        <f t="shared" si="973"/>
        <v>-22.732940549188939</v>
      </c>
    </row>
    <row r="367" spans="1:20" x14ac:dyDescent="0.25">
      <c r="A367" s="5">
        <v>44226</v>
      </c>
      <c r="B367">
        <v>1.9948E-2</v>
      </c>
      <c r="C367">
        <v>2.3141999999999999E-2</v>
      </c>
      <c r="D367">
        <v>1.9428999999999998E-2</v>
      </c>
      <c r="E367">
        <v>2.1248E-2</v>
      </c>
      <c r="F367">
        <v>572021641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-2.0199299757608043E-2</v>
      </c>
      <c r="Q367">
        <f t="shared" si="970"/>
        <v>-11554436.594397854</v>
      </c>
      <c r="R367">
        <f t="shared" si="971"/>
        <v>-2385299231.540442</v>
      </c>
      <c r="S367">
        <f t="shared" si="972"/>
        <v>-23852.992315404419</v>
      </c>
      <c r="T367">
        <f t="shared" si="973"/>
        <v>-23.852992315404418</v>
      </c>
    </row>
    <row r="368" spans="1:20" x14ac:dyDescent="0.25">
      <c r="A368" s="5">
        <v>44225</v>
      </c>
      <c r="B368">
        <v>2.0091000000000001E-2</v>
      </c>
      <c r="C368">
        <v>2.0879999999999999E-2</v>
      </c>
      <c r="D368">
        <v>1.9480000000000001E-2</v>
      </c>
      <c r="E368">
        <v>1.9944E-2</v>
      </c>
      <c r="F368">
        <v>416718269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-0.33714285714285763</v>
      </c>
      <c r="Q368">
        <f t="shared" si="970"/>
        <v>-140493587.83428591</v>
      </c>
      <c r="R368">
        <f t="shared" si="971"/>
        <v>-2373744794.946044</v>
      </c>
      <c r="S368">
        <f t="shared" si="972"/>
        <v>-23737.447949460438</v>
      </c>
      <c r="T368">
        <f t="shared" si="973"/>
        <v>-23.737447949460439</v>
      </c>
    </row>
    <row r="369" spans="1:20" x14ac:dyDescent="0.25">
      <c r="A369" s="5">
        <v>44224</v>
      </c>
      <c r="B369">
        <v>1.8957999999999999E-2</v>
      </c>
      <c r="C369">
        <v>2.0549999999999999E-2</v>
      </c>
      <c r="D369">
        <v>1.8530999999999999E-2</v>
      </c>
      <c r="E369">
        <v>2.0091999999999999E-2</v>
      </c>
      <c r="F369">
        <v>277842079</v>
      </c>
      <c r="G369">
        <v>0</v>
      </c>
      <c r="L369" t="s">
        <v>7</v>
      </c>
      <c r="M369" t="s">
        <v>8</v>
      </c>
      <c r="N369" t="s">
        <v>8</v>
      </c>
      <c r="P369">
        <f t="shared" si="969"/>
        <v>0.54631005448241698</v>
      </c>
      <c r="Q369">
        <f t="shared" si="970"/>
        <v>151787921.31599802</v>
      </c>
      <c r="R369">
        <f t="shared" si="971"/>
        <v>-2233251207.1117582</v>
      </c>
      <c r="S369">
        <f t="shared" si="972"/>
        <v>-22332.512071117584</v>
      </c>
      <c r="T369">
        <f t="shared" si="973"/>
        <v>-22.332512071117584</v>
      </c>
    </row>
    <row r="370" spans="1:20" x14ac:dyDescent="0.25">
      <c r="A370" s="5">
        <v>44223</v>
      </c>
      <c r="B370">
        <v>2.0650999999999999E-2</v>
      </c>
      <c r="C370">
        <v>2.0938999999999999E-2</v>
      </c>
      <c r="D370">
        <v>1.8554999999999999E-2</v>
      </c>
      <c r="E370">
        <v>1.8957999999999999E-2</v>
      </c>
      <c r="F370">
        <v>299162781</v>
      </c>
      <c r="G370">
        <v>0</v>
      </c>
      <c r="L370" t="s">
        <v>8</v>
      </c>
      <c r="M370" t="s">
        <v>8</v>
      </c>
      <c r="N370" t="s">
        <v>8</v>
      </c>
      <c r="P370">
        <f t="shared" si="969"/>
        <v>-0.66191275167785191</v>
      </c>
      <c r="Q370">
        <f t="shared" si="970"/>
        <v>-198019659.57130858</v>
      </c>
      <c r="R370">
        <f t="shared" si="971"/>
        <v>-2385039128.4277563</v>
      </c>
      <c r="S370">
        <f t="shared" si="972"/>
        <v>-23850.391284277564</v>
      </c>
      <c r="T370">
        <f t="shared" si="973"/>
        <v>-23.850391284277563</v>
      </c>
    </row>
    <row r="371" spans="1:20" x14ac:dyDescent="0.25">
      <c r="A371" s="5">
        <v>44222</v>
      </c>
      <c r="B371">
        <v>1.8807000000000001E-2</v>
      </c>
      <c r="C371">
        <v>2.0650999999999999E-2</v>
      </c>
      <c r="D371">
        <v>1.83E-2</v>
      </c>
      <c r="E371">
        <v>2.0650999999999999E-2</v>
      </c>
      <c r="F371">
        <v>325541781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1</v>
      </c>
      <c r="Q371">
        <f t="shared" si="970"/>
        <v>325541781</v>
      </c>
      <c r="R371">
        <f t="shared" si="971"/>
        <v>-2187019468.8564477</v>
      </c>
      <c r="S371">
        <f t="shared" si="972"/>
        <v>-21870.194688564476</v>
      </c>
      <c r="T371">
        <f t="shared" si="973"/>
        <v>-21.870194688564474</v>
      </c>
    </row>
    <row r="372" spans="1:20" x14ac:dyDescent="0.25">
      <c r="A372" s="5">
        <v>44221</v>
      </c>
      <c r="B372">
        <v>1.9892E-2</v>
      </c>
      <c r="C372">
        <v>2.1134E-2</v>
      </c>
      <c r="D372">
        <v>1.8662000000000002E-2</v>
      </c>
      <c r="E372">
        <v>1.8814000000000001E-2</v>
      </c>
      <c r="F372">
        <v>266710627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-0.87702265372168331</v>
      </c>
      <c r="Q372">
        <f t="shared" si="970"/>
        <v>-233911261.86731404</v>
      </c>
      <c r="R372">
        <f t="shared" si="971"/>
        <v>-2512561249.8564477</v>
      </c>
      <c r="S372">
        <f t="shared" si="972"/>
        <v>-25125.612498564478</v>
      </c>
      <c r="T372">
        <f t="shared" si="973"/>
        <v>-25.125612498564479</v>
      </c>
    </row>
    <row r="373" spans="1:20" x14ac:dyDescent="0.25">
      <c r="A373" s="5">
        <v>44220</v>
      </c>
      <c r="B373">
        <v>1.9751999999999999E-2</v>
      </c>
      <c r="C373">
        <v>2.0397999999999999E-2</v>
      </c>
      <c r="D373">
        <v>1.9207999999999999E-2</v>
      </c>
      <c r="E373">
        <v>1.9892E-2</v>
      </c>
      <c r="F373">
        <v>160416209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0.14957983193277399</v>
      </c>
      <c r="Q373">
        <f t="shared" si="970"/>
        <v>23995029.581512745</v>
      </c>
      <c r="R373">
        <f t="shared" si="971"/>
        <v>-2278649987.9891338</v>
      </c>
      <c r="S373">
        <f t="shared" si="972"/>
        <v>-22786.499879891337</v>
      </c>
      <c r="T373">
        <f t="shared" si="973"/>
        <v>-22.786499879891338</v>
      </c>
    </row>
    <row r="374" spans="1:20" x14ac:dyDescent="0.25">
      <c r="A374" s="5">
        <v>44219</v>
      </c>
      <c r="B374">
        <v>1.9733000000000001E-2</v>
      </c>
      <c r="C374">
        <v>2.061E-2</v>
      </c>
      <c r="D374">
        <v>1.9207999999999999E-2</v>
      </c>
      <c r="E374">
        <v>1.9796000000000001E-2</v>
      </c>
      <c r="F374">
        <v>229543116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-0.16119828815976958</v>
      </c>
      <c r="Q374">
        <f t="shared" si="970"/>
        <v>-37001957.358059414</v>
      </c>
      <c r="R374">
        <f t="shared" si="971"/>
        <v>-2302645017.5706468</v>
      </c>
      <c r="S374">
        <f t="shared" si="972"/>
        <v>-23026.450175706468</v>
      </c>
      <c r="T374">
        <f t="shared" si="973"/>
        <v>-23.026450175706469</v>
      </c>
    </row>
    <row r="375" spans="1:20" x14ac:dyDescent="0.25">
      <c r="A375" s="5">
        <v>44218</v>
      </c>
      <c r="B375">
        <v>1.8876E-2</v>
      </c>
      <c r="C375">
        <v>2.0421000000000002E-2</v>
      </c>
      <c r="D375">
        <v>1.7023E-2</v>
      </c>
      <c r="E375">
        <v>1.9733000000000001E-2</v>
      </c>
      <c r="F375">
        <v>332006109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0.59505591524426094</v>
      </c>
      <c r="Q375">
        <f t="shared" si="970"/>
        <v>197562199.05768085</v>
      </c>
      <c r="R375">
        <f t="shared" si="971"/>
        <v>-2265643060.2125874</v>
      </c>
      <c r="S375">
        <f t="shared" si="972"/>
        <v>-22656.430602125874</v>
      </c>
      <c r="T375">
        <f t="shared" si="973"/>
        <v>-22.656430602125873</v>
      </c>
    </row>
    <row r="376" spans="1:20" x14ac:dyDescent="0.25">
      <c r="A376" s="5">
        <v>44217</v>
      </c>
      <c r="B376">
        <v>2.2433999999999999E-2</v>
      </c>
      <c r="C376">
        <v>2.2672999999999999E-2</v>
      </c>
      <c r="D376">
        <v>1.8599999999999998E-2</v>
      </c>
      <c r="E376">
        <v>1.8853000000000002E-2</v>
      </c>
      <c r="F376">
        <v>389245472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-0.8757672477289451</v>
      </c>
      <c r="Q376">
        <f t="shared" si="970"/>
        <v>-340888435.70439416</v>
      </c>
      <c r="R376">
        <f t="shared" si="971"/>
        <v>-2463205259.270268</v>
      </c>
      <c r="S376">
        <f t="shared" si="972"/>
        <v>-24632.052592702679</v>
      </c>
      <c r="T376">
        <f t="shared" si="973"/>
        <v>-24.632052592702678</v>
      </c>
    </row>
    <row r="377" spans="1:20" x14ac:dyDescent="0.25">
      <c r="A377" s="5">
        <v>44216</v>
      </c>
      <c r="B377">
        <v>2.2626E-2</v>
      </c>
      <c r="C377">
        <v>2.3892E-2</v>
      </c>
      <c r="D377">
        <v>2.0468E-2</v>
      </c>
      <c r="E377">
        <v>2.2433999999999999E-2</v>
      </c>
      <c r="F377">
        <v>492602483</v>
      </c>
      <c r="G377">
        <v>0</v>
      </c>
      <c r="L377" t="s">
        <v>8</v>
      </c>
      <c r="M377" t="s">
        <v>8</v>
      </c>
      <c r="N377" t="s">
        <v>8</v>
      </c>
      <c r="P377">
        <f t="shared" si="969"/>
        <v>0.14836448598130783</v>
      </c>
      <c r="Q377">
        <f t="shared" si="970"/>
        <v>73084714.183410928</v>
      </c>
      <c r="R377">
        <f t="shared" si="971"/>
        <v>-2122316823.5658739</v>
      </c>
      <c r="S377">
        <f t="shared" si="972"/>
        <v>-21223.168235658737</v>
      </c>
      <c r="T377">
        <f t="shared" si="973"/>
        <v>-21.223168235658736</v>
      </c>
    </row>
    <row r="378" spans="1:20" x14ac:dyDescent="0.25">
      <c r="A378" s="5">
        <v>44215</v>
      </c>
      <c r="B378">
        <v>2.0558E-2</v>
      </c>
      <c r="C378">
        <v>2.3400000000000001E-2</v>
      </c>
      <c r="D378">
        <v>2.0143000000000001E-2</v>
      </c>
      <c r="E378">
        <v>2.2655000000000002E-2</v>
      </c>
      <c r="F378">
        <v>655752085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0.54252379490328573</v>
      </c>
      <c r="Q378">
        <f t="shared" si="970"/>
        <v>355761109.66994196</v>
      </c>
      <c r="R378">
        <f t="shared" si="971"/>
        <v>-2195401537.7492847</v>
      </c>
      <c r="S378">
        <f t="shared" si="972"/>
        <v>-21954.015377492848</v>
      </c>
      <c r="T378">
        <f t="shared" si="973"/>
        <v>-21.954015377492848</v>
      </c>
    </row>
    <row r="379" spans="1:20" x14ac:dyDescent="0.25">
      <c r="A379" s="5">
        <v>44214</v>
      </c>
      <c r="B379">
        <v>1.9557000000000001E-2</v>
      </c>
      <c r="C379">
        <v>2.1245E-2</v>
      </c>
      <c r="D379">
        <v>1.8891000000000002E-2</v>
      </c>
      <c r="E379">
        <v>2.0532999999999999E-2</v>
      </c>
      <c r="F379">
        <v>416138109</v>
      </c>
      <c r="G379">
        <v>0</v>
      </c>
      <c r="L379" t="s">
        <v>8</v>
      </c>
      <c r="M379" t="s">
        <v>8</v>
      </c>
      <c r="N379" t="s">
        <v>7</v>
      </c>
      <c r="P379">
        <f t="shared" si="969"/>
        <v>0.39507221750212296</v>
      </c>
      <c r="Q379">
        <f t="shared" si="970"/>
        <v>164404605.50977015</v>
      </c>
      <c r="R379">
        <f t="shared" si="971"/>
        <v>-2551162647.4192266</v>
      </c>
      <c r="S379">
        <f t="shared" si="972"/>
        <v>-25511.626474192268</v>
      </c>
      <c r="T379">
        <f t="shared" si="973"/>
        <v>-25.511626474192269</v>
      </c>
    </row>
    <row r="380" spans="1:20" x14ac:dyDescent="0.25">
      <c r="A380" s="5">
        <v>44213</v>
      </c>
      <c r="B380">
        <v>1.9748000000000002E-2</v>
      </c>
      <c r="C380">
        <v>2.01E-2</v>
      </c>
      <c r="D380">
        <v>1.8293E-2</v>
      </c>
      <c r="E380">
        <v>1.9526999999999999E-2</v>
      </c>
      <c r="F380">
        <v>210038966</v>
      </c>
      <c r="G380">
        <v>0</v>
      </c>
      <c r="L380" t="s">
        <v>7</v>
      </c>
      <c r="M380" t="s">
        <v>7</v>
      </c>
      <c r="N380" t="s">
        <v>7</v>
      </c>
      <c r="P380">
        <f t="shared" si="969"/>
        <v>0.36579966795794056</v>
      </c>
      <c r="Q380">
        <f t="shared" si="970"/>
        <v>76832184.021029159</v>
      </c>
      <c r="R380">
        <f t="shared" si="971"/>
        <v>-2715567252.928997</v>
      </c>
      <c r="S380">
        <f t="shared" si="972"/>
        <v>-27155.672529289972</v>
      </c>
      <c r="T380">
        <f t="shared" si="973"/>
        <v>-27.155672529289973</v>
      </c>
    </row>
    <row r="381" spans="1:20" x14ac:dyDescent="0.25">
      <c r="A381" s="5">
        <v>44212</v>
      </c>
      <c r="B381">
        <v>1.9154000000000001E-2</v>
      </c>
      <c r="C381">
        <v>2.0365000000000001E-2</v>
      </c>
      <c r="D381">
        <v>1.9021E-2</v>
      </c>
      <c r="E381">
        <v>1.9739E-2</v>
      </c>
      <c r="F381">
        <v>304116781</v>
      </c>
      <c r="G381">
        <v>0</v>
      </c>
      <c r="L381" t="s">
        <v>8</v>
      </c>
      <c r="M381" t="s">
        <v>7</v>
      </c>
      <c r="N381" t="s">
        <v>7</v>
      </c>
      <c r="P381">
        <f t="shared" si="969"/>
        <v>6.8452380952379641E-2</v>
      </c>
      <c r="Q381">
        <f t="shared" si="970"/>
        <v>20817517.747023411</v>
      </c>
      <c r="R381">
        <f t="shared" si="971"/>
        <v>-2792399436.950026</v>
      </c>
      <c r="S381">
        <f t="shared" si="972"/>
        <v>-27923.994369500262</v>
      </c>
      <c r="T381">
        <f t="shared" si="973"/>
        <v>-27.923994369500264</v>
      </c>
    </row>
    <row r="382" spans="1:20" x14ac:dyDescent="0.25">
      <c r="A382" s="5">
        <v>44211</v>
      </c>
      <c r="B382">
        <v>1.9716999999999998E-2</v>
      </c>
      <c r="C382">
        <v>2.0164999999999999E-2</v>
      </c>
      <c r="D382">
        <v>1.7904E-2</v>
      </c>
      <c r="E382">
        <v>1.9154000000000001E-2</v>
      </c>
      <c r="F382">
        <v>255609863</v>
      </c>
      <c r="G382">
        <v>0</v>
      </c>
      <c r="L382" t="s">
        <v>7</v>
      </c>
      <c r="M382" t="s">
        <v>7</v>
      </c>
      <c r="N382" t="s">
        <v>7</v>
      </c>
      <c r="P382">
        <f t="shared" si="969"/>
        <v>0.10570544007076656</v>
      </c>
      <c r="Q382">
        <f t="shared" si="970"/>
        <v>27019353.054843351</v>
      </c>
      <c r="R382">
        <f t="shared" si="971"/>
        <v>-2813216954.6970496</v>
      </c>
      <c r="S382">
        <f t="shared" si="972"/>
        <v>-28132.169546970497</v>
      </c>
      <c r="T382">
        <f t="shared" si="973"/>
        <v>-28.132169546970498</v>
      </c>
    </row>
    <row r="383" spans="1:20" x14ac:dyDescent="0.25">
      <c r="A383" s="5">
        <v>44210</v>
      </c>
      <c r="B383">
        <v>2.0322E-2</v>
      </c>
      <c r="C383">
        <v>2.1798999999999999E-2</v>
      </c>
      <c r="D383">
        <v>1.8505000000000001E-2</v>
      </c>
      <c r="E383">
        <v>1.9685000000000001E-2</v>
      </c>
      <c r="F383">
        <v>731854877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-0.28354584092288942</v>
      </c>
      <c r="Q383">
        <f t="shared" si="970"/>
        <v>-207514406.5324828</v>
      </c>
      <c r="R383">
        <f t="shared" si="971"/>
        <v>-2840236307.751893</v>
      </c>
      <c r="S383">
        <f t="shared" si="972"/>
        <v>-28402.36307751893</v>
      </c>
      <c r="T383">
        <f t="shared" si="973"/>
        <v>-28.402363077518931</v>
      </c>
    </row>
    <row r="384" spans="1:20" x14ac:dyDescent="0.25">
      <c r="A384" s="5">
        <v>44209</v>
      </c>
      <c r="B384">
        <v>1.7387E-2</v>
      </c>
      <c r="C384">
        <v>2.1000000000000001E-2</v>
      </c>
      <c r="D384">
        <v>1.6840000000000001E-2</v>
      </c>
      <c r="E384">
        <v>2.0334000000000001E-2</v>
      </c>
      <c r="F384">
        <v>292631500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0.67980769230769234</v>
      </c>
      <c r="Q384">
        <f t="shared" si="970"/>
        <v>198933144.71153846</v>
      </c>
      <c r="R384">
        <f t="shared" si="971"/>
        <v>-2632721901.2194104</v>
      </c>
      <c r="S384">
        <f t="shared" si="972"/>
        <v>-26327.219012194106</v>
      </c>
      <c r="T384">
        <f t="shared" si="973"/>
        <v>-26.327219012194107</v>
      </c>
    </row>
    <row r="385" spans="1:20" x14ac:dyDescent="0.25">
      <c r="A385" s="5">
        <v>44208</v>
      </c>
      <c r="B385">
        <v>1.7701999999999999E-2</v>
      </c>
      <c r="C385">
        <v>1.8599999999999998E-2</v>
      </c>
      <c r="D385">
        <v>1.6601000000000001E-2</v>
      </c>
      <c r="E385">
        <v>1.7453E-2</v>
      </c>
      <c r="F385">
        <v>184446606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-0.147573786893447</v>
      </c>
      <c r="Q385">
        <f t="shared" si="970"/>
        <v>-27219484.127063584</v>
      </c>
      <c r="R385">
        <f t="shared" si="971"/>
        <v>-2831655045.9309487</v>
      </c>
      <c r="S385">
        <f t="shared" si="972"/>
        <v>-28316.550459309488</v>
      </c>
      <c r="T385">
        <f t="shared" si="973"/>
        <v>-28.316550459309489</v>
      </c>
    </row>
    <row r="386" spans="1:20" x14ac:dyDescent="0.25">
      <c r="A386" s="5">
        <v>44207</v>
      </c>
      <c r="B386">
        <v>1.9286000000000001E-2</v>
      </c>
      <c r="C386">
        <v>1.9376999999999998E-2</v>
      </c>
      <c r="D386">
        <v>1.5403E-2</v>
      </c>
      <c r="E386">
        <v>1.7680000000000001E-2</v>
      </c>
      <c r="F386">
        <v>346004137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0.14594866633115358</v>
      </c>
      <c r="Q386">
        <f t="shared" si="970"/>
        <v>50498842.340211749</v>
      </c>
      <c r="R386">
        <f t="shared" si="971"/>
        <v>-2804435561.803885</v>
      </c>
      <c r="S386">
        <f t="shared" si="972"/>
        <v>-28044.355618038851</v>
      </c>
      <c r="T386">
        <f t="shared" si="973"/>
        <v>-28.04435561803885</v>
      </c>
    </row>
    <row r="387" spans="1:20" x14ac:dyDescent="0.25">
      <c r="A387" s="5">
        <v>44206</v>
      </c>
      <c r="B387">
        <v>2.0119000000000001E-2</v>
      </c>
      <c r="C387">
        <v>2.1135000000000001E-2</v>
      </c>
      <c r="D387">
        <v>1.7894E-2</v>
      </c>
      <c r="E387">
        <v>1.9286000000000001E-2</v>
      </c>
      <c r="F387">
        <v>343142523</v>
      </c>
      <c r="G387">
        <v>0</v>
      </c>
      <c r="L387" t="s">
        <v>8</v>
      </c>
      <c r="M387" t="s">
        <v>7</v>
      </c>
      <c r="N387" t="s">
        <v>7</v>
      </c>
      <c r="P387">
        <f t="shared" si="969"/>
        <v>-0.14100586238815149</v>
      </c>
      <c r="Q387">
        <f t="shared" si="970"/>
        <v>-48385107.377661109</v>
      </c>
      <c r="R387">
        <f t="shared" si="971"/>
        <v>-2854934404.1440969</v>
      </c>
      <c r="S387">
        <f t="shared" si="972"/>
        <v>-28549.344041440967</v>
      </c>
      <c r="T387">
        <f t="shared" si="973"/>
        <v>-28.549344041440968</v>
      </c>
    </row>
    <row r="388" spans="1:20" x14ac:dyDescent="0.25">
      <c r="A388" s="5">
        <v>44205</v>
      </c>
      <c r="B388">
        <v>1.9311999999999999E-2</v>
      </c>
      <c r="C388">
        <v>2.0969000000000002E-2</v>
      </c>
      <c r="D388">
        <v>1.8668000000000001E-2</v>
      </c>
      <c r="E388">
        <v>2.0112999999999999E-2</v>
      </c>
      <c r="F388">
        <v>279825403</v>
      </c>
      <c r="G388">
        <v>0</v>
      </c>
      <c r="L388" t="s">
        <v>8</v>
      </c>
      <c r="M388" t="s">
        <v>7</v>
      </c>
      <c r="N388" t="s">
        <v>7</v>
      </c>
      <c r="P388">
        <f t="shared" si="969"/>
        <v>0.25597566275532185</v>
      </c>
      <c r="Q388">
        <f t="shared" si="970"/>
        <v>71628492.988700032</v>
      </c>
      <c r="R388">
        <f t="shared" si="971"/>
        <v>-2806549296.7664356</v>
      </c>
      <c r="S388">
        <f t="shared" si="972"/>
        <v>-28065.492967664355</v>
      </c>
      <c r="T388">
        <f t="shared" si="973"/>
        <v>-28.065492967664355</v>
      </c>
    </row>
    <row r="389" spans="1:20" x14ac:dyDescent="0.25">
      <c r="A389" s="5">
        <v>44204</v>
      </c>
      <c r="B389">
        <v>1.9924999999999998E-2</v>
      </c>
      <c r="C389">
        <v>2.0168999999999999E-2</v>
      </c>
      <c r="D389">
        <v>1.7500000000000002E-2</v>
      </c>
      <c r="E389">
        <v>1.9261E-2</v>
      </c>
      <c r="F389">
        <v>349517816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0.31959535406519307</v>
      </c>
      <c r="Q389">
        <f t="shared" si="970"/>
        <v>111704270.15661301</v>
      </c>
      <c r="R389">
        <f t="shared" si="971"/>
        <v>-2878177789.7551355</v>
      </c>
      <c r="S389">
        <f t="shared" si="972"/>
        <v>-28781.777897551354</v>
      </c>
      <c r="T389">
        <f t="shared" si="973"/>
        <v>-28.781777897551354</v>
      </c>
    </row>
    <row r="390" spans="1:20" x14ac:dyDescent="0.25">
      <c r="A390" s="5">
        <v>44203</v>
      </c>
      <c r="B390">
        <v>2.1122999999999999E-2</v>
      </c>
      <c r="C390">
        <v>2.1593999999999999E-2</v>
      </c>
      <c r="D390">
        <v>1.8769000000000001E-2</v>
      </c>
      <c r="E390">
        <v>1.9876999999999999E-2</v>
      </c>
      <c r="F390">
        <v>424316694</v>
      </c>
      <c r="G390">
        <v>0</v>
      </c>
      <c r="L390" t="s">
        <v>7</v>
      </c>
      <c r="M390" t="s">
        <v>7</v>
      </c>
      <c r="N390" t="s">
        <v>7</v>
      </c>
      <c r="P390">
        <f t="shared" ref="P390:P453" si="974">IF(C390=D390,0,((E390-D390)-(C390-E390))/(C390-D390))</f>
        <v>-0.21557522123893891</v>
      </c>
      <c r="Q390">
        <f t="shared" ref="Q390:Q453" si="975">F390*P390</f>
        <v>-91472165.184425145</v>
      </c>
      <c r="R390">
        <f t="shared" ref="R390:R453" si="976">R391+Q390</f>
        <v>-2989882059.9117484</v>
      </c>
      <c r="S390">
        <f t="shared" ref="S390:S453" si="977">R390/100000</f>
        <v>-29898.820599117484</v>
      </c>
      <c r="T390">
        <f t="shared" ref="T390:T453" si="978">S390/1000</f>
        <v>-29.898820599117485</v>
      </c>
    </row>
    <row r="391" spans="1:20" x14ac:dyDescent="0.25">
      <c r="A391" s="5">
        <v>44202</v>
      </c>
      <c r="B391">
        <v>2.0029999999999999E-2</v>
      </c>
      <c r="C391">
        <v>2.2790999999999999E-2</v>
      </c>
      <c r="D391">
        <v>1.9529999999999999E-2</v>
      </c>
      <c r="E391">
        <v>2.1121999999999998E-2</v>
      </c>
      <c r="F391">
        <v>579908555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-2.3612388837780031E-2</v>
      </c>
      <c r="Q391">
        <f t="shared" si="975"/>
        <v>-13693026.291015146</v>
      </c>
      <c r="R391">
        <f t="shared" si="976"/>
        <v>-2898409894.7273231</v>
      </c>
      <c r="S391">
        <f t="shared" si="977"/>
        <v>-28984.098947273229</v>
      </c>
      <c r="T391">
        <f t="shared" si="978"/>
        <v>-28.984098947273228</v>
      </c>
    </row>
    <row r="392" spans="1:20" x14ac:dyDescent="0.25">
      <c r="A392" s="5">
        <v>44201</v>
      </c>
      <c r="B392">
        <v>1.8887999999999999E-2</v>
      </c>
      <c r="C392">
        <v>2.1396999999999999E-2</v>
      </c>
      <c r="D392">
        <v>1.8405000000000001E-2</v>
      </c>
      <c r="E392">
        <v>2.0074000000000002E-2</v>
      </c>
      <c r="F392">
        <v>519796414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0.11564171122994744</v>
      </c>
      <c r="Q392">
        <f t="shared" si="975"/>
        <v>60110146.806150213</v>
      </c>
      <c r="R392">
        <f t="shared" si="976"/>
        <v>-2884716868.4363079</v>
      </c>
      <c r="S392">
        <f t="shared" si="977"/>
        <v>-28847.168684363078</v>
      </c>
      <c r="T392">
        <f t="shared" si="978"/>
        <v>-28.847168684363076</v>
      </c>
    </row>
    <row r="393" spans="1:20" x14ac:dyDescent="0.25">
      <c r="A393" s="5">
        <v>44200</v>
      </c>
      <c r="B393">
        <v>1.9616999999999999E-2</v>
      </c>
      <c r="C393">
        <v>2.0889999999999999E-2</v>
      </c>
      <c r="D393">
        <v>1.6958000000000001E-2</v>
      </c>
      <c r="E393">
        <v>1.8870999999999999E-2</v>
      </c>
      <c r="F393">
        <v>497715412</v>
      </c>
      <c r="G393">
        <v>0</v>
      </c>
      <c r="L393" t="s">
        <v>7</v>
      </c>
      <c r="M393" t="s">
        <v>7</v>
      </c>
      <c r="N393" t="s">
        <v>7</v>
      </c>
      <c r="P393">
        <f t="shared" si="974"/>
        <v>-2.6958290946083922E-2</v>
      </c>
      <c r="Q393">
        <f t="shared" si="975"/>
        <v>-13417556.885046029</v>
      </c>
      <c r="R393">
        <f t="shared" si="976"/>
        <v>-2944827015.2424583</v>
      </c>
      <c r="S393">
        <f t="shared" si="977"/>
        <v>-29448.270152424582</v>
      </c>
      <c r="T393">
        <f t="shared" si="978"/>
        <v>-29.44827015242458</v>
      </c>
    </row>
    <row r="394" spans="1:20" x14ac:dyDescent="0.25">
      <c r="A394" s="5">
        <v>44199</v>
      </c>
      <c r="B394">
        <v>1.9310999999999998E-2</v>
      </c>
      <c r="C394">
        <v>2.1174999999999999E-2</v>
      </c>
      <c r="D394">
        <v>1.8172000000000001E-2</v>
      </c>
      <c r="E394">
        <v>1.9518000000000001E-2</v>
      </c>
      <c r="F394">
        <v>788179081</v>
      </c>
      <c r="G394">
        <v>0</v>
      </c>
      <c r="L394" t="s">
        <v>7</v>
      </c>
      <c r="M394" t="s">
        <v>7</v>
      </c>
      <c r="N394" t="s">
        <v>7</v>
      </c>
      <c r="P394">
        <f t="shared" si="974"/>
        <v>-0.10356310356310321</v>
      </c>
      <c r="Q394">
        <f t="shared" si="975"/>
        <v>-81626271.791874513</v>
      </c>
      <c r="R394">
        <f t="shared" si="976"/>
        <v>-2931409458.3574123</v>
      </c>
      <c r="S394">
        <f t="shared" si="977"/>
        <v>-29314.094583574122</v>
      </c>
      <c r="T394">
        <f t="shared" si="978"/>
        <v>-29.314094583574121</v>
      </c>
    </row>
    <row r="395" spans="1:20" x14ac:dyDescent="0.25">
      <c r="A395" s="5">
        <v>44198</v>
      </c>
      <c r="B395">
        <v>2.0723999999999999E-2</v>
      </c>
      <c r="C395">
        <v>2.0771999999999999E-2</v>
      </c>
      <c r="D395">
        <v>1.8761E-2</v>
      </c>
      <c r="E395">
        <v>1.9255999999999999E-2</v>
      </c>
      <c r="F395">
        <v>476573389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-0.50770760815514748</v>
      </c>
      <c r="Q395">
        <f t="shared" si="975"/>
        <v>-241959935.43958268</v>
      </c>
      <c r="R395">
        <f t="shared" si="976"/>
        <v>-2849783186.5655379</v>
      </c>
      <c r="S395">
        <f t="shared" si="977"/>
        <v>-28497.831865655378</v>
      </c>
      <c r="T395">
        <f t="shared" si="978"/>
        <v>-28.497831865655378</v>
      </c>
    </row>
    <row r="396" spans="1:20" x14ac:dyDescent="0.25">
      <c r="A396" s="5">
        <v>44197</v>
      </c>
      <c r="B396">
        <v>2.1253999999999999E-2</v>
      </c>
      <c r="C396">
        <v>2.1940000000000001E-2</v>
      </c>
      <c r="D396">
        <v>1.9744999999999999E-2</v>
      </c>
      <c r="E396">
        <v>2.0739E-2</v>
      </c>
      <c r="F396">
        <v>436122427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-9.4305239179953815E-2</v>
      </c>
      <c r="Q396">
        <f t="shared" si="975"/>
        <v>-41128629.789976947</v>
      </c>
      <c r="R396">
        <f t="shared" si="976"/>
        <v>-2607823251.1259551</v>
      </c>
      <c r="S396">
        <f t="shared" si="977"/>
        <v>-26078.23251125955</v>
      </c>
      <c r="T396">
        <f t="shared" si="978"/>
        <v>-26.07823251125955</v>
      </c>
    </row>
    <row r="397" spans="1:20" x14ac:dyDescent="0.25">
      <c r="A397" s="5">
        <v>44196</v>
      </c>
      <c r="B397">
        <v>2.2862E-2</v>
      </c>
      <c r="C397">
        <v>2.2988999999999999E-2</v>
      </c>
      <c r="D397">
        <v>1.9060000000000001E-2</v>
      </c>
      <c r="E397">
        <v>2.1256000000000001E-2</v>
      </c>
      <c r="F397">
        <v>1039128599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0.11784168999745527</v>
      </c>
      <c r="Q397">
        <f t="shared" si="975"/>
        <v>122452670.23084801</v>
      </c>
      <c r="R397">
        <f t="shared" si="976"/>
        <v>-2566694621.335978</v>
      </c>
      <c r="S397">
        <f t="shared" si="977"/>
        <v>-25666.946213359781</v>
      </c>
      <c r="T397">
        <f t="shared" si="978"/>
        <v>-25.666946213359783</v>
      </c>
    </row>
    <row r="398" spans="1:20" x14ac:dyDescent="0.25">
      <c r="A398" s="5">
        <v>44195</v>
      </c>
      <c r="B398">
        <v>2.8400000000000002E-2</v>
      </c>
      <c r="C398">
        <v>2.938E-2</v>
      </c>
      <c r="D398">
        <v>2.1371000000000001E-2</v>
      </c>
      <c r="E398">
        <v>2.2950999999999999E-2</v>
      </c>
      <c r="F398">
        <v>1619585445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-0.60544387563990554</v>
      </c>
      <c r="Q398">
        <f t="shared" si="975"/>
        <v>-980568088.75078106</v>
      </c>
      <c r="R398">
        <f t="shared" si="976"/>
        <v>-2689147291.5668259</v>
      </c>
      <c r="S398">
        <f t="shared" si="977"/>
        <v>-26891.472915668259</v>
      </c>
      <c r="T398">
        <f t="shared" si="978"/>
        <v>-26.89147291566826</v>
      </c>
    </row>
    <row r="399" spans="1:20" x14ac:dyDescent="0.25">
      <c r="A399" s="5">
        <v>44194</v>
      </c>
      <c r="B399">
        <v>2.7546000000000001E-2</v>
      </c>
      <c r="C399">
        <v>3.0594E-2</v>
      </c>
      <c r="D399">
        <v>2.7165999999999999E-2</v>
      </c>
      <c r="E399">
        <v>2.8393999999999999E-2</v>
      </c>
      <c r="F399">
        <v>1222523107</v>
      </c>
      <c r="G399">
        <v>0</v>
      </c>
      <c r="L399" t="s">
        <v>8</v>
      </c>
      <c r="M399" t="s">
        <v>8</v>
      </c>
      <c r="N399" t="s">
        <v>8</v>
      </c>
      <c r="P399">
        <f t="shared" si="974"/>
        <v>-0.28354725787631285</v>
      </c>
      <c r="Q399">
        <f t="shared" si="975"/>
        <v>-346643074.68028021</v>
      </c>
      <c r="R399">
        <f t="shared" si="976"/>
        <v>-1708579202.8160448</v>
      </c>
      <c r="S399">
        <f t="shared" si="977"/>
        <v>-17085.792028160449</v>
      </c>
      <c r="T399">
        <f t="shared" si="978"/>
        <v>-17.085792028160448</v>
      </c>
    </row>
    <row r="400" spans="1:20" x14ac:dyDescent="0.25">
      <c r="A400" s="5">
        <v>44193</v>
      </c>
      <c r="B400">
        <v>2.3942000000000001E-2</v>
      </c>
      <c r="C400">
        <v>2.9000000000000001E-2</v>
      </c>
      <c r="D400">
        <v>2.315E-2</v>
      </c>
      <c r="E400">
        <v>2.7585999999999999E-2</v>
      </c>
      <c r="F400">
        <v>1306783191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0.51658119658119594</v>
      </c>
      <c r="Q400">
        <f t="shared" si="975"/>
        <v>675059624.47897351</v>
      </c>
      <c r="R400">
        <f t="shared" si="976"/>
        <v>-1361936128.1357646</v>
      </c>
      <c r="S400">
        <f t="shared" si="977"/>
        <v>-13619.361281357646</v>
      </c>
      <c r="T400">
        <f t="shared" si="978"/>
        <v>-13.619361281357646</v>
      </c>
    </row>
    <row r="401" spans="1:20" x14ac:dyDescent="0.25">
      <c r="A401" s="5">
        <v>44192</v>
      </c>
      <c r="B401">
        <v>2.1146999999999999E-2</v>
      </c>
      <c r="C401">
        <v>2.4E-2</v>
      </c>
      <c r="D401">
        <v>2.0105000000000001E-2</v>
      </c>
      <c r="E401">
        <v>2.4E-2</v>
      </c>
      <c r="F401">
        <v>883262921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1</v>
      </c>
      <c r="Q401">
        <f t="shared" si="975"/>
        <v>883262921</v>
      </c>
      <c r="R401">
        <f t="shared" si="976"/>
        <v>-2036995752.614738</v>
      </c>
      <c r="S401">
        <f t="shared" si="977"/>
        <v>-20369.95752614738</v>
      </c>
      <c r="T401">
        <f t="shared" si="978"/>
        <v>-20.369957526147381</v>
      </c>
    </row>
    <row r="402" spans="1:20" x14ac:dyDescent="0.25">
      <c r="A402" s="5">
        <v>44191</v>
      </c>
      <c r="B402">
        <v>1.9191E-2</v>
      </c>
      <c r="C402">
        <v>2.2357999999999999E-2</v>
      </c>
      <c r="D402">
        <v>1.8800000000000001E-2</v>
      </c>
      <c r="E402">
        <v>2.1148E-2</v>
      </c>
      <c r="F402">
        <v>798176677</v>
      </c>
      <c r="G402">
        <v>0</v>
      </c>
      <c r="L402" t="s">
        <v>8</v>
      </c>
      <c r="M402" t="s">
        <v>8</v>
      </c>
      <c r="N402" t="s">
        <v>8</v>
      </c>
      <c r="P402">
        <f t="shared" si="974"/>
        <v>0.31984260820685795</v>
      </c>
      <c r="Q402">
        <f t="shared" si="975"/>
        <v>255290910.18156281</v>
      </c>
      <c r="R402">
        <f t="shared" si="976"/>
        <v>-2920258673.614738</v>
      </c>
      <c r="S402">
        <f t="shared" si="977"/>
        <v>-29202.586736147379</v>
      </c>
      <c r="T402">
        <f t="shared" si="978"/>
        <v>-29.202586736147378</v>
      </c>
    </row>
    <row r="403" spans="1:20" x14ac:dyDescent="0.25">
      <c r="A403" s="5">
        <v>44190</v>
      </c>
      <c r="B403">
        <v>1.882E-2</v>
      </c>
      <c r="C403">
        <v>1.9820999999999998E-2</v>
      </c>
      <c r="D403">
        <v>1.8373E-2</v>
      </c>
      <c r="E403">
        <v>1.9186000000000002E-2</v>
      </c>
      <c r="F403">
        <v>588173945</v>
      </c>
      <c r="G403">
        <v>0</v>
      </c>
      <c r="L403" t="s">
        <v>7</v>
      </c>
      <c r="M403" t="s">
        <v>8</v>
      </c>
      <c r="N403" t="s">
        <v>8</v>
      </c>
      <c r="P403">
        <f t="shared" si="974"/>
        <v>0.12292817679558343</v>
      </c>
      <c r="Q403">
        <f t="shared" si="975"/>
        <v>72303150.697515771</v>
      </c>
      <c r="R403">
        <f t="shared" si="976"/>
        <v>-3175549583.7963009</v>
      </c>
      <c r="S403">
        <f t="shared" si="977"/>
        <v>-31755.495837963008</v>
      </c>
      <c r="T403">
        <f t="shared" si="978"/>
        <v>-31.755495837963007</v>
      </c>
    </row>
    <row r="404" spans="1:20" x14ac:dyDescent="0.25">
      <c r="A404" s="5">
        <v>44189</v>
      </c>
      <c r="B404">
        <v>1.8062000000000002E-2</v>
      </c>
      <c r="C404">
        <v>2.0400000000000001E-2</v>
      </c>
      <c r="D404">
        <v>1.7000000000000001E-2</v>
      </c>
      <c r="E404">
        <v>1.8806E-2</v>
      </c>
      <c r="F404">
        <v>771567180</v>
      </c>
      <c r="G404">
        <v>0</v>
      </c>
      <c r="L404" t="s">
        <v>8</v>
      </c>
      <c r="M404" t="s">
        <v>8</v>
      </c>
      <c r="N404" t="s">
        <v>8</v>
      </c>
      <c r="P404">
        <f t="shared" si="974"/>
        <v>6.2352941176469674E-2</v>
      </c>
      <c r="Q404">
        <f t="shared" si="975"/>
        <v>48109482.988234587</v>
      </c>
      <c r="R404">
        <f t="shared" si="976"/>
        <v>-3247852734.4938169</v>
      </c>
      <c r="S404">
        <f t="shared" si="977"/>
        <v>-32478.527344938168</v>
      </c>
      <c r="T404">
        <f t="shared" si="978"/>
        <v>-32.478527344938165</v>
      </c>
    </row>
    <row r="405" spans="1:20" x14ac:dyDescent="0.25">
      <c r="A405" s="5">
        <v>44188</v>
      </c>
      <c r="B405">
        <v>1.7387E-2</v>
      </c>
      <c r="C405">
        <v>2.3546999999999998E-2</v>
      </c>
      <c r="D405">
        <v>1.5703999999999999E-2</v>
      </c>
      <c r="E405">
        <v>1.8090999999999999E-2</v>
      </c>
      <c r="F405">
        <v>1333991449</v>
      </c>
      <c r="G405">
        <v>0</v>
      </c>
      <c r="L405" t="s">
        <v>7</v>
      </c>
      <c r="M405" t="s">
        <v>7</v>
      </c>
      <c r="N405" t="s">
        <v>8</v>
      </c>
      <c r="P405">
        <f t="shared" si="974"/>
        <v>-0.39130434782608686</v>
      </c>
      <c r="Q405">
        <f t="shared" si="975"/>
        <v>-521996653.95652163</v>
      </c>
      <c r="R405">
        <f t="shared" si="976"/>
        <v>-3295962217.4820514</v>
      </c>
      <c r="S405">
        <f t="shared" si="977"/>
        <v>-32959.622174820513</v>
      </c>
      <c r="T405">
        <f t="shared" si="978"/>
        <v>-32.959622174820517</v>
      </c>
    </row>
    <row r="406" spans="1:20" x14ac:dyDescent="0.25">
      <c r="A406" s="5">
        <v>44187</v>
      </c>
      <c r="B406">
        <v>1.8848E-2</v>
      </c>
      <c r="C406">
        <v>1.959E-2</v>
      </c>
      <c r="D406">
        <v>1.6150000000000001E-2</v>
      </c>
      <c r="E406">
        <v>1.7389999999999999E-2</v>
      </c>
      <c r="F406">
        <v>592627256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-0.27906976744186129</v>
      </c>
      <c r="Q406">
        <f t="shared" si="975"/>
        <v>-165384350.51162839</v>
      </c>
      <c r="R406">
        <f t="shared" si="976"/>
        <v>-2773965563.5255299</v>
      </c>
      <c r="S406">
        <f t="shared" si="977"/>
        <v>-27739.655635255298</v>
      </c>
      <c r="T406">
        <f t="shared" si="978"/>
        <v>-27.739655635255296</v>
      </c>
    </row>
    <row r="407" spans="1:20" x14ac:dyDescent="0.25">
      <c r="A407" s="5">
        <v>44186</v>
      </c>
      <c r="B407">
        <v>1.5807999999999999E-2</v>
      </c>
      <c r="C407">
        <v>2.46E-2</v>
      </c>
      <c r="D407">
        <v>1.5786999999999999E-2</v>
      </c>
      <c r="E407">
        <v>1.8859000000000001E-2</v>
      </c>
      <c r="F407">
        <v>2227679749</v>
      </c>
      <c r="G407">
        <v>0</v>
      </c>
      <c r="L407" t="s">
        <v>8</v>
      </c>
      <c r="M407" t="s">
        <v>8</v>
      </c>
      <c r="N407" t="s">
        <v>8</v>
      </c>
      <c r="P407">
        <f t="shared" si="974"/>
        <v>-0.30284806535799358</v>
      </c>
      <c r="Q407">
        <f t="shared" si="975"/>
        <v>-674648502.22183073</v>
      </c>
      <c r="R407">
        <f t="shared" si="976"/>
        <v>-2608581213.0139017</v>
      </c>
      <c r="S407">
        <f t="shared" si="977"/>
        <v>-26085.812130139017</v>
      </c>
      <c r="T407">
        <f t="shared" si="978"/>
        <v>-26.085812130139015</v>
      </c>
    </row>
    <row r="408" spans="1:20" x14ac:dyDescent="0.25">
      <c r="A408" s="5">
        <v>44185</v>
      </c>
      <c r="B408">
        <v>1.6101000000000001E-2</v>
      </c>
      <c r="C408">
        <v>1.6999E-2</v>
      </c>
      <c r="D408">
        <v>1.5351999999999999E-2</v>
      </c>
      <c r="E408">
        <v>1.5810000000000001E-2</v>
      </c>
      <c r="F408">
        <v>262634445</v>
      </c>
      <c r="G408">
        <v>0</v>
      </c>
      <c r="L408" t="s">
        <v>7</v>
      </c>
      <c r="M408" t="s">
        <v>8</v>
      </c>
      <c r="N408" t="s">
        <v>8</v>
      </c>
      <c r="P408">
        <f t="shared" si="974"/>
        <v>-0.44383727990285177</v>
      </c>
      <c r="Q408">
        <f t="shared" si="975"/>
        <v>-116566957.67759512</v>
      </c>
      <c r="R408">
        <f t="shared" si="976"/>
        <v>-1933932710.7920709</v>
      </c>
      <c r="S408">
        <f t="shared" si="977"/>
        <v>-19339.327107920708</v>
      </c>
      <c r="T408">
        <f t="shared" si="978"/>
        <v>-19.33932710792071</v>
      </c>
    </row>
    <row r="409" spans="1:20" x14ac:dyDescent="0.25">
      <c r="A409" s="5">
        <v>44184</v>
      </c>
      <c r="B409">
        <v>1.4742E-2</v>
      </c>
      <c r="C409">
        <v>1.7299999999999999E-2</v>
      </c>
      <c r="D409">
        <v>1.4633999999999999E-2</v>
      </c>
      <c r="E409">
        <v>1.6126000000000001E-2</v>
      </c>
      <c r="F409">
        <v>412053019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0.11927981995499026</v>
      </c>
      <c r="Q409">
        <f t="shared" si="975"/>
        <v>49149609.918230183</v>
      </c>
      <c r="R409">
        <f t="shared" si="976"/>
        <v>-1817365753.1144757</v>
      </c>
      <c r="S409">
        <f t="shared" si="977"/>
        <v>-18173.657531144756</v>
      </c>
      <c r="T409">
        <f t="shared" si="978"/>
        <v>-18.173657531144755</v>
      </c>
    </row>
    <row r="410" spans="1:20" x14ac:dyDescent="0.25">
      <c r="A410" s="5">
        <v>44183</v>
      </c>
      <c r="B410">
        <v>1.4508999999999999E-2</v>
      </c>
      <c r="C410">
        <v>1.49E-2</v>
      </c>
      <c r="D410">
        <v>1.4128E-2</v>
      </c>
      <c r="E410">
        <v>1.4742E-2</v>
      </c>
      <c r="F410">
        <v>138767873</v>
      </c>
      <c r="G410">
        <v>0</v>
      </c>
      <c r="L410" t="s">
        <v>7</v>
      </c>
      <c r="M410" t="s">
        <v>8</v>
      </c>
      <c r="N410" t="s">
        <v>8</v>
      </c>
      <c r="P410">
        <f t="shared" si="974"/>
        <v>0.59067357512953333</v>
      </c>
      <c r="Q410">
        <f t="shared" si="975"/>
        <v>81966515.658031046</v>
      </c>
      <c r="R410">
        <f t="shared" si="976"/>
        <v>-1866515363.032706</v>
      </c>
      <c r="S410">
        <f t="shared" si="977"/>
        <v>-18665.153630327059</v>
      </c>
      <c r="T410">
        <f t="shared" si="978"/>
        <v>-18.665153630327058</v>
      </c>
    </row>
    <row r="411" spans="1:20" x14ac:dyDescent="0.25">
      <c r="A411" s="5">
        <v>44182</v>
      </c>
      <c r="B411">
        <v>1.4459E-2</v>
      </c>
      <c r="C411">
        <v>1.5049999999999999E-2</v>
      </c>
      <c r="D411">
        <v>1.3984E-2</v>
      </c>
      <c r="E411">
        <v>1.4515E-2</v>
      </c>
      <c r="F411">
        <v>203343816</v>
      </c>
      <c r="G411">
        <v>0</v>
      </c>
      <c r="L411" t="s">
        <v>7</v>
      </c>
      <c r="M411" t="s">
        <v>8</v>
      </c>
      <c r="N411" t="s">
        <v>8</v>
      </c>
      <c r="P411">
        <f t="shared" si="974"/>
        <v>-3.7523452157587232E-3</v>
      </c>
      <c r="Q411">
        <f t="shared" si="975"/>
        <v>-763016.19512172206</v>
      </c>
      <c r="R411">
        <f t="shared" si="976"/>
        <v>-1948481878.690737</v>
      </c>
      <c r="S411">
        <f t="shared" si="977"/>
        <v>-19484.81878690737</v>
      </c>
      <c r="T411">
        <f t="shared" si="978"/>
        <v>-19.484818786907368</v>
      </c>
    </row>
    <row r="412" spans="1:20" x14ac:dyDescent="0.25">
      <c r="A412" s="5">
        <v>44181</v>
      </c>
      <c r="B412">
        <v>1.4997999999999999E-2</v>
      </c>
      <c r="C412">
        <v>1.5076000000000001E-2</v>
      </c>
      <c r="D412">
        <v>1.4E-2</v>
      </c>
      <c r="E412">
        <v>1.4461999999999999E-2</v>
      </c>
      <c r="F412">
        <v>231282054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-0.14126394052044866</v>
      </c>
      <c r="Q412">
        <f t="shared" si="975"/>
        <v>-32671814.319703195</v>
      </c>
      <c r="R412">
        <f t="shared" si="976"/>
        <v>-1947718862.4956152</v>
      </c>
      <c r="S412">
        <f t="shared" si="977"/>
        <v>-19477.188624956154</v>
      </c>
      <c r="T412">
        <f t="shared" si="978"/>
        <v>-19.477188624956153</v>
      </c>
    </row>
    <row r="413" spans="1:20" x14ac:dyDescent="0.25">
      <c r="A413" s="5">
        <v>44180</v>
      </c>
      <c r="B413">
        <v>1.4749999999999999E-2</v>
      </c>
      <c r="C413">
        <v>1.5994000000000001E-2</v>
      </c>
      <c r="D413">
        <v>1.3756000000000001E-2</v>
      </c>
      <c r="E413">
        <v>1.4994E-2</v>
      </c>
      <c r="F413">
        <v>553782812</v>
      </c>
      <c r="G413">
        <v>0</v>
      </c>
      <c r="L413" t="s">
        <v>7</v>
      </c>
      <c r="M413" t="s">
        <v>8</v>
      </c>
      <c r="N413" t="s">
        <v>8</v>
      </c>
      <c r="P413">
        <f t="shared" si="974"/>
        <v>0.10634495084897166</v>
      </c>
      <c r="Q413">
        <f t="shared" si="975"/>
        <v>58892005.923145317</v>
      </c>
      <c r="R413">
        <f t="shared" si="976"/>
        <v>-1915047048.1759121</v>
      </c>
      <c r="S413">
        <f t="shared" si="977"/>
        <v>-19150.470481759123</v>
      </c>
      <c r="T413">
        <f t="shared" si="978"/>
        <v>-19.150470481759122</v>
      </c>
    </row>
    <row r="414" spans="1:20" x14ac:dyDescent="0.25">
      <c r="A414" s="5">
        <v>44179</v>
      </c>
      <c r="B414">
        <v>1.2614E-2</v>
      </c>
      <c r="C414">
        <v>1.6426E-2</v>
      </c>
      <c r="D414">
        <v>1.2473E-2</v>
      </c>
      <c r="E414">
        <v>1.4706E-2</v>
      </c>
      <c r="F414">
        <v>1031252991</v>
      </c>
      <c r="G414">
        <v>0</v>
      </c>
      <c r="L414" t="s">
        <v>8</v>
      </c>
      <c r="M414" t="s">
        <v>8</v>
      </c>
      <c r="N414" t="s">
        <v>8</v>
      </c>
      <c r="P414">
        <f t="shared" si="974"/>
        <v>0.12977485454085538</v>
      </c>
      <c r="Q414">
        <f t="shared" si="975"/>
        <v>133830706.90184705</v>
      </c>
      <c r="R414">
        <f t="shared" si="976"/>
        <v>-1973939054.0990574</v>
      </c>
      <c r="S414">
        <f t="shared" si="977"/>
        <v>-19739.390540990575</v>
      </c>
      <c r="T414">
        <f t="shared" si="978"/>
        <v>-19.739390540990573</v>
      </c>
    </row>
    <row r="415" spans="1:20" x14ac:dyDescent="0.25">
      <c r="A415" s="5">
        <v>44178</v>
      </c>
      <c r="B415">
        <v>1.2407E-2</v>
      </c>
      <c r="C415">
        <v>1.2844E-2</v>
      </c>
      <c r="D415">
        <v>1.2194E-2</v>
      </c>
      <c r="E415">
        <v>1.2614999999999999E-2</v>
      </c>
      <c r="F415">
        <v>29555526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0.29538461538461475</v>
      </c>
      <c r="Q415">
        <f t="shared" si="975"/>
        <v>8730247.6799999811</v>
      </c>
      <c r="R415">
        <f t="shared" si="976"/>
        <v>-2107769761.0009046</v>
      </c>
      <c r="S415">
        <f t="shared" si="977"/>
        <v>-21077.697610009047</v>
      </c>
      <c r="T415">
        <f t="shared" si="978"/>
        <v>-21.077697610009047</v>
      </c>
    </row>
    <row r="416" spans="1:20" x14ac:dyDescent="0.25">
      <c r="A416" s="5">
        <v>44177</v>
      </c>
      <c r="B416">
        <v>1.2387E-2</v>
      </c>
      <c r="C416">
        <v>1.2869E-2</v>
      </c>
      <c r="D416">
        <v>1.2116999999999999E-2</v>
      </c>
      <c r="E416">
        <v>1.2378999999999999E-2</v>
      </c>
      <c r="F416">
        <v>45189178</v>
      </c>
      <c r="G416">
        <v>0</v>
      </c>
      <c r="L416" t="s">
        <v>8</v>
      </c>
      <c r="M416" t="s">
        <v>7</v>
      </c>
      <c r="N416" t="s">
        <v>8</v>
      </c>
      <c r="P416">
        <f t="shared" si="974"/>
        <v>-0.30319148936170276</v>
      </c>
      <c r="Q416">
        <f t="shared" si="975"/>
        <v>-13700974.180851093</v>
      </c>
      <c r="R416">
        <f t="shared" si="976"/>
        <v>-2116500008.6809046</v>
      </c>
      <c r="S416">
        <f t="shared" si="977"/>
        <v>-21165.000086809046</v>
      </c>
      <c r="T416">
        <f t="shared" si="978"/>
        <v>-21.165000086809048</v>
      </c>
    </row>
    <row r="417" spans="1:20" x14ac:dyDescent="0.25">
      <c r="A417" s="5">
        <v>44176</v>
      </c>
      <c r="B417">
        <v>1.1998999999999999E-2</v>
      </c>
      <c r="C417">
        <v>1.2718999999999999E-2</v>
      </c>
      <c r="D417">
        <v>1.1337E-2</v>
      </c>
      <c r="E417">
        <v>1.2387E-2</v>
      </c>
      <c r="F417">
        <v>57709315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0.51953690303907518</v>
      </c>
      <c r="Q417">
        <f t="shared" si="975"/>
        <v>29982118.791606449</v>
      </c>
      <c r="R417">
        <f t="shared" si="976"/>
        <v>-2102799034.5000536</v>
      </c>
      <c r="S417">
        <f t="shared" si="977"/>
        <v>-21027.990345000537</v>
      </c>
      <c r="T417">
        <f t="shared" si="978"/>
        <v>-21.027990345000536</v>
      </c>
    </row>
    <row r="418" spans="1:20" x14ac:dyDescent="0.25">
      <c r="A418" s="5">
        <v>44175</v>
      </c>
      <c r="B418">
        <v>1.2159E-2</v>
      </c>
      <c r="C418">
        <v>1.2205000000000001E-2</v>
      </c>
      <c r="D418">
        <v>1.1695000000000001E-2</v>
      </c>
      <c r="E418">
        <v>1.2001E-2</v>
      </c>
      <c r="F418">
        <v>35269941</v>
      </c>
      <c r="G418">
        <v>0</v>
      </c>
      <c r="L418" t="s">
        <v>7</v>
      </c>
      <c r="M418" t="s">
        <v>7</v>
      </c>
      <c r="N418" t="s">
        <v>8</v>
      </c>
      <c r="P418">
        <f t="shared" si="974"/>
        <v>0.19999999999999593</v>
      </c>
      <c r="Q418">
        <f t="shared" si="975"/>
        <v>7053988.1999998568</v>
      </c>
      <c r="R418">
        <f t="shared" si="976"/>
        <v>-2132781153.2916601</v>
      </c>
      <c r="S418">
        <f t="shared" si="977"/>
        <v>-21327.811532916599</v>
      </c>
      <c r="T418">
        <f t="shared" si="978"/>
        <v>-21.327811532916598</v>
      </c>
    </row>
    <row r="419" spans="1:20" x14ac:dyDescent="0.25">
      <c r="A419" s="5">
        <v>44174</v>
      </c>
      <c r="B419">
        <v>1.222E-2</v>
      </c>
      <c r="C419">
        <v>1.2246E-2</v>
      </c>
      <c r="D419">
        <v>1.145E-2</v>
      </c>
      <c r="E419">
        <v>1.2159E-2</v>
      </c>
      <c r="F419">
        <v>59423989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0.78140703517587862</v>
      </c>
      <c r="Q419">
        <f t="shared" si="975"/>
        <v>46434323.062814027</v>
      </c>
      <c r="R419">
        <f t="shared" si="976"/>
        <v>-2139835141.4916599</v>
      </c>
      <c r="S419">
        <f t="shared" si="977"/>
        <v>-21398.3514149166</v>
      </c>
      <c r="T419">
        <f t="shared" si="978"/>
        <v>-21.398351414916601</v>
      </c>
    </row>
    <row r="420" spans="1:20" x14ac:dyDescent="0.25">
      <c r="A420" s="5">
        <v>44173</v>
      </c>
      <c r="B420">
        <v>1.2768E-2</v>
      </c>
      <c r="C420">
        <v>1.2796999999999999E-2</v>
      </c>
      <c r="D420">
        <v>1.2121E-2</v>
      </c>
      <c r="E420">
        <v>1.226E-2</v>
      </c>
      <c r="F420">
        <v>50182432</v>
      </c>
      <c r="G420">
        <v>0</v>
      </c>
      <c r="L420" t="s">
        <v>7</v>
      </c>
      <c r="M420" t="s">
        <v>8</v>
      </c>
      <c r="N420" t="s">
        <v>8</v>
      </c>
      <c r="P420">
        <f t="shared" si="974"/>
        <v>-0.58875739644970315</v>
      </c>
      <c r="Q420">
        <f t="shared" si="975"/>
        <v>-29545278.011834271</v>
      </c>
      <c r="R420">
        <f t="shared" si="976"/>
        <v>-2186269464.5544739</v>
      </c>
      <c r="S420">
        <f t="shared" si="977"/>
        <v>-21862.69464554474</v>
      </c>
      <c r="T420">
        <f t="shared" si="978"/>
        <v>-21.862694645544739</v>
      </c>
    </row>
    <row r="421" spans="1:20" x14ac:dyDescent="0.25">
      <c r="A421" s="5">
        <v>44172</v>
      </c>
      <c r="B421">
        <v>1.2716999999999999E-2</v>
      </c>
      <c r="C421">
        <v>1.3180000000000001E-2</v>
      </c>
      <c r="D421">
        <v>1.2525E-2</v>
      </c>
      <c r="E421">
        <v>1.2766E-2</v>
      </c>
      <c r="F421">
        <v>57246133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-0.26412213740458168</v>
      </c>
      <c r="Q421">
        <f t="shared" si="975"/>
        <v>-15119971.006106958</v>
      </c>
      <c r="R421">
        <f t="shared" si="976"/>
        <v>-2156724186.5426397</v>
      </c>
      <c r="S421">
        <f t="shared" si="977"/>
        <v>-21567.241865426397</v>
      </c>
      <c r="T421">
        <f t="shared" si="978"/>
        <v>-21.567241865426396</v>
      </c>
    </row>
    <row r="422" spans="1:20" x14ac:dyDescent="0.25">
      <c r="A422" s="5">
        <v>44171</v>
      </c>
      <c r="B422">
        <v>1.2664999999999999E-2</v>
      </c>
      <c r="C422">
        <v>1.2840000000000001E-2</v>
      </c>
      <c r="D422">
        <v>1.2239999999999999E-2</v>
      </c>
      <c r="E422">
        <v>1.2704E-2</v>
      </c>
      <c r="F422">
        <v>25189707</v>
      </c>
      <c r="G422">
        <v>0</v>
      </c>
      <c r="L422" t="s">
        <v>8</v>
      </c>
      <c r="M422" t="s">
        <v>8</v>
      </c>
      <c r="N422" t="s">
        <v>8</v>
      </c>
      <c r="P422">
        <f t="shared" si="974"/>
        <v>0.54666666666666552</v>
      </c>
      <c r="Q422">
        <f t="shared" si="975"/>
        <v>13770373.15999997</v>
      </c>
      <c r="R422">
        <f t="shared" si="976"/>
        <v>-2141604215.5365326</v>
      </c>
      <c r="S422">
        <f t="shared" si="977"/>
        <v>-21416.042155365325</v>
      </c>
      <c r="T422">
        <f t="shared" si="978"/>
        <v>-21.416042155365325</v>
      </c>
    </row>
    <row r="423" spans="1:20" x14ac:dyDescent="0.25">
      <c r="A423" s="5">
        <v>44170</v>
      </c>
      <c r="B423">
        <v>1.2224E-2</v>
      </c>
      <c r="C423">
        <v>1.2699999999999999E-2</v>
      </c>
      <c r="D423">
        <v>1.2050999999999999E-2</v>
      </c>
      <c r="E423">
        <v>1.2699999999999999E-2</v>
      </c>
      <c r="F423">
        <v>33775100</v>
      </c>
      <c r="G423">
        <v>0</v>
      </c>
      <c r="L423" t="s">
        <v>7</v>
      </c>
      <c r="M423" t="s">
        <v>8</v>
      </c>
      <c r="N423" t="s">
        <v>8</v>
      </c>
      <c r="P423">
        <f t="shared" si="974"/>
        <v>1</v>
      </c>
      <c r="Q423">
        <f t="shared" si="975"/>
        <v>33775100</v>
      </c>
      <c r="R423">
        <f t="shared" si="976"/>
        <v>-2155374588.6965327</v>
      </c>
      <c r="S423">
        <f t="shared" si="977"/>
        <v>-21553.745886965327</v>
      </c>
      <c r="T423">
        <f t="shared" si="978"/>
        <v>-21.553745886965327</v>
      </c>
    </row>
    <row r="424" spans="1:20" x14ac:dyDescent="0.25">
      <c r="A424" s="5">
        <v>44169</v>
      </c>
      <c r="B424">
        <v>1.3002E-2</v>
      </c>
      <c r="C424">
        <v>1.306E-2</v>
      </c>
      <c r="D424">
        <v>1.2175999999999999E-2</v>
      </c>
      <c r="E424">
        <v>1.2229E-2</v>
      </c>
      <c r="F424">
        <v>82942542</v>
      </c>
      <c r="G424">
        <v>0</v>
      </c>
      <c r="L424" t="s">
        <v>7</v>
      </c>
      <c r="M424" t="s">
        <v>8</v>
      </c>
      <c r="N424" t="s">
        <v>8</v>
      </c>
      <c r="P424">
        <f t="shared" si="974"/>
        <v>-0.88009049773755454</v>
      </c>
      <c r="Q424">
        <f t="shared" si="975"/>
        <v>-72996943.072398022</v>
      </c>
      <c r="R424">
        <f t="shared" si="976"/>
        <v>-2189149688.6965327</v>
      </c>
      <c r="S424">
        <f t="shared" si="977"/>
        <v>-21891.496886965328</v>
      </c>
      <c r="T424">
        <f t="shared" si="978"/>
        <v>-21.891496886965328</v>
      </c>
    </row>
    <row r="425" spans="1:20" x14ac:dyDescent="0.25">
      <c r="A425" s="5">
        <v>44168</v>
      </c>
      <c r="B425">
        <v>1.2912E-2</v>
      </c>
      <c r="C425">
        <v>1.3417999999999999E-2</v>
      </c>
      <c r="D425">
        <v>1.2171E-2</v>
      </c>
      <c r="E425">
        <v>1.3051999999999999E-2</v>
      </c>
      <c r="F425">
        <v>85111917</v>
      </c>
      <c r="G425">
        <v>0</v>
      </c>
      <c r="L425" t="s">
        <v>7</v>
      </c>
      <c r="M425" t="s">
        <v>8</v>
      </c>
      <c r="N425" t="s">
        <v>8</v>
      </c>
      <c r="P425">
        <f t="shared" si="974"/>
        <v>0.41299117882918995</v>
      </c>
      <c r="Q425">
        <f t="shared" si="975"/>
        <v>35150470.934242174</v>
      </c>
      <c r="R425">
        <f t="shared" si="976"/>
        <v>-2116152745.6241345</v>
      </c>
      <c r="S425">
        <f t="shared" si="977"/>
        <v>-21161.527456241347</v>
      </c>
      <c r="T425">
        <f t="shared" si="978"/>
        <v>-21.161527456241348</v>
      </c>
    </row>
    <row r="426" spans="1:20" x14ac:dyDescent="0.25">
      <c r="A426" s="5">
        <v>44167</v>
      </c>
      <c r="B426">
        <v>1.2076E-2</v>
      </c>
      <c r="C426">
        <v>1.3712E-2</v>
      </c>
      <c r="D426">
        <v>1.1601E-2</v>
      </c>
      <c r="E426">
        <v>1.2914999999999999E-2</v>
      </c>
      <c r="F426">
        <v>211060224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0.24490762671719488</v>
      </c>
      <c r="Q426">
        <f t="shared" si="975"/>
        <v>51690258.554239534</v>
      </c>
      <c r="R426">
        <f t="shared" si="976"/>
        <v>-2151303216.5583768</v>
      </c>
      <c r="S426">
        <f t="shared" si="977"/>
        <v>-21513.032165583769</v>
      </c>
      <c r="T426">
        <f t="shared" si="978"/>
        <v>-21.51303216558377</v>
      </c>
    </row>
    <row r="427" spans="1:20" x14ac:dyDescent="0.25">
      <c r="A427" s="5">
        <v>44166</v>
      </c>
      <c r="B427">
        <v>1.2178E-2</v>
      </c>
      <c r="C427">
        <v>1.3099E-2</v>
      </c>
      <c r="D427">
        <v>1.15E-2</v>
      </c>
      <c r="E427">
        <v>1.2092E-2</v>
      </c>
      <c r="F427">
        <v>104086803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-0.2595372107567222</v>
      </c>
      <c r="Q427">
        <f t="shared" si="975"/>
        <v>-27014398.527204424</v>
      </c>
      <c r="R427">
        <f t="shared" si="976"/>
        <v>-2202993475.1126165</v>
      </c>
      <c r="S427">
        <f t="shared" si="977"/>
        <v>-22029.934751126166</v>
      </c>
      <c r="T427">
        <f t="shared" si="978"/>
        <v>-22.029934751126167</v>
      </c>
    </row>
    <row r="428" spans="1:20" x14ac:dyDescent="0.25">
      <c r="A428" s="5">
        <v>44165</v>
      </c>
      <c r="B428">
        <v>1.1662E-2</v>
      </c>
      <c r="C428">
        <v>1.2555E-2</v>
      </c>
      <c r="D428">
        <v>1.133E-2</v>
      </c>
      <c r="E428">
        <v>1.2177E-2</v>
      </c>
      <c r="F428">
        <v>141776048</v>
      </c>
      <c r="G428">
        <v>0</v>
      </c>
      <c r="L428" t="s">
        <v>8</v>
      </c>
      <c r="M428" t="s">
        <v>7</v>
      </c>
      <c r="N428" t="s">
        <v>8</v>
      </c>
      <c r="P428">
        <f t="shared" si="974"/>
        <v>0.38285714285714328</v>
      </c>
      <c r="Q428">
        <f t="shared" si="975"/>
        <v>54279972.662857205</v>
      </c>
      <c r="R428">
        <f t="shared" si="976"/>
        <v>-2175979076.585412</v>
      </c>
      <c r="S428">
        <f t="shared" si="977"/>
        <v>-21759.790765854119</v>
      </c>
      <c r="T428">
        <f t="shared" si="978"/>
        <v>-21.75979076585412</v>
      </c>
    </row>
    <row r="429" spans="1:20" x14ac:dyDescent="0.25">
      <c r="A429" s="5">
        <v>44164</v>
      </c>
      <c r="B429">
        <v>1.1780000000000001E-2</v>
      </c>
      <c r="C429">
        <v>1.1923E-2</v>
      </c>
      <c r="D429">
        <v>1.1379999999999999E-2</v>
      </c>
      <c r="E429">
        <v>1.1662E-2</v>
      </c>
      <c r="F429">
        <v>40595189</v>
      </c>
      <c r="G429">
        <v>0</v>
      </c>
      <c r="L429" t="s">
        <v>7</v>
      </c>
      <c r="M429" t="s">
        <v>7</v>
      </c>
      <c r="N429" t="s">
        <v>8</v>
      </c>
      <c r="P429">
        <f t="shared" si="974"/>
        <v>3.8674033149174801E-2</v>
      </c>
      <c r="Q429">
        <f t="shared" si="975"/>
        <v>1569979.6850830163</v>
      </c>
      <c r="R429">
        <f t="shared" si="976"/>
        <v>-2230259049.2482691</v>
      </c>
      <c r="S429">
        <f t="shared" si="977"/>
        <v>-22302.59049248269</v>
      </c>
      <c r="T429">
        <f t="shared" si="978"/>
        <v>-22.30259049248269</v>
      </c>
    </row>
    <row r="430" spans="1:20" x14ac:dyDescent="0.25">
      <c r="A430" s="5">
        <v>44163</v>
      </c>
      <c r="B430">
        <v>1.1594E-2</v>
      </c>
      <c r="C430">
        <v>1.2092E-2</v>
      </c>
      <c r="D430">
        <v>1.1220000000000001E-2</v>
      </c>
      <c r="E430">
        <v>1.1780000000000001E-2</v>
      </c>
      <c r="F430">
        <v>53184412</v>
      </c>
      <c r="G430">
        <v>0</v>
      </c>
      <c r="L430" t="s">
        <v>7</v>
      </c>
      <c r="M430" t="s">
        <v>7</v>
      </c>
      <c r="N430" t="s">
        <v>8</v>
      </c>
      <c r="P430">
        <f t="shared" si="974"/>
        <v>0.28440366972477077</v>
      </c>
      <c r="Q430">
        <f t="shared" si="975"/>
        <v>15125841.944954135</v>
      </c>
      <c r="R430">
        <f t="shared" si="976"/>
        <v>-2231829028.933352</v>
      </c>
      <c r="S430">
        <f t="shared" si="977"/>
        <v>-22318.290289333519</v>
      </c>
      <c r="T430">
        <f t="shared" si="978"/>
        <v>-22.318290289333518</v>
      </c>
    </row>
    <row r="431" spans="1:20" x14ac:dyDescent="0.25">
      <c r="A431" s="5">
        <v>44162</v>
      </c>
      <c r="B431">
        <v>1.1964000000000001E-2</v>
      </c>
      <c r="C431">
        <v>1.2279999999999999E-2</v>
      </c>
      <c r="D431">
        <v>1.1214E-2</v>
      </c>
      <c r="E431">
        <v>1.1585E-2</v>
      </c>
      <c r="F431">
        <v>60600222</v>
      </c>
      <c r="G431">
        <v>0</v>
      </c>
      <c r="L431" t="s">
        <v>8</v>
      </c>
      <c r="M431" t="s">
        <v>7</v>
      </c>
      <c r="N431" t="s">
        <v>8</v>
      </c>
      <c r="P431">
        <f t="shared" si="974"/>
        <v>-0.3039399624765477</v>
      </c>
      <c r="Q431">
        <f t="shared" si="975"/>
        <v>-18418829.200750459</v>
      </c>
      <c r="R431">
        <f t="shared" si="976"/>
        <v>-2246954870.8783059</v>
      </c>
      <c r="S431">
        <f t="shared" si="977"/>
        <v>-22469.548708783059</v>
      </c>
      <c r="T431">
        <f t="shared" si="978"/>
        <v>-22.469548708783059</v>
      </c>
    </row>
    <row r="432" spans="1:20" x14ac:dyDescent="0.25">
      <c r="A432" s="5">
        <v>44161</v>
      </c>
      <c r="B432">
        <v>1.3367E-2</v>
      </c>
      <c r="C432">
        <v>1.3865000000000001E-2</v>
      </c>
      <c r="D432">
        <v>1.0919999999999999E-2</v>
      </c>
      <c r="E432">
        <v>1.1964000000000001E-2</v>
      </c>
      <c r="F432">
        <v>137478646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-0.29100169779286861</v>
      </c>
      <c r="Q432">
        <f t="shared" si="975"/>
        <v>-40006519.396264762</v>
      </c>
      <c r="R432">
        <f t="shared" si="976"/>
        <v>-2228536041.6775556</v>
      </c>
      <c r="S432">
        <f t="shared" si="977"/>
        <v>-22285.360416775555</v>
      </c>
      <c r="T432">
        <f t="shared" si="978"/>
        <v>-22.285360416775553</v>
      </c>
    </row>
    <row r="433" spans="1:20" x14ac:dyDescent="0.25">
      <c r="A433" s="5">
        <v>44160</v>
      </c>
      <c r="B433">
        <v>1.2522E-2</v>
      </c>
      <c r="C433">
        <v>1.4659999999999999E-2</v>
      </c>
      <c r="D433">
        <v>1.2104999999999999E-2</v>
      </c>
      <c r="E433">
        <v>1.3422E-2</v>
      </c>
      <c r="F433">
        <v>300335726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3.091976516634088E-2</v>
      </c>
      <c r="Q433">
        <f t="shared" si="975"/>
        <v>9286310.1189824995</v>
      </c>
      <c r="R433">
        <f t="shared" si="976"/>
        <v>-2188529522.281291</v>
      </c>
      <c r="S433">
        <f t="shared" si="977"/>
        <v>-21885.295222812911</v>
      </c>
      <c r="T433">
        <f t="shared" si="978"/>
        <v>-21.885295222812911</v>
      </c>
    </row>
    <row r="434" spans="1:20" x14ac:dyDescent="0.25">
      <c r="A434" s="5">
        <v>44159</v>
      </c>
      <c r="B434">
        <v>1.196E-2</v>
      </c>
      <c r="C434">
        <v>1.3129999999999999E-2</v>
      </c>
      <c r="D434">
        <v>1.18E-2</v>
      </c>
      <c r="E434">
        <v>1.252E-2</v>
      </c>
      <c r="F434">
        <v>193310885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8.2706766917293797E-2</v>
      </c>
      <c r="Q434">
        <f t="shared" si="975"/>
        <v>15988118.308270786</v>
      </c>
      <c r="R434">
        <f t="shared" si="976"/>
        <v>-2197815832.4002733</v>
      </c>
      <c r="S434">
        <f t="shared" si="977"/>
        <v>-21978.158324002732</v>
      </c>
      <c r="T434">
        <f t="shared" si="978"/>
        <v>-21.978158324002731</v>
      </c>
    </row>
    <row r="435" spans="1:20" x14ac:dyDescent="0.25">
      <c r="A435" s="5">
        <v>44158</v>
      </c>
      <c r="B435">
        <v>1.1143999999999999E-2</v>
      </c>
      <c r="C435">
        <v>1.24E-2</v>
      </c>
      <c r="D435">
        <v>1.0978E-2</v>
      </c>
      <c r="E435">
        <v>1.1967999999999999E-2</v>
      </c>
      <c r="F435">
        <v>141657388</v>
      </c>
      <c r="G435">
        <v>0</v>
      </c>
      <c r="L435" t="s">
        <v>8</v>
      </c>
      <c r="M435" t="s">
        <v>8</v>
      </c>
      <c r="N435" t="s">
        <v>7</v>
      </c>
      <c r="P435">
        <f t="shared" si="974"/>
        <v>0.39240506329113894</v>
      </c>
      <c r="Q435">
        <f t="shared" si="975"/>
        <v>55587076.303797424</v>
      </c>
      <c r="R435">
        <f t="shared" si="976"/>
        <v>-2213803950.7085443</v>
      </c>
      <c r="S435">
        <f t="shared" si="977"/>
        <v>-22138.039507085443</v>
      </c>
      <c r="T435">
        <f t="shared" si="978"/>
        <v>-22.138039507085441</v>
      </c>
    </row>
    <row r="436" spans="1:20" x14ac:dyDescent="0.25">
      <c r="A436" s="5">
        <v>44157</v>
      </c>
      <c r="B436">
        <v>1.1568999999999999E-2</v>
      </c>
      <c r="C436">
        <v>1.1646999999999999E-2</v>
      </c>
      <c r="D436">
        <v>1.0671E-2</v>
      </c>
      <c r="E436">
        <v>1.1143999999999999E-2</v>
      </c>
      <c r="F436">
        <v>73127590</v>
      </c>
      <c r="G436">
        <v>0</v>
      </c>
      <c r="L436" t="s">
        <v>7</v>
      </c>
      <c r="M436" t="s">
        <v>8</v>
      </c>
      <c r="N436" t="s">
        <v>7</v>
      </c>
      <c r="P436">
        <f t="shared" si="974"/>
        <v>-3.0737704918033331E-2</v>
      </c>
      <c r="Q436">
        <f t="shared" si="975"/>
        <v>-2247774.2827869249</v>
      </c>
      <c r="R436">
        <f t="shared" si="976"/>
        <v>-2269391027.0123415</v>
      </c>
      <c r="S436">
        <f t="shared" si="977"/>
        <v>-22693.910270123415</v>
      </c>
      <c r="T436">
        <f t="shared" si="978"/>
        <v>-22.693910270123414</v>
      </c>
    </row>
    <row r="437" spans="1:20" x14ac:dyDescent="0.25">
      <c r="A437" s="5">
        <v>44156</v>
      </c>
      <c r="B437">
        <v>1.0969E-2</v>
      </c>
      <c r="C437">
        <v>1.1635E-2</v>
      </c>
      <c r="D437">
        <v>1.0794E-2</v>
      </c>
      <c r="E437">
        <v>1.1551000000000001E-2</v>
      </c>
      <c r="F437">
        <v>86860277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0.80023781212842082</v>
      </c>
      <c r="Q437">
        <f t="shared" si="975"/>
        <v>69508878.027348593</v>
      </c>
      <c r="R437">
        <f t="shared" si="976"/>
        <v>-2267143252.7295547</v>
      </c>
      <c r="S437">
        <f t="shared" si="977"/>
        <v>-22671.432527295547</v>
      </c>
      <c r="T437">
        <f t="shared" si="978"/>
        <v>-22.671432527295547</v>
      </c>
    </row>
    <row r="438" spans="1:20" x14ac:dyDescent="0.25">
      <c r="A438" s="5">
        <v>44155</v>
      </c>
      <c r="B438">
        <v>1.0492E-2</v>
      </c>
      <c r="C438">
        <v>1.1159000000000001E-2</v>
      </c>
      <c r="D438">
        <v>1.0474000000000001E-2</v>
      </c>
      <c r="E438">
        <v>1.0969E-2</v>
      </c>
      <c r="F438">
        <v>43575747</v>
      </c>
      <c r="G438">
        <v>0</v>
      </c>
      <c r="L438" t="s">
        <v>8</v>
      </c>
      <c r="M438" t="s">
        <v>8</v>
      </c>
      <c r="N438" t="s">
        <v>7</v>
      </c>
      <c r="P438">
        <f t="shared" si="974"/>
        <v>0.44525547445255192</v>
      </c>
      <c r="Q438">
        <f t="shared" si="975"/>
        <v>19402339.905109365</v>
      </c>
      <c r="R438">
        <f t="shared" si="976"/>
        <v>-2336652130.7569032</v>
      </c>
      <c r="S438">
        <f t="shared" si="977"/>
        <v>-23366.521307569034</v>
      </c>
      <c r="T438">
        <f t="shared" si="978"/>
        <v>-23.366521307569034</v>
      </c>
    </row>
    <row r="439" spans="1:20" x14ac:dyDescent="0.25">
      <c r="A439" s="5">
        <v>44154</v>
      </c>
      <c r="B439">
        <v>1.0581E-2</v>
      </c>
      <c r="C439">
        <v>1.0808E-2</v>
      </c>
      <c r="D439">
        <v>1.0298E-2</v>
      </c>
      <c r="E439">
        <v>1.0566000000000001E-2</v>
      </c>
      <c r="F439">
        <v>37954510</v>
      </c>
      <c r="G439">
        <v>0</v>
      </c>
      <c r="L439" t="s">
        <v>7</v>
      </c>
      <c r="M439" t="s">
        <v>8</v>
      </c>
      <c r="N439" t="s">
        <v>7</v>
      </c>
      <c r="P439">
        <f t="shared" si="974"/>
        <v>5.098039215686611E-2</v>
      </c>
      <c r="Q439">
        <f t="shared" si="975"/>
        <v>1934935.8039216963</v>
      </c>
      <c r="R439">
        <f t="shared" si="976"/>
        <v>-2356054470.6620126</v>
      </c>
      <c r="S439">
        <f t="shared" si="977"/>
        <v>-23560.544706620127</v>
      </c>
      <c r="T439">
        <f t="shared" si="978"/>
        <v>-23.560544706620128</v>
      </c>
    </row>
    <row r="440" spans="1:20" x14ac:dyDescent="0.25">
      <c r="A440" s="5">
        <v>44153</v>
      </c>
      <c r="B440">
        <v>1.099E-2</v>
      </c>
      <c r="C440">
        <v>1.1148999999999999E-2</v>
      </c>
      <c r="D440">
        <v>1.0319999999999999E-2</v>
      </c>
      <c r="E440">
        <v>1.0581E-2</v>
      </c>
      <c r="F440">
        <v>50202419</v>
      </c>
      <c r="G440">
        <v>0</v>
      </c>
      <c r="L440" t="s">
        <v>7</v>
      </c>
      <c r="M440" t="s">
        <v>8</v>
      </c>
      <c r="N440" t="s">
        <v>7</v>
      </c>
      <c r="P440">
        <f t="shared" si="974"/>
        <v>-0.37032569360675305</v>
      </c>
      <c r="Q440">
        <f t="shared" si="975"/>
        <v>-18591245.636911839</v>
      </c>
      <c r="R440">
        <f t="shared" si="976"/>
        <v>-2357989406.4659343</v>
      </c>
      <c r="S440">
        <f t="shared" si="977"/>
        <v>-23579.894064659344</v>
      </c>
      <c r="T440">
        <f t="shared" si="978"/>
        <v>-23.579894064659342</v>
      </c>
    </row>
    <row r="441" spans="1:20" x14ac:dyDescent="0.25">
      <c r="A441" s="5">
        <v>44152</v>
      </c>
      <c r="B441">
        <v>1.1021E-2</v>
      </c>
      <c r="C441">
        <v>1.1164E-2</v>
      </c>
      <c r="D441">
        <v>1.0699999999999999E-2</v>
      </c>
      <c r="E441">
        <v>1.0973E-2</v>
      </c>
      <c r="F441">
        <v>35727095</v>
      </c>
      <c r="G441">
        <v>0</v>
      </c>
      <c r="L441" t="s">
        <v>8</v>
      </c>
      <c r="M441" t="s">
        <v>8</v>
      </c>
      <c r="N441" t="s">
        <v>7</v>
      </c>
      <c r="P441">
        <f t="shared" si="974"/>
        <v>0.17672413793103517</v>
      </c>
      <c r="Q441">
        <f t="shared" si="975"/>
        <v>6313840.0646551969</v>
      </c>
      <c r="R441">
        <f t="shared" si="976"/>
        <v>-2339398160.8290224</v>
      </c>
      <c r="S441">
        <f t="shared" si="977"/>
        <v>-23393.981608290225</v>
      </c>
      <c r="T441">
        <f t="shared" si="978"/>
        <v>-23.393981608290225</v>
      </c>
    </row>
    <row r="442" spans="1:20" x14ac:dyDescent="0.25">
      <c r="A442" s="5">
        <v>44151</v>
      </c>
      <c r="B442">
        <v>1.0596E-2</v>
      </c>
      <c r="C442">
        <v>1.11E-2</v>
      </c>
      <c r="D442">
        <v>1.0396000000000001E-2</v>
      </c>
      <c r="E442">
        <v>1.1027E-2</v>
      </c>
      <c r="F442">
        <v>33953378</v>
      </c>
      <c r="G442">
        <v>0</v>
      </c>
      <c r="L442" t="s">
        <v>7</v>
      </c>
      <c r="M442" t="s">
        <v>8</v>
      </c>
      <c r="N442" t="s">
        <v>7</v>
      </c>
      <c r="P442">
        <f t="shared" si="974"/>
        <v>0.79261363636363591</v>
      </c>
      <c r="Q442">
        <f t="shared" si="975"/>
        <v>26911910.403409075</v>
      </c>
      <c r="R442">
        <f t="shared" si="976"/>
        <v>-2345712000.8936777</v>
      </c>
      <c r="S442">
        <f t="shared" si="977"/>
        <v>-23457.120008936778</v>
      </c>
      <c r="T442">
        <f t="shared" si="978"/>
        <v>-23.457120008936776</v>
      </c>
    </row>
    <row r="443" spans="1:20" x14ac:dyDescent="0.25">
      <c r="A443" s="5">
        <v>44150</v>
      </c>
      <c r="B443">
        <v>1.0723999999999999E-2</v>
      </c>
      <c r="C443">
        <v>1.0874E-2</v>
      </c>
      <c r="D443">
        <v>1.0411999999999999E-2</v>
      </c>
      <c r="E443">
        <v>1.0571000000000001E-2</v>
      </c>
      <c r="F443">
        <v>15762622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-0.31168831168830757</v>
      </c>
      <c r="Q443">
        <f t="shared" si="975"/>
        <v>-4913025.0389609737</v>
      </c>
      <c r="R443">
        <f t="shared" si="976"/>
        <v>-2372623911.2970867</v>
      </c>
      <c r="S443">
        <f t="shared" si="977"/>
        <v>-23726.239112970867</v>
      </c>
      <c r="T443">
        <f t="shared" si="978"/>
        <v>-23.726239112970866</v>
      </c>
    </row>
    <row r="444" spans="1:20" x14ac:dyDescent="0.25">
      <c r="A444" s="5">
        <v>44149</v>
      </c>
      <c r="B444">
        <v>1.0975E-2</v>
      </c>
      <c r="C444">
        <v>1.0975E-2</v>
      </c>
      <c r="D444">
        <v>1.0477999999999999E-2</v>
      </c>
      <c r="E444">
        <v>1.077E-2</v>
      </c>
      <c r="F444">
        <v>19743706</v>
      </c>
      <c r="G444">
        <v>0</v>
      </c>
      <c r="L444" t="s">
        <v>7</v>
      </c>
      <c r="M444" t="s">
        <v>8</v>
      </c>
      <c r="N444" t="s">
        <v>7</v>
      </c>
      <c r="P444">
        <f t="shared" si="974"/>
        <v>0.17505030181086542</v>
      </c>
      <c r="Q444">
        <f t="shared" si="975"/>
        <v>3456141.6941649946</v>
      </c>
      <c r="R444">
        <f t="shared" si="976"/>
        <v>-2367710886.2581258</v>
      </c>
      <c r="S444">
        <f t="shared" si="977"/>
        <v>-23677.108862581259</v>
      </c>
      <c r="T444">
        <f t="shared" si="978"/>
        <v>-23.67710886258126</v>
      </c>
    </row>
    <row r="445" spans="1:20" x14ac:dyDescent="0.25">
      <c r="A445" s="5">
        <v>44148</v>
      </c>
      <c r="B445">
        <v>1.059E-2</v>
      </c>
      <c r="C445">
        <v>1.1464999999999999E-2</v>
      </c>
      <c r="D445">
        <v>1.0586E-2</v>
      </c>
      <c r="E445">
        <v>1.0975E-2</v>
      </c>
      <c r="F445">
        <v>51731561</v>
      </c>
      <c r="G445">
        <v>0</v>
      </c>
      <c r="L445" t="s">
        <v>8</v>
      </c>
      <c r="M445" t="s">
        <v>8</v>
      </c>
      <c r="N445" t="s">
        <v>7</v>
      </c>
      <c r="P445">
        <f t="shared" si="974"/>
        <v>-0.11490329920363904</v>
      </c>
      <c r="Q445">
        <f t="shared" si="975"/>
        <v>-5944127.0318543045</v>
      </c>
      <c r="R445">
        <f t="shared" si="976"/>
        <v>-2371167027.952291</v>
      </c>
      <c r="S445">
        <f t="shared" si="977"/>
        <v>-23711.67027952291</v>
      </c>
      <c r="T445">
        <f t="shared" si="978"/>
        <v>-23.71167027952291</v>
      </c>
    </row>
    <row r="446" spans="1:20" x14ac:dyDescent="0.25">
      <c r="A446" s="5">
        <v>44147</v>
      </c>
      <c r="B446">
        <v>1.0678999999999999E-2</v>
      </c>
      <c r="C446">
        <v>1.0899000000000001E-2</v>
      </c>
      <c r="D446">
        <v>1.03E-2</v>
      </c>
      <c r="E446">
        <v>1.0596E-2</v>
      </c>
      <c r="F446">
        <v>26962080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-1.1686143572624022E-2</v>
      </c>
      <c r="Q446">
        <f t="shared" si="975"/>
        <v>-315082.73789657472</v>
      </c>
      <c r="R446">
        <f t="shared" si="976"/>
        <v>-2365222900.9204369</v>
      </c>
      <c r="S446">
        <f t="shared" si="977"/>
        <v>-23652.22900920437</v>
      </c>
      <c r="T446">
        <f t="shared" si="978"/>
        <v>-23.652229009204369</v>
      </c>
    </row>
    <row r="447" spans="1:20" x14ac:dyDescent="0.25">
      <c r="A447" s="5">
        <v>44146</v>
      </c>
      <c r="B447">
        <v>1.0883E-2</v>
      </c>
      <c r="C447">
        <v>1.1096999999999999E-2</v>
      </c>
      <c r="D447">
        <v>1.0671999999999999E-2</v>
      </c>
      <c r="E447">
        <v>1.0737999999999999E-2</v>
      </c>
      <c r="F447">
        <v>33210143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-0.68941176470588195</v>
      </c>
      <c r="Q447">
        <f t="shared" si="975"/>
        <v>-22895463.291764691</v>
      </c>
      <c r="R447">
        <f t="shared" si="976"/>
        <v>-2364907818.1825404</v>
      </c>
      <c r="S447">
        <f t="shared" si="977"/>
        <v>-23649.078181825404</v>
      </c>
      <c r="T447">
        <f t="shared" si="978"/>
        <v>-23.649078181825402</v>
      </c>
    </row>
    <row r="448" spans="1:20" x14ac:dyDescent="0.25">
      <c r="A448" s="5">
        <v>44145</v>
      </c>
      <c r="B448">
        <v>1.073E-2</v>
      </c>
      <c r="C448">
        <v>1.1247E-2</v>
      </c>
      <c r="D448">
        <v>1.0506E-2</v>
      </c>
      <c r="E448">
        <v>1.0881999999999999E-2</v>
      </c>
      <c r="F448">
        <v>67006197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1.4844804318486981E-2</v>
      </c>
      <c r="Q448">
        <f t="shared" si="975"/>
        <v>994693.88259098935</v>
      </c>
      <c r="R448">
        <f t="shared" si="976"/>
        <v>-2342012354.8907757</v>
      </c>
      <c r="S448">
        <f t="shared" si="977"/>
        <v>-23420.123548907755</v>
      </c>
      <c r="T448">
        <f t="shared" si="978"/>
        <v>-23.420123548907757</v>
      </c>
    </row>
    <row r="449" spans="1:20" x14ac:dyDescent="0.25">
      <c r="A449" s="5">
        <v>44144</v>
      </c>
      <c r="B449">
        <v>1.043E-2</v>
      </c>
      <c r="C449">
        <v>1.0788000000000001E-2</v>
      </c>
      <c r="D449">
        <v>1.0024999999999999E-2</v>
      </c>
      <c r="E449">
        <v>1.0747E-2</v>
      </c>
      <c r="F449">
        <v>39006356</v>
      </c>
      <c r="G449">
        <v>0</v>
      </c>
      <c r="L449" t="s">
        <v>8</v>
      </c>
      <c r="M449" t="s">
        <v>8</v>
      </c>
      <c r="N449" t="s">
        <v>7</v>
      </c>
      <c r="P449">
        <f t="shared" si="974"/>
        <v>0.89252948885976136</v>
      </c>
      <c r="Q449">
        <f t="shared" si="975"/>
        <v>34814322.982961886</v>
      </c>
      <c r="R449">
        <f t="shared" si="976"/>
        <v>-2343007048.7733665</v>
      </c>
      <c r="S449">
        <f t="shared" si="977"/>
        <v>-23430.070487733665</v>
      </c>
      <c r="T449">
        <f t="shared" si="978"/>
        <v>-23.430070487733666</v>
      </c>
    </row>
    <row r="450" spans="1:20" x14ac:dyDescent="0.25">
      <c r="A450" s="5">
        <v>44143</v>
      </c>
      <c r="B450">
        <v>1.0002E-2</v>
      </c>
      <c r="C450">
        <v>1.0465E-2</v>
      </c>
      <c r="D450">
        <v>9.894E-3</v>
      </c>
      <c r="E450">
        <v>1.0434000000000001E-2</v>
      </c>
      <c r="F450">
        <v>26385092</v>
      </c>
      <c r="G450">
        <v>0</v>
      </c>
      <c r="L450" t="s">
        <v>8</v>
      </c>
      <c r="M450" t="s">
        <v>8</v>
      </c>
      <c r="N450" t="s">
        <v>7</v>
      </c>
      <c r="P450">
        <f t="shared" si="974"/>
        <v>0.89141856392294305</v>
      </c>
      <c r="Q450">
        <f t="shared" si="975"/>
        <v>23520160.819614735</v>
      </c>
      <c r="R450">
        <f t="shared" si="976"/>
        <v>-2377821371.7563281</v>
      </c>
      <c r="S450">
        <f t="shared" si="977"/>
        <v>-23778.213717563282</v>
      </c>
      <c r="T450">
        <f t="shared" si="978"/>
        <v>-23.778213717563283</v>
      </c>
    </row>
    <row r="451" spans="1:20" x14ac:dyDescent="0.25">
      <c r="A451" s="5">
        <v>44142</v>
      </c>
      <c r="B451">
        <v>1.0444999999999999E-2</v>
      </c>
      <c r="C451">
        <v>1.0898E-2</v>
      </c>
      <c r="D451">
        <v>9.7120000000000001E-3</v>
      </c>
      <c r="E451">
        <v>1.001E-2</v>
      </c>
      <c r="F451">
        <v>70379906</v>
      </c>
      <c r="G451">
        <v>0</v>
      </c>
      <c r="L451" t="s">
        <v>7</v>
      </c>
      <c r="M451" t="s">
        <v>8</v>
      </c>
      <c r="N451" t="s">
        <v>7</v>
      </c>
      <c r="P451">
        <f t="shared" si="974"/>
        <v>-0.49747048903878621</v>
      </c>
      <c r="Q451">
        <f t="shared" si="975"/>
        <v>-35011926.256323807</v>
      </c>
      <c r="R451">
        <f t="shared" si="976"/>
        <v>-2401341532.575943</v>
      </c>
      <c r="S451">
        <f t="shared" si="977"/>
        <v>-24013.41532575943</v>
      </c>
      <c r="T451">
        <f t="shared" si="978"/>
        <v>-24.013415325759428</v>
      </c>
    </row>
    <row r="452" spans="1:20" x14ac:dyDescent="0.25">
      <c r="A452" s="5">
        <v>44141</v>
      </c>
      <c r="B452">
        <v>9.7909999999999994E-3</v>
      </c>
      <c r="C452">
        <v>1.0827E-2</v>
      </c>
      <c r="D452">
        <v>9.7409999999999997E-3</v>
      </c>
      <c r="E452">
        <v>1.0453E-2</v>
      </c>
      <c r="F452">
        <v>73972495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0.31123388581952249</v>
      </c>
      <c r="Q452">
        <f t="shared" si="975"/>
        <v>23022747.062615197</v>
      </c>
      <c r="R452">
        <f t="shared" si="976"/>
        <v>-2366329606.3196192</v>
      </c>
      <c r="S452">
        <f t="shared" si="977"/>
        <v>-23663.296063196191</v>
      </c>
      <c r="T452">
        <f t="shared" si="978"/>
        <v>-23.663296063196192</v>
      </c>
    </row>
    <row r="453" spans="1:20" x14ac:dyDescent="0.25">
      <c r="A453" s="5">
        <v>44140</v>
      </c>
      <c r="B453">
        <v>9.6570000000000007E-3</v>
      </c>
      <c r="C453">
        <v>9.8779999999999996E-3</v>
      </c>
      <c r="D453">
        <v>9.2860000000000009E-3</v>
      </c>
      <c r="E453">
        <v>9.7619999999999998E-3</v>
      </c>
      <c r="F453">
        <v>36090034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0.608108108108108</v>
      </c>
      <c r="Q453">
        <f t="shared" si="975"/>
        <v>21946642.297297295</v>
      </c>
      <c r="R453">
        <f t="shared" si="976"/>
        <v>-2389352353.3822346</v>
      </c>
      <c r="S453">
        <f t="shared" si="977"/>
        <v>-23893.523533822347</v>
      </c>
      <c r="T453">
        <f t="shared" si="978"/>
        <v>-23.893523533822346</v>
      </c>
    </row>
    <row r="454" spans="1:20" x14ac:dyDescent="0.25">
      <c r="A454" s="5">
        <v>44139</v>
      </c>
      <c r="B454">
        <v>9.4120000000000002E-3</v>
      </c>
      <c r="C454">
        <v>9.7429999999999999E-3</v>
      </c>
      <c r="D454">
        <v>9.1999999999999998E-3</v>
      </c>
      <c r="E454">
        <v>9.6509999999999999E-3</v>
      </c>
      <c r="F454">
        <v>22378429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0.66114180478821338</v>
      </c>
      <c r="Q454">
        <f t="shared" ref="Q454:Q517" si="980">F454*P454</f>
        <v>14795314.937384894</v>
      </c>
      <c r="R454">
        <f t="shared" ref="R454:R517" si="981">R455+Q454</f>
        <v>-2411298995.6795321</v>
      </c>
      <c r="S454">
        <f t="shared" ref="S454:S517" si="982">R454/100000</f>
        <v>-24112.989956795322</v>
      </c>
      <c r="T454">
        <f t="shared" ref="T454:T517" si="983">S454/1000</f>
        <v>-24.112989956795321</v>
      </c>
    </row>
    <row r="455" spans="1:20" x14ac:dyDescent="0.25">
      <c r="A455" s="5">
        <v>44138</v>
      </c>
      <c r="B455">
        <v>9.4140000000000005E-3</v>
      </c>
      <c r="C455">
        <v>9.7199999999999995E-3</v>
      </c>
      <c r="D455">
        <v>8.8950000000000001E-3</v>
      </c>
      <c r="E455">
        <v>9.3900000000000008E-3</v>
      </c>
      <c r="F455">
        <v>36955126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0.20000000000000254</v>
      </c>
      <c r="Q455">
        <f t="shared" si="980"/>
        <v>7391025.2000000933</v>
      </c>
      <c r="R455">
        <f t="shared" si="981"/>
        <v>-2426094310.6169171</v>
      </c>
      <c r="S455">
        <f t="shared" si="982"/>
        <v>-24260.943106169172</v>
      </c>
      <c r="T455">
        <f t="shared" si="983"/>
        <v>-24.260943106169172</v>
      </c>
    </row>
    <row r="456" spans="1:20" x14ac:dyDescent="0.25">
      <c r="A456" s="5">
        <v>44137</v>
      </c>
      <c r="B456">
        <v>9.5080000000000008E-3</v>
      </c>
      <c r="C456">
        <v>9.7979999999999994E-3</v>
      </c>
      <c r="D456">
        <v>9.2449999999999997E-3</v>
      </c>
      <c r="E456">
        <v>9.4109999999999992E-3</v>
      </c>
      <c r="F456">
        <v>33401021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-0.39963833634719864</v>
      </c>
      <c r="Q456">
        <f t="shared" si="980"/>
        <v>-13348328.464737846</v>
      </c>
      <c r="R456">
        <f t="shared" si="981"/>
        <v>-2433485335.8169174</v>
      </c>
      <c r="S456">
        <f t="shared" si="982"/>
        <v>-24334.853358169174</v>
      </c>
      <c r="T456">
        <f t="shared" si="983"/>
        <v>-24.334853358169173</v>
      </c>
    </row>
    <row r="457" spans="1:20" x14ac:dyDescent="0.25">
      <c r="A457" s="5">
        <v>44136</v>
      </c>
      <c r="B457">
        <v>9.4050000000000002E-3</v>
      </c>
      <c r="C457">
        <v>9.7000000000000003E-3</v>
      </c>
      <c r="D457">
        <v>9.2479999999999993E-3</v>
      </c>
      <c r="E457">
        <v>9.5149999999999992E-3</v>
      </c>
      <c r="F457">
        <v>17049032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0.18141592920353664</v>
      </c>
      <c r="Q457">
        <f t="shared" si="980"/>
        <v>3092965.9823008305</v>
      </c>
      <c r="R457">
        <f t="shared" si="981"/>
        <v>-2420137007.3521795</v>
      </c>
      <c r="S457">
        <f t="shared" si="982"/>
        <v>-24201.370073521794</v>
      </c>
      <c r="T457">
        <f t="shared" si="983"/>
        <v>-24.201370073521794</v>
      </c>
    </row>
    <row r="458" spans="1:20" x14ac:dyDescent="0.25">
      <c r="A458" s="5">
        <v>44135</v>
      </c>
      <c r="B458">
        <v>9.4879999999999999E-3</v>
      </c>
      <c r="C458">
        <v>9.6069999999999992E-3</v>
      </c>
      <c r="D458">
        <v>9.2700000000000005E-3</v>
      </c>
      <c r="E458">
        <v>9.4050000000000002E-3</v>
      </c>
      <c r="F458">
        <v>17433033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-0.19881305637982077</v>
      </c>
      <c r="Q458">
        <f t="shared" si="980"/>
        <v>-3465914.572700276</v>
      </c>
      <c r="R458">
        <f t="shared" si="981"/>
        <v>-2423229973.3344803</v>
      </c>
      <c r="S458">
        <f t="shared" si="982"/>
        <v>-24232.299733344804</v>
      </c>
      <c r="T458">
        <f t="shared" si="983"/>
        <v>-24.232299733344803</v>
      </c>
    </row>
    <row r="459" spans="1:20" x14ac:dyDescent="0.25">
      <c r="A459" s="5">
        <v>44134</v>
      </c>
      <c r="B459">
        <v>9.5479999999999992E-3</v>
      </c>
      <c r="C459">
        <v>9.6690000000000005E-3</v>
      </c>
      <c r="D459">
        <v>8.7580000000000002E-3</v>
      </c>
      <c r="E459">
        <v>9.4839999999999994E-3</v>
      </c>
      <c r="F459">
        <v>65912819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0.59385290889132591</v>
      </c>
      <c r="Q459">
        <f t="shared" si="980"/>
        <v>39142519.296377458</v>
      </c>
      <c r="R459">
        <f t="shared" si="981"/>
        <v>-2419764058.7617798</v>
      </c>
      <c r="S459">
        <f t="shared" si="982"/>
        <v>-24197.6405876178</v>
      </c>
      <c r="T459">
        <f t="shared" si="983"/>
        <v>-24.197640587617801</v>
      </c>
    </row>
    <row r="460" spans="1:20" x14ac:dyDescent="0.25">
      <c r="A460" s="5">
        <v>44133</v>
      </c>
      <c r="B460">
        <v>9.9520000000000008E-3</v>
      </c>
      <c r="C460">
        <v>1.01E-2</v>
      </c>
      <c r="D460">
        <v>9.4000000000000004E-3</v>
      </c>
      <c r="E460">
        <v>9.5999999999999992E-3</v>
      </c>
      <c r="F460">
        <v>27455251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-0.42857142857143138</v>
      </c>
      <c r="Q460">
        <f t="shared" si="980"/>
        <v>-11766536.14285722</v>
      </c>
      <c r="R460">
        <f t="shared" si="981"/>
        <v>-2458906578.0581574</v>
      </c>
      <c r="S460">
        <f t="shared" si="982"/>
        <v>-24589.065780581575</v>
      </c>
      <c r="T460">
        <f t="shared" si="983"/>
        <v>-24.589065780581574</v>
      </c>
    </row>
    <row r="461" spans="1:20" x14ac:dyDescent="0.25">
      <c r="A461" s="5">
        <v>44132</v>
      </c>
      <c r="B461">
        <v>1.0238000000000001E-2</v>
      </c>
      <c r="C461">
        <v>1.04E-2</v>
      </c>
      <c r="D461">
        <v>9.5499999999999995E-3</v>
      </c>
      <c r="E461">
        <v>9.9380000000000007E-3</v>
      </c>
      <c r="F461">
        <v>48266336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-8.7058823529409024E-2</v>
      </c>
      <c r="Q461">
        <f t="shared" si="980"/>
        <v>-4202010.428235162</v>
      </c>
      <c r="R461">
        <f t="shared" si="981"/>
        <v>-2447140041.9153004</v>
      </c>
      <c r="S461">
        <f t="shared" si="982"/>
        <v>-24471.400419153004</v>
      </c>
      <c r="T461">
        <f t="shared" si="983"/>
        <v>-24.471400419153003</v>
      </c>
    </row>
    <row r="462" spans="1:20" x14ac:dyDescent="0.25">
      <c r="A462" s="5">
        <v>44131</v>
      </c>
      <c r="B462">
        <v>1.0381E-2</v>
      </c>
      <c r="C462">
        <v>1.0635E-2</v>
      </c>
      <c r="D462">
        <v>1.01E-2</v>
      </c>
      <c r="E462">
        <v>1.0255E-2</v>
      </c>
      <c r="F462">
        <v>37721007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-0.42056074766354989</v>
      </c>
      <c r="Q462">
        <f t="shared" si="980"/>
        <v>-15863974.906541999</v>
      </c>
      <c r="R462">
        <f t="shared" si="981"/>
        <v>-2442938031.4870653</v>
      </c>
      <c r="S462">
        <f t="shared" si="982"/>
        <v>-24429.380314870654</v>
      </c>
      <c r="T462">
        <f t="shared" si="983"/>
        <v>-24.429380314870652</v>
      </c>
    </row>
    <row r="463" spans="1:20" x14ac:dyDescent="0.25">
      <c r="A463" s="5">
        <v>44130</v>
      </c>
      <c r="B463">
        <v>1.057E-2</v>
      </c>
      <c r="C463">
        <v>1.0744999999999999E-2</v>
      </c>
      <c r="D463">
        <v>1.0279999999999999E-2</v>
      </c>
      <c r="E463">
        <v>1.0381E-2</v>
      </c>
      <c r="F463">
        <v>29173830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-0.56559139784946078</v>
      </c>
      <c r="Q463">
        <f t="shared" si="980"/>
        <v>-16500467.290322535</v>
      </c>
      <c r="R463">
        <f t="shared" si="981"/>
        <v>-2427074056.5805235</v>
      </c>
      <c r="S463">
        <f t="shared" si="982"/>
        <v>-24270.740565805234</v>
      </c>
      <c r="T463">
        <f t="shared" si="983"/>
        <v>-24.270740565805234</v>
      </c>
    </row>
    <row r="464" spans="1:20" x14ac:dyDescent="0.25">
      <c r="A464" s="5">
        <v>44129</v>
      </c>
      <c r="B464">
        <v>1.0829E-2</v>
      </c>
      <c r="C464">
        <v>1.0954999999999999E-2</v>
      </c>
      <c r="D464">
        <v>1.0518E-2</v>
      </c>
      <c r="E464">
        <v>1.057E-2</v>
      </c>
      <c r="F464">
        <v>31428448</v>
      </c>
      <c r="G464">
        <v>0</v>
      </c>
      <c r="L464" t="s">
        <v>8</v>
      </c>
      <c r="M464" t="s">
        <v>7</v>
      </c>
      <c r="N464" t="s">
        <v>7</v>
      </c>
      <c r="P464">
        <f t="shared" si="979"/>
        <v>-0.7620137299771168</v>
      </c>
      <c r="Q464">
        <f t="shared" si="980"/>
        <v>-23948908.887871858</v>
      </c>
      <c r="R464">
        <f t="shared" si="981"/>
        <v>-2410573589.2902012</v>
      </c>
      <c r="S464">
        <f t="shared" si="982"/>
        <v>-24105.735892902012</v>
      </c>
      <c r="T464">
        <f t="shared" si="983"/>
        <v>-24.105735892902011</v>
      </c>
    </row>
    <row r="465" spans="1:20" x14ac:dyDescent="0.25">
      <c r="A465" s="5">
        <v>44128</v>
      </c>
      <c r="B465">
        <v>1.0645E-2</v>
      </c>
      <c r="C465">
        <v>1.1136999999999999E-2</v>
      </c>
      <c r="D465">
        <v>1.0612E-2</v>
      </c>
      <c r="E465">
        <v>1.0867E-2</v>
      </c>
      <c r="F465">
        <v>34550585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-2.8571428571427439E-2</v>
      </c>
      <c r="Q465">
        <f t="shared" si="980"/>
        <v>-987159.57142853236</v>
      </c>
      <c r="R465">
        <f t="shared" si="981"/>
        <v>-2386624680.4023294</v>
      </c>
      <c r="S465">
        <f t="shared" si="982"/>
        <v>-23866.246804023296</v>
      </c>
      <c r="T465">
        <f t="shared" si="983"/>
        <v>-23.866246804023294</v>
      </c>
    </row>
    <row r="466" spans="1:20" x14ac:dyDescent="0.25">
      <c r="A466" s="5">
        <v>44127</v>
      </c>
      <c r="B466">
        <v>1.0784E-2</v>
      </c>
      <c r="C466">
        <v>1.0858E-2</v>
      </c>
      <c r="D466">
        <v>1.0501E-2</v>
      </c>
      <c r="E466">
        <v>1.0675E-2</v>
      </c>
      <c r="F466">
        <v>27897437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-2.5210084033609526E-2</v>
      </c>
      <c r="Q466">
        <f t="shared" si="980"/>
        <v>-703296.73109232762</v>
      </c>
      <c r="R466">
        <f t="shared" si="981"/>
        <v>-2385637520.8309011</v>
      </c>
      <c r="S466">
        <f t="shared" si="982"/>
        <v>-23856.375208309011</v>
      </c>
      <c r="T466">
        <f t="shared" si="983"/>
        <v>-23.856375208309011</v>
      </c>
    </row>
    <row r="467" spans="1:20" x14ac:dyDescent="0.25">
      <c r="A467" s="5">
        <v>44126</v>
      </c>
      <c r="B467">
        <v>1.0453E-2</v>
      </c>
      <c r="C467">
        <v>1.0999999999999999E-2</v>
      </c>
      <c r="D467">
        <v>1.0451E-2</v>
      </c>
      <c r="E467">
        <v>1.0825E-2</v>
      </c>
      <c r="F467">
        <v>40213417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0.36247723132969006</v>
      </c>
      <c r="Q467">
        <f t="shared" si="980"/>
        <v>14576448.056466291</v>
      </c>
      <c r="R467">
        <f t="shared" si="981"/>
        <v>-2384934224.0998087</v>
      </c>
      <c r="S467">
        <f t="shared" si="982"/>
        <v>-23849.342240998089</v>
      </c>
      <c r="T467">
        <f t="shared" si="983"/>
        <v>-23.849342240998087</v>
      </c>
    </row>
    <row r="468" spans="1:20" x14ac:dyDescent="0.25">
      <c r="A468" s="5">
        <v>44125</v>
      </c>
      <c r="B468">
        <v>1.0376E-2</v>
      </c>
      <c r="C468">
        <v>1.0869999999999999E-2</v>
      </c>
      <c r="D468">
        <v>1.0279999999999999E-2</v>
      </c>
      <c r="E468">
        <v>1.0453E-2</v>
      </c>
      <c r="F468">
        <v>39066041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-0.41355932203389423</v>
      </c>
      <c r="Q468">
        <f t="shared" si="980"/>
        <v>-16156125.430508316</v>
      </c>
      <c r="R468">
        <f t="shared" si="981"/>
        <v>-2399510672.1562748</v>
      </c>
      <c r="S468">
        <f t="shared" si="982"/>
        <v>-23995.106721562748</v>
      </c>
      <c r="T468">
        <f t="shared" si="983"/>
        <v>-23.995106721562749</v>
      </c>
    </row>
    <row r="469" spans="1:20" x14ac:dyDescent="0.25">
      <c r="A469" s="5">
        <v>44124</v>
      </c>
      <c r="B469">
        <v>1.0621999999999999E-2</v>
      </c>
      <c r="C469">
        <v>1.0855999999999999E-2</v>
      </c>
      <c r="D469">
        <v>1.0260999999999999E-2</v>
      </c>
      <c r="E469">
        <v>1.0394E-2</v>
      </c>
      <c r="F469">
        <v>34528292</v>
      </c>
      <c r="G469">
        <v>0</v>
      </c>
      <c r="L469" t="s">
        <v>8</v>
      </c>
      <c r="M469" t="s">
        <v>7</v>
      </c>
      <c r="N469" t="s">
        <v>7</v>
      </c>
      <c r="P469">
        <f t="shared" si="979"/>
        <v>-0.55294117647058427</v>
      </c>
      <c r="Q469">
        <f t="shared" si="980"/>
        <v>-19092114.399999864</v>
      </c>
      <c r="R469">
        <f t="shared" si="981"/>
        <v>-2383354546.7257667</v>
      </c>
      <c r="S469">
        <f t="shared" si="982"/>
        <v>-23833.545467257667</v>
      </c>
      <c r="T469">
        <f t="shared" si="983"/>
        <v>-23.833545467257668</v>
      </c>
    </row>
    <row r="470" spans="1:20" x14ac:dyDescent="0.25">
      <c r="A470" s="5">
        <v>44123</v>
      </c>
      <c r="B470">
        <v>1.072E-2</v>
      </c>
      <c r="C470">
        <v>1.0829E-2</v>
      </c>
      <c r="D470">
        <v>1.0455000000000001E-2</v>
      </c>
      <c r="E470">
        <v>1.0621999999999999E-2</v>
      </c>
      <c r="F470">
        <v>23751416</v>
      </c>
      <c r="G470">
        <v>0</v>
      </c>
      <c r="L470" t="s">
        <v>8</v>
      </c>
      <c r="M470" t="s">
        <v>7</v>
      </c>
      <c r="N470" t="s">
        <v>7</v>
      </c>
      <c r="P470">
        <f t="shared" si="979"/>
        <v>-0.10695187165775911</v>
      </c>
      <c r="Q470">
        <f t="shared" si="980"/>
        <v>-2540258.3957220465</v>
      </c>
      <c r="R470">
        <f t="shared" si="981"/>
        <v>-2364262432.3257666</v>
      </c>
      <c r="S470">
        <f t="shared" si="982"/>
        <v>-23642.624323257667</v>
      </c>
      <c r="T470">
        <f t="shared" si="983"/>
        <v>-23.642624323257667</v>
      </c>
    </row>
    <row r="471" spans="1:20" x14ac:dyDescent="0.25">
      <c r="A471" s="5">
        <v>44122</v>
      </c>
      <c r="B471">
        <v>1.0630000000000001E-2</v>
      </c>
      <c r="C471">
        <v>1.09E-2</v>
      </c>
      <c r="D471">
        <v>1.0567E-2</v>
      </c>
      <c r="E471">
        <v>1.0721E-2</v>
      </c>
      <c r="F471">
        <v>14524569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-7.5075075075077227E-2</v>
      </c>
      <c r="Q471">
        <f t="shared" si="980"/>
        <v>-1090433.1081081394</v>
      </c>
      <c r="R471">
        <f t="shared" si="981"/>
        <v>-2361722173.9300447</v>
      </c>
      <c r="S471">
        <f t="shared" si="982"/>
        <v>-23617.221739300447</v>
      </c>
      <c r="T471">
        <f t="shared" si="983"/>
        <v>-23.617221739300447</v>
      </c>
    </row>
    <row r="472" spans="1:20" x14ac:dyDescent="0.25">
      <c r="A472" s="5">
        <v>44121</v>
      </c>
      <c r="B472">
        <v>1.0540000000000001E-2</v>
      </c>
      <c r="C472">
        <v>1.0711999999999999E-2</v>
      </c>
      <c r="D472">
        <v>1.0410000000000001E-2</v>
      </c>
      <c r="E472">
        <v>1.0619E-2</v>
      </c>
      <c r="F472">
        <v>8615074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0.3841059602649019</v>
      </c>
      <c r="Q472">
        <f t="shared" si="980"/>
        <v>3309101.2715231893</v>
      </c>
      <c r="R472">
        <f t="shared" si="981"/>
        <v>-2360631740.8219366</v>
      </c>
      <c r="S472">
        <f t="shared" si="982"/>
        <v>-23606.317408219365</v>
      </c>
      <c r="T472">
        <f t="shared" si="983"/>
        <v>-23.606317408219365</v>
      </c>
    </row>
    <row r="473" spans="1:20" x14ac:dyDescent="0.25">
      <c r="A473" s="5">
        <v>44120</v>
      </c>
      <c r="B473">
        <v>1.0739E-2</v>
      </c>
      <c r="C473">
        <v>1.081E-2</v>
      </c>
      <c r="D473">
        <v>1.01E-2</v>
      </c>
      <c r="E473">
        <v>1.055E-2</v>
      </c>
      <c r="F473">
        <v>30716776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0.26760563380281799</v>
      </c>
      <c r="Q473">
        <f t="shared" si="980"/>
        <v>8219982.3098591883</v>
      </c>
      <c r="R473">
        <f t="shared" si="981"/>
        <v>-2363940842.0934596</v>
      </c>
      <c r="S473">
        <f t="shared" si="982"/>
        <v>-23639.408420934597</v>
      </c>
      <c r="T473">
        <f t="shared" si="983"/>
        <v>-23.639408420934597</v>
      </c>
    </row>
    <row r="474" spans="1:20" x14ac:dyDescent="0.25">
      <c r="A474" s="5">
        <v>44119</v>
      </c>
      <c r="B474">
        <v>1.0858E-2</v>
      </c>
      <c r="C474">
        <v>1.093E-2</v>
      </c>
      <c r="D474">
        <v>1.0529E-2</v>
      </c>
      <c r="E474">
        <v>1.0685E-2</v>
      </c>
      <c r="F474">
        <v>26510864</v>
      </c>
      <c r="G474">
        <v>0</v>
      </c>
      <c r="L474" t="s">
        <v>7</v>
      </c>
      <c r="M474" t="s">
        <v>8</v>
      </c>
      <c r="N474" t="s">
        <v>7</v>
      </c>
      <c r="P474">
        <f t="shared" si="979"/>
        <v>-0.2219451371571084</v>
      </c>
      <c r="Q474">
        <f t="shared" si="980"/>
        <v>-5883957.3466334473</v>
      </c>
      <c r="R474">
        <f t="shared" si="981"/>
        <v>-2372160824.4033189</v>
      </c>
      <c r="S474">
        <f t="shared" si="982"/>
        <v>-23721.608244033188</v>
      </c>
      <c r="T474">
        <f t="shared" si="983"/>
        <v>-23.721608244033188</v>
      </c>
    </row>
    <row r="475" spans="1:20" x14ac:dyDescent="0.25">
      <c r="A475" s="5">
        <v>44118</v>
      </c>
      <c r="B475">
        <v>1.0926E-2</v>
      </c>
      <c r="C475">
        <v>1.1089999999999999E-2</v>
      </c>
      <c r="D475">
        <v>1.0699999999999999E-2</v>
      </c>
      <c r="E475">
        <v>1.0855E-2</v>
      </c>
      <c r="F475">
        <v>19414265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-0.20512820512820137</v>
      </c>
      <c r="Q475">
        <f t="shared" si="980"/>
        <v>-3982413.3333332604</v>
      </c>
      <c r="R475">
        <f t="shared" si="981"/>
        <v>-2366276867.0566854</v>
      </c>
      <c r="S475">
        <f t="shared" si="982"/>
        <v>-23662.768670566853</v>
      </c>
      <c r="T475">
        <f t="shared" si="983"/>
        <v>-23.662768670566852</v>
      </c>
    </row>
    <row r="476" spans="1:20" x14ac:dyDescent="0.25">
      <c r="A476" s="5">
        <v>44117</v>
      </c>
      <c r="B476">
        <v>1.1117999999999999E-2</v>
      </c>
      <c r="C476">
        <v>1.1797E-2</v>
      </c>
      <c r="D476">
        <v>1.0848E-2</v>
      </c>
      <c r="E476">
        <v>1.0933999999999999E-2</v>
      </c>
      <c r="F476">
        <v>46704725</v>
      </c>
      <c r="G476">
        <v>0</v>
      </c>
      <c r="L476" t="s">
        <v>7</v>
      </c>
      <c r="M476" t="s">
        <v>8</v>
      </c>
      <c r="N476" t="s">
        <v>7</v>
      </c>
      <c r="P476">
        <f t="shared" si="979"/>
        <v>-0.8187565858798751</v>
      </c>
      <c r="Q476">
        <f t="shared" si="980"/>
        <v>-38239801.185458452</v>
      </c>
      <c r="R476">
        <f t="shared" si="981"/>
        <v>-2362294453.723352</v>
      </c>
      <c r="S476">
        <f t="shared" si="982"/>
        <v>-23622.944537233521</v>
      </c>
      <c r="T476">
        <f t="shared" si="983"/>
        <v>-23.622944537233522</v>
      </c>
    </row>
    <row r="477" spans="1:20" x14ac:dyDescent="0.25">
      <c r="A477" s="5">
        <v>44116</v>
      </c>
      <c r="B477">
        <v>1.1126E-2</v>
      </c>
      <c r="C477">
        <v>1.1469E-2</v>
      </c>
      <c r="D477">
        <v>1.1050000000000001E-2</v>
      </c>
      <c r="E477">
        <v>1.1119E-2</v>
      </c>
      <c r="F477">
        <v>34082095</v>
      </c>
      <c r="G477">
        <v>0</v>
      </c>
      <c r="L477" t="s">
        <v>7</v>
      </c>
      <c r="M477" t="s">
        <v>8</v>
      </c>
      <c r="N477" t="s">
        <v>7</v>
      </c>
      <c r="P477">
        <f t="shared" si="979"/>
        <v>-0.67064439140811583</v>
      </c>
      <c r="Q477">
        <f t="shared" si="980"/>
        <v>-22856965.859188586</v>
      </c>
      <c r="R477">
        <f t="shared" si="981"/>
        <v>-2324054652.5378933</v>
      </c>
      <c r="S477">
        <f t="shared" si="982"/>
        <v>-23240.546525378933</v>
      </c>
      <c r="T477">
        <f t="shared" si="983"/>
        <v>-23.240546525378935</v>
      </c>
    </row>
    <row r="478" spans="1:20" x14ac:dyDescent="0.25">
      <c r="A478" s="5">
        <v>44115</v>
      </c>
      <c r="B478">
        <v>1.1186E-2</v>
      </c>
      <c r="C478">
        <v>1.1438E-2</v>
      </c>
      <c r="D478">
        <v>1.0999999999999999E-2</v>
      </c>
      <c r="E478">
        <v>1.1126E-2</v>
      </c>
      <c r="F478">
        <v>27901731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-0.42465753424657143</v>
      </c>
      <c r="Q478">
        <f t="shared" si="980"/>
        <v>-11848680.287671125</v>
      </c>
      <c r="R478">
        <f t="shared" si="981"/>
        <v>-2301197686.6787047</v>
      </c>
      <c r="S478">
        <f t="shared" si="982"/>
        <v>-23011.976866787048</v>
      </c>
      <c r="T478">
        <f t="shared" si="983"/>
        <v>-23.011976866787048</v>
      </c>
    </row>
    <row r="479" spans="1:20" x14ac:dyDescent="0.25">
      <c r="A479" s="5">
        <v>44114</v>
      </c>
      <c r="B479">
        <v>1.1129E-2</v>
      </c>
      <c r="C479">
        <v>1.2E-2</v>
      </c>
      <c r="D479">
        <v>1.1039999999999999E-2</v>
      </c>
      <c r="E479">
        <v>1.1185E-2</v>
      </c>
      <c r="F479">
        <v>80389653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-0.69791666666666474</v>
      </c>
      <c r="Q479">
        <f t="shared" si="980"/>
        <v>-56105278.656249844</v>
      </c>
      <c r="R479">
        <f t="shared" si="981"/>
        <v>-2289349006.3910336</v>
      </c>
      <c r="S479">
        <f t="shared" si="982"/>
        <v>-22893.490063910336</v>
      </c>
      <c r="T479">
        <f t="shared" si="983"/>
        <v>-22.893490063910335</v>
      </c>
    </row>
    <row r="480" spans="1:20" x14ac:dyDescent="0.25">
      <c r="A480" s="5">
        <v>44113</v>
      </c>
      <c r="B480">
        <v>1.0548999999999999E-2</v>
      </c>
      <c r="C480">
        <v>1.1253000000000001E-2</v>
      </c>
      <c r="D480">
        <v>1.0428E-2</v>
      </c>
      <c r="E480">
        <v>1.1129E-2</v>
      </c>
      <c r="F480">
        <v>50246777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0.69939393939393779</v>
      </c>
      <c r="Q480">
        <f t="shared" si="980"/>
        <v>35142291.30787871</v>
      </c>
      <c r="R480">
        <f t="shared" si="981"/>
        <v>-2233243727.7347836</v>
      </c>
      <c r="S480">
        <f t="shared" si="982"/>
        <v>-22332.437277347835</v>
      </c>
      <c r="T480">
        <f t="shared" si="983"/>
        <v>-22.332437277347836</v>
      </c>
    </row>
    <row r="481" spans="1:20" x14ac:dyDescent="0.25">
      <c r="A481" s="5">
        <v>44112</v>
      </c>
      <c r="B481">
        <v>1.034E-2</v>
      </c>
      <c r="C481">
        <v>1.0659E-2</v>
      </c>
      <c r="D481">
        <v>1.0000999999999999E-2</v>
      </c>
      <c r="E481">
        <v>1.0573000000000001E-2</v>
      </c>
      <c r="F481">
        <v>31227245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0.73860182370820915</v>
      </c>
      <c r="Q481">
        <f t="shared" si="980"/>
        <v>23064500.106383055</v>
      </c>
      <c r="R481">
        <f t="shared" si="981"/>
        <v>-2268386019.0426621</v>
      </c>
      <c r="S481">
        <f t="shared" si="982"/>
        <v>-22683.860190426622</v>
      </c>
      <c r="T481">
        <f t="shared" si="983"/>
        <v>-22.683860190426621</v>
      </c>
    </row>
    <row r="482" spans="1:20" x14ac:dyDescent="0.25">
      <c r="A482" s="5">
        <v>44111</v>
      </c>
      <c r="B482">
        <v>1.0338999999999999E-2</v>
      </c>
      <c r="C482">
        <v>1.0711999999999999E-2</v>
      </c>
      <c r="D482">
        <v>9.8320000000000005E-3</v>
      </c>
      <c r="E482">
        <v>1.0326999999999999E-2</v>
      </c>
      <c r="F482">
        <v>53695609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0.12499999999999901</v>
      </c>
      <c r="Q482">
        <f t="shared" si="980"/>
        <v>6711951.1249999469</v>
      </c>
      <c r="R482">
        <f t="shared" si="981"/>
        <v>-2291450519.149045</v>
      </c>
      <c r="S482">
        <f t="shared" si="982"/>
        <v>-22914.505191490451</v>
      </c>
      <c r="T482">
        <f t="shared" si="983"/>
        <v>-22.914505191490452</v>
      </c>
    </row>
    <row r="483" spans="1:20" x14ac:dyDescent="0.25">
      <c r="A483" s="5">
        <v>44110</v>
      </c>
      <c r="B483">
        <v>1.095E-2</v>
      </c>
      <c r="C483">
        <v>1.1006999999999999E-2</v>
      </c>
      <c r="D483">
        <v>1.01E-2</v>
      </c>
      <c r="E483">
        <v>1.0345999999999999E-2</v>
      </c>
      <c r="F483">
        <v>51271927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-0.45755237045204028</v>
      </c>
      <c r="Q483">
        <f t="shared" si="980"/>
        <v>-23459591.736493967</v>
      </c>
      <c r="R483">
        <f t="shared" si="981"/>
        <v>-2298162470.274045</v>
      </c>
      <c r="S483">
        <f t="shared" si="982"/>
        <v>-22981.62470274045</v>
      </c>
      <c r="T483">
        <f t="shared" si="983"/>
        <v>-22.981624702740451</v>
      </c>
    </row>
    <row r="484" spans="1:20" x14ac:dyDescent="0.25">
      <c r="A484" s="5">
        <v>44109</v>
      </c>
      <c r="B484">
        <v>1.1039999999999999E-2</v>
      </c>
      <c r="C484">
        <v>1.1586000000000001E-2</v>
      </c>
      <c r="D484">
        <v>1.0834E-2</v>
      </c>
      <c r="E484">
        <v>1.1013E-2</v>
      </c>
      <c r="F484">
        <v>58045287</v>
      </c>
      <c r="G484">
        <v>0</v>
      </c>
      <c r="L484" t="s">
        <v>8</v>
      </c>
      <c r="M484" t="s">
        <v>8</v>
      </c>
      <c r="N484" t="s">
        <v>7</v>
      </c>
      <c r="P484">
        <f t="shared" si="979"/>
        <v>-0.52393617021276562</v>
      </c>
      <c r="Q484">
        <f t="shared" si="980"/>
        <v>-30412025.369680833</v>
      </c>
      <c r="R484">
        <f t="shared" si="981"/>
        <v>-2274702878.5375509</v>
      </c>
      <c r="S484">
        <f t="shared" si="982"/>
        <v>-22747.028785375511</v>
      </c>
      <c r="T484">
        <f t="shared" si="983"/>
        <v>-22.747028785375512</v>
      </c>
    </row>
    <row r="485" spans="1:20" x14ac:dyDescent="0.25">
      <c r="A485" s="5">
        <v>44108</v>
      </c>
      <c r="B485">
        <v>1.0794E-2</v>
      </c>
      <c r="C485">
        <v>1.1086E-2</v>
      </c>
      <c r="D485">
        <v>1.0710000000000001E-2</v>
      </c>
      <c r="E485">
        <v>1.0999999999999999E-2</v>
      </c>
      <c r="F485">
        <v>17006373</v>
      </c>
      <c r="G485">
        <v>0</v>
      </c>
      <c r="L485" t="s">
        <v>8</v>
      </c>
      <c r="M485" t="s">
        <v>8</v>
      </c>
      <c r="N485" t="s">
        <v>7</v>
      </c>
      <c r="P485">
        <f t="shared" si="979"/>
        <v>0.54255319148935588</v>
      </c>
      <c r="Q485">
        <f t="shared" si="980"/>
        <v>9226861.9468084108</v>
      </c>
      <c r="R485">
        <f t="shared" si="981"/>
        <v>-2244290853.16787</v>
      </c>
      <c r="S485">
        <f t="shared" si="982"/>
        <v>-22442.908531678699</v>
      </c>
      <c r="T485">
        <f t="shared" si="983"/>
        <v>-22.4429085316787</v>
      </c>
    </row>
    <row r="486" spans="1:20" x14ac:dyDescent="0.25">
      <c r="A486" s="5">
        <v>44107</v>
      </c>
      <c r="B486">
        <v>1.0619999999999999E-2</v>
      </c>
      <c r="C486">
        <v>1.1275E-2</v>
      </c>
      <c r="D486">
        <v>1.0562E-2</v>
      </c>
      <c r="E486">
        <v>1.0795000000000001E-2</v>
      </c>
      <c r="F486">
        <v>23739665</v>
      </c>
      <c r="G486">
        <v>0</v>
      </c>
      <c r="L486" t="s">
        <v>8</v>
      </c>
      <c r="M486" t="s">
        <v>8</v>
      </c>
      <c r="N486" t="s">
        <v>7</v>
      </c>
      <c r="P486">
        <f t="shared" si="979"/>
        <v>-0.34642356241234074</v>
      </c>
      <c r="Q486">
        <f t="shared" si="980"/>
        <v>-8223979.3197755609</v>
      </c>
      <c r="R486">
        <f t="shared" si="981"/>
        <v>-2253517715.1146784</v>
      </c>
      <c r="S486">
        <f t="shared" si="982"/>
        <v>-22535.177151146785</v>
      </c>
      <c r="T486">
        <f t="shared" si="983"/>
        <v>-22.535177151146787</v>
      </c>
    </row>
    <row r="487" spans="1:20" x14ac:dyDescent="0.25">
      <c r="A487" s="5">
        <v>44106</v>
      </c>
      <c r="B487">
        <v>1.1240999999999999E-2</v>
      </c>
      <c r="C487">
        <v>1.1240999999999999E-2</v>
      </c>
      <c r="D487">
        <v>1.0274999999999999E-2</v>
      </c>
      <c r="E487">
        <v>1.0611000000000001E-2</v>
      </c>
      <c r="F487">
        <v>39381966</v>
      </c>
      <c r="G487">
        <v>0</v>
      </c>
      <c r="L487" t="s">
        <v>7</v>
      </c>
      <c r="M487" t="s">
        <v>8</v>
      </c>
      <c r="N487" t="s">
        <v>7</v>
      </c>
      <c r="P487">
        <f t="shared" si="979"/>
        <v>-0.30434782608695388</v>
      </c>
      <c r="Q487">
        <f t="shared" si="980"/>
        <v>-11985815.739130331</v>
      </c>
      <c r="R487">
        <f t="shared" si="981"/>
        <v>-2245293735.7949028</v>
      </c>
      <c r="S487">
        <f t="shared" si="982"/>
        <v>-22452.937357949028</v>
      </c>
      <c r="T487">
        <f t="shared" si="983"/>
        <v>-22.452937357949029</v>
      </c>
    </row>
    <row r="488" spans="1:20" x14ac:dyDescent="0.25">
      <c r="A488" s="5">
        <v>44105</v>
      </c>
      <c r="B488">
        <v>1.1564E-2</v>
      </c>
      <c r="C488">
        <v>1.1995E-2</v>
      </c>
      <c r="D488">
        <v>1.0711999999999999E-2</v>
      </c>
      <c r="E488">
        <v>1.115E-2</v>
      </c>
      <c r="F488">
        <v>85428819</v>
      </c>
      <c r="G488">
        <v>0</v>
      </c>
      <c r="L488" t="s">
        <v>7</v>
      </c>
      <c r="M488" t="s">
        <v>8</v>
      </c>
      <c r="N488" t="s">
        <v>7</v>
      </c>
      <c r="P488">
        <f t="shared" si="979"/>
        <v>-0.31722525331254792</v>
      </c>
      <c r="Q488">
        <f t="shared" si="980"/>
        <v>-27100178.747466806</v>
      </c>
      <c r="R488">
        <f t="shared" si="981"/>
        <v>-2233307920.0557723</v>
      </c>
      <c r="S488">
        <f t="shared" si="982"/>
        <v>-22333.079200557724</v>
      </c>
      <c r="T488">
        <f t="shared" si="983"/>
        <v>-22.333079200557723</v>
      </c>
    </row>
    <row r="489" spans="1:20" x14ac:dyDescent="0.25">
      <c r="A489" s="5">
        <v>44104</v>
      </c>
      <c r="B489">
        <v>1.1022000000000001E-2</v>
      </c>
      <c r="C489">
        <v>1.2122000000000001E-2</v>
      </c>
      <c r="D489">
        <v>1.0767000000000001E-2</v>
      </c>
      <c r="E489">
        <v>1.1566999999999999E-2</v>
      </c>
      <c r="F489">
        <v>187721961</v>
      </c>
      <c r="G489">
        <v>0</v>
      </c>
      <c r="L489" t="s">
        <v>8</v>
      </c>
      <c r="M489" t="s">
        <v>8</v>
      </c>
      <c r="N489" t="s">
        <v>7</v>
      </c>
      <c r="P489">
        <f t="shared" si="979"/>
        <v>0.1808118081180789</v>
      </c>
      <c r="Q489">
        <f t="shared" si="980"/>
        <v>33942347.191881493</v>
      </c>
      <c r="R489">
        <f t="shared" si="981"/>
        <v>-2206207741.3083053</v>
      </c>
      <c r="S489">
        <f t="shared" si="982"/>
        <v>-22062.077413083054</v>
      </c>
      <c r="T489">
        <f t="shared" si="983"/>
        <v>-22.062077413083053</v>
      </c>
    </row>
    <row r="490" spans="1:20" x14ac:dyDescent="0.25">
      <c r="A490" s="5">
        <v>44103</v>
      </c>
      <c r="B490">
        <v>1.0857E-2</v>
      </c>
      <c r="C490">
        <v>1.1171E-2</v>
      </c>
      <c r="D490">
        <v>1.0756999999999999E-2</v>
      </c>
      <c r="E490">
        <v>1.1072E-2</v>
      </c>
      <c r="F490">
        <v>15021634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0.52173913043478337</v>
      </c>
      <c r="Q490">
        <f t="shared" si="980"/>
        <v>7837374.2608695766</v>
      </c>
      <c r="R490">
        <f t="shared" si="981"/>
        <v>-2240150088.5001869</v>
      </c>
      <c r="S490">
        <f t="shared" si="982"/>
        <v>-22401.500885001868</v>
      </c>
      <c r="T490">
        <f t="shared" si="983"/>
        <v>-22.401500885001866</v>
      </c>
    </row>
    <row r="491" spans="1:20" x14ac:dyDescent="0.25">
      <c r="A491" s="5">
        <v>44102</v>
      </c>
      <c r="B491">
        <v>1.1095000000000001E-2</v>
      </c>
      <c r="C491">
        <v>1.1237E-2</v>
      </c>
      <c r="D491">
        <v>1.0802000000000001E-2</v>
      </c>
      <c r="E491">
        <v>1.0904E-2</v>
      </c>
      <c r="F491">
        <v>29509818</v>
      </c>
      <c r="G491">
        <v>0</v>
      </c>
      <c r="L491" t="s">
        <v>7</v>
      </c>
      <c r="M491" t="s">
        <v>7</v>
      </c>
      <c r="N491" t="s">
        <v>7</v>
      </c>
      <c r="P491">
        <f t="shared" si="979"/>
        <v>-0.53103448275862186</v>
      </c>
      <c r="Q491">
        <f t="shared" si="980"/>
        <v>-15670730.937931068</v>
      </c>
      <c r="R491">
        <f t="shared" si="981"/>
        <v>-2247987462.7610564</v>
      </c>
      <c r="S491">
        <f t="shared" si="982"/>
        <v>-22479.874627610563</v>
      </c>
      <c r="T491">
        <f t="shared" si="983"/>
        <v>-22.479874627610563</v>
      </c>
    </row>
    <row r="492" spans="1:20" x14ac:dyDescent="0.25">
      <c r="A492" s="5">
        <v>44101</v>
      </c>
      <c r="B492">
        <v>1.12E-2</v>
      </c>
      <c r="C492">
        <v>1.1558000000000001E-2</v>
      </c>
      <c r="D492">
        <v>1.0814000000000001E-2</v>
      </c>
      <c r="E492">
        <v>1.1002E-2</v>
      </c>
      <c r="F492">
        <v>27607639</v>
      </c>
      <c r="G492">
        <v>0</v>
      </c>
      <c r="L492" t="s">
        <v>7</v>
      </c>
      <c r="M492" t="s">
        <v>7</v>
      </c>
      <c r="N492" t="s">
        <v>7</v>
      </c>
      <c r="P492">
        <f t="shared" si="979"/>
        <v>-0.49462365591398127</v>
      </c>
      <c r="Q492">
        <f t="shared" si="980"/>
        <v>-13655391.33333341</v>
      </c>
      <c r="R492">
        <f t="shared" si="981"/>
        <v>-2232316731.8231254</v>
      </c>
      <c r="S492">
        <f t="shared" si="982"/>
        <v>-22323.167318231255</v>
      </c>
      <c r="T492">
        <f t="shared" si="983"/>
        <v>-22.323167318231256</v>
      </c>
    </row>
    <row r="493" spans="1:20" x14ac:dyDescent="0.25">
      <c r="A493" s="5">
        <v>44100</v>
      </c>
      <c r="B493">
        <v>1.1187000000000001E-2</v>
      </c>
      <c r="C493">
        <v>1.1469E-2</v>
      </c>
      <c r="D493">
        <v>1.1089E-2</v>
      </c>
      <c r="E493">
        <v>1.1252E-2</v>
      </c>
      <c r="F493">
        <v>21126021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-0.14210526315789529</v>
      </c>
      <c r="Q493">
        <f t="shared" si="980"/>
        <v>-3002118.7736842223</v>
      </c>
      <c r="R493">
        <f t="shared" si="981"/>
        <v>-2218661340.4897919</v>
      </c>
      <c r="S493">
        <f t="shared" si="982"/>
        <v>-22186.613404897918</v>
      </c>
      <c r="T493">
        <f t="shared" si="983"/>
        <v>-22.186613404897919</v>
      </c>
    </row>
    <row r="494" spans="1:20" x14ac:dyDescent="0.25">
      <c r="A494" s="5">
        <v>44099</v>
      </c>
      <c r="B494">
        <v>1.1464E-2</v>
      </c>
      <c r="C494">
        <v>1.1677999999999999E-2</v>
      </c>
      <c r="D494">
        <v>1.09E-2</v>
      </c>
      <c r="E494">
        <v>1.1218000000000001E-2</v>
      </c>
      <c r="F494">
        <v>27490416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-0.18251928020565319</v>
      </c>
      <c r="Q494">
        <f t="shared" si="980"/>
        <v>-5017530.9408739721</v>
      </c>
      <c r="R494">
        <f t="shared" si="981"/>
        <v>-2215659221.7161078</v>
      </c>
      <c r="S494">
        <f t="shared" si="982"/>
        <v>-22156.59221716108</v>
      </c>
      <c r="T494">
        <f t="shared" si="983"/>
        <v>-22.15659221716108</v>
      </c>
    </row>
    <row r="495" spans="1:20" x14ac:dyDescent="0.25">
      <c r="A495" s="5">
        <v>44098</v>
      </c>
      <c r="B495">
        <v>1.0324E-2</v>
      </c>
      <c r="C495">
        <v>1.1499000000000001E-2</v>
      </c>
      <c r="D495">
        <v>1.0225E-2</v>
      </c>
      <c r="E495">
        <v>1.1387E-2</v>
      </c>
      <c r="F495">
        <v>39920143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0.82417582417582269</v>
      </c>
      <c r="Q495">
        <f t="shared" si="980"/>
        <v>32901216.758241698</v>
      </c>
      <c r="R495">
        <f t="shared" si="981"/>
        <v>-2210641690.7752337</v>
      </c>
      <c r="S495">
        <f t="shared" si="982"/>
        <v>-22106.416907752337</v>
      </c>
      <c r="T495">
        <f t="shared" si="983"/>
        <v>-22.106416907752337</v>
      </c>
    </row>
    <row r="496" spans="1:20" x14ac:dyDescent="0.25">
      <c r="A496" s="5">
        <v>44097</v>
      </c>
      <c r="B496">
        <v>1.1221E-2</v>
      </c>
      <c r="C496">
        <v>1.1254999999999999E-2</v>
      </c>
      <c r="D496">
        <v>1.023E-2</v>
      </c>
      <c r="E496">
        <v>1.025E-2</v>
      </c>
      <c r="F496">
        <v>51869542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-0.96097560975609575</v>
      </c>
      <c r="Q496">
        <f t="shared" si="980"/>
        <v>-49845364.751219422</v>
      </c>
      <c r="R496">
        <f t="shared" si="981"/>
        <v>-2243542907.5334754</v>
      </c>
      <c r="S496">
        <f t="shared" si="982"/>
        <v>-22435.429075334752</v>
      </c>
      <c r="T496">
        <f t="shared" si="983"/>
        <v>-22.435429075334753</v>
      </c>
    </row>
    <row r="497" spans="1:20" x14ac:dyDescent="0.25">
      <c r="A497" s="5">
        <v>44096</v>
      </c>
      <c r="B497">
        <v>1.0763E-2</v>
      </c>
      <c r="C497">
        <v>1.1586000000000001E-2</v>
      </c>
      <c r="D497">
        <v>1.0572E-2</v>
      </c>
      <c r="E497">
        <v>1.1254E-2</v>
      </c>
      <c r="F497">
        <v>41591128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0.34516765285995982</v>
      </c>
      <c r="Q497">
        <f t="shared" si="980"/>
        <v>14355912.031558154</v>
      </c>
      <c r="R497">
        <f t="shared" si="981"/>
        <v>-2193697542.7822561</v>
      </c>
      <c r="S497">
        <f t="shared" si="982"/>
        <v>-21936.975427822563</v>
      </c>
      <c r="T497">
        <f t="shared" si="983"/>
        <v>-21.936975427822563</v>
      </c>
    </row>
    <row r="498" spans="1:20" x14ac:dyDescent="0.25">
      <c r="A498" s="5">
        <v>44095</v>
      </c>
      <c r="B498">
        <v>1.1433E-2</v>
      </c>
      <c r="C498">
        <v>1.1696E-2</v>
      </c>
      <c r="D498">
        <v>1.0033E-2</v>
      </c>
      <c r="E498">
        <v>1.0859000000000001E-2</v>
      </c>
      <c r="F498">
        <v>47422738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-6.614552014431065E-3</v>
      </c>
      <c r="Q498">
        <f t="shared" si="980"/>
        <v>-313680.16716773662</v>
      </c>
      <c r="R498">
        <f t="shared" si="981"/>
        <v>-2208053454.8138142</v>
      </c>
      <c r="S498">
        <f t="shared" si="982"/>
        <v>-22080.534548138141</v>
      </c>
      <c r="T498">
        <f t="shared" si="983"/>
        <v>-22.080534548138139</v>
      </c>
    </row>
    <row r="499" spans="1:20" x14ac:dyDescent="0.25">
      <c r="A499" s="5">
        <v>44094</v>
      </c>
      <c r="B499">
        <v>1.1995E-2</v>
      </c>
      <c r="C499">
        <v>1.2078E-2</v>
      </c>
      <c r="D499">
        <v>1.128E-2</v>
      </c>
      <c r="E499">
        <v>1.1523E-2</v>
      </c>
      <c r="F499">
        <v>22309850</v>
      </c>
      <c r="G499">
        <v>0</v>
      </c>
      <c r="L499" t="s">
        <v>8</v>
      </c>
      <c r="M499" t="s">
        <v>7</v>
      </c>
      <c r="N499" t="s">
        <v>8</v>
      </c>
      <c r="P499">
        <f t="shared" si="979"/>
        <v>-0.39097744360902226</v>
      </c>
      <c r="Q499">
        <f t="shared" si="980"/>
        <v>-8722648.1203007456</v>
      </c>
      <c r="R499">
        <f t="shared" si="981"/>
        <v>-2207739774.6466465</v>
      </c>
      <c r="S499">
        <f t="shared" si="982"/>
        <v>-22077.397746466464</v>
      </c>
      <c r="T499">
        <f t="shared" si="983"/>
        <v>-22.077397746466463</v>
      </c>
    </row>
    <row r="500" spans="1:20" x14ac:dyDescent="0.25">
      <c r="A500" s="5">
        <v>44093</v>
      </c>
      <c r="B500">
        <v>1.2141000000000001E-2</v>
      </c>
      <c r="C500">
        <v>1.2293999999999999E-2</v>
      </c>
      <c r="D500">
        <v>1.0973999999999999E-2</v>
      </c>
      <c r="E500">
        <v>1.2078999999999999E-2</v>
      </c>
      <c r="F500">
        <v>34257984</v>
      </c>
      <c r="G500">
        <v>0</v>
      </c>
      <c r="L500" t="s">
        <v>7</v>
      </c>
      <c r="M500" t="s">
        <v>7</v>
      </c>
      <c r="N500" t="s">
        <v>8</v>
      </c>
      <c r="P500">
        <f t="shared" si="979"/>
        <v>0.67424242424242442</v>
      </c>
      <c r="Q500">
        <f t="shared" si="980"/>
        <v>23098186.181818187</v>
      </c>
      <c r="R500">
        <f t="shared" si="981"/>
        <v>-2199017126.5263457</v>
      </c>
      <c r="S500">
        <f t="shared" si="982"/>
        <v>-21990.171265263456</v>
      </c>
      <c r="T500">
        <f t="shared" si="983"/>
        <v>-21.990171265263456</v>
      </c>
    </row>
    <row r="501" spans="1:20" x14ac:dyDescent="0.25">
      <c r="A501" s="5">
        <v>44092</v>
      </c>
      <c r="B501">
        <v>1.269E-2</v>
      </c>
      <c r="C501">
        <v>1.272E-2</v>
      </c>
      <c r="D501">
        <v>1.1929E-2</v>
      </c>
      <c r="E501">
        <v>1.2217E-2</v>
      </c>
      <c r="F501">
        <v>41167709</v>
      </c>
      <c r="G501">
        <v>0</v>
      </c>
      <c r="L501" t="s">
        <v>8</v>
      </c>
      <c r="M501" t="s">
        <v>8</v>
      </c>
      <c r="N501" t="s">
        <v>8</v>
      </c>
      <c r="P501">
        <f t="shared" si="979"/>
        <v>-0.27180783817951948</v>
      </c>
      <c r="Q501">
        <f t="shared" si="980"/>
        <v>-11189705.986093547</v>
      </c>
      <c r="R501">
        <f t="shared" si="981"/>
        <v>-2222115312.7081637</v>
      </c>
      <c r="S501">
        <f t="shared" si="982"/>
        <v>-22221.153127081638</v>
      </c>
      <c r="T501">
        <f t="shared" si="983"/>
        <v>-22.221153127081639</v>
      </c>
    </row>
    <row r="502" spans="1:20" x14ac:dyDescent="0.25">
      <c r="A502" s="5">
        <v>44091</v>
      </c>
      <c r="B502">
        <v>1.2239E-2</v>
      </c>
      <c r="C502">
        <v>1.2718999999999999E-2</v>
      </c>
      <c r="D502">
        <v>1.2227E-2</v>
      </c>
      <c r="E502">
        <v>1.269E-2</v>
      </c>
      <c r="F502">
        <v>35403714</v>
      </c>
      <c r="G502">
        <v>0</v>
      </c>
      <c r="L502" t="s">
        <v>8</v>
      </c>
      <c r="M502" t="s">
        <v>8</v>
      </c>
      <c r="N502" t="s">
        <v>8</v>
      </c>
      <c r="P502">
        <f t="shared" si="979"/>
        <v>0.88211382113821324</v>
      </c>
      <c r="Q502">
        <f t="shared" si="980"/>
        <v>31230105.439024456</v>
      </c>
      <c r="R502">
        <f t="shared" si="981"/>
        <v>-2210925606.7220702</v>
      </c>
      <c r="S502">
        <f t="shared" si="982"/>
        <v>-22109.256067220704</v>
      </c>
      <c r="T502">
        <f t="shared" si="983"/>
        <v>-22.109256067220702</v>
      </c>
    </row>
    <row r="503" spans="1:20" x14ac:dyDescent="0.25">
      <c r="A503" s="5">
        <v>44090</v>
      </c>
      <c r="B503">
        <v>1.2827E-2</v>
      </c>
      <c r="C503">
        <v>1.2881E-2</v>
      </c>
      <c r="D503">
        <v>1.1813000000000001E-2</v>
      </c>
      <c r="E503">
        <v>1.2318000000000001E-2</v>
      </c>
      <c r="F503">
        <v>57509796</v>
      </c>
      <c r="G503">
        <v>0</v>
      </c>
      <c r="L503" t="s">
        <v>7</v>
      </c>
      <c r="M503" t="s">
        <v>8</v>
      </c>
      <c r="N503" t="s">
        <v>8</v>
      </c>
      <c r="P503">
        <f t="shared" si="979"/>
        <v>-5.4307116104868026E-2</v>
      </c>
      <c r="Q503">
        <f t="shared" si="980"/>
        <v>-3123191.1685392749</v>
      </c>
      <c r="R503">
        <f t="shared" si="981"/>
        <v>-2242155712.1610947</v>
      </c>
      <c r="S503">
        <f t="shared" si="982"/>
        <v>-22421.557121610946</v>
      </c>
      <c r="T503">
        <f t="shared" si="983"/>
        <v>-22.421557121610945</v>
      </c>
    </row>
    <row r="504" spans="1:20" x14ac:dyDescent="0.25">
      <c r="A504" s="5">
        <v>44089</v>
      </c>
      <c r="B504">
        <v>1.3344999999999999E-2</v>
      </c>
      <c r="C504">
        <v>1.3707E-2</v>
      </c>
      <c r="D504">
        <v>1.2359E-2</v>
      </c>
      <c r="E504">
        <v>1.2822999999999999E-2</v>
      </c>
      <c r="F504">
        <v>78302198</v>
      </c>
      <c r="G504">
        <v>0</v>
      </c>
      <c r="L504" t="s">
        <v>7</v>
      </c>
      <c r="M504" t="s">
        <v>8</v>
      </c>
      <c r="N504" t="s">
        <v>8</v>
      </c>
      <c r="P504">
        <f t="shared" si="979"/>
        <v>-0.31157270029673734</v>
      </c>
      <c r="Q504">
        <f t="shared" si="980"/>
        <v>-24396827.270029787</v>
      </c>
      <c r="R504">
        <f t="shared" si="981"/>
        <v>-2239032520.9925556</v>
      </c>
      <c r="S504">
        <f t="shared" si="982"/>
        <v>-22390.325209925555</v>
      </c>
      <c r="T504">
        <f t="shared" si="983"/>
        <v>-22.390325209925557</v>
      </c>
    </row>
    <row r="505" spans="1:20" x14ac:dyDescent="0.25">
      <c r="A505" s="5">
        <v>44088</v>
      </c>
      <c r="B505">
        <v>1.2284E-2</v>
      </c>
      <c r="C505">
        <v>1.3893000000000001E-2</v>
      </c>
      <c r="D505">
        <v>1.2199E-2</v>
      </c>
      <c r="E505">
        <v>1.3414000000000001E-2</v>
      </c>
      <c r="F505">
        <v>107761143</v>
      </c>
      <c r="G505">
        <v>0</v>
      </c>
      <c r="L505" t="s">
        <v>8</v>
      </c>
      <c r="M505" t="s">
        <v>8</v>
      </c>
      <c r="N505" t="s">
        <v>8</v>
      </c>
      <c r="P505">
        <f t="shared" si="979"/>
        <v>0.43447461629279815</v>
      </c>
      <c r="Q505">
        <f t="shared" si="980"/>
        <v>46819481.256198354</v>
      </c>
      <c r="R505">
        <f t="shared" si="981"/>
        <v>-2214635693.7225256</v>
      </c>
      <c r="S505">
        <f t="shared" si="982"/>
        <v>-22146.356937225257</v>
      </c>
      <c r="T505">
        <f t="shared" si="983"/>
        <v>-22.146356937225256</v>
      </c>
    </row>
    <row r="506" spans="1:20" x14ac:dyDescent="0.25">
      <c r="A506" s="5">
        <v>44087</v>
      </c>
      <c r="B506">
        <v>1.3044E-2</v>
      </c>
      <c r="C506">
        <v>1.3100000000000001E-2</v>
      </c>
      <c r="D506">
        <v>1.2009000000000001E-2</v>
      </c>
      <c r="E506">
        <v>1.2187999999999999E-2</v>
      </c>
      <c r="F506">
        <v>45386459</v>
      </c>
      <c r="G506">
        <v>0</v>
      </c>
      <c r="L506" t="s">
        <v>7</v>
      </c>
      <c r="M506" t="s">
        <v>8</v>
      </c>
      <c r="N506" t="s">
        <v>7</v>
      </c>
      <c r="P506">
        <f t="shared" si="979"/>
        <v>-0.67186067827681284</v>
      </c>
      <c r="Q506">
        <f t="shared" si="980"/>
        <v>-30493377.128322758</v>
      </c>
      <c r="R506">
        <f t="shared" si="981"/>
        <v>-2261455174.978724</v>
      </c>
      <c r="S506">
        <f t="shared" si="982"/>
        <v>-22614.551749787239</v>
      </c>
      <c r="T506">
        <f t="shared" si="983"/>
        <v>-22.614551749787239</v>
      </c>
    </row>
    <row r="507" spans="1:20" x14ac:dyDescent="0.25">
      <c r="A507" s="5">
        <v>44086</v>
      </c>
      <c r="B507">
        <v>1.2472E-2</v>
      </c>
      <c r="C507">
        <v>1.3198E-2</v>
      </c>
      <c r="D507">
        <v>1.2290000000000001E-2</v>
      </c>
      <c r="E507">
        <v>1.3047E-2</v>
      </c>
      <c r="F507">
        <v>72997167</v>
      </c>
      <c r="G507">
        <v>0</v>
      </c>
      <c r="L507" t="s">
        <v>8</v>
      </c>
      <c r="M507" t="s">
        <v>8</v>
      </c>
      <c r="N507" t="s">
        <v>7</v>
      </c>
      <c r="P507">
        <f t="shared" si="979"/>
        <v>0.66740088105726814</v>
      </c>
      <c r="Q507">
        <f t="shared" si="980"/>
        <v>48718373.570484541</v>
      </c>
      <c r="R507">
        <f t="shared" si="981"/>
        <v>-2230961797.8504014</v>
      </c>
      <c r="S507">
        <f t="shared" si="982"/>
        <v>-22309.617978504015</v>
      </c>
      <c r="T507">
        <f t="shared" si="983"/>
        <v>-22.309617978504015</v>
      </c>
    </row>
    <row r="508" spans="1:20" x14ac:dyDescent="0.25">
      <c r="A508" s="5">
        <v>44085</v>
      </c>
      <c r="B508">
        <v>1.2468999999999999E-2</v>
      </c>
      <c r="C508">
        <v>1.3014E-2</v>
      </c>
      <c r="D508">
        <v>1.2116999999999999E-2</v>
      </c>
      <c r="E508">
        <v>1.2467000000000001E-2</v>
      </c>
      <c r="F508">
        <v>45966074</v>
      </c>
      <c r="G508">
        <v>0</v>
      </c>
      <c r="L508" t="s">
        <v>8</v>
      </c>
      <c r="M508" t="s">
        <v>8</v>
      </c>
      <c r="N508" t="s">
        <v>7</v>
      </c>
      <c r="P508">
        <f t="shared" si="979"/>
        <v>-0.2196209587513907</v>
      </c>
      <c r="Q508">
        <f t="shared" si="980"/>
        <v>-10095113.241917374</v>
      </c>
      <c r="R508">
        <f t="shared" si="981"/>
        <v>-2279680171.420886</v>
      </c>
      <c r="S508">
        <f t="shared" si="982"/>
        <v>-22796.801714208861</v>
      </c>
      <c r="T508">
        <f t="shared" si="983"/>
        <v>-22.796801714208861</v>
      </c>
    </row>
    <row r="509" spans="1:20" x14ac:dyDescent="0.25">
      <c r="A509" s="5">
        <v>44084</v>
      </c>
      <c r="B509">
        <v>1.2225E-2</v>
      </c>
      <c r="C509">
        <v>1.2857E-2</v>
      </c>
      <c r="D509">
        <v>1.2076E-2</v>
      </c>
      <c r="E509">
        <v>1.2482E-2</v>
      </c>
      <c r="F509">
        <v>56981468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3.9692701664532343E-2</v>
      </c>
      <c r="Q509">
        <f t="shared" si="980"/>
        <v>2261748.4097310966</v>
      </c>
      <c r="R509">
        <f t="shared" si="981"/>
        <v>-2269585058.1789684</v>
      </c>
      <c r="S509">
        <f t="shared" si="982"/>
        <v>-22695.850581789684</v>
      </c>
      <c r="T509">
        <f t="shared" si="983"/>
        <v>-22.695850581789685</v>
      </c>
    </row>
    <row r="510" spans="1:20" x14ac:dyDescent="0.25">
      <c r="A510" s="5">
        <v>44083</v>
      </c>
      <c r="B510">
        <v>1.1114000000000001E-2</v>
      </c>
      <c r="C510">
        <v>1.2605E-2</v>
      </c>
      <c r="D510">
        <v>1.0737999999999999E-2</v>
      </c>
      <c r="E510">
        <v>1.2177E-2</v>
      </c>
      <c r="F510">
        <v>134700247</v>
      </c>
      <c r="G510">
        <v>0</v>
      </c>
      <c r="L510" t="s">
        <v>8</v>
      </c>
      <c r="M510" t="s">
        <v>8</v>
      </c>
      <c r="N510" t="s">
        <v>7</v>
      </c>
      <c r="P510">
        <f t="shared" si="979"/>
        <v>0.54151044456347142</v>
      </c>
      <c r="Q510">
        <f t="shared" si="980"/>
        <v>72941590.635779411</v>
      </c>
      <c r="R510">
        <f t="shared" si="981"/>
        <v>-2271846806.5886993</v>
      </c>
      <c r="S510">
        <f t="shared" si="982"/>
        <v>-22718.468065886995</v>
      </c>
      <c r="T510">
        <f t="shared" si="983"/>
        <v>-22.718468065886995</v>
      </c>
    </row>
    <row r="511" spans="1:20" x14ac:dyDescent="0.25">
      <c r="A511" s="5">
        <v>44082</v>
      </c>
      <c r="B511">
        <v>1.1214999999999999E-2</v>
      </c>
      <c r="C511">
        <v>1.1549E-2</v>
      </c>
      <c r="D511">
        <v>1.0545000000000001E-2</v>
      </c>
      <c r="E511">
        <v>1.1136999999999999E-2</v>
      </c>
      <c r="F511">
        <v>56159928</v>
      </c>
      <c r="G511">
        <v>0</v>
      </c>
      <c r="L511" t="s">
        <v>7</v>
      </c>
      <c r="M511" t="s">
        <v>7</v>
      </c>
      <c r="N511" t="s">
        <v>7</v>
      </c>
      <c r="P511">
        <f t="shared" si="979"/>
        <v>0.17928286852589434</v>
      </c>
      <c r="Q511">
        <f t="shared" si="980"/>
        <v>10068512.988047693</v>
      </c>
      <c r="R511">
        <f t="shared" si="981"/>
        <v>-2344788397.2244787</v>
      </c>
      <c r="S511">
        <f t="shared" si="982"/>
        <v>-23447.883972244788</v>
      </c>
      <c r="T511">
        <f t="shared" si="983"/>
        <v>-23.447883972244789</v>
      </c>
    </row>
    <row r="512" spans="1:20" x14ac:dyDescent="0.25">
      <c r="A512" s="5">
        <v>44081</v>
      </c>
      <c r="B512">
        <v>1.1010000000000001E-2</v>
      </c>
      <c r="C512">
        <v>1.1753E-2</v>
      </c>
      <c r="D512">
        <v>1.0201E-2</v>
      </c>
      <c r="E512">
        <v>1.1216E-2</v>
      </c>
      <c r="F512">
        <v>70014765</v>
      </c>
      <c r="G512">
        <v>0</v>
      </c>
      <c r="L512" t="s">
        <v>8</v>
      </c>
      <c r="M512" t="s">
        <v>7</v>
      </c>
      <c r="N512" t="s">
        <v>7</v>
      </c>
      <c r="P512">
        <f t="shared" si="979"/>
        <v>0.30798969072165022</v>
      </c>
      <c r="Q512">
        <f t="shared" si="980"/>
        <v>21563825.818299022</v>
      </c>
      <c r="R512">
        <f t="shared" si="981"/>
        <v>-2354856910.2125263</v>
      </c>
      <c r="S512">
        <f t="shared" si="982"/>
        <v>-23548.569102125264</v>
      </c>
      <c r="T512">
        <f t="shared" si="983"/>
        <v>-23.548569102125263</v>
      </c>
    </row>
    <row r="513" spans="1:20" x14ac:dyDescent="0.25">
      <c r="A513" s="5">
        <v>44080</v>
      </c>
      <c r="B513">
        <v>1.0617E-2</v>
      </c>
      <c r="C513">
        <v>1.1268E-2</v>
      </c>
      <c r="D513">
        <v>0.01</v>
      </c>
      <c r="E513">
        <v>1.0923E-2</v>
      </c>
      <c r="F513">
        <v>88525674</v>
      </c>
      <c r="G513">
        <v>0</v>
      </c>
      <c r="L513" t="s">
        <v>8</v>
      </c>
      <c r="M513" t="s">
        <v>7</v>
      </c>
      <c r="N513" t="s">
        <v>7</v>
      </c>
      <c r="P513">
        <f t="shared" si="979"/>
        <v>0.45583596214511068</v>
      </c>
      <c r="Q513">
        <f t="shared" si="980"/>
        <v>40353185.78233441</v>
      </c>
      <c r="R513">
        <f t="shared" si="981"/>
        <v>-2376420736.0308251</v>
      </c>
      <c r="S513">
        <f t="shared" si="982"/>
        <v>-23764.20736030825</v>
      </c>
      <c r="T513">
        <f t="shared" si="983"/>
        <v>-23.764207360308252</v>
      </c>
    </row>
    <row r="514" spans="1:20" x14ac:dyDescent="0.25">
      <c r="A514" s="5">
        <v>44079</v>
      </c>
      <c r="B514">
        <v>1.2113000000000001E-2</v>
      </c>
      <c r="C514">
        <v>1.2324E-2</v>
      </c>
      <c r="D514">
        <v>9.8809999999999992E-3</v>
      </c>
      <c r="E514">
        <v>1.0567999999999999E-2</v>
      </c>
      <c r="F514">
        <v>87611966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-0.43757674989766687</v>
      </c>
      <c r="Q514">
        <f t="shared" si="980"/>
        <v>-38336959.334424891</v>
      </c>
      <c r="R514">
        <f t="shared" si="981"/>
        <v>-2416773921.8131595</v>
      </c>
      <c r="S514">
        <f t="shared" si="982"/>
        <v>-24167.739218131595</v>
      </c>
      <c r="T514">
        <f t="shared" si="983"/>
        <v>-24.167739218131594</v>
      </c>
    </row>
    <row r="515" spans="1:20" x14ac:dyDescent="0.25">
      <c r="A515" s="5">
        <v>44078</v>
      </c>
      <c r="B515">
        <v>1.1278E-2</v>
      </c>
      <c r="C515">
        <v>1.2196E-2</v>
      </c>
      <c r="D515">
        <v>1.0905E-2</v>
      </c>
      <c r="E515">
        <v>1.2145E-2</v>
      </c>
      <c r="F515">
        <v>75575318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0.92099147947327553</v>
      </c>
      <c r="Q515">
        <f t="shared" si="980"/>
        <v>69604223.936483264</v>
      </c>
      <c r="R515">
        <f t="shared" si="981"/>
        <v>-2378436962.4787345</v>
      </c>
      <c r="S515">
        <f t="shared" si="982"/>
        <v>-23784.369624787345</v>
      </c>
      <c r="T515">
        <f t="shared" si="983"/>
        <v>-23.784369624787345</v>
      </c>
    </row>
    <row r="516" spans="1:20" x14ac:dyDescent="0.25">
      <c r="A516" s="5">
        <v>44077</v>
      </c>
      <c r="B516">
        <v>1.4253999999999999E-2</v>
      </c>
      <c r="C516">
        <v>1.4449999999999999E-2</v>
      </c>
      <c r="D516">
        <v>1.0965000000000001E-2</v>
      </c>
      <c r="E516">
        <v>1.1115E-2</v>
      </c>
      <c r="F516">
        <v>99637256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-0.91391678622668626</v>
      </c>
      <c r="Q516">
        <f t="shared" si="980"/>
        <v>-91060160.791965619</v>
      </c>
      <c r="R516">
        <f t="shared" si="981"/>
        <v>-2448041186.4152179</v>
      </c>
      <c r="S516">
        <f t="shared" si="982"/>
        <v>-24480.411864152178</v>
      </c>
      <c r="T516">
        <f t="shared" si="983"/>
        <v>-24.480411864152178</v>
      </c>
    </row>
    <row r="517" spans="1:20" x14ac:dyDescent="0.25">
      <c r="A517" s="5">
        <v>44076</v>
      </c>
      <c r="B517">
        <v>1.5138E-2</v>
      </c>
      <c r="C517">
        <v>1.5228E-2</v>
      </c>
      <c r="D517">
        <v>1.35E-2</v>
      </c>
      <c r="E517">
        <v>1.4239E-2</v>
      </c>
      <c r="F517">
        <v>64189377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-0.14467592592592601</v>
      </c>
      <c r="Q517">
        <f t="shared" si="980"/>
        <v>-9286657.5520833395</v>
      </c>
      <c r="R517">
        <f t="shared" si="981"/>
        <v>-2356981025.6232524</v>
      </c>
      <c r="S517">
        <f t="shared" si="982"/>
        <v>-23569.810256232526</v>
      </c>
      <c r="T517">
        <f t="shared" si="983"/>
        <v>-23.569810256232525</v>
      </c>
    </row>
    <row r="518" spans="1:20" x14ac:dyDescent="0.25">
      <c r="A518" s="5">
        <v>44075</v>
      </c>
      <c r="B518">
        <v>1.4825E-2</v>
      </c>
      <c r="C518">
        <v>1.6098999999999999E-2</v>
      </c>
      <c r="D518">
        <v>1.4558E-2</v>
      </c>
      <c r="E518">
        <v>1.5231E-2</v>
      </c>
      <c r="F518">
        <v>121787570</v>
      </c>
      <c r="G518">
        <v>0</v>
      </c>
      <c r="L518" t="s">
        <v>8</v>
      </c>
      <c r="M518" t="s">
        <v>7</v>
      </c>
      <c r="N518" t="s">
        <v>7</v>
      </c>
      <c r="P518">
        <f t="shared" ref="P518:P581" si="984">IF(C518=D518,0,((E518-D518)-(C518-E518))/(C518-D518))</f>
        <v>-0.12654120700843552</v>
      </c>
      <c r="Q518">
        <f t="shared" ref="Q518:Q581" si="985">F518*P518</f>
        <v>-15411146.106424332</v>
      </c>
      <c r="R518">
        <f t="shared" ref="R518:R581" si="986">R519+Q518</f>
        <v>-2347694368.0711689</v>
      </c>
      <c r="S518">
        <f t="shared" ref="S518:S581" si="987">R518/100000</f>
        <v>-23476.943680711687</v>
      </c>
      <c r="T518">
        <f t="shared" ref="T518:T581" si="988">S518/1000</f>
        <v>-23.476943680711688</v>
      </c>
    </row>
    <row r="519" spans="1:20" x14ac:dyDescent="0.25">
      <c r="A519" s="5">
        <v>44074</v>
      </c>
      <c r="B519">
        <v>1.5036000000000001E-2</v>
      </c>
      <c r="C519">
        <v>1.5207E-2</v>
      </c>
      <c r="D519">
        <v>1.4699E-2</v>
      </c>
      <c r="E519">
        <v>1.4829999999999999E-2</v>
      </c>
      <c r="F519">
        <v>56954082</v>
      </c>
      <c r="G519">
        <v>0</v>
      </c>
      <c r="L519" t="s">
        <v>7</v>
      </c>
      <c r="M519" t="s">
        <v>7</v>
      </c>
      <c r="N519" t="s">
        <v>7</v>
      </c>
      <c r="P519">
        <f t="shared" si="984"/>
        <v>-0.48425196850394003</v>
      </c>
      <c r="Q519">
        <f t="shared" si="985"/>
        <v>-27580126.32283482</v>
      </c>
      <c r="R519">
        <f t="shared" si="986"/>
        <v>-2332283221.9647446</v>
      </c>
      <c r="S519">
        <f t="shared" si="987"/>
        <v>-23322.832219647447</v>
      </c>
      <c r="T519">
        <f t="shared" si="988"/>
        <v>-23.322832219647449</v>
      </c>
    </row>
    <row r="520" spans="1:20" x14ac:dyDescent="0.25">
      <c r="A520" s="5">
        <v>44073</v>
      </c>
      <c r="B520">
        <v>1.49E-2</v>
      </c>
      <c r="C520">
        <v>1.5146E-2</v>
      </c>
      <c r="D520">
        <v>1.4649000000000001E-2</v>
      </c>
      <c r="E520">
        <v>1.5036000000000001E-2</v>
      </c>
      <c r="F520">
        <v>61279161</v>
      </c>
      <c r="G520">
        <v>0</v>
      </c>
      <c r="L520" t="s">
        <v>7</v>
      </c>
      <c r="M520" t="s">
        <v>7</v>
      </c>
      <c r="N520" t="s">
        <v>7</v>
      </c>
      <c r="P520">
        <f t="shared" si="984"/>
        <v>0.55734406438632123</v>
      </c>
      <c r="Q520">
        <f t="shared" si="985"/>
        <v>34153576.653923742</v>
      </c>
      <c r="R520">
        <f t="shared" si="986"/>
        <v>-2304703095.6419096</v>
      </c>
      <c r="S520">
        <f t="shared" si="987"/>
        <v>-23047.030956419097</v>
      </c>
      <c r="T520">
        <f t="shared" si="988"/>
        <v>-23.047030956419096</v>
      </c>
    </row>
    <row r="521" spans="1:20" x14ac:dyDescent="0.25">
      <c r="A521" s="5">
        <v>44072</v>
      </c>
      <c r="B521">
        <v>1.5235E-2</v>
      </c>
      <c r="C521">
        <v>1.5316E-2</v>
      </c>
      <c r="D521">
        <v>1.4800000000000001E-2</v>
      </c>
      <c r="E521">
        <v>1.4909E-2</v>
      </c>
      <c r="F521">
        <v>58563039</v>
      </c>
      <c r="G521">
        <v>0</v>
      </c>
      <c r="L521" t="s">
        <v>7</v>
      </c>
      <c r="M521" t="s">
        <v>7</v>
      </c>
      <c r="N521" t="s">
        <v>7</v>
      </c>
      <c r="P521">
        <f t="shared" si="984"/>
        <v>-0.5775193798449616</v>
      </c>
      <c r="Q521">
        <f t="shared" si="985"/>
        <v>-33821289.9651163</v>
      </c>
      <c r="R521">
        <f t="shared" si="986"/>
        <v>-2338856672.2958331</v>
      </c>
      <c r="S521">
        <f t="shared" si="987"/>
        <v>-23388.566722958331</v>
      </c>
      <c r="T521">
        <f t="shared" si="988"/>
        <v>-23.388566722958331</v>
      </c>
    </row>
    <row r="522" spans="1:20" x14ac:dyDescent="0.25">
      <c r="A522" s="5">
        <v>44071</v>
      </c>
      <c r="B522">
        <v>1.4522E-2</v>
      </c>
      <c r="C522">
        <v>1.532E-2</v>
      </c>
      <c r="D522">
        <v>1.4411999999999999E-2</v>
      </c>
      <c r="E522">
        <v>1.5318999999999999E-2</v>
      </c>
      <c r="F522">
        <v>75492062</v>
      </c>
      <c r="G522">
        <v>0</v>
      </c>
      <c r="L522" t="s">
        <v>7</v>
      </c>
      <c r="M522" t="s">
        <v>7</v>
      </c>
      <c r="N522" t="s">
        <v>7</v>
      </c>
      <c r="P522">
        <f t="shared" si="984"/>
        <v>0.9977973568281916</v>
      </c>
      <c r="Q522">
        <f t="shared" si="985"/>
        <v>75325779.925109968</v>
      </c>
      <c r="R522">
        <f t="shared" si="986"/>
        <v>-2305035382.3307166</v>
      </c>
      <c r="S522">
        <f t="shared" si="987"/>
        <v>-23050.353823307167</v>
      </c>
      <c r="T522">
        <f t="shared" si="988"/>
        <v>-23.050353823307166</v>
      </c>
    </row>
    <row r="523" spans="1:20" x14ac:dyDescent="0.25">
      <c r="A523" s="5">
        <v>44070</v>
      </c>
      <c r="B523">
        <v>1.5554E-2</v>
      </c>
      <c r="C523">
        <v>1.5622E-2</v>
      </c>
      <c r="D523">
        <v>1.426E-2</v>
      </c>
      <c r="E523">
        <v>1.443E-2</v>
      </c>
      <c r="F523">
        <v>79604517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-0.75036710719530109</v>
      </c>
      <c r="Q523">
        <f t="shared" si="985"/>
        <v>-59732611.140969165</v>
      </c>
      <c r="R523">
        <f t="shared" si="986"/>
        <v>-2380361162.2558265</v>
      </c>
      <c r="S523">
        <f t="shared" si="987"/>
        <v>-23803.611622558266</v>
      </c>
      <c r="T523">
        <f t="shared" si="988"/>
        <v>-23.803611622558268</v>
      </c>
    </row>
    <row r="524" spans="1:20" x14ac:dyDescent="0.25">
      <c r="A524" s="5">
        <v>44069</v>
      </c>
      <c r="B524">
        <v>1.5521999999999999E-2</v>
      </c>
      <c r="C524">
        <v>1.6109999999999999E-2</v>
      </c>
      <c r="D524">
        <v>1.5100000000000001E-2</v>
      </c>
      <c r="E524">
        <v>1.5554E-2</v>
      </c>
      <c r="F524">
        <v>68309517</v>
      </c>
      <c r="G524">
        <v>0</v>
      </c>
      <c r="L524" t="s">
        <v>8</v>
      </c>
      <c r="M524" t="s">
        <v>7</v>
      </c>
      <c r="N524" t="s">
        <v>7</v>
      </c>
      <c r="P524">
        <f t="shared" si="984"/>
        <v>-0.10099009900990077</v>
      </c>
      <c r="Q524">
        <f t="shared" si="985"/>
        <v>-6898584.8851485001</v>
      </c>
      <c r="R524">
        <f t="shared" si="986"/>
        <v>-2320628551.1148572</v>
      </c>
      <c r="S524">
        <f t="shared" si="987"/>
        <v>-23206.285511148573</v>
      </c>
      <c r="T524">
        <f t="shared" si="988"/>
        <v>-23.206285511148572</v>
      </c>
    </row>
    <row r="525" spans="1:20" x14ac:dyDescent="0.25">
      <c r="A525" s="5">
        <v>44068</v>
      </c>
      <c r="B525">
        <v>1.7295000000000001E-2</v>
      </c>
      <c r="C525">
        <v>1.7373E-2</v>
      </c>
      <c r="D525">
        <v>1.4999999999999999E-2</v>
      </c>
      <c r="E525">
        <v>1.5526999999999999E-2</v>
      </c>
      <c r="F525">
        <v>115095281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-0.55583649388959155</v>
      </c>
      <c r="Q525">
        <f t="shared" si="985"/>
        <v>-63974157.454277322</v>
      </c>
      <c r="R525">
        <f t="shared" si="986"/>
        <v>-2313729966.2297087</v>
      </c>
      <c r="S525">
        <f t="shared" si="987"/>
        <v>-23137.299662297086</v>
      </c>
      <c r="T525">
        <f t="shared" si="988"/>
        <v>-23.137299662297085</v>
      </c>
    </row>
    <row r="526" spans="1:20" x14ac:dyDescent="0.25">
      <c r="A526" s="5">
        <v>44067</v>
      </c>
      <c r="B526">
        <v>1.6938000000000002E-2</v>
      </c>
      <c r="C526">
        <v>1.7446E-2</v>
      </c>
      <c r="D526">
        <v>1.6601999999999999E-2</v>
      </c>
      <c r="E526">
        <v>1.7226999999999999E-2</v>
      </c>
      <c r="F526">
        <v>71846868</v>
      </c>
      <c r="G526">
        <v>0</v>
      </c>
      <c r="L526" t="s">
        <v>8</v>
      </c>
      <c r="M526" t="s">
        <v>8</v>
      </c>
      <c r="N526" t="s">
        <v>7</v>
      </c>
      <c r="P526">
        <f t="shared" si="984"/>
        <v>0.4810426540284356</v>
      </c>
      <c r="Q526">
        <f t="shared" si="985"/>
        <v>34561408.066350684</v>
      </c>
      <c r="R526">
        <f t="shared" si="986"/>
        <v>-2249755808.7754312</v>
      </c>
      <c r="S526">
        <f t="shared" si="987"/>
        <v>-22497.558087754311</v>
      </c>
      <c r="T526">
        <f t="shared" si="988"/>
        <v>-22.49755808775431</v>
      </c>
    </row>
    <row r="527" spans="1:20" x14ac:dyDescent="0.25">
      <c r="A527" s="5">
        <v>44066</v>
      </c>
      <c r="B527">
        <v>1.7277000000000001E-2</v>
      </c>
      <c r="C527">
        <v>1.7361000000000001E-2</v>
      </c>
      <c r="D527">
        <v>1.6538000000000001E-2</v>
      </c>
      <c r="E527">
        <v>1.6871000000000001E-2</v>
      </c>
      <c r="F527">
        <v>40386785</v>
      </c>
      <c r="G527">
        <v>0</v>
      </c>
      <c r="L527" t="s">
        <v>8</v>
      </c>
      <c r="M527" t="s">
        <v>8</v>
      </c>
      <c r="N527" t="s">
        <v>7</v>
      </c>
      <c r="P527">
        <f t="shared" si="984"/>
        <v>-0.1907654921020665</v>
      </c>
      <c r="Q527">
        <f t="shared" si="985"/>
        <v>-7704404.9149453575</v>
      </c>
      <c r="R527">
        <f t="shared" si="986"/>
        <v>-2284317216.8417816</v>
      </c>
      <c r="S527">
        <f t="shared" si="987"/>
        <v>-22843.172168417816</v>
      </c>
      <c r="T527">
        <f t="shared" si="988"/>
        <v>-22.843172168417816</v>
      </c>
    </row>
    <row r="528" spans="1:20" x14ac:dyDescent="0.25">
      <c r="A528" s="5">
        <v>44065</v>
      </c>
      <c r="B528">
        <v>1.6487999999999999E-2</v>
      </c>
      <c r="C528">
        <v>1.755E-2</v>
      </c>
      <c r="D528">
        <v>1.6192999999999999E-2</v>
      </c>
      <c r="E528">
        <v>1.7277000000000001E-2</v>
      </c>
      <c r="F528">
        <v>82664328</v>
      </c>
      <c r="G528">
        <v>0</v>
      </c>
      <c r="L528" t="s">
        <v>7</v>
      </c>
      <c r="M528" t="s">
        <v>8</v>
      </c>
      <c r="N528" t="s">
        <v>7</v>
      </c>
      <c r="P528">
        <f t="shared" si="984"/>
        <v>0.59764185703758466</v>
      </c>
      <c r="Q528">
        <f t="shared" si="985"/>
        <v>49403662.496684007</v>
      </c>
      <c r="R528">
        <f t="shared" si="986"/>
        <v>-2276612811.9268365</v>
      </c>
      <c r="S528">
        <f t="shared" si="987"/>
        <v>-22766.128119268364</v>
      </c>
      <c r="T528">
        <f t="shared" si="988"/>
        <v>-22.766128119268362</v>
      </c>
    </row>
    <row r="529" spans="1:20" x14ac:dyDescent="0.25">
      <c r="A529" s="5">
        <v>44064</v>
      </c>
      <c r="B529">
        <v>1.78E-2</v>
      </c>
      <c r="C529">
        <v>1.8887000000000001E-2</v>
      </c>
      <c r="D529">
        <v>1.6021000000000001E-2</v>
      </c>
      <c r="E529">
        <v>1.6454E-2</v>
      </c>
      <c r="F529">
        <v>296428067</v>
      </c>
      <c r="G529">
        <v>0</v>
      </c>
      <c r="L529" t="s">
        <v>8</v>
      </c>
      <c r="M529" t="s">
        <v>8</v>
      </c>
      <c r="N529" t="s">
        <v>7</v>
      </c>
      <c r="P529">
        <f t="shared" si="984"/>
        <v>-0.69783670621074723</v>
      </c>
      <c r="Q529">
        <f t="shared" si="985"/>
        <v>-206858385.90369868</v>
      </c>
      <c r="R529">
        <f t="shared" si="986"/>
        <v>-2326016474.4235206</v>
      </c>
      <c r="S529">
        <f t="shared" si="987"/>
        <v>-23260.164744235204</v>
      </c>
      <c r="T529">
        <f t="shared" si="988"/>
        <v>-23.260164744235205</v>
      </c>
    </row>
    <row r="530" spans="1:20" x14ac:dyDescent="0.25">
      <c r="A530" s="5">
        <v>44063</v>
      </c>
      <c r="B530">
        <v>1.6161999999999999E-2</v>
      </c>
      <c r="C530">
        <v>1.8322000000000001E-2</v>
      </c>
      <c r="D530">
        <v>1.6E-2</v>
      </c>
      <c r="E530">
        <v>1.7874999999999999E-2</v>
      </c>
      <c r="F530">
        <v>114763411</v>
      </c>
      <c r="G530">
        <v>0</v>
      </c>
      <c r="L530" t="s">
        <v>8</v>
      </c>
      <c r="M530" t="s">
        <v>8</v>
      </c>
      <c r="N530" t="s">
        <v>7</v>
      </c>
      <c r="P530">
        <f t="shared" si="984"/>
        <v>0.61498708010335679</v>
      </c>
      <c r="Q530">
        <f t="shared" si="985"/>
        <v>70578015.033591464</v>
      </c>
      <c r="R530">
        <f t="shared" si="986"/>
        <v>-2119158088.5198219</v>
      </c>
      <c r="S530">
        <f t="shared" si="987"/>
        <v>-21191.580885198218</v>
      </c>
      <c r="T530">
        <f t="shared" si="988"/>
        <v>-21.191580885198217</v>
      </c>
    </row>
    <row r="531" spans="1:20" x14ac:dyDescent="0.25">
      <c r="A531" s="5">
        <v>44062</v>
      </c>
      <c r="B531">
        <v>1.8263999999999999E-2</v>
      </c>
      <c r="C531">
        <v>1.8263999999999999E-2</v>
      </c>
      <c r="D531">
        <v>1.5598000000000001E-2</v>
      </c>
      <c r="E531">
        <v>1.6161999999999999E-2</v>
      </c>
      <c r="F531">
        <v>191513219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-0.57689422355588982</v>
      </c>
      <c r="Q531">
        <f t="shared" si="985"/>
        <v>-110482869.77569409</v>
      </c>
      <c r="R531">
        <f t="shared" si="986"/>
        <v>-2189736103.5534134</v>
      </c>
      <c r="S531">
        <f t="shared" si="987"/>
        <v>-21897.361035534133</v>
      </c>
      <c r="T531">
        <f t="shared" si="988"/>
        <v>-21.897361035534132</v>
      </c>
    </row>
    <row r="532" spans="1:20" x14ac:dyDescent="0.25">
      <c r="A532" s="5">
        <v>44061</v>
      </c>
      <c r="B532">
        <v>2.0150999999999999E-2</v>
      </c>
      <c r="C532">
        <v>2.2291999999999999E-2</v>
      </c>
      <c r="D532">
        <v>1.7118999999999999E-2</v>
      </c>
      <c r="E532">
        <v>1.8225999999999999E-2</v>
      </c>
      <c r="F532">
        <v>450908378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-0.57200850570268691</v>
      </c>
      <c r="Q532">
        <f t="shared" si="985"/>
        <v>-257923427.50860229</v>
      </c>
      <c r="R532">
        <f t="shared" si="986"/>
        <v>-2079253233.7777195</v>
      </c>
      <c r="S532">
        <f t="shared" si="987"/>
        <v>-20792.532337777197</v>
      </c>
      <c r="T532">
        <f t="shared" si="988"/>
        <v>-20.792532337777196</v>
      </c>
    </row>
    <row r="533" spans="1:20" x14ac:dyDescent="0.25">
      <c r="A533" s="5">
        <v>44060</v>
      </c>
      <c r="B533">
        <v>1.9583E-2</v>
      </c>
      <c r="C533">
        <v>2.0951000000000001E-2</v>
      </c>
      <c r="D533">
        <v>1.8800000000000001E-2</v>
      </c>
      <c r="E533">
        <v>2.0152E-2</v>
      </c>
      <c r="F533">
        <v>182249501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0.25708972570897159</v>
      </c>
      <c r="Q533">
        <f t="shared" si="985"/>
        <v>46854474.222686946</v>
      </c>
      <c r="R533">
        <f t="shared" si="986"/>
        <v>-1821329806.2691171</v>
      </c>
      <c r="S533">
        <f t="shared" si="987"/>
        <v>-18213.29806269117</v>
      </c>
      <c r="T533">
        <f t="shared" si="988"/>
        <v>-18.21329806269117</v>
      </c>
    </row>
    <row r="534" spans="1:20" x14ac:dyDescent="0.25">
      <c r="A534" s="5">
        <v>44059</v>
      </c>
      <c r="B534">
        <v>1.8530000000000001E-2</v>
      </c>
      <c r="C534">
        <v>2.0299999999999999E-2</v>
      </c>
      <c r="D534">
        <v>1.8169999999999999E-2</v>
      </c>
      <c r="E534">
        <v>1.9559E-2</v>
      </c>
      <c r="F534">
        <v>149805930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0.30422535211267737</v>
      </c>
      <c r="Q534">
        <f t="shared" si="985"/>
        <v>45574761.802817099</v>
      </c>
      <c r="R534">
        <f t="shared" si="986"/>
        <v>-1868184280.4918041</v>
      </c>
      <c r="S534">
        <f t="shared" si="987"/>
        <v>-18681.84280491804</v>
      </c>
      <c r="T534">
        <f t="shared" si="988"/>
        <v>-18.681842804918041</v>
      </c>
    </row>
    <row r="535" spans="1:20" x14ac:dyDescent="0.25">
      <c r="A535" s="5">
        <v>44058</v>
      </c>
      <c r="B535">
        <v>1.9706999999999999E-2</v>
      </c>
      <c r="C535">
        <v>1.9767E-2</v>
      </c>
      <c r="D535">
        <v>1.8149999999999999E-2</v>
      </c>
      <c r="E535">
        <v>1.8525E-2</v>
      </c>
      <c r="F535">
        <v>145074564</v>
      </c>
      <c r="G535">
        <v>0</v>
      </c>
      <c r="L535" t="s">
        <v>7</v>
      </c>
      <c r="M535" t="s">
        <v>8</v>
      </c>
      <c r="N535" t="s">
        <v>8</v>
      </c>
      <c r="P535">
        <f t="shared" si="984"/>
        <v>-0.53617810760667872</v>
      </c>
      <c r="Q535">
        <f t="shared" si="985"/>
        <v>-77785805.187383994</v>
      </c>
      <c r="R535">
        <f t="shared" si="986"/>
        <v>-1913759042.2946212</v>
      </c>
      <c r="S535">
        <f t="shared" si="987"/>
        <v>-19137.590422946214</v>
      </c>
      <c r="T535">
        <f t="shared" si="988"/>
        <v>-19.137590422946214</v>
      </c>
    </row>
    <row r="536" spans="1:20" x14ac:dyDescent="0.25">
      <c r="A536" s="5">
        <v>44057</v>
      </c>
      <c r="B536">
        <v>1.8179000000000001E-2</v>
      </c>
      <c r="C536">
        <v>2.0400000000000001E-2</v>
      </c>
      <c r="D536">
        <v>1.7513999999999998E-2</v>
      </c>
      <c r="E536">
        <v>1.9782000000000001E-2</v>
      </c>
      <c r="F536">
        <v>351540311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0.57172557172557181</v>
      </c>
      <c r="Q536">
        <f t="shared" si="985"/>
        <v>200984585.29106033</v>
      </c>
      <c r="R536">
        <f t="shared" si="986"/>
        <v>-1835973237.1072373</v>
      </c>
      <c r="S536">
        <f t="shared" si="987"/>
        <v>-18359.732371072372</v>
      </c>
      <c r="T536">
        <f t="shared" si="988"/>
        <v>-18.359732371072372</v>
      </c>
    </row>
    <row r="537" spans="1:20" x14ac:dyDescent="0.25">
      <c r="A537" s="5">
        <v>44056</v>
      </c>
      <c r="B537">
        <v>1.5965E-2</v>
      </c>
      <c r="C537">
        <v>1.8845000000000001E-2</v>
      </c>
      <c r="D537">
        <v>1.5953999999999999E-2</v>
      </c>
      <c r="E537">
        <v>1.8179000000000001E-2</v>
      </c>
      <c r="F537">
        <v>449318112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0.53925977170529249</v>
      </c>
      <c r="Q537">
        <f t="shared" si="985"/>
        <v>242299182.50017303</v>
      </c>
      <c r="R537">
        <f t="shared" si="986"/>
        <v>-2036957822.3982978</v>
      </c>
      <c r="S537">
        <f t="shared" si="987"/>
        <v>-20369.578223982979</v>
      </c>
      <c r="T537">
        <f t="shared" si="988"/>
        <v>-20.36957822398298</v>
      </c>
    </row>
    <row r="538" spans="1:20" x14ac:dyDescent="0.25">
      <c r="A538" s="5">
        <v>44055</v>
      </c>
      <c r="B538">
        <v>1.4171E-2</v>
      </c>
      <c r="C538">
        <v>1.6150000000000001E-2</v>
      </c>
      <c r="D538">
        <v>1.3749000000000001E-2</v>
      </c>
      <c r="E538">
        <v>1.5973000000000001E-2</v>
      </c>
      <c r="F538">
        <v>207213244</v>
      </c>
      <c r="G538">
        <v>0</v>
      </c>
      <c r="L538" t="s">
        <v>8</v>
      </c>
      <c r="M538" t="s">
        <v>8</v>
      </c>
      <c r="N538" t="s">
        <v>8</v>
      </c>
      <c r="P538">
        <f t="shared" si="984"/>
        <v>0.85256143273635976</v>
      </c>
      <c r="Q538">
        <f t="shared" si="985"/>
        <v>176662020.18658891</v>
      </c>
      <c r="R538">
        <f t="shared" si="986"/>
        <v>-2279257004.8984709</v>
      </c>
      <c r="S538">
        <f t="shared" si="987"/>
        <v>-22792.570048984708</v>
      </c>
      <c r="T538">
        <f t="shared" si="988"/>
        <v>-22.792570048984707</v>
      </c>
    </row>
    <row r="539" spans="1:20" x14ac:dyDescent="0.25">
      <c r="A539" s="5">
        <v>44054</v>
      </c>
      <c r="B539">
        <v>1.4324999999999999E-2</v>
      </c>
      <c r="C539">
        <v>1.4618000000000001E-2</v>
      </c>
      <c r="D539">
        <v>1.3516E-2</v>
      </c>
      <c r="E539">
        <v>1.4171E-2</v>
      </c>
      <c r="F539">
        <v>137380929</v>
      </c>
      <c r="G539">
        <v>0</v>
      </c>
      <c r="L539" t="s">
        <v>7</v>
      </c>
      <c r="M539" t="s">
        <v>8</v>
      </c>
      <c r="N539" t="s">
        <v>8</v>
      </c>
      <c r="P539">
        <f t="shared" si="984"/>
        <v>0.18874773139745737</v>
      </c>
      <c r="Q539">
        <f t="shared" si="985"/>
        <v>25930338.686025161</v>
      </c>
      <c r="R539">
        <f t="shared" si="986"/>
        <v>-2455919025.0850596</v>
      </c>
      <c r="S539">
        <f t="shared" si="987"/>
        <v>-24559.190250850595</v>
      </c>
      <c r="T539">
        <f t="shared" si="988"/>
        <v>-24.559190250850595</v>
      </c>
    </row>
    <row r="540" spans="1:20" x14ac:dyDescent="0.25">
      <c r="A540" s="5">
        <v>44053</v>
      </c>
      <c r="B540">
        <v>1.3946E-2</v>
      </c>
      <c r="C540">
        <v>1.4649000000000001E-2</v>
      </c>
      <c r="D540">
        <v>1.3150999999999999E-2</v>
      </c>
      <c r="E540">
        <v>1.4344000000000001E-2</v>
      </c>
      <c r="F540">
        <v>157800795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0.59279038718291122</v>
      </c>
      <c r="Q540">
        <f t="shared" si="985"/>
        <v>93542794.365821198</v>
      </c>
      <c r="R540">
        <f t="shared" si="986"/>
        <v>-2481849363.7710848</v>
      </c>
      <c r="S540">
        <f t="shared" si="987"/>
        <v>-24818.493637710846</v>
      </c>
      <c r="T540">
        <f t="shared" si="988"/>
        <v>-24.818493637710848</v>
      </c>
    </row>
    <row r="541" spans="1:20" x14ac:dyDescent="0.25">
      <c r="A541" s="5">
        <v>44052</v>
      </c>
      <c r="B541">
        <v>1.3325999999999999E-2</v>
      </c>
      <c r="C541">
        <v>1.4066E-2</v>
      </c>
      <c r="D541">
        <v>1.3171E-2</v>
      </c>
      <c r="E541">
        <v>1.3946E-2</v>
      </c>
      <c r="F541">
        <v>119118981</v>
      </c>
      <c r="G541">
        <v>0</v>
      </c>
      <c r="L541" t="s">
        <v>8</v>
      </c>
      <c r="M541" t="s">
        <v>7</v>
      </c>
      <c r="N541" t="s">
        <v>8</v>
      </c>
      <c r="P541">
        <f t="shared" si="984"/>
        <v>0.7318435754189937</v>
      </c>
      <c r="Q541">
        <f t="shared" si="985"/>
        <v>87176460.955307171</v>
      </c>
      <c r="R541">
        <f t="shared" si="986"/>
        <v>-2575392158.1369061</v>
      </c>
      <c r="S541">
        <f t="shared" si="987"/>
        <v>-25753.921581369061</v>
      </c>
      <c r="T541">
        <f t="shared" si="988"/>
        <v>-25.75392158136906</v>
      </c>
    </row>
    <row r="542" spans="1:20" x14ac:dyDescent="0.25">
      <c r="A542" s="5">
        <v>44051</v>
      </c>
      <c r="B542">
        <v>1.3008E-2</v>
      </c>
      <c r="C542">
        <v>1.3328E-2</v>
      </c>
      <c r="D542">
        <v>1.2928E-2</v>
      </c>
      <c r="E542">
        <v>1.3325E-2</v>
      </c>
      <c r="F542">
        <v>75507238</v>
      </c>
      <c r="G542">
        <v>0</v>
      </c>
      <c r="L542" t="s">
        <v>7</v>
      </c>
      <c r="M542" t="s">
        <v>7</v>
      </c>
      <c r="N542" t="s">
        <v>8</v>
      </c>
      <c r="P542">
        <f t="shared" si="984"/>
        <v>0.98500000000000232</v>
      </c>
      <c r="Q542">
        <f t="shared" si="985"/>
        <v>74374629.430000171</v>
      </c>
      <c r="R542">
        <f t="shared" si="986"/>
        <v>-2662568619.0922132</v>
      </c>
      <c r="S542">
        <f t="shared" si="987"/>
        <v>-26625.68619092213</v>
      </c>
      <c r="T542">
        <f t="shared" si="988"/>
        <v>-26.625686190922131</v>
      </c>
    </row>
    <row r="543" spans="1:20" x14ac:dyDescent="0.25">
      <c r="A543" s="5">
        <v>44050</v>
      </c>
      <c r="B543">
        <v>1.3233999999999999E-2</v>
      </c>
      <c r="C543">
        <v>1.3469E-2</v>
      </c>
      <c r="D543">
        <v>1.2555999999999999E-2</v>
      </c>
      <c r="E543">
        <v>1.3008E-2</v>
      </c>
      <c r="F543">
        <v>70956577</v>
      </c>
      <c r="G543">
        <v>0</v>
      </c>
      <c r="L543" t="s">
        <v>7</v>
      </c>
      <c r="M543" t="s">
        <v>7</v>
      </c>
      <c r="N543" t="s">
        <v>8</v>
      </c>
      <c r="P543">
        <f t="shared" si="984"/>
        <v>-9.857612267249273E-3</v>
      </c>
      <c r="Q543">
        <f t="shared" si="985"/>
        <v>-699462.42387721757</v>
      </c>
      <c r="R543">
        <f t="shared" si="986"/>
        <v>-2736943248.5222135</v>
      </c>
      <c r="S543">
        <f t="shared" si="987"/>
        <v>-27369.432485222136</v>
      </c>
      <c r="T543">
        <f t="shared" si="988"/>
        <v>-27.369432485222138</v>
      </c>
    </row>
    <row r="544" spans="1:20" x14ac:dyDescent="0.25">
      <c r="A544" s="5">
        <v>44049</v>
      </c>
      <c r="B544">
        <v>1.3261999999999999E-2</v>
      </c>
      <c r="C544">
        <v>1.3599999999999999E-2</v>
      </c>
      <c r="D544">
        <v>1.308E-2</v>
      </c>
      <c r="E544">
        <v>1.324E-2</v>
      </c>
      <c r="F544">
        <v>101304433</v>
      </c>
      <c r="G544">
        <v>0</v>
      </c>
      <c r="L544" t="s">
        <v>7</v>
      </c>
      <c r="M544" t="s">
        <v>7</v>
      </c>
      <c r="N544" t="s">
        <v>8</v>
      </c>
      <c r="P544">
        <f t="shared" si="984"/>
        <v>-0.38461538461538258</v>
      </c>
      <c r="Q544">
        <f t="shared" si="985"/>
        <v>-38963243.461538255</v>
      </c>
      <c r="R544">
        <f t="shared" si="986"/>
        <v>-2736243786.0983362</v>
      </c>
      <c r="S544">
        <f t="shared" si="987"/>
        <v>-27362.437860983362</v>
      </c>
      <c r="T544">
        <f t="shared" si="988"/>
        <v>-27.362437860983363</v>
      </c>
    </row>
    <row r="545" spans="1:20" x14ac:dyDescent="0.25">
      <c r="A545" s="5">
        <v>44048</v>
      </c>
      <c r="B545">
        <v>1.3287E-2</v>
      </c>
      <c r="C545">
        <v>1.35E-2</v>
      </c>
      <c r="D545">
        <v>1.3055000000000001E-2</v>
      </c>
      <c r="E545">
        <v>1.3296000000000001E-2</v>
      </c>
      <c r="F545">
        <v>78978369</v>
      </c>
      <c r="G545">
        <v>0</v>
      </c>
      <c r="L545" t="s">
        <v>7</v>
      </c>
      <c r="M545" t="s">
        <v>7</v>
      </c>
      <c r="N545" t="s">
        <v>8</v>
      </c>
      <c r="P545">
        <f t="shared" si="984"/>
        <v>8.3146067415731773E-2</v>
      </c>
      <c r="Q545">
        <f t="shared" si="985"/>
        <v>6566740.7932585403</v>
      </c>
      <c r="R545">
        <f t="shared" si="986"/>
        <v>-2697280542.6367979</v>
      </c>
      <c r="S545">
        <f t="shared" si="987"/>
        <v>-26972.805426367981</v>
      </c>
      <c r="T545">
        <f t="shared" si="988"/>
        <v>-26.97280542636798</v>
      </c>
    </row>
    <row r="546" spans="1:20" x14ac:dyDescent="0.25">
      <c r="A546" s="5">
        <v>44047</v>
      </c>
      <c r="B546">
        <v>1.3056999999999999E-2</v>
      </c>
      <c r="C546">
        <v>1.379E-2</v>
      </c>
      <c r="D546">
        <v>1.2803999999999999E-2</v>
      </c>
      <c r="E546">
        <v>1.3287E-2</v>
      </c>
      <c r="F546">
        <v>112552412</v>
      </c>
      <c r="G546">
        <v>0</v>
      </c>
      <c r="L546" t="s">
        <v>7</v>
      </c>
      <c r="M546" t="s">
        <v>7</v>
      </c>
      <c r="N546" t="s">
        <v>8</v>
      </c>
      <c r="P546">
        <f t="shared" si="984"/>
        <v>-2.0283975659228366E-2</v>
      </c>
      <c r="Q546">
        <f t="shared" si="985"/>
        <v>-2283010.3853954426</v>
      </c>
      <c r="R546">
        <f t="shared" si="986"/>
        <v>-2703847283.4300566</v>
      </c>
      <c r="S546">
        <f t="shared" si="987"/>
        <v>-27038.472834300566</v>
      </c>
      <c r="T546">
        <f t="shared" si="988"/>
        <v>-27.038472834300567</v>
      </c>
    </row>
    <row r="547" spans="1:20" x14ac:dyDescent="0.25">
      <c r="A547" s="5">
        <v>44046</v>
      </c>
      <c r="B547">
        <v>1.2632000000000001E-2</v>
      </c>
      <c r="C547">
        <v>1.3788999999999999E-2</v>
      </c>
      <c r="D547">
        <v>1.2472E-2</v>
      </c>
      <c r="E547">
        <v>1.3056999999999999E-2</v>
      </c>
      <c r="F547">
        <v>90874954</v>
      </c>
      <c r="G547">
        <v>0</v>
      </c>
      <c r="L547" t="s">
        <v>8</v>
      </c>
      <c r="M547" t="s">
        <v>7</v>
      </c>
      <c r="N547" t="s">
        <v>8</v>
      </c>
      <c r="P547">
        <f t="shared" si="984"/>
        <v>-0.11161731207289403</v>
      </c>
      <c r="Q547">
        <f t="shared" si="985"/>
        <v>-10143218.100227891</v>
      </c>
      <c r="R547">
        <f t="shared" si="986"/>
        <v>-2701564273.044661</v>
      </c>
      <c r="S547">
        <f t="shared" si="987"/>
        <v>-27015.642730446609</v>
      </c>
      <c r="T547">
        <f t="shared" si="988"/>
        <v>-27.015642730446608</v>
      </c>
    </row>
    <row r="548" spans="1:20" x14ac:dyDescent="0.25">
      <c r="A548" s="5">
        <v>44045</v>
      </c>
      <c r="B548">
        <v>1.3413E-2</v>
      </c>
      <c r="C548">
        <v>1.3554999999999999E-2</v>
      </c>
      <c r="D548">
        <v>1.2E-2</v>
      </c>
      <c r="E548">
        <v>1.2649000000000001E-2</v>
      </c>
      <c r="F548">
        <v>87520858</v>
      </c>
      <c r="G548">
        <v>0</v>
      </c>
      <c r="L548" t="s">
        <v>7</v>
      </c>
      <c r="M548" t="s">
        <v>7</v>
      </c>
      <c r="N548" t="s">
        <v>8</v>
      </c>
      <c r="P548">
        <f t="shared" si="984"/>
        <v>-0.16527331189710529</v>
      </c>
      <c r="Q548">
        <f t="shared" si="985"/>
        <v>-14464862.061736261</v>
      </c>
      <c r="R548">
        <f t="shared" si="986"/>
        <v>-2691421054.9444332</v>
      </c>
      <c r="S548">
        <f t="shared" si="987"/>
        <v>-26914.210549444331</v>
      </c>
      <c r="T548">
        <f t="shared" si="988"/>
        <v>-26.914210549444331</v>
      </c>
    </row>
    <row r="549" spans="1:20" x14ac:dyDescent="0.25">
      <c r="A549" s="5">
        <v>44044</v>
      </c>
      <c r="B549">
        <v>1.401E-2</v>
      </c>
      <c r="C549">
        <v>1.401E-2</v>
      </c>
      <c r="D549">
        <v>1.2997999999999999E-2</v>
      </c>
      <c r="E549">
        <v>1.3413E-2</v>
      </c>
      <c r="F549">
        <v>127557371</v>
      </c>
      <c r="G549">
        <v>0</v>
      </c>
      <c r="L549" t="s">
        <v>7</v>
      </c>
      <c r="M549" t="s">
        <v>7</v>
      </c>
      <c r="N549" t="s">
        <v>8</v>
      </c>
      <c r="P549">
        <f t="shared" si="984"/>
        <v>-0.17984189723320132</v>
      </c>
      <c r="Q549">
        <f t="shared" si="985"/>
        <v>-22940159.606719334</v>
      </c>
      <c r="R549">
        <f t="shared" si="986"/>
        <v>-2676956192.8826971</v>
      </c>
      <c r="S549">
        <f t="shared" si="987"/>
        <v>-26769.56192882697</v>
      </c>
      <c r="T549">
        <f t="shared" si="988"/>
        <v>-26.76956192882697</v>
      </c>
    </row>
    <row r="550" spans="1:20" x14ac:dyDescent="0.25">
      <c r="A550" s="5">
        <v>44043</v>
      </c>
      <c r="B550">
        <v>1.2966E-2</v>
      </c>
      <c r="C550">
        <v>1.6227999999999999E-2</v>
      </c>
      <c r="D550">
        <v>1.2966E-2</v>
      </c>
      <c r="E550">
        <v>1.4045999999999999E-2</v>
      </c>
      <c r="F550">
        <v>528746467</v>
      </c>
      <c r="G550">
        <v>0</v>
      </c>
      <c r="L550" t="s">
        <v>8</v>
      </c>
      <c r="M550" t="s">
        <v>8</v>
      </c>
      <c r="N550" t="s">
        <v>8</v>
      </c>
      <c r="P550">
        <f t="shared" si="984"/>
        <v>-0.33782955242182733</v>
      </c>
      <c r="Q550">
        <f t="shared" si="985"/>
        <v>-178626182.2912325</v>
      </c>
      <c r="R550">
        <f t="shared" si="986"/>
        <v>-2654016033.2759776</v>
      </c>
      <c r="S550">
        <f t="shared" si="987"/>
        <v>-26540.160332759777</v>
      </c>
      <c r="T550">
        <f t="shared" si="988"/>
        <v>-26.540160332759775</v>
      </c>
    </row>
    <row r="551" spans="1:20" x14ac:dyDescent="0.25">
      <c r="A551" s="5">
        <v>44042</v>
      </c>
      <c r="B551">
        <v>1.2106E-2</v>
      </c>
      <c r="C551">
        <v>1.4182999999999999E-2</v>
      </c>
      <c r="D551">
        <v>1.2E-2</v>
      </c>
      <c r="E551">
        <v>1.2966E-2</v>
      </c>
      <c r="F551">
        <v>216762356</v>
      </c>
      <c r="G551">
        <v>0</v>
      </c>
      <c r="L551" t="s">
        <v>8</v>
      </c>
      <c r="M551" t="s">
        <v>8</v>
      </c>
      <c r="N551" t="s">
        <v>7</v>
      </c>
      <c r="P551">
        <f t="shared" si="984"/>
        <v>-0.11497938616582665</v>
      </c>
      <c r="Q551">
        <f t="shared" si="985"/>
        <v>-24923202.63673839</v>
      </c>
      <c r="R551">
        <f t="shared" si="986"/>
        <v>-2475389850.984745</v>
      </c>
      <c r="S551">
        <f t="shared" si="987"/>
        <v>-24753.898509847451</v>
      </c>
      <c r="T551">
        <f t="shared" si="988"/>
        <v>-24.753898509847453</v>
      </c>
    </row>
    <row r="552" spans="1:20" x14ac:dyDescent="0.25">
      <c r="A552" s="5">
        <v>44041</v>
      </c>
      <c r="B552">
        <v>1.1868E-2</v>
      </c>
      <c r="C552">
        <v>1.252E-2</v>
      </c>
      <c r="D552">
        <v>1.1632E-2</v>
      </c>
      <c r="E552">
        <v>1.2108000000000001E-2</v>
      </c>
      <c r="F552">
        <v>71353454</v>
      </c>
      <c r="G552">
        <v>0</v>
      </c>
      <c r="L552" t="s">
        <v>8</v>
      </c>
      <c r="M552" t="s">
        <v>8</v>
      </c>
      <c r="N552" t="s">
        <v>7</v>
      </c>
      <c r="P552">
        <f t="shared" si="984"/>
        <v>7.2072072072073834E-2</v>
      </c>
      <c r="Q552">
        <f t="shared" si="985"/>
        <v>5142591.2792794053</v>
      </c>
      <c r="R552">
        <f t="shared" si="986"/>
        <v>-2450466648.3480067</v>
      </c>
      <c r="S552">
        <f t="shared" si="987"/>
        <v>-24504.666483480069</v>
      </c>
      <c r="T552">
        <f t="shared" si="988"/>
        <v>-24.504666483480069</v>
      </c>
    </row>
    <row r="553" spans="1:20" x14ac:dyDescent="0.25">
      <c r="A553" s="5">
        <v>44040</v>
      </c>
      <c r="B553">
        <v>1.1508000000000001E-2</v>
      </c>
      <c r="C553">
        <v>1.2428E-2</v>
      </c>
      <c r="D553">
        <v>1.1362000000000001E-2</v>
      </c>
      <c r="E553">
        <v>1.191E-2</v>
      </c>
      <c r="F553">
        <v>68804489</v>
      </c>
      <c r="G553">
        <v>0</v>
      </c>
      <c r="L553" t="s">
        <v>8</v>
      </c>
      <c r="M553" t="s">
        <v>8</v>
      </c>
      <c r="N553" t="s">
        <v>7</v>
      </c>
      <c r="P553">
        <f t="shared" si="984"/>
        <v>2.8142589118199376E-2</v>
      </c>
      <c r="Q553">
        <f t="shared" si="985"/>
        <v>1936336.4634146688</v>
      </c>
      <c r="R553">
        <f t="shared" si="986"/>
        <v>-2455609239.627286</v>
      </c>
      <c r="S553">
        <f t="shared" si="987"/>
        <v>-24556.092396272859</v>
      </c>
      <c r="T553">
        <f t="shared" si="988"/>
        <v>-24.556092396272859</v>
      </c>
    </row>
    <row r="554" spans="1:20" x14ac:dyDescent="0.25">
      <c r="A554" s="5">
        <v>44039</v>
      </c>
      <c r="B554">
        <v>1.18E-2</v>
      </c>
      <c r="C554">
        <v>1.1971000000000001E-2</v>
      </c>
      <c r="D554">
        <v>1.0616E-2</v>
      </c>
      <c r="E554">
        <v>1.1551000000000001E-2</v>
      </c>
      <c r="F554">
        <v>94761553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0.38007380073800717</v>
      </c>
      <c r="Q554">
        <f t="shared" si="985"/>
        <v>36016383.612546109</v>
      </c>
      <c r="R554">
        <f t="shared" si="986"/>
        <v>-2457545576.0907006</v>
      </c>
      <c r="S554">
        <f t="shared" si="987"/>
        <v>-24575.455760907007</v>
      </c>
      <c r="T554">
        <f t="shared" si="988"/>
        <v>-24.575455760907008</v>
      </c>
    </row>
    <row r="555" spans="1:20" x14ac:dyDescent="0.25">
      <c r="A555" s="5">
        <v>44038</v>
      </c>
      <c r="B555">
        <v>1.189E-2</v>
      </c>
      <c r="C555">
        <v>1.2116E-2</v>
      </c>
      <c r="D555">
        <v>1.1689E-2</v>
      </c>
      <c r="E555">
        <v>1.1733E-2</v>
      </c>
      <c r="F555">
        <v>30883090</v>
      </c>
      <c r="G555">
        <v>0</v>
      </c>
      <c r="L555" t="s">
        <v>8</v>
      </c>
      <c r="M555" t="s">
        <v>7</v>
      </c>
      <c r="N555" t="s">
        <v>7</v>
      </c>
      <c r="P555">
        <f t="shared" si="984"/>
        <v>-0.79391100702575834</v>
      </c>
      <c r="Q555">
        <f t="shared" si="985"/>
        <v>-24518425.081967127</v>
      </c>
      <c r="R555">
        <f t="shared" si="986"/>
        <v>-2493561959.7032466</v>
      </c>
      <c r="S555">
        <f t="shared" si="987"/>
        <v>-24935.619597032466</v>
      </c>
      <c r="T555">
        <f t="shared" si="988"/>
        <v>-24.935619597032467</v>
      </c>
    </row>
    <row r="556" spans="1:20" x14ac:dyDescent="0.25">
      <c r="A556" s="5">
        <v>44037</v>
      </c>
      <c r="B556">
        <v>1.184E-2</v>
      </c>
      <c r="C556">
        <v>1.2097E-2</v>
      </c>
      <c r="D556">
        <v>1.1833E-2</v>
      </c>
      <c r="E556">
        <v>1.1834000000000001E-2</v>
      </c>
      <c r="F556">
        <v>30013887</v>
      </c>
      <c r="G556">
        <v>0</v>
      </c>
      <c r="L556" t="s">
        <v>8</v>
      </c>
      <c r="M556" t="s">
        <v>7</v>
      </c>
      <c r="N556" t="s">
        <v>7</v>
      </c>
      <c r="P556">
        <f t="shared" si="984"/>
        <v>-0.99242424242423488</v>
      </c>
      <c r="Q556">
        <f t="shared" si="985"/>
        <v>-29786509.068181593</v>
      </c>
      <c r="R556">
        <f t="shared" si="986"/>
        <v>-2469043534.6212792</v>
      </c>
      <c r="S556">
        <f t="shared" si="987"/>
        <v>-24690.435346212791</v>
      </c>
      <c r="T556">
        <f t="shared" si="988"/>
        <v>-24.690435346212791</v>
      </c>
    </row>
    <row r="557" spans="1:20" x14ac:dyDescent="0.25">
      <c r="A557" s="5">
        <v>44036</v>
      </c>
      <c r="B557">
        <v>1.2015E-2</v>
      </c>
      <c r="C557">
        <v>1.2200000000000001E-2</v>
      </c>
      <c r="D557">
        <v>1.1823999999999999E-2</v>
      </c>
      <c r="E557">
        <v>1.1847999999999999E-2</v>
      </c>
      <c r="F557">
        <v>14082680</v>
      </c>
      <c r="G557">
        <v>0</v>
      </c>
      <c r="L557" t="s">
        <v>8</v>
      </c>
      <c r="M557" t="s">
        <v>7</v>
      </c>
      <c r="N557" t="s">
        <v>7</v>
      </c>
      <c r="P557">
        <f t="shared" si="984"/>
        <v>-0.87234042553191682</v>
      </c>
      <c r="Q557">
        <f t="shared" si="985"/>
        <v>-12284891.063829815</v>
      </c>
      <c r="R557">
        <f t="shared" si="986"/>
        <v>-2439257025.5530977</v>
      </c>
      <c r="S557">
        <f t="shared" si="987"/>
        <v>-24392.570255530976</v>
      </c>
      <c r="T557">
        <f t="shared" si="988"/>
        <v>-24.392570255530977</v>
      </c>
    </row>
    <row r="558" spans="1:20" x14ac:dyDescent="0.25">
      <c r="A558" s="5">
        <v>44035</v>
      </c>
      <c r="B558">
        <v>1.2094000000000001E-2</v>
      </c>
      <c r="C558">
        <v>1.231E-2</v>
      </c>
      <c r="D558">
        <v>1.1989E-2</v>
      </c>
      <c r="E558">
        <v>1.2015E-2</v>
      </c>
      <c r="F558">
        <v>36548389</v>
      </c>
      <c r="G558">
        <v>0</v>
      </c>
      <c r="L558" t="s">
        <v>8</v>
      </c>
      <c r="M558" t="s">
        <v>7</v>
      </c>
      <c r="N558" t="s">
        <v>7</v>
      </c>
      <c r="P558">
        <f t="shared" si="984"/>
        <v>-0.83800623052959522</v>
      </c>
      <c r="Q558">
        <f t="shared" si="985"/>
        <v>-30627777.697819322</v>
      </c>
      <c r="R558">
        <f t="shared" si="986"/>
        <v>-2426972134.4892678</v>
      </c>
      <c r="S558">
        <f t="shared" si="987"/>
        <v>-24269.721344892678</v>
      </c>
      <c r="T558">
        <f t="shared" si="988"/>
        <v>-24.269721344892677</v>
      </c>
    </row>
    <row r="559" spans="1:20" x14ac:dyDescent="0.25">
      <c r="A559" s="5">
        <v>44034</v>
      </c>
      <c r="B559">
        <v>1.2030000000000001E-2</v>
      </c>
      <c r="C559">
        <v>1.2212000000000001E-2</v>
      </c>
      <c r="D559">
        <v>1.1801000000000001E-2</v>
      </c>
      <c r="E559">
        <v>1.2088E-2</v>
      </c>
      <c r="F559">
        <v>36729156</v>
      </c>
      <c r="G559">
        <v>0</v>
      </c>
      <c r="L559" t="s">
        <v>8</v>
      </c>
      <c r="M559" t="s">
        <v>7</v>
      </c>
      <c r="N559" t="s">
        <v>7</v>
      </c>
      <c r="P559">
        <f t="shared" si="984"/>
        <v>0.39659367396593248</v>
      </c>
      <c r="Q559">
        <f t="shared" si="985"/>
        <v>14566550.919707872</v>
      </c>
      <c r="R559">
        <f t="shared" si="986"/>
        <v>-2396344356.7914486</v>
      </c>
      <c r="S559">
        <f t="shared" si="987"/>
        <v>-23963.443567914484</v>
      </c>
      <c r="T559">
        <f t="shared" si="988"/>
        <v>-23.963443567914485</v>
      </c>
    </row>
    <row r="560" spans="1:20" x14ac:dyDescent="0.25">
      <c r="A560" s="5">
        <v>44033</v>
      </c>
      <c r="B560">
        <v>1.1922E-2</v>
      </c>
      <c r="C560">
        <v>1.2093E-2</v>
      </c>
      <c r="D560">
        <v>1.18E-2</v>
      </c>
      <c r="E560">
        <v>1.2017999999999999E-2</v>
      </c>
      <c r="F560">
        <v>17590792</v>
      </c>
      <c r="G560">
        <v>0</v>
      </c>
      <c r="L560" t="s">
        <v>8</v>
      </c>
      <c r="M560" t="s">
        <v>7</v>
      </c>
      <c r="N560" t="s">
        <v>7</v>
      </c>
      <c r="P560">
        <f t="shared" si="984"/>
        <v>0.48805460750852936</v>
      </c>
      <c r="Q560">
        <f t="shared" si="985"/>
        <v>8585267.0853241775</v>
      </c>
      <c r="R560">
        <f t="shared" si="986"/>
        <v>-2410910907.7111564</v>
      </c>
      <c r="S560">
        <f t="shared" si="987"/>
        <v>-24109.109077111563</v>
      </c>
      <c r="T560">
        <f t="shared" si="988"/>
        <v>-24.109109077111562</v>
      </c>
    </row>
    <row r="561" spans="1:104" x14ac:dyDescent="0.25">
      <c r="A561" s="5">
        <v>44032</v>
      </c>
      <c r="B561">
        <v>1.1990000000000001E-2</v>
      </c>
      <c r="C561">
        <v>1.2153000000000001E-2</v>
      </c>
      <c r="D561">
        <v>1.1838E-2</v>
      </c>
      <c r="E561">
        <v>1.1922E-2</v>
      </c>
      <c r="F561">
        <v>32375011</v>
      </c>
      <c r="G561">
        <v>0</v>
      </c>
      <c r="L561" t="s">
        <v>8</v>
      </c>
      <c r="M561" t="s">
        <v>7</v>
      </c>
      <c r="N561" t="s">
        <v>7</v>
      </c>
      <c r="P561">
        <f t="shared" si="984"/>
        <v>-0.46666666666666373</v>
      </c>
      <c r="Q561">
        <f t="shared" si="985"/>
        <v>-15108338.466666572</v>
      </c>
      <c r="R561">
        <f t="shared" si="986"/>
        <v>-2419496174.7964807</v>
      </c>
      <c r="S561">
        <f t="shared" si="987"/>
        <v>-24194.961747964808</v>
      </c>
      <c r="T561">
        <f t="shared" si="988"/>
        <v>-24.194961747964808</v>
      </c>
      <c r="CZ561" t="s">
        <v>7</v>
      </c>
    </row>
    <row r="562" spans="1:104" x14ac:dyDescent="0.25">
      <c r="A562" s="5">
        <v>44031</v>
      </c>
      <c r="B562">
        <v>1.2118E-2</v>
      </c>
      <c r="C562">
        <v>1.2199E-2</v>
      </c>
      <c r="D562">
        <v>1.0576E-2</v>
      </c>
      <c r="E562">
        <v>1.1972E-2</v>
      </c>
      <c r="F562">
        <v>83770336</v>
      </c>
      <c r="G562">
        <v>0</v>
      </c>
      <c r="L562" t="s">
        <v>7</v>
      </c>
      <c r="M562" t="s">
        <v>7</v>
      </c>
      <c r="N562" t="s">
        <v>7</v>
      </c>
      <c r="P562">
        <f t="shared" si="984"/>
        <v>0.72027110289587204</v>
      </c>
      <c r="Q562">
        <f t="shared" si="985"/>
        <v>60337352.300677776</v>
      </c>
      <c r="R562">
        <f t="shared" si="986"/>
        <v>-2404387836.329814</v>
      </c>
      <c r="S562">
        <f t="shared" si="987"/>
        <v>-24043.878363298139</v>
      </c>
      <c r="T562">
        <f t="shared" si="988"/>
        <v>-24.043878363298141</v>
      </c>
      <c r="CZ562" t="s">
        <v>7</v>
      </c>
    </row>
    <row r="563" spans="1:104" x14ac:dyDescent="0.25">
      <c r="A563" s="5">
        <v>44030</v>
      </c>
      <c r="B563">
        <v>1.2156E-2</v>
      </c>
      <c r="C563">
        <v>1.2200000000000001E-2</v>
      </c>
      <c r="D563">
        <v>1.196E-2</v>
      </c>
      <c r="E563">
        <v>1.2109E-2</v>
      </c>
      <c r="F563">
        <v>11337504</v>
      </c>
      <c r="G563">
        <v>0</v>
      </c>
      <c r="L563" t="s">
        <v>7</v>
      </c>
      <c r="M563" t="s">
        <v>8</v>
      </c>
      <c r="N563" t="s">
        <v>7</v>
      </c>
      <c r="P563">
        <f t="shared" si="984"/>
        <v>0.24166666666666198</v>
      </c>
      <c r="Q563">
        <f t="shared" si="985"/>
        <v>2739896.7999999467</v>
      </c>
      <c r="R563">
        <f t="shared" si="986"/>
        <v>-2464725188.6304917</v>
      </c>
      <c r="S563">
        <f t="shared" si="987"/>
        <v>-24647.251886304919</v>
      </c>
      <c r="T563">
        <f t="shared" si="988"/>
        <v>-24.647251886304918</v>
      </c>
      <c r="CZ563" t="s">
        <v>7</v>
      </c>
    </row>
    <row r="564" spans="1:104" x14ac:dyDescent="0.25">
      <c r="A564" s="5">
        <v>44029</v>
      </c>
      <c r="B564">
        <v>1.1990000000000001E-2</v>
      </c>
      <c r="C564">
        <v>1.2324E-2</v>
      </c>
      <c r="D564">
        <v>1.1977E-2</v>
      </c>
      <c r="E564">
        <v>1.2158E-2</v>
      </c>
      <c r="F564">
        <v>20385759</v>
      </c>
      <c r="G564">
        <v>0</v>
      </c>
      <c r="L564" t="s">
        <v>7</v>
      </c>
      <c r="M564" t="s">
        <v>8</v>
      </c>
      <c r="N564" t="s">
        <v>7</v>
      </c>
      <c r="P564">
        <f t="shared" si="984"/>
        <v>4.3227665706055102E-2</v>
      </c>
      <c r="Q564">
        <f t="shared" si="985"/>
        <v>881228.77521620411</v>
      </c>
      <c r="R564">
        <f t="shared" si="986"/>
        <v>-2467465085.4304914</v>
      </c>
      <c r="S564">
        <f t="shared" si="987"/>
        <v>-24674.650854304913</v>
      </c>
      <c r="T564">
        <f t="shared" si="988"/>
        <v>-24.674650854304915</v>
      </c>
    </row>
    <row r="565" spans="1:104" x14ac:dyDescent="0.25">
      <c r="A565" s="5">
        <v>44028</v>
      </c>
      <c r="B565">
        <v>1.2369E-2</v>
      </c>
      <c r="C565">
        <v>1.268E-2</v>
      </c>
      <c r="D565">
        <v>1.1439E-2</v>
      </c>
      <c r="E565">
        <v>1.1990000000000001E-2</v>
      </c>
      <c r="F565">
        <v>53496436</v>
      </c>
      <c r="G565">
        <v>0</v>
      </c>
      <c r="L565" t="s">
        <v>7</v>
      </c>
      <c r="M565" t="s">
        <v>8</v>
      </c>
      <c r="N565" t="s">
        <v>7</v>
      </c>
      <c r="P565">
        <f t="shared" si="984"/>
        <v>-0.11200644641418084</v>
      </c>
      <c r="Q565">
        <f t="shared" si="985"/>
        <v>-5991945.6921836548</v>
      </c>
      <c r="R565">
        <f t="shared" si="986"/>
        <v>-2468346314.2057076</v>
      </c>
      <c r="S565">
        <f t="shared" si="987"/>
        <v>-24683.463142057077</v>
      </c>
      <c r="T565">
        <f t="shared" si="988"/>
        <v>-24.683463142057075</v>
      </c>
    </row>
    <row r="566" spans="1:104" x14ac:dyDescent="0.25">
      <c r="A566" s="5">
        <v>44027</v>
      </c>
      <c r="B566">
        <v>1.2415000000000001E-2</v>
      </c>
      <c r="C566">
        <v>1.2699999999999999E-2</v>
      </c>
      <c r="D566">
        <v>1.2022E-2</v>
      </c>
      <c r="E566">
        <v>1.2430999999999999E-2</v>
      </c>
      <c r="F566">
        <v>63591039</v>
      </c>
      <c r="G566">
        <v>0</v>
      </c>
      <c r="L566" t="s">
        <v>7</v>
      </c>
      <c r="M566" t="s">
        <v>8</v>
      </c>
      <c r="N566" t="s">
        <v>7</v>
      </c>
      <c r="P566">
        <f t="shared" si="984"/>
        <v>0.20648967551622352</v>
      </c>
      <c r="Q566">
        <f t="shared" si="985"/>
        <v>13130893.008849515</v>
      </c>
      <c r="R566">
        <f t="shared" si="986"/>
        <v>-2462354368.5135241</v>
      </c>
      <c r="S566">
        <f t="shared" si="987"/>
        <v>-24623.543685135239</v>
      </c>
      <c r="T566">
        <f t="shared" si="988"/>
        <v>-24.623543685135239</v>
      </c>
    </row>
    <row r="567" spans="1:104" x14ac:dyDescent="0.25">
      <c r="A567" s="5">
        <v>44026</v>
      </c>
      <c r="B567">
        <v>1.225E-2</v>
      </c>
      <c r="C567">
        <v>1.2437999999999999E-2</v>
      </c>
      <c r="D567">
        <v>1.2E-2</v>
      </c>
      <c r="E567">
        <v>1.2375000000000001E-2</v>
      </c>
      <c r="F567">
        <v>40746549</v>
      </c>
      <c r="G567">
        <v>0</v>
      </c>
      <c r="L567" t="s">
        <v>7</v>
      </c>
      <c r="M567" t="s">
        <v>8</v>
      </c>
      <c r="N567" t="s">
        <v>7</v>
      </c>
      <c r="P567">
        <f t="shared" si="984"/>
        <v>0.71232876712329252</v>
      </c>
      <c r="Q567">
        <f t="shared" si="985"/>
        <v>29024939.013698827</v>
      </c>
      <c r="R567">
        <f t="shared" si="986"/>
        <v>-2475485261.5223737</v>
      </c>
      <c r="S567">
        <f t="shared" si="987"/>
        <v>-24754.852615223735</v>
      </c>
      <c r="T567">
        <f t="shared" si="988"/>
        <v>-24.754852615223736</v>
      </c>
    </row>
    <row r="568" spans="1:104" x14ac:dyDescent="0.25">
      <c r="A568" s="5">
        <v>44025</v>
      </c>
      <c r="B568">
        <v>1.2371E-2</v>
      </c>
      <c r="C568">
        <v>1.3027E-2</v>
      </c>
      <c r="D568">
        <v>1.2102999999999999E-2</v>
      </c>
      <c r="E568">
        <v>1.2304000000000001E-2</v>
      </c>
      <c r="F568">
        <v>78549941</v>
      </c>
      <c r="G568">
        <v>0</v>
      </c>
      <c r="L568" t="s">
        <v>8</v>
      </c>
      <c r="M568" t="s">
        <v>8</v>
      </c>
      <c r="N568" t="s">
        <v>7</v>
      </c>
      <c r="P568">
        <f t="shared" si="984"/>
        <v>-0.56493506493506218</v>
      </c>
      <c r="Q568">
        <f t="shared" si="985"/>
        <v>-44375616.019480303</v>
      </c>
      <c r="R568">
        <f t="shared" si="986"/>
        <v>-2504510200.5360727</v>
      </c>
      <c r="S568">
        <f t="shared" si="987"/>
        <v>-25045.102005360728</v>
      </c>
      <c r="T568">
        <f t="shared" si="988"/>
        <v>-25.045102005360729</v>
      </c>
    </row>
    <row r="569" spans="1:104" x14ac:dyDescent="0.25">
      <c r="A569" s="5">
        <v>44024</v>
      </c>
      <c r="B569">
        <v>1.2470999999999999E-2</v>
      </c>
      <c r="C569">
        <v>1.2492E-2</v>
      </c>
      <c r="D569">
        <v>1.2130999999999999E-2</v>
      </c>
      <c r="E569">
        <v>1.2369E-2</v>
      </c>
      <c r="F569">
        <v>18733525</v>
      </c>
      <c r="G569">
        <v>0</v>
      </c>
      <c r="L569" t="s">
        <v>8</v>
      </c>
      <c r="M569" t="s">
        <v>7</v>
      </c>
      <c r="N569" t="s">
        <v>7</v>
      </c>
      <c r="P569">
        <f t="shared" si="984"/>
        <v>0.31855955678670483</v>
      </c>
      <c r="Q569">
        <f t="shared" si="985"/>
        <v>5967743.4210526543</v>
      </c>
      <c r="R569">
        <f t="shared" si="986"/>
        <v>-2460134584.5165925</v>
      </c>
      <c r="S569">
        <f t="shared" si="987"/>
        <v>-24601.345845165924</v>
      </c>
      <c r="T569">
        <f t="shared" si="988"/>
        <v>-24.601345845165923</v>
      </c>
    </row>
    <row r="570" spans="1:104" x14ac:dyDescent="0.25">
      <c r="A570" s="5">
        <v>44023</v>
      </c>
      <c r="B570">
        <v>1.2633999999999999E-2</v>
      </c>
      <c r="C570">
        <v>1.2699999999999999E-2</v>
      </c>
      <c r="D570">
        <v>1.222E-2</v>
      </c>
      <c r="E570">
        <v>1.2470999999999999E-2</v>
      </c>
      <c r="F570">
        <v>25300315</v>
      </c>
      <c r="G570">
        <v>0</v>
      </c>
      <c r="L570" t="s">
        <v>8</v>
      </c>
      <c r="M570" t="s">
        <v>7</v>
      </c>
      <c r="N570" t="s">
        <v>7</v>
      </c>
      <c r="P570">
        <f t="shared" si="984"/>
        <v>4.5833333333332234E-2</v>
      </c>
      <c r="Q570">
        <f t="shared" si="985"/>
        <v>1159597.7708333055</v>
      </c>
      <c r="R570">
        <f t="shared" si="986"/>
        <v>-2466102327.937645</v>
      </c>
      <c r="S570">
        <f t="shared" si="987"/>
        <v>-24661.023279376448</v>
      </c>
      <c r="T570">
        <f t="shared" si="988"/>
        <v>-24.661023279376447</v>
      </c>
    </row>
    <row r="571" spans="1:104" x14ac:dyDescent="0.25">
      <c r="A571" s="5">
        <v>44022</v>
      </c>
      <c r="B571">
        <v>1.2181000000000001E-2</v>
      </c>
      <c r="C571">
        <v>1.2775E-2</v>
      </c>
      <c r="D571">
        <v>1.2019999999999999E-2</v>
      </c>
      <c r="E571">
        <v>1.2626999999999999E-2</v>
      </c>
      <c r="F571">
        <v>77239622</v>
      </c>
      <c r="G571">
        <v>0</v>
      </c>
      <c r="L571" t="s">
        <v>8</v>
      </c>
      <c r="M571" t="s">
        <v>7</v>
      </c>
      <c r="N571" t="s">
        <v>7</v>
      </c>
      <c r="P571">
        <f t="shared" si="984"/>
        <v>0.6079470198675484</v>
      </c>
      <c r="Q571">
        <f t="shared" si="985"/>
        <v>46957598.010595925</v>
      </c>
      <c r="R571">
        <f t="shared" si="986"/>
        <v>-2467261925.7084785</v>
      </c>
      <c r="S571">
        <f t="shared" si="987"/>
        <v>-24672.619257084785</v>
      </c>
      <c r="T571">
        <f t="shared" si="988"/>
        <v>-24.672619257084786</v>
      </c>
    </row>
    <row r="572" spans="1:104" x14ac:dyDescent="0.25">
      <c r="A572" s="5">
        <v>44021</v>
      </c>
      <c r="B572">
        <v>1.2204E-2</v>
      </c>
      <c r="C572">
        <v>1.2759E-2</v>
      </c>
      <c r="D572">
        <v>1.1849E-2</v>
      </c>
      <c r="E572">
        <v>1.2182E-2</v>
      </c>
      <c r="F572">
        <v>84972545</v>
      </c>
      <c r="G572">
        <v>0</v>
      </c>
      <c r="L572" t="s">
        <v>8</v>
      </c>
      <c r="M572" t="s">
        <v>7</v>
      </c>
      <c r="N572" t="s">
        <v>7</v>
      </c>
      <c r="P572">
        <f t="shared" si="984"/>
        <v>-0.26813186813186768</v>
      </c>
      <c r="Q572">
        <f t="shared" si="985"/>
        <v>-22783847.230769191</v>
      </c>
      <c r="R572">
        <f t="shared" si="986"/>
        <v>-2514219523.7190742</v>
      </c>
      <c r="S572">
        <f t="shared" si="987"/>
        <v>-25142.195237190743</v>
      </c>
      <c r="T572">
        <f t="shared" si="988"/>
        <v>-25.142195237190744</v>
      </c>
    </row>
    <row r="573" spans="1:104" x14ac:dyDescent="0.25">
      <c r="A573" s="5">
        <v>44020</v>
      </c>
      <c r="B573">
        <v>1.1941E-2</v>
      </c>
      <c r="C573">
        <v>1.2498E-2</v>
      </c>
      <c r="D573">
        <v>1.1875E-2</v>
      </c>
      <c r="E573">
        <v>1.2204E-2</v>
      </c>
      <c r="F573">
        <v>60895075</v>
      </c>
      <c r="G573">
        <v>0</v>
      </c>
      <c r="L573" t="s">
        <v>8</v>
      </c>
      <c r="M573" t="s">
        <v>7</v>
      </c>
      <c r="N573" t="s">
        <v>7</v>
      </c>
      <c r="P573">
        <f t="shared" si="984"/>
        <v>5.6179775280896564E-2</v>
      </c>
      <c r="Q573">
        <f t="shared" si="985"/>
        <v>3421071.6292133424</v>
      </c>
      <c r="R573">
        <f t="shared" si="986"/>
        <v>-2491435676.4883051</v>
      </c>
      <c r="S573">
        <f t="shared" si="987"/>
        <v>-24914.35676488305</v>
      </c>
      <c r="T573">
        <f t="shared" si="988"/>
        <v>-24.914356764883049</v>
      </c>
    </row>
    <row r="574" spans="1:104" x14ac:dyDescent="0.25">
      <c r="A574" s="5">
        <v>44019</v>
      </c>
      <c r="B574">
        <v>1.2E-2</v>
      </c>
      <c r="C574">
        <v>1.2447E-2</v>
      </c>
      <c r="D574">
        <v>1.183E-2</v>
      </c>
      <c r="E574">
        <v>1.1958E-2</v>
      </c>
      <c r="F574">
        <v>37101155</v>
      </c>
      <c r="G574">
        <v>0</v>
      </c>
      <c r="L574" t="s">
        <v>8</v>
      </c>
      <c r="M574" t="s">
        <v>7</v>
      </c>
      <c r="N574" t="s">
        <v>7</v>
      </c>
      <c r="P574">
        <f t="shared" si="984"/>
        <v>-0.58508914100486309</v>
      </c>
      <c r="Q574">
        <f t="shared" si="985"/>
        <v>-21707482.909238283</v>
      </c>
      <c r="R574">
        <f t="shared" si="986"/>
        <v>-2494856748.1175184</v>
      </c>
      <c r="S574">
        <f t="shared" si="987"/>
        <v>-24948.567481175185</v>
      </c>
      <c r="T574">
        <f t="shared" si="988"/>
        <v>-24.948567481175186</v>
      </c>
    </row>
    <row r="575" spans="1:104" x14ac:dyDescent="0.25">
      <c r="A575" s="5">
        <v>44018</v>
      </c>
      <c r="B575">
        <v>1.167E-2</v>
      </c>
      <c r="C575">
        <v>1.2064999999999999E-2</v>
      </c>
      <c r="D575">
        <v>1.1592999999999999E-2</v>
      </c>
      <c r="E575">
        <v>1.2043E-2</v>
      </c>
      <c r="F575">
        <v>26480876</v>
      </c>
      <c r="G575">
        <v>0</v>
      </c>
      <c r="L575" t="s">
        <v>8</v>
      </c>
      <c r="M575" t="s">
        <v>7</v>
      </c>
      <c r="N575" t="s">
        <v>7</v>
      </c>
      <c r="P575">
        <f t="shared" si="984"/>
        <v>0.90677966101695151</v>
      </c>
      <c r="Q575">
        <f t="shared" si="985"/>
        <v>24012319.762711927</v>
      </c>
      <c r="R575">
        <f t="shared" si="986"/>
        <v>-2473149265.2082801</v>
      </c>
      <c r="S575">
        <f t="shared" si="987"/>
        <v>-24731.492652082801</v>
      </c>
      <c r="T575">
        <f t="shared" si="988"/>
        <v>-24.7314926520828</v>
      </c>
    </row>
    <row r="576" spans="1:104" x14ac:dyDescent="0.25">
      <c r="A576" s="5">
        <v>44017</v>
      </c>
      <c r="B576">
        <v>1.1521999999999999E-2</v>
      </c>
      <c r="C576">
        <v>1.2E-2</v>
      </c>
      <c r="D576">
        <v>1.1317000000000001E-2</v>
      </c>
      <c r="E576">
        <v>1.1643000000000001E-2</v>
      </c>
      <c r="F576">
        <v>33536803</v>
      </c>
      <c r="G576">
        <v>0</v>
      </c>
      <c r="L576" t="s">
        <v>8</v>
      </c>
      <c r="M576" t="s">
        <v>7</v>
      </c>
      <c r="N576" t="s">
        <v>7</v>
      </c>
      <c r="P576">
        <f t="shared" si="984"/>
        <v>-4.538799414348433E-2</v>
      </c>
      <c r="Q576">
        <f t="shared" si="985"/>
        <v>-1522168.2181551878</v>
      </c>
      <c r="R576">
        <f t="shared" si="986"/>
        <v>-2497161584.9709921</v>
      </c>
      <c r="S576">
        <f t="shared" si="987"/>
        <v>-24971.61584970992</v>
      </c>
      <c r="T576">
        <f t="shared" si="988"/>
        <v>-24.97161584970992</v>
      </c>
    </row>
    <row r="577" spans="1:20" x14ac:dyDescent="0.25">
      <c r="A577" s="5">
        <v>44016</v>
      </c>
      <c r="B577">
        <v>1.1335E-2</v>
      </c>
      <c r="C577">
        <v>1.18E-2</v>
      </c>
      <c r="D577">
        <v>1.1150999999999999E-2</v>
      </c>
      <c r="E577">
        <v>1.1521999999999999E-2</v>
      </c>
      <c r="F577">
        <v>26932121</v>
      </c>
      <c r="G577">
        <v>0</v>
      </c>
      <c r="L577" t="s">
        <v>8</v>
      </c>
      <c r="M577" t="s">
        <v>7</v>
      </c>
      <c r="N577" t="s">
        <v>7</v>
      </c>
      <c r="P577">
        <f t="shared" si="984"/>
        <v>0.14329738058551508</v>
      </c>
      <c r="Q577">
        <f t="shared" si="985"/>
        <v>3859302.3929121429</v>
      </c>
      <c r="R577">
        <f t="shared" si="986"/>
        <v>-2495639416.7528367</v>
      </c>
      <c r="S577">
        <f t="shared" si="987"/>
        <v>-24956.394167528368</v>
      </c>
      <c r="T577">
        <f t="shared" si="988"/>
        <v>-24.956394167528369</v>
      </c>
    </row>
    <row r="578" spans="1:20" x14ac:dyDescent="0.25">
      <c r="A578" s="5">
        <v>44015</v>
      </c>
      <c r="B578">
        <v>1.1338000000000001E-2</v>
      </c>
      <c r="C578">
        <v>1.1424999999999999E-2</v>
      </c>
      <c r="D578">
        <v>1.0919E-2</v>
      </c>
      <c r="E578">
        <v>1.1273E-2</v>
      </c>
      <c r="F578">
        <v>34227047</v>
      </c>
      <c r="G578">
        <v>0</v>
      </c>
      <c r="L578" t="s">
        <v>7</v>
      </c>
      <c r="M578" t="s">
        <v>7</v>
      </c>
      <c r="N578" t="s">
        <v>7</v>
      </c>
      <c r="P578">
        <f t="shared" si="984"/>
        <v>0.39920948616600987</v>
      </c>
      <c r="Q578">
        <f t="shared" si="985"/>
        <v>13663761.84584987</v>
      </c>
      <c r="R578">
        <f t="shared" si="986"/>
        <v>-2499498719.1457486</v>
      </c>
      <c r="S578">
        <f t="shared" si="987"/>
        <v>-24994.987191457487</v>
      </c>
      <c r="T578">
        <f t="shared" si="988"/>
        <v>-24.994987191457486</v>
      </c>
    </row>
    <row r="579" spans="1:20" x14ac:dyDescent="0.25">
      <c r="A579" s="5">
        <v>44014</v>
      </c>
      <c r="B579">
        <v>1.1952000000000001E-2</v>
      </c>
      <c r="C579">
        <v>1.2024999999999999E-2</v>
      </c>
      <c r="D579">
        <v>1.1180000000000001E-2</v>
      </c>
      <c r="E579">
        <v>1.1368E-2</v>
      </c>
      <c r="F579">
        <v>33616675</v>
      </c>
      <c r="G579">
        <v>0</v>
      </c>
      <c r="L579" t="s">
        <v>7</v>
      </c>
      <c r="M579" t="s">
        <v>7</v>
      </c>
      <c r="N579" t="s">
        <v>7</v>
      </c>
      <c r="P579">
        <f t="shared" si="984"/>
        <v>-0.55502958579881834</v>
      </c>
      <c r="Q579">
        <f t="shared" si="985"/>
        <v>-18658249.20118349</v>
      </c>
      <c r="R579">
        <f t="shared" si="986"/>
        <v>-2513162480.9915986</v>
      </c>
      <c r="S579">
        <f t="shared" si="987"/>
        <v>-25131.624809915986</v>
      </c>
      <c r="T579">
        <f t="shared" si="988"/>
        <v>-25.131624809915987</v>
      </c>
    </row>
    <row r="580" spans="1:20" x14ac:dyDescent="0.25">
      <c r="A580" s="5">
        <v>44013</v>
      </c>
      <c r="B580">
        <v>1.17E-2</v>
      </c>
      <c r="C580">
        <v>1.2003E-2</v>
      </c>
      <c r="D580">
        <v>1.1545E-2</v>
      </c>
      <c r="E580">
        <v>1.1927999999999999E-2</v>
      </c>
      <c r="F580">
        <v>33713440</v>
      </c>
      <c r="G580">
        <v>0</v>
      </c>
      <c r="L580" t="s">
        <v>8</v>
      </c>
      <c r="M580" t="s">
        <v>7</v>
      </c>
      <c r="N580" t="s">
        <v>7</v>
      </c>
      <c r="P580">
        <f t="shared" si="984"/>
        <v>0.67248908296943055</v>
      </c>
      <c r="Q580">
        <f t="shared" si="985"/>
        <v>22671920.34934492</v>
      </c>
      <c r="R580">
        <f t="shared" si="986"/>
        <v>-2494504231.7904153</v>
      </c>
      <c r="S580">
        <f t="shared" si="987"/>
        <v>-24945.042317904154</v>
      </c>
      <c r="T580">
        <f t="shared" si="988"/>
        <v>-24.945042317904154</v>
      </c>
    </row>
    <row r="581" spans="1:20" x14ac:dyDescent="0.25">
      <c r="A581" s="5">
        <v>44012</v>
      </c>
      <c r="B581">
        <v>1.21E-2</v>
      </c>
      <c r="C581">
        <v>1.213E-2</v>
      </c>
      <c r="D581">
        <v>1.1546000000000001E-2</v>
      </c>
      <c r="E581">
        <v>1.1707E-2</v>
      </c>
      <c r="F581">
        <v>23776919</v>
      </c>
      <c r="G581">
        <v>0</v>
      </c>
      <c r="L581" t="s">
        <v>8</v>
      </c>
      <c r="M581" t="s">
        <v>7</v>
      </c>
      <c r="N581" t="s">
        <v>7</v>
      </c>
      <c r="P581">
        <f t="shared" si="984"/>
        <v>-0.44863013698630194</v>
      </c>
      <c r="Q581">
        <f t="shared" si="985"/>
        <v>-10667042.428082205</v>
      </c>
      <c r="R581">
        <f t="shared" si="986"/>
        <v>-2517176152.13976</v>
      </c>
      <c r="S581">
        <f t="shared" si="987"/>
        <v>-25171.761521397599</v>
      </c>
      <c r="T581">
        <f t="shared" si="988"/>
        <v>-25.171761521397599</v>
      </c>
    </row>
    <row r="582" spans="1:20" x14ac:dyDescent="0.25">
      <c r="A582" s="5">
        <v>44011</v>
      </c>
      <c r="B582">
        <v>1.1736E-2</v>
      </c>
      <c r="C582">
        <v>1.2189999999999999E-2</v>
      </c>
      <c r="D582">
        <v>1.1599999999999999E-2</v>
      </c>
      <c r="E582">
        <v>1.2033E-2</v>
      </c>
      <c r="F582">
        <v>35788939</v>
      </c>
      <c r="G582">
        <v>0</v>
      </c>
      <c r="L582" t="s">
        <v>8</v>
      </c>
      <c r="M582" t="s">
        <v>7</v>
      </c>
      <c r="N582" t="s">
        <v>7</v>
      </c>
      <c r="P582">
        <f t="shared" ref="P582:P645" si="989">IF(C582=D582,0,((E582-D582)-(C582-E582))/(C582-D582))</f>
        <v>0.46779661016949464</v>
      </c>
      <c r="Q582">
        <f t="shared" ref="Q582:Q645" si="990">F582*P582</f>
        <v>16741944.345762823</v>
      </c>
      <c r="R582">
        <f t="shared" ref="R582:R645" si="991">R583+Q582</f>
        <v>-2506509109.711678</v>
      </c>
      <c r="S582">
        <f t="shared" ref="S582:S645" si="992">R582/100000</f>
        <v>-25065.09109711678</v>
      </c>
      <c r="T582">
        <f t="shared" ref="T582:T645" si="993">S582/1000</f>
        <v>-25.065091097116781</v>
      </c>
    </row>
    <row r="583" spans="1:20" x14ac:dyDescent="0.25">
      <c r="A583" s="5">
        <v>44010</v>
      </c>
      <c r="B583">
        <v>1.1461000000000001E-2</v>
      </c>
      <c r="C583">
        <v>1.1842999999999999E-2</v>
      </c>
      <c r="D583">
        <v>1.1122999999999999E-2</v>
      </c>
      <c r="E583">
        <v>1.1736E-2</v>
      </c>
      <c r="F583">
        <v>38453611</v>
      </c>
      <c r="G583">
        <v>0</v>
      </c>
      <c r="L583" t="s">
        <v>7</v>
      </c>
      <c r="M583" t="s">
        <v>7</v>
      </c>
      <c r="N583" t="s">
        <v>7</v>
      </c>
      <c r="P583">
        <f t="shared" si="989"/>
        <v>0.70277777777777939</v>
      </c>
      <c r="Q583">
        <f t="shared" si="990"/>
        <v>27024343.286111172</v>
      </c>
      <c r="R583">
        <f t="shared" si="991"/>
        <v>-2523251054.0574408</v>
      </c>
      <c r="S583">
        <f t="shared" si="992"/>
        <v>-25232.510540574407</v>
      </c>
      <c r="T583">
        <f t="shared" si="993"/>
        <v>-25.232510540574406</v>
      </c>
    </row>
    <row r="584" spans="1:20" x14ac:dyDescent="0.25">
      <c r="A584" s="5">
        <v>44009</v>
      </c>
      <c r="B584">
        <v>1.2208999999999999E-2</v>
      </c>
      <c r="C584">
        <v>1.2692999999999999E-2</v>
      </c>
      <c r="D584">
        <v>1.1335E-2</v>
      </c>
      <c r="E584">
        <v>1.1461000000000001E-2</v>
      </c>
      <c r="F584">
        <v>38013334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-0.81443298969071998</v>
      </c>
      <c r="Q584">
        <f t="shared" si="990"/>
        <v>-30959313.257731896</v>
      </c>
      <c r="R584">
        <f t="shared" si="991"/>
        <v>-2550275397.3435521</v>
      </c>
      <c r="S584">
        <f t="shared" si="992"/>
        <v>-25502.75397343552</v>
      </c>
      <c r="T584">
        <f t="shared" si="993"/>
        <v>-25.502753973435521</v>
      </c>
    </row>
    <row r="585" spans="1:20" x14ac:dyDescent="0.25">
      <c r="A585" s="5">
        <v>44008</v>
      </c>
      <c r="B585">
        <v>1.2699999999999999E-2</v>
      </c>
      <c r="C585">
        <v>1.2746E-2</v>
      </c>
      <c r="D585">
        <v>1.1908E-2</v>
      </c>
      <c r="E585">
        <v>1.2208999999999999E-2</v>
      </c>
      <c r="F585">
        <v>45576064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-0.28162291169451287</v>
      </c>
      <c r="Q585">
        <f t="shared" si="990"/>
        <v>-12835263.847255467</v>
      </c>
      <c r="R585">
        <f t="shared" si="991"/>
        <v>-2519316084.0858202</v>
      </c>
      <c r="S585">
        <f t="shared" si="992"/>
        <v>-25193.160840858203</v>
      </c>
      <c r="T585">
        <f t="shared" si="993"/>
        <v>-25.193160840858205</v>
      </c>
    </row>
    <row r="586" spans="1:20" x14ac:dyDescent="0.25">
      <c r="A586" s="5">
        <v>44007</v>
      </c>
      <c r="B586">
        <v>1.3014E-2</v>
      </c>
      <c r="C586">
        <v>1.3193E-2</v>
      </c>
      <c r="D586">
        <v>1.2500000000000001E-2</v>
      </c>
      <c r="E586">
        <v>1.2666999999999999E-2</v>
      </c>
      <c r="F586">
        <v>48943172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-0.51803751803752107</v>
      </c>
      <c r="Q586">
        <f t="shared" si="990"/>
        <v>-25354399.347763497</v>
      </c>
      <c r="R586">
        <f t="shared" si="991"/>
        <v>-2506480820.238565</v>
      </c>
      <c r="S586">
        <f t="shared" si="992"/>
        <v>-25064.808202385651</v>
      </c>
      <c r="T586">
        <f t="shared" si="993"/>
        <v>-25.064808202385652</v>
      </c>
    </row>
    <row r="587" spans="1:20" x14ac:dyDescent="0.25">
      <c r="A587" s="5">
        <v>44006</v>
      </c>
      <c r="B587">
        <v>1.4055E-2</v>
      </c>
      <c r="C587">
        <v>1.41E-2</v>
      </c>
      <c r="D587">
        <v>1.2681E-2</v>
      </c>
      <c r="E587">
        <v>1.3014E-2</v>
      </c>
      <c r="F587">
        <v>159402086</v>
      </c>
      <c r="G587">
        <v>0</v>
      </c>
      <c r="L587" t="s">
        <v>7</v>
      </c>
      <c r="M587" t="s">
        <v>7</v>
      </c>
      <c r="N587" t="s">
        <v>8</v>
      </c>
      <c r="P587">
        <f t="shared" si="989"/>
        <v>-0.53065539112050752</v>
      </c>
      <c r="Q587">
        <f t="shared" si="990"/>
        <v>-84587576.291754782</v>
      </c>
      <c r="R587">
        <f t="shared" si="991"/>
        <v>-2481126420.8908014</v>
      </c>
      <c r="S587">
        <f t="shared" si="992"/>
        <v>-24811.264208908015</v>
      </c>
      <c r="T587">
        <f t="shared" si="993"/>
        <v>-24.811264208908014</v>
      </c>
    </row>
    <row r="588" spans="1:20" x14ac:dyDescent="0.25">
      <c r="A588" s="5">
        <v>44005</v>
      </c>
      <c r="B588">
        <v>1.393E-2</v>
      </c>
      <c r="C588">
        <v>1.4200000000000001E-2</v>
      </c>
      <c r="D588">
        <v>1.3750999999999999E-2</v>
      </c>
      <c r="E588">
        <v>1.4056000000000001E-2</v>
      </c>
      <c r="F588">
        <v>58286581</v>
      </c>
      <c r="G588">
        <v>0</v>
      </c>
      <c r="L588" t="s">
        <v>7</v>
      </c>
      <c r="M588" t="s">
        <v>8</v>
      </c>
      <c r="N588" t="s">
        <v>8</v>
      </c>
      <c r="P588">
        <f t="shared" si="989"/>
        <v>0.35857461024499082</v>
      </c>
      <c r="Q588">
        <f t="shared" si="990"/>
        <v>20900088.064588089</v>
      </c>
      <c r="R588">
        <f t="shared" si="991"/>
        <v>-2396538844.5990467</v>
      </c>
      <c r="S588">
        <f t="shared" si="992"/>
        <v>-23965.388445990466</v>
      </c>
      <c r="T588">
        <f t="shared" si="993"/>
        <v>-23.965388445990467</v>
      </c>
    </row>
    <row r="589" spans="1:20" x14ac:dyDescent="0.25">
      <c r="A589" s="5">
        <v>44004</v>
      </c>
      <c r="B589">
        <v>1.4083E-2</v>
      </c>
      <c r="C589">
        <v>1.54E-2</v>
      </c>
      <c r="D589">
        <v>1.3497E-2</v>
      </c>
      <c r="E589">
        <v>1.3937E-2</v>
      </c>
      <c r="F589">
        <v>299621388</v>
      </c>
      <c r="G589">
        <v>0</v>
      </c>
      <c r="L589" t="s">
        <v>8</v>
      </c>
      <c r="M589" t="s">
        <v>8</v>
      </c>
      <c r="N589" t="s">
        <v>8</v>
      </c>
      <c r="P589">
        <f t="shared" si="989"/>
        <v>-0.53757225433526079</v>
      </c>
      <c r="Q589">
        <f t="shared" si="990"/>
        <v>-161068144.99421987</v>
      </c>
      <c r="R589">
        <f t="shared" si="991"/>
        <v>-2417438932.6636348</v>
      </c>
      <c r="S589">
        <f t="shared" si="992"/>
        <v>-24174.389326636348</v>
      </c>
      <c r="T589">
        <f t="shared" si="993"/>
        <v>-24.174389326636348</v>
      </c>
    </row>
    <row r="590" spans="1:20" x14ac:dyDescent="0.25">
      <c r="A590" s="5">
        <v>44003</v>
      </c>
      <c r="B590">
        <v>1.3302E-2</v>
      </c>
      <c r="C590">
        <v>1.4239999999999999E-2</v>
      </c>
      <c r="D590">
        <v>1.3247999999999999E-2</v>
      </c>
      <c r="E590">
        <v>1.406E-2</v>
      </c>
      <c r="F590">
        <v>67293391</v>
      </c>
      <c r="G590">
        <v>0</v>
      </c>
      <c r="L590" t="s">
        <v>8</v>
      </c>
      <c r="M590" t="s">
        <v>8</v>
      </c>
      <c r="N590" t="s">
        <v>8</v>
      </c>
      <c r="P590">
        <f t="shared" si="989"/>
        <v>0.63709677419354915</v>
      </c>
      <c r="Q590">
        <f t="shared" si="990"/>
        <v>42872402.330645211</v>
      </c>
      <c r="R590">
        <f t="shared" si="991"/>
        <v>-2256370787.669415</v>
      </c>
      <c r="S590">
        <f t="shared" si="992"/>
        <v>-22563.707876694149</v>
      </c>
      <c r="T590">
        <f t="shared" si="993"/>
        <v>-22.563707876694149</v>
      </c>
    </row>
    <row r="591" spans="1:20" x14ac:dyDescent="0.25">
      <c r="A591" s="5">
        <v>44002</v>
      </c>
      <c r="B591">
        <v>1.3698E-2</v>
      </c>
      <c r="C591">
        <v>1.3913E-2</v>
      </c>
      <c r="D591">
        <v>1.3021E-2</v>
      </c>
      <c r="E591">
        <v>1.3313999999999999E-2</v>
      </c>
      <c r="F591">
        <v>95402474</v>
      </c>
      <c r="G591">
        <v>0</v>
      </c>
      <c r="L591" t="s">
        <v>7</v>
      </c>
      <c r="M591" t="s">
        <v>8</v>
      </c>
      <c r="N591" t="s">
        <v>8</v>
      </c>
      <c r="P591">
        <f t="shared" si="989"/>
        <v>-0.34304932735426075</v>
      </c>
      <c r="Q591">
        <f t="shared" si="990"/>
        <v>-32727754.533632349</v>
      </c>
      <c r="R591">
        <f t="shared" si="991"/>
        <v>-2299243190.0000601</v>
      </c>
      <c r="S591">
        <f t="shared" si="992"/>
        <v>-22992.4319000006</v>
      </c>
      <c r="T591">
        <f t="shared" si="993"/>
        <v>-22.9924319000006</v>
      </c>
    </row>
    <row r="592" spans="1:20" x14ac:dyDescent="0.25">
      <c r="A592" s="5">
        <v>44001</v>
      </c>
      <c r="B592">
        <v>1.4331999999999999E-2</v>
      </c>
      <c r="C592">
        <v>1.4474000000000001E-2</v>
      </c>
      <c r="D592">
        <v>1.3339E-2</v>
      </c>
      <c r="E592">
        <v>1.3698E-2</v>
      </c>
      <c r="F592">
        <v>99532099</v>
      </c>
      <c r="G592">
        <v>0</v>
      </c>
      <c r="L592" t="s">
        <v>7</v>
      </c>
      <c r="M592" t="s">
        <v>8</v>
      </c>
      <c r="N592" t="s">
        <v>8</v>
      </c>
      <c r="P592">
        <f t="shared" si="989"/>
        <v>-0.36740088105726915</v>
      </c>
      <c r="Q592">
        <f t="shared" si="990"/>
        <v>-36568180.866079338</v>
      </c>
      <c r="R592">
        <f t="shared" si="991"/>
        <v>-2266515435.4664278</v>
      </c>
      <c r="S592">
        <f t="shared" si="992"/>
        <v>-22665.154354664279</v>
      </c>
      <c r="T592">
        <f t="shared" si="993"/>
        <v>-22.665154354664278</v>
      </c>
    </row>
    <row r="593" spans="1:20" x14ac:dyDescent="0.25">
      <c r="A593" s="5">
        <v>44000</v>
      </c>
      <c r="B593">
        <v>1.315E-2</v>
      </c>
      <c r="C593">
        <v>1.4605E-2</v>
      </c>
      <c r="D593">
        <v>1.29E-2</v>
      </c>
      <c r="E593">
        <v>1.426E-2</v>
      </c>
      <c r="F593">
        <v>157020906</v>
      </c>
      <c r="G593">
        <v>0</v>
      </c>
      <c r="L593" t="s">
        <v>8</v>
      </c>
      <c r="M593" t="s">
        <v>8</v>
      </c>
      <c r="N593" t="s">
        <v>8</v>
      </c>
      <c r="P593">
        <f t="shared" si="989"/>
        <v>0.59530791788856319</v>
      </c>
      <c r="Q593">
        <f t="shared" si="990"/>
        <v>93475788.615835801</v>
      </c>
      <c r="R593">
        <f t="shared" si="991"/>
        <v>-2229947254.6003485</v>
      </c>
      <c r="S593">
        <f t="shared" si="992"/>
        <v>-22299.472546003486</v>
      </c>
      <c r="T593">
        <f t="shared" si="993"/>
        <v>-22.299472546003486</v>
      </c>
    </row>
    <row r="594" spans="1:20" x14ac:dyDescent="0.25">
      <c r="A594" s="5">
        <v>43999</v>
      </c>
      <c r="B594">
        <v>1.2959E-2</v>
      </c>
      <c r="C594">
        <v>1.332E-2</v>
      </c>
      <c r="D594">
        <v>1.2513E-2</v>
      </c>
      <c r="E594">
        <v>1.315E-2</v>
      </c>
      <c r="F594">
        <v>108888720</v>
      </c>
      <c r="G594">
        <v>0</v>
      </c>
      <c r="L594" t="s">
        <v>8</v>
      </c>
      <c r="M594" t="s">
        <v>8</v>
      </c>
      <c r="N594" t="s">
        <v>8</v>
      </c>
      <c r="P594">
        <f t="shared" si="989"/>
        <v>0.57868649318463461</v>
      </c>
      <c r="Q594">
        <f t="shared" si="990"/>
        <v>63012431.524163589</v>
      </c>
      <c r="R594">
        <f t="shared" si="991"/>
        <v>-2323423043.2161841</v>
      </c>
      <c r="S594">
        <f t="shared" si="992"/>
        <v>-23234.230432161843</v>
      </c>
      <c r="T594">
        <f t="shared" si="993"/>
        <v>-23.234230432161844</v>
      </c>
    </row>
    <row r="595" spans="1:20" x14ac:dyDescent="0.25">
      <c r="A595" s="5">
        <v>43998</v>
      </c>
      <c r="B595">
        <v>1.1879000000000001E-2</v>
      </c>
      <c r="C595">
        <v>1.3205E-2</v>
      </c>
      <c r="D595">
        <v>1.1842E-2</v>
      </c>
      <c r="E595">
        <v>1.2940999999999999E-2</v>
      </c>
      <c r="F595">
        <v>209627780</v>
      </c>
      <c r="G595">
        <v>0</v>
      </c>
      <c r="L595" t="s">
        <v>8</v>
      </c>
      <c r="M595" t="s">
        <v>8</v>
      </c>
      <c r="N595" t="s">
        <v>8</v>
      </c>
      <c r="P595">
        <f t="shared" si="989"/>
        <v>0.61261922230374111</v>
      </c>
      <c r="Q595">
        <f t="shared" si="990"/>
        <v>128422007.55685973</v>
      </c>
      <c r="R595">
        <f t="shared" si="991"/>
        <v>-2386435474.7403479</v>
      </c>
      <c r="S595">
        <f t="shared" si="992"/>
        <v>-23864.354747403479</v>
      </c>
      <c r="T595">
        <f t="shared" si="993"/>
        <v>-23.864354747403478</v>
      </c>
    </row>
    <row r="596" spans="1:20" x14ac:dyDescent="0.25">
      <c r="A596" s="5">
        <v>43997</v>
      </c>
      <c r="B596">
        <v>1.1653E-2</v>
      </c>
      <c r="C596">
        <v>1.2154E-2</v>
      </c>
      <c r="D596">
        <v>1.1025E-2</v>
      </c>
      <c r="E596">
        <v>1.1879000000000001E-2</v>
      </c>
      <c r="F596">
        <v>68344660</v>
      </c>
      <c r="G596">
        <v>0</v>
      </c>
      <c r="L596" t="s">
        <v>7</v>
      </c>
      <c r="M596" t="s">
        <v>8</v>
      </c>
      <c r="N596" t="s">
        <v>8</v>
      </c>
      <c r="P596">
        <f t="shared" si="989"/>
        <v>0.51284322409211824</v>
      </c>
      <c r="Q596">
        <f t="shared" si="990"/>
        <v>35050095.78387963</v>
      </c>
      <c r="R596">
        <f t="shared" si="991"/>
        <v>-2514857482.2972074</v>
      </c>
      <c r="S596">
        <f t="shared" si="992"/>
        <v>-25148.574822972074</v>
      </c>
      <c r="T596">
        <f t="shared" si="993"/>
        <v>-25.148574822972073</v>
      </c>
    </row>
    <row r="597" spans="1:20" x14ac:dyDescent="0.25">
      <c r="A597" s="5">
        <v>43996</v>
      </c>
      <c r="B597">
        <v>1.231E-2</v>
      </c>
      <c r="C597">
        <v>1.2345E-2</v>
      </c>
      <c r="D597">
        <v>1.1514999999999999E-2</v>
      </c>
      <c r="E597">
        <v>1.1655E-2</v>
      </c>
      <c r="F597">
        <v>34943224</v>
      </c>
      <c r="G597">
        <v>0</v>
      </c>
      <c r="L597" t="s">
        <v>7</v>
      </c>
      <c r="M597" t="s">
        <v>8</v>
      </c>
      <c r="N597" t="s">
        <v>8</v>
      </c>
      <c r="P597">
        <f t="shared" si="989"/>
        <v>-0.66265060240963591</v>
      </c>
      <c r="Q597">
        <f t="shared" si="990"/>
        <v>-23155148.433734849</v>
      </c>
      <c r="R597">
        <f t="shared" si="991"/>
        <v>-2549907578.0810871</v>
      </c>
      <c r="S597">
        <f t="shared" si="992"/>
        <v>-25499.075780810872</v>
      </c>
      <c r="T597">
        <f t="shared" si="993"/>
        <v>-25.499075780810873</v>
      </c>
    </row>
    <row r="598" spans="1:20" x14ac:dyDescent="0.25">
      <c r="A598" s="5">
        <v>43995</v>
      </c>
      <c r="B598">
        <v>1.1903E-2</v>
      </c>
      <c r="C598">
        <v>1.2368000000000001E-2</v>
      </c>
      <c r="D598">
        <v>1.17E-2</v>
      </c>
      <c r="E598">
        <v>1.2311000000000001E-2</v>
      </c>
      <c r="F598">
        <v>44707909</v>
      </c>
      <c r="G598">
        <v>0</v>
      </c>
      <c r="L598" t="s">
        <v>8</v>
      </c>
      <c r="M598" t="s">
        <v>8</v>
      </c>
      <c r="N598" t="s">
        <v>8</v>
      </c>
      <c r="P598">
        <f t="shared" si="989"/>
        <v>0.82934131736527028</v>
      </c>
      <c r="Q598">
        <f t="shared" si="990"/>
        <v>37078116.146706626</v>
      </c>
      <c r="R598">
        <f t="shared" si="991"/>
        <v>-2526752429.6473522</v>
      </c>
      <c r="S598">
        <f t="shared" si="992"/>
        <v>-25267.524296473523</v>
      </c>
      <c r="T598">
        <f t="shared" si="993"/>
        <v>-25.267524296473521</v>
      </c>
    </row>
    <row r="599" spans="1:20" x14ac:dyDescent="0.25">
      <c r="A599" s="5">
        <v>43994</v>
      </c>
      <c r="B599">
        <v>1.1251000000000001E-2</v>
      </c>
      <c r="C599">
        <v>1.1986E-2</v>
      </c>
      <c r="D599">
        <v>1.1220000000000001E-2</v>
      </c>
      <c r="E599">
        <v>1.1903E-2</v>
      </c>
      <c r="F599">
        <v>54918609</v>
      </c>
      <c r="G599">
        <v>0</v>
      </c>
      <c r="L599" t="s">
        <v>8</v>
      </c>
      <c r="M599" t="s">
        <v>8</v>
      </c>
      <c r="N599" t="s">
        <v>8</v>
      </c>
      <c r="P599">
        <f t="shared" si="989"/>
        <v>0.78328981723237645</v>
      </c>
      <c r="Q599">
        <f t="shared" si="990"/>
        <v>43017187.206266344</v>
      </c>
      <c r="R599">
        <f t="shared" si="991"/>
        <v>-2563830545.7940588</v>
      </c>
      <c r="S599">
        <f t="shared" si="992"/>
        <v>-25638.305457940587</v>
      </c>
      <c r="T599">
        <f t="shared" si="993"/>
        <v>-25.638305457940586</v>
      </c>
    </row>
    <row r="600" spans="1:20" x14ac:dyDescent="0.25">
      <c r="A600" s="5">
        <v>43993</v>
      </c>
      <c r="B600">
        <v>1.2444999999999999E-2</v>
      </c>
      <c r="C600">
        <v>1.2647E-2</v>
      </c>
      <c r="D600">
        <v>1.0748000000000001E-2</v>
      </c>
      <c r="E600">
        <v>1.128E-2</v>
      </c>
      <c r="F600">
        <v>103676510</v>
      </c>
      <c r="G600">
        <v>0</v>
      </c>
      <c r="L600" t="s">
        <v>7</v>
      </c>
      <c r="M600" t="s">
        <v>8</v>
      </c>
      <c r="N600" t="s">
        <v>8</v>
      </c>
      <c r="P600">
        <f t="shared" si="989"/>
        <v>-0.43970510795155388</v>
      </c>
      <c r="Q600">
        <f t="shared" si="990"/>
        <v>-45587091.021590352</v>
      </c>
      <c r="R600">
        <f t="shared" si="991"/>
        <v>-2606847733.0003252</v>
      </c>
      <c r="S600">
        <f t="shared" si="992"/>
        <v>-26068.47733000325</v>
      </c>
      <c r="T600">
        <f t="shared" si="993"/>
        <v>-26.068477330003251</v>
      </c>
    </row>
    <row r="601" spans="1:20" x14ac:dyDescent="0.25">
      <c r="A601" s="5">
        <v>43992</v>
      </c>
      <c r="B601">
        <v>1.2533000000000001E-2</v>
      </c>
      <c r="C601">
        <v>1.2662E-2</v>
      </c>
      <c r="D601">
        <v>1.21E-2</v>
      </c>
      <c r="E601">
        <v>1.2444999999999999E-2</v>
      </c>
      <c r="F601">
        <v>58441948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0.22775800711743707</v>
      </c>
      <c r="Q601">
        <f t="shared" si="990"/>
        <v>13310621.608540887</v>
      </c>
      <c r="R601">
        <f t="shared" si="991"/>
        <v>-2561260641.978735</v>
      </c>
      <c r="S601">
        <f t="shared" si="992"/>
        <v>-25612.606419787349</v>
      </c>
      <c r="T601">
        <f t="shared" si="993"/>
        <v>-25.612606419787348</v>
      </c>
    </row>
    <row r="602" spans="1:20" x14ac:dyDescent="0.25">
      <c r="A602" s="5">
        <v>43991</v>
      </c>
      <c r="B602">
        <v>1.2185E-2</v>
      </c>
      <c r="C602">
        <v>1.2794E-2</v>
      </c>
      <c r="D602">
        <v>1.1903E-2</v>
      </c>
      <c r="E602">
        <v>1.2532E-2</v>
      </c>
      <c r="F602">
        <v>76279023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0.41189674523007802</v>
      </c>
      <c r="Q602">
        <f t="shared" si="990"/>
        <v>31419081.30303026</v>
      </c>
      <c r="R602">
        <f t="shared" si="991"/>
        <v>-2574571263.587276</v>
      </c>
      <c r="S602">
        <f t="shared" si="992"/>
        <v>-25745.712635872758</v>
      </c>
      <c r="T602">
        <f t="shared" si="993"/>
        <v>-25.74571263587276</v>
      </c>
    </row>
    <row r="603" spans="1:20" x14ac:dyDescent="0.25">
      <c r="A603" s="5">
        <v>43990</v>
      </c>
      <c r="B603">
        <v>1.2126E-2</v>
      </c>
      <c r="C603">
        <v>1.2383999999999999E-2</v>
      </c>
      <c r="D603">
        <v>1.2E-2</v>
      </c>
      <c r="E603">
        <v>1.2234E-2</v>
      </c>
      <c r="F603">
        <v>34488804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0.21875000000000255</v>
      </c>
      <c r="Q603">
        <f t="shared" si="990"/>
        <v>7544425.8750000885</v>
      </c>
      <c r="R603">
        <f t="shared" si="991"/>
        <v>-2605990344.8903065</v>
      </c>
      <c r="S603">
        <f t="shared" si="992"/>
        <v>-26059.903448903064</v>
      </c>
      <c r="T603">
        <f t="shared" si="993"/>
        <v>-26.059903448903064</v>
      </c>
    </row>
    <row r="604" spans="1:20" x14ac:dyDescent="0.25">
      <c r="A604" s="5">
        <v>43989</v>
      </c>
      <c r="B604">
        <v>1.2145E-2</v>
      </c>
      <c r="C604">
        <v>1.2260999999999999E-2</v>
      </c>
      <c r="D604">
        <v>1.1452E-2</v>
      </c>
      <c r="E604">
        <v>1.2125E-2</v>
      </c>
      <c r="F604">
        <v>69426358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0.66378244746600956</v>
      </c>
      <c r="Q604">
        <f t="shared" si="990"/>
        <v>46083997.831891373</v>
      </c>
      <c r="R604">
        <f t="shared" si="991"/>
        <v>-2613534770.7653065</v>
      </c>
      <c r="S604">
        <f t="shared" si="992"/>
        <v>-26135.347707653065</v>
      </c>
      <c r="T604">
        <f t="shared" si="993"/>
        <v>-26.135347707653064</v>
      </c>
    </row>
    <row r="605" spans="1:20" x14ac:dyDescent="0.25">
      <c r="A605" s="5">
        <v>43988</v>
      </c>
      <c r="B605">
        <v>1.2336E-2</v>
      </c>
      <c r="C605">
        <v>1.2545000000000001E-2</v>
      </c>
      <c r="D605">
        <v>1.1950000000000001E-2</v>
      </c>
      <c r="E605">
        <v>1.2167000000000001E-2</v>
      </c>
      <c r="F605">
        <v>65077644</v>
      </c>
      <c r="G605">
        <v>0</v>
      </c>
      <c r="L605" t="s">
        <v>7</v>
      </c>
      <c r="M605" t="s">
        <v>8</v>
      </c>
      <c r="N605" t="s">
        <v>8</v>
      </c>
      <c r="P605">
        <f t="shared" si="989"/>
        <v>-0.27058823529411707</v>
      </c>
      <c r="Q605">
        <f t="shared" si="990"/>
        <v>-17609244.847058788</v>
      </c>
      <c r="R605">
        <f t="shared" si="991"/>
        <v>-2659618768.597198</v>
      </c>
      <c r="S605">
        <f t="shared" si="992"/>
        <v>-26596.187685971981</v>
      </c>
      <c r="T605">
        <f t="shared" si="993"/>
        <v>-26.59618768597198</v>
      </c>
    </row>
    <row r="606" spans="1:20" x14ac:dyDescent="0.25">
      <c r="A606" s="5">
        <v>43987</v>
      </c>
      <c r="B606">
        <v>1.2437999999999999E-2</v>
      </c>
      <c r="C606">
        <v>1.2992999999999999E-2</v>
      </c>
      <c r="D606">
        <v>1.21E-2</v>
      </c>
      <c r="E606">
        <v>1.2385999999999999E-2</v>
      </c>
      <c r="F606">
        <v>118198956</v>
      </c>
      <c r="G606">
        <v>0</v>
      </c>
      <c r="L606" t="s">
        <v>8</v>
      </c>
      <c r="M606" t="s">
        <v>8</v>
      </c>
      <c r="N606" t="s">
        <v>8</v>
      </c>
      <c r="P606">
        <f t="shared" si="989"/>
        <v>-0.3594624860022399</v>
      </c>
      <c r="Q606">
        <f t="shared" si="990"/>
        <v>-42488090.566629373</v>
      </c>
      <c r="R606">
        <f t="shared" si="991"/>
        <v>-2642009523.7501392</v>
      </c>
      <c r="S606">
        <f t="shared" si="992"/>
        <v>-26420.095237501391</v>
      </c>
      <c r="T606">
        <f t="shared" si="993"/>
        <v>-26.420095237501393</v>
      </c>
    </row>
    <row r="607" spans="1:20" x14ac:dyDescent="0.25">
      <c r="A607" s="5">
        <v>43986</v>
      </c>
      <c r="B607">
        <v>1.2109999999999999E-2</v>
      </c>
      <c r="C607">
        <v>1.2547000000000001E-2</v>
      </c>
      <c r="D607">
        <v>1.1599999999999999E-2</v>
      </c>
      <c r="E607">
        <v>1.2422000000000001E-2</v>
      </c>
      <c r="F607">
        <v>87718702</v>
      </c>
      <c r="G607">
        <v>0</v>
      </c>
      <c r="L607" t="s">
        <v>8</v>
      </c>
      <c r="M607" t="s">
        <v>8</v>
      </c>
      <c r="N607" t="s">
        <v>8</v>
      </c>
      <c r="P607">
        <f t="shared" si="989"/>
        <v>0.73600844772967289</v>
      </c>
      <c r="Q607">
        <f t="shared" si="990"/>
        <v>64561705.695881754</v>
      </c>
      <c r="R607">
        <f t="shared" si="991"/>
        <v>-2599521433.1835098</v>
      </c>
      <c r="S607">
        <f t="shared" si="992"/>
        <v>-25995.214331835097</v>
      </c>
      <c r="T607">
        <f t="shared" si="993"/>
        <v>-25.995214331835097</v>
      </c>
    </row>
    <row r="608" spans="1:20" x14ac:dyDescent="0.25">
      <c r="A608" s="5">
        <v>43985</v>
      </c>
      <c r="B608">
        <v>1.1559E-2</v>
      </c>
      <c r="C608">
        <v>1.2284E-2</v>
      </c>
      <c r="D608">
        <v>1.1455999999999999E-2</v>
      </c>
      <c r="E608">
        <v>1.2106E-2</v>
      </c>
      <c r="F608">
        <v>155268740</v>
      </c>
      <c r="G608">
        <v>0</v>
      </c>
      <c r="L608" t="s">
        <v>8</v>
      </c>
      <c r="M608" t="s">
        <v>8</v>
      </c>
      <c r="N608" t="s">
        <v>8</v>
      </c>
      <c r="P608">
        <f t="shared" si="989"/>
        <v>0.57004830917874583</v>
      </c>
      <c r="Q608">
        <f t="shared" si="990"/>
        <v>88510682.705314294</v>
      </c>
      <c r="R608">
        <f t="shared" si="991"/>
        <v>-2664083138.8793917</v>
      </c>
      <c r="S608">
        <f t="shared" si="992"/>
        <v>-26640.831388793918</v>
      </c>
      <c r="T608">
        <f t="shared" si="993"/>
        <v>-26.64083138879392</v>
      </c>
    </row>
    <row r="609" spans="1:20" x14ac:dyDescent="0.25">
      <c r="A609" s="5">
        <v>43984</v>
      </c>
      <c r="B609">
        <v>1.1298000000000001E-2</v>
      </c>
      <c r="C609">
        <v>1.18E-2</v>
      </c>
      <c r="D609">
        <v>1.0012E-2</v>
      </c>
      <c r="E609">
        <v>1.1545E-2</v>
      </c>
      <c r="F609">
        <v>182009915</v>
      </c>
      <c r="G609">
        <v>0</v>
      </c>
      <c r="L609" t="s">
        <v>7</v>
      </c>
      <c r="M609" t="s">
        <v>8</v>
      </c>
      <c r="N609" t="s">
        <v>8</v>
      </c>
      <c r="P609">
        <f t="shared" si="989"/>
        <v>0.71476510067114085</v>
      </c>
      <c r="Q609">
        <f t="shared" si="990"/>
        <v>130094335.21812078</v>
      </c>
      <c r="R609">
        <f t="shared" si="991"/>
        <v>-2752593821.5847058</v>
      </c>
      <c r="S609">
        <f t="shared" si="992"/>
        <v>-27525.938215847058</v>
      </c>
      <c r="T609">
        <f t="shared" si="993"/>
        <v>-27.525938215847059</v>
      </c>
    </row>
    <row r="610" spans="1:20" x14ac:dyDescent="0.25">
      <c r="A610" s="5">
        <v>43983</v>
      </c>
      <c r="B610">
        <v>1.0666999999999999E-2</v>
      </c>
      <c r="C610">
        <v>1.1398999999999999E-2</v>
      </c>
      <c r="D610">
        <v>1.0628E-2</v>
      </c>
      <c r="E610">
        <v>1.1299999999999999E-2</v>
      </c>
      <c r="F610">
        <v>78613993</v>
      </c>
      <c r="G610">
        <v>0</v>
      </c>
      <c r="L610" t="s">
        <v>7</v>
      </c>
      <c r="M610" t="s">
        <v>8</v>
      </c>
      <c r="N610" t="s">
        <v>8</v>
      </c>
      <c r="P610">
        <f t="shared" si="989"/>
        <v>0.74319066147859858</v>
      </c>
      <c r="Q610">
        <f t="shared" si="990"/>
        <v>58425185.459143922</v>
      </c>
      <c r="R610">
        <f t="shared" si="991"/>
        <v>-2882688156.8028264</v>
      </c>
      <c r="S610">
        <f t="shared" si="992"/>
        <v>-28826.881568028264</v>
      </c>
      <c r="T610">
        <f t="shared" si="993"/>
        <v>-28.826881568028263</v>
      </c>
    </row>
    <row r="611" spans="1:20" x14ac:dyDescent="0.25">
      <c r="A611" s="5">
        <v>43982</v>
      </c>
      <c r="B611">
        <v>1.1044999999999999E-2</v>
      </c>
      <c r="C611">
        <v>1.17E-2</v>
      </c>
      <c r="D611">
        <v>1.0562999999999999E-2</v>
      </c>
      <c r="E611">
        <v>1.0732E-2</v>
      </c>
      <c r="F611">
        <v>134154974</v>
      </c>
      <c r="G611">
        <v>0</v>
      </c>
      <c r="L611" t="s">
        <v>8</v>
      </c>
      <c r="M611" t="s">
        <v>8</v>
      </c>
      <c r="N611" t="s">
        <v>8</v>
      </c>
      <c r="P611">
        <f t="shared" si="989"/>
        <v>-0.7027264731750209</v>
      </c>
      <c r="Q611">
        <f t="shared" si="990"/>
        <v>-94274251.73790662</v>
      </c>
      <c r="R611">
        <f t="shared" si="991"/>
        <v>-2941113342.2619705</v>
      </c>
      <c r="S611">
        <f t="shared" si="992"/>
        <v>-29411.133422619707</v>
      </c>
      <c r="T611">
        <f t="shared" si="993"/>
        <v>-29.411133422619706</v>
      </c>
    </row>
    <row r="612" spans="1:20" x14ac:dyDescent="0.25">
      <c r="A612" s="5">
        <v>43981</v>
      </c>
      <c r="B612">
        <v>1.0959999999999999E-2</v>
      </c>
      <c r="C612">
        <v>1.1367E-2</v>
      </c>
      <c r="D612">
        <v>1.0606000000000001E-2</v>
      </c>
      <c r="E612">
        <v>1.1079E-2</v>
      </c>
      <c r="F612">
        <v>105579828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0.24310118265440148</v>
      </c>
      <c r="Q612">
        <f t="shared" si="990"/>
        <v>25666581.05124829</v>
      </c>
      <c r="R612">
        <f t="shared" si="991"/>
        <v>-2846839090.5240641</v>
      </c>
      <c r="S612">
        <f t="shared" si="992"/>
        <v>-28468.390905240642</v>
      </c>
      <c r="T612">
        <f t="shared" si="993"/>
        <v>-28.468390905240643</v>
      </c>
    </row>
    <row r="613" spans="1:20" x14ac:dyDescent="0.25">
      <c r="A613" s="5">
        <v>43980</v>
      </c>
      <c r="B613">
        <v>1.0145E-2</v>
      </c>
      <c r="C613">
        <v>1.1254E-2</v>
      </c>
      <c r="D613">
        <v>1.0005E-2</v>
      </c>
      <c r="E613">
        <v>1.0961E-2</v>
      </c>
      <c r="F613">
        <v>175278657</v>
      </c>
      <c r="G613">
        <v>0</v>
      </c>
      <c r="L613" t="s">
        <v>8</v>
      </c>
      <c r="M613" t="s">
        <v>8</v>
      </c>
      <c r="N613" t="s">
        <v>8</v>
      </c>
      <c r="P613">
        <f t="shared" si="989"/>
        <v>0.53082465972778248</v>
      </c>
      <c r="Q613">
        <f t="shared" si="990"/>
        <v>93042233.459567696</v>
      </c>
      <c r="R613">
        <f t="shared" si="991"/>
        <v>-2872505671.5753121</v>
      </c>
      <c r="S613">
        <f t="shared" si="992"/>
        <v>-28725.056715753122</v>
      </c>
      <c r="T613">
        <f t="shared" si="993"/>
        <v>-28.725056715753123</v>
      </c>
    </row>
    <row r="614" spans="1:20" x14ac:dyDescent="0.25">
      <c r="A614" s="5">
        <v>43979</v>
      </c>
      <c r="B614">
        <v>9.9019999999999993E-3</v>
      </c>
      <c r="C614">
        <v>1.04E-2</v>
      </c>
      <c r="D614">
        <v>9.8130000000000005E-3</v>
      </c>
      <c r="E614">
        <v>1.0147E-2</v>
      </c>
      <c r="F614">
        <v>92989758</v>
      </c>
      <c r="G614">
        <v>0</v>
      </c>
      <c r="L614" t="s">
        <v>8</v>
      </c>
      <c r="M614" t="s">
        <v>8</v>
      </c>
      <c r="N614" t="s">
        <v>8</v>
      </c>
      <c r="P614">
        <f t="shared" si="989"/>
        <v>0.1379897785349227</v>
      </c>
      <c r="Q614">
        <f t="shared" si="990"/>
        <v>12831636.112436056</v>
      </c>
      <c r="R614">
        <f t="shared" si="991"/>
        <v>-2965547905.0348797</v>
      </c>
      <c r="S614">
        <f t="shared" si="992"/>
        <v>-29655.479050348797</v>
      </c>
      <c r="T614">
        <f t="shared" si="993"/>
        <v>-29.655479050348795</v>
      </c>
    </row>
    <row r="615" spans="1:20" x14ac:dyDescent="0.25">
      <c r="A615" s="5">
        <v>43978</v>
      </c>
      <c r="B615">
        <v>9.9120000000000007E-3</v>
      </c>
      <c r="C615">
        <v>1.025E-2</v>
      </c>
      <c r="D615">
        <v>9.6109999999999998E-3</v>
      </c>
      <c r="E615">
        <v>9.9019999999999993E-3</v>
      </c>
      <c r="F615">
        <v>92005787</v>
      </c>
      <c r="G615">
        <v>0</v>
      </c>
      <c r="L615" t="s">
        <v>8</v>
      </c>
      <c r="M615" t="s">
        <v>8</v>
      </c>
      <c r="N615" t="s">
        <v>8</v>
      </c>
      <c r="P615">
        <f t="shared" si="989"/>
        <v>-8.9201877934274545E-2</v>
      </c>
      <c r="Q615">
        <f t="shared" si="990"/>
        <v>-8207088.9812208638</v>
      </c>
      <c r="R615">
        <f t="shared" si="991"/>
        <v>-2978379541.1473155</v>
      </c>
      <c r="S615">
        <f t="shared" si="992"/>
        <v>-29783.795411473155</v>
      </c>
      <c r="T615">
        <f t="shared" si="993"/>
        <v>-29.783795411473154</v>
      </c>
    </row>
    <row r="616" spans="1:20" x14ac:dyDescent="0.25">
      <c r="A616" s="5">
        <v>43977</v>
      </c>
      <c r="B616">
        <v>9.8910000000000005E-3</v>
      </c>
      <c r="C616">
        <v>1.0257E-2</v>
      </c>
      <c r="D616">
        <v>9.4500000000000001E-3</v>
      </c>
      <c r="E616">
        <v>9.8969999999999995E-3</v>
      </c>
      <c r="F616">
        <v>112811773</v>
      </c>
      <c r="G616">
        <v>0</v>
      </c>
      <c r="L616" t="s">
        <v>7</v>
      </c>
      <c r="M616" t="s">
        <v>8</v>
      </c>
      <c r="N616" t="s">
        <v>8</v>
      </c>
      <c r="P616">
        <f t="shared" si="989"/>
        <v>0.10780669144981225</v>
      </c>
      <c r="Q616">
        <f t="shared" si="990"/>
        <v>12161864.00371726</v>
      </c>
      <c r="R616">
        <f t="shared" si="991"/>
        <v>-2970172452.1660948</v>
      </c>
      <c r="S616">
        <f t="shared" si="992"/>
        <v>-29701.724521660948</v>
      </c>
      <c r="T616">
        <f t="shared" si="993"/>
        <v>-29.70172452166095</v>
      </c>
    </row>
    <row r="617" spans="1:20" x14ac:dyDescent="0.25">
      <c r="A617" s="5">
        <v>43976</v>
      </c>
      <c r="B617">
        <v>9.1050000000000002E-3</v>
      </c>
      <c r="C617">
        <v>1.0199E-2</v>
      </c>
      <c r="D617">
        <v>8.9709999999999998E-3</v>
      </c>
      <c r="E617">
        <v>9.9159999999999995E-3</v>
      </c>
      <c r="F617">
        <v>142699884</v>
      </c>
      <c r="G617">
        <v>0</v>
      </c>
      <c r="L617" t="s">
        <v>8</v>
      </c>
      <c r="M617" t="s">
        <v>8</v>
      </c>
      <c r="N617" t="s">
        <v>8</v>
      </c>
      <c r="P617">
        <f t="shared" si="989"/>
        <v>0.53908794788273573</v>
      </c>
      <c r="Q617">
        <f t="shared" si="990"/>
        <v>76927787.628664434</v>
      </c>
      <c r="R617">
        <f t="shared" si="991"/>
        <v>-2982334316.1698122</v>
      </c>
      <c r="S617">
        <f t="shared" si="992"/>
        <v>-29823.343161698122</v>
      </c>
      <c r="T617">
        <f t="shared" si="993"/>
        <v>-29.823343161698123</v>
      </c>
    </row>
    <row r="618" spans="1:20" x14ac:dyDescent="0.25">
      <c r="A618" s="5">
        <v>43975</v>
      </c>
      <c r="B618">
        <v>9.3849999999999992E-3</v>
      </c>
      <c r="C618">
        <v>9.8989999999999998E-3</v>
      </c>
      <c r="D618">
        <v>8.9990000000000001E-3</v>
      </c>
      <c r="E618">
        <v>9.136E-3</v>
      </c>
      <c r="F618">
        <v>76285319</v>
      </c>
      <c r="G618">
        <v>0</v>
      </c>
      <c r="L618" t="s">
        <v>8</v>
      </c>
      <c r="M618" t="s">
        <v>7</v>
      </c>
      <c r="N618" t="s">
        <v>8</v>
      </c>
      <c r="P618">
        <f t="shared" si="989"/>
        <v>-0.69555555555555559</v>
      </c>
      <c r="Q618">
        <f t="shared" si="990"/>
        <v>-53060677.43777778</v>
      </c>
      <c r="R618">
        <f t="shared" si="991"/>
        <v>-3059262103.7984767</v>
      </c>
      <c r="S618">
        <f t="shared" si="992"/>
        <v>-30592.621037984765</v>
      </c>
      <c r="T618">
        <f t="shared" si="993"/>
        <v>-30.592621037984767</v>
      </c>
    </row>
    <row r="619" spans="1:20" x14ac:dyDescent="0.25">
      <c r="A619" s="5">
        <v>43974</v>
      </c>
      <c r="B619">
        <v>9.4699999999999993E-3</v>
      </c>
      <c r="C619">
        <v>9.5999999999999992E-3</v>
      </c>
      <c r="D619">
        <v>9.2960000000000004E-3</v>
      </c>
      <c r="E619">
        <v>9.4570000000000001E-3</v>
      </c>
      <c r="F619">
        <v>27705365</v>
      </c>
      <c r="G619">
        <v>0</v>
      </c>
      <c r="L619" t="s">
        <v>8</v>
      </c>
      <c r="M619" t="s">
        <v>7</v>
      </c>
      <c r="N619" t="s">
        <v>8</v>
      </c>
      <c r="P619">
        <f t="shared" si="989"/>
        <v>5.9210526315791878E-2</v>
      </c>
      <c r="Q619">
        <f t="shared" si="990"/>
        <v>1640449.2434211192</v>
      </c>
      <c r="R619">
        <f t="shared" si="991"/>
        <v>-3006201426.3606987</v>
      </c>
      <c r="S619">
        <f t="shared" si="992"/>
        <v>-30062.014263606987</v>
      </c>
      <c r="T619">
        <f t="shared" si="993"/>
        <v>-30.062014263606986</v>
      </c>
    </row>
    <row r="620" spans="1:20" x14ac:dyDescent="0.25">
      <c r="A620" s="5">
        <v>43973</v>
      </c>
      <c r="B620">
        <v>9.0039999999999999E-3</v>
      </c>
      <c r="C620">
        <v>9.5569999999999995E-3</v>
      </c>
      <c r="D620">
        <v>8.8409999999999999E-3</v>
      </c>
      <c r="E620">
        <v>9.4990000000000005E-3</v>
      </c>
      <c r="F620">
        <v>44155065</v>
      </c>
      <c r="G620">
        <v>0</v>
      </c>
      <c r="L620" t="s">
        <v>8</v>
      </c>
      <c r="M620" t="s">
        <v>7</v>
      </c>
      <c r="N620" t="s">
        <v>8</v>
      </c>
      <c r="P620">
        <f t="shared" si="989"/>
        <v>0.83798882681564513</v>
      </c>
      <c r="Q620">
        <f t="shared" si="990"/>
        <v>37001451.117318556</v>
      </c>
      <c r="R620">
        <f t="shared" si="991"/>
        <v>-3007841875.6041198</v>
      </c>
      <c r="S620">
        <f t="shared" si="992"/>
        <v>-30078.418756041199</v>
      </c>
      <c r="T620">
        <f t="shared" si="993"/>
        <v>-30.078418756041199</v>
      </c>
    </row>
    <row r="621" spans="1:20" x14ac:dyDescent="0.25">
      <c r="A621" s="5">
        <v>43972</v>
      </c>
      <c r="B621">
        <v>9.6360000000000005E-3</v>
      </c>
      <c r="C621">
        <v>9.6670000000000002E-3</v>
      </c>
      <c r="D621">
        <v>8.6949999999999996E-3</v>
      </c>
      <c r="E621">
        <v>8.9960000000000005E-3</v>
      </c>
      <c r="F621">
        <v>58497198</v>
      </c>
      <c r="G621">
        <v>0</v>
      </c>
      <c r="L621" t="s">
        <v>7</v>
      </c>
      <c r="M621" t="s">
        <v>7</v>
      </c>
      <c r="N621" t="s">
        <v>8</v>
      </c>
      <c r="P621">
        <f t="shared" si="989"/>
        <v>-0.38065843621399026</v>
      </c>
      <c r="Q621">
        <f t="shared" si="990"/>
        <v>-22267451.913580157</v>
      </c>
      <c r="R621">
        <f t="shared" si="991"/>
        <v>-3044843326.7214384</v>
      </c>
      <c r="S621">
        <f t="shared" si="992"/>
        <v>-30448.433267214383</v>
      </c>
      <c r="T621">
        <f t="shared" si="993"/>
        <v>-30.448433267214384</v>
      </c>
    </row>
    <row r="622" spans="1:20" x14ac:dyDescent="0.25">
      <c r="A622" s="5">
        <v>43971</v>
      </c>
      <c r="B622">
        <v>9.6249999999999999E-3</v>
      </c>
      <c r="C622">
        <v>9.9489999999999995E-3</v>
      </c>
      <c r="D622">
        <v>9.2999999999999992E-3</v>
      </c>
      <c r="E622">
        <v>9.6360000000000005E-3</v>
      </c>
      <c r="F622">
        <v>75935849</v>
      </c>
      <c r="G622">
        <v>0</v>
      </c>
      <c r="L622" t="s">
        <v>8</v>
      </c>
      <c r="M622" t="s">
        <v>8</v>
      </c>
      <c r="N622" t="s">
        <v>8</v>
      </c>
      <c r="P622">
        <f t="shared" si="989"/>
        <v>3.5439137134055741E-2</v>
      </c>
      <c r="Q622">
        <f t="shared" si="990"/>
        <v>2691100.9661019496</v>
      </c>
      <c r="R622">
        <f t="shared" si="991"/>
        <v>-3022575874.8078585</v>
      </c>
      <c r="S622">
        <f t="shared" si="992"/>
        <v>-30225.758748078584</v>
      </c>
      <c r="T622">
        <f t="shared" si="993"/>
        <v>-30.225758748078583</v>
      </c>
    </row>
    <row r="623" spans="1:20" x14ac:dyDescent="0.25">
      <c r="A623" s="5">
        <v>43970</v>
      </c>
      <c r="B623">
        <v>9.6489999999999996E-3</v>
      </c>
      <c r="C623">
        <v>9.7359999999999999E-3</v>
      </c>
      <c r="D623">
        <v>9.3559999999999997E-3</v>
      </c>
      <c r="E623">
        <v>9.58E-3</v>
      </c>
      <c r="F623">
        <v>37688649</v>
      </c>
      <c r="G623">
        <v>0</v>
      </c>
      <c r="L623" t="s">
        <v>8</v>
      </c>
      <c r="M623" t="s">
        <v>8</v>
      </c>
      <c r="N623" t="s">
        <v>8</v>
      </c>
      <c r="P623">
        <f t="shared" si="989"/>
        <v>0.17894736842105349</v>
      </c>
      <c r="Q623">
        <f t="shared" si="990"/>
        <v>6744284.5578947691</v>
      </c>
      <c r="R623">
        <f t="shared" si="991"/>
        <v>-3025266975.7739606</v>
      </c>
      <c r="S623">
        <f t="shared" si="992"/>
        <v>-30252.669757739604</v>
      </c>
      <c r="T623">
        <f t="shared" si="993"/>
        <v>-30.252669757739604</v>
      </c>
    </row>
    <row r="624" spans="1:20" x14ac:dyDescent="0.25">
      <c r="A624" s="5">
        <v>43969</v>
      </c>
      <c r="B624">
        <v>9.6010000000000002E-3</v>
      </c>
      <c r="C624">
        <v>9.7599999999999996E-3</v>
      </c>
      <c r="D624">
        <v>9.3469999999999994E-3</v>
      </c>
      <c r="E624">
        <v>9.6010000000000002E-3</v>
      </c>
      <c r="F624">
        <v>69819388</v>
      </c>
      <c r="G624">
        <v>0</v>
      </c>
      <c r="L624" t="s">
        <v>8</v>
      </c>
      <c r="M624" t="s">
        <v>8</v>
      </c>
      <c r="N624" t="s">
        <v>8</v>
      </c>
      <c r="P624">
        <f t="shared" si="989"/>
        <v>0.23002421307506365</v>
      </c>
      <c r="Q624">
        <f t="shared" si="990"/>
        <v>16060149.782082543</v>
      </c>
      <c r="R624">
        <f t="shared" si="991"/>
        <v>-3032011260.3318553</v>
      </c>
      <c r="S624">
        <f t="shared" si="992"/>
        <v>-30320.112603318554</v>
      </c>
      <c r="T624">
        <f t="shared" si="993"/>
        <v>-30.320112603318552</v>
      </c>
    </row>
    <row r="625" spans="1:20" x14ac:dyDescent="0.25">
      <c r="A625" s="5">
        <v>43968</v>
      </c>
      <c r="B625">
        <v>9.757E-3</v>
      </c>
      <c r="C625">
        <v>9.8969999999999995E-3</v>
      </c>
      <c r="D625">
        <v>9.5600000000000008E-3</v>
      </c>
      <c r="E625">
        <v>9.6010000000000002E-3</v>
      </c>
      <c r="F625">
        <v>53705318</v>
      </c>
      <c r="G625">
        <v>0</v>
      </c>
      <c r="L625" t="s">
        <v>8</v>
      </c>
      <c r="M625" t="s">
        <v>8</v>
      </c>
      <c r="N625" t="s">
        <v>8</v>
      </c>
      <c r="P625">
        <f t="shared" si="989"/>
        <v>-0.7566765578635043</v>
      </c>
      <c r="Q625">
        <f t="shared" si="990"/>
        <v>-40637555.163204901</v>
      </c>
      <c r="R625">
        <f t="shared" si="991"/>
        <v>-3048071410.1139379</v>
      </c>
      <c r="S625">
        <f t="shared" si="992"/>
        <v>-30480.71410113938</v>
      </c>
      <c r="T625">
        <f t="shared" si="993"/>
        <v>-30.48071410113938</v>
      </c>
    </row>
    <row r="626" spans="1:20" x14ac:dyDescent="0.25">
      <c r="A626" s="5">
        <v>43967</v>
      </c>
      <c r="B626">
        <v>9.3229999999999997E-3</v>
      </c>
      <c r="C626">
        <v>9.8630000000000002E-3</v>
      </c>
      <c r="D626">
        <v>9.1509999999999994E-3</v>
      </c>
      <c r="E626">
        <v>9.7710000000000002E-3</v>
      </c>
      <c r="F626">
        <v>59271665</v>
      </c>
      <c r="G626">
        <v>0</v>
      </c>
      <c r="L626" t="s">
        <v>8</v>
      </c>
      <c r="M626" t="s">
        <v>8</v>
      </c>
      <c r="N626" t="s">
        <v>8</v>
      </c>
      <c r="P626">
        <f t="shared" si="989"/>
        <v>0.74157303370786531</v>
      </c>
      <c r="Q626">
        <f t="shared" si="990"/>
        <v>43954268.426966302</v>
      </c>
      <c r="R626">
        <f t="shared" si="991"/>
        <v>-3007433854.9507332</v>
      </c>
      <c r="S626">
        <f t="shared" si="992"/>
        <v>-30074.338549507331</v>
      </c>
      <c r="T626">
        <f t="shared" si="993"/>
        <v>-30.074338549507331</v>
      </c>
    </row>
    <row r="627" spans="1:20" x14ac:dyDescent="0.25">
      <c r="A627" s="5">
        <v>43966</v>
      </c>
      <c r="B627">
        <v>9.8010000000000007E-3</v>
      </c>
      <c r="C627">
        <v>9.8440000000000003E-3</v>
      </c>
      <c r="D627">
        <v>9.1500000000000001E-3</v>
      </c>
      <c r="E627">
        <v>9.3200000000000002E-3</v>
      </c>
      <c r="F627">
        <v>70918234</v>
      </c>
      <c r="G627">
        <v>0</v>
      </c>
      <c r="L627" t="s">
        <v>7</v>
      </c>
      <c r="M627" t="s">
        <v>8</v>
      </c>
      <c r="N627" t="s">
        <v>8</v>
      </c>
      <c r="P627">
        <f t="shared" si="989"/>
        <v>-0.51008645533141217</v>
      </c>
      <c r="Q627">
        <f t="shared" si="990"/>
        <v>-36174430.599423639</v>
      </c>
      <c r="R627">
        <f t="shared" si="991"/>
        <v>-3051388123.3776994</v>
      </c>
      <c r="S627">
        <f t="shared" si="992"/>
        <v>-30513.881233776992</v>
      </c>
      <c r="T627">
        <f t="shared" si="993"/>
        <v>-30.513881233776992</v>
      </c>
    </row>
    <row r="628" spans="1:20" x14ac:dyDescent="0.25">
      <c r="A628" s="5">
        <v>43965</v>
      </c>
      <c r="B628">
        <v>1.0074E-2</v>
      </c>
      <c r="C628">
        <v>1.0163E-2</v>
      </c>
      <c r="D628">
        <v>9.4999999999999998E-3</v>
      </c>
      <c r="E628">
        <v>9.8040000000000002E-3</v>
      </c>
      <c r="F628">
        <v>112756906</v>
      </c>
      <c r="G628">
        <v>0</v>
      </c>
      <c r="L628" t="s">
        <v>7</v>
      </c>
      <c r="M628" t="s">
        <v>8</v>
      </c>
      <c r="N628" t="s">
        <v>8</v>
      </c>
      <c r="P628">
        <f t="shared" si="989"/>
        <v>-8.2956259426846854E-2</v>
      </c>
      <c r="Q628">
        <f t="shared" si="990"/>
        <v>-9353891.146304585</v>
      </c>
      <c r="R628">
        <f t="shared" si="991"/>
        <v>-3015213692.778276</v>
      </c>
      <c r="S628">
        <f t="shared" si="992"/>
        <v>-30152.136927782758</v>
      </c>
      <c r="T628">
        <f t="shared" si="993"/>
        <v>-30.15213692778276</v>
      </c>
    </row>
    <row r="629" spans="1:20" x14ac:dyDescent="0.25">
      <c r="A629" s="5">
        <v>43964</v>
      </c>
      <c r="B629">
        <v>9.1129999999999996E-3</v>
      </c>
      <c r="C629">
        <v>1.031E-2</v>
      </c>
      <c r="D629">
        <v>9.1120000000000003E-3</v>
      </c>
      <c r="E629">
        <v>1.0052999999999999E-2</v>
      </c>
      <c r="F629">
        <v>153333432</v>
      </c>
      <c r="G629">
        <v>0</v>
      </c>
      <c r="L629" t="s">
        <v>8</v>
      </c>
      <c r="M629" t="s">
        <v>8</v>
      </c>
      <c r="N629" t="s">
        <v>8</v>
      </c>
      <c r="P629">
        <f t="shared" si="989"/>
        <v>0.57095158597662699</v>
      </c>
      <c r="Q629">
        <f t="shared" si="990"/>
        <v>87545966.183639288</v>
      </c>
      <c r="R629">
        <f t="shared" si="991"/>
        <v>-3005859801.6319714</v>
      </c>
      <c r="S629">
        <f t="shared" si="992"/>
        <v>-30058.598016319713</v>
      </c>
      <c r="T629">
        <f t="shared" si="993"/>
        <v>-30.058598016319714</v>
      </c>
    </row>
    <row r="630" spans="1:20" x14ac:dyDescent="0.25">
      <c r="A630" s="5">
        <v>43963</v>
      </c>
      <c r="B630">
        <v>8.6499999999999997E-3</v>
      </c>
      <c r="C630">
        <v>9.4000000000000004E-3</v>
      </c>
      <c r="D630">
        <v>8.5859999999999999E-3</v>
      </c>
      <c r="E630">
        <v>9.1129999999999996E-3</v>
      </c>
      <c r="F630">
        <v>96433014</v>
      </c>
      <c r="G630">
        <v>0</v>
      </c>
      <c r="L630" t="s">
        <v>8</v>
      </c>
      <c r="M630" t="s">
        <v>8</v>
      </c>
      <c r="N630" t="s">
        <v>7</v>
      </c>
      <c r="P630">
        <f t="shared" si="989"/>
        <v>0.29484029484029328</v>
      </c>
      <c r="Q630">
        <f t="shared" si="990"/>
        <v>28432338.280098129</v>
      </c>
      <c r="R630">
        <f t="shared" si="991"/>
        <v>-3093405767.8156109</v>
      </c>
      <c r="S630">
        <f t="shared" si="992"/>
        <v>-30934.05767815611</v>
      </c>
      <c r="T630">
        <f t="shared" si="993"/>
        <v>-30.934057678156112</v>
      </c>
    </row>
    <row r="631" spans="1:20" x14ac:dyDescent="0.25">
      <c r="A631" s="5">
        <v>43962</v>
      </c>
      <c r="B631">
        <v>8.3400000000000002E-3</v>
      </c>
      <c r="C631">
        <v>9.1570000000000002E-3</v>
      </c>
      <c r="D631">
        <v>8.0020000000000004E-3</v>
      </c>
      <c r="E631">
        <v>8.6320000000000008E-3</v>
      </c>
      <c r="F631">
        <v>146904771</v>
      </c>
      <c r="G631">
        <v>0</v>
      </c>
      <c r="L631" t="s">
        <v>8</v>
      </c>
      <c r="M631" t="s">
        <v>7</v>
      </c>
      <c r="N631" t="s">
        <v>7</v>
      </c>
      <c r="P631">
        <f t="shared" si="989"/>
        <v>9.090909090909173E-2</v>
      </c>
      <c r="Q631">
        <f t="shared" si="990"/>
        <v>13354979.181818303</v>
      </c>
      <c r="R631">
        <f t="shared" si="991"/>
        <v>-3121838106.0957088</v>
      </c>
      <c r="S631">
        <f t="shared" si="992"/>
        <v>-31218.38106095709</v>
      </c>
      <c r="T631">
        <f t="shared" si="993"/>
        <v>-31.218381060957089</v>
      </c>
    </row>
    <row r="632" spans="1:20" x14ac:dyDescent="0.25">
      <c r="A632" s="5">
        <v>43961</v>
      </c>
      <c r="B632">
        <v>9.2849999999999999E-3</v>
      </c>
      <c r="C632">
        <v>9.2899999999999996E-3</v>
      </c>
      <c r="D632">
        <v>7.7409999999999996E-3</v>
      </c>
      <c r="E632">
        <v>8.3400000000000002E-3</v>
      </c>
      <c r="F632">
        <v>157158746</v>
      </c>
      <c r="G632">
        <v>0</v>
      </c>
      <c r="L632" t="s">
        <v>7</v>
      </c>
      <c r="M632" t="s">
        <v>7</v>
      </c>
      <c r="N632" t="s">
        <v>7</v>
      </c>
      <c r="P632">
        <f t="shared" si="989"/>
        <v>-0.22659780503550606</v>
      </c>
      <c r="Q632">
        <f t="shared" si="990"/>
        <v>-35611826.885732614</v>
      </c>
      <c r="R632">
        <f t="shared" si="991"/>
        <v>-3135193085.2775273</v>
      </c>
      <c r="S632">
        <f t="shared" si="992"/>
        <v>-31351.930852775273</v>
      </c>
      <c r="T632">
        <f t="shared" si="993"/>
        <v>-31.351930852775272</v>
      </c>
    </row>
    <row r="633" spans="1:20" x14ac:dyDescent="0.25">
      <c r="A633" s="5">
        <v>43960</v>
      </c>
      <c r="B633">
        <v>9.8919999999999998E-3</v>
      </c>
      <c r="C633">
        <v>9.9919999999999991E-3</v>
      </c>
      <c r="D633">
        <v>9.2599999999999991E-3</v>
      </c>
      <c r="E633">
        <v>9.2599999999999991E-3</v>
      </c>
      <c r="F633">
        <v>122866717</v>
      </c>
      <c r="G633">
        <v>0</v>
      </c>
      <c r="L633" t="s">
        <v>7</v>
      </c>
      <c r="M633" t="s">
        <v>7</v>
      </c>
      <c r="N633" t="s">
        <v>8</v>
      </c>
      <c r="P633">
        <f t="shared" si="989"/>
        <v>-1</v>
      </c>
      <c r="Q633">
        <f t="shared" si="990"/>
        <v>-122866717</v>
      </c>
      <c r="R633">
        <f t="shared" si="991"/>
        <v>-3099581258.3917947</v>
      </c>
      <c r="S633">
        <f t="shared" si="992"/>
        <v>-30995.812583917948</v>
      </c>
      <c r="T633">
        <f t="shared" si="993"/>
        <v>-30.995812583917949</v>
      </c>
    </row>
    <row r="634" spans="1:20" x14ac:dyDescent="0.25">
      <c r="A634" s="5">
        <v>43959</v>
      </c>
      <c r="B634">
        <v>9.8899999999999995E-3</v>
      </c>
      <c r="C634">
        <v>1.0744E-2</v>
      </c>
      <c r="D634">
        <v>9.75E-3</v>
      </c>
      <c r="E634">
        <v>9.8960000000000003E-3</v>
      </c>
      <c r="F634">
        <v>171185556</v>
      </c>
      <c r="G634">
        <v>0</v>
      </c>
      <c r="L634" t="s">
        <v>7</v>
      </c>
      <c r="M634" t="s">
        <v>7</v>
      </c>
      <c r="N634" t="s">
        <v>8</v>
      </c>
      <c r="P634">
        <f t="shared" si="989"/>
        <v>-0.70623742454728311</v>
      </c>
      <c r="Q634">
        <f t="shared" si="990"/>
        <v>-120897646.1891347</v>
      </c>
      <c r="R634">
        <f t="shared" si="991"/>
        <v>-2976714541.3917947</v>
      </c>
      <c r="S634">
        <f t="shared" si="992"/>
        <v>-29767.145413917948</v>
      </c>
      <c r="T634">
        <f t="shared" si="993"/>
        <v>-29.767145413917948</v>
      </c>
    </row>
    <row r="635" spans="1:20" x14ac:dyDescent="0.25">
      <c r="A635" s="5">
        <v>43958</v>
      </c>
      <c r="B635">
        <v>1.0415000000000001E-2</v>
      </c>
      <c r="C635">
        <v>1.2348E-2</v>
      </c>
      <c r="D635">
        <v>9.4359999999999999E-3</v>
      </c>
      <c r="E635">
        <v>9.8899999999999995E-3</v>
      </c>
      <c r="F635">
        <v>739056399</v>
      </c>
      <c r="G635">
        <v>0</v>
      </c>
      <c r="L635" t="s">
        <v>8</v>
      </c>
      <c r="M635" t="s">
        <v>8</v>
      </c>
      <c r="N635" t="s">
        <v>8</v>
      </c>
      <c r="P635">
        <f t="shared" si="989"/>
        <v>-0.68818681318681352</v>
      </c>
      <c r="Q635">
        <f t="shared" si="990"/>
        <v>-508608867.99313211</v>
      </c>
      <c r="R635">
        <f t="shared" si="991"/>
        <v>-2855816895.2026601</v>
      </c>
      <c r="S635">
        <f t="shared" si="992"/>
        <v>-28558.168952026601</v>
      </c>
      <c r="T635">
        <f t="shared" si="993"/>
        <v>-28.558168952026602</v>
      </c>
    </row>
    <row r="636" spans="1:20" x14ac:dyDescent="0.25">
      <c r="A636" s="5">
        <v>43957</v>
      </c>
      <c r="B636">
        <v>9.3710000000000009E-3</v>
      </c>
      <c r="C636">
        <v>1.1299999999999999E-2</v>
      </c>
      <c r="D636">
        <v>9.3710000000000009E-3</v>
      </c>
      <c r="E636">
        <v>1.0383999999999999E-2</v>
      </c>
      <c r="F636">
        <v>489689581</v>
      </c>
      <c r="G636">
        <v>0</v>
      </c>
      <c r="L636" t="s">
        <v>8</v>
      </c>
      <c r="M636" t="s">
        <v>8</v>
      </c>
      <c r="N636" t="s">
        <v>8</v>
      </c>
      <c r="P636">
        <f t="shared" si="989"/>
        <v>5.0285121824778747E-2</v>
      </c>
      <c r="Q636">
        <f t="shared" si="990"/>
        <v>24624100.236909859</v>
      </c>
      <c r="R636">
        <f t="shared" si="991"/>
        <v>-2347208027.209528</v>
      </c>
      <c r="S636">
        <f t="shared" si="992"/>
        <v>-23472.080272095278</v>
      </c>
      <c r="T636">
        <f t="shared" si="993"/>
        <v>-23.472080272095276</v>
      </c>
    </row>
    <row r="637" spans="1:20" x14ac:dyDescent="0.25">
      <c r="A637" s="5">
        <v>43956</v>
      </c>
      <c r="B637">
        <v>8.4960000000000001E-3</v>
      </c>
      <c r="C637">
        <v>9.7000000000000003E-3</v>
      </c>
      <c r="D637">
        <v>8.1300000000000001E-3</v>
      </c>
      <c r="E637">
        <v>9.3710000000000009E-3</v>
      </c>
      <c r="F637">
        <v>279495332</v>
      </c>
      <c r="G637">
        <v>0</v>
      </c>
      <c r="L637" t="s">
        <v>8</v>
      </c>
      <c r="M637" t="s">
        <v>8</v>
      </c>
      <c r="N637" t="s">
        <v>8</v>
      </c>
      <c r="P637">
        <f t="shared" si="989"/>
        <v>0.58089171974522369</v>
      </c>
      <c r="Q637">
        <f t="shared" si="990"/>
        <v>162356524.06624225</v>
      </c>
      <c r="R637">
        <f t="shared" si="991"/>
        <v>-2371832127.4464378</v>
      </c>
      <c r="S637">
        <f t="shared" si="992"/>
        <v>-23718.321274464379</v>
      </c>
      <c r="T637">
        <f t="shared" si="993"/>
        <v>-23.71832127446438</v>
      </c>
    </row>
    <row r="638" spans="1:20" x14ac:dyDescent="0.25">
      <c r="A638" s="5">
        <v>43955</v>
      </c>
      <c r="B638">
        <v>7.6270000000000001E-3</v>
      </c>
      <c r="C638">
        <v>8.5609999999999992E-3</v>
      </c>
      <c r="D638">
        <v>7.3769999999999999E-3</v>
      </c>
      <c r="E638">
        <v>8.5070000000000007E-3</v>
      </c>
      <c r="F638">
        <v>204884668</v>
      </c>
      <c r="G638">
        <v>0</v>
      </c>
      <c r="L638" t="s">
        <v>8</v>
      </c>
      <c r="M638" t="s">
        <v>8</v>
      </c>
      <c r="N638" t="s">
        <v>8</v>
      </c>
      <c r="P638">
        <f t="shared" si="989"/>
        <v>0.90878378378378633</v>
      </c>
      <c r="Q638">
        <f t="shared" si="990"/>
        <v>186195863.82432485</v>
      </c>
      <c r="R638">
        <f t="shared" si="991"/>
        <v>-2534188651.5126801</v>
      </c>
      <c r="S638">
        <f t="shared" si="992"/>
        <v>-25341.8865151268</v>
      </c>
      <c r="T638">
        <f t="shared" si="993"/>
        <v>-25.341886515126799</v>
      </c>
    </row>
    <row r="639" spans="1:20" x14ac:dyDescent="0.25">
      <c r="A639" s="5">
        <v>43954</v>
      </c>
      <c r="B639">
        <v>7.894E-3</v>
      </c>
      <c r="C639">
        <v>8.0999999999999996E-3</v>
      </c>
      <c r="D639">
        <v>7.5009999999999999E-3</v>
      </c>
      <c r="E639">
        <v>7.6270000000000001E-3</v>
      </c>
      <c r="F639">
        <v>66184845</v>
      </c>
      <c r="G639">
        <v>0</v>
      </c>
      <c r="L639" t="s">
        <v>8</v>
      </c>
      <c r="M639" t="s">
        <v>8</v>
      </c>
      <c r="N639" t="s">
        <v>7</v>
      </c>
      <c r="P639">
        <f t="shared" si="989"/>
        <v>-0.57929883138564175</v>
      </c>
      <c r="Q639">
        <f t="shared" si="990"/>
        <v>-38340803.363939837</v>
      </c>
      <c r="R639">
        <f t="shared" si="991"/>
        <v>-2720384515.3370047</v>
      </c>
      <c r="S639">
        <f t="shared" si="992"/>
        <v>-27203.845153370046</v>
      </c>
      <c r="T639">
        <f t="shared" si="993"/>
        <v>-27.203845153370047</v>
      </c>
    </row>
    <row r="640" spans="1:20" x14ac:dyDescent="0.25">
      <c r="A640" s="5">
        <v>43953</v>
      </c>
      <c r="B640">
        <v>7.5059999999999997E-3</v>
      </c>
      <c r="C640">
        <v>7.9399999999999991E-3</v>
      </c>
      <c r="D640">
        <v>7.3010000000000002E-3</v>
      </c>
      <c r="E640">
        <v>7.9249999999999998E-3</v>
      </c>
      <c r="F640">
        <v>96976764</v>
      </c>
      <c r="G640">
        <v>0</v>
      </c>
      <c r="L640" t="s">
        <v>8</v>
      </c>
      <c r="M640" t="s">
        <v>8</v>
      </c>
      <c r="N640" t="s">
        <v>7</v>
      </c>
      <c r="P640">
        <f t="shared" si="989"/>
        <v>0.95305164319249014</v>
      </c>
      <c r="Q640">
        <f t="shared" si="990"/>
        <v>92423864.281690329</v>
      </c>
      <c r="R640">
        <f t="shared" si="991"/>
        <v>-2682043711.9730649</v>
      </c>
      <c r="S640">
        <f t="shared" si="992"/>
        <v>-26820.43711973065</v>
      </c>
      <c r="T640">
        <f t="shared" si="993"/>
        <v>-26.820437119730649</v>
      </c>
    </row>
    <row r="641" spans="1:20" x14ac:dyDescent="0.25">
      <c r="A641" s="5">
        <v>43952</v>
      </c>
      <c r="B641">
        <v>7.1890000000000001E-3</v>
      </c>
      <c r="C641">
        <v>7.7159999999999998E-3</v>
      </c>
      <c r="D641">
        <v>7.1890000000000001E-3</v>
      </c>
      <c r="E641">
        <v>7.5040000000000003E-3</v>
      </c>
      <c r="F641">
        <v>43786081</v>
      </c>
      <c r="G641">
        <v>0</v>
      </c>
      <c r="L641" t="s">
        <v>7</v>
      </c>
      <c r="M641" t="s">
        <v>8</v>
      </c>
      <c r="N641" t="s">
        <v>7</v>
      </c>
      <c r="P641">
        <f t="shared" si="989"/>
        <v>0.19544592030360669</v>
      </c>
      <c r="Q641">
        <f t="shared" si="990"/>
        <v>8557810.8975332677</v>
      </c>
      <c r="R641">
        <f t="shared" si="991"/>
        <v>-2774467576.254755</v>
      </c>
      <c r="S641">
        <f t="shared" si="992"/>
        <v>-27744.675762547551</v>
      </c>
      <c r="T641">
        <f t="shared" si="993"/>
        <v>-27.744675762547551</v>
      </c>
    </row>
    <row r="642" spans="1:20" x14ac:dyDescent="0.25">
      <c r="A642" s="5">
        <v>43951</v>
      </c>
      <c r="B642">
        <v>7.43E-3</v>
      </c>
      <c r="C642">
        <v>7.8069999999999997E-3</v>
      </c>
      <c r="D642">
        <v>6.9670000000000001E-3</v>
      </c>
      <c r="E642">
        <v>7.1900000000000002E-3</v>
      </c>
      <c r="F642">
        <v>99019519</v>
      </c>
      <c r="G642">
        <v>0</v>
      </c>
      <c r="L642" t="s">
        <v>8</v>
      </c>
      <c r="M642" t="s">
        <v>8</v>
      </c>
      <c r="N642" t="s">
        <v>7</v>
      </c>
      <c r="P642">
        <f t="shared" si="989"/>
        <v>-0.46904761904761855</v>
      </c>
      <c r="Q642">
        <f t="shared" si="990"/>
        <v>-46444869.626190424</v>
      </c>
      <c r="R642">
        <f t="shared" si="991"/>
        <v>-2783025387.1522884</v>
      </c>
      <c r="S642">
        <f t="shared" si="992"/>
        <v>-27830.253871522884</v>
      </c>
      <c r="T642">
        <f t="shared" si="993"/>
        <v>-27.830253871522885</v>
      </c>
    </row>
    <row r="643" spans="1:20" x14ac:dyDescent="0.25">
      <c r="A643" s="5">
        <v>43950</v>
      </c>
      <c r="B643">
        <v>7.2610000000000001E-3</v>
      </c>
      <c r="C643">
        <v>7.4859999999999996E-3</v>
      </c>
      <c r="D643">
        <v>7.0499999999999998E-3</v>
      </c>
      <c r="E643">
        <v>7.43E-3</v>
      </c>
      <c r="F643">
        <v>120150745</v>
      </c>
      <c r="G643">
        <v>0</v>
      </c>
      <c r="L643" t="s">
        <v>8</v>
      </c>
      <c r="M643" t="s">
        <v>8</v>
      </c>
      <c r="N643" t="s">
        <v>7</v>
      </c>
      <c r="P643">
        <f t="shared" si="989"/>
        <v>0.74311926605504741</v>
      </c>
      <c r="Q643">
        <f t="shared" si="990"/>
        <v>89286333.440367162</v>
      </c>
      <c r="R643">
        <f t="shared" si="991"/>
        <v>-2736580517.5260983</v>
      </c>
      <c r="S643">
        <f t="shared" si="992"/>
        <v>-27365.805175260983</v>
      </c>
      <c r="T643">
        <f t="shared" si="993"/>
        <v>-27.365805175260984</v>
      </c>
    </row>
    <row r="644" spans="1:20" x14ac:dyDescent="0.25">
      <c r="A644" s="5">
        <v>43949</v>
      </c>
      <c r="B644">
        <v>7.1060000000000003E-3</v>
      </c>
      <c r="C644">
        <v>7.3299999999999997E-3</v>
      </c>
      <c r="D644">
        <v>6.9890000000000004E-3</v>
      </c>
      <c r="E644">
        <v>7.2620000000000002E-3</v>
      </c>
      <c r="F644">
        <v>63422531</v>
      </c>
      <c r="G644">
        <v>0</v>
      </c>
      <c r="L644" t="s">
        <v>8</v>
      </c>
      <c r="M644" t="s">
        <v>8</v>
      </c>
      <c r="N644" t="s">
        <v>7</v>
      </c>
      <c r="P644">
        <f t="shared" si="989"/>
        <v>0.60117302052786148</v>
      </c>
      <c r="Q644">
        <f t="shared" si="990"/>
        <v>38127914.530791931</v>
      </c>
      <c r="R644">
        <f t="shared" si="991"/>
        <v>-2825866850.9664655</v>
      </c>
      <c r="S644">
        <f t="shared" si="992"/>
        <v>-28258.668509664654</v>
      </c>
      <c r="T644">
        <f t="shared" si="993"/>
        <v>-28.258668509664655</v>
      </c>
    </row>
    <row r="645" spans="1:20" x14ac:dyDescent="0.25">
      <c r="A645" s="5">
        <v>43948</v>
      </c>
      <c r="B645">
        <v>6.8370000000000002E-3</v>
      </c>
      <c r="C645">
        <v>7.332E-3</v>
      </c>
      <c r="D645">
        <v>6.7359999999999998E-3</v>
      </c>
      <c r="E645">
        <v>7.1060000000000003E-3</v>
      </c>
      <c r="F645">
        <v>144867198</v>
      </c>
      <c r="G645">
        <v>0</v>
      </c>
      <c r="L645" t="s">
        <v>8</v>
      </c>
      <c r="M645" t="s">
        <v>8</v>
      </c>
      <c r="N645" t="s">
        <v>7</v>
      </c>
      <c r="P645">
        <f t="shared" si="989"/>
        <v>0.24161073825503498</v>
      </c>
      <c r="Q645">
        <f t="shared" si="990"/>
        <v>35001470.657718331</v>
      </c>
      <c r="R645">
        <f t="shared" si="991"/>
        <v>-2863994765.4972572</v>
      </c>
      <c r="S645">
        <f t="shared" si="992"/>
        <v>-28639.947654972573</v>
      </c>
      <c r="T645">
        <f t="shared" si="993"/>
        <v>-28.639947654972573</v>
      </c>
    </row>
    <row r="646" spans="1:20" x14ac:dyDescent="0.25">
      <c r="A646" s="5">
        <v>43947</v>
      </c>
      <c r="B646">
        <v>6.7320000000000001E-3</v>
      </c>
      <c r="C646">
        <v>6.8999999999999999E-3</v>
      </c>
      <c r="D646">
        <v>6.6810000000000003E-3</v>
      </c>
      <c r="E646">
        <v>6.8370000000000002E-3</v>
      </c>
      <c r="F646">
        <v>53067065</v>
      </c>
      <c r="G646">
        <v>0</v>
      </c>
      <c r="L646" t="s">
        <v>8</v>
      </c>
      <c r="M646" t="s">
        <v>7</v>
      </c>
      <c r="N646" t="s">
        <v>7</v>
      </c>
      <c r="P646">
        <f t="shared" ref="P646:P709" si="994">IF(C646=D646,0,((E646-D646)-(C646-E646))/(C646-D646))</f>
        <v>0.4246575342465771</v>
      </c>
      <c r="Q646">
        <f t="shared" ref="Q646:Q709" si="995">F646*P646</f>
        <v>22535328.972602833</v>
      </c>
      <c r="R646">
        <f t="shared" ref="R646:R709" si="996">R647+Q646</f>
        <v>-2898996236.1549754</v>
      </c>
      <c r="S646">
        <f t="shared" ref="S646:S709" si="997">R646/100000</f>
        <v>-28989.962361549755</v>
      </c>
      <c r="T646">
        <f t="shared" ref="T646:T709" si="998">S646/1000</f>
        <v>-28.989962361549754</v>
      </c>
    </row>
    <row r="647" spans="1:20" x14ac:dyDescent="0.25">
      <c r="A647" s="5">
        <v>43946</v>
      </c>
      <c r="B647">
        <v>6.7349999999999997E-3</v>
      </c>
      <c r="C647">
        <v>6.9870000000000002E-3</v>
      </c>
      <c r="D647">
        <v>6.6499999999999997E-3</v>
      </c>
      <c r="E647">
        <v>6.7869999999999996E-3</v>
      </c>
      <c r="F647">
        <v>39034548</v>
      </c>
      <c r="G647">
        <v>0</v>
      </c>
      <c r="L647" t="s">
        <v>8</v>
      </c>
      <c r="M647" t="s">
        <v>7</v>
      </c>
      <c r="N647" t="s">
        <v>7</v>
      </c>
      <c r="P647">
        <f t="shared" si="994"/>
        <v>-0.18694362017804292</v>
      </c>
      <c r="Q647">
        <f t="shared" si="995"/>
        <v>-7297259.715133585</v>
      </c>
      <c r="R647">
        <f t="shared" si="996"/>
        <v>-2921531565.1275783</v>
      </c>
      <c r="S647">
        <f t="shared" si="997"/>
        <v>-29215.315651275781</v>
      </c>
      <c r="T647">
        <f t="shared" si="998"/>
        <v>-29.21531565127578</v>
      </c>
    </row>
    <row r="648" spans="1:20" x14ac:dyDescent="0.25">
      <c r="A648" s="5">
        <v>43945</v>
      </c>
      <c r="B648">
        <v>6.7559999999999999E-3</v>
      </c>
      <c r="C648">
        <v>6.9499999999999996E-3</v>
      </c>
      <c r="D648">
        <v>6.5960000000000003E-3</v>
      </c>
      <c r="E648">
        <v>6.705E-3</v>
      </c>
      <c r="F648">
        <v>46457586</v>
      </c>
      <c r="G648">
        <v>0</v>
      </c>
      <c r="L648" t="s">
        <v>8</v>
      </c>
      <c r="M648" t="s">
        <v>7</v>
      </c>
      <c r="N648" t="s">
        <v>7</v>
      </c>
      <c r="P648">
        <f t="shared" si="994"/>
        <v>-0.38418079096045232</v>
      </c>
      <c r="Q648">
        <f t="shared" si="995"/>
        <v>-17848112.135593235</v>
      </c>
      <c r="R648">
        <f t="shared" si="996"/>
        <v>-2914234305.4124446</v>
      </c>
      <c r="S648">
        <f t="shared" si="997"/>
        <v>-29142.343054124445</v>
      </c>
      <c r="T648">
        <f t="shared" si="998"/>
        <v>-29.142343054124446</v>
      </c>
    </row>
    <row r="649" spans="1:20" x14ac:dyDescent="0.25">
      <c r="A649" s="5">
        <v>43944</v>
      </c>
      <c r="B649">
        <v>6.5719999999999997E-3</v>
      </c>
      <c r="C649">
        <v>7.0049999999999999E-3</v>
      </c>
      <c r="D649">
        <v>6.4159999999999998E-3</v>
      </c>
      <c r="E649">
        <v>6.7559999999999999E-3</v>
      </c>
      <c r="F649">
        <v>75523076</v>
      </c>
      <c r="G649">
        <v>0</v>
      </c>
      <c r="L649" t="s">
        <v>8</v>
      </c>
      <c r="M649" t="s">
        <v>7</v>
      </c>
      <c r="N649" t="s">
        <v>7</v>
      </c>
      <c r="P649">
        <f t="shared" si="994"/>
        <v>0.15449915110356521</v>
      </c>
      <c r="Q649">
        <f t="shared" si="995"/>
        <v>11668251.13073004</v>
      </c>
      <c r="R649">
        <f t="shared" si="996"/>
        <v>-2896386193.2768512</v>
      </c>
      <c r="S649">
        <f t="shared" si="997"/>
        <v>-28963.861932768512</v>
      </c>
      <c r="T649">
        <f t="shared" si="998"/>
        <v>-28.963861932768513</v>
      </c>
    </row>
    <row r="650" spans="1:20" x14ac:dyDescent="0.25">
      <c r="A650" s="5">
        <v>43943</v>
      </c>
      <c r="B650">
        <v>6.3619999999999996E-3</v>
      </c>
      <c r="C650">
        <v>6.6090000000000003E-3</v>
      </c>
      <c r="D650">
        <v>6.319E-3</v>
      </c>
      <c r="E650">
        <v>6.5719999999999997E-3</v>
      </c>
      <c r="F650">
        <v>20155829</v>
      </c>
      <c r="G650">
        <v>0</v>
      </c>
      <c r="L650" t="s">
        <v>7</v>
      </c>
      <c r="M650" t="s">
        <v>7</v>
      </c>
      <c r="N650" t="s">
        <v>7</v>
      </c>
      <c r="P650">
        <f t="shared" si="994"/>
        <v>0.74482758620689293</v>
      </c>
      <c r="Q650">
        <f t="shared" si="995"/>
        <v>15012617.462068893</v>
      </c>
      <c r="R650">
        <f t="shared" si="996"/>
        <v>-2908054444.4075813</v>
      </c>
      <c r="S650">
        <f t="shared" si="997"/>
        <v>-29080.544444075815</v>
      </c>
      <c r="T650">
        <f t="shared" si="998"/>
        <v>-29.080544444075816</v>
      </c>
    </row>
    <row r="651" spans="1:20" x14ac:dyDescent="0.25">
      <c r="A651" s="5">
        <v>43942</v>
      </c>
      <c r="B651">
        <v>6.3439999999999998E-3</v>
      </c>
      <c r="C651">
        <v>6.4910000000000002E-3</v>
      </c>
      <c r="D651">
        <v>6.1700000000000001E-3</v>
      </c>
      <c r="E651">
        <v>6.3699999999999998E-3</v>
      </c>
      <c r="F651">
        <v>30871786</v>
      </c>
      <c r="G651">
        <v>0</v>
      </c>
      <c r="L651" t="s">
        <v>7</v>
      </c>
      <c r="M651" t="s">
        <v>7</v>
      </c>
      <c r="N651" t="s">
        <v>7</v>
      </c>
      <c r="P651">
        <f t="shared" si="994"/>
        <v>0.24610591900311271</v>
      </c>
      <c r="Q651">
        <f t="shared" si="995"/>
        <v>7597729.2647974286</v>
      </c>
      <c r="R651">
        <f t="shared" si="996"/>
        <v>-2923067061.8696504</v>
      </c>
      <c r="S651">
        <f t="shared" si="997"/>
        <v>-29230.670618696502</v>
      </c>
      <c r="T651">
        <f t="shared" si="998"/>
        <v>-29.230670618696504</v>
      </c>
    </row>
    <row r="652" spans="1:20" x14ac:dyDescent="0.25">
      <c r="A652" s="5">
        <v>43941</v>
      </c>
      <c r="B652">
        <v>6.7010000000000004E-3</v>
      </c>
      <c r="C652">
        <v>6.7580000000000001E-3</v>
      </c>
      <c r="D652">
        <v>6.2269999999999999E-3</v>
      </c>
      <c r="E652">
        <v>6.3299999999999997E-3</v>
      </c>
      <c r="F652">
        <v>49350280</v>
      </c>
      <c r="G652">
        <v>0</v>
      </c>
      <c r="L652" t="s">
        <v>7</v>
      </c>
      <c r="M652" t="s">
        <v>7</v>
      </c>
      <c r="N652" t="s">
        <v>7</v>
      </c>
      <c r="P652">
        <f t="shared" si="994"/>
        <v>-0.61205273069679944</v>
      </c>
      <c r="Q652">
        <f t="shared" si="995"/>
        <v>-30204973.634651646</v>
      </c>
      <c r="R652">
        <f t="shared" si="996"/>
        <v>-2930664791.1344476</v>
      </c>
      <c r="S652">
        <f t="shared" si="997"/>
        <v>-29306.647911344477</v>
      </c>
      <c r="T652">
        <f t="shared" si="998"/>
        <v>-29.306647911344477</v>
      </c>
    </row>
    <row r="653" spans="1:20" x14ac:dyDescent="0.25">
      <c r="A653" s="5">
        <v>43940</v>
      </c>
      <c r="B653">
        <v>6.894E-3</v>
      </c>
      <c r="C653">
        <v>6.9550000000000002E-3</v>
      </c>
      <c r="D653">
        <v>6.6179999999999998E-3</v>
      </c>
      <c r="E653">
        <v>6.7000000000000002E-3</v>
      </c>
      <c r="F653">
        <v>33038471</v>
      </c>
      <c r="G653">
        <v>0</v>
      </c>
      <c r="L653" t="s">
        <v>7</v>
      </c>
      <c r="M653" t="s">
        <v>7</v>
      </c>
      <c r="N653" t="s">
        <v>8</v>
      </c>
      <c r="P653">
        <f t="shared" si="994"/>
        <v>-0.51335311572700082</v>
      </c>
      <c r="Q653">
        <f t="shared" si="995"/>
        <v>-16960402.026706159</v>
      </c>
      <c r="R653">
        <f t="shared" si="996"/>
        <v>-2900459817.4997959</v>
      </c>
      <c r="S653">
        <f t="shared" si="997"/>
        <v>-29004.598174997958</v>
      </c>
      <c r="T653">
        <f t="shared" si="998"/>
        <v>-29.004598174997959</v>
      </c>
    </row>
    <row r="654" spans="1:20" x14ac:dyDescent="0.25">
      <c r="A654" s="5">
        <v>43939</v>
      </c>
      <c r="B654">
        <v>6.7739999999999996E-3</v>
      </c>
      <c r="C654">
        <v>7.1130000000000004E-3</v>
      </c>
      <c r="D654">
        <v>6.7099999999999998E-3</v>
      </c>
      <c r="E654">
        <v>6.894E-3</v>
      </c>
      <c r="F654">
        <v>85948528</v>
      </c>
      <c r="G654">
        <v>0</v>
      </c>
      <c r="L654" t="s">
        <v>7</v>
      </c>
      <c r="M654" t="s">
        <v>7</v>
      </c>
      <c r="N654" t="s">
        <v>8</v>
      </c>
      <c r="P654">
        <f t="shared" si="994"/>
        <v>-8.6848635235732649E-2</v>
      </c>
      <c r="Q654">
        <f t="shared" si="995"/>
        <v>-7464512.3573201541</v>
      </c>
      <c r="R654">
        <f t="shared" si="996"/>
        <v>-2883499415.4730897</v>
      </c>
      <c r="S654">
        <f t="shared" si="997"/>
        <v>-28834.994154730895</v>
      </c>
      <c r="T654">
        <f t="shared" si="998"/>
        <v>-28.834994154730897</v>
      </c>
    </row>
    <row r="655" spans="1:20" x14ac:dyDescent="0.25">
      <c r="A655" s="5">
        <v>43938</v>
      </c>
      <c r="B655">
        <v>6.8190000000000004E-3</v>
      </c>
      <c r="C655">
        <v>8.9549999999999994E-3</v>
      </c>
      <c r="D655">
        <v>6.6959999999999997E-3</v>
      </c>
      <c r="E655">
        <v>6.7759999999999999E-3</v>
      </c>
      <c r="F655">
        <v>305175495</v>
      </c>
      <c r="G655">
        <v>0</v>
      </c>
      <c r="L655" t="s">
        <v>8</v>
      </c>
      <c r="M655" t="s">
        <v>8</v>
      </c>
      <c r="N655" t="s">
        <v>8</v>
      </c>
      <c r="P655">
        <f t="shared" si="994"/>
        <v>-0.92917220008853452</v>
      </c>
      <c r="Q655">
        <f t="shared" si="995"/>
        <v>-283560586.10225755</v>
      </c>
      <c r="R655">
        <f t="shared" si="996"/>
        <v>-2876034903.1157694</v>
      </c>
      <c r="S655">
        <f t="shared" si="997"/>
        <v>-28760.349031157693</v>
      </c>
      <c r="T655">
        <f t="shared" si="998"/>
        <v>-28.760349031157695</v>
      </c>
    </row>
    <row r="656" spans="1:20" x14ac:dyDescent="0.25">
      <c r="A656" s="5">
        <v>43937</v>
      </c>
      <c r="B656">
        <v>6.11E-3</v>
      </c>
      <c r="C656">
        <v>6.9490000000000003E-3</v>
      </c>
      <c r="D656">
        <v>6.0390000000000001E-3</v>
      </c>
      <c r="E656">
        <v>6.8060000000000004E-3</v>
      </c>
      <c r="F656">
        <v>60899963</v>
      </c>
      <c r="G656">
        <v>0</v>
      </c>
      <c r="L656" t="s">
        <v>7</v>
      </c>
      <c r="M656" t="s">
        <v>8</v>
      </c>
      <c r="N656" t="s">
        <v>8</v>
      </c>
      <c r="P656">
        <f t="shared" si="994"/>
        <v>0.68571428571428605</v>
      </c>
      <c r="Q656">
        <f t="shared" si="995"/>
        <v>41759974.628571451</v>
      </c>
      <c r="R656">
        <f t="shared" si="996"/>
        <v>-2592474317.0135117</v>
      </c>
      <c r="S656">
        <f t="shared" si="997"/>
        <v>-25924.743170135116</v>
      </c>
      <c r="T656">
        <f t="shared" si="998"/>
        <v>-25.924743170135116</v>
      </c>
    </row>
    <row r="657" spans="1:20" x14ac:dyDescent="0.25">
      <c r="A657" s="5">
        <v>43936</v>
      </c>
      <c r="B657">
        <v>6.489E-3</v>
      </c>
      <c r="C657">
        <v>6.62E-3</v>
      </c>
      <c r="D657">
        <v>6.1050000000000002E-3</v>
      </c>
      <c r="E657">
        <v>6.156E-3</v>
      </c>
      <c r="F657">
        <v>38067245</v>
      </c>
      <c r="G657">
        <v>0</v>
      </c>
      <c r="L657" t="s">
        <v>7</v>
      </c>
      <c r="M657" t="s">
        <v>8</v>
      </c>
      <c r="N657" t="s">
        <v>8</v>
      </c>
      <c r="P657">
        <f t="shared" si="994"/>
        <v>-0.80194174757281611</v>
      </c>
      <c r="Q657">
        <f t="shared" si="995"/>
        <v>-30527712.980582546</v>
      </c>
      <c r="R657">
        <f t="shared" si="996"/>
        <v>-2634234291.6420832</v>
      </c>
      <c r="S657">
        <f t="shared" si="997"/>
        <v>-26342.342916420832</v>
      </c>
      <c r="T657">
        <f t="shared" si="998"/>
        <v>-26.342342916420833</v>
      </c>
    </row>
    <row r="658" spans="1:20" x14ac:dyDescent="0.25">
      <c r="A658" s="5">
        <v>43935</v>
      </c>
      <c r="B658">
        <v>6.7000000000000002E-3</v>
      </c>
      <c r="C658">
        <v>6.8999999999999999E-3</v>
      </c>
      <c r="D658">
        <v>6.489E-3</v>
      </c>
      <c r="E658">
        <v>6.5240000000000003E-3</v>
      </c>
      <c r="F658">
        <v>37484757</v>
      </c>
      <c r="G658">
        <v>0</v>
      </c>
      <c r="L658" t="s">
        <v>7</v>
      </c>
      <c r="M658" t="s">
        <v>8</v>
      </c>
      <c r="N658" t="s">
        <v>8</v>
      </c>
      <c r="P658">
        <f t="shared" si="994"/>
        <v>-0.82968369829683541</v>
      </c>
      <c r="Q658">
        <f t="shared" si="995"/>
        <v>-31100491.81751819</v>
      </c>
      <c r="R658">
        <f t="shared" si="996"/>
        <v>-2603706578.6615005</v>
      </c>
      <c r="S658">
        <f t="shared" si="997"/>
        <v>-26037.065786615003</v>
      </c>
      <c r="T658">
        <f t="shared" si="998"/>
        <v>-26.037065786615003</v>
      </c>
    </row>
    <row r="659" spans="1:20" x14ac:dyDescent="0.25">
      <c r="A659" s="5">
        <v>43934</v>
      </c>
      <c r="B659">
        <v>6.3239999999999998E-3</v>
      </c>
      <c r="C659">
        <v>6.9849999999999999E-3</v>
      </c>
      <c r="D659">
        <v>6.0870000000000004E-3</v>
      </c>
      <c r="E659">
        <v>6.7000000000000002E-3</v>
      </c>
      <c r="F659">
        <v>59980329</v>
      </c>
      <c r="G659">
        <v>0</v>
      </c>
      <c r="L659" t="s">
        <v>8</v>
      </c>
      <c r="M659" t="s">
        <v>8</v>
      </c>
      <c r="N659" t="s">
        <v>8</v>
      </c>
      <c r="P659">
        <f t="shared" si="994"/>
        <v>0.36525612472160396</v>
      </c>
      <c r="Q659">
        <f t="shared" si="995"/>
        <v>21908182.53006684</v>
      </c>
      <c r="R659">
        <f t="shared" si="996"/>
        <v>-2572606086.8439822</v>
      </c>
      <c r="S659">
        <f t="shared" si="997"/>
        <v>-25726.060868439821</v>
      </c>
      <c r="T659">
        <f t="shared" si="998"/>
        <v>-25.72606086843982</v>
      </c>
    </row>
    <row r="660" spans="1:20" x14ac:dyDescent="0.25">
      <c r="A660" s="5">
        <v>43933</v>
      </c>
      <c r="B660">
        <v>6.2610000000000001E-3</v>
      </c>
      <c r="C660">
        <v>6.6010000000000001E-3</v>
      </c>
      <c r="D660">
        <v>6.1269999999999996E-3</v>
      </c>
      <c r="E660">
        <v>6.3239999999999998E-3</v>
      </c>
      <c r="F660">
        <v>26994857</v>
      </c>
      <c r="G660">
        <v>0</v>
      </c>
      <c r="L660" t="s">
        <v>8</v>
      </c>
      <c r="M660" t="s">
        <v>7</v>
      </c>
      <c r="N660" t="s">
        <v>8</v>
      </c>
      <c r="P660">
        <f t="shared" si="994"/>
        <v>-0.16877637130801715</v>
      </c>
      <c r="Q660">
        <f t="shared" si="995"/>
        <v>-4556094.0084388256</v>
      </c>
      <c r="R660">
        <f t="shared" si="996"/>
        <v>-2594514269.3740492</v>
      </c>
      <c r="S660">
        <f t="shared" si="997"/>
        <v>-25945.14269374049</v>
      </c>
      <c r="T660">
        <f t="shared" si="998"/>
        <v>-25.94514269374049</v>
      </c>
    </row>
    <row r="661" spans="1:20" x14ac:dyDescent="0.25">
      <c r="A661" s="5">
        <v>43932</v>
      </c>
      <c r="B661">
        <v>6.2589999999999998E-3</v>
      </c>
      <c r="C661">
        <v>6.515E-3</v>
      </c>
      <c r="D661">
        <v>6.0809999999999996E-3</v>
      </c>
      <c r="E661">
        <v>6.2610000000000001E-3</v>
      </c>
      <c r="F661">
        <v>18127365</v>
      </c>
      <c r="G661">
        <v>0</v>
      </c>
      <c r="L661" t="s">
        <v>8</v>
      </c>
      <c r="M661" t="s">
        <v>7</v>
      </c>
      <c r="N661" t="s">
        <v>8</v>
      </c>
      <c r="P661">
        <f t="shared" si="994"/>
        <v>-0.17050691244239483</v>
      </c>
      <c r="Q661">
        <f t="shared" si="995"/>
        <v>-3090841.0368663324</v>
      </c>
      <c r="R661">
        <f t="shared" si="996"/>
        <v>-2589958175.3656101</v>
      </c>
      <c r="S661">
        <f t="shared" si="997"/>
        <v>-25899.581753656101</v>
      </c>
      <c r="T661">
        <f t="shared" si="998"/>
        <v>-25.899581753656101</v>
      </c>
    </row>
    <row r="662" spans="1:20" x14ac:dyDescent="0.25">
      <c r="A662" s="5">
        <v>43931</v>
      </c>
      <c r="B662">
        <v>7.0029999999999997E-3</v>
      </c>
      <c r="C662">
        <v>7.0080000000000003E-3</v>
      </c>
      <c r="D662">
        <v>5.9080000000000001E-3</v>
      </c>
      <c r="E662">
        <v>6.2740000000000001E-3</v>
      </c>
      <c r="F662">
        <v>45837471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-0.3345454545454547</v>
      </c>
      <c r="Q662">
        <f t="shared" si="995"/>
        <v>-15334717.570909098</v>
      </c>
      <c r="R662">
        <f t="shared" si="996"/>
        <v>-2586867334.3287439</v>
      </c>
      <c r="S662">
        <f t="shared" si="997"/>
        <v>-25868.673343287439</v>
      </c>
      <c r="T662">
        <f t="shared" si="998"/>
        <v>-25.868673343287441</v>
      </c>
    </row>
    <row r="663" spans="1:20" x14ac:dyDescent="0.25">
      <c r="A663" s="5">
        <v>43930</v>
      </c>
      <c r="B663">
        <v>6.9040000000000004E-3</v>
      </c>
      <c r="C663">
        <v>7.1380000000000002E-3</v>
      </c>
      <c r="D663">
        <v>6.7809999999999997E-3</v>
      </c>
      <c r="E663">
        <v>7.0089999999999996E-3</v>
      </c>
      <c r="F663">
        <v>35798162</v>
      </c>
      <c r="G663">
        <v>0</v>
      </c>
      <c r="L663" t="s">
        <v>7</v>
      </c>
      <c r="M663" t="s">
        <v>7</v>
      </c>
      <c r="N663" t="s">
        <v>8</v>
      </c>
      <c r="P663">
        <f t="shared" si="994"/>
        <v>0.27731092436974542</v>
      </c>
      <c r="Q663">
        <f t="shared" si="995"/>
        <v>9927221.3949578945</v>
      </c>
      <c r="R663">
        <f t="shared" si="996"/>
        <v>-2571532616.7578349</v>
      </c>
      <c r="S663">
        <f t="shared" si="997"/>
        <v>-25715.326167578351</v>
      </c>
      <c r="T663">
        <f t="shared" si="998"/>
        <v>-25.71532616757835</v>
      </c>
    </row>
    <row r="664" spans="1:20" x14ac:dyDescent="0.25">
      <c r="A664" s="5">
        <v>43929</v>
      </c>
      <c r="B664">
        <v>6.8659999999999997E-3</v>
      </c>
      <c r="C664">
        <v>7.0000000000000001E-3</v>
      </c>
      <c r="D664">
        <v>6.6899999999999998E-3</v>
      </c>
      <c r="E664">
        <v>6.8609999999999999E-3</v>
      </c>
      <c r="F664">
        <v>22623855</v>
      </c>
      <c r="G664">
        <v>0</v>
      </c>
      <c r="L664" t="s">
        <v>7</v>
      </c>
      <c r="M664" t="s">
        <v>7</v>
      </c>
      <c r="N664" t="s">
        <v>8</v>
      </c>
      <c r="P664">
        <f t="shared" si="994"/>
        <v>0.10322580645161249</v>
      </c>
      <c r="Q664">
        <f t="shared" si="995"/>
        <v>2335365.6774193454</v>
      </c>
      <c r="R664">
        <f t="shared" si="996"/>
        <v>-2581459838.1527929</v>
      </c>
      <c r="S664">
        <f t="shared" si="997"/>
        <v>-25814.598381527929</v>
      </c>
      <c r="T664">
        <f t="shared" si="998"/>
        <v>-25.814598381527929</v>
      </c>
    </row>
    <row r="665" spans="1:20" x14ac:dyDescent="0.25">
      <c r="A665" s="5">
        <v>43928</v>
      </c>
      <c r="B665">
        <v>6.9199999999999999E-3</v>
      </c>
      <c r="C665">
        <v>7.1859999999999997E-3</v>
      </c>
      <c r="D665">
        <v>6.7910000000000002E-3</v>
      </c>
      <c r="E665">
        <v>6.8659999999999997E-3</v>
      </c>
      <c r="F665">
        <v>44335268</v>
      </c>
      <c r="G665">
        <v>0</v>
      </c>
      <c r="L665" t="s">
        <v>7</v>
      </c>
      <c r="M665" t="s">
        <v>7</v>
      </c>
      <c r="N665" t="s">
        <v>8</v>
      </c>
      <c r="P665">
        <f t="shared" si="994"/>
        <v>-0.62025316455696389</v>
      </c>
      <c r="Q665">
        <f t="shared" si="995"/>
        <v>-27499090.278481096</v>
      </c>
      <c r="R665">
        <f t="shared" si="996"/>
        <v>-2583795203.8302121</v>
      </c>
      <c r="S665">
        <f t="shared" si="997"/>
        <v>-25837.952038302123</v>
      </c>
      <c r="T665">
        <f t="shared" si="998"/>
        <v>-25.837952038302124</v>
      </c>
    </row>
    <row r="666" spans="1:20" x14ac:dyDescent="0.25">
      <c r="A666" s="5">
        <v>43927</v>
      </c>
      <c r="B666">
        <v>6.5420000000000001E-3</v>
      </c>
      <c r="C666">
        <v>7.515E-3</v>
      </c>
      <c r="D666">
        <v>6.5030000000000001E-3</v>
      </c>
      <c r="E666">
        <v>6.9199999999999999E-3</v>
      </c>
      <c r="F666">
        <v>101694743</v>
      </c>
      <c r="G666">
        <v>0</v>
      </c>
      <c r="L666" t="s">
        <v>8</v>
      </c>
      <c r="M666" t="s">
        <v>7</v>
      </c>
      <c r="N666" t="s">
        <v>8</v>
      </c>
      <c r="P666">
        <f t="shared" si="994"/>
        <v>-0.17588932806324134</v>
      </c>
      <c r="Q666">
        <f t="shared" si="995"/>
        <v>-17887020.013834015</v>
      </c>
      <c r="R666">
        <f t="shared" si="996"/>
        <v>-2556296113.5517311</v>
      </c>
      <c r="S666">
        <f t="shared" si="997"/>
        <v>-25562.961135517311</v>
      </c>
      <c r="T666">
        <f t="shared" si="998"/>
        <v>-25.562961135517313</v>
      </c>
    </row>
    <row r="667" spans="1:20" x14ac:dyDescent="0.25">
      <c r="A667" s="5">
        <v>43926</v>
      </c>
      <c r="B667">
        <v>6.8339999999999998E-3</v>
      </c>
      <c r="C667">
        <v>6.8500000000000002E-3</v>
      </c>
      <c r="D667">
        <v>6.4999999999999997E-3</v>
      </c>
      <c r="E667">
        <v>6.5069999999999998E-3</v>
      </c>
      <c r="F667">
        <v>37868781</v>
      </c>
      <c r="G667">
        <v>0</v>
      </c>
      <c r="L667" t="s">
        <v>7</v>
      </c>
      <c r="M667" t="s">
        <v>7</v>
      </c>
      <c r="N667" t="s">
        <v>8</v>
      </c>
      <c r="P667">
        <f t="shared" si="994"/>
        <v>-0.95999999999999974</v>
      </c>
      <c r="Q667">
        <f t="shared" si="995"/>
        <v>-36354029.75999999</v>
      </c>
      <c r="R667">
        <f t="shared" si="996"/>
        <v>-2538409093.5378971</v>
      </c>
      <c r="S667">
        <f t="shared" si="997"/>
        <v>-25384.090935378972</v>
      </c>
      <c r="T667">
        <f t="shared" si="998"/>
        <v>-25.384090935378971</v>
      </c>
    </row>
    <row r="668" spans="1:20" x14ac:dyDescent="0.25">
      <c r="A668" s="5">
        <v>43925</v>
      </c>
      <c r="B668">
        <v>6.8599999999999998E-3</v>
      </c>
      <c r="C668">
        <v>6.9639999999999997E-3</v>
      </c>
      <c r="D668">
        <v>6.6140000000000001E-3</v>
      </c>
      <c r="E668">
        <v>6.8329999999999997E-3</v>
      </c>
      <c r="F668">
        <v>39770767</v>
      </c>
      <c r="G668">
        <v>0</v>
      </c>
      <c r="L668" t="s">
        <v>7</v>
      </c>
      <c r="M668" t="s">
        <v>7</v>
      </c>
      <c r="N668" t="s">
        <v>8</v>
      </c>
      <c r="P668">
        <f t="shared" si="994"/>
        <v>0.25142857142857039</v>
      </c>
      <c r="Q668">
        <f t="shared" si="995"/>
        <v>9999507.1314285304</v>
      </c>
      <c r="R668">
        <f t="shared" si="996"/>
        <v>-2502055063.7778969</v>
      </c>
      <c r="S668">
        <f t="shared" si="997"/>
        <v>-25020.550637778968</v>
      </c>
      <c r="T668">
        <f t="shared" si="998"/>
        <v>-25.020550637778967</v>
      </c>
    </row>
    <row r="669" spans="1:20" x14ac:dyDescent="0.25">
      <c r="A669" s="5">
        <v>43924</v>
      </c>
      <c r="B669">
        <v>6.4999999999999997E-3</v>
      </c>
      <c r="C669">
        <v>8.4250000000000002E-3</v>
      </c>
      <c r="D669">
        <v>6.45E-3</v>
      </c>
      <c r="E669">
        <v>6.8399999999999997E-3</v>
      </c>
      <c r="F669">
        <v>255356061</v>
      </c>
      <c r="G669">
        <v>0</v>
      </c>
      <c r="L669" t="s">
        <v>8</v>
      </c>
      <c r="M669" t="s">
        <v>8</v>
      </c>
      <c r="N669" t="s">
        <v>8</v>
      </c>
      <c r="P669">
        <f t="shared" si="994"/>
        <v>-0.60506329113924084</v>
      </c>
      <c r="Q669">
        <f t="shared" si="995"/>
        <v>-154506578.68101275</v>
      </c>
      <c r="R669">
        <f t="shared" si="996"/>
        <v>-2512054570.9093256</v>
      </c>
      <c r="S669">
        <f t="shared" si="997"/>
        <v>-25120.545709093258</v>
      </c>
      <c r="T669">
        <f t="shared" si="998"/>
        <v>-25.120545709093257</v>
      </c>
    </row>
    <row r="670" spans="1:20" x14ac:dyDescent="0.25">
      <c r="A670" s="5">
        <v>43923</v>
      </c>
      <c r="B670">
        <v>6.476E-3</v>
      </c>
      <c r="C670">
        <v>6.842E-3</v>
      </c>
      <c r="D670">
        <v>6.3790000000000001E-3</v>
      </c>
      <c r="E670">
        <v>6.5240000000000003E-3</v>
      </c>
      <c r="F670">
        <v>84315394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-0.37365010799135984</v>
      </c>
      <c r="Q670">
        <f t="shared" si="995"/>
        <v>-31504456.073434055</v>
      </c>
      <c r="R670">
        <f t="shared" si="996"/>
        <v>-2357547992.228313</v>
      </c>
      <c r="S670">
        <f t="shared" si="997"/>
        <v>-23575.479922283128</v>
      </c>
      <c r="T670">
        <f t="shared" si="998"/>
        <v>-23.575479922283129</v>
      </c>
    </row>
    <row r="671" spans="1:20" x14ac:dyDescent="0.25">
      <c r="A671" s="5">
        <v>43922</v>
      </c>
      <c r="B671">
        <v>6.3210000000000002E-3</v>
      </c>
      <c r="C671">
        <v>6.5380000000000004E-3</v>
      </c>
      <c r="D671">
        <v>6.0600000000000003E-3</v>
      </c>
      <c r="E671">
        <v>6.5139999999999998E-3</v>
      </c>
      <c r="F671">
        <v>31998651</v>
      </c>
      <c r="G671">
        <v>0</v>
      </c>
      <c r="L671" t="s">
        <v>7</v>
      </c>
      <c r="M671" t="s">
        <v>8</v>
      </c>
      <c r="N671" t="s">
        <v>8</v>
      </c>
      <c r="P671">
        <f t="shared" si="994"/>
        <v>0.89958158995815662</v>
      </c>
      <c r="Q671">
        <f t="shared" si="995"/>
        <v>28785397.343096159</v>
      </c>
      <c r="R671">
        <f t="shared" si="996"/>
        <v>-2326043536.1548791</v>
      </c>
      <c r="S671">
        <f t="shared" si="997"/>
        <v>-23260.435361548793</v>
      </c>
      <c r="T671">
        <f t="shared" si="998"/>
        <v>-23.260435361548794</v>
      </c>
    </row>
    <row r="672" spans="1:20" x14ac:dyDescent="0.25">
      <c r="A672" s="5">
        <v>43921</v>
      </c>
      <c r="B672">
        <v>6.3E-3</v>
      </c>
      <c r="C672">
        <v>6.4999999999999997E-3</v>
      </c>
      <c r="D672">
        <v>6.2399999999999999E-3</v>
      </c>
      <c r="E672">
        <v>6.3210000000000002E-3</v>
      </c>
      <c r="F672">
        <v>23226642</v>
      </c>
      <c r="G672">
        <v>0</v>
      </c>
      <c r="L672" t="s">
        <v>7</v>
      </c>
      <c r="M672" t="s">
        <v>8</v>
      </c>
      <c r="N672" t="s">
        <v>8</v>
      </c>
      <c r="P672">
        <f t="shared" si="994"/>
        <v>-0.37692307692307386</v>
      </c>
      <c r="Q672">
        <f t="shared" si="995"/>
        <v>-8754657.3692306988</v>
      </c>
      <c r="R672">
        <f t="shared" si="996"/>
        <v>-2354828933.4979753</v>
      </c>
      <c r="S672">
        <f t="shared" si="997"/>
        <v>-23548.289334979752</v>
      </c>
      <c r="T672">
        <f t="shared" si="998"/>
        <v>-23.548289334979753</v>
      </c>
    </row>
    <row r="673" spans="1:20" x14ac:dyDescent="0.25">
      <c r="A673" s="5">
        <v>43920</v>
      </c>
      <c r="B673">
        <v>6.0549999999999996E-3</v>
      </c>
      <c r="C673">
        <v>7.0000000000000001E-3</v>
      </c>
      <c r="D673">
        <v>6.0549999999999996E-3</v>
      </c>
      <c r="E673">
        <v>6.3340000000000002E-3</v>
      </c>
      <c r="F673">
        <v>72901374</v>
      </c>
      <c r="G673">
        <v>0</v>
      </c>
      <c r="L673" t="s">
        <v>8</v>
      </c>
      <c r="M673" t="s">
        <v>8</v>
      </c>
      <c r="N673" t="s">
        <v>8</v>
      </c>
      <c r="P673">
        <f t="shared" si="994"/>
        <v>-0.40952380952380857</v>
      </c>
      <c r="Q673">
        <f t="shared" si="995"/>
        <v>-29854848.399999931</v>
      </c>
      <c r="R673">
        <f t="shared" si="996"/>
        <v>-2346074276.1287446</v>
      </c>
      <c r="S673">
        <f t="shared" si="997"/>
        <v>-23460.742761287445</v>
      </c>
      <c r="T673">
        <f t="shared" si="998"/>
        <v>-23.460742761287445</v>
      </c>
    </row>
    <row r="674" spans="1:20" x14ac:dyDescent="0.25">
      <c r="A674" s="5">
        <v>43919</v>
      </c>
      <c r="B674">
        <v>6.3610000000000003E-3</v>
      </c>
      <c r="C674">
        <v>6.4079999999999996E-3</v>
      </c>
      <c r="D674">
        <v>5.9189999999999998E-3</v>
      </c>
      <c r="E674">
        <v>6.0959999999999999E-3</v>
      </c>
      <c r="F674">
        <v>17759998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-0.2760736196319013</v>
      </c>
      <c r="Q674">
        <f t="shared" si="995"/>
        <v>-4903066.9325153278</v>
      </c>
      <c r="R674">
        <f t="shared" si="996"/>
        <v>-2316219427.7287445</v>
      </c>
      <c r="S674">
        <f t="shared" si="997"/>
        <v>-23162.194277287446</v>
      </c>
      <c r="T674">
        <f t="shared" si="998"/>
        <v>-23.162194277287448</v>
      </c>
    </row>
    <row r="675" spans="1:20" x14ac:dyDescent="0.25">
      <c r="A675" s="5">
        <v>43918</v>
      </c>
      <c r="B675">
        <v>6.398E-3</v>
      </c>
      <c r="C675">
        <v>6.6530000000000001E-3</v>
      </c>
      <c r="D675">
        <v>5.9709999999999997E-3</v>
      </c>
      <c r="E675">
        <v>6.3610000000000003E-3</v>
      </c>
      <c r="F675">
        <v>37250632</v>
      </c>
      <c r="G675">
        <v>0</v>
      </c>
      <c r="L675" t="s">
        <v>7</v>
      </c>
      <c r="M675" t="s">
        <v>8</v>
      </c>
      <c r="N675" t="s">
        <v>8</v>
      </c>
      <c r="P675">
        <f t="shared" si="994"/>
        <v>0.1436950146627578</v>
      </c>
      <c r="Q675">
        <f t="shared" si="995"/>
        <v>5352730.1114369947</v>
      </c>
      <c r="R675">
        <f t="shared" si="996"/>
        <v>-2311316360.7962294</v>
      </c>
      <c r="S675">
        <f t="shared" si="997"/>
        <v>-23113.163607962295</v>
      </c>
      <c r="T675">
        <f t="shared" si="998"/>
        <v>-23.113163607962296</v>
      </c>
    </row>
    <row r="676" spans="1:20" x14ac:dyDescent="0.25">
      <c r="A676" s="5">
        <v>43917</v>
      </c>
      <c r="B676">
        <v>6.7080000000000004E-3</v>
      </c>
      <c r="C676">
        <v>7.2389999999999998E-3</v>
      </c>
      <c r="D676">
        <v>6.3660000000000001E-3</v>
      </c>
      <c r="E676">
        <v>6.4219999999999998E-3</v>
      </c>
      <c r="F676">
        <v>99977478</v>
      </c>
      <c r="G676">
        <v>0</v>
      </c>
      <c r="L676" t="s">
        <v>8</v>
      </c>
      <c r="M676" t="s">
        <v>8</v>
      </c>
      <c r="N676" t="s">
        <v>8</v>
      </c>
      <c r="P676">
        <f t="shared" si="994"/>
        <v>-0.87170675830469724</v>
      </c>
      <c r="Q676">
        <f t="shared" si="995"/>
        <v>-87151043.250859186</v>
      </c>
      <c r="R676">
        <f t="shared" si="996"/>
        <v>-2316669090.9076662</v>
      </c>
      <c r="S676">
        <f t="shared" si="997"/>
        <v>-23166.69090907666</v>
      </c>
      <c r="T676">
        <f t="shared" si="998"/>
        <v>-23.16669090907666</v>
      </c>
    </row>
    <row r="677" spans="1:20" x14ac:dyDescent="0.25">
      <c r="A677" s="5">
        <v>43916</v>
      </c>
      <c r="B677">
        <v>6.2119999999999996E-3</v>
      </c>
      <c r="C677">
        <v>6.8050000000000003E-3</v>
      </c>
      <c r="D677">
        <v>6.1580000000000003E-3</v>
      </c>
      <c r="E677">
        <v>6.6769999999999998E-3</v>
      </c>
      <c r="F677">
        <v>33897418</v>
      </c>
      <c r="G677">
        <v>0</v>
      </c>
      <c r="L677" t="s">
        <v>8</v>
      </c>
      <c r="M677" t="s">
        <v>8</v>
      </c>
      <c r="N677" t="s">
        <v>8</v>
      </c>
      <c r="P677">
        <f t="shared" si="994"/>
        <v>0.60432766615146671</v>
      </c>
      <c r="Q677">
        <f t="shared" si="995"/>
        <v>20485147.508500718</v>
      </c>
      <c r="R677">
        <f t="shared" si="996"/>
        <v>-2229518047.6568069</v>
      </c>
      <c r="S677">
        <f t="shared" si="997"/>
        <v>-22295.180476568068</v>
      </c>
      <c r="T677">
        <f t="shared" si="998"/>
        <v>-22.295180476568067</v>
      </c>
    </row>
    <row r="678" spans="1:20" x14ac:dyDescent="0.25">
      <c r="A678" s="5">
        <v>43915</v>
      </c>
      <c r="B678">
        <v>6.1580000000000003E-3</v>
      </c>
      <c r="C678">
        <v>6.4250000000000002E-3</v>
      </c>
      <c r="D678">
        <v>6.0000000000000001E-3</v>
      </c>
      <c r="E678">
        <v>6.1780000000000003E-3</v>
      </c>
      <c r="F678">
        <v>14974822</v>
      </c>
      <c r="G678">
        <v>0</v>
      </c>
      <c r="L678" t="s">
        <v>8</v>
      </c>
      <c r="M678" t="s">
        <v>8</v>
      </c>
      <c r="N678" t="s">
        <v>8</v>
      </c>
      <c r="P678">
        <f t="shared" si="994"/>
        <v>-0.16235294117646967</v>
      </c>
      <c r="Q678">
        <f t="shared" si="995"/>
        <v>-2431206.3952941038</v>
      </c>
      <c r="R678">
        <f t="shared" si="996"/>
        <v>-2250003195.1653075</v>
      </c>
      <c r="S678">
        <f t="shared" si="997"/>
        <v>-22500.031951653076</v>
      </c>
      <c r="T678">
        <f t="shared" si="998"/>
        <v>-22.500031951653078</v>
      </c>
    </row>
    <row r="679" spans="1:20" x14ac:dyDescent="0.25">
      <c r="A679" s="5">
        <v>43914</v>
      </c>
      <c r="B679">
        <v>6.1159999999999999E-3</v>
      </c>
      <c r="C679">
        <v>6.4029999999999998E-3</v>
      </c>
      <c r="D679">
        <v>5.8890000000000001E-3</v>
      </c>
      <c r="E679">
        <v>6.2160000000000002E-3</v>
      </c>
      <c r="F679">
        <v>30070407</v>
      </c>
      <c r="G679">
        <v>0</v>
      </c>
      <c r="L679" t="s">
        <v>8</v>
      </c>
      <c r="M679" t="s">
        <v>8</v>
      </c>
      <c r="N679" t="s">
        <v>8</v>
      </c>
      <c r="P679">
        <f t="shared" si="994"/>
        <v>0.27237354085603199</v>
      </c>
      <c r="Q679">
        <f t="shared" si="995"/>
        <v>8190383.2295720102</v>
      </c>
      <c r="R679">
        <f t="shared" si="996"/>
        <v>-2247571988.7700133</v>
      </c>
      <c r="S679">
        <f t="shared" si="997"/>
        <v>-22475.719887700132</v>
      </c>
      <c r="T679">
        <f t="shared" si="998"/>
        <v>-22.475719887700134</v>
      </c>
    </row>
    <row r="680" spans="1:20" x14ac:dyDescent="0.25">
      <c r="A680" s="5">
        <v>43913</v>
      </c>
      <c r="B680">
        <v>5.385E-3</v>
      </c>
      <c r="C680">
        <v>6.1549999999999999E-3</v>
      </c>
      <c r="D680">
        <v>5.3229999999999996E-3</v>
      </c>
      <c r="E680">
        <v>6.0829999999999999E-3</v>
      </c>
      <c r="F680">
        <v>24174814</v>
      </c>
      <c r="G680">
        <v>0</v>
      </c>
      <c r="L680" t="s">
        <v>8</v>
      </c>
      <c r="M680" t="s">
        <v>7</v>
      </c>
      <c r="N680" t="s">
        <v>8</v>
      </c>
      <c r="P680">
        <f t="shared" si="994"/>
        <v>0.82692307692307698</v>
      </c>
      <c r="Q680">
        <f t="shared" si="995"/>
        <v>19990711.57692308</v>
      </c>
      <c r="R680">
        <f t="shared" si="996"/>
        <v>-2255762371.9995852</v>
      </c>
      <c r="S680">
        <f t="shared" si="997"/>
        <v>-22557.623719995852</v>
      </c>
      <c r="T680">
        <f t="shared" si="998"/>
        <v>-22.557623719995853</v>
      </c>
    </row>
    <row r="681" spans="1:20" x14ac:dyDescent="0.25">
      <c r="A681" s="5">
        <v>43912</v>
      </c>
      <c r="B681">
        <v>5.9969999999999997E-3</v>
      </c>
      <c r="C681">
        <v>6.1780000000000003E-3</v>
      </c>
      <c r="D681">
        <v>5.3179999999999998E-3</v>
      </c>
      <c r="E681">
        <v>5.3680000000000004E-3</v>
      </c>
      <c r="F681">
        <v>20950641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-0.88372093023255693</v>
      </c>
      <c r="Q681">
        <f t="shared" si="995"/>
        <v>-18514519.953488346</v>
      </c>
      <c r="R681">
        <f t="shared" si="996"/>
        <v>-2275753083.576508</v>
      </c>
      <c r="S681">
        <f t="shared" si="997"/>
        <v>-22757.530835765079</v>
      </c>
      <c r="T681">
        <f t="shared" si="998"/>
        <v>-22.757530835765078</v>
      </c>
    </row>
    <row r="682" spans="1:20" x14ac:dyDescent="0.25">
      <c r="A682" s="5">
        <v>43911</v>
      </c>
      <c r="B682">
        <v>6.0660000000000002E-3</v>
      </c>
      <c r="C682">
        <v>6.306E-3</v>
      </c>
      <c r="D682">
        <v>5.7000000000000002E-3</v>
      </c>
      <c r="E682">
        <v>6.0140000000000002E-3</v>
      </c>
      <c r="F682">
        <v>29706624</v>
      </c>
      <c r="G682">
        <v>0</v>
      </c>
      <c r="L682" t="s">
        <v>8</v>
      </c>
      <c r="M682" t="s">
        <v>7</v>
      </c>
      <c r="N682" t="s">
        <v>8</v>
      </c>
      <c r="P682">
        <f t="shared" si="994"/>
        <v>3.630363036303684E-2</v>
      </c>
      <c r="Q682">
        <f t="shared" si="995"/>
        <v>1078458.297029719</v>
      </c>
      <c r="R682">
        <f t="shared" si="996"/>
        <v>-2257238563.6230197</v>
      </c>
      <c r="S682">
        <f t="shared" si="997"/>
        <v>-22572.385636230196</v>
      </c>
      <c r="T682">
        <f t="shared" si="998"/>
        <v>-22.572385636230194</v>
      </c>
    </row>
    <row r="683" spans="1:20" x14ac:dyDescent="0.25">
      <c r="A683" s="5">
        <v>43910</v>
      </c>
      <c r="B683">
        <v>6.3759999999999997E-3</v>
      </c>
      <c r="C683">
        <v>6.9649999999999998E-3</v>
      </c>
      <c r="D683">
        <v>5.5469999999999998E-3</v>
      </c>
      <c r="E683">
        <v>6.0720000000000001E-3</v>
      </c>
      <c r="F683">
        <v>70222043</v>
      </c>
      <c r="G683">
        <v>0</v>
      </c>
      <c r="L683" t="s">
        <v>7</v>
      </c>
      <c r="M683" t="s">
        <v>7</v>
      </c>
      <c r="N683" t="s">
        <v>8</v>
      </c>
      <c r="P683">
        <f t="shared" si="994"/>
        <v>-0.25952045133991497</v>
      </c>
      <c r="Q683">
        <f t="shared" si="995"/>
        <v>-18224056.293370917</v>
      </c>
      <c r="R683">
        <f t="shared" si="996"/>
        <v>-2258317021.9200492</v>
      </c>
      <c r="S683">
        <f t="shared" si="997"/>
        <v>-22583.170219200492</v>
      </c>
      <c r="T683">
        <f t="shared" si="998"/>
        <v>-22.583170219200493</v>
      </c>
    </row>
    <row r="684" spans="1:20" x14ac:dyDescent="0.25">
      <c r="A684" s="5">
        <v>43909</v>
      </c>
      <c r="B684">
        <v>5.2760000000000003E-3</v>
      </c>
      <c r="C684">
        <v>7.2610000000000001E-3</v>
      </c>
      <c r="D684">
        <v>5.2300000000000003E-3</v>
      </c>
      <c r="E684">
        <v>6.3429999999999997E-3</v>
      </c>
      <c r="F684">
        <v>136339703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9.6011816838995082E-2</v>
      </c>
      <c r="Q684">
        <f t="shared" si="995"/>
        <v>13090222.592318987</v>
      </c>
      <c r="R684">
        <f t="shared" si="996"/>
        <v>-2240092965.6266785</v>
      </c>
      <c r="S684">
        <f t="shared" si="997"/>
        <v>-22400.929656266784</v>
      </c>
      <c r="T684">
        <f t="shared" si="998"/>
        <v>-22.400929656266783</v>
      </c>
    </row>
    <row r="685" spans="1:20" x14ac:dyDescent="0.25">
      <c r="A685" s="5">
        <v>43908</v>
      </c>
      <c r="B685">
        <v>5.7499999999999999E-3</v>
      </c>
      <c r="C685">
        <v>5.9500000000000004E-3</v>
      </c>
      <c r="D685">
        <v>5.1070000000000004E-3</v>
      </c>
      <c r="E685">
        <v>5.274E-3</v>
      </c>
      <c r="F685">
        <v>70363341</v>
      </c>
      <c r="G685">
        <v>0</v>
      </c>
      <c r="L685" t="s">
        <v>7</v>
      </c>
      <c r="M685" t="s">
        <v>7</v>
      </c>
      <c r="N685" t="s">
        <v>7</v>
      </c>
      <c r="P685">
        <f t="shared" si="994"/>
        <v>-0.60379596678529157</v>
      </c>
      <c r="Q685">
        <f t="shared" si="995"/>
        <v>-42485101.505338147</v>
      </c>
      <c r="R685">
        <f t="shared" si="996"/>
        <v>-2253183188.2189975</v>
      </c>
      <c r="S685">
        <f t="shared" si="997"/>
        <v>-22531.831882189974</v>
      </c>
      <c r="T685">
        <f t="shared" si="998"/>
        <v>-22.531831882189973</v>
      </c>
    </row>
    <row r="686" spans="1:20" x14ac:dyDescent="0.25">
      <c r="A686" s="5">
        <v>43907</v>
      </c>
      <c r="B686">
        <v>5.2119999999999996E-3</v>
      </c>
      <c r="C686">
        <v>5.9719999999999999E-3</v>
      </c>
      <c r="D686">
        <v>5.1339999999999997E-3</v>
      </c>
      <c r="E686">
        <v>5.7409999999999996E-3</v>
      </c>
      <c r="F686">
        <v>38723014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0.44868735083532163</v>
      </c>
      <c r="Q686">
        <f t="shared" si="995"/>
        <v>17374526.56801907</v>
      </c>
      <c r="R686">
        <f t="shared" si="996"/>
        <v>-2210698086.7136593</v>
      </c>
      <c r="S686">
        <f t="shared" si="997"/>
        <v>-22106.980867136594</v>
      </c>
      <c r="T686">
        <f t="shared" si="998"/>
        <v>-22.106980867136592</v>
      </c>
    </row>
    <row r="687" spans="1:20" x14ac:dyDescent="0.25">
      <c r="A687" s="5">
        <v>43906</v>
      </c>
      <c r="B687">
        <v>5.7949999999999998E-3</v>
      </c>
      <c r="C687">
        <v>5.7949999999999998E-3</v>
      </c>
      <c r="D687">
        <v>4.6569999999999997E-3</v>
      </c>
      <c r="E687">
        <v>5.2009999999999999E-3</v>
      </c>
      <c r="F687">
        <v>69094444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-4.3936731107205355E-2</v>
      </c>
      <c r="Q687">
        <f t="shared" si="995"/>
        <v>-3035784.0070298584</v>
      </c>
      <c r="R687">
        <f t="shared" si="996"/>
        <v>-2228072613.2816782</v>
      </c>
      <c r="S687">
        <f t="shared" si="997"/>
        <v>-22280.726132816781</v>
      </c>
      <c r="T687">
        <f t="shared" si="998"/>
        <v>-22.280726132816781</v>
      </c>
    </row>
    <row r="688" spans="1:20" x14ac:dyDescent="0.25">
      <c r="A688" s="5">
        <v>43905</v>
      </c>
      <c r="B688">
        <v>5.7109999999999999E-3</v>
      </c>
      <c r="C688">
        <v>6.2880000000000002E-3</v>
      </c>
      <c r="D688">
        <v>5.4840000000000002E-3</v>
      </c>
      <c r="E688">
        <v>5.7999999999999996E-3</v>
      </c>
      <c r="F688">
        <v>34540407</v>
      </c>
      <c r="G688">
        <v>0</v>
      </c>
      <c r="L688" t="s">
        <v>7</v>
      </c>
      <c r="M688" t="s">
        <v>8</v>
      </c>
      <c r="N688" t="s">
        <v>8</v>
      </c>
      <c r="P688">
        <f t="shared" si="994"/>
        <v>-0.21393034825870788</v>
      </c>
      <c r="Q688">
        <f t="shared" si="995"/>
        <v>-7389241.2985075116</v>
      </c>
      <c r="R688">
        <f t="shared" si="996"/>
        <v>-2225036829.2746482</v>
      </c>
      <c r="S688">
        <f t="shared" si="997"/>
        <v>-22250.368292746483</v>
      </c>
      <c r="T688">
        <f t="shared" si="998"/>
        <v>-22.250368292746483</v>
      </c>
    </row>
    <row r="689" spans="1:20" x14ac:dyDescent="0.25">
      <c r="A689" s="5">
        <v>43904</v>
      </c>
      <c r="B689">
        <v>6.1760000000000001E-3</v>
      </c>
      <c r="C689">
        <v>6.502E-3</v>
      </c>
      <c r="D689">
        <v>5.411E-3</v>
      </c>
      <c r="E689">
        <v>5.6849999999999999E-3</v>
      </c>
      <c r="F689">
        <v>36043433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-0.49770852428964263</v>
      </c>
      <c r="Q689">
        <f t="shared" si="995"/>
        <v>-17939123.848762605</v>
      </c>
      <c r="R689">
        <f t="shared" si="996"/>
        <v>-2217647587.9761405</v>
      </c>
      <c r="S689">
        <f t="shared" si="997"/>
        <v>-22176.475879761405</v>
      </c>
      <c r="T689">
        <f t="shared" si="998"/>
        <v>-22.176475879761405</v>
      </c>
    </row>
    <row r="690" spans="1:20" x14ac:dyDescent="0.25">
      <c r="A690" s="5">
        <v>43903</v>
      </c>
      <c r="B690">
        <v>5.1619999999999999E-3</v>
      </c>
      <c r="C690">
        <v>6.9199999999999999E-3</v>
      </c>
      <c r="D690">
        <v>3.813E-3</v>
      </c>
      <c r="E690">
        <v>6.1669999999999997E-3</v>
      </c>
      <c r="F690">
        <v>119240289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0.51528805922111343</v>
      </c>
      <c r="Q690">
        <f t="shared" si="995"/>
        <v>61443097.099774681</v>
      </c>
      <c r="R690">
        <f t="shared" si="996"/>
        <v>-2199708464.127378</v>
      </c>
      <c r="S690">
        <f t="shared" si="997"/>
        <v>-21997.084641273781</v>
      </c>
      <c r="T690">
        <f t="shared" si="998"/>
        <v>-21.99708464127378</v>
      </c>
    </row>
    <row r="691" spans="1:20" x14ac:dyDescent="0.25">
      <c r="A691" s="5">
        <v>43902</v>
      </c>
      <c r="B691">
        <v>1.0983E-2</v>
      </c>
      <c r="C691">
        <v>1.1076000000000001E-2</v>
      </c>
      <c r="D691">
        <v>5.0000000000000001E-3</v>
      </c>
      <c r="E691">
        <v>5.2389999999999997E-3</v>
      </c>
      <c r="F691">
        <v>2049796353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-0.92132982225148141</v>
      </c>
      <c r="Q691">
        <f t="shared" si="995"/>
        <v>-1888538509.5612249</v>
      </c>
      <c r="R691">
        <f t="shared" si="996"/>
        <v>-2261151561.2271528</v>
      </c>
      <c r="S691">
        <f t="shared" si="997"/>
        <v>-22611.515612271527</v>
      </c>
      <c r="T691">
        <f t="shared" si="998"/>
        <v>-22.611515612271528</v>
      </c>
    </row>
    <row r="692" spans="1:20" x14ac:dyDescent="0.25">
      <c r="A692" s="5">
        <v>43901</v>
      </c>
      <c r="B692">
        <v>1.0678E-2</v>
      </c>
      <c r="C692">
        <v>1.1429999999999999E-2</v>
      </c>
      <c r="D692">
        <v>9.9019999999999993E-3</v>
      </c>
      <c r="E692">
        <v>1.0985999999999999E-2</v>
      </c>
      <c r="F692">
        <v>237371388</v>
      </c>
      <c r="G692">
        <v>0</v>
      </c>
      <c r="L692" t="s">
        <v>8</v>
      </c>
      <c r="M692" t="s">
        <v>7</v>
      </c>
      <c r="N692" t="s">
        <v>7</v>
      </c>
      <c r="P692">
        <f t="shared" si="994"/>
        <v>0.41884816753926701</v>
      </c>
      <c r="Q692">
        <f t="shared" si="995"/>
        <v>99422570.890052348</v>
      </c>
      <c r="R692">
        <f t="shared" si="996"/>
        <v>-372613051.66592813</v>
      </c>
      <c r="S692">
        <f t="shared" si="997"/>
        <v>-3726.1305166592811</v>
      </c>
      <c r="T692">
        <f t="shared" si="998"/>
        <v>-3.7261305166592811</v>
      </c>
    </row>
    <row r="693" spans="1:20" x14ac:dyDescent="0.25">
      <c r="A693" s="5">
        <v>43900</v>
      </c>
      <c r="B693">
        <v>1.0349000000000001E-2</v>
      </c>
      <c r="C693">
        <v>1.0825E-2</v>
      </c>
      <c r="D693">
        <v>1.0026999999999999E-2</v>
      </c>
      <c r="E693">
        <v>1.0689000000000001E-2</v>
      </c>
      <c r="F693">
        <v>219359127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0.65914786967418804</v>
      </c>
      <c r="Q693">
        <f t="shared" si="995"/>
        <v>144590101.25563967</v>
      </c>
      <c r="R693">
        <f t="shared" si="996"/>
        <v>-472035622.55598044</v>
      </c>
      <c r="S693">
        <f t="shared" si="997"/>
        <v>-4720.3562255598044</v>
      </c>
      <c r="T693">
        <f t="shared" si="998"/>
        <v>-4.7203562255598044</v>
      </c>
    </row>
    <row r="694" spans="1:20" x14ac:dyDescent="0.25">
      <c r="A694" s="5">
        <v>43899</v>
      </c>
      <c r="B694">
        <v>1.0487E-2</v>
      </c>
      <c r="C694">
        <v>1.0765E-2</v>
      </c>
      <c r="D694">
        <v>9.7429999999999999E-3</v>
      </c>
      <c r="E694">
        <v>1.0331E-2</v>
      </c>
      <c r="F694">
        <v>335371510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0.15068493150684889</v>
      </c>
      <c r="Q694">
        <f t="shared" si="995"/>
        <v>50535433.013698488</v>
      </c>
      <c r="R694">
        <f t="shared" si="996"/>
        <v>-616625723.81162012</v>
      </c>
      <c r="S694">
        <f t="shared" si="997"/>
        <v>-6166.2572381162008</v>
      </c>
      <c r="T694">
        <f t="shared" si="998"/>
        <v>-6.1662572381162004</v>
      </c>
    </row>
    <row r="695" spans="1:20" x14ac:dyDescent="0.25">
      <c r="A695" s="5">
        <v>43898</v>
      </c>
      <c r="B695">
        <v>1.2422000000000001E-2</v>
      </c>
      <c r="C695">
        <v>1.3100000000000001E-2</v>
      </c>
      <c r="D695">
        <v>1.0359999999999999E-2</v>
      </c>
      <c r="E695">
        <v>1.0482E-2</v>
      </c>
      <c r="F695">
        <v>299737984</v>
      </c>
      <c r="G695">
        <v>0</v>
      </c>
      <c r="L695" t="s">
        <v>7</v>
      </c>
      <c r="M695" t="s">
        <v>7</v>
      </c>
      <c r="N695" t="s">
        <v>8</v>
      </c>
      <c r="P695">
        <f t="shared" si="994"/>
        <v>-0.91094890510948867</v>
      </c>
      <c r="Q695">
        <f t="shared" si="995"/>
        <v>-273045988.34452546</v>
      </c>
      <c r="R695">
        <f t="shared" si="996"/>
        <v>-667161156.82531857</v>
      </c>
      <c r="S695">
        <f t="shared" si="997"/>
        <v>-6671.6115682531854</v>
      </c>
      <c r="T695">
        <f t="shared" si="998"/>
        <v>-6.6716115682531854</v>
      </c>
    </row>
    <row r="696" spans="1:20" x14ac:dyDescent="0.25">
      <c r="A696" s="5">
        <v>43897</v>
      </c>
      <c r="B696">
        <v>1.3079E-2</v>
      </c>
      <c r="C696">
        <v>1.3599999999999999E-2</v>
      </c>
      <c r="D696">
        <v>1.2192E-2</v>
      </c>
      <c r="E696">
        <v>1.2429000000000001E-2</v>
      </c>
      <c r="F696">
        <v>510022649</v>
      </c>
      <c r="G696">
        <v>0</v>
      </c>
      <c r="L696" t="s">
        <v>7</v>
      </c>
      <c r="M696" t="s">
        <v>8</v>
      </c>
      <c r="N696" t="s">
        <v>8</v>
      </c>
      <c r="P696">
        <f t="shared" si="994"/>
        <v>-0.66335227272727104</v>
      </c>
      <c r="Q696">
        <f t="shared" si="995"/>
        <v>-338324683.35653323</v>
      </c>
      <c r="R696">
        <f t="shared" si="996"/>
        <v>-394115168.48079318</v>
      </c>
      <c r="S696">
        <f t="shared" si="997"/>
        <v>-3941.1516848079318</v>
      </c>
      <c r="T696">
        <f t="shared" si="998"/>
        <v>-3.9411516848079318</v>
      </c>
    </row>
    <row r="697" spans="1:20" x14ac:dyDescent="0.25">
      <c r="A697" s="5">
        <v>43896</v>
      </c>
      <c r="B697">
        <v>1.2895E-2</v>
      </c>
      <c r="C697">
        <v>1.3596E-2</v>
      </c>
      <c r="D697">
        <v>1.2455000000000001E-2</v>
      </c>
      <c r="E697">
        <v>1.3076000000000001E-2</v>
      </c>
      <c r="F697">
        <v>455828403</v>
      </c>
      <c r="G697">
        <v>0</v>
      </c>
      <c r="L697" t="s">
        <v>8</v>
      </c>
      <c r="M697" t="s">
        <v>8</v>
      </c>
      <c r="N697" t="s">
        <v>8</v>
      </c>
      <c r="P697">
        <f t="shared" si="994"/>
        <v>8.8518843120070481E-2</v>
      </c>
      <c r="Q697">
        <f t="shared" si="995"/>
        <v>40349402.894829266</v>
      </c>
      <c r="R697">
        <f t="shared" si="996"/>
        <v>-55790485.124259926</v>
      </c>
      <c r="S697">
        <f t="shared" si="997"/>
        <v>-557.90485124259931</v>
      </c>
      <c r="T697">
        <f t="shared" si="998"/>
        <v>-0.55790485124259925</v>
      </c>
    </row>
    <row r="698" spans="1:20" x14ac:dyDescent="0.25">
      <c r="A698" s="5">
        <v>43895</v>
      </c>
      <c r="B698">
        <v>1.2852000000000001E-2</v>
      </c>
      <c r="C698">
        <v>1.38E-2</v>
      </c>
      <c r="D698">
        <v>1.2540000000000001E-2</v>
      </c>
      <c r="E698">
        <v>1.2884E-2</v>
      </c>
      <c r="F698">
        <v>112639257</v>
      </c>
      <c r="G698">
        <v>0</v>
      </c>
      <c r="L698" t="s">
        <v>7</v>
      </c>
      <c r="M698" t="s">
        <v>8</v>
      </c>
      <c r="N698" t="s">
        <v>8</v>
      </c>
      <c r="P698">
        <f t="shared" si="994"/>
        <v>-0.45396825396825541</v>
      </c>
      <c r="Q698">
        <f t="shared" si="995"/>
        <v>-51134646.828571588</v>
      </c>
      <c r="R698">
        <f t="shared" si="996"/>
        <v>-96139888.019089192</v>
      </c>
      <c r="S698">
        <f t="shared" si="997"/>
        <v>-961.39888019089187</v>
      </c>
      <c r="T698">
        <f t="shared" si="998"/>
        <v>-0.96139888019089192</v>
      </c>
    </row>
    <row r="699" spans="1:20" x14ac:dyDescent="0.25">
      <c r="A699" s="5">
        <v>43894</v>
      </c>
      <c r="B699">
        <v>1.1901E-2</v>
      </c>
      <c r="C699">
        <v>1.3899E-2</v>
      </c>
      <c r="D699">
        <v>1.1710999999999999E-2</v>
      </c>
      <c r="E699">
        <v>1.2898E-2</v>
      </c>
      <c r="F699">
        <v>128707507</v>
      </c>
      <c r="G699">
        <v>0</v>
      </c>
      <c r="L699" t="s">
        <v>8</v>
      </c>
      <c r="M699" t="s">
        <v>8</v>
      </c>
      <c r="N699" t="s">
        <v>8</v>
      </c>
      <c r="P699">
        <f t="shared" si="994"/>
        <v>8.5009140767824648E-2</v>
      </c>
      <c r="Q699">
        <f t="shared" si="995"/>
        <v>10941314.580438776</v>
      </c>
      <c r="R699">
        <f t="shared" si="996"/>
        <v>-45005241.190517612</v>
      </c>
      <c r="S699">
        <f t="shared" si="997"/>
        <v>-450.05241190517614</v>
      </c>
      <c r="T699">
        <f t="shared" si="998"/>
        <v>-0.45005241190517614</v>
      </c>
    </row>
    <row r="700" spans="1:20" x14ac:dyDescent="0.25">
      <c r="A700" s="5">
        <v>43893</v>
      </c>
      <c r="B700">
        <v>1.1919000000000001E-2</v>
      </c>
      <c r="C700">
        <v>1.2319E-2</v>
      </c>
      <c r="D700">
        <v>1.1641E-2</v>
      </c>
      <c r="E700">
        <v>1.1934999999999999E-2</v>
      </c>
      <c r="F700">
        <v>64809880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-0.13274336283186072</v>
      </c>
      <c r="Q700">
        <f t="shared" si="995"/>
        <v>-8603081.4159293529</v>
      </c>
      <c r="R700">
        <f t="shared" si="996"/>
        <v>-55946555.77095639</v>
      </c>
      <c r="S700">
        <f t="shared" si="997"/>
        <v>-559.46555770956388</v>
      </c>
      <c r="T700">
        <f t="shared" si="998"/>
        <v>-0.55946555770956385</v>
      </c>
    </row>
    <row r="701" spans="1:20" x14ac:dyDescent="0.25">
      <c r="A701" s="5">
        <v>43892</v>
      </c>
      <c r="B701">
        <v>1.2069E-2</v>
      </c>
      <c r="C701">
        <v>1.2488000000000001E-2</v>
      </c>
      <c r="D701">
        <v>1.0806E-2</v>
      </c>
      <c r="E701">
        <v>1.1899E-2</v>
      </c>
      <c r="F701">
        <v>88063831</v>
      </c>
      <c r="G701">
        <v>0</v>
      </c>
      <c r="L701" t="s">
        <v>7</v>
      </c>
      <c r="M701" t="s">
        <v>7</v>
      </c>
      <c r="N701" t="s">
        <v>7</v>
      </c>
      <c r="P701">
        <f t="shared" si="994"/>
        <v>0.29964328180737149</v>
      </c>
      <c r="Q701">
        <f t="shared" si="995"/>
        <v>26387735.329369739</v>
      </c>
      <c r="R701">
        <f t="shared" si="996"/>
        <v>-47343474.355027035</v>
      </c>
      <c r="S701">
        <f t="shared" si="997"/>
        <v>-473.43474355027035</v>
      </c>
      <c r="T701">
        <f t="shared" si="998"/>
        <v>-0.47343474355027038</v>
      </c>
    </row>
    <row r="702" spans="1:20" x14ac:dyDescent="0.25">
      <c r="A702" s="5">
        <v>43891</v>
      </c>
      <c r="B702">
        <v>1.0484E-2</v>
      </c>
      <c r="C702">
        <v>1.32E-2</v>
      </c>
      <c r="D702">
        <v>1.044E-2</v>
      </c>
      <c r="E702">
        <v>1.2030000000000001E-2</v>
      </c>
      <c r="F702">
        <v>67551126</v>
      </c>
      <c r="G702">
        <v>0</v>
      </c>
      <c r="L702" t="s">
        <v>8</v>
      </c>
      <c r="M702" t="s">
        <v>8</v>
      </c>
      <c r="N702" t="s">
        <v>7</v>
      </c>
      <c r="P702">
        <f t="shared" si="994"/>
        <v>0.15217391304347896</v>
      </c>
      <c r="Q702">
        <f t="shared" si="995"/>
        <v>10279519.173913091</v>
      </c>
      <c r="R702">
        <f t="shared" si="996"/>
        <v>-73731209.684396774</v>
      </c>
      <c r="S702">
        <f t="shared" si="997"/>
        <v>-737.31209684396777</v>
      </c>
      <c r="T702">
        <f t="shared" si="998"/>
        <v>-0.73731209684396781</v>
      </c>
    </row>
    <row r="703" spans="1:20" x14ac:dyDescent="0.25">
      <c r="A703" s="5">
        <v>43890</v>
      </c>
      <c r="B703">
        <v>1.0573000000000001E-2</v>
      </c>
      <c r="C703">
        <v>1.1207999999999999E-2</v>
      </c>
      <c r="D703">
        <v>1.044E-2</v>
      </c>
      <c r="E703">
        <v>1.044E-2</v>
      </c>
      <c r="F703">
        <v>25866952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-1</v>
      </c>
      <c r="Q703">
        <f t="shared" si="995"/>
        <v>-25866952</v>
      </c>
      <c r="R703">
        <f t="shared" si="996"/>
        <v>-84010728.858309865</v>
      </c>
      <c r="S703">
        <f t="shared" si="997"/>
        <v>-840.10728858309869</v>
      </c>
      <c r="T703">
        <f t="shared" si="998"/>
        <v>-0.84010728858309869</v>
      </c>
    </row>
    <row r="704" spans="1:20" x14ac:dyDescent="0.25">
      <c r="A704" s="5">
        <v>43889</v>
      </c>
      <c r="B704">
        <v>1.0586999999999999E-2</v>
      </c>
      <c r="C704">
        <v>1.0999E-2</v>
      </c>
      <c r="D704">
        <v>1.01E-2</v>
      </c>
      <c r="E704">
        <v>1.0579E-2</v>
      </c>
      <c r="F704">
        <v>37057800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6.5628476084538367E-2</v>
      </c>
      <c r="Q704">
        <f t="shared" si="995"/>
        <v>2432046.941045606</v>
      </c>
      <c r="R704">
        <f t="shared" si="996"/>
        <v>-58143776.858309858</v>
      </c>
      <c r="S704">
        <f t="shared" si="997"/>
        <v>-581.43776858309855</v>
      </c>
      <c r="T704">
        <f t="shared" si="998"/>
        <v>-0.58143776858309859</v>
      </c>
    </row>
    <row r="705" spans="1:20" x14ac:dyDescent="0.25">
      <c r="A705" s="5">
        <v>43888</v>
      </c>
      <c r="B705">
        <v>1.0515999999999999E-2</v>
      </c>
      <c r="C705">
        <v>1.1258000000000001E-2</v>
      </c>
      <c r="D705">
        <v>0.01</v>
      </c>
      <c r="E705">
        <v>1.0676E-2</v>
      </c>
      <c r="F705">
        <v>38483351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7.4721780604132398E-2</v>
      </c>
      <c r="Q705">
        <f t="shared" si="995"/>
        <v>2875544.5103338193</v>
      </c>
      <c r="R705">
        <f t="shared" si="996"/>
        <v>-60575823.799355462</v>
      </c>
      <c r="S705">
        <f t="shared" si="997"/>
        <v>-605.75823799355464</v>
      </c>
      <c r="T705">
        <f t="shared" si="998"/>
        <v>-0.60575823799355466</v>
      </c>
    </row>
    <row r="706" spans="1:20" x14ac:dyDescent="0.25">
      <c r="A706" s="5">
        <v>43887</v>
      </c>
      <c r="B706">
        <v>1.1806000000000001E-2</v>
      </c>
      <c r="C706">
        <v>1.2061000000000001E-2</v>
      </c>
      <c r="D706">
        <v>0.01</v>
      </c>
      <c r="E706">
        <v>1.0508999999999999E-2</v>
      </c>
      <c r="F706">
        <v>76589633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-0.50606501698204853</v>
      </c>
      <c r="Q706">
        <f t="shared" si="995"/>
        <v>-38759333.924793862</v>
      </c>
      <c r="R706">
        <f t="shared" si="996"/>
        <v>-63451368.309689283</v>
      </c>
      <c r="S706">
        <f t="shared" si="997"/>
        <v>-634.51368309689281</v>
      </c>
      <c r="T706">
        <f t="shared" si="998"/>
        <v>-0.63451368309689282</v>
      </c>
    </row>
    <row r="707" spans="1:20" x14ac:dyDescent="0.25">
      <c r="A707" s="5">
        <v>43886</v>
      </c>
      <c r="B707">
        <v>1.3115E-2</v>
      </c>
      <c r="C707">
        <v>1.3299999999999999E-2</v>
      </c>
      <c r="D707">
        <v>1.1601999999999999E-2</v>
      </c>
      <c r="E707">
        <v>1.1804E-2</v>
      </c>
      <c r="F707">
        <v>65301936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-0.76207302709069402</v>
      </c>
      <c r="Q707">
        <f t="shared" si="995"/>
        <v>-49764844.042402767</v>
      </c>
      <c r="R707">
        <f t="shared" si="996"/>
        <v>-24692034.384895422</v>
      </c>
      <c r="S707">
        <f t="shared" si="997"/>
        <v>-246.92034384895422</v>
      </c>
      <c r="T707">
        <f t="shared" si="998"/>
        <v>-0.24692034384895423</v>
      </c>
    </row>
    <row r="708" spans="1:20" x14ac:dyDescent="0.25">
      <c r="A708" s="5">
        <v>43885</v>
      </c>
      <c r="B708">
        <v>1.3439E-2</v>
      </c>
      <c r="C708">
        <v>1.4399E-2</v>
      </c>
      <c r="D708">
        <v>1.2585000000000001E-2</v>
      </c>
      <c r="E708">
        <v>1.3106E-2</v>
      </c>
      <c r="F708">
        <v>94184863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-0.42557883131201873</v>
      </c>
      <c r="Q708">
        <f t="shared" si="995"/>
        <v>-40083083.922822595</v>
      </c>
      <c r="R708">
        <f t="shared" si="996"/>
        <v>25072809.657507345</v>
      </c>
      <c r="S708">
        <f t="shared" si="997"/>
        <v>250.72809657507344</v>
      </c>
      <c r="T708">
        <f t="shared" si="998"/>
        <v>0.25072809657507344</v>
      </c>
    </row>
    <row r="709" spans="1:20" x14ac:dyDescent="0.25">
      <c r="A709" s="5">
        <v>43884</v>
      </c>
      <c r="B709">
        <v>1.321E-2</v>
      </c>
      <c r="C709">
        <v>1.3639E-2</v>
      </c>
      <c r="D709">
        <v>1.29E-2</v>
      </c>
      <c r="E709">
        <v>1.3457999999999999E-2</v>
      </c>
      <c r="F709">
        <v>36075242</v>
      </c>
      <c r="G709">
        <v>0</v>
      </c>
      <c r="L709" t="s">
        <v>7</v>
      </c>
      <c r="M709" t="s">
        <v>7</v>
      </c>
      <c r="N709" t="s">
        <v>7</v>
      </c>
      <c r="P709">
        <f t="shared" si="994"/>
        <v>0.51014884979702146</v>
      </c>
      <c r="Q709">
        <f t="shared" si="995"/>
        <v>18403743.2124492</v>
      </c>
      <c r="R709">
        <f t="shared" si="996"/>
        <v>65155893.58032994</v>
      </c>
      <c r="S709">
        <f t="shared" si="997"/>
        <v>651.55893580329939</v>
      </c>
      <c r="T709">
        <f t="shared" si="998"/>
        <v>0.65155893580329938</v>
      </c>
    </row>
    <row r="710" spans="1:20" x14ac:dyDescent="0.25">
      <c r="A710" s="5">
        <v>43883</v>
      </c>
      <c r="B710">
        <v>1.3546000000000001E-2</v>
      </c>
      <c r="C710">
        <v>1.375E-2</v>
      </c>
      <c r="D710">
        <v>1.3049E-2</v>
      </c>
      <c r="E710">
        <v>1.3306E-2</v>
      </c>
      <c r="F710">
        <v>26440163</v>
      </c>
      <c r="G710">
        <v>0</v>
      </c>
      <c r="L710" t="s">
        <v>7</v>
      </c>
      <c r="M710" t="s">
        <v>7</v>
      </c>
      <c r="N710" t="s">
        <v>7</v>
      </c>
      <c r="P710">
        <f t="shared" ref="P710:P766" si="999">IF(C710=D710,0,((E710-D710)-(C710-E710))/(C710-D710))</f>
        <v>-0.26676176890156861</v>
      </c>
      <c r="Q710">
        <f t="shared" ref="Q710:Q766" si="1000">F710*P710</f>
        <v>-7053224.651925805</v>
      </c>
      <c r="R710">
        <f t="shared" ref="R710:R766" si="1001">R711+Q710</f>
        <v>46752150.367880739</v>
      </c>
      <c r="S710">
        <f t="shared" ref="S710:S766" si="1002">R710/100000</f>
        <v>467.52150367880739</v>
      </c>
      <c r="T710">
        <f t="shared" ref="T710:T766" si="1003">S710/1000</f>
        <v>0.4675215036788074</v>
      </c>
    </row>
    <row r="711" spans="1:20" x14ac:dyDescent="0.25">
      <c r="A711" s="5">
        <v>43882</v>
      </c>
      <c r="B711">
        <v>1.3207999999999999E-2</v>
      </c>
      <c r="C711">
        <v>1.3897E-2</v>
      </c>
      <c r="D711">
        <v>1.3136E-2</v>
      </c>
      <c r="E711">
        <v>1.3658999999999999E-2</v>
      </c>
      <c r="F711">
        <v>29518165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0.37450722733245595</v>
      </c>
      <c r="Q711">
        <f t="shared" si="1000"/>
        <v>11054766.130091945</v>
      </c>
      <c r="R711">
        <f t="shared" si="1001"/>
        <v>53805375.019806542</v>
      </c>
      <c r="S711">
        <f t="shared" si="1002"/>
        <v>538.05375019806536</v>
      </c>
      <c r="T711">
        <f t="shared" si="1003"/>
        <v>0.53805375019806534</v>
      </c>
    </row>
    <row r="712" spans="1:20" x14ac:dyDescent="0.25">
      <c r="A712" s="5">
        <v>43881</v>
      </c>
      <c r="B712">
        <v>1.3233E-2</v>
      </c>
      <c r="C712">
        <v>1.38E-2</v>
      </c>
      <c r="D712">
        <v>1.285E-2</v>
      </c>
      <c r="E712">
        <v>1.315E-2</v>
      </c>
      <c r="F712">
        <v>53796208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-0.36842105263157876</v>
      </c>
      <c r="Q712">
        <f t="shared" si="1000"/>
        <v>-19819655.578947358</v>
      </c>
      <c r="R712">
        <f t="shared" si="1001"/>
        <v>42750608.889714599</v>
      </c>
      <c r="S712">
        <f t="shared" si="1002"/>
        <v>427.50608889714601</v>
      </c>
      <c r="T712">
        <f t="shared" si="1003"/>
        <v>0.42750608889714603</v>
      </c>
    </row>
    <row r="713" spans="1:20" x14ac:dyDescent="0.25">
      <c r="A713" s="5">
        <v>43880</v>
      </c>
      <c r="B713">
        <v>1.3723000000000001E-2</v>
      </c>
      <c r="C713">
        <v>1.5114000000000001E-2</v>
      </c>
      <c r="D713">
        <v>1.2851E-2</v>
      </c>
      <c r="E713">
        <v>1.3233999999999999E-2</v>
      </c>
      <c r="F713">
        <v>67552873</v>
      </c>
      <c r="G713">
        <v>0</v>
      </c>
      <c r="L713" t="s">
        <v>7</v>
      </c>
      <c r="M713" t="s">
        <v>7</v>
      </c>
      <c r="N713" t="s">
        <v>7</v>
      </c>
      <c r="P713">
        <f t="shared" si="999"/>
        <v>-0.66151126822801642</v>
      </c>
      <c r="Q713">
        <f t="shared" si="1000"/>
        <v>-44686986.69067613</v>
      </c>
      <c r="R713">
        <f t="shared" si="1001"/>
        <v>62570264.468661956</v>
      </c>
      <c r="S713">
        <f t="shared" si="1002"/>
        <v>625.70264468661958</v>
      </c>
      <c r="T713">
        <f t="shared" si="1003"/>
        <v>0.62570264468661962</v>
      </c>
    </row>
    <row r="714" spans="1:20" x14ac:dyDescent="0.25">
      <c r="A714" s="5">
        <v>43879</v>
      </c>
      <c r="B714">
        <v>1.3851E-2</v>
      </c>
      <c r="C714">
        <v>1.41E-2</v>
      </c>
      <c r="D714">
        <v>1.3143E-2</v>
      </c>
      <c r="E714">
        <v>1.3681E-2</v>
      </c>
      <c r="F714">
        <v>68253777</v>
      </c>
      <c r="G714">
        <v>0</v>
      </c>
      <c r="L714" t="s">
        <v>7</v>
      </c>
      <c r="M714" t="s">
        <v>8</v>
      </c>
      <c r="N714" t="s">
        <v>7</v>
      </c>
      <c r="P714">
        <f t="shared" si="999"/>
        <v>0.12434691745036688</v>
      </c>
      <c r="Q714">
        <f t="shared" si="1000"/>
        <v>8487146.7742947508</v>
      </c>
      <c r="R714">
        <f t="shared" si="1001"/>
        <v>107257251.15933809</v>
      </c>
      <c r="S714">
        <f t="shared" si="1002"/>
        <v>1072.5725115933808</v>
      </c>
      <c r="T714">
        <f t="shared" si="1003"/>
        <v>1.0725725115933809</v>
      </c>
    </row>
    <row r="715" spans="1:20" x14ac:dyDescent="0.25">
      <c r="A715" s="5">
        <v>43878</v>
      </c>
      <c r="B715">
        <v>1.353E-2</v>
      </c>
      <c r="C715">
        <v>1.5121000000000001E-2</v>
      </c>
      <c r="D715">
        <v>1.2985E-2</v>
      </c>
      <c r="E715">
        <v>1.3851E-2</v>
      </c>
      <c r="F715">
        <v>167597758</v>
      </c>
      <c r="G715">
        <v>0</v>
      </c>
      <c r="L715" t="s">
        <v>8</v>
      </c>
      <c r="M715" t="s">
        <v>8</v>
      </c>
      <c r="N715" t="s">
        <v>7</v>
      </c>
      <c r="P715">
        <f t="shared" si="999"/>
        <v>-0.18913857677902607</v>
      </c>
      <c r="Q715">
        <f t="shared" si="1000"/>
        <v>-31699201.41947563</v>
      </c>
      <c r="R715">
        <f t="shared" si="1001"/>
        <v>98770104.385043338</v>
      </c>
      <c r="S715">
        <f t="shared" si="1002"/>
        <v>987.70104385043339</v>
      </c>
      <c r="T715">
        <f t="shared" si="1003"/>
        <v>0.98770104385043345</v>
      </c>
    </row>
    <row r="716" spans="1:20" x14ac:dyDescent="0.25">
      <c r="A716" s="5">
        <v>43877</v>
      </c>
      <c r="B716">
        <v>1.3860000000000001E-2</v>
      </c>
      <c r="C716">
        <v>1.4888E-2</v>
      </c>
      <c r="D716">
        <v>1.2E-2</v>
      </c>
      <c r="E716">
        <v>1.353E-2</v>
      </c>
      <c r="F716">
        <v>94968752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5.9556786703601206E-2</v>
      </c>
      <c r="Q716">
        <f t="shared" si="1000"/>
        <v>5656033.7063712003</v>
      </c>
      <c r="R716">
        <f t="shared" si="1001"/>
        <v>130469305.80451897</v>
      </c>
      <c r="S716">
        <f t="shared" si="1002"/>
        <v>1304.6930580451897</v>
      </c>
      <c r="T716">
        <f t="shared" si="1003"/>
        <v>1.3046930580451896</v>
      </c>
    </row>
    <row r="717" spans="1:20" x14ac:dyDescent="0.25">
      <c r="A717" s="5">
        <v>43876</v>
      </c>
      <c r="B717">
        <v>1.5124E-2</v>
      </c>
      <c r="C717">
        <v>1.61E-2</v>
      </c>
      <c r="D717">
        <v>1.3501000000000001E-2</v>
      </c>
      <c r="E717">
        <v>1.3883E-2</v>
      </c>
      <c r="F717">
        <v>136834063</v>
      </c>
      <c r="G717">
        <v>0</v>
      </c>
      <c r="L717" t="s">
        <v>7</v>
      </c>
      <c r="M717" t="s">
        <v>7</v>
      </c>
      <c r="N717" t="s">
        <v>7</v>
      </c>
      <c r="P717">
        <f t="shared" si="999"/>
        <v>-0.70604078491727673</v>
      </c>
      <c r="Q717">
        <f t="shared" si="1000"/>
        <v>-96610429.2439401</v>
      </c>
      <c r="R717">
        <f t="shared" si="1001"/>
        <v>124813272.09814776</v>
      </c>
      <c r="S717">
        <f t="shared" si="1002"/>
        <v>1248.1327209814776</v>
      </c>
      <c r="T717">
        <f t="shared" si="1003"/>
        <v>1.2481327209814777</v>
      </c>
    </row>
    <row r="718" spans="1:20" x14ac:dyDescent="0.25">
      <c r="A718" s="5">
        <v>43875</v>
      </c>
      <c r="B718">
        <v>1.6650999999999999E-2</v>
      </c>
      <c r="C718">
        <v>1.7798000000000001E-2</v>
      </c>
      <c r="D718">
        <v>1.4322E-2</v>
      </c>
      <c r="E718">
        <v>1.5124E-2</v>
      </c>
      <c r="F718">
        <v>231125740</v>
      </c>
      <c r="G718">
        <v>0</v>
      </c>
      <c r="L718" t="s">
        <v>7</v>
      </c>
      <c r="M718" t="s">
        <v>7</v>
      </c>
      <c r="N718" t="s">
        <v>8</v>
      </c>
      <c r="P718">
        <f t="shared" si="999"/>
        <v>-0.53855005753739915</v>
      </c>
      <c r="Q718">
        <f t="shared" si="1000"/>
        <v>-124472780.57537396</v>
      </c>
      <c r="R718">
        <f t="shared" si="1001"/>
        <v>221423701.34208786</v>
      </c>
      <c r="S718">
        <f t="shared" si="1002"/>
        <v>2214.2370134208786</v>
      </c>
      <c r="T718">
        <f t="shared" si="1003"/>
        <v>2.2142370134208784</v>
      </c>
    </row>
    <row r="719" spans="1:20" x14ac:dyDescent="0.25">
      <c r="A719" s="5">
        <v>43874</v>
      </c>
      <c r="B719">
        <v>1.3098E-2</v>
      </c>
      <c r="C719">
        <v>1.9699999999999999E-2</v>
      </c>
      <c r="D719">
        <v>1.0723E-2</v>
      </c>
      <c r="E719">
        <v>1.6657000000000002E-2</v>
      </c>
      <c r="F719">
        <v>581253096</v>
      </c>
      <c r="G719">
        <v>0</v>
      </c>
      <c r="L719" t="s">
        <v>8</v>
      </c>
      <c r="M719" t="s">
        <v>8</v>
      </c>
      <c r="N719" t="s">
        <v>8</v>
      </c>
      <c r="P719">
        <f t="shared" si="999"/>
        <v>0.32204522669043167</v>
      </c>
      <c r="Q719">
        <f t="shared" si="1000"/>
        <v>187189785.06583524</v>
      </c>
      <c r="R719">
        <f t="shared" si="1001"/>
        <v>345896481.91746181</v>
      </c>
      <c r="S719">
        <f t="shared" si="1002"/>
        <v>3458.9648191746182</v>
      </c>
      <c r="T719">
        <f t="shared" si="1003"/>
        <v>3.4589648191746183</v>
      </c>
    </row>
    <row r="720" spans="1:20" x14ac:dyDescent="0.25">
      <c r="A720" s="5">
        <v>43873</v>
      </c>
      <c r="B720">
        <v>1.1323E-2</v>
      </c>
      <c r="C720">
        <v>1.4E-2</v>
      </c>
      <c r="D720">
        <v>1.1271E-2</v>
      </c>
      <c r="E720">
        <v>1.3098E-2</v>
      </c>
      <c r="F720">
        <v>80521545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0.33895199706852336</v>
      </c>
      <c r="Q720">
        <f t="shared" si="1000"/>
        <v>27292938.48479297</v>
      </c>
      <c r="R720">
        <f t="shared" si="1001"/>
        <v>158706696.85162657</v>
      </c>
      <c r="S720">
        <f t="shared" si="1002"/>
        <v>1587.0669685162657</v>
      </c>
      <c r="T720">
        <f t="shared" si="1003"/>
        <v>1.5870669685162657</v>
      </c>
    </row>
    <row r="721" spans="1:20" x14ac:dyDescent="0.25">
      <c r="A721" s="5">
        <v>43872</v>
      </c>
      <c r="B721">
        <v>1.014E-2</v>
      </c>
      <c r="C721">
        <v>1.15E-2</v>
      </c>
      <c r="D721">
        <v>1.0031999999999999E-2</v>
      </c>
      <c r="E721">
        <v>1.1323E-2</v>
      </c>
      <c r="F721">
        <v>48760768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0.75885558583106261</v>
      </c>
      <c r="Q721">
        <f t="shared" si="1000"/>
        <v>37002381.166212529</v>
      </c>
      <c r="R721">
        <f t="shared" si="1001"/>
        <v>131413758.3668336</v>
      </c>
      <c r="S721">
        <f t="shared" si="1002"/>
        <v>1314.137583668336</v>
      </c>
      <c r="T721">
        <f t="shared" si="1003"/>
        <v>1.314137583668336</v>
      </c>
    </row>
    <row r="722" spans="1:20" x14ac:dyDescent="0.25">
      <c r="A722" s="5">
        <v>43871</v>
      </c>
      <c r="B722">
        <v>1.0496999999999999E-2</v>
      </c>
      <c r="C722">
        <v>1.0500000000000001E-2</v>
      </c>
      <c r="D722">
        <v>9.5510000000000005E-3</v>
      </c>
      <c r="E722">
        <v>1.017E-2</v>
      </c>
      <c r="F722">
        <v>36925624</v>
      </c>
      <c r="G722">
        <v>0</v>
      </c>
      <c r="L722" t="s">
        <v>8</v>
      </c>
      <c r="M722" t="s">
        <v>8</v>
      </c>
      <c r="N722" t="s">
        <v>8</v>
      </c>
      <c r="P722">
        <f t="shared" si="999"/>
        <v>0.30453108535300238</v>
      </c>
      <c r="Q722">
        <f t="shared" si="1000"/>
        <v>11245000.354056872</v>
      </c>
      <c r="R722">
        <f t="shared" si="1001"/>
        <v>94411377.200621068</v>
      </c>
      <c r="S722">
        <f t="shared" si="1002"/>
        <v>944.11377200621064</v>
      </c>
      <c r="T722">
        <f t="shared" si="1003"/>
        <v>0.94411377200621061</v>
      </c>
    </row>
    <row r="723" spans="1:20" x14ac:dyDescent="0.25">
      <c r="A723" s="5">
        <v>43870</v>
      </c>
      <c r="B723">
        <v>9.5099999999999994E-3</v>
      </c>
      <c r="C723">
        <v>1.0596E-2</v>
      </c>
      <c r="D723">
        <v>9.11E-3</v>
      </c>
      <c r="E723">
        <v>1.0496999999999999E-2</v>
      </c>
      <c r="F723">
        <v>31830368</v>
      </c>
      <c r="G723">
        <v>0</v>
      </c>
      <c r="L723" t="s">
        <v>7</v>
      </c>
      <c r="M723" t="s">
        <v>8</v>
      </c>
      <c r="N723" t="s">
        <v>8</v>
      </c>
      <c r="P723">
        <f t="shared" si="999"/>
        <v>0.86675639300134566</v>
      </c>
      <c r="Q723">
        <f t="shared" si="1000"/>
        <v>27589174.955585457</v>
      </c>
      <c r="R723">
        <f t="shared" si="1001"/>
        <v>83166376.846564204</v>
      </c>
      <c r="S723">
        <f t="shared" si="1002"/>
        <v>831.66376846564208</v>
      </c>
      <c r="T723">
        <f t="shared" si="1003"/>
        <v>0.83166376846564205</v>
      </c>
    </row>
    <row r="724" spans="1:20" x14ac:dyDescent="0.25">
      <c r="A724" s="5">
        <v>43869</v>
      </c>
      <c r="B724">
        <v>9.6349999999999995E-3</v>
      </c>
      <c r="C724">
        <v>1.0239E-2</v>
      </c>
      <c r="D724">
        <v>9.1800000000000007E-3</v>
      </c>
      <c r="E724">
        <v>9.5099999999999994E-3</v>
      </c>
      <c r="F724">
        <v>19669755</v>
      </c>
      <c r="G724">
        <v>0</v>
      </c>
      <c r="L724" t="s">
        <v>7</v>
      </c>
      <c r="M724" t="s">
        <v>8</v>
      </c>
      <c r="N724" t="s">
        <v>8</v>
      </c>
      <c r="P724">
        <f t="shared" si="999"/>
        <v>-0.37677053824362805</v>
      </c>
      <c r="Q724">
        <f t="shared" si="1000"/>
        <v>-7410984.178470294</v>
      </c>
      <c r="R724">
        <f t="shared" si="1001"/>
        <v>55577201.890978746</v>
      </c>
      <c r="S724">
        <f t="shared" si="1002"/>
        <v>555.77201890978745</v>
      </c>
      <c r="T724">
        <f t="shared" si="1003"/>
        <v>0.55577201890978745</v>
      </c>
    </row>
    <row r="725" spans="1:20" x14ac:dyDescent="0.25">
      <c r="A725" s="5">
        <v>43868</v>
      </c>
      <c r="B725">
        <v>1.0316000000000001E-2</v>
      </c>
      <c r="C725">
        <v>1.06E-2</v>
      </c>
      <c r="D725">
        <v>9.4140000000000005E-3</v>
      </c>
      <c r="E725">
        <v>9.7230000000000007E-3</v>
      </c>
      <c r="F725">
        <v>59080331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-0.47892074198988133</v>
      </c>
      <c r="Q725">
        <f t="shared" si="1000"/>
        <v>-28294795.959527787</v>
      </c>
      <c r="R725">
        <f t="shared" si="1001"/>
        <v>62988186.069449037</v>
      </c>
      <c r="S725">
        <f t="shared" si="1002"/>
        <v>629.88186069449034</v>
      </c>
      <c r="T725">
        <f t="shared" si="1003"/>
        <v>0.62988186069449037</v>
      </c>
    </row>
    <row r="726" spans="1:20" x14ac:dyDescent="0.25">
      <c r="A726" s="5">
        <v>43867</v>
      </c>
      <c r="B726">
        <v>8.6309999999999998E-3</v>
      </c>
      <c r="C726">
        <v>1.0500000000000001E-2</v>
      </c>
      <c r="D726">
        <v>8.5450000000000005E-3</v>
      </c>
      <c r="E726">
        <v>1.0413E-2</v>
      </c>
      <c r="F726">
        <v>81251426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0.91099744245524272</v>
      </c>
      <c r="Q726">
        <f t="shared" si="1000"/>
        <v>74019841.281841412</v>
      </c>
      <c r="R726">
        <f t="shared" si="1001"/>
        <v>91282982.028976828</v>
      </c>
      <c r="S726">
        <f t="shared" si="1002"/>
        <v>912.82982028976824</v>
      </c>
      <c r="T726">
        <f t="shared" si="1003"/>
        <v>0.91282982028976822</v>
      </c>
    </row>
    <row r="727" spans="1:20" x14ac:dyDescent="0.25">
      <c r="A727" s="5">
        <v>43866</v>
      </c>
      <c r="B727">
        <v>8.9409999999999993E-3</v>
      </c>
      <c r="C727">
        <v>9.0930000000000004E-3</v>
      </c>
      <c r="D727">
        <v>7.8069999999999997E-3</v>
      </c>
      <c r="E727">
        <v>8.6E-3</v>
      </c>
      <c r="F727">
        <v>73276400</v>
      </c>
      <c r="G727">
        <v>0</v>
      </c>
      <c r="L727" t="s">
        <v>7</v>
      </c>
      <c r="M727" t="s">
        <v>7</v>
      </c>
      <c r="N727" t="s">
        <v>8</v>
      </c>
      <c r="P727">
        <f t="shared" si="999"/>
        <v>0.23328149300155501</v>
      </c>
      <c r="Q727">
        <f t="shared" si="1000"/>
        <v>17094027.993779145</v>
      </c>
      <c r="R727">
        <f t="shared" si="1001"/>
        <v>17263140.747135416</v>
      </c>
      <c r="S727">
        <f t="shared" si="1002"/>
        <v>172.63140747135415</v>
      </c>
      <c r="T727">
        <f t="shared" si="1003"/>
        <v>0.17263140747135416</v>
      </c>
    </row>
    <row r="728" spans="1:20" x14ac:dyDescent="0.25">
      <c r="A728" s="5">
        <v>43865</v>
      </c>
      <c r="B728">
        <v>8.2730000000000008E-3</v>
      </c>
      <c r="C728">
        <v>9.7000000000000003E-3</v>
      </c>
      <c r="D728">
        <v>8.1519999999999995E-3</v>
      </c>
      <c r="E728">
        <v>8.9409999999999993E-3</v>
      </c>
      <c r="F728">
        <v>54174992</v>
      </c>
      <c r="G728">
        <v>0</v>
      </c>
      <c r="L728" t="s">
        <v>8</v>
      </c>
      <c r="M728" t="s">
        <v>8</v>
      </c>
      <c r="N728" t="s">
        <v>8</v>
      </c>
      <c r="P728">
        <f t="shared" si="999"/>
        <v>1.9379844961239512E-2</v>
      </c>
      <c r="Q728">
        <f t="shared" si="1000"/>
        <v>1049902.9457363908</v>
      </c>
      <c r="R728">
        <f t="shared" si="1001"/>
        <v>169112.75335627166</v>
      </c>
      <c r="S728">
        <f t="shared" si="1002"/>
        <v>1.6911275335627165</v>
      </c>
      <c r="T728">
        <f t="shared" si="1003"/>
        <v>1.6911275335627165E-3</v>
      </c>
    </row>
    <row r="729" spans="1:20" x14ac:dyDescent="0.25">
      <c r="A729" s="5">
        <v>43864</v>
      </c>
      <c r="B729">
        <v>7.7759999999999999E-3</v>
      </c>
      <c r="C729">
        <v>8.397E-3</v>
      </c>
      <c r="D729">
        <v>7.7210000000000004E-3</v>
      </c>
      <c r="E729">
        <v>8.2719999999999998E-3</v>
      </c>
      <c r="F729">
        <v>36393075</v>
      </c>
      <c r="G729">
        <v>0</v>
      </c>
      <c r="L729" t="s">
        <v>8</v>
      </c>
      <c r="M729" t="s">
        <v>8</v>
      </c>
      <c r="N729" t="s">
        <v>7</v>
      </c>
      <c r="P729">
        <f t="shared" si="999"/>
        <v>0.63017751479289885</v>
      </c>
      <c r="Q729">
        <f t="shared" si="1000"/>
        <v>22934097.559171576</v>
      </c>
      <c r="R729">
        <f t="shared" si="1001"/>
        <v>-880790.19238011912</v>
      </c>
      <c r="S729">
        <f t="shared" si="1002"/>
        <v>-8.8079019238011913</v>
      </c>
      <c r="T729">
        <f t="shared" si="1003"/>
        <v>-8.8079019238011917E-3</v>
      </c>
    </row>
    <row r="730" spans="1:20" x14ac:dyDescent="0.25">
      <c r="A730" s="5">
        <v>43863</v>
      </c>
      <c r="B730">
        <v>7.4409999999999997E-3</v>
      </c>
      <c r="C730">
        <v>7.8860000000000006E-3</v>
      </c>
      <c r="D730">
        <v>7.2960000000000004E-3</v>
      </c>
      <c r="E730">
        <v>7.7759999999999999E-3</v>
      </c>
      <c r="F730">
        <v>34568931</v>
      </c>
      <c r="G730">
        <v>0</v>
      </c>
      <c r="L730" t="s">
        <v>8</v>
      </c>
      <c r="M730" t="s">
        <v>8</v>
      </c>
      <c r="N730" t="s">
        <v>7</v>
      </c>
      <c r="P730">
        <f t="shared" si="999"/>
        <v>0.62711864406779427</v>
      </c>
      <c r="Q730">
        <f t="shared" si="1000"/>
        <v>21678821.135593139</v>
      </c>
      <c r="R730">
        <f t="shared" si="1001"/>
        <v>-23814887.751551695</v>
      </c>
      <c r="S730">
        <f t="shared" si="1002"/>
        <v>-238.14887751551694</v>
      </c>
      <c r="T730">
        <f t="shared" si="1003"/>
        <v>-0.23814887751551694</v>
      </c>
    </row>
    <row r="731" spans="1:20" x14ac:dyDescent="0.25">
      <c r="A731" s="5">
        <v>43862</v>
      </c>
      <c r="B731">
        <v>7.2040000000000003E-3</v>
      </c>
      <c r="C731">
        <v>7.5319999999999996E-3</v>
      </c>
      <c r="D731">
        <v>7.1089999999999999E-3</v>
      </c>
      <c r="E731">
        <v>7.4409999999999997E-3</v>
      </c>
      <c r="F731">
        <v>18432401</v>
      </c>
      <c r="G731">
        <v>0</v>
      </c>
      <c r="L731" t="s">
        <v>8</v>
      </c>
      <c r="M731" t="s">
        <v>7</v>
      </c>
      <c r="N731" t="s">
        <v>7</v>
      </c>
      <c r="P731">
        <f t="shared" si="999"/>
        <v>0.56973995271867617</v>
      </c>
      <c r="Q731">
        <f t="shared" si="1000"/>
        <v>10501675.27423168</v>
      </c>
      <c r="R731">
        <f t="shared" si="1001"/>
        <v>-45493708.887144834</v>
      </c>
      <c r="S731">
        <f t="shared" si="1002"/>
        <v>-454.93708887144834</v>
      </c>
      <c r="T731">
        <f t="shared" si="1003"/>
        <v>-0.45493708887144835</v>
      </c>
    </row>
    <row r="732" spans="1:20" x14ac:dyDescent="0.25">
      <c r="A732" s="5">
        <v>43861</v>
      </c>
      <c r="B732">
        <v>7.3899999999999999E-3</v>
      </c>
      <c r="C732">
        <v>7.4000000000000003E-3</v>
      </c>
      <c r="D732">
        <v>7.1130000000000004E-3</v>
      </c>
      <c r="E732">
        <v>7.2040000000000003E-3</v>
      </c>
      <c r="F732">
        <v>12290156</v>
      </c>
      <c r="G732">
        <v>0</v>
      </c>
      <c r="L732" t="s">
        <v>8</v>
      </c>
      <c r="M732" t="s">
        <v>7</v>
      </c>
      <c r="N732" t="s">
        <v>7</v>
      </c>
      <c r="P732">
        <f t="shared" si="999"/>
        <v>-0.36585365853658564</v>
      </c>
      <c r="Q732">
        <f t="shared" si="1000"/>
        <v>-4496398.5365853691</v>
      </c>
      <c r="R732">
        <f t="shared" si="1001"/>
        <v>-55995384.161376514</v>
      </c>
      <c r="S732">
        <f t="shared" si="1002"/>
        <v>-559.95384161376512</v>
      </c>
      <c r="T732">
        <f t="shared" si="1003"/>
        <v>-0.55995384161376516</v>
      </c>
    </row>
    <row r="733" spans="1:20" x14ac:dyDescent="0.25">
      <c r="A733" s="5">
        <v>43860</v>
      </c>
      <c r="B733">
        <v>7.2769999999999996E-3</v>
      </c>
      <c r="C733">
        <v>7.4590000000000004E-3</v>
      </c>
      <c r="D733">
        <v>7.1419999999999999E-3</v>
      </c>
      <c r="E733">
        <v>7.391E-3</v>
      </c>
      <c r="F733">
        <v>18341023</v>
      </c>
      <c r="G733">
        <v>0</v>
      </c>
      <c r="L733" t="s">
        <v>8</v>
      </c>
      <c r="M733" t="s">
        <v>7</v>
      </c>
      <c r="N733" t="s">
        <v>7</v>
      </c>
      <c r="P733">
        <f t="shared" si="999"/>
        <v>0.57097791798107089</v>
      </c>
      <c r="Q733">
        <f t="shared" si="1000"/>
        <v>10472319.126182934</v>
      </c>
      <c r="R733">
        <f t="shared" si="1001"/>
        <v>-51498985.624791145</v>
      </c>
      <c r="S733">
        <f t="shared" si="1002"/>
        <v>-514.98985624791146</v>
      </c>
      <c r="T733">
        <f t="shared" si="1003"/>
        <v>-0.51498985624791149</v>
      </c>
    </row>
    <row r="734" spans="1:20" x14ac:dyDescent="0.25">
      <c r="A734" s="5">
        <v>43859</v>
      </c>
      <c r="B734">
        <v>7.2420000000000002E-3</v>
      </c>
      <c r="C734">
        <v>7.6E-3</v>
      </c>
      <c r="D734">
        <v>7.1939999999999999E-3</v>
      </c>
      <c r="E734">
        <v>7.2769999999999996E-3</v>
      </c>
      <c r="F734">
        <v>29174330</v>
      </c>
      <c r="G734">
        <v>0</v>
      </c>
      <c r="L734" t="s">
        <v>8</v>
      </c>
      <c r="M734" t="s">
        <v>7</v>
      </c>
      <c r="N734" t="s">
        <v>7</v>
      </c>
      <c r="P734">
        <f t="shared" si="999"/>
        <v>-0.59113300492610976</v>
      </c>
      <c r="Q734">
        <f t="shared" si="1000"/>
        <v>-17245909.359605953</v>
      </c>
      <c r="R734">
        <f t="shared" si="1001"/>
        <v>-61971304.750974081</v>
      </c>
      <c r="S734">
        <f t="shared" si="1002"/>
        <v>-619.71304750974082</v>
      </c>
      <c r="T734">
        <f t="shared" si="1003"/>
        <v>-0.61971304750974077</v>
      </c>
    </row>
    <row r="735" spans="1:20" x14ac:dyDescent="0.25">
      <c r="A735" s="5">
        <v>43858</v>
      </c>
      <c r="B735">
        <v>6.9459999999999999E-3</v>
      </c>
      <c r="C735">
        <v>7.2480000000000001E-3</v>
      </c>
      <c r="D735">
        <v>6.881E-3</v>
      </c>
      <c r="E735">
        <v>7.2430000000000003E-3</v>
      </c>
      <c r="F735">
        <v>21936206</v>
      </c>
      <c r="G735">
        <v>0</v>
      </c>
      <c r="L735" t="s">
        <v>8</v>
      </c>
      <c r="M735" t="s">
        <v>7</v>
      </c>
      <c r="N735" t="s">
        <v>7</v>
      </c>
      <c r="P735">
        <f t="shared" si="999"/>
        <v>0.9727520435967314</v>
      </c>
      <c r="Q735">
        <f t="shared" si="1000"/>
        <v>21338489.215258881</v>
      </c>
      <c r="R735">
        <f t="shared" si="1001"/>
        <v>-44725395.391368128</v>
      </c>
      <c r="S735">
        <f t="shared" si="1002"/>
        <v>-447.2539539136813</v>
      </c>
      <c r="T735">
        <f t="shared" si="1003"/>
        <v>-0.44725395391368128</v>
      </c>
    </row>
    <row r="736" spans="1:20" x14ac:dyDescent="0.25">
      <c r="A736" s="5">
        <v>43857</v>
      </c>
      <c r="B736">
        <v>6.9150000000000001E-3</v>
      </c>
      <c r="C736">
        <v>7.0400000000000003E-3</v>
      </c>
      <c r="D736">
        <v>6.7860000000000004E-3</v>
      </c>
      <c r="E736">
        <v>6.901E-3</v>
      </c>
      <c r="F736">
        <v>19805253</v>
      </c>
      <c r="G736">
        <v>0</v>
      </c>
      <c r="L736" t="s">
        <v>8</v>
      </c>
      <c r="M736" t="s">
        <v>7</v>
      </c>
      <c r="N736" t="s">
        <v>7</v>
      </c>
      <c r="P736">
        <f t="shared" si="999"/>
        <v>-9.4488188976380297E-2</v>
      </c>
      <c r="Q736">
        <f t="shared" si="1000"/>
        <v>-1871362.4881890228</v>
      </c>
      <c r="R736">
        <f t="shared" si="1001"/>
        <v>-66063884.60662701</v>
      </c>
      <c r="S736">
        <f t="shared" si="1002"/>
        <v>-660.63884606627005</v>
      </c>
      <c r="T736">
        <f t="shared" si="1003"/>
        <v>-0.6606388460662701</v>
      </c>
    </row>
    <row r="737" spans="1:20" x14ac:dyDescent="0.25">
      <c r="A737" s="5">
        <v>43856</v>
      </c>
      <c r="B737">
        <v>6.9020000000000001E-3</v>
      </c>
      <c r="C737">
        <v>7.0790000000000002E-3</v>
      </c>
      <c r="D737">
        <v>6.7999999999999996E-3</v>
      </c>
      <c r="E737">
        <v>6.9160000000000003E-3</v>
      </c>
      <c r="F737">
        <v>13445878</v>
      </c>
      <c r="G737">
        <v>0</v>
      </c>
      <c r="L737" t="s">
        <v>8</v>
      </c>
      <c r="M737" t="s">
        <v>7</v>
      </c>
      <c r="N737" t="s">
        <v>7</v>
      </c>
      <c r="P737">
        <f t="shared" si="999"/>
        <v>-0.16845878136200429</v>
      </c>
      <c r="Q737">
        <f t="shared" si="1000"/>
        <v>-2265076.2222221834</v>
      </c>
      <c r="R737">
        <f t="shared" si="1001"/>
        <v>-64192522.118437991</v>
      </c>
      <c r="S737">
        <f t="shared" si="1002"/>
        <v>-641.92522118437989</v>
      </c>
      <c r="T737">
        <f t="shared" si="1003"/>
        <v>-0.64192522118437989</v>
      </c>
    </row>
    <row r="738" spans="1:20" x14ac:dyDescent="0.25">
      <c r="A738" s="5">
        <v>43855</v>
      </c>
      <c r="B738">
        <v>7.0140000000000003E-3</v>
      </c>
      <c r="C738">
        <v>7.0150000000000004E-3</v>
      </c>
      <c r="D738">
        <v>6.7000000000000002E-3</v>
      </c>
      <c r="E738">
        <v>6.9329999999999999E-3</v>
      </c>
      <c r="F738">
        <v>13178630</v>
      </c>
      <c r="G738">
        <v>0</v>
      </c>
      <c r="L738" t="s">
        <v>8</v>
      </c>
      <c r="M738" t="s">
        <v>7</v>
      </c>
      <c r="N738" t="s">
        <v>7</v>
      </c>
      <c r="P738">
        <f t="shared" si="999"/>
        <v>0.47936507936507666</v>
      </c>
      <c r="Q738">
        <f t="shared" si="1000"/>
        <v>6317375.0158729805</v>
      </c>
      <c r="R738">
        <f t="shared" si="1001"/>
        <v>-61927445.896215804</v>
      </c>
      <c r="S738">
        <f t="shared" si="1002"/>
        <v>-619.27445896215806</v>
      </c>
      <c r="T738">
        <f t="shared" si="1003"/>
        <v>-0.61927445896215805</v>
      </c>
    </row>
    <row r="739" spans="1:20" x14ac:dyDescent="0.25">
      <c r="A739" s="5">
        <v>43854</v>
      </c>
      <c r="B739">
        <v>7.1580000000000003E-3</v>
      </c>
      <c r="C739">
        <v>7.1919999999999996E-3</v>
      </c>
      <c r="D739">
        <v>6.5160000000000001E-3</v>
      </c>
      <c r="E739">
        <v>6.9829999999999996E-3</v>
      </c>
      <c r="F739">
        <v>34165210</v>
      </c>
      <c r="G739">
        <v>0</v>
      </c>
      <c r="L739" t="s">
        <v>7</v>
      </c>
      <c r="M739" t="s">
        <v>7</v>
      </c>
      <c r="N739" t="s">
        <v>7</v>
      </c>
      <c r="P739">
        <f t="shared" si="999"/>
        <v>0.38165680473372743</v>
      </c>
      <c r="Q739">
        <f t="shared" si="1000"/>
        <v>13039384.881656792</v>
      </c>
      <c r="R739">
        <f t="shared" si="1001"/>
        <v>-68244820.912088782</v>
      </c>
      <c r="S739">
        <f t="shared" si="1002"/>
        <v>-682.44820912088778</v>
      </c>
      <c r="T739">
        <f t="shared" si="1003"/>
        <v>-0.68244820912088777</v>
      </c>
    </row>
    <row r="740" spans="1:20" x14ac:dyDescent="0.25">
      <c r="A740" s="5">
        <v>43853</v>
      </c>
      <c r="B740">
        <v>7.6090000000000003E-3</v>
      </c>
      <c r="C740">
        <v>7.7499999999999999E-3</v>
      </c>
      <c r="D740">
        <v>7.0169999999999998E-3</v>
      </c>
      <c r="E740">
        <v>7.1729999999999997E-3</v>
      </c>
      <c r="F740">
        <v>64385611</v>
      </c>
      <c r="G740">
        <v>0</v>
      </c>
      <c r="L740" t="s">
        <v>7</v>
      </c>
      <c r="M740" t="s">
        <v>8</v>
      </c>
      <c r="N740" t="s">
        <v>7</v>
      </c>
      <c r="P740">
        <f t="shared" si="999"/>
        <v>-0.57435197817189665</v>
      </c>
      <c r="Q740">
        <f t="shared" si="1000"/>
        <v>-36980003.04365623</v>
      </c>
      <c r="R740">
        <f t="shared" si="1001"/>
        <v>-81284205.793745577</v>
      </c>
      <c r="S740">
        <f t="shared" si="1002"/>
        <v>-812.84205793745582</v>
      </c>
      <c r="T740">
        <f t="shared" si="1003"/>
        <v>-0.81284205793745579</v>
      </c>
    </row>
    <row r="741" spans="1:20" x14ac:dyDescent="0.25">
      <c r="A741" s="5">
        <v>43852</v>
      </c>
      <c r="B741">
        <v>7.358E-3</v>
      </c>
      <c r="C741">
        <v>7.7990000000000004E-3</v>
      </c>
      <c r="D741">
        <v>7.3569999999999998E-3</v>
      </c>
      <c r="E741">
        <v>7.6090000000000003E-3</v>
      </c>
      <c r="F741">
        <v>19811674</v>
      </c>
      <c r="G741">
        <v>0</v>
      </c>
      <c r="L741" t="s">
        <v>7</v>
      </c>
      <c r="M741" t="s">
        <v>8</v>
      </c>
      <c r="N741" t="s">
        <v>7</v>
      </c>
      <c r="P741">
        <f t="shared" si="999"/>
        <v>0.14027149321267046</v>
      </c>
      <c r="Q741">
        <f t="shared" si="1000"/>
        <v>2779013.0950226397</v>
      </c>
      <c r="R741">
        <f t="shared" si="1001"/>
        <v>-44304202.750089355</v>
      </c>
      <c r="S741">
        <f t="shared" si="1002"/>
        <v>-443.04202750089354</v>
      </c>
      <c r="T741">
        <f t="shared" si="1003"/>
        <v>-0.44304202750089355</v>
      </c>
    </row>
    <row r="742" spans="1:20" x14ac:dyDescent="0.25">
      <c r="A742" s="5">
        <v>43851</v>
      </c>
      <c r="B742">
        <v>7.3070000000000001E-3</v>
      </c>
      <c r="C742">
        <v>8.0300000000000007E-3</v>
      </c>
      <c r="D742">
        <v>7.1510000000000002E-3</v>
      </c>
      <c r="E742">
        <v>7.4190000000000002E-3</v>
      </c>
      <c r="F742">
        <v>54064917</v>
      </c>
      <c r="G742">
        <v>0</v>
      </c>
      <c r="L742" t="s">
        <v>8</v>
      </c>
      <c r="M742" t="s">
        <v>8</v>
      </c>
      <c r="N742" t="s">
        <v>7</v>
      </c>
      <c r="P742">
        <f t="shared" si="999"/>
        <v>-0.39021615472127447</v>
      </c>
      <c r="Q742">
        <f t="shared" si="1000"/>
        <v>-21097004.017064862</v>
      </c>
      <c r="R742">
        <f t="shared" si="1001"/>
        <v>-47083215.845111996</v>
      </c>
      <c r="S742">
        <f t="shared" si="1002"/>
        <v>-470.83215845111994</v>
      </c>
      <c r="T742">
        <f t="shared" si="1003"/>
        <v>-0.47083215845111992</v>
      </c>
    </row>
    <row r="743" spans="1:20" x14ac:dyDescent="0.25">
      <c r="A743" s="5">
        <v>43850</v>
      </c>
      <c r="B743">
        <v>7.0790000000000002E-3</v>
      </c>
      <c r="C743">
        <v>7.4479999999999998E-3</v>
      </c>
      <c r="D743">
        <v>6.8999999999999999E-3</v>
      </c>
      <c r="E743">
        <v>7.3070000000000001E-3</v>
      </c>
      <c r="F743">
        <v>19013700</v>
      </c>
      <c r="G743">
        <v>0</v>
      </c>
      <c r="L743" t="s">
        <v>7</v>
      </c>
      <c r="M743" t="s">
        <v>7</v>
      </c>
      <c r="N743" t="s">
        <v>7</v>
      </c>
      <c r="P743">
        <f t="shared" si="999"/>
        <v>0.48540145985401584</v>
      </c>
      <c r="Q743">
        <f t="shared" si="1000"/>
        <v>9229277.7372263018</v>
      </c>
      <c r="R743">
        <f t="shared" si="1001"/>
        <v>-25986211.828047134</v>
      </c>
      <c r="S743">
        <f t="shared" si="1002"/>
        <v>-259.86211828047135</v>
      </c>
      <c r="T743">
        <f t="shared" si="1003"/>
        <v>-0.25986211828047134</v>
      </c>
    </row>
    <row r="744" spans="1:20" x14ac:dyDescent="0.25">
      <c r="A744" s="5">
        <v>43849</v>
      </c>
      <c r="B744">
        <v>7.5919999999999998E-3</v>
      </c>
      <c r="C744">
        <v>7.7130000000000002E-3</v>
      </c>
      <c r="D744">
        <v>6.9499999999999996E-3</v>
      </c>
      <c r="E744">
        <v>7.0790000000000002E-3</v>
      </c>
      <c r="F744">
        <v>18050530</v>
      </c>
      <c r="G744">
        <v>0</v>
      </c>
      <c r="L744" t="s">
        <v>7</v>
      </c>
      <c r="M744" t="s">
        <v>7</v>
      </c>
      <c r="N744" t="s">
        <v>7</v>
      </c>
      <c r="P744">
        <f t="shared" si="999"/>
        <v>-0.66186107470511002</v>
      </c>
      <c r="Q744">
        <f t="shared" si="1000"/>
        <v>-11946943.184796829</v>
      </c>
      <c r="R744">
        <f t="shared" si="1001"/>
        <v>-35215489.565273434</v>
      </c>
      <c r="S744">
        <f t="shared" si="1002"/>
        <v>-352.15489565273435</v>
      </c>
      <c r="T744">
        <f t="shared" si="1003"/>
        <v>-0.35215489565273433</v>
      </c>
    </row>
    <row r="745" spans="1:20" x14ac:dyDescent="0.25">
      <c r="A745" s="5">
        <v>43848</v>
      </c>
      <c r="B745">
        <v>7.5490000000000002E-3</v>
      </c>
      <c r="C745">
        <v>7.8499999999999993E-3</v>
      </c>
      <c r="D745">
        <v>7.3889999999999997E-3</v>
      </c>
      <c r="E745">
        <v>7.5940000000000001E-3</v>
      </c>
      <c r="F745">
        <v>18704983</v>
      </c>
      <c r="G745">
        <v>0</v>
      </c>
      <c r="L745" t="s">
        <v>8</v>
      </c>
      <c r="M745" t="s">
        <v>7</v>
      </c>
      <c r="N745" t="s">
        <v>7</v>
      </c>
      <c r="P745">
        <f t="shared" si="999"/>
        <v>-0.11062906724511715</v>
      </c>
      <c r="Q745">
        <f t="shared" si="1000"/>
        <v>-2069314.8221257729</v>
      </c>
      <c r="R745">
        <f t="shared" si="1001"/>
        <v>-23268546.380476601</v>
      </c>
      <c r="S745">
        <f t="shared" si="1002"/>
        <v>-232.68546380476602</v>
      </c>
      <c r="T745">
        <f t="shared" si="1003"/>
        <v>-0.23268546380476601</v>
      </c>
    </row>
    <row r="746" spans="1:20" x14ac:dyDescent="0.25">
      <c r="A746" s="5">
        <v>43847</v>
      </c>
      <c r="B746">
        <v>7.1219999999999999E-3</v>
      </c>
      <c r="C746">
        <v>7.7499999999999999E-3</v>
      </c>
      <c r="D746">
        <v>7.1199999999999996E-3</v>
      </c>
      <c r="E746">
        <v>7.5760000000000003E-3</v>
      </c>
      <c r="F746">
        <v>24454823</v>
      </c>
      <c r="G746">
        <v>0</v>
      </c>
      <c r="L746" t="s">
        <v>8</v>
      </c>
      <c r="M746" t="s">
        <v>7</v>
      </c>
      <c r="N746" t="s">
        <v>7</v>
      </c>
      <c r="P746">
        <f t="shared" si="999"/>
        <v>0.44761904761904897</v>
      </c>
      <c r="Q746">
        <f t="shared" si="1000"/>
        <v>10946444.580952413</v>
      </c>
      <c r="R746">
        <f t="shared" si="1001"/>
        <v>-21199231.558350828</v>
      </c>
      <c r="S746">
        <f t="shared" si="1002"/>
        <v>-211.99231558350829</v>
      </c>
      <c r="T746">
        <f t="shared" si="1003"/>
        <v>-0.21199231558350828</v>
      </c>
    </row>
    <row r="747" spans="1:20" x14ac:dyDescent="0.25">
      <c r="A747" s="5">
        <v>43846</v>
      </c>
      <c r="B747">
        <v>7.1700000000000002E-3</v>
      </c>
      <c r="C747">
        <v>7.4009999999999996E-3</v>
      </c>
      <c r="D747">
        <v>6.9499999999999996E-3</v>
      </c>
      <c r="E747">
        <v>7.1199999999999996E-3</v>
      </c>
      <c r="F747">
        <v>16971753</v>
      </c>
      <c r="G747">
        <v>0</v>
      </c>
      <c r="L747" t="s">
        <v>8</v>
      </c>
      <c r="M747" t="s">
        <v>7</v>
      </c>
      <c r="N747" t="s">
        <v>7</v>
      </c>
      <c r="P747">
        <f t="shared" si="999"/>
        <v>-0.24611973392461195</v>
      </c>
      <c r="Q747">
        <f t="shared" si="1000"/>
        <v>-4177083.3325942345</v>
      </c>
      <c r="R747">
        <f t="shared" si="1001"/>
        <v>-32145676.139303241</v>
      </c>
      <c r="S747">
        <f t="shared" si="1002"/>
        <v>-321.45676139303242</v>
      </c>
      <c r="T747">
        <f t="shared" si="1003"/>
        <v>-0.32145676139303242</v>
      </c>
    </row>
    <row r="748" spans="1:20" x14ac:dyDescent="0.25">
      <c r="A748" s="5">
        <v>43845</v>
      </c>
      <c r="B748">
        <v>7.1289999999999999E-3</v>
      </c>
      <c r="C748">
        <v>7.4200000000000004E-3</v>
      </c>
      <c r="D748">
        <v>6.8320000000000004E-3</v>
      </c>
      <c r="E748">
        <v>7.169E-3</v>
      </c>
      <c r="F748">
        <v>29607996</v>
      </c>
      <c r="G748">
        <v>0</v>
      </c>
      <c r="L748" t="s">
        <v>7</v>
      </c>
      <c r="M748" t="s">
        <v>7</v>
      </c>
      <c r="N748" t="s">
        <v>7</v>
      </c>
      <c r="P748">
        <f t="shared" si="999"/>
        <v>0.14625850340135932</v>
      </c>
      <c r="Q748">
        <f t="shared" si="1000"/>
        <v>4330421.183673433</v>
      </c>
      <c r="R748">
        <f t="shared" si="1001"/>
        <v>-27968592.806709006</v>
      </c>
      <c r="S748">
        <f t="shared" si="1002"/>
        <v>-279.68592806709006</v>
      </c>
      <c r="T748">
        <f t="shared" si="1003"/>
        <v>-0.27968592806709008</v>
      </c>
    </row>
    <row r="749" spans="1:20" x14ac:dyDescent="0.25">
      <c r="A749" s="5">
        <v>43844</v>
      </c>
      <c r="B749">
        <v>6.8760000000000002E-3</v>
      </c>
      <c r="C749">
        <v>7.4190000000000002E-3</v>
      </c>
      <c r="D749">
        <v>6.7270000000000003E-3</v>
      </c>
      <c r="E749">
        <v>7.1289999999999999E-3</v>
      </c>
      <c r="F749">
        <v>37032304</v>
      </c>
      <c r="G749">
        <v>0</v>
      </c>
      <c r="L749" t="s">
        <v>8</v>
      </c>
      <c r="M749" t="s">
        <v>7</v>
      </c>
      <c r="N749" t="s">
        <v>7</v>
      </c>
      <c r="P749">
        <f t="shared" si="999"/>
        <v>0.16184971098265791</v>
      </c>
      <c r="Q749">
        <f t="shared" si="1000"/>
        <v>5993667.6994219264</v>
      </c>
      <c r="R749">
        <f t="shared" si="1001"/>
        <v>-32299013.99038244</v>
      </c>
      <c r="S749">
        <f t="shared" si="1002"/>
        <v>-322.9901399038244</v>
      </c>
      <c r="T749">
        <f t="shared" si="1003"/>
        <v>-0.32299013990382441</v>
      </c>
    </row>
    <row r="750" spans="1:20" x14ac:dyDescent="0.25">
      <c r="A750" s="5">
        <v>43843</v>
      </c>
      <c r="B750">
        <v>6.9959999999999996E-3</v>
      </c>
      <c r="C750">
        <v>7.2480000000000001E-3</v>
      </c>
      <c r="D750">
        <v>6.8490000000000001E-3</v>
      </c>
      <c r="E750">
        <v>6.868E-3</v>
      </c>
      <c r="F750">
        <v>14180660</v>
      </c>
      <c r="G750">
        <v>0</v>
      </c>
      <c r="L750" t="s">
        <v>8</v>
      </c>
      <c r="M750" t="s">
        <v>7</v>
      </c>
      <c r="N750" t="s">
        <v>7</v>
      </c>
      <c r="P750">
        <f t="shared" si="999"/>
        <v>-0.90476190476190521</v>
      </c>
      <c r="Q750">
        <f t="shared" si="1000"/>
        <v>-12830120.952380959</v>
      </c>
      <c r="R750">
        <f t="shared" si="1001"/>
        <v>-38292681.689804368</v>
      </c>
      <c r="S750">
        <f t="shared" si="1002"/>
        <v>-382.92681689804368</v>
      </c>
      <c r="T750">
        <f t="shared" si="1003"/>
        <v>-0.3829268168980437</v>
      </c>
    </row>
    <row r="751" spans="1:20" x14ac:dyDescent="0.25">
      <c r="A751" s="5">
        <v>43842</v>
      </c>
      <c r="B751">
        <v>6.9849999999999999E-3</v>
      </c>
      <c r="C751">
        <v>7.0159999999999997E-3</v>
      </c>
      <c r="D751">
        <v>6.803E-3</v>
      </c>
      <c r="E751">
        <v>7.0080000000000003E-3</v>
      </c>
      <c r="F751">
        <v>10092902</v>
      </c>
      <c r="G751">
        <v>0</v>
      </c>
      <c r="L751" t="s">
        <v>8</v>
      </c>
      <c r="M751" t="s">
        <v>7</v>
      </c>
      <c r="N751" t="s">
        <v>7</v>
      </c>
      <c r="P751">
        <f t="shared" si="999"/>
        <v>0.92488262910798746</v>
      </c>
      <c r="Q751">
        <f t="shared" si="1000"/>
        <v>9334749.7370892651</v>
      </c>
      <c r="R751">
        <f t="shared" si="1001"/>
        <v>-25462560.737423409</v>
      </c>
      <c r="S751">
        <f t="shared" si="1002"/>
        <v>-254.62560737423408</v>
      </c>
      <c r="T751">
        <f t="shared" si="1003"/>
        <v>-0.25462560737423406</v>
      </c>
    </row>
    <row r="752" spans="1:20" x14ac:dyDescent="0.25">
      <c r="A752" s="5">
        <v>43841</v>
      </c>
      <c r="B752">
        <v>6.8300000000000001E-3</v>
      </c>
      <c r="C752">
        <v>7.1260000000000004E-3</v>
      </c>
      <c r="D752">
        <v>6.7140000000000003E-3</v>
      </c>
      <c r="E752">
        <v>6.9899999999999997E-3</v>
      </c>
      <c r="F752">
        <v>21581067</v>
      </c>
      <c r="G752">
        <v>0</v>
      </c>
      <c r="L752" t="s">
        <v>8</v>
      </c>
      <c r="M752" t="s">
        <v>7</v>
      </c>
      <c r="N752" t="s">
        <v>7</v>
      </c>
      <c r="P752">
        <f t="shared" si="999"/>
        <v>0.33980582524271508</v>
      </c>
      <c r="Q752">
        <f t="shared" si="1000"/>
        <v>7333372.2815533252</v>
      </c>
      <c r="R752">
        <f t="shared" si="1001"/>
        <v>-34797310.474512674</v>
      </c>
      <c r="S752">
        <f t="shared" si="1002"/>
        <v>-347.97310474512676</v>
      </c>
      <c r="T752">
        <f t="shared" si="1003"/>
        <v>-0.34797310474512677</v>
      </c>
    </row>
    <row r="753" spans="1:20" x14ac:dyDescent="0.25">
      <c r="A753" s="5">
        <v>43840</v>
      </c>
      <c r="B753">
        <v>6.9410000000000001E-3</v>
      </c>
      <c r="C753">
        <v>6.9690000000000004E-3</v>
      </c>
      <c r="D753">
        <v>6.6800000000000002E-3</v>
      </c>
      <c r="E753">
        <v>6.829E-3</v>
      </c>
      <c r="F753">
        <v>19390125</v>
      </c>
      <c r="G753">
        <v>0</v>
      </c>
      <c r="L753" t="s">
        <v>7</v>
      </c>
      <c r="M753" t="s">
        <v>7</v>
      </c>
      <c r="N753" t="s">
        <v>7</v>
      </c>
      <c r="P753">
        <f t="shared" si="999"/>
        <v>3.1141868512108838E-2</v>
      </c>
      <c r="Q753">
        <f t="shared" si="1000"/>
        <v>603844.72318335436</v>
      </c>
      <c r="R753">
        <f t="shared" si="1001"/>
        <v>-42130682.756066002</v>
      </c>
      <c r="S753">
        <f t="shared" si="1002"/>
        <v>-421.30682756066</v>
      </c>
      <c r="T753">
        <f t="shared" si="1003"/>
        <v>-0.42130682756066001</v>
      </c>
    </row>
    <row r="754" spans="1:20" x14ac:dyDescent="0.25">
      <c r="A754" s="5">
        <v>43839</v>
      </c>
      <c r="B754">
        <v>7.1050000000000002E-3</v>
      </c>
      <c r="C754">
        <v>7.1130000000000004E-3</v>
      </c>
      <c r="D754">
        <v>6.6660000000000001E-3</v>
      </c>
      <c r="E754">
        <v>6.9379999999999997E-3</v>
      </c>
      <c r="F754">
        <v>18550190</v>
      </c>
      <c r="G754">
        <v>0</v>
      </c>
      <c r="L754" t="s">
        <v>7</v>
      </c>
      <c r="M754" t="s">
        <v>7</v>
      </c>
      <c r="N754" t="s">
        <v>7</v>
      </c>
      <c r="P754">
        <f t="shared" si="999"/>
        <v>0.21700223713646291</v>
      </c>
      <c r="Q754">
        <f t="shared" si="1000"/>
        <v>4025432.7293064431</v>
      </c>
      <c r="R754">
        <f t="shared" si="1001"/>
        <v>-42734527.479249358</v>
      </c>
      <c r="S754">
        <f t="shared" si="1002"/>
        <v>-427.34527479249357</v>
      </c>
      <c r="T754">
        <f t="shared" si="1003"/>
        <v>-0.42734527479249357</v>
      </c>
    </row>
    <row r="755" spans="1:20" x14ac:dyDescent="0.25">
      <c r="A755" s="5">
        <v>43838</v>
      </c>
      <c r="B755">
        <v>7.5129999999999997E-3</v>
      </c>
      <c r="C755">
        <v>7.7759999999999999E-3</v>
      </c>
      <c r="D755">
        <v>7.0499999999999998E-3</v>
      </c>
      <c r="E755">
        <v>7.1050000000000002E-3</v>
      </c>
      <c r="F755">
        <v>47328242</v>
      </c>
      <c r="G755">
        <v>0</v>
      </c>
      <c r="L755" t="s">
        <v>7</v>
      </c>
      <c r="M755" t="s">
        <v>8</v>
      </c>
      <c r="N755" t="s">
        <v>7</v>
      </c>
      <c r="P755">
        <f t="shared" si="999"/>
        <v>-0.84848484848484751</v>
      </c>
      <c r="Q755">
        <f t="shared" si="1000"/>
        <v>-40157296.242424197</v>
      </c>
      <c r="R755">
        <f t="shared" si="1001"/>
        <v>-46759960.208555803</v>
      </c>
      <c r="S755">
        <f t="shared" si="1002"/>
        <v>-467.59960208555805</v>
      </c>
      <c r="T755">
        <f t="shared" si="1003"/>
        <v>-0.46759960208555806</v>
      </c>
    </row>
    <row r="756" spans="1:20" x14ac:dyDescent="0.25">
      <c r="A756" s="5">
        <v>43837</v>
      </c>
      <c r="B756">
        <v>7.607E-3</v>
      </c>
      <c r="C756">
        <v>7.7169999999999999E-3</v>
      </c>
      <c r="D756">
        <v>7.1700000000000002E-3</v>
      </c>
      <c r="E756">
        <v>7.5139999999999998E-3</v>
      </c>
      <c r="F756">
        <v>33901964</v>
      </c>
      <c r="G756">
        <v>0</v>
      </c>
      <c r="L756" t="s">
        <v>7</v>
      </c>
      <c r="M756" t="s">
        <v>8</v>
      </c>
      <c r="N756" t="s">
        <v>7</v>
      </c>
      <c r="P756">
        <f t="shared" si="999"/>
        <v>0.25776965265082213</v>
      </c>
      <c r="Q756">
        <f t="shared" si="1000"/>
        <v>8738897.4844606761</v>
      </c>
      <c r="R756">
        <f t="shared" si="1001"/>
        <v>-6602663.9661316089</v>
      </c>
      <c r="S756">
        <f t="shared" si="1002"/>
        <v>-66.026639661316096</v>
      </c>
      <c r="T756">
        <f t="shared" si="1003"/>
        <v>-6.6026639661316097E-2</v>
      </c>
    </row>
    <row r="757" spans="1:20" x14ac:dyDescent="0.25">
      <c r="A757" s="5">
        <v>43836</v>
      </c>
      <c r="B757">
        <v>7.8250000000000004E-3</v>
      </c>
      <c r="C757">
        <v>7.9989999999999992E-3</v>
      </c>
      <c r="D757">
        <v>7.4060000000000003E-3</v>
      </c>
      <c r="E757">
        <v>7.613E-3</v>
      </c>
      <c r="F757">
        <v>25108797</v>
      </c>
      <c r="G757">
        <v>0</v>
      </c>
      <c r="L757" t="s">
        <v>7</v>
      </c>
      <c r="M757" t="s">
        <v>8</v>
      </c>
      <c r="N757" t="s">
        <v>7</v>
      </c>
      <c r="P757">
        <f t="shared" si="999"/>
        <v>-0.30185497470489003</v>
      </c>
      <c r="Q757">
        <f t="shared" si="1000"/>
        <v>-7579215.2833052184</v>
      </c>
      <c r="R757">
        <f t="shared" si="1001"/>
        <v>-15341561.450592285</v>
      </c>
      <c r="S757">
        <f t="shared" si="1002"/>
        <v>-153.41561450592286</v>
      </c>
      <c r="T757">
        <f t="shared" si="1003"/>
        <v>-0.15341561450592286</v>
      </c>
    </row>
    <row r="758" spans="1:20" x14ac:dyDescent="0.25">
      <c r="A758" s="5">
        <v>43835</v>
      </c>
      <c r="B758">
        <v>7.6610000000000003E-3</v>
      </c>
      <c r="C758">
        <v>8.1560000000000001E-3</v>
      </c>
      <c r="D758">
        <v>7.6030000000000004E-3</v>
      </c>
      <c r="E758">
        <v>7.8689999999999993E-3</v>
      </c>
      <c r="F758">
        <v>41408311</v>
      </c>
      <c r="G758">
        <v>0</v>
      </c>
      <c r="L758" t="s">
        <v>7</v>
      </c>
      <c r="M758" t="s">
        <v>8</v>
      </c>
      <c r="N758" t="s">
        <v>7</v>
      </c>
      <c r="P758">
        <f t="shared" si="999"/>
        <v>-3.7974683544307289E-2</v>
      </c>
      <c r="Q758">
        <f t="shared" si="1000"/>
        <v>-1572467.5063292584</v>
      </c>
      <c r="R758">
        <f t="shared" si="1001"/>
        <v>-7762346.1672870666</v>
      </c>
      <c r="S758">
        <f t="shared" si="1002"/>
        <v>-77.623461672870661</v>
      </c>
      <c r="T758">
        <f t="shared" si="1003"/>
        <v>-7.7623461672870667E-2</v>
      </c>
    </row>
    <row r="759" spans="1:20" x14ac:dyDescent="0.25">
      <c r="A759" s="5">
        <v>43834</v>
      </c>
      <c r="B759">
        <v>7.1510000000000002E-3</v>
      </c>
      <c r="C759">
        <v>8.3009999999999994E-3</v>
      </c>
      <c r="D759">
        <v>7.1149999999999998E-3</v>
      </c>
      <c r="E759">
        <v>7.6800000000000002E-3</v>
      </c>
      <c r="F759">
        <v>60700461</v>
      </c>
      <c r="G759">
        <v>0</v>
      </c>
      <c r="L759" t="s">
        <v>8</v>
      </c>
      <c r="M759" t="s">
        <v>8</v>
      </c>
      <c r="N759" t="s">
        <v>7</v>
      </c>
      <c r="P759">
        <f t="shared" si="999"/>
        <v>-4.7217537942663389E-2</v>
      </c>
      <c r="Q759">
        <f t="shared" si="1000"/>
        <v>-2866126.3204046595</v>
      </c>
      <c r="R759">
        <f t="shared" si="1001"/>
        <v>-6189878.6609578077</v>
      </c>
      <c r="S759">
        <f t="shared" si="1002"/>
        <v>-61.898786609578075</v>
      </c>
      <c r="T759">
        <f t="shared" si="1003"/>
        <v>-6.1898786609578073E-2</v>
      </c>
    </row>
    <row r="760" spans="1:20" x14ac:dyDescent="0.25">
      <c r="A760" s="5">
        <v>43833</v>
      </c>
      <c r="B760">
        <v>6.6829999999999997E-3</v>
      </c>
      <c r="C760">
        <v>7.2570000000000004E-3</v>
      </c>
      <c r="D760">
        <v>6.6189999999999999E-3</v>
      </c>
      <c r="E760">
        <v>7.1510000000000002E-3</v>
      </c>
      <c r="F760">
        <v>15729749</v>
      </c>
      <c r="G760">
        <v>0</v>
      </c>
      <c r="L760" t="s">
        <v>8</v>
      </c>
      <c r="M760" t="s">
        <v>7</v>
      </c>
      <c r="N760" t="s">
        <v>7</v>
      </c>
      <c r="P760">
        <f t="shared" si="999"/>
        <v>0.66771159874608121</v>
      </c>
      <c r="Q760">
        <f t="shared" si="1000"/>
        <v>10502935.852664573</v>
      </c>
      <c r="R760">
        <f t="shared" si="1001"/>
        <v>-3323752.3405531477</v>
      </c>
      <c r="S760">
        <f t="shared" si="1002"/>
        <v>-33.237523405531476</v>
      </c>
      <c r="T760">
        <f t="shared" si="1003"/>
        <v>-3.3237523405531474E-2</v>
      </c>
    </row>
    <row r="761" spans="1:20" x14ac:dyDescent="0.25">
      <c r="A761" s="5">
        <v>43832</v>
      </c>
      <c r="B761">
        <v>6.9249999999999997E-3</v>
      </c>
      <c r="C761">
        <v>7.1760000000000001E-3</v>
      </c>
      <c r="D761">
        <v>6.6E-3</v>
      </c>
      <c r="E761">
        <v>6.7190000000000001E-3</v>
      </c>
      <c r="F761">
        <v>16047571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-0.58680555555555503</v>
      </c>
      <c r="Q761">
        <f t="shared" si="1000"/>
        <v>-9416803.8159722146</v>
      </c>
      <c r="R761">
        <f t="shared" si="1001"/>
        <v>-13826688.193217721</v>
      </c>
      <c r="S761">
        <f t="shared" si="1002"/>
        <v>-138.2668819321772</v>
      </c>
      <c r="T761">
        <f t="shared" si="1003"/>
        <v>-0.1382668819321772</v>
      </c>
    </row>
    <row r="762" spans="1:20" x14ac:dyDescent="0.25">
      <c r="A762" s="5">
        <v>43831</v>
      </c>
      <c r="B762">
        <v>7.0460000000000002E-3</v>
      </c>
      <c r="C762">
        <v>7.1910000000000003E-3</v>
      </c>
      <c r="D762">
        <v>6.8570000000000002E-3</v>
      </c>
      <c r="E762">
        <v>6.9230000000000003E-3</v>
      </c>
      <c r="F762">
        <v>7291591</v>
      </c>
      <c r="G762">
        <v>0</v>
      </c>
      <c r="P762">
        <f t="shared" si="999"/>
        <v>-0.6047904191616762</v>
      </c>
      <c r="Q762">
        <f t="shared" si="1000"/>
        <v>-4409884.3772455053</v>
      </c>
      <c r="R762">
        <f t="shared" si="1001"/>
        <v>-4409884.3772455053</v>
      </c>
      <c r="S762">
        <f t="shared" si="1002"/>
        <v>-44.098843772455055</v>
      </c>
      <c r="T762">
        <f t="shared" si="1003"/>
        <v>-4.4098843772455057E-2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MX676" sqref="MX67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$A$675</v>
      </c>
      <c r="D111" s="1" t="str">
        <f>ADDRESS(C121-1,D121,1,1)</f>
        <v>$MX$675</v>
      </c>
      <c r="E111"/>
    </row>
    <row r="112" spans="1:5" x14ac:dyDescent="0.25">
      <c r="A112" s="7">
        <v>12164.144957890772</v>
      </c>
      <c r="C112" s="1" t="str">
        <f>ADDRESS(C121,1,1,1)</f>
        <v>$A$676</v>
      </c>
      <c r="D112" s="1" t="str">
        <f>ADDRESS(C121,D121-1,1,1)</f>
        <v>$MW$676</v>
      </c>
      <c r="E112"/>
    </row>
    <row r="113" spans="1:5" x14ac:dyDescent="0.25">
      <c r="A113" s="7">
        <v>11925.63231165762</v>
      </c>
      <c r="C113" s="1" t="str">
        <f>ADDRESS(C121+1,1,1,1)</f>
        <v>$A$677</v>
      </c>
      <c r="D113" s="1" t="str">
        <f>ADDRESS(C121-1,D121+1,1,1)</f>
        <v>$MY$675</v>
      </c>
    </row>
    <row r="114" spans="1:5" x14ac:dyDescent="0.25">
      <c r="A114" s="7">
        <v>11691.796383978059</v>
      </c>
      <c r="C114" s="1" t="str">
        <f>ADDRESS(C121,D121,1,1)</f>
        <v>$MX$676</v>
      </c>
      <c r="D114" s="1" t="str">
        <f>ADDRESS(C121+1,D121+1,1,1)</f>
        <v>$MY$677</v>
      </c>
    </row>
    <row r="115" spans="1:5" x14ac:dyDescent="0.25">
      <c r="A115" s="7">
        <v>11462.545474488292</v>
      </c>
      <c r="C115" s="1" t="str">
        <f>ADDRESS(C121+1,D121,1,1)</f>
        <v>$MX$677</v>
      </c>
    </row>
    <row r="116" spans="1:5" x14ac:dyDescent="0.25">
      <c r="A116" s="7">
        <v>11237.789680870874</v>
      </c>
      <c r="C116" s="1">
        <f>C117-1</f>
        <v>675</v>
      </c>
    </row>
    <row r="117" spans="1:5" x14ac:dyDescent="0.25">
      <c r="A117" s="7">
        <v>11017.440863598895</v>
      </c>
      <c r="C117" s="1">
        <f>C121</f>
        <v>676</v>
      </c>
      <c r="D117" s="1">
        <f>D121</f>
        <v>362</v>
      </c>
    </row>
    <row r="118" spans="1:5" x14ac:dyDescent="0.25">
      <c r="A118" s="7">
        <v>10801.412611371465</v>
      </c>
      <c r="C118" s="1">
        <f>C117+1</f>
        <v>677</v>
      </c>
      <c r="D118" s="1">
        <f>D117+1</f>
        <v>363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676</v>
      </c>
      <c r="D121" s="19">
        <v>362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R676</v>
      </c>
      <c r="D123" s="1" t="str">
        <f>"C"&amp;D121</f>
        <v>C362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0.17162664512515888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194" x14ac:dyDescent="0.25">
      <c r="A577" s="7">
        <v>1.2189944199947573</v>
      </c>
      <c r="B577"/>
      <c r="C577"/>
      <c r="D577"/>
      <c r="E577"/>
    </row>
    <row r="578" spans="1:194" x14ac:dyDescent="0.25">
      <c r="A578" s="7">
        <v>1.1950925686223111</v>
      </c>
      <c r="B578"/>
      <c r="C578"/>
      <c r="D578"/>
      <c r="E578"/>
    </row>
    <row r="579" spans="1:194" x14ac:dyDescent="0.25">
      <c r="A579" s="7">
        <v>1.1716593810022657</v>
      </c>
      <c r="B579"/>
      <c r="C579"/>
      <c r="D579"/>
      <c r="E579"/>
    </row>
    <row r="580" spans="1:194" x14ac:dyDescent="0.25">
      <c r="A580" s="7">
        <v>1.14868566764928</v>
      </c>
      <c r="B580"/>
      <c r="C580"/>
      <c r="D580"/>
      <c r="E580"/>
    </row>
    <row r="581" spans="1:194" x14ac:dyDescent="0.25">
      <c r="A581" s="7">
        <v>1.1261624192640001</v>
      </c>
      <c r="B581"/>
      <c r="C581"/>
      <c r="D581"/>
      <c r="E581"/>
    </row>
    <row r="582" spans="1:194" x14ac:dyDescent="0.25">
      <c r="A582" s="7">
        <v>1.1040808032</v>
      </c>
      <c r="B582"/>
      <c r="C582"/>
      <c r="D582"/>
      <c r="E582"/>
    </row>
    <row r="583" spans="1:194" x14ac:dyDescent="0.25">
      <c r="A583" s="7">
        <v>1.08243216</v>
      </c>
      <c r="B583"/>
      <c r="C583"/>
      <c r="D583"/>
      <c r="E583"/>
    </row>
    <row r="584" spans="1:194" x14ac:dyDescent="0.25">
      <c r="A584" s="7">
        <v>1.0612079999999999</v>
      </c>
      <c r="B584"/>
      <c r="C584"/>
      <c r="D584"/>
      <c r="E584"/>
    </row>
    <row r="585" spans="1:194" x14ac:dyDescent="0.25">
      <c r="A585" s="7">
        <v>1.0404</v>
      </c>
      <c r="B585"/>
      <c r="C585"/>
      <c r="D585"/>
      <c r="E585"/>
    </row>
    <row r="586" spans="1:194" x14ac:dyDescent="0.25">
      <c r="A586" s="7">
        <v>1.02</v>
      </c>
      <c r="B586"/>
      <c r="C586"/>
      <c r="D586"/>
      <c r="E586"/>
    </row>
    <row r="587" spans="1:194" x14ac:dyDescent="0.25">
      <c r="A587" s="7">
        <v>1</v>
      </c>
      <c r="B587"/>
      <c r="C587"/>
      <c r="D587"/>
      <c r="E587" s="29" t="s">
        <v>8</v>
      </c>
    </row>
    <row r="588" spans="1:194" x14ac:dyDescent="0.25">
      <c r="A588" s="7">
        <v>0.98039215686274506</v>
      </c>
      <c r="B588"/>
      <c r="C588"/>
      <c r="D588"/>
      <c r="E588"/>
      <c r="F588" s="27" t="s">
        <v>7</v>
      </c>
    </row>
    <row r="589" spans="1:194" x14ac:dyDescent="0.25">
      <c r="A589" s="7">
        <v>0.96116878123798544</v>
      </c>
      <c r="B589"/>
      <c r="C589"/>
      <c r="D589"/>
      <c r="E589"/>
      <c r="F589" s="27" t="s">
        <v>7</v>
      </c>
    </row>
    <row r="590" spans="1:194" x14ac:dyDescent="0.25">
      <c r="A590" s="7">
        <v>0.94232233454704462</v>
      </c>
      <c r="B590"/>
      <c r="C590"/>
      <c r="D590"/>
      <c r="E590"/>
      <c r="F590" s="27" t="s">
        <v>7</v>
      </c>
      <c r="GK590" s="27" t="s">
        <v>8</v>
      </c>
    </row>
    <row r="591" spans="1:194" x14ac:dyDescent="0.25">
      <c r="A591" s="7">
        <v>0.92384542602651432</v>
      </c>
      <c r="B591"/>
      <c r="C591"/>
      <c r="D591"/>
      <c r="E591"/>
      <c r="F591" s="27" t="s">
        <v>7</v>
      </c>
      <c r="GK591" s="27" t="s">
        <v>8</v>
      </c>
      <c r="GL591" s="27" t="s">
        <v>7</v>
      </c>
    </row>
    <row r="592" spans="1:194" x14ac:dyDescent="0.25">
      <c r="A592" s="7">
        <v>0.90573080982991594</v>
      </c>
      <c r="B592"/>
      <c r="C592"/>
      <c r="D592"/>
      <c r="E592"/>
      <c r="F592" s="27" t="s">
        <v>7</v>
      </c>
      <c r="GK592" s="27" t="s">
        <v>8</v>
      </c>
      <c r="GL592" s="27" t="s">
        <v>7</v>
      </c>
    </row>
    <row r="593" spans="1:212" x14ac:dyDescent="0.25">
      <c r="A593" s="7">
        <v>0.8879713821861922</v>
      </c>
      <c r="B593"/>
      <c r="C593"/>
      <c r="D593"/>
      <c r="E593"/>
      <c r="F593" s="27" t="s">
        <v>7</v>
      </c>
      <c r="GK593" s="27" t="s">
        <v>8</v>
      </c>
      <c r="GL593" s="27" t="s">
        <v>7</v>
      </c>
    </row>
    <row r="594" spans="1:212" x14ac:dyDescent="0.25">
      <c r="A594" s="7">
        <v>0.87056017861391399</v>
      </c>
      <c r="B594"/>
      <c r="C594"/>
      <c r="D594"/>
      <c r="E594"/>
      <c r="F594" s="27" t="s">
        <v>7</v>
      </c>
      <c r="GK594" s="27" t="s">
        <v>8</v>
      </c>
      <c r="GL594" s="27" t="s">
        <v>7</v>
      </c>
    </row>
    <row r="595" spans="1:212" x14ac:dyDescent="0.25">
      <c r="A595" s="7">
        <v>0.85349037119011173</v>
      </c>
      <c r="B595"/>
      <c r="C595"/>
      <c r="D595"/>
      <c r="E595"/>
      <c r="F595" s="27" t="s">
        <v>7</v>
      </c>
      <c r="GK595" s="27" t="s">
        <v>8</v>
      </c>
      <c r="GL595" s="27" t="s">
        <v>7</v>
      </c>
    </row>
    <row r="596" spans="1:212" x14ac:dyDescent="0.25">
      <c r="A596" s="7">
        <v>0.83675526587265858</v>
      </c>
      <c r="B596"/>
      <c r="C596"/>
      <c r="D596"/>
      <c r="E596"/>
      <c r="F596" s="27" t="s">
        <v>7</v>
      </c>
      <c r="GK596" s="27" t="s">
        <v>8</v>
      </c>
      <c r="GL596" s="27" t="s">
        <v>7</v>
      </c>
      <c r="HC596" s="27" t="s">
        <v>8</v>
      </c>
    </row>
    <row r="597" spans="1:212" x14ac:dyDescent="0.25">
      <c r="A597" s="7">
        <v>0.82034829987515545</v>
      </c>
      <c r="B597"/>
      <c r="C597"/>
      <c r="D597"/>
      <c r="E597"/>
      <c r="F597" s="27" t="s">
        <v>7</v>
      </c>
      <c r="GK597" s="27" t="s">
        <v>8</v>
      </c>
      <c r="GL597" s="27" t="s">
        <v>7</v>
      </c>
      <c r="HC597" s="27" t="s">
        <v>8</v>
      </c>
      <c r="HD597" s="27" t="s">
        <v>7</v>
      </c>
    </row>
    <row r="598" spans="1:212" x14ac:dyDescent="0.25">
      <c r="A598" s="7">
        <v>0.80426303909328967</v>
      </c>
      <c r="B598"/>
      <c r="C598"/>
      <c r="D598"/>
      <c r="E598"/>
      <c r="F598" s="27" t="s">
        <v>7</v>
      </c>
      <c r="GK598" s="27" t="s">
        <v>8</v>
      </c>
      <c r="GL598" s="27" t="s">
        <v>7</v>
      </c>
      <c r="HC598" s="27" t="s">
        <v>8</v>
      </c>
      <c r="HD598" s="27" t="s">
        <v>7</v>
      </c>
    </row>
    <row r="599" spans="1:212" x14ac:dyDescent="0.25">
      <c r="A599" s="7">
        <v>0.78849317558165644</v>
      </c>
      <c r="B599"/>
      <c r="C599"/>
      <c r="D599"/>
      <c r="E599"/>
      <c r="F599" s="27" t="s">
        <v>7</v>
      </c>
      <c r="GK599" s="27" t="s">
        <v>8</v>
      </c>
      <c r="GL599" s="27" t="s">
        <v>7</v>
      </c>
      <c r="HC599" s="27" t="s">
        <v>8</v>
      </c>
      <c r="HD599" s="27" t="s">
        <v>7</v>
      </c>
    </row>
    <row r="600" spans="1:212" x14ac:dyDescent="0.25">
      <c r="A600" s="7">
        <v>0.77303252508005538</v>
      </c>
      <c r="B600"/>
      <c r="C600"/>
      <c r="D600"/>
      <c r="E600"/>
      <c r="F600" s="27" t="s">
        <v>7</v>
      </c>
      <c r="GK600" s="27" t="s">
        <v>8</v>
      </c>
      <c r="GL600" s="27" t="s">
        <v>7</v>
      </c>
      <c r="HC600" s="27" t="s">
        <v>8</v>
      </c>
      <c r="HD600" s="27" t="s">
        <v>7</v>
      </c>
    </row>
    <row r="601" spans="1:212" x14ac:dyDescent="0.25">
      <c r="A601" s="7">
        <v>0.75787502458828959</v>
      </c>
      <c r="B601"/>
      <c r="C601"/>
      <c r="D601"/>
      <c r="E601"/>
      <c r="F601" s="27" t="s">
        <v>7</v>
      </c>
      <c r="GK601" s="27" t="s">
        <v>8</v>
      </c>
      <c r="GL601" s="27" t="s">
        <v>7</v>
      </c>
      <c r="HC601" s="27" t="s">
        <v>8</v>
      </c>
      <c r="HD601" s="27" t="s">
        <v>7</v>
      </c>
    </row>
    <row r="602" spans="1:212" x14ac:dyDescent="0.25">
      <c r="A602" s="7">
        <v>0.74301472998851925</v>
      </c>
      <c r="B602"/>
      <c r="C602"/>
      <c r="D602"/>
      <c r="E602"/>
      <c r="F602" s="27" t="s">
        <v>7</v>
      </c>
      <c r="GK602" s="27" t="s">
        <v>8</v>
      </c>
      <c r="GL602" s="27" t="s">
        <v>7</v>
      </c>
      <c r="HC602" s="27" t="s">
        <v>8</v>
      </c>
      <c r="HD602" s="27" t="s">
        <v>7</v>
      </c>
    </row>
    <row r="603" spans="1:212" x14ac:dyDescent="0.25">
      <c r="A603" s="7">
        <v>0.72844581371423456</v>
      </c>
      <c r="B603"/>
      <c r="C603"/>
      <c r="D603"/>
      <c r="E603"/>
      <c r="F603" s="27" t="s">
        <v>7</v>
      </c>
      <c r="GK603" s="27" t="s">
        <v>8</v>
      </c>
      <c r="GL603" s="27" t="s">
        <v>7</v>
      </c>
      <c r="HC603" s="27" t="s">
        <v>8</v>
      </c>
      <c r="HD603" s="27" t="s">
        <v>7</v>
      </c>
    </row>
    <row r="604" spans="1:212" x14ac:dyDescent="0.25">
      <c r="A604" s="7">
        <v>0.71416256246493581</v>
      </c>
      <c r="B604"/>
      <c r="C604"/>
      <c r="D604"/>
      <c r="E604"/>
      <c r="F604" s="27" t="s">
        <v>7</v>
      </c>
      <c r="GK604" s="27" t="s">
        <v>8</v>
      </c>
      <c r="GL604" s="27" t="s">
        <v>7</v>
      </c>
      <c r="HC604" s="27" t="s">
        <v>8</v>
      </c>
      <c r="HD604" s="27" t="s">
        <v>7</v>
      </c>
    </row>
    <row r="605" spans="1:212" x14ac:dyDescent="0.25">
      <c r="A605" s="7">
        <v>0.7001593749656233</v>
      </c>
      <c r="B605"/>
      <c r="C605"/>
      <c r="D605"/>
      <c r="E605"/>
      <c r="F605" s="27" t="s">
        <v>7</v>
      </c>
      <c r="GK605" s="27" t="s">
        <v>8</v>
      </c>
      <c r="GL605" s="27" t="s">
        <v>7</v>
      </c>
      <c r="GO605" s="27" t="s">
        <v>8</v>
      </c>
      <c r="HC605" s="27" t="s">
        <v>8</v>
      </c>
      <c r="HD605" s="27" t="s">
        <v>7</v>
      </c>
    </row>
    <row r="606" spans="1:212" x14ac:dyDescent="0.25">
      <c r="A606" s="7">
        <v>0.68643075977021883</v>
      </c>
      <c r="B606"/>
      <c r="C606"/>
      <c r="D606"/>
      <c r="E606"/>
      <c r="F606" s="27" t="s">
        <v>7</v>
      </c>
      <c r="GK606" s="27" t="s">
        <v>8</v>
      </c>
      <c r="GL606" s="27" t="s">
        <v>7</v>
      </c>
      <c r="GM606" s="27" t="s">
        <v>8</v>
      </c>
      <c r="GO606" s="27" t="s">
        <v>8</v>
      </c>
      <c r="GP606" s="27" t="s">
        <v>7</v>
      </c>
      <c r="HC606" s="27" t="s">
        <v>8</v>
      </c>
      <c r="HD606" s="27" t="s">
        <v>7</v>
      </c>
    </row>
    <row r="607" spans="1:212" x14ac:dyDescent="0.25">
      <c r="A607" s="7">
        <v>0.67297133310805768</v>
      </c>
      <c r="B607"/>
      <c r="C607"/>
      <c r="D607"/>
      <c r="E607"/>
      <c r="F607" s="27" t="s">
        <v>7</v>
      </c>
      <c r="GK607" s="27" t="s">
        <v>8</v>
      </c>
      <c r="GL607" s="27" t="s">
        <v>7</v>
      </c>
      <c r="GM607" s="27" t="s">
        <v>8</v>
      </c>
      <c r="GN607" s="27" t="s">
        <v>7</v>
      </c>
      <c r="GO607" s="27" t="s">
        <v>8</v>
      </c>
      <c r="GP607" s="27" t="s">
        <v>7</v>
      </c>
      <c r="HC607" s="27" t="s">
        <v>8</v>
      </c>
      <c r="HD607" s="27" t="s">
        <v>7</v>
      </c>
    </row>
    <row r="608" spans="1:212" x14ac:dyDescent="0.25">
      <c r="A608" s="7">
        <v>0.65977581677260566</v>
      </c>
      <c r="B608"/>
      <c r="C608"/>
      <c r="D608"/>
      <c r="E608"/>
      <c r="F608" s="27" t="s">
        <v>7</v>
      </c>
      <c r="GK608" s="27" t="s">
        <v>8</v>
      </c>
      <c r="GL608" s="27" t="s">
        <v>7</v>
      </c>
      <c r="GM608" s="27" t="s">
        <v>8</v>
      </c>
      <c r="GN608" s="27" t="s">
        <v>7</v>
      </c>
      <c r="GO608" s="27" t="s">
        <v>8</v>
      </c>
      <c r="GP608" s="27" t="s">
        <v>7</v>
      </c>
      <c r="HC608" s="27" t="s">
        <v>8</v>
      </c>
      <c r="HD608" s="27" t="s">
        <v>7</v>
      </c>
    </row>
    <row r="609" spans="1:328" x14ac:dyDescent="0.25">
      <c r="A609" s="7">
        <v>0.64683903605157422</v>
      </c>
      <c r="B609"/>
      <c r="C609"/>
      <c r="D609"/>
      <c r="E609"/>
      <c r="F609" s="27" t="s">
        <v>7</v>
      </c>
      <c r="GK609" s="27" t="s">
        <v>8</v>
      </c>
      <c r="GL609" s="27" t="s">
        <v>7</v>
      </c>
      <c r="GM609" s="27" t="s">
        <v>8</v>
      </c>
      <c r="GN609" s="27" t="s">
        <v>7</v>
      </c>
      <c r="GO609" s="27" t="s">
        <v>8</v>
      </c>
      <c r="GP609" s="27" t="s">
        <v>7</v>
      </c>
      <c r="HC609" s="27" t="s">
        <v>8</v>
      </c>
      <c r="HD609" s="27" t="s">
        <v>7</v>
      </c>
      <c r="KY609" s="27" t="s">
        <v>8</v>
      </c>
    </row>
    <row r="610" spans="1:328" x14ac:dyDescent="0.25">
      <c r="A610" s="7">
        <v>0.63415591769762181</v>
      </c>
      <c r="B610"/>
      <c r="C610"/>
      <c r="D610"/>
      <c r="E610"/>
      <c r="F610" s="27" t="s">
        <v>7</v>
      </c>
      <c r="GK610" s="27" t="s">
        <v>8</v>
      </c>
      <c r="GL610" s="27" t="s">
        <v>7</v>
      </c>
      <c r="GM610" s="27" t="s">
        <v>8</v>
      </c>
      <c r="GN610" s="27" t="s">
        <v>7</v>
      </c>
      <c r="GO610" s="27" t="s">
        <v>8</v>
      </c>
      <c r="GP610" s="27" t="s">
        <v>7</v>
      </c>
      <c r="HC610" s="27" t="s">
        <v>8</v>
      </c>
      <c r="HD610" s="27" t="s">
        <v>7</v>
      </c>
      <c r="KY610" s="27" t="s">
        <v>8</v>
      </c>
      <c r="KZ610" s="27" t="s">
        <v>7</v>
      </c>
    </row>
    <row r="611" spans="1:328" x14ac:dyDescent="0.25">
      <c r="A611" s="7">
        <v>0.62172148793884496</v>
      </c>
      <c r="B611"/>
      <c r="C611"/>
      <c r="D611"/>
      <c r="E611"/>
      <c r="F611" s="27" t="s">
        <v>7</v>
      </c>
      <c r="GK611" s="27" t="s">
        <v>8</v>
      </c>
      <c r="GL611" s="27" t="s">
        <v>7</v>
      </c>
      <c r="GM611" s="27" t="s">
        <v>8</v>
      </c>
      <c r="GN611" s="27" t="s">
        <v>7</v>
      </c>
      <c r="GO611" s="27" t="s">
        <v>8</v>
      </c>
      <c r="GP611" s="27" t="s">
        <v>7</v>
      </c>
      <c r="HC611" s="27" t="s">
        <v>8</v>
      </c>
      <c r="HD611" s="27" t="s">
        <v>7</v>
      </c>
      <c r="KY611" s="27" t="s">
        <v>8</v>
      </c>
      <c r="KZ611" s="27" t="s">
        <v>7</v>
      </c>
    </row>
    <row r="612" spans="1:328" x14ac:dyDescent="0.25">
      <c r="A612" s="7">
        <v>0.60953087052827937</v>
      </c>
      <c r="B612"/>
      <c r="C612"/>
      <c r="D612"/>
      <c r="E612"/>
      <c r="F612" s="27" t="s">
        <v>7</v>
      </c>
      <c r="GK612" s="27" t="s">
        <v>8</v>
      </c>
      <c r="GL612" s="27" t="s">
        <v>7</v>
      </c>
      <c r="GM612" s="27" t="s">
        <v>8</v>
      </c>
      <c r="GN612" s="27" t="s">
        <v>7</v>
      </c>
      <c r="GO612" s="27" t="s">
        <v>8</v>
      </c>
      <c r="GP612" s="27" t="s">
        <v>7</v>
      </c>
      <c r="HC612" s="27" t="s">
        <v>8</v>
      </c>
      <c r="HD612" s="27" t="s">
        <v>7</v>
      </c>
      <c r="HK612" s="27" t="s">
        <v>8</v>
      </c>
      <c r="KY612" s="27" t="s">
        <v>8</v>
      </c>
      <c r="KZ612" s="27" t="s">
        <v>7</v>
      </c>
    </row>
    <row r="613" spans="1:328" x14ac:dyDescent="0.25">
      <c r="A613" s="7">
        <v>0.59757928483164646</v>
      </c>
      <c r="B613"/>
      <c r="C613"/>
      <c r="D613"/>
      <c r="E613"/>
      <c r="F613" s="27" t="s">
        <v>7</v>
      </c>
      <c r="GK613" s="27" t="s">
        <v>8</v>
      </c>
      <c r="GL613" s="27" t="s">
        <v>7</v>
      </c>
      <c r="GM613" s="27" t="s">
        <v>8</v>
      </c>
      <c r="GN613" s="27" t="s">
        <v>7</v>
      </c>
      <c r="GO613" s="27" t="s">
        <v>8</v>
      </c>
      <c r="GP613" s="27" t="s">
        <v>7</v>
      </c>
      <c r="GQ613" s="27" t="s">
        <v>8</v>
      </c>
      <c r="HC613" s="27" t="s">
        <v>8</v>
      </c>
      <c r="HD613" s="27" t="s">
        <v>7</v>
      </c>
      <c r="HK613" s="27" t="s">
        <v>8</v>
      </c>
      <c r="HL613" s="27" t="s">
        <v>7</v>
      </c>
      <c r="KY613" s="27" t="s">
        <v>8</v>
      </c>
      <c r="KZ613" s="27" t="s">
        <v>7</v>
      </c>
    </row>
    <row r="614" spans="1:328" x14ac:dyDescent="0.25">
      <c r="A614" s="7">
        <v>0.58586204395259456</v>
      </c>
      <c r="B614"/>
      <c r="C614"/>
      <c r="D614"/>
      <c r="E614"/>
      <c r="F614" s="27" t="s">
        <v>7</v>
      </c>
      <c r="GK614" s="27" t="s">
        <v>8</v>
      </c>
      <c r="GL614" s="27" t="s">
        <v>7</v>
      </c>
      <c r="GM614" s="27" t="s">
        <v>8</v>
      </c>
      <c r="GN614" s="27" t="s">
        <v>7</v>
      </c>
      <c r="GO614" s="27" t="s">
        <v>8</v>
      </c>
      <c r="GP614" s="27" t="s">
        <v>7</v>
      </c>
      <c r="GQ614" s="27" t="s">
        <v>8</v>
      </c>
      <c r="GR614" s="27" t="s">
        <v>7</v>
      </c>
      <c r="HA614" s="27" t="s">
        <v>8</v>
      </c>
      <c r="HC614" s="27" t="s">
        <v>8</v>
      </c>
      <c r="HD614" s="27" t="s">
        <v>7</v>
      </c>
      <c r="HE614" s="27" t="s">
        <v>8</v>
      </c>
      <c r="HK614" s="27" t="s">
        <v>8</v>
      </c>
      <c r="HL614" s="27" t="s">
        <v>7</v>
      </c>
      <c r="KY614" s="27" t="s">
        <v>8</v>
      </c>
      <c r="KZ614" s="27" t="s">
        <v>7</v>
      </c>
      <c r="LE614" s="27" t="s">
        <v>8</v>
      </c>
      <c r="LG614" s="27" t="s">
        <v>8</v>
      </c>
    </row>
    <row r="615" spans="1:328" x14ac:dyDescent="0.25">
      <c r="A615" s="7">
        <v>0.57437455289470052</v>
      </c>
      <c r="B615"/>
      <c r="C615"/>
      <c r="D615"/>
      <c r="E615"/>
      <c r="F615" s="27" t="s">
        <v>7</v>
      </c>
      <c r="GK615" s="27" t="s">
        <v>8</v>
      </c>
      <c r="GL615" s="27" t="s">
        <v>7</v>
      </c>
      <c r="GN615" s="27" t="s">
        <v>7</v>
      </c>
      <c r="GO615" s="27" t="s">
        <v>8</v>
      </c>
      <c r="GP615" s="27" t="s">
        <v>7</v>
      </c>
      <c r="GQ615" s="27" t="s">
        <v>8</v>
      </c>
      <c r="GR615" s="27" t="s">
        <v>7</v>
      </c>
      <c r="HA615" s="27" t="s">
        <v>8</v>
      </c>
      <c r="HB615" s="27" t="s">
        <v>7</v>
      </c>
      <c r="HC615" s="27" t="s">
        <v>8</v>
      </c>
      <c r="HD615" s="27" t="s">
        <v>7</v>
      </c>
      <c r="HE615" s="27" t="s">
        <v>8</v>
      </c>
      <c r="HF615" s="27" t="s">
        <v>7</v>
      </c>
      <c r="HG615" s="27" t="s">
        <v>8</v>
      </c>
      <c r="HK615" s="27" t="s">
        <v>8</v>
      </c>
      <c r="HL615" s="27" t="s">
        <v>7</v>
      </c>
      <c r="KY615" s="27" t="s">
        <v>8</v>
      </c>
      <c r="KZ615" s="27" t="s">
        <v>7</v>
      </c>
      <c r="LE615" s="27" t="s">
        <v>8</v>
      </c>
      <c r="LF615" s="27" t="s">
        <v>7</v>
      </c>
      <c r="LG615" s="27" t="s">
        <v>8</v>
      </c>
      <c r="LH615" s="27" t="s">
        <v>7</v>
      </c>
    </row>
    <row r="616" spans="1:328" x14ac:dyDescent="0.25">
      <c r="A616" s="7">
        <v>0.56311230675951029</v>
      </c>
      <c r="B616"/>
      <c r="C616"/>
      <c r="D616"/>
      <c r="E616"/>
      <c r="F616" s="27" t="s">
        <v>7</v>
      </c>
      <c r="GK616" s="27" t="s">
        <v>8</v>
      </c>
      <c r="GN616" s="27" t="s">
        <v>7</v>
      </c>
      <c r="GO616" s="27" t="s">
        <v>8</v>
      </c>
      <c r="GP616" s="27" t="s">
        <v>7</v>
      </c>
      <c r="GQ616" s="27" t="s">
        <v>8</v>
      </c>
      <c r="GR616" s="27" t="s">
        <v>7</v>
      </c>
      <c r="HA616" s="27" t="s">
        <v>8</v>
      </c>
      <c r="HB616" s="27" t="s">
        <v>7</v>
      </c>
      <c r="HC616" s="27" t="s">
        <v>8</v>
      </c>
      <c r="HD616" s="27" t="s">
        <v>7</v>
      </c>
      <c r="HE616" s="27" t="s">
        <v>8</v>
      </c>
      <c r="HF616" s="27" t="s">
        <v>7</v>
      </c>
      <c r="HG616" s="27" t="s">
        <v>8</v>
      </c>
      <c r="HH616" s="27" t="s">
        <v>7</v>
      </c>
      <c r="HK616" s="27" t="s">
        <v>8</v>
      </c>
      <c r="HL616" s="27" t="s">
        <v>7</v>
      </c>
      <c r="KY616" s="27" t="s">
        <v>8</v>
      </c>
      <c r="KZ616" s="27" t="s">
        <v>7</v>
      </c>
      <c r="LE616" s="27" t="s">
        <v>8</v>
      </c>
      <c r="LF616" s="27" t="s">
        <v>7</v>
      </c>
      <c r="LG616" s="27" t="s">
        <v>8</v>
      </c>
      <c r="LH616" s="27" t="s">
        <v>7</v>
      </c>
    </row>
    <row r="617" spans="1:328" x14ac:dyDescent="0.25">
      <c r="A617" s="7">
        <v>0.55207088897991208</v>
      </c>
      <c r="B617"/>
      <c r="C617"/>
      <c r="D617"/>
      <c r="E617"/>
      <c r="F617" s="27" t="s">
        <v>7</v>
      </c>
      <c r="GK617" s="27" t="s">
        <v>8</v>
      </c>
      <c r="GN617" s="27" t="s">
        <v>7</v>
      </c>
      <c r="GO617" s="27" t="s">
        <v>8</v>
      </c>
      <c r="GP617" s="27" t="s">
        <v>7</v>
      </c>
      <c r="GQ617" s="27" t="s">
        <v>8</v>
      </c>
      <c r="GR617" s="27" t="s">
        <v>7</v>
      </c>
      <c r="GS617" s="27" t="s">
        <v>8</v>
      </c>
      <c r="HA617" s="27" t="s">
        <v>8</v>
      </c>
      <c r="HB617" s="27" t="s">
        <v>7</v>
      </c>
      <c r="HC617" s="27" t="s">
        <v>8</v>
      </c>
      <c r="HD617" s="27" t="s">
        <v>7</v>
      </c>
      <c r="HE617" s="27" t="s">
        <v>8</v>
      </c>
      <c r="HF617" s="27" t="s">
        <v>7</v>
      </c>
      <c r="HG617" s="27" t="s">
        <v>8</v>
      </c>
      <c r="HH617" s="27" t="s">
        <v>7</v>
      </c>
      <c r="HK617" s="27" t="s">
        <v>8</v>
      </c>
      <c r="HL617" s="27" t="s">
        <v>7</v>
      </c>
      <c r="HM617" s="27" t="s">
        <v>8</v>
      </c>
      <c r="KY617" s="27" t="s">
        <v>8</v>
      </c>
      <c r="KZ617" s="27" t="s">
        <v>7</v>
      </c>
      <c r="LE617" s="27" t="s">
        <v>8</v>
      </c>
      <c r="LF617" s="27" t="s">
        <v>7</v>
      </c>
      <c r="LG617" s="27" t="s">
        <v>8</v>
      </c>
      <c r="LH617" s="27" t="s">
        <v>7</v>
      </c>
    </row>
    <row r="618" spans="1:328" x14ac:dyDescent="0.25">
      <c r="A618" s="7">
        <v>0.54124596958814908</v>
      </c>
      <c r="B618"/>
      <c r="C618"/>
      <c r="D618"/>
      <c r="E618"/>
      <c r="F618" s="27" t="s">
        <v>7</v>
      </c>
      <c r="GK618" s="27" t="s">
        <v>8</v>
      </c>
      <c r="GN618" s="27" t="s">
        <v>7</v>
      </c>
      <c r="GO618" s="27" t="s">
        <v>8</v>
      </c>
      <c r="GP618" s="27" t="s">
        <v>7</v>
      </c>
      <c r="GR618" s="27" t="s">
        <v>7</v>
      </c>
      <c r="GS618" s="27" t="s">
        <v>8</v>
      </c>
      <c r="GT618" s="27" t="s">
        <v>7</v>
      </c>
      <c r="GW618" s="27" t="s">
        <v>8</v>
      </c>
      <c r="HA618" s="27" t="s">
        <v>8</v>
      </c>
      <c r="HB618" s="27" t="s">
        <v>7</v>
      </c>
      <c r="HC618" s="27" t="s">
        <v>8</v>
      </c>
      <c r="HD618" s="27" t="s">
        <v>7</v>
      </c>
      <c r="HE618" s="27" t="s">
        <v>8</v>
      </c>
      <c r="HF618" s="27" t="s">
        <v>7</v>
      </c>
      <c r="HG618" s="27" t="s">
        <v>8</v>
      </c>
      <c r="HH618" s="27" t="s">
        <v>7</v>
      </c>
      <c r="HK618" s="27" t="s">
        <v>8</v>
      </c>
      <c r="HL618" s="27" t="s">
        <v>7</v>
      </c>
      <c r="HM618" s="27" t="s">
        <v>8</v>
      </c>
      <c r="HN618" s="27" t="s">
        <v>7</v>
      </c>
      <c r="KY618" s="27" t="s">
        <v>8</v>
      </c>
      <c r="KZ618" s="27" t="s">
        <v>7</v>
      </c>
      <c r="LE618" s="27" t="s">
        <v>8</v>
      </c>
      <c r="LF618" s="27" t="s">
        <v>7</v>
      </c>
      <c r="LG618" s="27" t="s">
        <v>8</v>
      </c>
      <c r="LH618" s="27" t="s">
        <v>7</v>
      </c>
    </row>
    <row r="619" spans="1:328" x14ac:dyDescent="0.25">
      <c r="A619" s="7">
        <v>0.53063330351779314</v>
      </c>
      <c r="B619"/>
      <c r="C619"/>
      <c r="D619"/>
      <c r="E619"/>
      <c r="F619" s="27" t="s">
        <v>7</v>
      </c>
      <c r="GK619" s="27" t="s">
        <v>8</v>
      </c>
      <c r="GN619" s="27" t="s">
        <v>7</v>
      </c>
      <c r="GO619" s="27" t="s">
        <v>8</v>
      </c>
      <c r="GR619" s="27" t="s">
        <v>7</v>
      </c>
      <c r="GS619" s="27" t="s">
        <v>8</v>
      </c>
      <c r="GT619" s="27" t="s">
        <v>7</v>
      </c>
      <c r="GW619" s="27" t="s">
        <v>8</v>
      </c>
      <c r="GX619" s="27" t="s">
        <v>7</v>
      </c>
      <c r="GY619" s="27" t="s">
        <v>8</v>
      </c>
      <c r="HA619" s="27" t="s">
        <v>8</v>
      </c>
      <c r="HB619" s="27" t="s">
        <v>7</v>
      </c>
      <c r="HC619" s="27" t="s">
        <v>8</v>
      </c>
      <c r="HD619" s="27" t="s">
        <v>7</v>
      </c>
      <c r="HE619" s="27" t="s">
        <v>8</v>
      </c>
      <c r="HF619" s="27" t="s">
        <v>7</v>
      </c>
      <c r="HG619" s="27" t="s">
        <v>8</v>
      </c>
      <c r="HH619" s="27" t="s">
        <v>7</v>
      </c>
      <c r="HK619" s="27" t="s">
        <v>8</v>
      </c>
      <c r="HL619" s="27" t="s">
        <v>7</v>
      </c>
      <c r="HM619" s="27" t="s">
        <v>8</v>
      </c>
      <c r="HN619" s="27" t="s">
        <v>7</v>
      </c>
      <c r="HO619" s="27" t="s">
        <v>8</v>
      </c>
      <c r="KY619" s="27" t="s">
        <v>8</v>
      </c>
      <c r="KZ619" s="27" t="s">
        <v>7</v>
      </c>
      <c r="LC619" s="27" t="s">
        <v>8</v>
      </c>
      <c r="LE619" s="27" t="s">
        <v>8</v>
      </c>
      <c r="LF619" s="27" t="s">
        <v>7</v>
      </c>
      <c r="LH619" s="27" t="s">
        <v>7</v>
      </c>
    </row>
    <row r="620" spans="1:328" x14ac:dyDescent="0.25">
      <c r="A620" s="7">
        <v>0.52022872893901284</v>
      </c>
      <c r="B620"/>
      <c r="C620"/>
      <c r="D620"/>
      <c r="E620"/>
      <c r="F620" s="27" t="s">
        <v>7</v>
      </c>
      <c r="GK620" s="27" t="s">
        <v>8</v>
      </c>
      <c r="GN620" s="27" t="s">
        <v>7</v>
      </c>
      <c r="GO620" s="27" t="s">
        <v>8</v>
      </c>
      <c r="GR620" s="27" t="s">
        <v>7</v>
      </c>
      <c r="GS620" s="27" t="s">
        <v>8</v>
      </c>
      <c r="GT620" s="27" t="s">
        <v>7</v>
      </c>
      <c r="GU620" s="27" t="s">
        <v>8</v>
      </c>
      <c r="GW620" s="27" t="s">
        <v>8</v>
      </c>
      <c r="GX620" s="27" t="s">
        <v>7</v>
      </c>
      <c r="GY620" s="27" t="s">
        <v>8</v>
      </c>
      <c r="GZ620" s="27" t="s">
        <v>7</v>
      </c>
      <c r="HA620" s="27" t="s">
        <v>8</v>
      </c>
      <c r="HB620" s="27" t="s">
        <v>7</v>
      </c>
      <c r="HC620" s="27" t="s">
        <v>8</v>
      </c>
      <c r="HD620" s="27" t="s">
        <v>7</v>
      </c>
      <c r="HE620" s="27" t="s">
        <v>8</v>
      </c>
      <c r="HF620" s="27" t="s">
        <v>7</v>
      </c>
      <c r="HG620" s="27" t="s">
        <v>8</v>
      </c>
      <c r="HH620" s="27" t="s">
        <v>7</v>
      </c>
      <c r="HK620" s="27" t="s">
        <v>8</v>
      </c>
      <c r="HL620" s="27" t="s">
        <v>7</v>
      </c>
      <c r="HM620" s="27" t="s">
        <v>8</v>
      </c>
      <c r="HN620" s="27" t="s">
        <v>7</v>
      </c>
      <c r="HO620" s="27" t="s">
        <v>8</v>
      </c>
      <c r="HP620" s="27" t="s">
        <v>7</v>
      </c>
      <c r="HS620" s="27" t="s">
        <v>8</v>
      </c>
      <c r="KY620" s="27" t="s">
        <v>8</v>
      </c>
      <c r="KZ620" s="27" t="s">
        <v>7</v>
      </c>
      <c r="LA620" s="27" t="s">
        <v>8</v>
      </c>
      <c r="LC620" s="27" t="s">
        <v>8</v>
      </c>
      <c r="LD620" s="27" t="s">
        <v>7</v>
      </c>
      <c r="LE620" s="27" t="s">
        <v>8</v>
      </c>
      <c r="LH620" s="27" t="s">
        <v>7</v>
      </c>
      <c r="LO620" s="27" t="s">
        <v>8</v>
      </c>
    </row>
    <row r="621" spans="1:328" x14ac:dyDescent="0.25">
      <c r="A621" s="7">
        <v>0.51002816562648323</v>
      </c>
      <c r="B621"/>
      <c r="C621"/>
      <c r="D621"/>
      <c r="E621"/>
      <c r="F621" s="27" t="s">
        <v>7</v>
      </c>
      <c r="GK621" s="27" t="s">
        <v>8</v>
      </c>
      <c r="GN621" s="27" t="s">
        <v>7</v>
      </c>
      <c r="GO621" s="27" t="s">
        <v>8</v>
      </c>
      <c r="GR621" s="27" t="s">
        <v>7</v>
      </c>
      <c r="GS621" s="27" t="s">
        <v>8</v>
      </c>
      <c r="GT621" s="27" t="s">
        <v>7</v>
      </c>
      <c r="GU621" s="27" t="s">
        <v>8</v>
      </c>
      <c r="GV621" s="27" t="s">
        <v>7</v>
      </c>
      <c r="GW621" s="27" t="s">
        <v>8</v>
      </c>
      <c r="GX621" s="27" t="s">
        <v>7</v>
      </c>
      <c r="GY621" s="27" t="s">
        <v>8</v>
      </c>
      <c r="GZ621" s="27" t="s">
        <v>7</v>
      </c>
      <c r="HA621" s="27" t="s">
        <v>8</v>
      </c>
      <c r="HB621" s="27" t="s">
        <v>7</v>
      </c>
      <c r="HC621" s="27" t="s">
        <v>8</v>
      </c>
      <c r="HD621" s="27" t="s">
        <v>7</v>
      </c>
      <c r="HE621" s="27" t="s">
        <v>8</v>
      </c>
      <c r="HF621" s="27" t="s">
        <v>7</v>
      </c>
      <c r="HG621" s="27" t="s">
        <v>8</v>
      </c>
      <c r="HH621" s="27" t="s">
        <v>7</v>
      </c>
      <c r="HK621" s="27" t="s">
        <v>8</v>
      </c>
      <c r="HL621" s="27" t="s">
        <v>7</v>
      </c>
      <c r="HN621" s="27" t="s">
        <v>7</v>
      </c>
      <c r="HO621" s="27" t="s">
        <v>8</v>
      </c>
      <c r="HP621" s="27" t="s">
        <v>7</v>
      </c>
      <c r="HS621" s="27" t="s">
        <v>8</v>
      </c>
      <c r="HT621" s="27" t="s">
        <v>7</v>
      </c>
      <c r="KY621" s="27" t="s">
        <v>8</v>
      </c>
      <c r="KZ621" s="27" t="s">
        <v>7</v>
      </c>
      <c r="LA621" s="27" t="s">
        <v>8</v>
      </c>
      <c r="LB621" s="27" t="s">
        <v>7</v>
      </c>
      <c r="LC621" s="27" t="s">
        <v>8</v>
      </c>
      <c r="LD621" s="27" t="s">
        <v>7</v>
      </c>
      <c r="LE621" s="27" t="s">
        <v>8</v>
      </c>
      <c r="LH621" s="27" t="s">
        <v>7</v>
      </c>
      <c r="LI621" s="27" t="s">
        <v>8</v>
      </c>
      <c r="LO621" s="27" t="s">
        <v>8</v>
      </c>
      <c r="LP621" s="27" t="s">
        <v>7</v>
      </c>
    </row>
    <row r="622" spans="1:328" x14ac:dyDescent="0.25">
      <c r="A622" s="7">
        <v>0.50002761335929735</v>
      </c>
      <c r="B622"/>
      <c r="C622"/>
      <c r="D622"/>
      <c r="E622"/>
      <c r="F622" s="27" t="s">
        <v>7</v>
      </c>
      <c r="GK622" s="27" t="s">
        <v>8</v>
      </c>
      <c r="GN622" s="27" t="s">
        <v>7</v>
      </c>
      <c r="GO622" s="27" t="s">
        <v>8</v>
      </c>
      <c r="GR622" s="27" t="s">
        <v>7</v>
      </c>
      <c r="GS622" s="27" t="s">
        <v>8</v>
      </c>
      <c r="GT622" s="27" t="s">
        <v>7</v>
      </c>
      <c r="GU622" s="27" t="s">
        <v>8</v>
      </c>
      <c r="GV622" s="27" t="s">
        <v>7</v>
      </c>
      <c r="GW622" s="27" t="s">
        <v>8</v>
      </c>
      <c r="GX622" s="27" t="s">
        <v>7</v>
      </c>
      <c r="GY622" s="27" t="s">
        <v>8</v>
      </c>
      <c r="GZ622" s="27" t="s">
        <v>7</v>
      </c>
      <c r="HA622" s="27" t="s">
        <v>8</v>
      </c>
      <c r="HB622" s="27" t="s">
        <v>7</v>
      </c>
      <c r="HC622" s="27" t="s">
        <v>8</v>
      </c>
      <c r="HD622" s="27" t="s">
        <v>7</v>
      </c>
      <c r="HE622" s="27" t="s">
        <v>8</v>
      </c>
      <c r="HF622" s="27" t="s">
        <v>7</v>
      </c>
      <c r="HG622" s="27" t="s">
        <v>8</v>
      </c>
      <c r="HH622" s="27" t="s">
        <v>7</v>
      </c>
      <c r="HK622" s="27" t="s">
        <v>8</v>
      </c>
      <c r="HN622" s="27" t="s">
        <v>7</v>
      </c>
      <c r="HO622" s="27" t="s">
        <v>8</v>
      </c>
      <c r="HP622" s="27" t="s">
        <v>7</v>
      </c>
      <c r="HS622" s="27" t="s">
        <v>8</v>
      </c>
      <c r="HT622" s="27" t="s">
        <v>7</v>
      </c>
      <c r="KY622" s="27" t="s">
        <v>8</v>
      </c>
      <c r="KZ622" s="27" t="s">
        <v>7</v>
      </c>
      <c r="LA622" s="27" t="s">
        <v>8</v>
      </c>
      <c r="LB622" s="27" t="s">
        <v>7</v>
      </c>
      <c r="LC622" s="27" t="s">
        <v>8</v>
      </c>
      <c r="LD622" s="27" t="s">
        <v>7</v>
      </c>
      <c r="LE622" s="27" t="s">
        <v>8</v>
      </c>
      <c r="LH622" s="27" t="s">
        <v>7</v>
      </c>
      <c r="LI622" s="27" t="s">
        <v>8</v>
      </c>
      <c r="LJ622" s="27" t="s">
        <v>7</v>
      </c>
      <c r="LO622" s="27" t="s">
        <v>8</v>
      </c>
      <c r="LP622" s="27" t="s">
        <v>7</v>
      </c>
    </row>
    <row r="623" spans="1:328" x14ac:dyDescent="0.25">
      <c r="A623" s="7">
        <v>0.49022315035225228</v>
      </c>
      <c r="B623"/>
      <c r="C623"/>
      <c r="D623"/>
      <c r="E623"/>
      <c r="F623" s="27" t="s">
        <v>7</v>
      </c>
      <c r="GK623" s="27" t="s">
        <v>8</v>
      </c>
      <c r="GN623" s="27" t="s">
        <v>7</v>
      </c>
      <c r="GO623" s="27" t="s">
        <v>8</v>
      </c>
      <c r="GR623" s="27" t="s">
        <v>7</v>
      </c>
      <c r="GS623" s="27" t="s">
        <v>8</v>
      </c>
      <c r="GT623" s="27" t="s">
        <v>7</v>
      </c>
      <c r="GU623" s="27" t="s">
        <v>8</v>
      </c>
      <c r="GV623" s="27" t="s">
        <v>7</v>
      </c>
      <c r="GW623" s="27" t="s">
        <v>8</v>
      </c>
      <c r="GX623" s="27" t="s">
        <v>7</v>
      </c>
      <c r="GY623" s="27" t="s">
        <v>8</v>
      </c>
      <c r="GZ623" s="27" t="s">
        <v>7</v>
      </c>
      <c r="HA623" s="27" t="s">
        <v>8</v>
      </c>
      <c r="HB623" s="27" t="s">
        <v>7</v>
      </c>
      <c r="HC623" s="27" t="s">
        <v>8</v>
      </c>
      <c r="HD623" s="27" t="s">
        <v>7</v>
      </c>
      <c r="HE623" s="27" t="s">
        <v>8</v>
      </c>
      <c r="HF623" s="27" t="s">
        <v>7</v>
      </c>
      <c r="HG623" s="27" t="s">
        <v>8</v>
      </c>
      <c r="HH623" s="27" t="s">
        <v>7</v>
      </c>
      <c r="HK623" s="27" t="s">
        <v>8</v>
      </c>
      <c r="HN623" s="27" t="s">
        <v>7</v>
      </c>
      <c r="HO623" s="27" t="s">
        <v>8</v>
      </c>
      <c r="HP623" s="27" t="s">
        <v>7</v>
      </c>
      <c r="HS623" s="27" t="s">
        <v>8</v>
      </c>
      <c r="HT623" s="27" t="s">
        <v>7</v>
      </c>
      <c r="KY623" s="27" t="s">
        <v>8</v>
      </c>
      <c r="KZ623" s="27" t="s">
        <v>7</v>
      </c>
      <c r="LA623" s="27" t="s">
        <v>8</v>
      </c>
      <c r="LB623" s="27" t="s">
        <v>7</v>
      </c>
      <c r="LC623" s="27" t="s">
        <v>8</v>
      </c>
      <c r="LD623" s="27" t="s">
        <v>7</v>
      </c>
      <c r="LE623" s="27" t="s">
        <v>8</v>
      </c>
      <c r="LH623" s="27" t="s">
        <v>7</v>
      </c>
      <c r="LI623" s="27" t="s">
        <v>8</v>
      </c>
      <c r="LJ623" s="27" t="s">
        <v>7</v>
      </c>
      <c r="LO623" s="27" t="s">
        <v>8</v>
      </c>
      <c r="LP623" s="27" t="s">
        <v>7</v>
      </c>
    </row>
    <row r="624" spans="1:328" x14ac:dyDescent="0.25">
      <c r="A624" s="7">
        <v>0.48061093171789437</v>
      </c>
      <c r="B624"/>
      <c r="C624"/>
      <c r="D624"/>
      <c r="E624"/>
      <c r="F624" s="27" t="s">
        <v>7</v>
      </c>
      <c r="GK624" s="27" t="s">
        <v>8</v>
      </c>
      <c r="GN624" s="27" t="s">
        <v>7</v>
      </c>
      <c r="GR624" s="27" t="s">
        <v>7</v>
      </c>
      <c r="GS624" s="27" t="s">
        <v>8</v>
      </c>
      <c r="GT624" s="27" t="s">
        <v>7</v>
      </c>
      <c r="GU624" s="27" t="s">
        <v>8</v>
      </c>
      <c r="GV624" s="27" t="s">
        <v>7</v>
      </c>
      <c r="GW624" s="27" t="s">
        <v>8</v>
      </c>
      <c r="GX624" s="27" t="s">
        <v>7</v>
      </c>
      <c r="GY624" s="27" t="s">
        <v>8</v>
      </c>
      <c r="GZ624" s="27" t="s">
        <v>7</v>
      </c>
      <c r="HA624" s="27" t="s">
        <v>8</v>
      </c>
      <c r="HB624" s="27" t="s">
        <v>7</v>
      </c>
      <c r="HD624" s="27" t="s">
        <v>7</v>
      </c>
      <c r="HE624" s="27" t="s">
        <v>8</v>
      </c>
      <c r="HF624" s="27" t="s">
        <v>7</v>
      </c>
      <c r="HG624" s="27" t="s">
        <v>8</v>
      </c>
      <c r="HH624" s="27" t="s">
        <v>7</v>
      </c>
      <c r="HK624" s="27" t="s">
        <v>8</v>
      </c>
      <c r="HN624" s="27" t="s">
        <v>7</v>
      </c>
      <c r="HP624" s="27" t="s">
        <v>7</v>
      </c>
      <c r="HQ624" s="27" t="s">
        <v>8</v>
      </c>
      <c r="HS624" s="27" t="s">
        <v>8</v>
      </c>
      <c r="HT624" s="27" t="s">
        <v>7</v>
      </c>
      <c r="KY624" s="27" t="s">
        <v>8</v>
      </c>
      <c r="KZ624" s="27" t="s">
        <v>7</v>
      </c>
      <c r="LA624" s="27" t="s">
        <v>8</v>
      </c>
      <c r="LB624" s="27" t="s">
        <v>7</v>
      </c>
      <c r="LC624" s="27" t="s">
        <v>8</v>
      </c>
      <c r="LD624" s="27" t="s">
        <v>7</v>
      </c>
      <c r="LE624" s="27" t="s">
        <v>8</v>
      </c>
      <c r="LH624" s="27" t="s">
        <v>7</v>
      </c>
      <c r="LI624" s="27" t="s">
        <v>8</v>
      </c>
      <c r="LJ624" s="27" t="s">
        <v>7</v>
      </c>
      <c r="LK624" s="27" t="s">
        <v>8</v>
      </c>
      <c r="LO624" s="27" t="s">
        <v>8</v>
      </c>
      <c r="LP624" s="27" t="s">
        <v>7</v>
      </c>
    </row>
    <row r="625" spans="1:347" x14ac:dyDescent="0.25">
      <c r="A625" s="7">
        <v>0.47118718795871994</v>
      </c>
      <c r="B625"/>
      <c r="C625"/>
      <c r="D625"/>
      <c r="E625"/>
      <c r="F625" s="27" t="s">
        <v>7</v>
      </c>
      <c r="GK625" s="27" t="s">
        <v>8</v>
      </c>
      <c r="GR625" s="27" t="s">
        <v>7</v>
      </c>
      <c r="GS625" s="27" t="s">
        <v>8</v>
      </c>
      <c r="GT625" s="27" t="s">
        <v>7</v>
      </c>
      <c r="GV625" s="27" t="s">
        <v>7</v>
      </c>
      <c r="GW625" s="27" t="s">
        <v>8</v>
      </c>
      <c r="GX625" s="27" t="s">
        <v>7</v>
      </c>
      <c r="GY625" s="27" t="s">
        <v>8</v>
      </c>
      <c r="GZ625" s="27" t="s">
        <v>7</v>
      </c>
      <c r="HA625" s="27" t="s">
        <v>8</v>
      </c>
      <c r="HD625" s="27" t="s">
        <v>7</v>
      </c>
      <c r="HE625" s="27" t="s">
        <v>8</v>
      </c>
      <c r="HF625" s="27" t="s">
        <v>7</v>
      </c>
      <c r="HG625" s="27" t="s">
        <v>8</v>
      </c>
      <c r="HH625" s="27" t="s">
        <v>7</v>
      </c>
      <c r="HK625" s="27" t="s">
        <v>8</v>
      </c>
      <c r="HP625" s="27" t="s">
        <v>7</v>
      </c>
      <c r="HQ625" s="27" t="s">
        <v>8</v>
      </c>
      <c r="HR625" s="27" t="s">
        <v>7</v>
      </c>
      <c r="HS625" s="27" t="s">
        <v>8</v>
      </c>
      <c r="HT625" s="27" t="s">
        <v>7</v>
      </c>
      <c r="KY625" s="27" t="s">
        <v>8</v>
      </c>
      <c r="KZ625" s="27" t="s">
        <v>7</v>
      </c>
      <c r="LA625" s="27" t="s">
        <v>8</v>
      </c>
      <c r="LB625" s="27" t="s">
        <v>7</v>
      </c>
      <c r="LC625" s="27" t="s">
        <v>8</v>
      </c>
      <c r="LD625" s="27" t="s">
        <v>7</v>
      </c>
      <c r="LE625" s="27" t="s">
        <v>8</v>
      </c>
      <c r="LH625" s="27" t="s">
        <v>7</v>
      </c>
      <c r="LI625" s="27" t="s">
        <v>8</v>
      </c>
      <c r="LJ625" s="27" t="s">
        <v>7</v>
      </c>
      <c r="LK625" s="27" t="s">
        <v>8</v>
      </c>
      <c r="LL625" s="27" t="s">
        <v>7</v>
      </c>
      <c r="LO625" s="27" t="s">
        <v>8</v>
      </c>
      <c r="LP625" s="27" t="s">
        <v>7</v>
      </c>
      <c r="LS625" s="27" t="s">
        <v>8</v>
      </c>
    </row>
    <row r="626" spans="1:347" x14ac:dyDescent="0.25">
      <c r="A626" s="7">
        <v>0.46194822348894116</v>
      </c>
      <c r="B626"/>
      <c r="C626"/>
      <c r="D626"/>
      <c r="E626"/>
      <c r="F626" s="27" t="s">
        <v>7</v>
      </c>
      <c r="GK626" s="27" t="s">
        <v>8</v>
      </c>
      <c r="GR626" s="27" t="s">
        <v>7</v>
      </c>
      <c r="GS626" s="27" t="s">
        <v>8</v>
      </c>
      <c r="GV626" s="27" t="s">
        <v>7</v>
      </c>
      <c r="GW626" s="27" t="s">
        <v>8</v>
      </c>
      <c r="GX626" s="27" t="s">
        <v>7</v>
      </c>
      <c r="GY626" s="27" t="s">
        <v>8</v>
      </c>
      <c r="GZ626" s="27" t="s">
        <v>7</v>
      </c>
      <c r="HA626" s="27" t="s">
        <v>8</v>
      </c>
      <c r="HD626" s="27" t="s">
        <v>7</v>
      </c>
      <c r="HE626" s="27" t="s">
        <v>8</v>
      </c>
      <c r="HF626" s="27" t="s">
        <v>7</v>
      </c>
      <c r="HG626" s="27" t="s">
        <v>8</v>
      </c>
      <c r="HH626" s="27" t="s">
        <v>7</v>
      </c>
      <c r="HK626" s="27" t="s">
        <v>8</v>
      </c>
      <c r="HP626" s="27" t="s">
        <v>7</v>
      </c>
      <c r="HQ626" s="27" t="s">
        <v>8</v>
      </c>
      <c r="HR626" s="27" t="s">
        <v>7</v>
      </c>
      <c r="HS626" s="27" t="s">
        <v>8</v>
      </c>
      <c r="HT626" s="27" t="s">
        <v>7</v>
      </c>
      <c r="KY626" s="27" t="s">
        <v>8</v>
      </c>
      <c r="KZ626" s="27" t="s">
        <v>7</v>
      </c>
      <c r="LA626" s="27" t="s">
        <v>8</v>
      </c>
      <c r="LB626" s="27" t="s">
        <v>7</v>
      </c>
      <c r="LC626" s="27" t="s">
        <v>8</v>
      </c>
      <c r="LD626" s="27" t="s">
        <v>7</v>
      </c>
      <c r="LE626" s="27" t="s">
        <v>8</v>
      </c>
      <c r="LH626" s="27" t="s">
        <v>7</v>
      </c>
      <c r="LI626" s="27" t="s">
        <v>8</v>
      </c>
      <c r="LJ626" s="27" t="s">
        <v>7</v>
      </c>
      <c r="LK626" s="27" t="s">
        <v>8</v>
      </c>
      <c r="LL626" s="27" t="s">
        <v>7</v>
      </c>
      <c r="LO626" s="27" t="s">
        <v>8</v>
      </c>
      <c r="LP626" s="27" t="s">
        <v>7</v>
      </c>
      <c r="LQ626" s="27" t="s">
        <v>8</v>
      </c>
      <c r="LS626" s="27" t="s">
        <v>8</v>
      </c>
      <c r="LT626" s="27" t="s">
        <v>7</v>
      </c>
    </row>
    <row r="627" spans="1:347" x14ac:dyDescent="0.25">
      <c r="A627" s="7">
        <v>0.45289041518523643</v>
      </c>
      <c r="B627"/>
      <c r="C627"/>
      <c r="D627"/>
      <c r="E627"/>
      <c r="F627" s="27" t="s">
        <v>7</v>
      </c>
      <c r="GK627" s="27" t="s">
        <v>8</v>
      </c>
      <c r="GR627" s="27" t="s">
        <v>7</v>
      </c>
      <c r="GV627" s="27" t="s">
        <v>7</v>
      </c>
      <c r="GW627" s="27" t="s">
        <v>8</v>
      </c>
      <c r="GX627" s="27" t="s">
        <v>7</v>
      </c>
      <c r="GY627" s="27" t="s">
        <v>8</v>
      </c>
      <c r="GZ627" s="27" t="s">
        <v>7</v>
      </c>
      <c r="HA627" s="27" t="s">
        <v>8</v>
      </c>
      <c r="HD627" s="27" t="s">
        <v>7</v>
      </c>
      <c r="HE627" s="27" t="s">
        <v>8</v>
      </c>
      <c r="HF627" s="27" t="s">
        <v>7</v>
      </c>
      <c r="HH627" s="27" t="s">
        <v>7</v>
      </c>
      <c r="HK627" s="27" t="s">
        <v>8</v>
      </c>
      <c r="HP627" s="27" t="s">
        <v>7</v>
      </c>
      <c r="HQ627" s="27" t="s">
        <v>8</v>
      </c>
      <c r="HR627" s="27" t="s">
        <v>7</v>
      </c>
      <c r="HS627" s="27" t="s">
        <v>8</v>
      </c>
      <c r="HT627" s="27" t="s">
        <v>7</v>
      </c>
      <c r="HU627" s="27" t="s">
        <v>8</v>
      </c>
      <c r="KY627" s="27" t="s">
        <v>8</v>
      </c>
      <c r="KZ627" s="27" t="s">
        <v>7</v>
      </c>
      <c r="LA627" s="27" t="s">
        <v>8</v>
      </c>
      <c r="LB627" s="27" t="s">
        <v>7</v>
      </c>
      <c r="LC627" s="27" t="s">
        <v>8</v>
      </c>
      <c r="LD627" s="27" t="s">
        <v>7</v>
      </c>
      <c r="LE627" s="27" t="s">
        <v>8</v>
      </c>
      <c r="LH627" s="27" t="s">
        <v>7</v>
      </c>
      <c r="LJ627" s="27" t="s">
        <v>7</v>
      </c>
      <c r="LK627" s="27" t="s">
        <v>8</v>
      </c>
      <c r="LL627" s="27" t="s">
        <v>7</v>
      </c>
      <c r="LM627" s="27" t="s">
        <v>8</v>
      </c>
      <c r="LO627" s="27" t="s">
        <v>8</v>
      </c>
      <c r="LP627" s="27" t="s">
        <v>7</v>
      </c>
      <c r="LQ627" s="27" t="s">
        <v>8</v>
      </c>
      <c r="LR627" s="27" t="s">
        <v>7</v>
      </c>
      <c r="LS627" s="27" t="s">
        <v>8</v>
      </c>
      <c r="LT627" s="27" t="s">
        <v>7</v>
      </c>
    </row>
    <row r="628" spans="1:347" x14ac:dyDescent="0.25">
      <c r="A628" s="7">
        <v>0.44401021096591808</v>
      </c>
      <c r="B628"/>
      <c r="C628"/>
      <c r="D628"/>
      <c r="E628"/>
      <c r="F628" s="27" t="s">
        <v>7</v>
      </c>
      <c r="GK628" s="27" t="s">
        <v>8</v>
      </c>
      <c r="GV628" s="27" t="s">
        <v>7</v>
      </c>
      <c r="GW628" s="27" t="s">
        <v>8</v>
      </c>
      <c r="GX628" s="27" t="s">
        <v>7</v>
      </c>
      <c r="GY628" s="27" t="s">
        <v>8</v>
      </c>
      <c r="GZ628" s="27" t="s">
        <v>7</v>
      </c>
      <c r="HD628" s="27" t="s">
        <v>7</v>
      </c>
      <c r="HH628" s="27" t="s">
        <v>7</v>
      </c>
      <c r="HK628" s="27" t="s">
        <v>8</v>
      </c>
      <c r="HP628" s="27" t="s">
        <v>7</v>
      </c>
      <c r="HQ628" s="27" t="s">
        <v>8</v>
      </c>
      <c r="HR628" s="27" t="s">
        <v>7</v>
      </c>
      <c r="HS628" s="27" t="s">
        <v>8</v>
      </c>
      <c r="HT628" s="27" t="s">
        <v>7</v>
      </c>
      <c r="HU628" s="27" t="s">
        <v>8</v>
      </c>
      <c r="HV628" s="27" t="s">
        <v>7</v>
      </c>
      <c r="JW628" s="27" t="s">
        <v>8</v>
      </c>
      <c r="JY628" s="27" t="s">
        <v>8</v>
      </c>
      <c r="KY628" s="27" t="s">
        <v>8</v>
      </c>
      <c r="KZ628" s="27" t="s">
        <v>7</v>
      </c>
      <c r="LA628" s="27" t="s">
        <v>8</v>
      </c>
      <c r="LB628" s="27" t="s">
        <v>7</v>
      </c>
      <c r="LC628" s="27" t="s">
        <v>8</v>
      </c>
      <c r="LD628" s="27" t="s">
        <v>7</v>
      </c>
      <c r="LE628" s="27" t="s">
        <v>8</v>
      </c>
      <c r="LJ628" s="27" t="s">
        <v>7</v>
      </c>
      <c r="LK628" s="27" t="s">
        <v>8</v>
      </c>
      <c r="LL628" s="27" t="s">
        <v>7</v>
      </c>
      <c r="LM628" s="27" t="s">
        <v>8</v>
      </c>
      <c r="LN628" s="27" t="s">
        <v>7</v>
      </c>
      <c r="LO628" s="27" t="s">
        <v>8</v>
      </c>
      <c r="LP628" s="27" t="s">
        <v>7</v>
      </c>
      <c r="LQ628" s="27" t="s">
        <v>8</v>
      </c>
      <c r="LR628" s="27" t="s">
        <v>7</v>
      </c>
      <c r="LS628" s="27" t="s">
        <v>8</v>
      </c>
      <c r="LT628" s="27" t="s">
        <v>7</v>
      </c>
    </row>
    <row r="629" spans="1:347" x14ac:dyDescent="0.25">
      <c r="A629" s="7">
        <v>0.4353041283979589</v>
      </c>
      <c r="B629"/>
      <c r="C629"/>
      <c r="D629"/>
      <c r="E629"/>
      <c r="F629" s="27" t="s">
        <v>7</v>
      </c>
      <c r="GK629" s="27" t="s">
        <v>8</v>
      </c>
      <c r="GV629" s="27" t="s">
        <v>7</v>
      </c>
      <c r="GW629" s="27" t="s">
        <v>8</v>
      </c>
      <c r="GX629" s="27" t="s">
        <v>7</v>
      </c>
      <c r="GY629" s="27" t="s">
        <v>8</v>
      </c>
      <c r="HH629" s="27" t="s">
        <v>7</v>
      </c>
      <c r="HI629" s="27" t="s">
        <v>8</v>
      </c>
      <c r="HK629" s="27" t="s">
        <v>8</v>
      </c>
      <c r="HP629" s="27" t="s">
        <v>7</v>
      </c>
      <c r="HQ629" s="27" t="s">
        <v>8</v>
      </c>
      <c r="HR629" s="27" t="s">
        <v>7</v>
      </c>
      <c r="HS629" s="27" t="s">
        <v>8</v>
      </c>
      <c r="HT629" s="27" t="s">
        <v>7</v>
      </c>
      <c r="HU629" s="27" t="s">
        <v>8</v>
      </c>
      <c r="HV629" s="27" t="s">
        <v>7</v>
      </c>
      <c r="JW629" s="27" t="s">
        <v>8</v>
      </c>
      <c r="JX629" s="27" t="s">
        <v>7</v>
      </c>
      <c r="JY629" s="27" t="s">
        <v>8</v>
      </c>
      <c r="JZ629" s="27" t="s">
        <v>7</v>
      </c>
      <c r="KY629" s="27" t="s">
        <v>8</v>
      </c>
      <c r="KZ629" s="27" t="s">
        <v>7</v>
      </c>
      <c r="LA629" s="27" t="s">
        <v>8</v>
      </c>
      <c r="LB629" s="27" t="s">
        <v>7</v>
      </c>
      <c r="LC629" s="27" t="s">
        <v>8</v>
      </c>
      <c r="LD629" s="27" t="s">
        <v>7</v>
      </c>
      <c r="LJ629" s="27" t="s">
        <v>7</v>
      </c>
      <c r="LK629" s="27" t="s">
        <v>8</v>
      </c>
      <c r="LL629" s="27" t="s">
        <v>7</v>
      </c>
      <c r="LM629" s="27" t="s">
        <v>8</v>
      </c>
      <c r="LN629" s="27" t="s">
        <v>7</v>
      </c>
      <c r="LO629" s="27" t="s">
        <v>8</v>
      </c>
      <c r="LP629" s="27" t="s">
        <v>7</v>
      </c>
      <c r="LQ629" s="27" t="s">
        <v>8</v>
      </c>
      <c r="LR629" s="27" t="s">
        <v>7</v>
      </c>
      <c r="LS629" s="27" t="s">
        <v>8</v>
      </c>
      <c r="LT629" s="27" t="s">
        <v>7</v>
      </c>
    </row>
    <row r="630" spans="1:347" x14ac:dyDescent="0.25">
      <c r="A630" s="7">
        <v>0.4267687533313323</v>
      </c>
      <c r="B630"/>
      <c r="C630"/>
      <c r="D630"/>
      <c r="E630"/>
      <c r="F630" s="27" t="s">
        <v>7</v>
      </c>
      <c r="GK630" s="27" t="s">
        <v>8</v>
      </c>
      <c r="GV630" s="27" t="s">
        <v>7</v>
      </c>
      <c r="GW630" s="27" t="s">
        <v>8</v>
      </c>
      <c r="GX630" s="27" t="s">
        <v>7</v>
      </c>
      <c r="GY630" s="27" t="s">
        <v>8</v>
      </c>
      <c r="HH630" s="27" t="s">
        <v>7</v>
      </c>
      <c r="HI630" s="27" t="s">
        <v>8</v>
      </c>
      <c r="HJ630" s="27" t="s">
        <v>7</v>
      </c>
      <c r="HK630" s="27" t="s">
        <v>8</v>
      </c>
      <c r="HP630" s="27" t="s">
        <v>7</v>
      </c>
      <c r="HQ630" s="27" t="s">
        <v>8</v>
      </c>
      <c r="HR630" s="27" t="s">
        <v>7</v>
      </c>
      <c r="HS630" s="27" t="s">
        <v>8</v>
      </c>
      <c r="HT630" s="27" t="s">
        <v>7</v>
      </c>
      <c r="HU630" s="27" t="s">
        <v>8</v>
      </c>
      <c r="HV630" s="27" t="s">
        <v>7</v>
      </c>
      <c r="JW630" s="27" t="s">
        <v>8</v>
      </c>
      <c r="JX630" s="27" t="s">
        <v>7</v>
      </c>
      <c r="JY630" s="27" t="s">
        <v>8</v>
      </c>
      <c r="JZ630" s="27" t="s">
        <v>7</v>
      </c>
      <c r="KY630" s="27" t="s">
        <v>8</v>
      </c>
      <c r="KZ630" s="27" t="s">
        <v>7</v>
      </c>
      <c r="LA630" s="27" t="s">
        <v>8</v>
      </c>
      <c r="LB630" s="27" t="s">
        <v>7</v>
      </c>
      <c r="LJ630" s="27" t="s">
        <v>7</v>
      </c>
      <c r="LK630" s="27" t="s">
        <v>8</v>
      </c>
      <c r="LL630" s="27" t="s">
        <v>7</v>
      </c>
      <c r="LN630" s="27" t="s">
        <v>7</v>
      </c>
      <c r="LP630" s="27" t="s">
        <v>7</v>
      </c>
      <c r="LR630" s="27" t="s">
        <v>7</v>
      </c>
      <c r="LS630" s="27" t="s">
        <v>8</v>
      </c>
      <c r="LT630" s="27" t="s">
        <v>7</v>
      </c>
    </row>
    <row r="631" spans="1:347" x14ac:dyDescent="0.25">
      <c r="A631" s="7">
        <v>0.41840073856012971</v>
      </c>
      <c r="B631"/>
      <c r="C631"/>
      <c r="D631"/>
      <c r="E631"/>
      <c r="F631" s="27" t="s">
        <v>7</v>
      </c>
      <c r="GK631" s="27" t="s">
        <v>8</v>
      </c>
      <c r="GV631" s="27" t="s">
        <v>7</v>
      </c>
      <c r="GX631" s="27" t="s">
        <v>7</v>
      </c>
      <c r="GY631" s="27" t="s">
        <v>8</v>
      </c>
      <c r="HH631" s="27" t="s">
        <v>7</v>
      </c>
      <c r="HI631" s="27" t="s">
        <v>8</v>
      </c>
      <c r="HJ631" s="27" t="s">
        <v>7</v>
      </c>
      <c r="HK631" s="27" t="s">
        <v>8</v>
      </c>
      <c r="HP631" s="27" t="s">
        <v>7</v>
      </c>
      <c r="HQ631" s="27" t="s">
        <v>8</v>
      </c>
      <c r="HR631" s="27" t="s">
        <v>7</v>
      </c>
      <c r="HS631" s="27" t="s">
        <v>8</v>
      </c>
      <c r="HT631" s="27" t="s">
        <v>7</v>
      </c>
      <c r="HU631" s="27" t="s">
        <v>8</v>
      </c>
      <c r="HV631" s="27" t="s">
        <v>7</v>
      </c>
      <c r="JW631" s="27" t="s">
        <v>8</v>
      </c>
      <c r="JX631" s="27" t="s">
        <v>7</v>
      </c>
      <c r="JY631" s="27" t="s">
        <v>8</v>
      </c>
      <c r="JZ631" s="27" t="s">
        <v>7</v>
      </c>
      <c r="KY631" s="27" t="s">
        <v>8</v>
      </c>
      <c r="KZ631" s="27" t="s">
        <v>7</v>
      </c>
      <c r="LA631" s="27" t="s">
        <v>8</v>
      </c>
      <c r="LJ631" s="27" t="s">
        <v>7</v>
      </c>
      <c r="LR631" s="27" t="s">
        <v>7</v>
      </c>
      <c r="LS631" s="27" t="s">
        <v>8</v>
      </c>
      <c r="LT631" s="27" t="s">
        <v>7</v>
      </c>
    </row>
    <row r="632" spans="1:347" x14ac:dyDescent="0.25">
      <c r="A632" s="7">
        <v>0.41019680250993112</v>
      </c>
      <c r="B632"/>
      <c r="C632"/>
      <c r="D632"/>
      <c r="E632"/>
      <c r="F632" s="27" t="s">
        <v>7</v>
      </c>
      <c r="GK632" s="27" t="s">
        <v>8</v>
      </c>
      <c r="GX632" s="27" t="s">
        <v>7</v>
      </c>
      <c r="GY632" s="27" t="s">
        <v>8</v>
      </c>
      <c r="HH632" s="27" t="s">
        <v>7</v>
      </c>
      <c r="HI632" s="27" t="s">
        <v>8</v>
      </c>
      <c r="HJ632" s="27" t="s">
        <v>7</v>
      </c>
      <c r="HK632" s="27" t="s">
        <v>8</v>
      </c>
      <c r="HP632" s="27" t="s">
        <v>7</v>
      </c>
      <c r="HQ632" s="27" t="s">
        <v>8</v>
      </c>
      <c r="HR632" s="27" t="s">
        <v>7</v>
      </c>
      <c r="HS632" s="27" t="s">
        <v>8</v>
      </c>
      <c r="HT632" s="27" t="s">
        <v>7</v>
      </c>
      <c r="HU632" s="27" t="s">
        <v>8</v>
      </c>
      <c r="HV632" s="27" t="s">
        <v>7</v>
      </c>
      <c r="JQ632" s="27" t="s">
        <v>8</v>
      </c>
      <c r="JW632" s="27" t="s">
        <v>8</v>
      </c>
      <c r="JX632" s="27" t="s">
        <v>7</v>
      </c>
      <c r="JZ632" s="27" t="s">
        <v>7</v>
      </c>
      <c r="KY632" s="27" t="s">
        <v>8</v>
      </c>
      <c r="KZ632" s="27" t="s">
        <v>7</v>
      </c>
      <c r="LA632" s="27" t="s">
        <v>8</v>
      </c>
      <c r="LR632" s="27" t="s">
        <v>7</v>
      </c>
      <c r="LS632" s="27" t="s">
        <v>8</v>
      </c>
      <c r="LT632" s="27" t="s">
        <v>7</v>
      </c>
    </row>
    <row r="633" spans="1:347" x14ac:dyDescent="0.25">
      <c r="A633" s="7">
        <v>0.40215372795091286</v>
      </c>
      <c r="B633"/>
      <c r="C633"/>
      <c r="D633"/>
      <c r="E633"/>
      <c r="F633" s="27" t="s">
        <v>7</v>
      </c>
      <c r="GK633" s="27" t="s">
        <v>8</v>
      </c>
      <c r="GX633" s="27" t="s">
        <v>7</v>
      </c>
      <c r="GY633" s="27" t="s">
        <v>8</v>
      </c>
      <c r="HH633" s="27" t="s">
        <v>7</v>
      </c>
      <c r="HI633" s="27" t="s">
        <v>8</v>
      </c>
      <c r="HJ633" s="27" t="s">
        <v>7</v>
      </c>
      <c r="HK633" s="27" t="s">
        <v>8</v>
      </c>
      <c r="HP633" s="27" t="s">
        <v>7</v>
      </c>
      <c r="HR633" s="27" t="s">
        <v>7</v>
      </c>
      <c r="HS633" s="27" t="s">
        <v>8</v>
      </c>
      <c r="HT633" s="27" t="s">
        <v>7</v>
      </c>
      <c r="HU633" s="27" t="s">
        <v>8</v>
      </c>
      <c r="HV633" s="27" t="s">
        <v>7</v>
      </c>
      <c r="JQ633" s="27" t="s">
        <v>8</v>
      </c>
      <c r="JR633" s="27" t="s">
        <v>7</v>
      </c>
      <c r="JU633" s="27" t="s">
        <v>8</v>
      </c>
      <c r="JW633" s="27" t="s">
        <v>8</v>
      </c>
      <c r="JZ633" s="27" t="s">
        <v>7</v>
      </c>
      <c r="KY633" s="27" t="s">
        <v>8</v>
      </c>
      <c r="KZ633" s="27" t="s">
        <v>7</v>
      </c>
      <c r="LA633" s="27" t="s">
        <v>8</v>
      </c>
      <c r="LR633" s="27" t="s">
        <v>7</v>
      </c>
      <c r="LS633" s="27" t="s">
        <v>8</v>
      </c>
      <c r="LT633" s="27" t="s">
        <v>7</v>
      </c>
    </row>
    <row r="634" spans="1:347" x14ac:dyDescent="0.25">
      <c r="A634" s="7">
        <v>0.39426836073618904</v>
      </c>
      <c r="B634"/>
      <c r="C634"/>
      <c r="D634"/>
      <c r="E634"/>
      <c r="F634" s="27" t="s">
        <v>7</v>
      </c>
      <c r="GK634" s="27" t="s">
        <v>8</v>
      </c>
      <c r="GX634" s="27" t="s">
        <v>7</v>
      </c>
      <c r="GY634" s="27" t="s">
        <v>8</v>
      </c>
      <c r="HH634" s="27" t="s">
        <v>7</v>
      </c>
      <c r="HI634" s="27" t="s">
        <v>8</v>
      </c>
      <c r="HJ634" s="27" t="s">
        <v>7</v>
      </c>
      <c r="HK634" s="27" t="s">
        <v>8</v>
      </c>
      <c r="HR634" s="27" t="s">
        <v>7</v>
      </c>
      <c r="HS634" s="27" t="s">
        <v>8</v>
      </c>
      <c r="HT634" s="27" t="s">
        <v>7</v>
      </c>
      <c r="HU634" s="27" t="s">
        <v>8</v>
      </c>
      <c r="HV634" s="27" t="s">
        <v>7</v>
      </c>
      <c r="JQ634" s="27" t="s">
        <v>8</v>
      </c>
      <c r="JR634" s="27" t="s">
        <v>7</v>
      </c>
      <c r="JU634" s="27" t="s">
        <v>8</v>
      </c>
      <c r="JV634" s="27" t="s">
        <v>7</v>
      </c>
      <c r="JW634" s="27" t="s">
        <v>8</v>
      </c>
      <c r="JZ634" s="27" t="s">
        <v>7</v>
      </c>
      <c r="KY634" s="27" t="s">
        <v>8</v>
      </c>
      <c r="KZ634" s="27" t="s">
        <v>7</v>
      </c>
      <c r="LR634" s="27" t="s">
        <v>7</v>
      </c>
      <c r="LT634" s="27" t="s">
        <v>7</v>
      </c>
    </row>
    <row r="635" spans="1:347" x14ac:dyDescent="0.25">
      <c r="A635" s="7">
        <v>0.38653760856489122</v>
      </c>
      <c r="B635"/>
      <c r="C635"/>
      <c r="D635"/>
      <c r="E635"/>
      <c r="F635" s="27" t="s">
        <v>7</v>
      </c>
      <c r="GK635" s="27" t="s">
        <v>8</v>
      </c>
      <c r="GX635" s="27" t="s">
        <v>7</v>
      </c>
      <c r="GY635" s="27" t="s">
        <v>8</v>
      </c>
      <c r="HH635" s="27" t="s">
        <v>7</v>
      </c>
      <c r="HI635" s="27" t="s">
        <v>8</v>
      </c>
      <c r="HJ635" s="27" t="s">
        <v>7</v>
      </c>
      <c r="HK635" s="27" t="s">
        <v>8</v>
      </c>
      <c r="HR635" s="27" t="s">
        <v>7</v>
      </c>
      <c r="HS635" s="27" t="s">
        <v>8</v>
      </c>
      <c r="HT635" s="27" t="s">
        <v>7</v>
      </c>
      <c r="HV635" s="27" t="s">
        <v>7</v>
      </c>
      <c r="JO635" s="27" t="s">
        <v>8</v>
      </c>
      <c r="JQ635" s="27" t="s">
        <v>8</v>
      </c>
      <c r="JR635" s="27" t="s">
        <v>7</v>
      </c>
      <c r="JS635" s="27" t="s">
        <v>8</v>
      </c>
      <c r="JU635" s="27" t="s">
        <v>8</v>
      </c>
      <c r="JV635" s="27" t="s">
        <v>7</v>
      </c>
      <c r="JW635" s="27" t="s">
        <v>8</v>
      </c>
      <c r="JZ635" s="27" t="s">
        <v>7</v>
      </c>
      <c r="KY635" s="27" t="s">
        <v>8</v>
      </c>
      <c r="LT635" s="27" t="s">
        <v>7</v>
      </c>
    </row>
    <row r="636" spans="1:347" x14ac:dyDescent="0.25">
      <c r="A636" s="7">
        <v>0.37895843976950117</v>
      </c>
      <c r="B636"/>
      <c r="C636"/>
      <c r="D636"/>
      <c r="E636"/>
      <c r="F636" s="27" t="s">
        <v>7</v>
      </c>
      <c r="GK636" s="27" t="s">
        <v>8</v>
      </c>
      <c r="GX636" s="27" t="s">
        <v>7</v>
      </c>
      <c r="GY636" s="27" t="s">
        <v>8</v>
      </c>
      <c r="HH636" s="27" t="s">
        <v>7</v>
      </c>
      <c r="HI636" s="27" t="s">
        <v>8</v>
      </c>
      <c r="HJ636" s="27" t="s">
        <v>7</v>
      </c>
      <c r="HK636" s="27" t="s">
        <v>8</v>
      </c>
      <c r="HR636" s="27" t="s">
        <v>7</v>
      </c>
      <c r="HS636" s="27" t="s">
        <v>8</v>
      </c>
      <c r="HV636" s="27" t="s">
        <v>7</v>
      </c>
      <c r="JO636" s="27" t="s">
        <v>8</v>
      </c>
      <c r="JP636" s="27" t="s">
        <v>7</v>
      </c>
      <c r="JQ636" s="27" t="s">
        <v>8</v>
      </c>
      <c r="JR636" s="27" t="s">
        <v>7</v>
      </c>
      <c r="JS636" s="27" t="s">
        <v>8</v>
      </c>
      <c r="JT636" s="27" t="s">
        <v>7</v>
      </c>
      <c r="JU636" s="27" t="s">
        <v>8</v>
      </c>
      <c r="JV636" s="27" t="s">
        <v>7</v>
      </c>
      <c r="JW636" s="27" t="s">
        <v>8</v>
      </c>
      <c r="JZ636" s="27" t="s">
        <v>7</v>
      </c>
      <c r="KO636" s="27" t="s">
        <v>8</v>
      </c>
      <c r="KY636" s="27" t="s">
        <v>8</v>
      </c>
      <c r="LT636" s="27" t="s">
        <v>7</v>
      </c>
    </row>
    <row r="637" spans="1:347" x14ac:dyDescent="0.25">
      <c r="A637" s="7">
        <v>0.37152788212696197</v>
      </c>
      <c r="B637"/>
      <c r="C637"/>
      <c r="D637"/>
      <c r="E637"/>
      <c r="F637" s="27" t="s">
        <v>7</v>
      </c>
      <c r="GK637" s="27" t="s">
        <v>8</v>
      </c>
      <c r="GX637" s="27" t="s">
        <v>7</v>
      </c>
      <c r="HH637" s="27" t="s">
        <v>7</v>
      </c>
      <c r="HI637" s="27" t="s">
        <v>8</v>
      </c>
      <c r="HJ637" s="27" t="s">
        <v>7</v>
      </c>
      <c r="HK637" s="27" t="s">
        <v>8</v>
      </c>
      <c r="HR637" s="27" t="s">
        <v>7</v>
      </c>
      <c r="HV637" s="27" t="s">
        <v>7</v>
      </c>
      <c r="JO637" s="27" t="s">
        <v>8</v>
      </c>
      <c r="JP637" s="27" t="s">
        <v>7</v>
      </c>
      <c r="JQ637" s="27" t="s">
        <v>8</v>
      </c>
      <c r="JR637" s="27" t="s">
        <v>7</v>
      </c>
      <c r="JS637" s="27" t="s">
        <v>8</v>
      </c>
      <c r="JT637" s="27" t="s">
        <v>7</v>
      </c>
      <c r="JU637" s="27" t="s">
        <v>8</v>
      </c>
      <c r="JV637" s="27" t="s">
        <v>7</v>
      </c>
      <c r="JW637" s="27" t="s">
        <v>8</v>
      </c>
      <c r="JZ637" s="27" t="s">
        <v>7</v>
      </c>
      <c r="KO637" s="27" t="s">
        <v>8</v>
      </c>
      <c r="KP637" s="27" t="s">
        <v>7</v>
      </c>
      <c r="KY637" s="27" t="s">
        <v>8</v>
      </c>
      <c r="LT637" s="27" t="s">
        <v>7</v>
      </c>
    </row>
    <row r="638" spans="1:347" x14ac:dyDescent="0.25">
      <c r="A638" s="7">
        <v>0.36424302169310002</v>
      </c>
      <c r="B638"/>
      <c r="C638"/>
      <c r="D638"/>
      <c r="E638"/>
      <c r="F638" s="27" t="s">
        <v>7</v>
      </c>
      <c r="GK638" s="27" t="s">
        <v>8</v>
      </c>
      <c r="HH638" s="27" t="s">
        <v>7</v>
      </c>
      <c r="HI638" s="27" t="s">
        <v>8</v>
      </c>
      <c r="HJ638" s="27" t="s">
        <v>7</v>
      </c>
      <c r="HK638" s="27" t="s">
        <v>8</v>
      </c>
      <c r="HV638" s="27" t="s">
        <v>7</v>
      </c>
      <c r="IK638" s="27" t="s">
        <v>8</v>
      </c>
      <c r="JO638" s="27" t="s">
        <v>8</v>
      </c>
      <c r="JP638" s="27" t="s">
        <v>7</v>
      </c>
      <c r="JQ638" s="27" t="s">
        <v>8</v>
      </c>
      <c r="JR638" s="27" t="s">
        <v>7</v>
      </c>
      <c r="JS638" s="27" t="s">
        <v>8</v>
      </c>
      <c r="JT638" s="27" t="s">
        <v>7</v>
      </c>
      <c r="JU638" s="27" t="s">
        <v>8</v>
      </c>
      <c r="JV638" s="27" t="s">
        <v>7</v>
      </c>
      <c r="JZ638" s="27" t="s">
        <v>7</v>
      </c>
      <c r="KA638" s="27" t="s">
        <v>8</v>
      </c>
      <c r="KO638" s="27" t="s">
        <v>8</v>
      </c>
      <c r="KP638" s="27" t="s">
        <v>7</v>
      </c>
      <c r="KW638" s="27" t="s">
        <v>8</v>
      </c>
      <c r="KY638" s="27" t="s">
        <v>8</v>
      </c>
      <c r="LT638" s="27" t="s">
        <v>7</v>
      </c>
    </row>
    <row r="639" spans="1:347" x14ac:dyDescent="0.25">
      <c r="A639" s="7">
        <v>0.35710100165990194</v>
      </c>
      <c r="B639"/>
      <c r="C639"/>
      <c r="D639"/>
      <c r="E639"/>
      <c r="F639" s="27" t="s">
        <v>7</v>
      </c>
      <c r="GK639" s="27" t="s">
        <v>8</v>
      </c>
      <c r="HH639" s="27" t="s">
        <v>7</v>
      </c>
      <c r="HI639" s="27" t="s">
        <v>8</v>
      </c>
      <c r="HJ639" s="27" t="s">
        <v>7</v>
      </c>
      <c r="HV639" s="27" t="s">
        <v>7</v>
      </c>
      <c r="IK639" s="27" t="s">
        <v>8</v>
      </c>
      <c r="IL639" s="27" t="s">
        <v>7</v>
      </c>
      <c r="JO639" s="27" t="s">
        <v>8</v>
      </c>
      <c r="JP639" s="27" t="s">
        <v>7</v>
      </c>
      <c r="JQ639" s="27" t="s">
        <v>8</v>
      </c>
      <c r="JR639" s="27" t="s">
        <v>7</v>
      </c>
      <c r="JS639" s="27" t="s">
        <v>8</v>
      </c>
      <c r="JT639" s="27" t="s">
        <v>7</v>
      </c>
      <c r="JU639" s="27" t="s">
        <v>8</v>
      </c>
      <c r="JZ639" s="27" t="s">
        <v>7</v>
      </c>
      <c r="KA639" s="27" t="s">
        <v>8</v>
      </c>
      <c r="KB639" s="27" t="s">
        <v>7</v>
      </c>
      <c r="KO639" s="27" t="s">
        <v>8</v>
      </c>
      <c r="KP639" s="27" t="s">
        <v>7</v>
      </c>
      <c r="KW639" s="27" t="s">
        <v>8</v>
      </c>
      <c r="KX639" s="27" t="s">
        <v>7</v>
      </c>
      <c r="KY639" s="27" t="s">
        <v>8</v>
      </c>
      <c r="LT639" s="27" t="s">
        <v>7</v>
      </c>
    </row>
    <row r="640" spans="1:347" x14ac:dyDescent="0.25">
      <c r="A640" s="7">
        <v>0.35009902123519804</v>
      </c>
      <c r="B640"/>
      <c r="C640"/>
      <c r="D640"/>
      <c r="E640"/>
      <c r="F640" s="27" t="s">
        <v>7</v>
      </c>
      <c r="GK640" s="27" t="s">
        <v>8</v>
      </c>
      <c r="HH640" s="27" t="s">
        <v>7</v>
      </c>
      <c r="HI640" s="27" t="s">
        <v>8</v>
      </c>
      <c r="HV640" s="27" t="s">
        <v>7</v>
      </c>
      <c r="II640" s="27" t="s">
        <v>8</v>
      </c>
      <c r="IK640" s="27" t="s">
        <v>8</v>
      </c>
      <c r="IL640" s="27" t="s">
        <v>7</v>
      </c>
      <c r="JM640" s="27" t="s">
        <v>8</v>
      </c>
      <c r="JO640" s="27" t="s">
        <v>8</v>
      </c>
      <c r="JP640" s="27" t="s">
        <v>7</v>
      </c>
      <c r="JQ640" s="27" t="s">
        <v>8</v>
      </c>
      <c r="JR640" s="27" t="s">
        <v>7</v>
      </c>
      <c r="JT640" s="27" t="s">
        <v>7</v>
      </c>
      <c r="JU640" s="27" t="s">
        <v>8</v>
      </c>
      <c r="JZ640" s="27" t="s">
        <v>7</v>
      </c>
      <c r="KA640" s="27" t="s">
        <v>8</v>
      </c>
      <c r="KB640" s="27" t="s">
        <v>7</v>
      </c>
      <c r="KC640" s="27" t="s">
        <v>8</v>
      </c>
      <c r="KO640" s="27" t="s">
        <v>8</v>
      </c>
      <c r="KP640" s="27" t="s">
        <v>7</v>
      </c>
      <c r="KW640" s="27" t="s">
        <v>8</v>
      </c>
      <c r="KX640" s="27" t="s">
        <v>7</v>
      </c>
      <c r="KY640" s="27" t="s">
        <v>8</v>
      </c>
      <c r="LT640" s="27" t="s">
        <v>7</v>
      </c>
      <c r="LU640" s="27" t="s">
        <v>8</v>
      </c>
      <c r="MI640" s="27" t="s">
        <v>8</v>
      </c>
    </row>
    <row r="641" spans="1:358" x14ac:dyDescent="0.25">
      <c r="A641" s="7">
        <v>0.34323433454431179</v>
      </c>
      <c r="B641"/>
      <c r="C641"/>
      <c r="D641"/>
      <c r="E641"/>
      <c r="F641" s="27" t="s">
        <v>7</v>
      </c>
      <c r="GK641" s="27" t="s">
        <v>8</v>
      </c>
      <c r="HH641" s="27" t="s">
        <v>7</v>
      </c>
      <c r="HI641" s="27" t="s">
        <v>8</v>
      </c>
      <c r="HV641" s="27" t="s">
        <v>7</v>
      </c>
      <c r="HW641" s="27" t="s">
        <v>8</v>
      </c>
      <c r="II641" s="27" t="s">
        <v>8</v>
      </c>
      <c r="IJ641" s="27" t="s">
        <v>7</v>
      </c>
      <c r="IK641" s="27" t="s">
        <v>8</v>
      </c>
      <c r="IL641" s="27" t="s">
        <v>7</v>
      </c>
      <c r="JM641" s="27" t="s">
        <v>8</v>
      </c>
      <c r="JN641" s="27" t="s">
        <v>7</v>
      </c>
      <c r="JO641" s="27" t="s">
        <v>8</v>
      </c>
      <c r="JP641" s="27" t="s">
        <v>7</v>
      </c>
      <c r="JQ641" s="27" t="s">
        <v>8</v>
      </c>
      <c r="JT641" s="27" t="s">
        <v>7</v>
      </c>
      <c r="JZ641" s="27" t="s">
        <v>7</v>
      </c>
      <c r="KA641" s="27" t="s">
        <v>8</v>
      </c>
      <c r="KB641" s="27" t="s">
        <v>7</v>
      </c>
      <c r="KC641" s="27" t="s">
        <v>8</v>
      </c>
      <c r="KD641" s="27" t="s">
        <v>7</v>
      </c>
      <c r="KO641" s="27" t="s">
        <v>8</v>
      </c>
      <c r="KP641" s="27" t="s">
        <v>7</v>
      </c>
      <c r="KW641" s="27" t="s">
        <v>8</v>
      </c>
      <c r="KX641" s="27" t="s">
        <v>7</v>
      </c>
      <c r="KY641" s="27" t="s">
        <v>8</v>
      </c>
      <c r="LT641" s="27" t="s">
        <v>7</v>
      </c>
      <c r="LU641" s="27" t="s">
        <v>8</v>
      </c>
      <c r="LV641" s="27" t="s">
        <v>7</v>
      </c>
      <c r="MI641" s="27" t="s">
        <v>8</v>
      </c>
      <c r="MJ641" s="27" t="s">
        <v>7</v>
      </c>
    </row>
    <row r="642" spans="1:358" x14ac:dyDescent="0.25">
      <c r="A642" s="7">
        <v>0.33650424955324681</v>
      </c>
      <c r="B642"/>
      <c r="C642"/>
      <c r="D642"/>
      <c r="E642"/>
      <c r="F642" s="27" t="s">
        <v>7</v>
      </c>
      <c r="GK642" s="27" t="s">
        <v>8</v>
      </c>
      <c r="HH642" s="27" t="s">
        <v>7</v>
      </c>
      <c r="HI642" s="27" t="s">
        <v>8</v>
      </c>
      <c r="HV642" s="27" t="s">
        <v>7</v>
      </c>
      <c r="HW642" s="27" t="s">
        <v>8</v>
      </c>
      <c r="HX642" s="27" t="s">
        <v>7</v>
      </c>
      <c r="IA642" s="27" t="s">
        <v>8</v>
      </c>
      <c r="II642" s="27" t="s">
        <v>8</v>
      </c>
      <c r="IJ642" s="27" t="s">
        <v>7</v>
      </c>
      <c r="IK642" s="27" t="s">
        <v>8</v>
      </c>
      <c r="IL642" s="27" t="s">
        <v>7</v>
      </c>
      <c r="JM642" s="27" t="s">
        <v>8</v>
      </c>
      <c r="JN642" s="27" t="s">
        <v>7</v>
      </c>
      <c r="JO642" s="27" t="s">
        <v>8</v>
      </c>
      <c r="JP642" s="27" t="s">
        <v>7</v>
      </c>
      <c r="JQ642" s="27" t="s">
        <v>8</v>
      </c>
      <c r="JZ642" s="27" t="s">
        <v>7</v>
      </c>
      <c r="KA642" s="27" t="s">
        <v>8</v>
      </c>
      <c r="KB642" s="27" t="s">
        <v>7</v>
      </c>
      <c r="KC642" s="27" t="s">
        <v>8</v>
      </c>
      <c r="KD642" s="27" t="s">
        <v>7</v>
      </c>
      <c r="KO642" s="27" t="s">
        <v>8</v>
      </c>
      <c r="KP642" s="27" t="s">
        <v>7</v>
      </c>
      <c r="KW642" s="27" t="s">
        <v>8</v>
      </c>
      <c r="KX642" s="27" t="s">
        <v>7</v>
      </c>
      <c r="KY642" s="27" t="s">
        <v>8</v>
      </c>
      <c r="LT642" s="27" t="s">
        <v>7</v>
      </c>
      <c r="LU642" s="27" t="s">
        <v>8</v>
      </c>
      <c r="LV642" s="27" t="s">
        <v>7</v>
      </c>
      <c r="LW642" s="27" t="s">
        <v>8</v>
      </c>
      <c r="MI642" s="27" t="s">
        <v>8</v>
      </c>
      <c r="MJ642" s="27" t="s">
        <v>7</v>
      </c>
    </row>
    <row r="643" spans="1:358" x14ac:dyDescent="0.25">
      <c r="A643" s="7">
        <v>0.3299061270129871</v>
      </c>
      <c r="B643"/>
      <c r="C643"/>
      <c r="D643"/>
      <c r="E643"/>
      <c r="F643" s="27" t="s">
        <v>7</v>
      </c>
      <c r="GK643" s="27" t="s">
        <v>8</v>
      </c>
      <c r="HH643" s="27" t="s">
        <v>7</v>
      </c>
      <c r="HI643" s="27" t="s">
        <v>8</v>
      </c>
      <c r="HV643" s="27" t="s">
        <v>7</v>
      </c>
      <c r="HW643" s="27" t="s">
        <v>8</v>
      </c>
      <c r="HX643" s="27" t="s">
        <v>7</v>
      </c>
      <c r="IA643" s="27" t="s">
        <v>8</v>
      </c>
      <c r="IB643" s="27" t="s">
        <v>7</v>
      </c>
      <c r="II643" s="27" t="s">
        <v>8</v>
      </c>
      <c r="IJ643" s="27" t="s">
        <v>7</v>
      </c>
      <c r="IK643" s="27" t="s">
        <v>8</v>
      </c>
      <c r="IL643" s="27" t="s">
        <v>7</v>
      </c>
      <c r="JM643" s="27" t="s">
        <v>8</v>
      </c>
      <c r="JN643" s="27" t="s">
        <v>7</v>
      </c>
      <c r="JO643" s="27" t="s">
        <v>8</v>
      </c>
      <c r="JP643" s="27" t="s">
        <v>7</v>
      </c>
      <c r="JQ643" s="27" t="s">
        <v>8</v>
      </c>
      <c r="JZ643" s="27" t="s">
        <v>7</v>
      </c>
      <c r="KA643" s="27" t="s">
        <v>8</v>
      </c>
      <c r="KB643" s="27" t="s">
        <v>7</v>
      </c>
      <c r="KC643" s="27" t="s">
        <v>8</v>
      </c>
      <c r="KD643" s="27" t="s">
        <v>7</v>
      </c>
      <c r="KO643" s="27" t="s">
        <v>8</v>
      </c>
      <c r="KP643" s="27" t="s">
        <v>7</v>
      </c>
      <c r="KQ643" s="27" t="s">
        <v>8</v>
      </c>
      <c r="KS643" s="27" t="s">
        <v>8</v>
      </c>
      <c r="KU643" s="27" t="s">
        <v>8</v>
      </c>
      <c r="KW643" s="27" t="s">
        <v>8</v>
      </c>
      <c r="KX643" s="27" t="s">
        <v>7</v>
      </c>
      <c r="KY643" s="27" t="s">
        <v>8</v>
      </c>
      <c r="LT643" s="27" t="s">
        <v>7</v>
      </c>
      <c r="LU643" s="27" t="s">
        <v>8</v>
      </c>
      <c r="LV643" s="27" t="s">
        <v>7</v>
      </c>
      <c r="LW643" s="27" t="s">
        <v>8</v>
      </c>
      <c r="LX643" s="27" t="s">
        <v>7</v>
      </c>
      <c r="MI643" s="27" t="s">
        <v>8</v>
      </c>
      <c r="MJ643" s="27" t="s">
        <v>7</v>
      </c>
    </row>
    <row r="644" spans="1:358" x14ac:dyDescent="0.25">
      <c r="A644" s="7">
        <v>0.32343737942449713</v>
      </c>
      <c r="B644"/>
      <c r="C644"/>
      <c r="D644"/>
      <c r="E644"/>
      <c r="F644" s="27" t="s">
        <v>7</v>
      </c>
      <c r="GK644" s="27" t="s">
        <v>8</v>
      </c>
      <c r="HH644" s="27" t="s">
        <v>7</v>
      </c>
      <c r="HV644" s="27" t="s">
        <v>7</v>
      </c>
      <c r="HW644" s="27" t="s">
        <v>8</v>
      </c>
      <c r="HX644" s="27" t="s">
        <v>7</v>
      </c>
      <c r="IA644" s="27" t="s">
        <v>8</v>
      </c>
      <c r="IB644" s="27" t="s">
        <v>7</v>
      </c>
      <c r="II644" s="27" t="s">
        <v>8</v>
      </c>
      <c r="IJ644" s="27" t="s">
        <v>7</v>
      </c>
      <c r="IK644" s="27" t="s">
        <v>8</v>
      </c>
      <c r="IL644" s="27" t="s">
        <v>7</v>
      </c>
      <c r="JM644" s="27" t="s">
        <v>8</v>
      </c>
      <c r="JN644" s="27" t="s">
        <v>7</v>
      </c>
      <c r="JO644" s="27" t="s">
        <v>8</v>
      </c>
      <c r="JP644" s="27" t="s">
        <v>7</v>
      </c>
      <c r="JQ644" s="27" t="s">
        <v>8</v>
      </c>
      <c r="JZ644" s="27" t="s">
        <v>7</v>
      </c>
      <c r="KA644" s="27" t="s">
        <v>8</v>
      </c>
      <c r="KB644" s="27" t="s">
        <v>7</v>
      </c>
      <c r="KC644" s="27" t="s">
        <v>8</v>
      </c>
      <c r="KD644" s="27" t="s">
        <v>7</v>
      </c>
      <c r="KO644" s="27" t="s">
        <v>8</v>
      </c>
      <c r="KP644" s="27" t="s">
        <v>7</v>
      </c>
      <c r="KQ644" s="27" t="s">
        <v>8</v>
      </c>
      <c r="KR644" s="27" t="s">
        <v>7</v>
      </c>
      <c r="KS644" s="27" t="s">
        <v>8</v>
      </c>
      <c r="KT644" s="27" t="s">
        <v>7</v>
      </c>
      <c r="KU644" s="27" t="s">
        <v>8</v>
      </c>
      <c r="KV644" s="27" t="s">
        <v>7</v>
      </c>
      <c r="KW644" s="27" t="s">
        <v>8</v>
      </c>
      <c r="KX644" s="27" t="s">
        <v>7</v>
      </c>
      <c r="KY644" s="27" t="s">
        <v>8</v>
      </c>
      <c r="LT644" s="27" t="s">
        <v>7</v>
      </c>
      <c r="LU644" s="27" t="s">
        <v>8</v>
      </c>
      <c r="LV644" s="27" t="s">
        <v>7</v>
      </c>
      <c r="LW644" s="27" t="s">
        <v>8</v>
      </c>
      <c r="LX644" s="27" t="s">
        <v>7</v>
      </c>
      <c r="MI644" s="27" t="s">
        <v>8</v>
      </c>
      <c r="MJ644" s="27" t="s">
        <v>7</v>
      </c>
    </row>
    <row r="645" spans="1:358" x14ac:dyDescent="0.25">
      <c r="A645" s="7">
        <v>0.31709547002401678</v>
      </c>
      <c r="B645"/>
      <c r="C645"/>
      <c r="D645"/>
      <c r="E645"/>
      <c r="F645" s="27" t="s">
        <v>7</v>
      </c>
      <c r="GK645" s="27" t="s">
        <v>8</v>
      </c>
      <c r="HV645" s="27" t="s">
        <v>7</v>
      </c>
      <c r="HW645" s="27" t="s">
        <v>8</v>
      </c>
      <c r="HX645" s="27" t="s">
        <v>7</v>
      </c>
      <c r="IA645" s="27" t="s">
        <v>8</v>
      </c>
      <c r="IB645" s="27" t="s">
        <v>7</v>
      </c>
      <c r="II645" s="27" t="s">
        <v>8</v>
      </c>
      <c r="IJ645" s="27" t="s">
        <v>7</v>
      </c>
      <c r="IK645" s="27" t="s">
        <v>8</v>
      </c>
      <c r="IL645" s="27" t="s">
        <v>7</v>
      </c>
      <c r="JM645" s="27" t="s">
        <v>8</v>
      </c>
      <c r="JN645" s="27" t="s">
        <v>7</v>
      </c>
      <c r="JO645" s="27" t="s">
        <v>8</v>
      </c>
      <c r="JP645" s="27" t="s">
        <v>7</v>
      </c>
      <c r="JZ645" s="27" t="s">
        <v>7</v>
      </c>
      <c r="KA645" s="27" t="s">
        <v>8</v>
      </c>
      <c r="KB645" s="27" t="s">
        <v>7</v>
      </c>
      <c r="KC645" s="27" t="s">
        <v>8</v>
      </c>
      <c r="KD645" s="27" t="s">
        <v>7</v>
      </c>
      <c r="KM645" s="27" t="s">
        <v>8</v>
      </c>
      <c r="KO645" s="27" t="s">
        <v>8</v>
      </c>
      <c r="KP645" s="27" t="s">
        <v>7</v>
      </c>
      <c r="KQ645" s="27" t="s">
        <v>8</v>
      </c>
      <c r="KR645" s="27" t="s">
        <v>7</v>
      </c>
      <c r="KS645" s="27" t="s">
        <v>8</v>
      </c>
      <c r="KT645" s="27" t="s">
        <v>7</v>
      </c>
      <c r="KU645" s="27" t="s">
        <v>8</v>
      </c>
      <c r="KV645" s="27" t="s">
        <v>7</v>
      </c>
      <c r="KW645" s="27" t="s">
        <v>8</v>
      </c>
      <c r="KX645" s="27" t="s">
        <v>7</v>
      </c>
      <c r="KY645" s="27" t="s">
        <v>8</v>
      </c>
      <c r="LT645" s="27" t="s">
        <v>7</v>
      </c>
      <c r="LU645" s="27" t="s">
        <v>8</v>
      </c>
      <c r="LV645" s="27" t="s">
        <v>7</v>
      </c>
      <c r="LW645" s="27" t="s">
        <v>8</v>
      </c>
      <c r="LX645" s="27" t="s">
        <v>7</v>
      </c>
      <c r="MG645" s="27" t="s">
        <v>8</v>
      </c>
      <c r="MI645" s="27" t="s">
        <v>8</v>
      </c>
      <c r="MJ645" s="27" t="s">
        <v>7</v>
      </c>
      <c r="MK645" s="27" t="s">
        <v>8</v>
      </c>
    </row>
    <row r="646" spans="1:358" x14ac:dyDescent="0.25">
      <c r="A646" s="7">
        <v>0.31087791178825175</v>
      </c>
      <c r="B646"/>
      <c r="C646"/>
      <c r="D646"/>
      <c r="E646"/>
      <c r="F646" s="27" t="s">
        <v>7</v>
      </c>
      <c r="GI646" s="27" t="s">
        <v>8</v>
      </c>
      <c r="GK646" s="27" t="s">
        <v>8</v>
      </c>
      <c r="HV646" s="27" t="s">
        <v>7</v>
      </c>
      <c r="HW646" s="27" t="s">
        <v>8</v>
      </c>
      <c r="HX646" s="27" t="s">
        <v>7</v>
      </c>
      <c r="IA646" s="27" t="s">
        <v>8</v>
      </c>
      <c r="IB646" s="27" t="s">
        <v>7</v>
      </c>
      <c r="II646" s="27" t="s">
        <v>8</v>
      </c>
      <c r="IJ646" s="27" t="s">
        <v>7</v>
      </c>
      <c r="IK646" s="27" t="s">
        <v>8</v>
      </c>
      <c r="IL646" s="27" t="s">
        <v>7</v>
      </c>
      <c r="JM646" s="27" t="s">
        <v>8</v>
      </c>
      <c r="JN646" s="27" t="s">
        <v>7</v>
      </c>
      <c r="JZ646" s="27" t="s">
        <v>7</v>
      </c>
      <c r="KA646" s="27" t="s">
        <v>8</v>
      </c>
      <c r="KB646" s="27" t="s">
        <v>7</v>
      </c>
      <c r="KC646" s="27" t="s">
        <v>8</v>
      </c>
      <c r="KD646" s="27" t="s">
        <v>7</v>
      </c>
      <c r="KM646" s="27" t="s">
        <v>8</v>
      </c>
      <c r="KN646" s="27" t="s">
        <v>7</v>
      </c>
      <c r="KO646" s="27" t="s">
        <v>8</v>
      </c>
      <c r="KP646" s="27" t="s">
        <v>7</v>
      </c>
      <c r="KQ646" s="27" t="s">
        <v>8</v>
      </c>
      <c r="KR646" s="27" t="s">
        <v>7</v>
      </c>
      <c r="KT646" s="27" t="s">
        <v>7</v>
      </c>
      <c r="KU646" s="27" t="s">
        <v>8</v>
      </c>
      <c r="KV646" s="27" t="s">
        <v>7</v>
      </c>
      <c r="KX646" s="27" t="s">
        <v>7</v>
      </c>
      <c r="KY646" s="27" t="s">
        <v>8</v>
      </c>
      <c r="LT646" s="27" t="s">
        <v>7</v>
      </c>
      <c r="LU646" s="27" t="s">
        <v>8</v>
      </c>
      <c r="LV646" s="27" t="s">
        <v>7</v>
      </c>
      <c r="LW646" s="27" t="s">
        <v>8</v>
      </c>
      <c r="LX646" s="27" t="s">
        <v>7</v>
      </c>
      <c r="MG646" s="27" t="s">
        <v>8</v>
      </c>
      <c r="MH646" s="27" t="s">
        <v>7</v>
      </c>
      <c r="MI646" s="27" t="s">
        <v>8</v>
      </c>
      <c r="MJ646" s="27" t="s">
        <v>7</v>
      </c>
      <c r="MK646" s="27" t="s">
        <v>8</v>
      </c>
      <c r="ML646" s="27" t="s">
        <v>7</v>
      </c>
    </row>
    <row r="647" spans="1:358" x14ac:dyDescent="0.25">
      <c r="A647" s="7">
        <v>0.30478226645907036</v>
      </c>
      <c r="B647"/>
      <c r="C647"/>
      <c r="D647"/>
      <c r="E647"/>
      <c r="F647" s="27" t="s">
        <v>7</v>
      </c>
      <c r="GI647" s="27" t="s">
        <v>8</v>
      </c>
      <c r="GJ647" s="27" t="s">
        <v>7</v>
      </c>
      <c r="GK647" s="27" t="s">
        <v>8</v>
      </c>
      <c r="HV647" s="27" t="s">
        <v>7</v>
      </c>
      <c r="HW647" s="27" t="s">
        <v>8</v>
      </c>
      <c r="HX647" s="27" t="s">
        <v>7</v>
      </c>
      <c r="IA647" s="27" t="s">
        <v>8</v>
      </c>
      <c r="IB647" s="27" t="s">
        <v>7</v>
      </c>
      <c r="IE647" s="27" t="s">
        <v>8</v>
      </c>
      <c r="II647" s="27" t="s">
        <v>8</v>
      </c>
      <c r="IJ647" s="27" t="s">
        <v>7</v>
      </c>
      <c r="IK647" s="27" t="s">
        <v>8</v>
      </c>
      <c r="IL647" s="27" t="s">
        <v>7</v>
      </c>
      <c r="IM647" s="27" t="s">
        <v>8</v>
      </c>
      <c r="JM647" s="27" t="s">
        <v>8</v>
      </c>
      <c r="JZ647" s="27" t="s">
        <v>7</v>
      </c>
      <c r="KA647" s="27" t="s">
        <v>8</v>
      </c>
      <c r="KB647" s="27" t="s">
        <v>7</v>
      </c>
      <c r="KC647" s="27" t="s">
        <v>8</v>
      </c>
      <c r="KD647" s="27" t="s">
        <v>7</v>
      </c>
      <c r="KM647" s="27" t="s">
        <v>8</v>
      </c>
      <c r="KN647" s="27" t="s">
        <v>7</v>
      </c>
      <c r="KO647" s="27" t="s">
        <v>8</v>
      </c>
      <c r="KP647" s="27" t="s">
        <v>7</v>
      </c>
      <c r="KQ647" s="27" t="s">
        <v>8</v>
      </c>
      <c r="KT647" s="27" t="s">
        <v>7</v>
      </c>
      <c r="KX647" s="27" t="s">
        <v>7</v>
      </c>
      <c r="KY647" s="27" t="s">
        <v>8</v>
      </c>
      <c r="LT647" s="27" t="s">
        <v>7</v>
      </c>
      <c r="LU647" s="27" t="s">
        <v>8</v>
      </c>
      <c r="LV647" s="27" t="s">
        <v>7</v>
      </c>
      <c r="LW647" s="27" t="s">
        <v>8</v>
      </c>
      <c r="LX647" s="27" t="s">
        <v>7</v>
      </c>
      <c r="LY647" s="27" t="s">
        <v>8</v>
      </c>
      <c r="MG647" s="27" t="s">
        <v>8</v>
      </c>
      <c r="MH647" s="27" t="s">
        <v>7</v>
      </c>
      <c r="MI647" s="27" t="s">
        <v>8</v>
      </c>
      <c r="MJ647" s="27" t="s">
        <v>7</v>
      </c>
      <c r="MK647" s="27" t="s">
        <v>8</v>
      </c>
      <c r="ML647" s="27" t="s">
        <v>7</v>
      </c>
    </row>
    <row r="648" spans="1:358" x14ac:dyDescent="0.25">
      <c r="A648" s="7">
        <v>0.29880614358732388</v>
      </c>
      <c r="B648"/>
      <c r="C648"/>
      <c r="D648"/>
      <c r="E648"/>
      <c r="F648" s="27" t="s">
        <v>7</v>
      </c>
      <c r="GI648" s="27" t="s">
        <v>8</v>
      </c>
      <c r="GJ648" s="27" t="s">
        <v>7</v>
      </c>
      <c r="GK648" s="27" t="s">
        <v>8</v>
      </c>
      <c r="HV648" s="27" t="s">
        <v>7</v>
      </c>
      <c r="HW648" s="27" t="s">
        <v>8</v>
      </c>
      <c r="HX648" s="27" t="s">
        <v>7</v>
      </c>
      <c r="IA648" s="27" t="s">
        <v>8</v>
      </c>
      <c r="IB648" s="27" t="s">
        <v>7</v>
      </c>
      <c r="IE648" s="27" t="s">
        <v>8</v>
      </c>
      <c r="IF648" s="27" t="s">
        <v>7</v>
      </c>
      <c r="II648" s="27" t="s">
        <v>8</v>
      </c>
      <c r="IJ648" s="27" t="s">
        <v>7</v>
      </c>
      <c r="IK648" s="27" t="s">
        <v>8</v>
      </c>
      <c r="IL648" s="27" t="s">
        <v>7</v>
      </c>
      <c r="IM648" s="27" t="s">
        <v>8</v>
      </c>
      <c r="IN648" s="27" t="s">
        <v>7</v>
      </c>
      <c r="JK648" s="27" t="s">
        <v>8</v>
      </c>
      <c r="JM648" s="27" t="s">
        <v>8</v>
      </c>
      <c r="JZ648" s="27" t="s">
        <v>7</v>
      </c>
      <c r="KA648" s="27" t="s">
        <v>8</v>
      </c>
      <c r="KB648" s="27" t="s">
        <v>7</v>
      </c>
      <c r="KD648" s="27" t="s">
        <v>7</v>
      </c>
      <c r="KE648" s="27" t="s">
        <v>8</v>
      </c>
      <c r="KM648" s="27" t="s">
        <v>8</v>
      </c>
      <c r="KN648" s="27" t="s">
        <v>7</v>
      </c>
      <c r="KO648" s="27" t="s">
        <v>8</v>
      </c>
      <c r="KP648" s="27" t="s">
        <v>7</v>
      </c>
      <c r="KQ648" s="27" t="s">
        <v>8</v>
      </c>
      <c r="KX648" s="27" t="s">
        <v>7</v>
      </c>
      <c r="KY648" s="27" t="s">
        <v>8</v>
      </c>
      <c r="LT648" s="27" t="s">
        <v>7</v>
      </c>
      <c r="LU648" s="27" t="s">
        <v>8</v>
      </c>
      <c r="LV648" s="27" t="s">
        <v>7</v>
      </c>
      <c r="LW648" s="27" t="s">
        <v>8</v>
      </c>
      <c r="LX648" s="27" t="s">
        <v>7</v>
      </c>
      <c r="LY648" s="27" t="s">
        <v>8</v>
      </c>
      <c r="LZ648" s="27" t="s">
        <v>7</v>
      </c>
      <c r="MG648" s="27" t="s">
        <v>8</v>
      </c>
      <c r="MH648" s="27" t="s">
        <v>7</v>
      </c>
      <c r="MJ648" s="27" t="s">
        <v>7</v>
      </c>
      <c r="MK648" s="27" t="s">
        <v>8</v>
      </c>
      <c r="ML648" s="27" t="s">
        <v>7</v>
      </c>
    </row>
    <row r="649" spans="1:358" x14ac:dyDescent="0.25">
      <c r="A649" s="7">
        <v>0.2929471995954156</v>
      </c>
      <c r="B649"/>
      <c r="C649"/>
      <c r="D649"/>
      <c r="E649"/>
      <c r="F649" s="27" t="s">
        <v>7</v>
      </c>
      <c r="GI649" s="27" t="s">
        <v>8</v>
      </c>
      <c r="GJ649" s="27" t="s">
        <v>7</v>
      </c>
      <c r="GK649" s="27" t="s">
        <v>8</v>
      </c>
      <c r="HV649" s="27" t="s">
        <v>7</v>
      </c>
      <c r="HW649" s="27" t="s">
        <v>8</v>
      </c>
      <c r="HX649" s="27" t="s">
        <v>7</v>
      </c>
      <c r="IA649" s="27" t="s">
        <v>8</v>
      </c>
      <c r="IB649" s="27" t="s">
        <v>7</v>
      </c>
      <c r="IE649" s="27" t="s">
        <v>8</v>
      </c>
      <c r="IF649" s="27" t="s">
        <v>7</v>
      </c>
      <c r="II649" s="27" t="s">
        <v>8</v>
      </c>
      <c r="IJ649" s="27" t="s">
        <v>7</v>
      </c>
      <c r="IK649" s="27" t="s">
        <v>8</v>
      </c>
      <c r="IL649" s="27" t="s">
        <v>7</v>
      </c>
      <c r="IM649" s="27" t="s">
        <v>8</v>
      </c>
      <c r="IN649" s="27" t="s">
        <v>7</v>
      </c>
      <c r="JK649" s="27" t="s">
        <v>8</v>
      </c>
      <c r="JL649" s="27" t="s">
        <v>7</v>
      </c>
      <c r="JM649" s="27" t="s">
        <v>8</v>
      </c>
      <c r="JZ649" s="27" t="s">
        <v>7</v>
      </c>
      <c r="KA649" s="27" t="s">
        <v>8</v>
      </c>
      <c r="KD649" s="27" t="s">
        <v>7</v>
      </c>
      <c r="KE649" s="27" t="s">
        <v>8</v>
      </c>
      <c r="KF649" s="27" t="s">
        <v>7</v>
      </c>
      <c r="KK649" s="27" t="s">
        <v>8</v>
      </c>
      <c r="KM649" s="27" t="s">
        <v>8</v>
      </c>
      <c r="KN649" s="27" t="s">
        <v>7</v>
      </c>
      <c r="KO649" s="27" t="s">
        <v>8</v>
      </c>
      <c r="KP649" s="27" t="s">
        <v>7</v>
      </c>
      <c r="KQ649" s="27" t="s">
        <v>8</v>
      </c>
      <c r="KX649" s="27" t="s">
        <v>7</v>
      </c>
      <c r="KY649" s="27" t="s">
        <v>8</v>
      </c>
      <c r="LT649" s="27" t="s">
        <v>7</v>
      </c>
      <c r="LU649" s="27" t="s">
        <v>8</v>
      </c>
      <c r="LV649" s="27" t="s">
        <v>7</v>
      </c>
      <c r="LW649" s="27" t="s">
        <v>8</v>
      </c>
      <c r="LX649" s="27" t="s">
        <v>7</v>
      </c>
      <c r="LY649" s="27" t="s">
        <v>8</v>
      </c>
      <c r="LZ649" s="27" t="s">
        <v>7</v>
      </c>
      <c r="MA649" s="27" t="s">
        <v>8</v>
      </c>
      <c r="MC649" s="27" t="s">
        <v>8</v>
      </c>
      <c r="MG649" s="27" t="s">
        <v>8</v>
      </c>
      <c r="MJ649" s="27" t="s">
        <v>7</v>
      </c>
      <c r="MK649" s="27" t="s">
        <v>8</v>
      </c>
      <c r="ML649" s="27" t="s">
        <v>7</v>
      </c>
    </row>
    <row r="650" spans="1:358" x14ac:dyDescent="0.25">
      <c r="A650" s="7">
        <v>0.28720313685825055</v>
      </c>
      <c r="B650"/>
      <c r="C650"/>
      <c r="D650"/>
      <c r="E650"/>
      <c r="F650" s="27" t="s">
        <v>7</v>
      </c>
      <c r="GI650" s="27" t="s">
        <v>8</v>
      </c>
      <c r="GJ650" s="27" t="s">
        <v>7</v>
      </c>
      <c r="GK650" s="27" t="s">
        <v>8</v>
      </c>
      <c r="HV650" s="27" t="s">
        <v>7</v>
      </c>
      <c r="HW650" s="27" t="s">
        <v>8</v>
      </c>
      <c r="HX650" s="27" t="s">
        <v>7</v>
      </c>
      <c r="IA650" s="27" t="s">
        <v>8</v>
      </c>
      <c r="IB650" s="27" t="s">
        <v>7</v>
      </c>
      <c r="IC650" s="27" t="s">
        <v>8</v>
      </c>
      <c r="IE650" s="27" t="s">
        <v>8</v>
      </c>
      <c r="IF650" s="27" t="s">
        <v>7</v>
      </c>
      <c r="II650" s="27" t="s">
        <v>8</v>
      </c>
      <c r="IJ650" s="27" t="s">
        <v>7</v>
      </c>
      <c r="IK650" s="27" t="s">
        <v>8</v>
      </c>
      <c r="IL650" s="27" t="s">
        <v>7</v>
      </c>
      <c r="IM650" s="27" t="s">
        <v>8</v>
      </c>
      <c r="IN650" s="27" t="s">
        <v>7</v>
      </c>
      <c r="JK650" s="27" t="s">
        <v>8</v>
      </c>
      <c r="JL650" s="27" t="s">
        <v>7</v>
      </c>
      <c r="JM650" s="27" t="s">
        <v>8</v>
      </c>
      <c r="JZ650" s="27" t="s">
        <v>7</v>
      </c>
      <c r="KA650" s="27" t="s">
        <v>8</v>
      </c>
      <c r="KD650" s="27" t="s">
        <v>7</v>
      </c>
      <c r="KE650" s="27" t="s">
        <v>8</v>
      </c>
      <c r="KF650" s="27" t="s">
        <v>7</v>
      </c>
      <c r="KK650" s="27" t="s">
        <v>8</v>
      </c>
      <c r="KL650" s="27" t="s">
        <v>7</v>
      </c>
      <c r="KM650" s="27" t="s">
        <v>8</v>
      </c>
      <c r="KN650" s="27" t="s">
        <v>7</v>
      </c>
      <c r="KO650" s="27" t="s">
        <v>8</v>
      </c>
      <c r="KP650" s="27" t="s">
        <v>7</v>
      </c>
      <c r="KX650" s="27" t="s">
        <v>7</v>
      </c>
      <c r="KY650" s="27" t="s">
        <v>8</v>
      </c>
      <c r="LT650" s="27" t="s">
        <v>7</v>
      </c>
      <c r="LU650" s="27" t="s">
        <v>8</v>
      </c>
      <c r="LV650" s="27" t="s">
        <v>7</v>
      </c>
      <c r="LW650" s="27" t="s">
        <v>8</v>
      </c>
      <c r="LX650" s="27" t="s">
        <v>7</v>
      </c>
      <c r="LY650" s="27" t="s">
        <v>8</v>
      </c>
      <c r="LZ650" s="27" t="s">
        <v>7</v>
      </c>
      <c r="MA650" s="27" t="s">
        <v>8</v>
      </c>
      <c r="MB650" s="27" t="s">
        <v>7</v>
      </c>
      <c r="MC650" s="27" t="s">
        <v>8</v>
      </c>
      <c r="MD650" s="27" t="s">
        <v>7</v>
      </c>
      <c r="MG650" s="27" t="s">
        <v>8</v>
      </c>
      <c r="MJ650" s="27" t="s">
        <v>7</v>
      </c>
      <c r="MK650" s="27" t="s">
        <v>8</v>
      </c>
      <c r="ML650" s="27" t="s">
        <v>7</v>
      </c>
    </row>
    <row r="651" spans="1:358" x14ac:dyDescent="0.25">
      <c r="A651" s="7">
        <v>0.28157170280220645</v>
      </c>
      <c r="B651"/>
      <c r="C651"/>
      <c r="D651"/>
      <c r="E651"/>
      <c r="F651" s="27" t="s">
        <v>7</v>
      </c>
      <c r="GI651" s="27" t="s">
        <v>8</v>
      </c>
      <c r="GJ651" s="27" t="s">
        <v>7</v>
      </c>
      <c r="GK651" s="27" t="s">
        <v>8</v>
      </c>
      <c r="HV651" s="27" t="s">
        <v>7</v>
      </c>
      <c r="HW651" s="27" t="s">
        <v>8</v>
      </c>
      <c r="HX651" s="27" t="s">
        <v>7</v>
      </c>
      <c r="HY651" s="27" t="s">
        <v>8</v>
      </c>
      <c r="IA651" s="27" t="s">
        <v>8</v>
      </c>
      <c r="IB651" s="27" t="s">
        <v>7</v>
      </c>
      <c r="IC651" s="27" t="s">
        <v>8</v>
      </c>
      <c r="ID651" s="27" t="s">
        <v>7</v>
      </c>
      <c r="IE651" s="27" t="s">
        <v>8</v>
      </c>
      <c r="IF651" s="27" t="s">
        <v>7</v>
      </c>
      <c r="IG651" s="27" t="s">
        <v>8</v>
      </c>
      <c r="II651" s="27" t="s">
        <v>8</v>
      </c>
      <c r="IJ651" s="27" t="s">
        <v>7</v>
      </c>
      <c r="IK651" s="27" t="s">
        <v>8</v>
      </c>
      <c r="IL651" s="27" t="s">
        <v>7</v>
      </c>
      <c r="IN651" s="27" t="s">
        <v>7</v>
      </c>
      <c r="IW651" s="27" t="s">
        <v>8</v>
      </c>
      <c r="JK651" s="27" t="s">
        <v>8</v>
      </c>
      <c r="JL651" s="27" t="s">
        <v>7</v>
      </c>
      <c r="JM651" s="27" t="s">
        <v>8</v>
      </c>
      <c r="JZ651" s="27" t="s">
        <v>7</v>
      </c>
      <c r="KD651" s="27" t="s">
        <v>7</v>
      </c>
      <c r="KE651" s="27" t="s">
        <v>8</v>
      </c>
      <c r="KF651" s="27" t="s">
        <v>7</v>
      </c>
      <c r="KK651" s="27" t="s">
        <v>8</v>
      </c>
      <c r="KL651" s="27" t="s">
        <v>7</v>
      </c>
      <c r="KM651" s="27" t="s">
        <v>8</v>
      </c>
      <c r="KN651" s="27" t="s">
        <v>7</v>
      </c>
      <c r="KX651" s="27" t="s">
        <v>7</v>
      </c>
      <c r="KY651" s="27" t="s">
        <v>8</v>
      </c>
      <c r="LT651" s="27" t="s">
        <v>7</v>
      </c>
      <c r="LU651" s="27" t="s">
        <v>8</v>
      </c>
      <c r="LV651" s="27" t="s">
        <v>7</v>
      </c>
      <c r="LX651" s="27" t="s">
        <v>7</v>
      </c>
      <c r="LZ651" s="27" t="s">
        <v>7</v>
      </c>
      <c r="MA651" s="27" t="s">
        <v>8</v>
      </c>
      <c r="MB651" s="27" t="s">
        <v>7</v>
      </c>
      <c r="MC651" s="27" t="s">
        <v>8</v>
      </c>
      <c r="MD651" s="27" t="s">
        <v>7</v>
      </c>
      <c r="MG651" s="27" t="s">
        <v>8</v>
      </c>
      <c r="MJ651" s="27" t="s">
        <v>7</v>
      </c>
      <c r="MK651" s="27" t="s">
        <v>8</v>
      </c>
      <c r="ML651" s="27" t="s">
        <v>7</v>
      </c>
      <c r="MM651" s="27" t="s">
        <v>8</v>
      </c>
    </row>
    <row r="652" spans="1:358" x14ac:dyDescent="0.25">
      <c r="A652" s="7">
        <v>0.27605068902177105</v>
      </c>
      <c r="B652"/>
      <c r="C652"/>
      <c r="D652"/>
      <c r="E652"/>
      <c r="F652" s="27" t="s">
        <v>7</v>
      </c>
      <c r="GI652" s="27" t="s">
        <v>8</v>
      </c>
      <c r="GJ652" s="27" t="s">
        <v>7</v>
      </c>
      <c r="GK652" s="27" t="s">
        <v>8</v>
      </c>
      <c r="HV652" s="27" t="s">
        <v>7</v>
      </c>
      <c r="HW652" s="27" t="s">
        <v>8</v>
      </c>
      <c r="HX652" s="27" t="s">
        <v>7</v>
      </c>
      <c r="HY652" s="27" t="s">
        <v>8</v>
      </c>
      <c r="HZ652" s="27" t="s">
        <v>7</v>
      </c>
      <c r="IA652" s="27" t="s">
        <v>8</v>
      </c>
      <c r="IB652" s="27" t="s">
        <v>7</v>
      </c>
      <c r="IC652" s="27" t="s">
        <v>8</v>
      </c>
      <c r="ID652" s="27" t="s">
        <v>7</v>
      </c>
      <c r="IE652" s="27" t="s">
        <v>8</v>
      </c>
      <c r="IF652" s="27" t="s">
        <v>7</v>
      </c>
      <c r="IG652" s="27" t="s">
        <v>8</v>
      </c>
      <c r="IH652" s="27" t="s">
        <v>7</v>
      </c>
      <c r="II652" s="27" t="s">
        <v>8</v>
      </c>
      <c r="IJ652" s="27" t="s">
        <v>7</v>
      </c>
      <c r="IK652" s="27" t="s">
        <v>8</v>
      </c>
      <c r="IN652" s="27" t="s">
        <v>7</v>
      </c>
      <c r="IW652" s="27" t="s">
        <v>8</v>
      </c>
      <c r="IX652" s="27" t="s">
        <v>7</v>
      </c>
      <c r="JA652" s="27" t="s">
        <v>8</v>
      </c>
      <c r="JI652" s="27" t="s">
        <v>8</v>
      </c>
      <c r="JK652" s="27" t="s">
        <v>8</v>
      </c>
      <c r="JL652" s="27" t="s">
        <v>7</v>
      </c>
      <c r="JM652" s="27" t="s">
        <v>8</v>
      </c>
      <c r="KD652" s="27" t="s">
        <v>7</v>
      </c>
      <c r="KE652" s="27" t="s">
        <v>8</v>
      </c>
      <c r="KF652" s="27" t="s">
        <v>7</v>
      </c>
      <c r="KG652" s="27" t="s">
        <v>8</v>
      </c>
      <c r="KK652" s="27" t="s">
        <v>8</v>
      </c>
      <c r="KL652" s="27" t="s">
        <v>7</v>
      </c>
      <c r="KX652" s="27" t="s">
        <v>7</v>
      </c>
      <c r="LT652" s="27" t="s">
        <v>7</v>
      </c>
      <c r="LU652" s="27" t="s">
        <v>8</v>
      </c>
      <c r="LZ652" s="27" t="s">
        <v>7</v>
      </c>
      <c r="MA652" s="27" t="s">
        <v>8</v>
      </c>
      <c r="MB652" s="27" t="s">
        <v>7</v>
      </c>
      <c r="MC652" s="27" t="s">
        <v>8</v>
      </c>
      <c r="MD652" s="27" t="s">
        <v>7</v>
      </c>
      <c r="MG652" s="27" t="s">
        <v>8</v>
      </c>
      <c r="MJ652" s="27" t="s">
        <v>7</v>
      </c>
      <c r="ML652" s="27" t="s">
        <v>7</v>
      </c>
      <c r="MM652" s="27" t="s">
        <v>8</v>
      </c>
      <c r="MN652" s="27" t="s">
        <v>7</v>
      </c>
      <c r="MQ652" s="27" t="s">
        <v>8</v>
      </c>
      <c r="MS652" s="27" t="s">
        <v>8</v>
      </c>
    </row>
    <row r="653" spans="1:358" x14ac:dyDescent="0.25">
      <c r="A653" s="7">
        <v>0.27063793041350104</v>
      </c>
      <c r="B653"/>
      <c r="C653"/>
      <c r="D653"/>
      <c r="E653"/>
      <c r="F653" s="27" t="s">
        <v>7</v>
      </c>
      <c r="GI653" s="27" t="s">
        <v>8</v>
      </c>
      <c r="GJ653" s="27" t="s">
        <v>7</v>
      </c>
      <c r="GK653" s="27" t="s">
        <v>8</v>
      </c>
      <c r="HV653" s="27" t="s">
        <v>7</v>
      </c>
      <c r="HW653" s="27" t="s">
        <v>8</v>
      </c>
      <c r="HX653" s="27" t="s">
        <v>7</v>
      </c>
      <c r="HY653" s="27" t="s">
        <v>8</v>
      </c>
      <c r="HZ653" s="27" t="s">
        <v>7</v>
      </c>
      <c r="IA653" s="27" t="s">
        <v>8</v>
      </c>
      <c r="IB653" s="27" t="s">
        <v>7</v>
      </c>
      <c r="IC653" s="27" t="s">
        <v>8</v>
      </c>
      <c r="ID653" s="27" t="s">
        <v>7</v>
      </c>
      <c r="IF653" s="27" t="s">
        <v>7</v>
      </c>
      <c r="IG653" s="27" t="s">
        <v>8</v>
      </c>
      <c r="IH653" s="27" t="s">
        <v>7</v>
      </c>
      <c r="II653" s="27" t="s">
        <v>8</v>
      </c>
      <c r="IJ653" s="27" t="s">
        <v>7</v>
      </c>
      <c r="IK653" s="27" t="s">
        <v>8</v>
      </c>
      <c r="IN653" s="27" t="s">
        <v>7</v>
      </c>
      <c r="IW653" s="27" t="s">
        <v>8</v>
      </c>
      <c r="IX653" s="27" t="s">
        <v>7</v>
      </c>
      <c r="JA653" s="27" t="s">
        <v>8</v>
      </c>
      <c r="JB653" s="27" t="s">
        <v>7</v>
      </c>
      <c r="JI653" s="27" t="s">
        <v>8</v>
      </c>
      <c r="JJ653" s="27" t="s">
        <v>7</v>
      </c>
      <c r="JK653" s="27" t="s">
        <v>8</v>
      </c>
      <c r="JL653" s="27" t="s">
        <v>7</v>
      </c>
      <c r="JM653" s="27" t="s">
        <v>8</v>
      </c>
      <c r="KD653" s="27" t="s">
        <v>7</v>
      </c>
      <c r="KE653" s="27" t="s">
        <v>8</v>
      </c>
      <c r="KF653" s="27" t="s">
        <v>7</v>
      </c>
      <c r="KG653" s="27" t="s">
        <v>8</v>
      </c>
      <c r="KH653" s="27" t="s">
        <v>7</v>
      </c>
      <c r="KI653" s="27" t="s">
        <v>8</v>
      </c>
      <c r="KK653" s="27" t="s">
        <v>8</v>
      </c>
      <c r="LT653" s="27" t="s">
        <v>7</v>
      </c>
      <c r="LU653" s="27" t="s">
        <v>8</v>
      </c>
      <c r="LZ653" s="27" t="s">
        <v>7</v>
      </c>
      <c r="MA653" s="27" t="s">
        <v>8</v>
      </c>
      <c r="MB653" s="27" t="s">
        <v>7</v>
      </c>
      <c r="MC653" s="27" t="s">
        <v>8</v>
      </c>
      <c r="MD653" s="27" t="s">
        <v>7</v>
      </c>
      <c r="ME653" s="27" t="s">
        <v>8</v>
      </c>
      <c r="MG653" s="27" t="s">
        <v>8</v>
      </c>
      <c r="ML653" s="27" t="s">
        <v>7</v>
      </c>
      <c r="MM653" s="27" t="s">
        <v>8</v>
      </c>
      <c r="MN653" s="27" t="s">
        <v>7</v>
      </c>
      <c r="MQ653" s="27" t="s">
        <v>8</v>
      </c>
      <c r="MR653" s="27" t="s">
        <v>7</v>
      </c>
      <c r="MS653" s="27" t="s">
        <v>8</v>
      </c>
      <c r="MT653" s="27" t="s">
        <v>7</v>
      </c>
    </row>
    <row r="654" spans="1:358" x14ac:dyDescent="0.25">
      <c r="A654" s="7">
        <v>0.26533130432696184</v>
      </c>
      <c r="B654"/>
      <c r="C654"/>
      <c r="D654"/>
      <c r="E654"/>
      <c r="F654" s="27" t="s">
        <v>7</v>
      </c>
      <c r="GI654" s="27" t="s">
        <v>8</v>
      </c>
      <c r="GJ654" s="27" t="s">
        <v>7</v>
      </c>
      <c r="GK654" s="27" t="s">
        <v>8</v>
      </c>
      <c r="HV654" s="27" t="s">
        <v>7</v>
      </c>
      <c r="HW654" s="27" t="s">
        <v>8</v>
      </c>
      <c r="HX654" s="27" t="s">
        <v>7</v>
      </c>
      <c r="HY654" s="27" t="s">
        <v>8</v>
      </c>
      <c r="HZ654" s="27" t="s">
        <v>7</v>
      </c>
      <c r="IA654" s="27" t="s">
        <v>8</v>
      </c>
      <c r="IB654" s="27" t="s">
        <v>7</v>
      </c>
      <c r="IC654" s="27" t="s">
        <v>8</v>
      </c>
      <c r="IF654" s="27" t="s">
        <v>7</v>
      </c>
      <c r="IG654" s="27" t="s">
        <v>8</v>
      </c>
      <c r="IH654" s="27" t="s">
        <v>7</v>
      </c>
      <c r="II654" s="27" t="s">
        <v>8</v>
      </c>
      <c r="IJ654" s="27" t="s">
        <v>7</v>
      </c>
      <c r="IN654" s="27" t="s">
        <v>7</v>
      </c>
      <c r="IW654" s="27" t="s">
        <v>8</v>
      </c>
      <c r="IX654" s="27" t="s">
        <v>7</v>
      </c>
      <c r="IY654" s="27" t="s">
        <v>8</v>
      </c>
      <c r="JA654" s="27" t="s">
        <v>8</v>
      </c>
      <c r="JB654" s="27" t="s">
        <v>7</v>
      </c>
      <c r="JG654" s="27" t="s">
        <v>8</v>
      </c>
      <c r="JI654" s="27" t="s">
        <v>8</v>
      </c>
      <c r="JJ654" s="27" t="s">
        <v>7</v>
      </c>
      <c r="JK654" s="27" t="s">
        <v>8</v>
      </c>
      <c r="JL654" s="27" t="s">
        <v>7</v>
      </c>
      <c r="KD654" s="27" t="s">
        <v>7</v>
      </c>
      <c r="KE654" s="27" t="s">
        <v>8</v>
      </c>
      <c r="KF654" s="27" t="s">
        <v>7</v>
      </c>
      <c r="KG654" s="27" t="s">
        <v>8</v>
      </c>
      <c r="KH654" s="27" t="s">
        <v>7</v>
      </c>
      <c r="KI654" s="27" t="s">
        <v>8</v>
      </c>
      <c r="KJ654" s="27" t="s">
        <v>7</v>
      </c>
      <c r="KK654" s="27" t="s">
        <v>8</v>
      </c>
      <c r="LT654" s="27" t="s">
        <v>7</v>
      </c>
      <c r="LU654" s="27" t="s">
        <v>8</v>
      </c>
      <c r="LZ654" s="27" t="s">
        <v>7</v>
      </c>
      <c r="MB654" s="27" t="s">
        <v>7</v>
      </c>
      <c r="MC654" s="27" t="s">
        <v>8</v>
      </c>
      <c r="MD654" s="27" t="s">
        <v>7</v>
      </c>
      <c r="ME654" s="27" t="s">
        <v>8</v>
      </c>
      <c r="MF654" s="27" t="s">
        <v>7</v>
      </c>
      <c r="MG654" s="27" t="s">
        <v>8</v>
      </c>
      <c r="ML654" s="27" t="s">
        <v>7</v>
      </c>
      <c r="MN654" s="27" t="s">
        <v>7</v>
      </c>
      <c r="MO654" s="27" t="s">
        <v>8</v>
      </c>
      <c r="MQ654" s="27" t="s">
        <v>8</v>
      </c>
      <c r="MR654" s="27" t="s">
        <v>7</v>
      </c>
      <c r="MS654" s="27" t="s">
        <v>8</v>
      </c>
      <c r="MT654" s="27" t="s">
        <v>7</v>
      </c>
    </row>
    <row r="655" spans="1:358" x14ac:dyDescent="0.25">
      <c r="A655" s="7">
        <v>0.26012872973231554</v>
      </c>
      <c r="B655"/>
      <c r="C655"/>
      <c r="D655"/>
      <c r="E655"/>
      <c r="F655" s="27" t="s">
        <v>7</v>
      </c>
      <c r="GI655" s="27" t="s">
        <v>8</v>
      </c>
      <c r="GJ655" s="27" t="s">
        <v>7</v>
      </c>
      <c r="GK655" s="27" t="s">
        <v>8</v>
      </c>
      <c r="HV655" s="27" t="s">
        <v>7</v>
      </c>
      <c r="HW655" s="27" t="s">
        <v>8</v>
      </c>
      <c r="HX655" s="27" t="s">
        <v>7</v>
      </c>
      <c r="HY655" s="27" t="s">
        <v>8</v>
      </c>
      <c r="HZ655" s="27" t="s">
        <v>7</v>
      </c>
      <c r="IA655" s="27" t="s">
        <v>8</v>
      </c>
      <c r="IB655" s="27" t="s">
        <v>7</v>
      </c>
      <c r="IC655" s="27" t="s">
        <v>8</v>
      </c>
      <c r="IF655" s="27" t="s">
        <v>7</v>
      </c>
      <c r="IG655" s="27" t="s">
        <v>8</v>
      </c>
      <c r="IH655" s="27" t="s">
        <v>7</v>
      </c>
      <c r="II655" s="27" t="s">
        <v>8</v>
      </c>
      <c r="IN655" s="27" t="s">
        <v>7</v>
      </c>
      <c r="IQ655" s="27" t="s">
        <v>8</v>
      </c>
      <c r="IW655" s="27" t="s">
        <v>8</v>
      </c>
      <c r="IX655" s="27" t="s">
        <v>7</v>
      </c>
      <c r="IY655" s="27" t="s">
        <v>8</v>
      </c>
      <c r="IZ655" s="27" t="s">
        <v>7</v>
      </c>
      <c r="JA655" s="27" t="s">
        <v>8</v>
      </c>
      <c r="JB655" s="27" t="s">
        <v>7</v>
      </c>
      <c r="JE655" s="27" t="s">
        <v>8</v>
      </c>
      <c r="JG655" s="27" t="s">
        <v>8</v>
      </c>
      <c r="JH655" s="27" t="s">
        <v>7</v>
      </c>
      <c r="JI655" s="27" t="s">
        <v>8</v>
      </c>
      <c r="JJ655" s="27" t="s">
        <v>7</v>
      </c>
      <c r="JK655" s="27" t="s">
        <v>8</v>
      </c>
      <c r="KD655" s="27" t="s">
        <v>7</v>
      </c>
      <c r="KE655" s="27" t="s">
        <v>8</v>
      </c>
      <c r="KF655" s="27" t="s">
        <v>7</v>
      </c>
      <c r="KG655" s="27" t="s">
        <v>8</v>
      </c>
      <c r="KH655" s="27" t="s">
        <v>7</v>
      </c>
      <c r="KI655" s="27" t="s">
        <v>8</v>
      </c>
      <c r="KJ655" s="27" t="s">
        <v>7</v>
      </c>
      <c r="KK655" s="27" t="s">
        <v>8</v>
      </c>
      <c r="LT655" s="27" t="s">
        <v>7</v>
      </c>
      <c r="LU655" s="27" t="s">
        <v>8</v>
      </c>
      <c r="MB655" s="27" t="s">
        <v>7</v>
      </c>
      <c r="MD655" s="27" t="s">
        <v>7</v>
      </c>
      <c r="ME655" s="27" t="s">
        <v>8</v>
      </c>
      <c r="MF655" s="27" t="s">
        <v>7</v>
      </c>
      <c r="MG655" s="27" t="s">
        <v>8</v>
      </c>
      <c r="MN655" s="27" t="s">
        <v>7</v>
      </c>
      <c r="MO655" s="27" t="s">
        <v>8</v>
      </c>
      <c r="MP655" s="27" t="s">
        <v>7</v>
      </c>
      <c r="MQ655" s="27" t="s">
        <v>8</v>
      </c>
      <c r="MR655" s="27" t="s">
        <v>7</v>
      </c>
      <c r="MT655" s="27" t="s">
        <v>7</v>
      </c>
    </row>
    <row r="656" spans="1:358" x14ac:dyDescent="0.25">
      <c r="A656" s="7">
        <v>0.25502816640423093</v>
      </c>
      <c r="B656"/>
      <c r="C656"/>
      <c r="D656"/>
      <c r="E656"/>
      <c r="F656" s="27" t="s">
        <v>7</v>
      </c>
      <c r="GI656" s="27" t="s">
        <v>8</v>
      </c>
      <c r="GJ656" s="27" t="s">
        <v>7</v>
      </c>
      <c r="GK656" s="27" t="s">
        <v>8</v>
      </c>
      <c r="HV656" s="27" t="s">
        <v>7</v>
      </c>
      <c r="HW656" s="27" t="s">
        <v>8</v>
      </c>
      <c r="HX656" s="27" t="s">
        <v>7</v>
      </c>
      <c r="HY656" s="27" t="s">
        <v>8</v>
      </c>
      <c r="HZ656" s="27" t="s">
        <v>7</v>
      </c>
      <c r="IA656" s="27" t="s">
        <v>8</v>
      </c>
      <c r="IB656" s="27" t="s">
        <v>7</v>
      </c>
      <c r="IC656" s="27" t="s">
        <v>8</v>
      </c>
      <c r="IF656" s="27" t="s">
        <v>7</v>
      </c>
      <c r="IH656" s="27" t="s">
        <v>7</v>
      </c>
      <c r="II656" s="27" t="s">
        <v>8</v>
      </c>
      <c r="IN656" s="27" t="s">
        <v>7</v>
      </c>
      <c r="IO656" s="27" t="s">
        <v>8</v>
      </c>
      <c r="IQ656" s="27" t="s">
        <v>8</v>
      </c>
      <c r="IR656" s="27" t="s">
        <v>7</v>
      </c>
      <c r="IW656" s="27" t="s">
        <v>8</v>
      </c>
      <c r="IX656" s="27" t="s">
        <v>7</v>
      </c>
      <c r="IY656" s="27" t="s">
        <v>8</v>
      </c>
      <c r="IZ656" s="27" t="s">
        <v>7</v>
      </c>
      <c r="JA656" s="27" t="s">
        <v>8</v>
      </c>
      <c r="JB656" s="27" t="s">
        <v>7</v>
      </c>
      <c r="JE656" s="27" t="s">
        <v>8</v>
      </c>
      <c r="JF656" s="27" t="s">
        <v>7</v>
      </c>
      <c r="JG656" s="27" t="s">
        <v>8</v>
      </c>
      <c r="JH656" s="27" t="s">
        <v>7</v>
      </c>
      <c r="JI656" s="27" t="s">
        <v>8</v>
      </c>
      <c r="JJ656" s="27" t="s">
        <v>7</v>
      </c>
      <c r="KD656" s="27" t="s">
        <v>7</v>
      </c>
      <c r="KE656" s="27" t="s">
        <v>8</v>
      </c>
      <c r="KF656" s="27" t="s">
        <v>7</v>
      </c>
      <c r="KH656" s="27" t="s">
        <v>7</v>
      </c>
      <c r="KI656" s="27" t="s">
        <v>8</v>
      </c>
      <c r="KJ656" s="27" t="s">
        <v>7</v>
      </c>
      <c r="KK656" s="27" t="s">
        <v>8</v>
      </c>
      <c r="LT656" s="27" t="s">
        <v>7</v>
      </c>
      <c r="LU656" s="27" t="s">
        <v>8</v>
      </c>
      <c r="MD656" s="27" t="s">
        <v>7</v>
      </c>
      <c r="MF656" s="27" t="s">
        <v>7</v>
      </c>
      <c r="MG656" s="27" t="s">
        <v>8</v>
      </c>
      <c r="MN656" s="27" t="s">
        <v>7</v>
      </c>
      <c r="MO656" s="27" t="s">
        <v>8</v>
      </c>
      <c r="MP656" s="27" t="s">
        <v>7</v>
      </c>
      <c r="MQ656" s="27" t="s">
        <v>8</v>
      </c>
      <c r="MT656" s="27" t="s">
        <v>7</v>
      </c>
    </row>
    <row r="657" spans="1:361" x14ac:dyDescent="0.25">
      <c r="A657" s="7">
        <v>0.25002761412179503</v>
      </c>
      <c r="B657"/>
      <c r="C657"/>
      <c r="D657"/>
      <c r="E657"/>
      <c r="F657" s="27" t="s">
        <v>7</v>
      </c>
      <c r="GI657" s="27" t="s">
        <v>8</v>
      </c>
      <c r="GJ657" s="27" t="s">
        <v>7</v>
      </c>
      <c r="GK657" s="27" t="s">
        <v>8</v>
      </c>
      <c r="HV657" s="27" t="s">
        <v>7</v>
      </c>
      <c r="HW657" s="27" t="s">
        <v>8</v>
      </c>
      <c r="HX657" s="27" t="s">
        <v>7</v>
      </c>
      <c r="HY657" s="27" t="s">
        <v>8</v>
      </c>
      <c r="HZ657" s="27" t="s">
        <v>7</v>
      </c>
      <c r="IA657" s="27" t="s">
        <v>8</v>
      </c>
      <c r="IB657" s="27" t="s">
        <v>7</v>
      </c>
      <c r="IH657" s="27" t="s">
        <v>7</v>
      </c>
      <c r="II657" s="27" t="s">
        <v>8</v>
      </c>
      <c r="IN657" s="27" t="s">
        <v>7</v>
      </c>
      <c r="IO657" s="27" t="s">
        <v>8</v>
      </c>
      <c r="IP657" s="27" t="s">
        <v>7</v>
      </c>
      <c r="IQ657" s="27" t="s">
        <v>8</v>
      </c>
      <c r="IR657" s="27" t="s">
        <v>7</v>
      </c>
      <c r="IS657" s="27" t="s">
        <v>8</v>
      </c>
      <c r="IW657" s="27" t="s">
        <v>8</v>
      </c>
      <c r="IX657" s="27" t="s">
        <v>7</v>
      </c>
      <c r="IY657" s="27" t="s">
        <v>8</v>
      </c>
      <c r="IZ657" s="27" t="s">
        <v>7</v>
      </c>
      <c r="JA657" s="27" t="s">
        <v>8</v>
      </c>
      <c r="JB657" s="27" t="s">
        <v>7</v>
      </c>
      <c r="JE657" s="27" t="s">
        <v>8</v>
      </c>
      <c r="JF657" s="27" t="s">
        <v>7</v>
      </c>
      <c r="JG657" s="27" t="s">
        <v>8</v>
      </c>
      <c r="JH657" s="27" t="s">
        <v>7</v>
      </c>
      <c r="JI657" s="27" t="s">
        <v>8</v>
      </c>
      <c r="KD657" s="27" t="s">
        <v>7</v>
      </c>
      <c r="KE657" s="27" t="s">
        <v>8</v>
      </c>
      <c r="KH657" s="27" t="s">
        <v>7</v>
      </c>
      <c r="KJ657" s="27" t="s">
        <v>7</v>
      </c>
      <c r="KK657" s="27" t="s">
        <v>8</v>
      </c>
      <c r="LT657" s="27" t="s">
        <v>7</v>
      </c>
      <c r="LU657" s="27" t="s">
        <v>8</v>
      </c>
      <c r="MF657" s="27" t="s">
        <v>7</v>
      </c>
      <c r="MN657" s="27" t="s">
        <v>7</v>
      </c>
      <c r="MO657" s="27" t="s">
        <v>8</v>
      </c>
      <c r="MP657" s="27" t="s">
        <v>7</v>
      </c>
      <c r="MQ657" s="27" t="s">
        <v>8</v>
      </c>
      <c r="MT657" s="27" t="s">
        <v>7</v>
      </c>
    </row>
    <row r="658" spans="1:361" x14ac:dyDescent="0.25">
      <c r="A658" s="7">
        <v>0.24512511188411276</v>
      </c>
      <c r="B658"/>
      <c r="C658"/>
      <c r="D658"/>
      <c r="E658"/>
      <c r="F658" s="27" t="s">
        <v>7</v>
      </c>
      <c r="GI658" s="27" t="s">
        <v>8</v>
      </c>
      <c r="GJ658" s="27" t="s">
        <v>7</v>
      </c>
      <c r="GK658" s="27" t="s">
        <v>8</v>
      </c>
      <c r="HV658" s="27" t="s">
        <v>7</v>
      </c>
      <c r="HW658" s="27" t="s">
        <v>8</v>
      </c>
      <c r="HX658" s="27" t="s">
        <v>7</v>
      </c>
      <c r="HY658" s="27" t="s">
        <v>8</v>
      </c>
      <c r="HZ658" s="27" t="s">
        <v>7</v>
      </c>
      <c r="IA658" s="27" t="s">
        <v>8</v>
      </c>
      <c r="IH658" s="27" t="s">
        <v>7</v>
      </c>
      <c r="II658" s="27" t="s">
        <v>8</v>
      </c>
      <c r="IN658" s="27" t="s">
        <v>7</v>
      </c>
      <c r="IO658" s="27" t="s">
        <v>8</v>
      </c>
      <c r="IP658" s="27" t="s">
        <v>7</v>
      </c>
      <c r="IQ658" s="27" t="s">
        <v>8</v>
      </c>
      <c r="IR658" s="27" t="s">
        <v>7</v>
      </c>
      <c r="IS658" s="27" t="s">
        <v>8</v>
      </c>
      <c r="IT658" s="27" t="s">
        <v>7</v>
      </c>
      <c r="IU658" s="27" t="s">
        <v>8</v>
      </c>
      <c r="IW658" s="27" t="s">
        <v>8</v>
      </c>
      <c r="IX658" s="27" t="s">
        <v>7</v>
      </c>
      <c r="IY658" s="27" t="s">
        <v>8</v>
      </c>
      <c r="IZ658" s="27" t="s">
        <v>7</v>
      </c>
      <c r="JA658" s="27" t="s">
        <v>8</v>
      </c>
      <c r="JB658" s="27" t="s">
        <v>7</v>
      </c>
      <c r="JC658" s="27" t="s">
        <v>8</v>
      </c>
      <c r="JE658" s="27" t="s">
        <v>8</v>
      </c>
      <c r="JF658" s="27" t="s">
        <v>7</v>
      </c>
      <c r="JG658" s="27" t="s">
        <v>8</v>
      </c>
      <c r="JH658" s="27" t="s">
        <v>7</v>
      </c>
      <c r="JI658" s="27" t="s">
        <v>8</v>
      </c>
      <c r="KD658" s="27" t="s">
        <v>7</v>
      </c>
      <c r="KJ658" s="27" t="s">
        <v>7</v>
      </c>
      <c r="LT658" s="27" t="s">
        <v>7</v>
      </c>
      <c r="LU658" s="27" t="s">
        <v>8</v>
      </c>
      <c r="MN658" s="27" t="s">
        <v>7</v>
      </c>
      <c r="MP658" s="27" t="s">
        <v>7</v>
      </c>
      <c r="MQ658" s="27" t="s">
        <v>8</v>
      </c>
      <c r="MT658" s="27" t="s">
        <v>7</v>
      </c>
    </row>
    <row r="659" spans="1:361" x14ac:dyDescent="0.25">
      <c r="A659" s="7">
        <v>0.24031873714128701</v>
      </c>
      <c r="B659"/>
      <c r="C659"/>
      <c r="D659"/>
      <c r="E659"/>
      <c r="F659" s="27" t="s">
        <v>7</v>
      </c>
      <c r="GI659" s="27" t="s">
        <v>8</v>
      </c>
      <c r="GJ659" s="27" t="s">
        <v>7</v>
      </c>
      <c r="GK659" s="27" t="s">
        <v>8</v>
      </c>
      <c r="HV659" s="27" t="s">
        <v>7</v>
      </c>
      <c r="HW659" s="27" t="s">
        <v>8</v>
      </c>
      <c r="HX659" s="27" t="s">
        <v>7</v>
      </c>
      <c r="HY659" s="27" t="s">
        <v>8</v>
      </c>
      <c r="HZ659" s="27" t="s">
        <v>7</v>
      </c>
      <c r="IA659" s="27" t="s">
        <v>8</v>
      </c>
      <c r="IH659" s="27" t="s">
        <v>7</v>
      </c>
      <c r="II659" s="27" t="s">
        <v>8</v>
      </c>
      <c r="IN659" s="27" t="s">
        <v>7</v>
      </c>
      <c r="IO659" s="27" t="s">
        <v>8</v>
      </c>
      <c r="IP659" s="27" t="s">
        <v>7</v>
      </c>
      <c r="IQ659" s="27" t="s">
        <v>8</v>
      </c>
      <c r="IR659" s="27" t="s">
        <v>7</v>
      </c>
      <c r="IS659" s="27" t="s">
        <v>8</v>
      </c>
      <c r="IT659" s="27" t="s">
        <v>7</v>
      </c>
      <c r="IU659" s="27" t="s">
        <v>8</v>
      </c>
      <c r="IV659" s="27" t="s">
        <v>7</v>
      </c>
      <c r="IW659" s="27" t="s">
        <v>8</v>
      </c>
      <c r="IX659" s="27" t="s">
        <v>7</v>
      </c>
      <c r="IY659" s="27" t="s">
        <v>8</v>
      </c>
      <c r="IZ659" s="27" t="s">
        <v>7</v>
      </c>
      <c r="JA659" s="27" t="s">
        <v>8</v>
      </c>
      <c r="JB659" s="27" t="s">
        <v>7</v>
      </c>
      <c r="JC659" s="27" t="s">
        <v>8</v>
      </c>
      <c r="JD659" s="27" t="s">
        <v>7</v>
      </c>
      <c r="JE659" s="27" t="s">
        <v>8</v>
      </c>
      <c r="JF659" s="27" t="s">
        <v>7</v>
      </c>
      <c r="JH659" s="27" t="s">
        <v>7</v>
      </c>
      <c r="LT659" s="27" t="s">
        <v>7</v>
      </c>
      <c r="MP659" s="27" t="s">
        <v>7</v>
      </c>
      <c r="MT659" s="27" t="s">
        <v>7</v>
      </c>
    </row>
    <row r="660" spans="1:361" x14ac:dyDescent="0.25">
      <c r="A660" s="7">
        <v>0.23560660504047748</v>
      </c>
      <c r="B660"/>
      <c r="C660"/>
      <c r="D660"/>
      <c r="E660"/>
      <c r="F660" s="27" t="s">
        <v>7</v>
      </c>
      <c r="GI660" s="27" t="s">
        <v>8</v>
      </c>
      <c r="GJ660" s="27" t="s">
        <v>7</v>
      </c>
      <c r="HV660" s="27" t="s">
        <v>7</v>
      </c>
      <c r="HW660" s="27" t="s">
        <v>8</v>
      </c>
      <c r="HX660" s="27" t="s">
        <v>7</v>
      </c>
      <c r="HZ660" s="27" t="s">
        <v>7</v>
      </c>
      <c r="IA660" s="27" t="s">
        <v>8</v>
      </c>
      <c r="IH660" s="27" t="s">
        <v>7</v>
      </c>
      <c r="II660" s="27" t="s">
        <v>8</v>
      </c>
      <c r="IN660" s="27" t="s">
        <v>7</v>
      </c>
      <c r="IO660" s="27" t="s">
        <v>8</v>
      </c>
      <c r="IP660" s="27" t="s">
        <v>7</v>
      </c>
      <c r="IQ660" s="27" t="s">
        <v>8</v>
      </c>
      <c r="IR660" s="27" t="s">
        <v>7</v>
      </c>
      <c r="IT660" s="27" t="s">
        <v>7</v>
      </c>
      <c r="IU660" s="27" t="s">
        <v>8</v>
      </c>
      <c r="IV660" s="27" t="s">
        <v>7</v>
      </c>
      <c r="IW660" s="27" t="s">
        <v>8</v>
      </c>
      <c r="IX660" s="27" t="s">
        <v>7</v>
      </c>
      <c r="IY660" s="27" t="s">
        <v>8</v>
      </c>
      <c r="IZ660" s="27" t="s">
        <v>7</v>
      </c>
      <c r="JA660" s="27" t="s">
        <v>8</v>
      </c>
      <c r="JB660" s="27" t="s">
        <v>7</v>
      </c>
      <c r="JC660" s="27" t="s">
        <v>8</v>
      </c>
      <c r="JD660" s="27" t="s">
        <v>7</v>
      </c>
      <c r="JE660" s="27" t="s">
        <v>8</v>
      </c>
      <c r="MT660" s="27" t="s">
        <v>7</v>
      </c>
    </row>
    <row r="661" spans="1:361" x14ac:dyDescent="0.25">
      <c r="A661" s="7">
        <v>0.23098686768674265</v>
      </c>
      <c r="B661"/>
      <c r="C661"/>
      <c r="D661"/>
      <c r="E661"/>
      <c r="F661" s="27" t="s">
        <v>7</v>
      </c>
      <c r="GI661" s="27" t="s">
        <v>8</v>
      </c>
      <c r="HV661" s="27" t="s">
        <v>7</v>
      </c>
      <c r="HW661" s="27" t="s">
        <v>8</v>
      </c>
      <c r="HZ661" s="27" t="s">
        <v>7</v>
      </c>
      <c r="IA661" s="27" t="s">
        <v>8</v>
      </c>
      <c r="IH661" s="27" t="s">
        <v>7</v>
      </c>
      <c r="II661" s="27" t="s">
        <v>8</v>
      </c>
      <c r="IN661" s="27" t="s">
        <v>7</v>
      </c>
      <c r="IO661" s="27" t="s">
        <v>8</v>
      </c>
      <c r="IP661" s="27" t="s">
        <v>7</v>
      </c>
      <c r="IQ661" s="27" t="s">
        <v>8</v>
      </c>
      <c r="IT661" s="27" t="s">
        <v>7</v>
      </c>
      <c r="IV661" s="27" t="s">
        <v>7</v>
      </c>
      <c r="IX661" s="27" t="s">
        <v>7</v>
      </c>
      <c r="IZ661" s="27" t="s">
        <v>7</v>
      </c>
      <c r="JA661" s="27" t="s">
        <v>8</v>
      </c>
      <c r="JB661" s="27" t="s">
        <v>7</v>
      </c>
      <c r="JD661" s="27" t="s">
        <v>7</v>
      </c>
      <c r="JE661" s="27" t="s">
        <v>8</v>
      </c>
      <c r="MT661" s="27" t="s">
        <v>7</v>
      </c>
    </row>
    <row r="662" spans="1:361" x14ac:dyDescent="0.25">
      <c r="A662" s="7">
        <v>0.22645771341837515</v>
      </c>
      <c r="B662"/>
      <c r="C662"/>
      <c r="D662"/>
      <c r="E662"/>
      <c r="F662" s="27" t="s">
        <v>7</v>
      </c>
      <c r="GI662" s="27" t="s">
        <v>8</v>
      </c>
      <c r="HV662" s="27" t="s">
        <v>7</v>
      </c>
      <c r="HW662" s="27" t="s">
        <v>8</v>
      </c>
      <c r="HZ662" s="27" t="s">
        <v>7</v>
      </c>
      <c r="IA662" s="27" t="s">
        <v>8</v>
      </c>
      <c r="IH662" s="27" t="s">
        <v>7</v>
      </c>
      <c r="II662" s="27" t="s">
        <v>8</v>
      </c>
      <c r="IN662" s="27" t="s">
        <v>7</v>
      </c>
      <c r="IO662" s="27" t="s">
        <v>8</v>
      </c>
      <c r="IP662" s="27" t="s">
        <v>7</v>
      </c>
      <c r="IQ662" s="27" t="s">
        <v>8</v>
      </c>
      <c r="IZ662" s="27" t="s">
        <v>7</v>
      </c>
      <c r="JD662" s="18" t="s">
        <v>7</v>
      </c>
      <c r="JE662" s="27" t="s">
        <v>8</v>
      </c>
      <c r="MT662" s="27" t="s">
        <v>7</v>
      </c>
    </row>
    <row r="663" spans="1:361" x14ac:dyDescent="0.25">
      <c r="A663" s="7">
        <v>0.22201736609644623</v>
      </c>
      <c r="B663"/>
      <c r="C663"/>
      <c r="D663"/>
      <c r="E663"/>
      <c r="F663" s="27" t="s">
        <v>7</v>
      </c>
      <c r="GI663" s="27" t="s">
        <v>8</v>
      </c>
      <c r="HV663" s="27" t="s">
        <v>7</v>
      </c>
      <c r="HW663" s="27" t="s">
        <v>8</v>
      </c>
      <c r="HZ663" s="27" t="s">
        <v>7</v>
      </c>
      <c r="IA663" s="27" t="s">
        <v>8</v>
      </c>
      <c r="IH663" s="27" t="s">
        <v>7</v>
      </c>
      <c r="II663" s="27" t="s">
        <v>8</v>
      </c>
      <c r="IN663" s="27" t="s">
        <v>7</v>
      </c>
      <c r="IO663" s="27" t="s">
        <v>8</v>
      </c>
      <c r="IP663" s="27" t="s">
        <v>7</v>
      </c>
      <c r="IQ663" s="27" t="s">
        <v>8</v>
      </c>
      <c r="JD663" s="27" t="s">
        <v>7</v>
      </c>
      <c r="JE663" s="27" t="s">
        <v>8</v>
      </c>
      <c r="MT663" s="27" t="s">
        <v>7</v>
      </c>
    </row>
    <row r="664" spans="1:361" x14ac:dyDescent="0.25">
      <c r="A664" s="7">
        <v>0.21766408440828061</v>
      </c>
      <c r="B664"/>
      <c r="C664"/>
      <c r="D664"/>
      <c r="E664"/>
      <c r="F664" s="27" t="s">
        <v>7</v>
      </c>
      <c r="GI664" s="27" t="s">
        <v>8</v>
      </c>
      <c r="HV664" s="27" t="s">
        <v>7</v>
      </c>
      <c r="HW664" s="27" t="s">
        <v>8</v>
      </c>
      <c r="HZ664" s="27" t="s">
        <v>7</v>
      </c>
      <c r="IA664" s="27" t="s">
        <v>8</v>
      </c>
      <c r="IH664" s="27" t="s">
        <v>7</v>
      </c>
      <c r="II664" s="27" t="s">
        <v>8</v>
      </c>
      <c r="IN664" s="27" t="s">
        <v>7</v>
      </c>
      <c r="IO664" s="27" t="s">
        <v>8</v>
      </c>
      <c r="IP664" s="27" t="s">
        <v>7</v>
      </c>
      <c r="JD664" s="27" t="s">
        <v>7</v>
      </c>
      <c r="JE664" s="27" t="s">
        <v>8</v>
      </c>
      <c r="MT664" s="27" t="s">
        <v>7</v>
      </c>
    </row>
    <row r="665" spans="1:361" x14ac:dyDescent="0.25">
      <c r="A665" s="7">
        <v>0.21339616118458882</v>
      </c>
      <c r="B665"/>
      <c r="C665"/>
      <c r="D665"/>
      <c r="E665"/>
      <c r="F665" s="27" t="s">
        <v>7</v>
      </c>
      <c r="GI665" s="27" t="s">
        <v>8</v>
      </c>
      <c r="HV665" s="27" t="s">
        <v>7</v>
      </c>
      <c r="HW665" s="27" t="s">
        <v>8</v>
      </c>
      <c r="HZ665" s="27" t="s">
        <v>7</v>
      </c>
      <c r="IA665" s="27" t="s">
        <v>8</v>
      </c>
      <c r="IH665" s="27" t="s">
        <v>7</v>
      </c>
      <c r="II665" s="27" t="s">
        <v>8</v>
      </c>
      <c r="IN665" s="27" t="s">
        <v>7</v>
      </c>
      <c r="IO665" s="27" t="s">
        <v>8</v>
      </c>
      <c r="JD665" s="27" t="s">
        <v>7</v>
      </c>
      <c r="JE665" s="27" t="s">
        <v>8</v>
      </c>
      <c r="MT665" s="27" t="s">
        <v>7</v>
      </c>
    </row>
    <row r="666" spans="1:361" x14ac:dyDescent="0.25">
      <c r="A666" s="7">
        <v>0.20921192272998904</v>
      </c>
      <c r="B666"/>
      <c r="C666"/>
      <c r="D666"/>
      <c r="E666"/>
      <c r="F666" s="27" t="s">
        <v>7</v>
      </c>
      <c r="GI666" s="27" t="s">
        <v>8</v>
      </c>
      <c r="HV666" s="27" t="s">
        <v>7</v>
      </c>
      <c r="HW666" s="27" t="s">
        <v>8</v>
      </c>
      <c r="HZ666" s="27" t="s">
        <v>7</v>
      </c>
      <c r="IA666" s="27" t="s">
        <v>8</v>
      </c>
      <c r="IH666" s="27" t="s">
        <v>7</v>
      </c>
      <c r="II666" s="27" t="s">
        <v>8</v>
      </c>
      <c r="IN666" s="27" t="s">
        <v>7</v>
      </c>
      <c r="IO666" s="27" t="s">
        <v>8</v>
      </c>
      <c r="JD666" s="27" t="s">
        <v>7</v>
      </c>
      <c r="JE666" s="27" t="s">
        <v>8</v>
      </c>
      <c r="MT666" s="27" t="s">
        <v>7</v>
      </c>
    </row>
    <row r="667" spans="1:361" x14ac:dyDescent="0.25">
      <c r="A667" s="7">
        <v>0.20510972816665593</v>
      </c>
      <c r="B667"/>
      <c r="C667"/>
      <c r="D667"/>
      <c r="E667"/>
      <c r="F667" s="27" t="s">
        <v>7</v>
      </c>
      <c r="GI667" s="27" t="s">
        <v>8</v>
      </c>
      <c r="HV667" s="27" t="s">
        <v>7</v>
      </c>
      <c r="HW667" s="27" t="s">
        <v>8</v>
      </c>
      <c r="HZ667" s="27" t="s">
        <v>7</v>
      </c>
      <c r="IA667" s="27" t="s">
        <v>8</v>
      </c>
      <c r="IH667" s="27" t="s">
        <v>7</v>
      </c>
      <c r="IN667" s="27" t="s">
        <v>7</v>
      </c>
      <c r="IO667" s="27" t="s">
        <v>8</v>
      </c>
      <c r="JD667" s="27" t="s">
        <v>7</v>
      </c>
      <c r="JE667" s="27" t="s">
        <v>8</v>
      </c>
      <c r="MT667" s="27" t="s">
        <v>7</v>
      </c>
    </row>
    <row r="668" spans="1:361" x14ac:dyDescent="0.25">
      <c r="A668" s="7">
        <v>0.20108796879083912</v>
      </c>
      <c r="B668"/>
      <c r="C668"/>
      <c r="D668"/>
      <c r="E668"/>
      <c r="F668" s="27" t="s">
        <v>7</v>
      </c>
      <c r="GI668" s="27" t="s">
        <v>8</v>
      </c>
      <c r="HV668" s="27" t="s">
        <v>7</v>
      </c>
      <c r="HW668" s="27" t="s">
        <v>8</v>
      </c>
      <c r="HZ668" s="27" t="s">
        <v>7</v>
      </c>
      <c r="IA668" s="27" t="s">
        <v>8</v>
      </c>
      <c r="IN668" s="27" t="s">
        <v>7</v>
      </c>
      <c r="IO668" s="27" t="s">
        <v>8</v>
      </c>
      <c r="JD668" s="27" t="s">
        <v>7</v>
      </c>
      <c r="MT668" s="27" t="s">
        <v>7</v>
      </c>
    </row>
    <row r="669" spans="1:361" x14ac:dyDescent="0.25">
      <c r="A669" s="7">
        <v>0.19714506744199917</v>
      </c>
      <c r="B669"/>
      <c r="C669"/>
      <c r="D669"/>
      <c r="E669"/>
      <c r="F669" s="27" t="s">
        <v>7</v>
      </c>
      <c r="GI669" s="27" t="s">
        <v>8</v>
      </c>
      <c r="HV669" s="27" t="s">
        <v>7</v>
      </c>
      <c r="HW669" s="27" t="s">
        <v>8</v>
      </c>
      <c r="HZ669" s="27" t="s">
        <v>7</v>
      </c>
      <c r="IA669" s="27" t="s">
        <v>8</v>
      </c>
      <c r="IN669" s="27" t="s">
        <v>7</v>
      </c>
      <c r="IO669" s="27" t="s">
        <v>8</v>
      </c>
      <c r="MT669" s="27" t="s">
        <v>7</v>
      </c>
    </row>
    <row r="670" spans="1:361" x14ac:dyDescent="0.25">
      <c r="A670" s="7">
        <v>0.19327947788431293</v>
      </c>
      <c r="B670"/>
      <c r="C670"/>
      <c r="D670"/>
      <c r="E670"/>
      <c r="F670" s="27" t="s">
        <v>7</v>
      </c>
      <c r="GI670" s="27" t="s">
        <v>8</v>
      </c>
      <c r="HV670" s="27" t="s">
        <v>7</v>
      </c>
      <c r="HW670" s="27" t="s">
        <v>8</v>
      </c>
      <c r="HZ670" s="27" t="s">
        <v>7</v>
      </c>
      <c r="IA670" s="27" t="s">
        <v>8</v>
      </c>
      <c r="IN670" s="27" t="s">
        <v>7</v>
      </c>
      <c r="IO670" s="27" t="s">
        <v>8</v>
      </c>
      <c r="MT670" s="27" t="s">
        <v>7</v>
      </c>
      <c r="MU670" s="27" t="s">
        <v>8</v>
      </c>
    </row>
    <row r="671" spans="1:361" x14ac:dyDescent="0.25">
      <c r="A671" s="7">
        <v>0.18948968420030682</v>
      </c>
      <c r="B671"/>
      <c r="C671"/>
      <c r="D671"/>
      <c r="E671"/>
      <c r="F671" s="27" t="s">
        <v>7</v>
      </c>
      <c r="GI671" s="27" t="s">
        <v>8</v>
      </c>
      <c r="HV671" s="27" t="s">
        <v>7</v>
      </c>
      <c r="HW671" s="27" t="s">
        <v>8</v>
      </c>
      <c r="HZ671" s="27" t="s">
        <v>7</v>
      </c>
      <c r="IA671" s="27" t="s">
        <v>8</v>
      </c>
      <c r="IN671" s="27" t="s">
        <v>7</v>
      </c>
      <c r="IO671" s="27" t="s">
        <v>8</v>
      </c>
      <c r="MT671" s="27" t="s">
        <v>7</v>
      </c>
      <c r="MU671" s="27" t="s">
        <v>8</v>
      </c>
      <c r="MV671" s="27" t="s">
        <v>7</v>
      </c>
    </row>
    <row r="672" spans="1:361" x14ac:dyDescent="0.25">
      <c r="A672" s="7">
        <v>0.18577420019637925</v>
      </c>
      <c r="B672"/>
      <c r="C672"/>
      <c r="D672"/>
      <c r="E672"/>
      <c r="F672" s="27" t="s">
        <v>7</v>
      </c>
      <c r="GI672" s="27" t="s">
        <v>8</v>
      </c>
      <c r="HV672" s="27" t="s">
        <v>7</v>
      </c>
      <c r="HW672" s="27" t="s">
        <v>8</v>
      </c>
      <c r="HZ672" s="27" t="s">
        <v>7</v>
      </c>
      <c r="IA672" s="27" t="s">
        <v>8</v>
      </c>
      <c r="IN672" s="27" t="s">
        <v>7</v>
      </c>
      <c r="IO672" s="27" t="s">
        <v>8</v>
      </c>
      <c r="MT672" s="27" t="s">
        <v>7</v>
      </c>
      <c r="MU672" s="27" t="s">
        <v>8</v>
      </c>
      <c r="MV672" s="27" t="s">
        <v>7</v>
      </c>
      <c r="MW672" s="27" t="s">
        <v>8</v>
      </c>
    </row>
    <row r="673" spans="1:362" x14ac:dyDescent="0.25">
      <c r="A673" s="7">
        <v>0.18213156881997963</v>
      </c>
      <c r="B673"/>
      <c r="C673"/>
      <c r="D673"/>
      <c r="E673"/>
      <c r="F673" s="27" t="s">
        <v>7</v>
      </c>
      <c r="GI673" s="27" t="s">
        <v>8</v>
      </c>
      <c r="HV673" s="27" t="s">
        <v>7</v>
      </c>
      <c r="HZ673" s="27" t="s">
        <v>7</v>
      </c>
      <c r="IA673" s="27" t="s">
        <v>8</v>
      </c>
      <c r="IN673" s="27" t="s">
        <v>7</v>
      </c>
      <c r="IO673" s="27" t="s">
        <v>8</v>
      </c>
      <c r="MT673" s="27" t="s">
        <v>7</v>
      </c>
      <c r="MU673" s="27" t="s">
        <v>8</v>
      </c>
      <c r="MV673" s="27" t="s">
        <v>7</v>
      </c>
      <c r="MW673" s="27" t="s">
        <v>8</v>
      </c>
      <c r="MX673" s="27" t="s">
        <v>7</v>
      </c>
    </row>
    <row r="674" spans="1:362" x14ac:dyDescent="0.25">
      <c r="A674" s="7">
        <v>0.17856036158821534</v>
      </c>
      <c r="B674"/>
      <c r="C674"/>
      <c r="D674"/>
      <c r="E674"/>
      <c r="F674" s="27" t="s">
        <v>7</v>
      </c>
      <c r="GI674" s="27" t="s">
        <v>8</v>
      </c>
      <c r="HZ674" s="27" t="s">
        <v>7</v>
      </c>
      <c r="IA674" s="27" t="s">
        <v>8</v>
      </c>
      <c r="IN674" s="27" t="s">
        <v>7</v>
      </c>
      <c r="MT674" s="27" t="s">
        <v>7</v>
      </c>
      <c r="MU674" s="27" t="s">
        <v>8</v>
      </c>
      <c r="MV674" s="27" t="s">
        <v>7</v>
      </c>
      <c r="MW674" s="27" t="s">
        <v>8</v>
      </c>
      <c r="MX674" s="27" t="s">
        <v>7</v>
      </c>
    </row>
    <row r="675" spans="1:362" x14ac:dyDescent="0.25">
      <c r="A675" s="7">
        <v>0.17505917802766208</v>
      </c>
      <c r="B675"/>
      <c r="C675"/>
      <c r="D675"/>
      <c r="E675"/>
      <c r="F675" s="27" t="s">
        <v>7</v>
      </c>
      <c r="GI675" s="27" t="s">
        <v>8</v>
      </c>
      <c r="HZ675" s="27" t="s">
        <v>7</v>
      </c>
      <c r="IA675" s="27" t="s">
        <v>8</v>
      </c>
      <c r="MT675" s="27" t="s">
        <v>7</v>
      </c>
      <c r="MU675" s="27" t="s">
        <v>8</v>
      </c>
      <c r="MV675" s="27" t="s">
        <v>7</v>
      </c>
      <c r="MW675" s="27" t="s">
        <v>8</v>
      </c>
      <c r="MX675" s="27" t="s">
        <v>7</v>
      </c>
    </row>
    <row r="676" spans="1:362" x14ac:dyDescent="0.25">
      <c r="A676" s="7">
        <v>0.17162664512515888</v>
      </c>
      <c r="B676"/>
      <c r="C676"/>
      <c r="D676"/>
      <c r="E676"/>
      <c r="F676" s="27" t="s">
        <v>7</v>
      </c>
      <c r="GI676" s="27" t="s">
        <v>8</v>
      </c>
      <c r="HZ676" s="27" t="s">
        <v>7</v>
      </c>
      <c r="IA676" s="27" t="s">
        <v>8</v>
      </c>
      <c r="MT676" s="27" t="s">
        <v>7</v>
      </c>
      <c r="MU676" s="27" t="s">
        <v>8</v>
      </c>
      <c r="MV676" s="27" t="s">
        <v>7</v>
      </c>
      <c r="MW676" s="27" t="s">
        <v>8</v>
      </c>
      <c r="MX676" s="27" t="s">
        <v>7</v>
      </c>
    </row>
    <row r="677" spans="1:362" x14ac:dyDescent="0.25">
      <c r="A677" s="7">
        <v>0.16826141678937145</v>
      </c>
      <c r="B677"/>
      <c r="C677"/>
      <c r="D677"/>
      <c r="E677"/>
      <c r="F677" s="27" t="s">
        <v>7</v>
      </c>
      <c r="GI677" s="27" t="s">
        <v>8</v>
      </c>
      <c r="HZ677" s="27" t="s">
        <v>7</v>
      </c>
      <c r="IA677" s="27" t="s">
        <v>8</v>
      </c>
      <c r="MT677" s="27" t="s">
        <v>7</v>
      </c>
      <c r="MU677" s="27" t="s">
        <v>8</v>
      </c>
      <c r="MV677" s="27" t="s">
        <v>7</v>
      </c>
      <c r="MW677" s="27" t="s">
        <v>8</v>
      </c>
    </row>
    <row r="678" spans="1:362" x14ac:dyDescent="0.25">
      <c r="A678" s="7">
        <v>0.16496217332291319</v>
      </c>
      <c r="B678"/>
      <c r="C678"/>
      <c r="D678"/>
      <c r="E678"/>
      <c r="F678" s="27" t="s">
        <v>7</v>
      </c>
      <c r="GI678" s="27" t="s">
        <v>8</v>
      </c>
      <c r="HZ678" s="27" t="s">
        <v>7</v>
      </c>
      <c r="MT678" s="27" t="s">
        <v>7</v>
      </c>
      <c r="MV678" s="27" t="s">
        <v>7</v>
      </c>
      <c r="MW678" s="27" t="s">
        <v>8</v>
      </c>
    </row>
    <row r="679" spans="1:362" x14ac:dyDescent="0.25">
      <c r="A679" s="7">
        <v>0.16172762090481685</v>
      </c>
      <c r="B679"/>
      <c r="C679"/>
      <c r="D679"/>
      <c r="E679"/>
      <c r="F679" s="27" t="s">
        <v>7</v>
      </c>
      <c r="GI679" s="27" t="s">
        <v>8</v>
      </c>
      <c r="MV679" s="27" t="s">
        <v>7</v>
      </c>
      <c r="MW679" s="27" t="s">
        <v>8</v>
      </c>
    </row>
    <row r="680" spans="1:362" x14ac:dyDescent="0.25">
      <c r="A680" s="7">
        <v>0.15855649108315376</v>
      </c>
      <c r="B680"/>
      <c r="C680"/>
      <c r="D680"/>
      <c r="E680"/>
      <c r="F680" s="27" t="s">
        <v>7</v>
      </c>
      <c r="GI680" s="27" t="s">
        <v>8</v>
      </c>
      <c r="MV680" s="27" t="s">
        <v>7</v>
      </c>
    </row>
    <row r="681" spans="1:362" x14ac:dyDescent="0.25">
      <c r="A681" s="7">
        <v>0.15544754027760171</v>
      </c>
      <c r="B681"/>
      <c r="C681"/>
      <c r="D681"/>
      <c r="E681"/>
      <c r="F681" s="27" t="s">
        <v>7</v>
      </c>
      <c r="GI681" s="27" t="s">
        <v>8</v>
      </c>
    </row>
    <row r="682" spans="1:362" x14ac:dyDescent="0.25">
      <c r="A682" s="7">
        <v>0.15239954929176638</v>
      </c>
      <c r="B682"/>
      <c r="C682"/>
      <c r="D682"/>
      <c r="E682"/>
      <c r="F682" s="27" t="s">
        <v>7</v>
      </c>
      <c r="GG682" s="27" t="s">
        <v>8</v>
      </c>
      <c r="GI682" s="27" t="s">
        <v>8</v>
      </c>
    </row>
    <row r="683" spans="1:362" x14ac:dyDescent="0.25">
      <c r="A683" s="7">
        <v>0.14941132283506509</v>
      </c>
      <c r="B683"/>
      <c r="C683"/>
      <c r="D683"/>
      <c r="E683"/>
      <c r="F683" s="27" t="s">
        <v>7</v>
      </c>
      <c r="GG683" s="27" t="s">
        <v>8</v>
      </c>
      <c r="GH683" s="27" t="s">
        <v>7</v>
      </c>
      <c r="GI683" s="27" t="s">
        <v>8</v>
      </c>
    </row>
    <row r="684" spans="1:362" x14ac:dyDescent="0.25">
      <c r="A684" s="7">
        <v>0.14648168905398537</v>
      </c>
      <c r="B684"/>
      <c r="C684"/>
      <c r="D684"/>
      <c r="E684"/>
      <c r="F684" s="27" t="s">
        <v>7</v>
      </c>
      <c r="GG684" s="27" t="s">
        <v>8</v>
      </c>
      <c r="GH684" s="27" t="s">
        <v>7</v>
      </c>
      <c r="GI684" s="27" t="s">
        <v>8</v>
      </c>
    </row>
    <row r="685" spans="1:362" x14ac:dyDescent="0.25">
      <c r="A685" s="7">
        <v>0.14360949907253467</v>
      </c>
      <c r="B685"/>
      <c r="C685"/>
      <c r="D685"/>
      <c r="E685"/>
      <c r="F685" s="27" t="s">
        <v>7</v>
      </c>
      <c r="GG685" s="27" t="s">
        <v>8</v>
      </c>
      <c r="GH685" s="27" t="s">
        <v>7</v>
      </c>
      <c r="GI685" s="27" t="s">
        <v>8</v>
      </c>
    </row>
    <row r="686" spans="1:362" x14ac:dyDescent="0.25">
      <c r="A686" s="7">
        <v>0.14079362654170066</v>
      </c>
      <c r="B686"/>
      <c r="C686"/>
      <c r="D686"/>
      <c r="E686"/>
      <c r="F686" s="27" t="s">
        <v>7</v>
      </c>
      <c r="GG686" s="27" t="s">
        <v>8</v>
      </c>
      <c r="GH686" s="27" t="s">
        <v>7</v>
      </c>
      <c r="GI686" s="27" t="s">
        <v>8</v>
      </c>
    </row>
    <row r="687" spans="1:362" x14ac:dyDescent="0.25">
      <c r="A687" s="7">
        <v>0.13803296719774574</v>
      </c>
      <c r="B687"/>
      <c r="C687"/>
      <c r="D687"/>
      <c r="E687"/>
      <c r="F687" s="27" t="s">
        <v>7</v>
      </c>
      <c r="GG687" s="27" t="s">
        <v>8</v>
      </c>
      <c r="GH687" s="27" t="s">
        <v>7</v>
      </c>
      <c r="GI687" s="27" t="s">
        <v>8</v>
      </c>
    </row>
    <row r="688" spans="1:362" x14ac:dyDescent="0.25">
      <c r="A688" s="7">
        <v>0.1353264384291625</v>
      </c>
      <c r="B688"/>
      <c r="C688"/>
      <c r="D688"/>
      <c r="E688"/>
      <c r="F688" s="27" t="s">
        <v>7</v>
      </c>
      <c r="GG688" s="27" t="s">
        <v>8</v>
      </c>
      <c r="GH688" s="27" t="s">
        <v>7</v>
      </c>
      <c r="GI688" s="27" t="s">
        <v>8</v>
      </c>
    </row>
    <row r="689" spans="1:191" x14ac:dyDescent="0.25">
      <c r="A689" s="7">
        <v>0.13267297885212009</v>
      </c>
      <c r="B689"/>
      <c r="C689"/>
      <c r="D689"/>
      <c r="E689"/>
      <c r="F689" s="27" t="s">
        <v>7</v>
      </c>
      <c r="GG689" s="27" t="s">
        <v>8</v>
      </c>
      <c r="GH689" s="27" t="s">
        <v>7</v>
      </c>
      <c r="GI689" s="27" t="s">
        <v>8</v>
      </c>
    </row>
    <row r="690" spans="1:191" x14ac:dyDescent="0.25">
      <c r="A690" s="7">
        <v>0.13007154789423539</v>
      </c>
      <c r="B690"/>
      <c r="C690"/>
      <c r="D690"/>
      <c r="E690"/>
      <c r="F690" s="27" t="s">
        <v>7</v>
      </c>
      <c r="GG690" s="27" t="s">
        <v>8</v>
      </c>
      <c r="GH690" s="27" t="s">
        <v>7</v>
      </c>
      <c r="GI690" s="27" t="s">
        <v>8</v>
      </c>
    </row>
    <row r="691" spans="1:191" x14ac:dyDescent="0.25">
      <c r="A691" s="7">
        <v>0.12752112538650529</v>
      </c>
      <c r="B691"/>
      <c r="C691"/>
      <c r="D691"/>
      <c r="E691"/>
      <c r="F691" s="27" t="s">
        <v>7</v>
      </c>
      <c r="GG691" s="27" t="s">
        <v>8</v>
      </c>
      <c r="GH691" s="27" t="s">
        <v>7</v>
      </c>
      <c r="GI691" s="27" t="s">
        <v>8</v>
      </c>
    </row>
    <row r="692" spans="1:191" x14ac:dyDescent="0.25">
      <c r="A692" s="7">
        <v>0.12502071116324048</v>
      </c>
      <c r="B692"/>
      <c r="C692"/>
      <c r="D692"/>
      <c r="E692"/>
      <c r="F692" s="27" t="s">
        <v>7</v>
      </c>
      <c r="GG692" s="27" t="s">
        <v>8</v>
      </c>
      <c r="GH692" s="27" t="s">
        <v>7</v>
      </c>
      <c r="GI692" s="27" t="s">
        <v>8</v>
      </c>
    </row>
    <row r="693" spans="1:191" x14ac:dyDescent="0.25">
      <c r="A693" s="7">
        <v>0.1225693246698436</v>
      </c>
      <c r="B693"/>
      <c r="C693"/>
      <c r="D693"/>
      <c r="E693"/>
      <c r="F693" s="27" t="s">
        <v>7</v>
      </c>
      <c r="GG693" s="27" t="s">
        <v>8</v>
      </c>
      <c r="GH693" s="27" t="s">
        <v>7</v>
      </c>
      <c r="GI693" s="27" t="s">
        <v>8</v>
      </c>
    </row>
    <row r="694" spans="1:191" x14ac:dyDescent="0.25">
      <c r="A694" s="7">
        <v>0.12016600457827803</v>
      </c>
      <c r="B694"/>
      <c r="C694"/>
      <c r="D694"/>
      <c r="E694"/>
      <c r="F694" s="27" t="s">
        <v>7</v>
      </c>
      <c r="GG694" s="27" t="s">
        <v>8</v>
      </c>
      <c r="GH694" s="27" t="s">
        <v>7</v>
      </c>
      <c r="GI694" s="27" t="s">
        <v>8</v>
      </c>
    </row>
    <row r="695" spans="1:191" x14ac:dyDescent="0.25">
      <c r="A695" s="7">
        <v>0.1178098084100765</v>
      </c>
      <c r="B695"/>
      <c r="C695"/>
      <c r="D695"/>
      <c r="E695"/>
      <c r="F695" s="27" t="s">
        <v>7</v>
      </c>
      <c r="GG695" s="27" t="s">
        <v>8</v>
      </c>
      <c r="GH695" s="27" t="s">
        <v>7</v>
      </c>
      <c r="GI695" s="27" t="s">
        <v>8</v>
      </c>
    </row>
    <row r="696" spans="1:191" x14ac:dyDescent="0.25">
      <c r="A696" s="7">
        <v>0.11549981216674166</v>
      </c>
      <c r="B696"/>
      <c r="C696"/>
      <c r="D696"/>
      <c r="E696"/>
      <c r="F696" s="27" t="s">
        <v>7</v>
      </c>
      <c r="GG696" s="27" t="s">
        <v>8</v>
      </c>
      <c r="GH696" s="27" t="s">
        <v>7</v>
      </c>
      <c r="GI696" s="27" t="s">
        <v>8</v>
      </c>
    </row>
    <row r="697" spans="1:191" x14ac:dyDescent="0.25">
      <c r="A697" s="7">
        <v>0.11323510996739378</v>
      </c>
      <c r="B697"/>
      <c r="C697"/>
      <c r="D697"/>
      <c r="E697"/>
      <c r="F697" s="27" t="s">
        <v>7</v>
      </c>
      <c r="GG697" s="27" t="s">
        <v>8</v>
      </c>
      <c r="GH697" s="27" t="s">
        <v>7</v>
      </c>
      <c r="GI697" s="27" t="s">
        <v>8</v>
      </c>
    </row>
    <row r="698" spans="1:191" x14ac:dyDescent="0.25">
      <c r="A698" s="7">
        <v>0.11101481369352331</v>
      </c>
      <c r="B698"/>
      <c r="C698"/>
      <c r="D698"/>
      <c r="E698"/>
      <c r="F698" s="27" t="s">
        <v>7</v>
      </c>
      <c r="GG698" s="27" t="s">
        <v>8</v>
      </c>
      <c r="GH698" s="27" t="s">
        <v>7</v>
      </c>
      <c r="GI698" s="27" t="s">
        <v>8</v>
      </c>
    </row>
    <row r="699" spans="1:191" x14ac:dyDescent="0.25">
      <c r="A699" s="7">
        <v>0.10883805264070913</v>
      </c>
      <c r="B699"/>
      <c r="C699"/>
      <c r="D699"/>
      <c r="E699"/>
      <c r="F699" s="27" t="s">
        <v>7</v>
      </c>
      <c r="GG699" s="27" t="s">
        <v>8</v>
      </c>
      <c r="GH699" s="27" t="s">
        <v>7</v>
      </c>
      <c r="GI699" s="27" t="s">
        <v>8</v>
      </c>
    </row>
    <row r="700" spans="1:191" x14ac:dyDescent="0.25">
      <c r="A700" s="7">
        <v>0.10670397317716582</v>
      </c>
      <c r="B700"/>
      <c r="C700"/>
      <c r="D700"/>
      <c r="E700"/>
      <c r="F700" s="27" t="s">
        <v>7</v>
      </c>
      <c r="GG700" s="27" t="s">
        <v>8</v>
      </c>
      <c r="GH700" s="27" t="s">
        <v>7</v>
      </c>
      <c r="GI700" s="27" t="s">
        <v>8</v>
      </c>
    </row>
    <row r="701" spans="1:191" x14ac:dyDescent="0.25">
      <c r="A701" s="7">
        <v>0.1046117384089861</v>
      </c>
      <c r="B701"/>
      <c r="C701"/>
      <c r="D701"/>
      <c r="E701"/>
      <c r="F701" s="27" t="s">
        <v>7</v>
      </c>
      <c r="GG701" s="27" t="s">
        <v>8</v>
      </c>
      <c r="GH701" s="27" t="s">
        <v>7</v>
      </c>
      <c r="GI701" s="27" t="s">
        <v>8</v>
      </c>
    </row>
    <row r="702" spans="1:191" x14ac:dyDescent="0.25">
      <c r="A702" s="7">
        <v>0.10256052785194716</v>
      </c>
      <c r="B702"/>
      <c r="C702"/>
      <c r="D702"/>
      <c r="E702"/>
      <c r="F702" s="27" t="s">
        <v>7</v>
      </c>
      <c r="GG702" s="27" t="s">
        <v>8</v>
      </c>
      <c r="GH702" s="27" t="s">
        <v>7</v>
      </c>
      <c r="GI702" s="27" t="s">
        <v>8</v>
      </c>
    </row>
    <row r="703" spans="1:191" x14ac:dyDescent="0.25">
      <c r="A703" s="7">
        <v>0.10054953710975212</v>
      </c>
      <c r="B703"/>
      <c r="C703"/>
      <c r="D703"/>
      <c r="E703"/>
      <c r="F703" s="27" t="s">
        <v>7</v>
      </c>
      <c r="GG703" s="27" t="s">
        <v>8</v>
      </c>
      <c r="GH703" s="27" t="s">
        <v>7</v>
      </c>
    </row>
    <row r="704" spans="1:191" x14ac:dyDescent="0.25">
      <c r="A704" s="7">
        <v>9.8577977558580512E-2</v>
      </c>
      <c r="B704"/>
      <c r="C704"/>
      <c r="D704"/>
      <c r="E704"/>
      <c r="F704" s="27" t="s">
        <v>7</v>
      </c>
      <c r="GG704" s="27" t="s">
        <v>8</v>
      </c>
    </row>
    <row r="705" spans="1:189" x14ac:dyDescent="0.25">
      <c r="A705" s="7">
        <v>9.6645076037824032E-2</v>
      </c>
      <c r="B705"/>
      <c r="C705"/>
      <c r="D705"/>
      <c r="E705"/>
      <c r="F705" s="27" t="s">
        <v>7</v>
      </c>
      <c r="GG705" s="27" t="s">
        <v>8</v>
      </c>
    </row>
    <row r="706" spans="1:189" x14ac:dyDescent="0.25">
      <c r="A706" s="7">
        <v>9.4750074546886304E-2</v>
      </c>
      <c r="B706"/>
      <c r="C706"/>
      <c r="D706"/>
      <c r="E706"/>
      <c r="F706" s="27" t="s">
        <v>7</v>
      </c>
      <c r="GG706" s="27" t="s">
        <v>8</v>
      </c>
    </row>
    <row r="707" spans="1:189" x14ac:dyDescent="0.25">
      <c r="A707" s="7">
        <v>9.2892229947927743E-2</v>
      </c>
      <c r="B707"/>
      <c r="C707"/>
      <c r="D707"/>
      <c r="E707"/>
      <c r="F707" s="27" t="s">
        <v>7</v>
      </c>
      <c r="GG707" s="27" t="s">
        <v>8</v>
      </c>
    </row>
    <row r="708" spans="1:189" x14ac:dyDescent="0.25">
      <c r="A708" s="7">
        <v>9.1070813674438963E-2</v>
      </c>
      <c r="B708"/>
      <c r="C708"/>
      <c r="D708"/>
      <c r="E708"/>
      <c r="F708" s="27" t="s">
        <v>7</v>
      </c>
      <c r="GG708" s="27" t="s">
        <v>8</v>
      </c>
    </row>
    <row r="709" spans="1:189" x14ac:dyDescent="0.25">
      <c r="A709" s="7">
        <v>8.9285111445528392E-2</v>
      </c>
      <c r="B709"/>
      <c r="C709"/>
      <c r="D709"/>
      <c r="E709"/>
      <c r="F709" s="27" t="s">
        <v>7</v>
      </c>
      <c r="GG709" s="27" t="s">
        <v>8</v>
      </c>
    </row>
    <row r="710" spans="1:189" x14ac:dyDescent="0.25">
      <c r="A710" s="7">
        <v>8.7534422985812155E-2</v>
      </c>
      <c r="B710"/>
      <c r="C710"/>
      <c r="D710"/>
      <c r="E710"/>
      <c r="F710" s="27" t="s">
        <v>7</v>
      </c>
      <c r="GG710" s="27" t="s">
        <v>8</v>
      </c>
    </row>
    <row r="711" spans="1:189" x14ac:dyDescent="0.25">
      <c r="A711" s="7">
        <v>8.5818061750796232E-2</v>
      </c>
      <c r="B711"/>
      <c r="C711"/>
      <c r="D711"/>
      <c r="E711"/>
      <c r="F711" s="27" t="s">
        <v>7</v>
      </c>
      <c r="GG711" s="27" t="s">
        <v>8</v>
      </c>
    </row>
    <row r="712" spans="1:189" x14ac:dyDescent="0.25">
      <c r="A712" s="7">
        <v>8.4135354657643366E-2</v>
      </c>
      <c r="B712"/>
      <c r="C712"/>
      <c r="D712"/>
      <c r="E712"/>
      <c r="F712" s="27" t="s">
        <v>7</v>
      </c>
      <c r="GG712" s="27" t="s">
        <v>8</v>
      </c>
    </row>
    <row r="713" spans="1:189" x14ac:dyDescent="0.25">
      <c r="A713" s="7">
        <v>8.248564182121898E-2</v>
      </c>
      <c r="B713"/>
      <c r="C713"/>
      <c r="D713"/>
      <c r="E713"/>
      <c r="F713" s="27" t="s">
        <v>7</v>
      </c>
      <c r="GG713" s="27" t="s">
        <v>8</v>
      </c>
    </row>
    <row r="714" spans="1:189" x14ac:dyDescent="0.25">
      <c r="A714" s="7">
        <v>8.0868276295312735E-2</v>
      </c>
      <c r="B714"/>
      <c r="C714"/>
      <c r="D714"/>
      <c r="E714"/>
      <c r="F714" s="27" t="s">
        <v>7</v>
      </c>
      <c r="GG714" s="27" t="s">
        <v>8</v>
      </c>
    </row>
    <row r="715" spans="1:189" x14ac:dyDescent="0.25">
      <c r="A715" s="7">
        <v>7.9282623818934056E-2</v>
      </c>
      <c r="B715"/>
      <c r="C715"/>
      <c r="D715"/>
      <c r="E715"/>
      <c r="F715" s="27" t="s">
        <v>7</v>
      </c>
      <c r="GG715" s="27" t="s">
        <v>8</v>
      </c>
    </row>
    <row r="716" spans="1:189" x14ac:dyDescent="0.25">
      <c r="A716" s="7">
        <v>7.7728062567582412E-2</v>
      </c>
      <c r="B716"/>
      <c r="C716"/>
      <c r="D716"/>
      <c r="E716"/>
      <c r="F716" s="27" t="s">
        <v>7</v>
      </c>
      <c r="GG716" s="27" t="s">
        <v>8</v>
      </c>
    </row>
    <row r="717" spans="1:189" x14ac:dyDescent="0.25">
      <c r="A717" s="7">
        <v>7.6203982909394521E-2</v>
      </c>
      <c r="B717"/>
      <c r="C717"/>
      <c r="D717"/>
      <c r="E717"/>
      <c r="F717" s="27" t="s">
        <v>7</v>
      </c>
      <c r="GG717" s="27" t="s">
        <v>8</v>
      </c>
    </row>
    <row r="718" spans="1:189" x14ac:dyDescent="0.25">
      <c r="A718" s="7">
        <v>7.4709787166073058E-2</v>
      </c>
      <c r="B718"/>
      <c r="C718"/>
      <c r="D718"/>
      <c r="E718"/>
      <c r="F718" s="27" t="s">
        <v>7</v>
      </c>
      <c r="GG718" s="27" t="s">
        <v>8</v>
      </c>
    </row>
    <row r="719" spans="1:189" x14ac:dyDescent="0.25">
      <c r="A719" s="7">
        <v>7.3244889378503E-2</v>
      </c>
      <c r="B719"/>
      <c r="C719"/>
      <c r="D719"/>
      <c r="E719"/>
      <c r="F719" s="27" t="s">
        <v>7</v>
      </c>
      <c r="GG719" s="27" t="s">
        <v>8</v>
      </c>
    </row>
    <row r="720" spans="1:189" x14ac:dyDescent="0.25">
      <c r="A720" s="7">
        <v>7.1808715076963722E-2</v>
      </c>
      <c r="B720"/>
      <c r="C720"/>
      <c r="D720"/>
      <c r="E720"/>
      <c r="F720" s="27" t="s">
        <v>7</v>
      </c>
      <c r="GG720" s="27" t="s">
        <v>8</v>
      </c>
    </row>
    <row r="721" spans="1:189" x14ac:dyDescent="0.25">
      <c r="A721" s="7">
        <v>7.0400701055846782E-2</v>
      </c>
      <c r="B721"/>
      <c r="C721"/>
      <c r="D721"/>
      <c r="E721"/>
      <c r="F721" s="27" t="s">
        <v>7</v>
      </c>
      <c r="GG721" s="27" t="s">
        <v>8</v>
      </c>
    </row>
    <row r="722" spans="1:189" x14ac:dyDescent="0.25">
      <c r="A722" s="7">
        <v>6.9020295152790956E-2</v>
      </c>
      <c r="B722"/>
      <c r="C722"/>
      <c r="D722"/>
      <c r="E722"/>
      <c r="F722" s="27" t="s">
        <v>7</v>
      </c>
      <c r="FY722" s="27" t="s">
        <v>8</v>
      </c>
      <c r="GG722" s="27" t="s">
        <v>8</v>
      </c>
    </row>
    <row r="723" spans="1:189" x14ac:dyDescent="0.25">
      <c r="A723" s="7">
        <v>6.7666956032147993E-2</v>
      </c>
      <c r="B723"/>
      <c r="C723"/>
      <c r="D723"/>
      <c r="E723"/>
      <c r="F723" s="27" t="s">
        <v>7</v>
      </c>
      <c r="FY723" s="27" t="s">
        <v>8</v>
      </c>
      <c r="FZ723" s="27" t="s">
        <v>7</v>
      </c>
      <c r="GG723" s="27" t="s">
        <v>8</v>
      </c>
    </row>
    <row r="724" spans="1:189" x14ac:dyDescent="0.25">
      <c r="A724" s="7">
        <v>6.6340152972694105E-2</v>
      </c>
      <c r="B724"/>
      <c r="C724"/>
      <c r="D724"/>
      <c r="E724"/>
      <c r="F724" s="27" t="s">
        <v>7</v>
      </c>
      <c r="FY724" s="27" t="s">
        <v>8</v>
      </c>
      <c r="FZ724" s="27" t="s">
        <v>7</v>
      </c>
      <c r="GG724" s="27" t="s">
        <v>8</v>
      </c>
    </row>
    <row r="725" spans="1:189" x14ac:dyDescent="0.25">
      <c r="A725" s="7">
        <v>6.5039365659504023E-2</v>
      </c>
      <c r="B725"/>
      <c r="C725"/>
      <c r="D725"/>
      <c r="E725"/>
      <c r="F725" s="27" t="s">
        <v>7</v>
      </c>
      <c r="FY725" s="27" t="s">
        <v>8</v>
      </c>
      <c r="FZ725" s="27" t="s">
        <v>7</v>
      </c>
      <c r="GG725" s="27" t="s">
        <v>8</v>
      </c>
    </row>
    <row r="726" spans="1:189" x14ac:dyDescent="0.25">
      <c r="A726" s="7">
        <v>6.3764083979905906E-2</v>
      </c>
      <c r="B726"/>
      <c r="C726"/>
      <c r="D726"/>
      <c r="E726"/>
      <c r="F726" s="27" t="s">
        <v>7</v>
      </c>
      <c r="FY726" s="27" t="s">
        <v>8</v>
      </c>
      <c r="FZ726" s="27" t="s">
        <v>7</v>
      </c>
      <c r="GG726" s="27" t="s">
        <v>8</v>
      </c>
    </row>
    <row r="727" spans="1:189" x14ac:dyDescent="0.25">
      <c r="A727" s="7">
        <v>6.251380782343717E-2</v>
      </c>
      <c r="B727"/>
      <c r="C727"/>
      <c r="D727"/>
      <c r="E727"/>
      <c r="F727" s="27" t="s">
        <v>7</v>
      </c>
      <c r="FY727" s="27" t="s">
        <v>8</v>
      </c>
      <c r="FZ727" s="27" t="s">
        <v>7</v>
      </c>
      <c r="GG727" s="27" t="s">
        <v>8</v>
      </c>
    </row>
    <row r="728" spans="1:189" x14ac:dyDescent="0.25">
      <c r="A728" s="7">
        <v>6.1288046885722716E-2</v>
      </c>
      <c r="B728"/>
      <c r="C728"/>
      <c r="D728"/>
      <c r="E728"/>
      <c r="F728" s="27" t="s">
        <v>7</v>
      </c>
      <c r="FY728" s="27" t="s">
        <v>8</v>
      </c>
      <c r="FZ728" s="27" t="s">
        <v>7</v>
      </c>
      <c r="GC728" s="27" t="s">
        <v>8</v>
      </c>
      <c r="GG728" s="27" t="s">
        <v>8</v>
      </c>
    </row>
    <row r="729" spans="1:189" x14ac:dyDescent="0.25">
      <c r="A729" s="7">
        <v>6.0086320476198739E-2</v>
      </c>
      <c r="B729"/>
      <c r="C729"/>
      <c r="D729"/>
      <c r="E729"/>
      <c r="F729" s="27" t="s">
        <v>7</v>
      </c>
      <c r="FY729" s="27" t="s">
        <v>8</v>
      </c>
      <c r="FZ729" s="27" t="s">
        <v>7</v>
      </c>
      <c r="GC729" s="27" t="s">
        <v>8</v>
      </c>
      <c r="GD729" s="27" t="s">
        <v>7</v>
      </c>
      <c r="GE729" s="27" t="s">
        <v>8</v>
      </c>
      <c r="GG729" s="27" t="s">
        <v>8</v>
      </c>
    </row>
    <row r="730" spans="1:189" x14ac:dyDescent="0.25">
      <c r="A730" s="7">
        <v>5.8908157329606609E-2</v>
      </c>
      <c r="B730"/>
      <c r="C730"/>
      <c r="D730"/>
      <c r="E730"/>
      <c r="F730" s="27" t="s">
        <v>7</v>
      </c>
      <c r="FY730" s="27" t="s">
        <v>8</v>
      </c>
      <c r="FZ730" s="27" t="s">
        <v>7</v>
      </c>
      <c r="GC730" s="27" t="s">
        <v>8</v>
      </c>
      <c r="GD730" s="27" t="s">
        <v>7</v>
      </c>
      <c r="GE730" s="27" t="s">
        <v>8</v>
      </c>
      <c r="GF730" s="27" t="s">
        <v>7</v>
      </c>
      <c r="GG730" s="27" t="s">
        <v>8</v>
      </c>
    </row>
    <row r="731" spans="1:189" x14ac:dyDescent="0.25">
      <c r="A731" s="7">
        <v>5.7753095421182947E-2</v>
      </c>
      <c r="B731"/>
      <c r="C731"/>
      <c r="D731"/>
      <c r="E731"/>
      <c r="F731" s="27" t="s">
        <v>7</v>
      </c>
      <c r="FY731" s="27" t="s">
        <v>8</v>
      </c>
      <c r="FZ731" s="27" t="s">
        <v>7</v>
      </c>
      <c r="GC731" s="27" t="s">
        <v>8</v>
      </c>
      <c r="GD731" s="27" t="s">
        <v>7</v>
      </c>
      <c r="GE731" s="27" t="s">
        <v>8</v>
      </c>
      <c r="GF731" s="27" t="s">
        <v>7</v>
      </c>
      <c r="GG731" s="27" t="s">
        <v>8</v>
      </c>
    </row>
    <row r="732" spans="1:189" x14ac:dyDescent="0.25">
      <c r="A732" s="7">
        <v>5.6620681785473484E-2</v>
      </c>
      <c r="B732"/>
      <c r="C732"/>
      <c r="D732"/>
      <c r="E732"/>
      <c r="F732" s="27" t="s">
        <v>7</v>
      </c>
      <c r="FY732" s="27" t="s">
        <v>8</v>
      </c>
      <c r="FZ732" s="27" t="s">
        <v>7</v>
      </c>
      <c r="GA732" s="27" t="s">
        <v>8</v>
      </c>
      <c r="GC732" s="27" t="s">
        <v>8</v>
      </c>
      <c r="GD732" s="27" t="s">
        <v>7</v>
      </c>
      <c r="GE732" s="27" t="s">
        <v>8</v>
      </c>
      <c r="GF732" s="27" t="s">
        <v>7</v>
      </c>
      <c r="GG732" s="27" t="s">
        <v>8</v>
      </c>
    </row>
    <row r="733" spans="1:189" x14ac:dyDescent="0.25">
      <c r="A733" s="7">
        <v>5.5510472338699497E-2</v>
      </c>
      <c r="B733"/>
      <c r="C733"/>
      <c r="D733"/>
      <c r="E733"/>
      <c r="F733" s="27" t="s">
        <v>7</v>
      </c>
      <c r="FY733" s="27" t="s">
        <v>8</v>
      </c>
      <c r="FZ733" s="27" t="s">
        <v>7</v>
      </c>
      <c r="GA733" s="27" t="s">
        <v>8</v>
      </c>
      <c r="GB733" s="27" t="s">
        <v>7</v>
      </c>
      <c r="GC733" s="27" t="s">
        <v>8</v>
      </c>
      <c r="GD733" s="27" t="s">
        <v>7</v>
      </c>
      <c r="GE733" s="27" t="s">
        <v>8</v>
      </c>
      <c r="GF733" s="27" t="s">
        <v>7</v>
      </c>
      <c r="GG733" s="27" t="s">
        <v>8</v>
      </c>
    </row>
    <row r="734" spans="1:189" x14ac:dyDescent="0.25">
      <c r="A734" s="7">
        <v>5.4422031704607354E-2</v>
      </c>
      <c r="B734"/>
      <c r="C734"/>
      <c r="D734"/>
      <c r="E734"/>
      <c r="F734" s="27" t="s">
        <v>7</v>
      </c>
      <c r="FY734" s="27" t="s">
        <v>8</v>
      </c>
      <c r="FZ734" s="27" t="s">
        <v>7</v>
      </c>
      <c r="GA734" s="27" t="s">
        <v>8</v>
      </c>
      <c r="GB734" s="27" t="s">
        <v>7</v>
      </c>
      <c r="GC734" s="27" t="s">
        <v>8</v>
      </c>
      <c r="GD734" s="27" t="s">
        <v>7</v>
      </c>
      <c r="GE734" s="27" t="s">
        <v>8</v>
      </c>
      <c r="GF734" s="27" t="s">
        <v>7</v>
      </c>
      <c r="GG734" s="27" t="s">
        <v>8</v>
      </c>
    </row>
    <row r="735" spans="1:189" x14ac:dyDescent="0.25">
      <c r="A735" s="7">
        <v>5.3354933043732705E-2</v>
      </c>
      <c r="B735"/>
      <c r="C735"/>
      <c r="D735"/>
      <c r="E735"/>
      <c r="F735" s="27" t="s">
        <v>7</v>
      </c>
      <c r="FY735" s="27" t="s">
        <v>8</v>
      </c>
      <c r="FZ735" s="27" t="s">
        <v>7</v>
      </c>
      <c r="GA735" s="27" t="s">
        <v>8</v>
      </c>
      <c r="GB735" s="27" t="s">
        <v>7</v>
      </c>
      <c r="GC735" s="27" t="s">
        <v>8</v>
      </c>
      <c r="GD735" s="27" t="s">
        <v>7</v>
      </c>
      <c r="GE735" s="27" t="s">
        <v>8</v>
      </c>
      <c r="GF735" s="27" t="s">
        <v>7</v>
      </c>
      <c r="GG735" s="27" t="s">
        <v>8</v>
      </c>
    </row>
    <row r="736" spans="1:189" x14ac:dyDescent="0.25">
      <c r="A736" s="7">
        <v>5.2308757886012455E-2</v>
      </c>
      <c r="B736"/>
      <c r="C736"/>
      <c r="D736"/>
      <c r="E736"/>
      <c r="F736" s="27" t="s">
        <v>7</v>
      </c>
      <c r="FY736" s="27" t="s">
        <v>8</v>
      </c>
      <c r="FZ736" s="27" t="s">
        <v>7</v>
      </c>
      <c r="GA736" s="27" t="s">
        <v>8</v>
      </c>
      <c r="GB736" s="27" t="s">
        <v>7</v>
      </c>
      <c r="GC736" s="27" t="s">
        <v>8</v>
      </c>
      <c r="GD736" s="27" t="s">
        <v>7</v>
      </c>
      <c r="GE736" s="27" t="s">
        <v>8</v>
      </c>
      <c r="GF736" s="27" t="s">
        <v>7</v>
      </c>
      <c r="GG736" s="27" t="s">
        <v>8</v>
      </c>
    </row>
    <row r="737" spans="1:189" x14ac:dyDescent="0.25">
      <c r="A737" s="7">
        <v>5.1283095966678877E-2</v>
      </c>
      <c r="B737"/>
      <c r="C737"/>
      <c r="D737"/>
      <c r="E737"/>
      <c r="F737" s="27" t="s">
        <v>7</v>
      </c>
      <c r="FY737" s="27" t="s">
        <v>8</v>
      </c>
      <c r="FZ737" s="27" t="s">
        <v>7</v>
      </c>
      <c r="GA737" s="27" t="s">
        <v>8</v>
      </c>
      <c r="GB737" s="27" t="s">
        <v>7</v>
      </c>
      <c r="GC737" s="27" t="s">
        <v>8</v>
      </c>
      <c r="GD737" s="27" t="s">
        <v>7</v>
      </c>
      <c r="GE737" s="27" t="s">
        <v>8</v>
      </c>
      <c r="GF737" s="27" t="s">
        <v>7</v>
      </c>
      <c r="GG737" s="27" t="s">
        <v>8</v>
      </c>
    </row>
    <row r="738" spans="1:189" x14ac:dyDescent="0.25">
      <c r="A738" s="7">
        <v>5.0277545065371444E-2</v>
      </c>
      <c r="B738"/>
      <c r="C738"/>
      <c r="D738"/>
      <c r="E738"/>
      <c r="F738" s="27" t="s">
        <v>7</v>
      </c>
      <c r="FY738" s="27" t="s">
        <v>8</v>
      </c>
      <c r="FZ738" s="27" t="s">
        <v>7</v>
      </c>
      <c r="GA738" s="27" t="s">
        <v>8</v>
      </c>
      <c r="GB738" s="27" t="s">
        <v>7</v>
      </c>
      <c r="GC738" s="27" t="s">
        <v>8</v>
      </c>
      <c r="GD738" s="27" t="s">
        <v>7</v>
      </c>
      <c r="GE738" s="27" t="s">
        <v>8</v>
      </c>
      <c r="GF738" s="27" t="s">
        <v>7</v>
      </c>
      <c r="GG738" s="27" t="s">
        <v>8</v>
      </c>
    </row>
    <row r="739" spans="1:189" x14ac:dyDescent="0.25">
      <c r="A739" s="7">
        <v>4.9291710848403378E-2</v>
      </c>
      <c r="B739"/>
      <c r="C739"/>
      <c r="D739"/>
      <c r="E739"/>
      <c r="F739" s="27" t="s">
        <v>7</v>
      </c>
      <c r="FY739" s="27" t="s">
        <v>8</v>
      </c>
      <c r="FZ739" s="27" t="s">
        <v>7</v>
      </c>
      <c r="GA739" s="27" t="s">
        <v>8</v>
      </c>
      <c r="GB739" s="27" t="s">
        <v>7</v>
      </c>
      <c r="GC739" s="27" t="s">
        <v>8</v>
      </c>
      <c r="GD739" s="27" t="s">
        <v>7</v>
      </c>
      <c r="GE739" s="27" t="s">
        <v>8</v>
      </c>
      <c r="GF739" s="27" t="s">
        <v>7</v>
      </c>
      <c r="GG739" s="27" t="s">
        <v>8</v>
      </c>
    </row>
    <row r="740" spans="1:189" x14ac:dyDescent="0.25">
      <c r="A740" s="7">
        <v>4.8325206714120959E-2</v>
      </c>
      <c r="B740"/>
      <c r="C740"/>
      <c r="D740"/>
      <c r="E740"/>
      <c r="F740" s="27" t="s">
        <v>7</v>
      </c>
      <c r="FY740" s="27" t="s">
        <v>8</v>
      </c>
      <c r="FZ740" s="27" t="s">
        <v>7</v>
      </c>
      <c r="GA740" s="27" t="s">
        <v>8</v>
      </c>
      <c r="GB740" s="27" t="s">
        <v>7</v>
      </c>
      <c r="GC740" s="27" t="s">
        <v>8</v>
      </c>
      <c r="GD740" s="27" t="s">
        <v>7</v>
      </c>
      <c r="GE740" s="27" t="s">
        <v>8</v>
      </c>
      <c r="GF740" s="27" t="s">
        <v>7</v>
      </c>
      <c r="GG740" s="27" t="s">
        <v>8</v>
      </c>
    </row>
    <row r="741" spans="1:189" x14ac:dyDescent="0.25">
      <c r="A741" s="7">
        <v>4.7377653641295057E-2</v>
      </c>
      <c r="B741"/>
      <c r="C741"/>
      <c r="D741"/>
      <c r="E741"/>
      <c r="F741" s="27" t="s">
        <v>7</v>
      </c>
      <c r="FY741" s="27" t="s">
        <v>8</v>
      </c>
      <c r="FZ741" s="27" t="s">
        <v>7</v>
      </c>
      <c r="GB741" s="27" t="s">
        <v>7</v>
      </c>
      <c r="GC741" s="27" t="s">
        <v>8</v>
      </c>
      <c r="GD741" s="27" t="s">
        <v>7</v>
      </c>
      <c r="GF741" s="27" t="s">
        <v>7</v>
      </c>
    </row>
    <row r="742" spans="1:189" x14ac:dyDescent="0.25">
      <c r="A742" s="7">
        <v>4.644868004048535E-2</v>
      </c>
      <c r="B742"/>
      <c r="C742"/>
      <c r="D742"/>
      <c r="E742"/>
      <c r="F742" s="27" t="s">
        <v>7</v>
      </c>
      <c r="FY742" s="27" t="s">
        <v>8</v>
      </c>
      <c r="GB742" s="27" t="s">
        <v>7</v>
      </c>
      <c r="GC742" s="27" t="s">
        <v>8</v>
      </c>
    </row>
    <row r="743" spans="1:189" x14ac:dyDescent="0.25">
      <c r="A743" s="7">
        <v>4.5537921608318974E-2</v>
      </c>
      <c r="B743"/>
      <c r="C743"/>
      <c r="D743"/>
      <c r="E743"/>
      <c r="F743" s="27" t="s">
        <v>7</v>
      </c>
      <c r="FY743" s="27" t="s">
        <v>8</v>
      </c>
      <c r="GB743" s="27" t="s">
        <v>7</v>
      </c>
      <c r="GC743" s="27" t="s">
        <v>8</v>
      </c>
    </row>
    <row r="744" spans="1:189" x14ac:dyDescent="0.25">
      <c r="A744" s="7">
        <v>4.4645021184626446E-2</v>
      </c>
      <c r="B744"/>
      <c r="C744"/>
      <c r="D744"/>
      <c r="E744"/>
      <c r="F744" s="27" t="s">
        <v>7</v>
      </c>
      <c r="FY744" s="27" t="s">
        <v>8</v>
      </c>
      <c r="GB744" s="27" t="s">
        <v>7</v>
      </c>
      <c r="GC744" s="27" t="s">
        <v>8</v>
      </c>
    </row>
    <row r="745" spans="1:189" x14ac:dyDescent="0.25">
      <c r="A745" s="7">
        <v>4.3769628612378868E-2</v>
      </c>
      <c r="B745"/>
      <c r="C745"/>
      <c r="D745"/>
      <c r="E745"/>
      <c r="F745" s="27" t="s">
        <v>7</v>
      </c>
      <c r="FY745" s="27" t="s">
        <v>8</v>
      </c>
      <c r="GB745" s="27" t="s">
        <v>7</v>
      </c>
      <c r="GC745" s="27" t="s">
        <v>8</v>
      </c>
    </row>
    <row r="746" spans="1:189" x14ac:dyDescent="0.25">
      <c r="A746" s="7">
        <v>4.2911400600371442E-2</v>
      </c>
      <c r="B746"/>
      <c r="C746"/>
      <c r="D746"/>
      <c r="E746"/>
      <c r="F746" s="27" t="s">
        <v>7</v>
      </c>
      <c r="FY746" s="27" t="s">
        <v>8</v>
      </c>
      <c r="GB746" s="27" t="s">
        <v>7</v>
      </c>
      <c r="GC746" s="27" t="s">
        <v>8</v>
      </c>
    </row>
    <row r="747" spans="1:189" x14ac:dyDescent="0.25">
      <c r="A747" s="7">
        <v>4.2070000588599457E-2</v>
      </c>
      <c r="B747"/>
      <c r="C747"/>
      <c r="D747"/>
      <c r="E747"/>
      <c r="F747" s="27" t="s">
        <v>7</v>
      </c>
      <c r="FY747" s="27" t="s">
        <v>8</v>
      </c>
      <c r="GB747" s="27" t="s">
        <v>7</v>
      </c>
      <c r="GC747" s="27" t="s">
        <v>8</v>
      </c>
    </row>
    <row r="748" spans="1:189" x14ac:dyDescent="0.25">
      <c r="A748" s="7">
        <v>4.1245098616273977E-2</v>
      </c>
      <c r="B748"/>
      <c r="C748"/>
      <c r="D748"/>
      <c r="E748"/>
      <c r="F748" s="27" t="s">
        <v>7</v>
      </c>
      <c r="FY748" s="27" t="s">
        <v>8</v>
      </c>
      <c r="GB748" s="27" t="s">
        <v>7</v>
      </c>
      <c r="GC748" s="27" t="s">
        <v>8</v>
      </c>
    </row>
    <row r="749" spans="1:189" x14ac:dyDescent="0.25">
      <c r="A749" s="7">
        <v>4.043637119242547E-2</v>
      </c>
      <c r="B749"/>
      <c r="C749"/>
      <c r="D749"/>
      <c r="E749"/>
      <c r="F749" s="27" t="s">
        <v>7</v>
      </c>
      <c r="FY749" s="27" t="s">
        <v>8</v>
      </c>
      <c r="GB749" s="27" t="s">
        <v>7</v>
      </c>
      <c r="GC749" s="27" t="s">
        <v>8</v>
      </c>
    </row>
    <row r="750" spans="1:189" x14ac:dyDescent="0.25">
      <c r="A750" s="7">
        <v>3.9643501169044582E-2</v>
      </c>
      <c r="B750"/>
      <c r="C750"/>
      <c r="D750"/>
      <c r="E750"/>
      <c r="F750" s="27" t="s">
        <v>7</v>
      </c>
      <c r="FY750" s="27" t="s">
        <v>8</v>
      </c>
      <c r="GB750" s="27" t="s">
        <v>7</v>
      </c>
      <c r="GC750" s="27" t="s">
        <v>8</v>
      </c>
    </row>
    <row r="751" spans="1:189" x14ac:dyDescent="0.25">
      <c r="A751" s="7">
        <v>3.8866177616710372E-2</v>
      </c>
      <c r="B751"/>
      <c r="C751"/>
      <c r="D751"/>
      <c r="E751"/>
      <c r="F751" s="27" t="s">
        <v>7</v>
      </c>
      <c r="FY751" s="27" t="s">
        <v>8</v>
      </c>
      <c r="GB751" s="27" t="s">
        <v>7</v>
      </c>
      <c r="GC751" s="27" t="s">
        <v>8</v>
      </c>
    </row>
    <row r="752" spans="1:189" x14ac:dyDescent="0.25">
      <c r="A752" s="7">
        <v>3.8104095702657229E-2</v>
      </c>
      <c r="B752"/>
      <c r="C752"/>
      <c r="D752"/>
      <c r="E752"/>
      <c r="F752" s="27" t="s">
        <v>7</v>
      </c>
      <c r="FW752" s="27" t="s">
        <v>8</v>
      </c>
      <c r="FY752" s="27" t="s">
        <v>8</v>
      </c>
      <c r="GB752" s="27" t="s">
        <v>7</v>
      </c>
      <c r="GC752" s="27" t="s">
        <v>8</v>
      </c>
    </row>
    <row r="753" spans="1:185" x14ac:dyDescent="0.25">
      <c r="A753" s="7">
        <v>3.7356956571232579E-2</v>
      </c>
      <c r="B753"/>
      <c r="C753"/>
      <c r="D753"/>
      <c r="E753"/>
      <c r="F753" s="27" t="s">
        <v>7</v>
      </c>
      <c r="FU753" s="27" t="s">
        <v>8</v>
      </c>
      <c r="FW753" s="27" t="s">
        <v>8</v>
      </c>
      <c r="FX753" s="27" t="s">
        <v>7</v>
      </c>
      <c r="FY753" s="27" t="s">
        <v>8</v>
      </c>
      <c r="GB753" s="27" t="s">
        <v>7</v>
      </c>
      <c r="GC753" s="27" t="s">
        <v>8</v>
      </c>
    </row>
    <row r="754" spans="1:185" x14ac:dyDescent="0.25">
      <c r="A754" s="7">
        <v>3.6624467226698605E-2</v>
      </c>
      <c r="B754"/>
      <c r="C754"/>
      <c r="D754"/>
      <c r="E754"/>
      <c r="F754" s="27" t="s">
        <v>7</v>
      </c>
      <c r="FU754" s="27" t="s">
        <v>8</v>
      </c>
      <c r="FV754" s="27" t="s">
        <v>7</v>
      </c>
      <c r="FW754" s="27" t="s">
        <v>8</v>
      </c>
      <c r="FX754" s="27" t="s">
        <v>7</v>
      </c>
      <c r="FY754" s="27" t="s">
        <v>8</v>
      </c>
      <c r="GB754" s="27" t="s">
        <v>7</v>
      </c>
      <c r="GC754" s="27" t="s">
        <v>8</v>
      </c>
    </row>
    <row r="755" spans="1:185" x14ac:dyDescent="0.25">
      <c r="A755" s="7">
        <v>3.5906340418331961E-2</v>
      </c>
      <c r="B755"/>
      <c r="C755"/>
      <c r="D755"/>
      <c r="E755"/>
      <c r="F755" s="27" t="s">
        <v>7</v>
      </c>
      <c r="FU755" s="27" t="s">
        <v>8</v>
      </c>
      <c r="FV755" s="27" t="s">
        <v>7</v>
      </c>
      <c r="FW755" s="27" t="s">
        <v>8</v>
      </c>
      <c r="FX755" s="27" t="s">
        <v>7</v>
      </c>
      <c r="FY755" s="27" t="s">
        <v>8</v>
      </c>
      <c r="GB755" s="27" t="s">
        <v>7</v>
      </c>
      <c r="GC755" s="27" t="s">
        <v>8</v>
      </c>
    </row>
    <row r="756" spans="1:185" x14ac:dyDescent="0.25">
      <c r="A756" s="7">
        <v>3.5202294527776436E-2</v>
      </c>
      <c r="B756"/>
      <c r="C756"/>
      <c r="D756"/>
      <c r="E756"/>
      <c r="F756" s="27" t="s">
        <v>7</v>
      </c>
      <c r="FU756" s="27" t="s">
        <v>8</v>
      </c>
      <c r="FV756" s="27" t="s">
        <v>7</v>
      </c>
      <c r="FW756" s="27" t="s">
        <v>8</v>
      </c>
      <c r="FX756" s="27" t="s">
        <v>7</v>
      </c>
      <c r="FY756" s="27" t="s">
        <v>8</v>
      </c>
      <c r="GB756" s="27" t="s">
        <v>7</v>
      </c>
      <c r="GC756" s="27" t="s">
        <v>8</v>
      </c>
    </row>
    <row r="757" spans="1:185" x14ac:dyDescent="0.25">
      <c r="A757" s="7">
        <v>3.451205345860435E-2</v>
      </c>
      <c r="B757"/>
      <c r="C757"/>
      <c r="D757"/>
      <c r="E757"/>
      <c r="F757" s="27" t="s">
        <v>7</v>
      </c>
      <c r="FU757" s="27" t="s">
        <v>8</v>
      </c>
      <c r="FV757" s="27" t="s">
        <v>7</v>
      </c>
      <c r="FW757" s="27" t="s">
        <v>8</v>
      </c>
      <c r="FX757" s="27" t="s">
        <v>7</v>
      </c>
      <c r="FY757" s="27" t="s">
        <v>8</v>
      </c>
      <c r="GB757" s="27" t="s">
        <v>7</v>
      </c>
      <c r="GC757" s="27" t="s">
        <v>8</v>
      </c>
    </row>
    <row r="758" spans="1:185" x14ac:dyDescent="0.25">
      <c r="A758" s="7">
        <v>3.3835346528043479E-2</v>
      </c>
      <c r="B758"/>
      <c r="C758"/>
      <c r="D758"/>
      <c r="E758"/>
      <c r="F758" s="27" t="s">
        <v>7</v>
      </c>
      <c r="FU758" s="27" t="s">
        <v>8</v>
      </c>
      <c r="FV758" s="27" t="s">
        <v>7</v>
      </c>
      <c r="FW758" s="27" t="s">
        <v>8</v>
      </c>
      <c r="FX758" s="27" t="s">
        <v>7</v>
      </c>
      <c r="FY758" s="27" t="s">
        <v>8</v>
      </c>
      <c r="GB758" s="27" t="s">
        <v>7</v>
      </c>
      <c r="GC758" s="27" t="s">
        <v>8</v>
      </c>
    </row>
    <row r="759" spans="1:185" x14ac:dyDescent="0.25">
      <c r="A759" s="7">
        <v>3.3171908360826938E-2</v>
      </c>
      <c r="B759"/>
      <c r="C759"/>
      <c r="D759"/>
      <c r="E759"/>
      <c r="F759" s="27" t="s">
        <v>7</v>
      </c>
      <c r="FU759" s="27" t="s">
        <v>8</v>
      </c>
      <c r="FV759" s="27" t="s">
        <v>7</v>
      </c>
      <c r="FX759" s="27" t="s">
        <v>7</v>
      </c>
      <c r="FY759" s="27" t="s">
        <v>8</v>
      </c>
      <c r="GB759" s="27" t="s">
        <v>7</v>
      </c>
      <c r="GC759" s="27" t="s">
        <v>8</v>
      </c>
    </row>
    <row r="760" spans="1:185" x14ac:dyDescent="0.25">
      <c r="A760" s="7">
        <v>3.2521478785124451E-2</v>
      </c>
      <c r="B760"/>
      <c r="C760"/>
      <c r="D760"/>
      <c r="E760"/>
      <c r="F760" s="27" t="s">
        <v>7</v>
      </c>
      <c r="FU760" s="27" t="s">
        <v>8</v>
      </c>
      <c r="FX760" s="27" t="s">
        <v>7</v>
      </c>
      <c r="FY760" s="27" t="s">
        <v>8</v>
      </c>
      <c r="GB760" s="27" t="s">
        <v>7</v>
      </c>
    </row>
    <row r="761" spans="1:185" x14ac:dyDescent="0.25">
      <c r="A761" s="7">
        <v>3.1883802730514173E-2</v>
      </c>
      <c r="B761"/>
      <c r="C761"/>
      <c r="D761"/>
      <c r="E761"/>
      <c r="F761" s="27" t="s">
        <v>7</v>
      </c>
      <c r="FU761" s="27" t="s">
        <v>8</v>
      </c>
      <c r="FX761" s="27" t="s">
        <v>7</v>
      </c>
      <c r="FY761" s="27" t="s">
        <v>8</v>
      </c>
    </row>
    <row r="762" spans="1:185" x14ac:dyDescent="0.25">
      <c r="A762" s="7">
        <v>3.1258630127955073E-2</v>
      </c>
      <c r="B762"/>
      <c r="C762"/>
      <c r="D762"/>
      <c r="E762"/>
      <c r="F762" s="27" t="s">
        <v>7</v>
      </c>
      <c r="FU762" s="27" t="s">
        <v>8</v>
      </c>
      <c r="FX762" s="27" t="s">
        <v>7</v>
      </c>
      <c r="FY762" s="27" t="s">
        <v>8</v>
      </c>
    </row>
    <row r="763" spans="1:185" x14ac:dyDescent="0.25">
      <c r="A763" s="7">
        <v>3.064571581172066E-2</v>
      </c>
      <c r="B763"/>
      <c r="C763"/>
      <c r="D763"/>
      <c r="E763"/>
      <c r="F763" s="27" t="s">
        <v>7</v>
      </c>
      <c r="FU763" s="27" t="s">
        <v>8</v>
      </c>
      <c r="FX763" s="27" t="s">
        <v>7</v>
      </c>
      <c r="FY763" s="27" t="s">
        <v>8</v>
      </c>
    </row>
    <row r="764" spans="1:185" x14ac:dyDescent="0.25">
      <c r="A764" s="7">
        <v>3.0044819423255549E-2</v>
      </c>
      <c r="B764"/>
      <c r="C764"/>
      <c r="D764"/>
      <c r="E764"/>
      <c r="F764" s="27" t="s">
        <v>7</v>
      </c>
      <c r="EW764" s="27" t="s">
        <v>8</v>
      </c>
      <c r="FU764" s="27" t="s">
        <v>8</v>
      </c>
      <c r="FX764" s="27" t="s">
        <v>7</v>
      </c>
      <c r="FY764" s="27" t="s">
        <v>8</v>
      </c>
    </row>
    <row r="765" spans="1:185" x14ac:dyDescent="0.25">
      <c r="A765" s="7">
        <v>2.9455705316917203E-2</v>
      </c>
      <c r="B765"/>
      <c r="C765"/>
      <c r="D765"/>
      <c r="E765"/>
      <c r="F765" s="27" t="s">
        <v>7</v>
      </c>
      <c r="EW765" s="27" t="s">
        <v>8</v>
      </c>
      <c r="EX765" s="27" t="s">
        <v>7</v>
      </c>
      <c r="FU765" s="27" t="s">
        <v>8</v>
      </c>
      <c r="FX765" s="27" t="s">
        <v>7</v>
      </c>
      <c r="FY765" s="27" t="s">
        <v>8</v>
      </c>
    </row>
    <row r="766" spans="1:185" x14ac:dyDescent="0.25">
      <c r="A766" s="7">
        <v>2.8878142467565884E-2</v>
      </c>
      <c r="B766"/>
      <c r="C766"/>
      <c r="D766"/>
      <c r="E766"/>
      <c r="F766" s="27" t="s">
        <v>7</v>
      </c>
      <c r="EW766" s="27" t="s">
        <v>8</v>
      </c>
      <c r="EX766" s="27" t="s">
        <v>7</v>
      </c>
      <c r="FU766" s="27" t="s">
        <v>8</v>
      </c>
      <c r="FX766" s="27" t="s">
        <v>7</v>
      </c>
      <c r="FY766" s="27" t="s">
        <v>8</v>
      </c>
    </row>
    <row r="767" spans="1:185" x14ac:dyDescent="0.25">
      <c r="A767" s="7">
        <v>2.8311904379966554E-2</v>
      </c>
      <c r="B767"/>
      <c r="C767"/>
      <c r="D767"/>
      <c r="E767"/>
      <c r="F767" s="27" t="s">
        <v>7</v>
      </c>
      <c r="EW767" s="27" t="s">
        <v>8</v>
      </c>
      <c r="EX767" s="27" t="s">
        <v>7</v>
      </c>
      <c r="FU767" s="27" t="s">
        <v>8</v>
      </c>
      <c r="FX767" s="27" t="s">
        <v>7</v>
      </c>
      <c r="FY767" s="27" t="s">
        <v>8</v>
      </c>
    </row>
    <row r="768" spans="1:185" x14ac:dyDescent="0.25">
      <c r="A768" s="7">
        <v>2.7756768999967207E-2</v>
      </c>
      <c r="B768"/>
      <c r="C768"/>
      <c r="D768"/>
      <c r="E768"/>
      <c r="F768" s="27" t="s">
        <v>7</v>
      </c>
      <c r="EW768" s="27" t="s">
        <v>8</v>
      </c>
      <c r="EX768" s="27" t="s">
        <v>7</v>
      </c>
      <c r="FU768" s="27" t="s">
        <v>8</v>
      </c>
      <c r="FX768" s="27" t="s">
        <v>7</v>
      </c>
      <c r="FY768" s="27" t="s">
        <v>8</v>
      </c>
    </row>
    <row r="769" spans="1:180" x14ac:dyDescent="0.25">
      <c r="A769" s="7">
        <v>2.7212518627418834E-2</v>
      </c>
      <c r="B769"/>
      <c r="C769"/>
      <c r="D769"/>
      <c r="E769"/>
      <c r="F769" s="27" t="s">
        <v>7</v>
      </c>
      <c r="EW769" s="27" t="s">
        <v>8</v>
      </c>
      <c r="EX769" s="27" t="s">
        <v>7</v>
      </c>
      <c r="FU769" s="27" t="s">
        <v>8</v>
      </c>
      <c r="FX769" s="27" t="s">
        <v>7</v>
      </c>
    </row>
    <row r="770" spans="1:180" x14ac:dyDescent="0.25">
      <c r="A770" s="7">
        <v>2.6678939830802779E-2</v>
      </c>
      <c r="B770"/>
      <c r="C770"/>
      <c r="D770"/>
      <c r="E770"/>
      <c r="F770" s="27" t="s">
        <v>7</v>
      </c>
      <c r="EW770" s="27" t="s">
        <v>8</v>
      </c>
      <c r="EX770" s="27" t="s">
        <v>7</v>
      </c>
      <c r="FU770" s="27" t="s">
        <v>8</v>
      </c>
    </row>
    <row r="771" spans="1:180" x14ac:dyDescent="0.25">
      <c r="A771" s="7">
        <v>2.615582336353214E-2</v>
      </c>
      <c r="B771"/>
      <c r="C771"/>
      <c r="D771"/>
      <c r="E771"/>
      <c r="F771" s="27" t="s">
        <v>7</v>
      </c>
      <c r="EW771" s="27" t="s">
        <v>8</v>
      </c>
      <c r="EX771" s="27" t="s">
        <v>7</v>
      </c>
      <c r="FU771" s="27" t="s">
        <v>8</v>
      </c>
    </row>
    <row r="772" spans="1:180" x14ac:dyDescent="0.25">
      <c r="A772" s="7">
        <v>2.5642964081894253E-2</v>
      </c>
      <c r="B772"/>
      <c r="C772"/>
      <c r="D772"/>
      <c r="E772"/>
      <c r="F772" s="27" t="s">
        <v>7</v>
      </c>
      <c r="EW772" s="27" t="s">
        <v>8</v>
      </c>
      <c r="EX772" s="27" t="s">
        <v>7</v>
      </c>
      <c r="FS772" s="27" t="s">
        <v>8</v>
      </c>
      <c r="FU772" s="27" t="s">
        <v>8</v>
      </c>
    </row>
    <row r="773" spans="1:180" x14ac:dyDescent="0.25">
      <c r="A773" s="7">
        <v>2.5140160864602207E-2</v>
      </c>
      <c r="B773"/>
      <c r="C773"/>
      <c r="D773"/>
      <c r="E773"/>
      <c r="F773" s="27" t="s">
        <v>7</v>
      </c>
      <c r="EW773" s="27" t="s">
        <v>8</v>
      </c>
      <c r="EX773" s="27" t="s">
        <v>7</v>
      </c>
      <c r="FS773" s="27" t="s">
        <v>8</v>
      </c>
      <c r="FT773" s="27" t="s">
        <v>7</v>
      </c>
      <c r="FU773" s="27" t="s">
        <v>8</v>
      </c>
    </row>
    <row r="774" spans="1:180" x14ac:dyDescent="0.25">
      <c r="A774" s="7">
        <v>2.4647216533923735E-2</v>
      </c>
      <c r="B774"/>
      <c r="C774"/>
      <c r="D774"/>
      <c r="E774"/>
      <c r="F774" s="27" t="s">
        <v>7</v>
      </c>
      <c r="EW774" s="27" t="s">
        <v>8</v>
      </c>
      <c r="EX774" s="27" t="s">
        <v>7</v>
      </c>
      <c r="FQ774" s="27" t="s">
        <v>8</v>
      </c>
      <c r="FS774" s="27" t="s">
        <v>8</v>
      </c>
      <c r="FT774" s="27" t="s">
        <v>7</v>
      </c>
      <c r="FU774" s="27" t="s">
        <v>8</v>
      </c>
    </row>
    <row r="775" spans="1:180" x14ac:dyDescent="0.25">
      <c r="A775" s="7">
        <v>2.4163937778356601E-2</v>
      </c>
      <c r="B775"/>
      <c r="C775"/>
      <c r="D775"/>
      <c r="E775"/>
      <c r="F775" s="27" t="s">
        <v>7</v>
      </c>
      <c r="ES775" s="27" t="s">
        <v>8</v>
      </c>
      <c r="EW775" s="27" t="s">
        <v>8</v>
      </c>
      <c r="EX775" s="27" t="s">
        <v>7</v>
      </c>
      <c r="FQ775" s="27" t="s">
        <v>8</v>
      </c>
      <c r="FR775" s="27" t="s">
        <v>7</v>
      </c>
      <c r="FS775" s="27" t="s">
        <v>8</v>
      </c>
      <c r="FT775" s="27" t="s">
        <v>7</v>
      </c>
      <c r="FU775" s="27" t="s">
        <v>8</v>
      </c>
    </row>
    <row r="776" spans="1:180" x14ac:dyDescent="0.25">
      <c r="A776" s="7">
        <v>2.3690135076820197E-2</v>
      </c>
      <c r="B776"/>
      <c r="C776"/>
      <c r="D776"/>
      <c r="E776"/>
      <c r="F776" s="27" t="s">
        <v>7</v>
      </c>
      <c r="ES776" s="27" t="s">
        <v>8</v>
      </c>
      <c r="ET776" s="27" t="s">
        <v>7</v>
      </c>
      <c r="EW776" s="27" t="s">
        <v>8</v>
      </c>
      <c r="EX776" s="27" t="s">
        <v>7</v>
      </c>
      <c r="FI776" s="27" t="s">
        <v>8</v>
      </c>
      <c r="FQ776" s="27" t="s">
        <v>8</v>
      </c>
      <c r="FR776" s="27" t="s">
        <v>7</v>
      </c>
      <c r="FS776" s="27" t="s">
        <v>8</v>
      </c>
      <c r="FT776" s="27" t="s">
        <v>7</v>
      </c>
      <c r="FU776" s="27" t="s">
        <v>8</v>
      </c>
    </row>
    <row r="777" spans="1:180" x14ac:dyDescent="0.25">
      <c r="A777" s="7">
        <v>2.3225622624333527E-2</v>
      </c>
      <c r="B777"/>
      <c r="C777"/>
      <c r="D777"/>
      <c r="E777"/>
      <c r="F777" s="27" t="s">
        <v>7</v>
      </c>
      <c r="ES777" s="27" t="s">
        <v>8</v>
      </c>
      <c r="ET777" s="27" t="s">
        <v>7</v>
      </c>
      <c r="EW777" s="27" t="s">
        <v>8</v>
      </c>
      <c r="EX777" s="27" t="s">
        <v>7</v>
      </c>
      <c r="FI777" s="27" t="s">
        <v>8</v>
      </c>
      <c r="FJ777" s="27" t="s">
        <v>7</v>
      </c>
      <c r="FQ777" s="27" t="s">
        <v>8</v>
      </c>
      <c r="FR777" s="27" t="s">
        <v>7</v>
      </c>
      <c r="FS777" s="27" t="s">
        <v>8</v>
      </c>
      <c r="FT777" s="27" t="s">
        <v>7</v>
      </c>
      <c r="FU777" s="27" t="s">
        <v>8</v>
      </c>
    </row>
    <row r="778" spans="1:180" x14ac:dyDescent="0.25">
      <c r="A778" s="7">
        <v>2.2770218259150519E-2</v>
      </c>
      <c r="B778"/>
      <c r="C778"/>
      <c r="D778"/>
      <c r="E778"/>
      <c r="F778" s="27" t="s">
        <v>7</v>
      </c>
      <c r="ES778" s="27" t="s">
        <v>8</v>
      </c>
      <c r="ET778" s="27" t="s">
        <v>7</v>
      </c>
      <c r="EW778" s="27" t="s">
        <v>8</v>
      </c>
      <c r="EX778" s="27" t="s">
        <v>7</v>
      </c>
      <c r="FA778" s="27" t="s">
        <v>8</v>
      </c>
      <c r="FI778" s="27" t="s">
        <v>8</v>
      </c>
      <c r="FJ778" s="27" t="s">
        <v>7</v>
      </c>
      <c r="FO778" s="27" t="s">
        <v>8</v>
      </c>
      <c r="FQ778" s="27" t="s">
        <v>8</v>
      </c>
      <c r="FR778" s="27" t="s">
        <v>7</v>
      </c>
      <c r="FS778" s="27" t="s">
        <v>8</v>
      </c>
      <c r="FT778" s="27" t="s">
        <v>7</v>
      </c>
      <c r="FU778" s="27" t="s">
        <v>8</v>
      </c>
    </row>
    <row r="779" spans="1:180" x14ac:dyDescent="0.25">
      <c r="A779" s="7">
        <v>2.2323743391324039E-2</v>
      </c>
      <c r="B779"/>
      <c r="C779"/>
      <c r="D779"/>
      <c r="E779"/>
      <c r="F779" s="27" t="s">
        <v>7</v>
      </c>
      <c r="ES779" s="27" t="s">
        <v>8</v>
      </c>
      <c r="ET779" s="27" t="s">
        <v>7</v>
      </c>
      <c r="EW779" s="27" t="s">
        <v>8</v>
      </c>
      <c r="EX779" s="27" t="s">
        <v>7</v>
      </c>
      <c r="FA779" s="27" t="s">
        <v>8</v>
      </c>
      <c r="FB779" s="27" t="s">
        <v>7</v>
      </c>
      <c r="FI779" s="27" t="s">
        <v>8</v>
      </c>
      <c r="FJ779" s="27" t="s">
        <v>7</v>
      </c>
      <c r="FO779" s="27" t="s">
        <v>8</v>
      </c>
      <c r="FP779" s="27" t="s">
        <v>7</v>
      </c>
      <c r="FQ779" s="27" t="s">
        <v>8</v>
      </c>
      <c r="FR779" s="27" t="s">
        <v>7</v>
      </c>
      <c r="FS779" s="27" t="s">
        <v>8</v>
      </c>
      <c r="FT779" s="27" t="s">
        <v>7</v>
      </c>
      <c r="FU779" s="27" t="s">
        <v>8</v>
      </c>
    </row>
    <row r="780" spans="1:180" x14ac:dyDescent="0.25">
      <c r="A780" s="7">
        <v>2.188602293267063E-2</v>
      </c>
      <c r="B780"/>
      <c r="C780"/>
      <c r="D780"/>
      <c r="E780"/>
      <c r="F780" s="27" t="s">
        <v>7</v>
      </c>
      <c r="CM780" s="27" t="s">
        <v>8</v>
      </c>
      <c r="ES780" s="27" t="s">
        <v>8</v>
      </c>
      <c r="ET780" s="27" t="s">
        <v>7</v>
      </c>
      <c r="EW780" s="27" t="s">
        <v>8</v>
      </c>
      <c r="EX780" s="27" t="s">
        <v>7</v>
      </c>
      <c r="EY780" s="27" t="s">
        <v>8</v>
      </c>
      <c r="FA780" s="27" t="s">
        <v>8</v>
      </c>
      <c r="FB780" s="27" t="s">
        <v>7</v>
      </c>
      <c r="FI780" s="27" t="s">
        <v>8</v>
      </c>
      <c r="FJ780" s="27" t="s">
        <v>7</v>
      </c>
      <c r="FO780" s="27" t="s">
        <v>8</v>
      </c>
      <c r="FP780" s="27" t="s">
        <v>7</v>
      </c>
      <c r="FQ780" s="27" t="s">
        <v>8</v>
      </c>
      <c r="FR780" s="27" t="s">
        <v>7</v>
      </c>
      <c r="FT780" s="27" t="s">
        <v>7</v>
      </c>
      <c r="FU780" s="27" t="s">
        <v>8</v>
      </c>
    </row>
    <row r="781" spans="1:180" x14ac:dyDescent="0.25">
      <c r="A781" s="7">
        <v>2.1456885228108461E-2</v>
      </c>
      <c r="B781"/>
      <c r="C781"/>
      <c r="D781"/>
      <c r="E781"/>
      <c r="F781" s="27" t="s">
        <v>7</v>
      </c>
      <c r="CM781" s="27" t="s">
        <v>8</v>
      </c>
      <c r="CN781" s="27" t="s">
        <v>7</v>
      </c>
      <c r="ES781" s="27" t="s">
        <v>8</v>
      </c>
      <c r="ET781" s="27" t="s">
        <v>7</v>
      </c>
      <c r="EW781" s="27" t="s">
        <v>8</v>
      </c>
      <c r="EX781" s="27" t="s">
        <v>7</v>
      </c>
      <c r="EY781" s="27" t="s">
        <v>8</v>
      </c>
      <c r="EZ781" s="27" t="s">
        <v>7</v>
      </c>
      <c r="FA781" s="27" t="s">
        <v>8</v>
      </c>
      <c r="FB781" s="27" t="s">
        <v>7</v>
      </c>
      <c r="FE781" s="27" t="s">
        <v>8</v>
      </c>
      <c r="FI781" s="27" t="s">
        <v>8</v>
      </c>
      <c r="FJ781" s="27" t="s">
        <v>7</v>
      </c>
      <c r="FO781" s="27" t="s">
        <v>8</v>
      </c>
      <c r="FP781" s="27" t="s">
        <v>7</v>
      </c>
      <c r="FQ781" s="27" t="s">
        <v>8</v>
      </c>
      <c r="FT781" s="27" t="s">
        <v>7</v>
      </c>
    </row>
    <row r="782" spans="1:180" x14ac:dyDescent="0.25">
      <c r="A782" s="7">
        <v>2.1036161988341632E-2</v>
      </c>
      <c r="B782"/>
      <c r="C782"/>
      <c r="D782"/>
      <c r="E782"/>
      <c r="F782" s="27" t="s">
        <v>7</v>
      </c>
      <c r="CM782" s="27" t="s">
        <v>8</v>
      </c>
      <c r="CN782" s="27" t="s">
        <v>7</v>
      </c>
      <c r="ES782" s="27" t="s">
        <v>8</v>
      </c>
      <c r="ET782" s="27" t="s">
        <v>7</v>
      </c>
      <c r="EW782" s="27" t="s">
        <v>8</v>
      </c>
      <c r="EX782" s="27" t="s">
        <v>7</v>
      </c>
      <c r="EY782" s="27" t="s">
        <v>8</v>
      </c>
      <c r="EZ782" s="27" t="s">
        <v>7</v>
      </c>
      <c r="FA782" s="27" t="s">
        <v>8</v>
      </c>
      <c r="FB782" s="27" t="s">
        <v>7</v>
      </c>
      <c r="FC782" s="27" t="s">
        <v>8</v>
      </c>
      <c r="FE782" s="27" t="s">
        <v>8</v>
      </c>
      <c r="FF782" s="27" t="s">
        <v>7</v>
      </c>
      <c r="FI782" s="27" t="s">
        <v>8</v>
      </c>
      <c r="FJ782" s="27" t="s">
        <v>7</v>
      </c>
      <c r="FK782" s="27" t="s">
        <v>8</v>
      </c>
      <c r="FO782" s="27" t="s">
        <v>8</v>
      </c>
      <c r="FP782" s="27" t="s">
        <v>7</v>
      </c>
      <c r="FQ782" s="27" t="s">
        <v>8</v>
      </c>
    </row>
    <row r="783" spans="1:180" x14ac:dyDescent="0.25">
      <c r="A783" s="7">
        <v>2.0623688223864345E-2</v>
      </c>
      <c r="B783"/>
      <c r="C783"/>
      <c r="D783"/>
      <c r="E783"/>
      <c r="F783" s="27" t="s">
        <v>7</v>
      </c>
      <c r="CM783" s="27" t="s">
        <v>8</v>
      </c>
      <c r="CN783" s="27" t="s">
        <v>7</v>
      </c>
      <c r="ES783" s="27" t="s">
        <v>8</v>
      </c>
      <c r="ET783" s="27" t="s">
        <v>7</v>
      </c>
      <c r="EW783" s="27" t="s">
        <v>8</v>
      </c>
      <c r="EX783" s="27" t="s">
        <v>7</v>
      </c>
      <c r="EY783" s="27" t="s">
        <v>8</v>
      </c>
      <c r="EZ783" s="27" t="s">
        <v>7</v>
      </c>
      <c r="FA783" s="27" t="s">
        <v>8</v>
      </c>
      <c r="FB783" s="27" t="s">
        <v>7</v>
      </c>
      <c r="FC783" s="27" t="s">
        <v>8</v>
      </c>
      <c r="FD783" s="27" t="s">
        <v>7</v>
      </c>
      <c r="FE783" s="27" t="s">
        <v>8</v>
      </c>
      <c r="FF783" s="27" t="s">
        <v>7</v>
      </c>
      <c r="FI783" s="27" t="s">
        <v>8</v>
      </c>
      <c r="FJ783" s="27" t="s">
        <v>7</v>
      </c>
      <c r="FK783" s="27" t="s">
        <v>8</v>
      </c>
      <c r="FL783" s="27" t="s">
        <v>7</v>
      </c>
      <c r="FM783" s="27" t="s">
        <v>8</v>
      </c>
      <c r="FO783" s="27" t="s">
        <v>8</v>
      </c>
      <c r="FP783" s="27" t="s">
        <v>7</v>
      </c>
      <c r="FQ783" s="27" t="s">
        <v>8</v>
      </c>
    </row>
    <row r="784" spans="1:180" x14ac:dyDescent="0.25">
      <c r="A784" s="7">
        <v>2.021930218025916E-2</v>
      </c>
      <c r="B784"/>
      <c r="C784"/>
      <c r="D784"/>
      <c r="E784"/>
      <c r="F784" s="27" t="s">
        <v>7</v>
      </c>
      <c r="CK784" s="27" t="s">
        <v>8</v>
      </c>
      <c r="CM784" s="27" t="s">
        <v>8</v>
      </c>
      <c r="CN784" s="27" t="s">
        <v>7</v>
      </c>
      <c r="ES784" s="27" t="s">
        <v>8</v>
      </c>
      <c r="ET784" s="27" t="s">
        <v>7</v>
      </c>
      <c r="EU784" s="27" t="s">
        <v>8</v>
      </c>
      <c r="EW784" s="27" t="s">
        <v>8</v>
      </c>
      <c r="EX784" s="27" t="s">
        <v>7</v>
      </c>
      <c r="EY784" s="27" t="s">
        <v>8</v>
      </c>
      <c r="EZ784" s="27" t="s">
        <v>7</v>
      </c>
      <c r="FA784" s="27" t="s">
        <v>8</v>
      </c>
      <c r="FB784" s="27" t="s">
        <v>7</v>
      </c>
      <c r="FC784" s="27" t="s">
        <v>8</v>
      </c>
      <c r="FD784" s="27" t="s">
        <v>7</v>
      </c>
      <c r="FE784" s="27" t="s">
        <v>8</v>
      </c>
      <c r="FF784" s="27" t="s">
        <v>7</v>
      </c>
      <c r="FG784" s="27" t="s">
        <v>8</v>
      </c>
      <c r="FI784" s="27" t="s">
        <v>8</v>
      </c>
      <c r="FJ784" s="27" t="s">
        <v>7</v>
      </c>
      <c r="FK784" s="27" t="s">
        <v>8</v>
      </c>
      <c r="FL784" s="27" t="s">
        <v>7</v>
      </c>
      <c r="FM784" s="27" t="s">
        <v>8</v>
      </c>
      <c r="FN784" s="27" t="s">
        <v>7</v>
      </c>
      <c r="FO784" s="27" t="s">
        <v>8</v>
      </c>
      <c r="FP784" s="27" t="s">
        <v>7</v>
      </c>
    </row>
    <row r="785" spans="1:171" x14ac:dyDescent="0.25">
      <c r="A785" s="7">
        <v>1.9822845274763884E-2</v>
      </c>
      <c r="B785"/>
      <c r="C785"/>
      <c r="D785"/>
      <c r="E785"/>
      <c r="F785" s="27" t="s">
        <v>7</v>
      </c>
      <c r="CK785" s="27" t="s">
        <v>8</v>
      </c>
      <c r="CL785" s="27" t="s">
        <v>7</v>
      </c>
      <c r="CM785" s="27" t="s">
        <v>8</v>
      </c>
      <c r="CN785" s="27" t="s">
        <v>7</v>
      </c>
      <c r="ES785" s="27" t="s">
        <v>8</v>
      </c>
      <c r="ET785" s="27" t="s">
        <v>7</v>
      </c>
      <c r="EU785" s="27" t="s">
        <v>8</v>
      </c>
      <c r="EV785" s="27" t="s">
        <v>7</v>
      </c>
      <c r="EW785" s="27" t="s">
        <v>8</v>
      </c>
      <c r="EX785" s="27" t="s">
        <v>7</v>
      </c>
      <c r="EY785" s="27" t="s">
        <v>8</v>
      </c>
      <c r="EZ785" s="27" t="s">
        <v>7</v>
      </c>
      <c r="FA785" s="27" t="s">
        <v>8</v>
      </c>
      <c r="FB785" s="27" t="s">
        <v>7</v>
      </c>
      <c r="FC785" s="27" t="s">
        <v>8</v>
      </c>
      <c r="FD785" s="27" t="s">
        <v>7</v>
      </c>
      <c r="FE785" s="27" t="s">
        <v>8</v>
      </c>
      <c r="FF785" s="27" t="s">
        <v>7</v>
      </c>
      <c r="FG785" s="27" t="s">
        <v>8</v>
      </c>
      <c r="FH785" s="27" t="s">
        <v>7</v>
      </c>
      <c r="FI785" s="27" t="s">
        <v>8</v>
      </c>
      <c r="FJ785" s="27" t="s">
        <v>7</v>
      </c>
      <c r="FK785" s="27" t="s">
        <v>8</v>
      </c>
      <c r="FL785" s="27" t="s">
        <v>7</v>
      </c>
      <c r="FM785" s="27" t="s">
        <v>8</v>
      </c>
      <c r="FN785" s="27" t="s">
        <v>7</v>
      </c>
      <c r="FO785" s="27" t="s">
        <v>8</v>
      </c>
    </row>
    <row r="786" spans="1:171" x14ac:dyDescent="0.25">
      <c r="A786" s="7">
        <v>1.9434162034082238E-2</v>
      </c>
      <c r="B786"/>
      <c r="C786"/>
      <c r="D786"/>
      <c r="E786"/>
      <c r="F786" s="27" t="s">
        <v>7</v>
      </c>
      <c r="S786" s="27" t="s">
        <v>8</v>
      </c>
      <c r="CK786" s="27" t="s">
        <v>8</v>
      </c>
      <c r="CL786" s="27" t="s">
        <v>7</v>
      </c>
      <c r="CM786" s="27" t="s">
        <v>8</v>
      </c>
      <c r="CN786" s="27" t="s">
        <v>7</v>
      </c>
      <c r="ES786" s="27" t="s">
        <v>8</v>
      </c>
      <c r="ET786" s="27" t="s">
        <v>7</v>
      </c>
      <c r="EU786" s="27" t="s">
        <v>8</v>
      </c>
      <c r="EV786" s="27" t="s">
        <v>7</v>
      </c>
      <c r="EW786" s="27" t="s">
        <v>8</v>
      </c>
      <c r="EX786" s="27" t="s">
        <v>7</v>
      </c>
      <c r="EZ786" s="27" t="s">
        <v>7</v>
      </c>
      <c r="FA786" s="27" t="s">
        <v>8</v>
      </c>
      <c r="FB786" s="27" t="s">
        <v>7</v>
      </c>
      <c r="FC786" s="27" t="s">
        <v>8</v>
      </c>
      <c r="FD786" s="27" t="s">
        <v>7</v>
      </c>
      <c r="FE786" s="27" t="s">
        <v>8</v>
      </c>
      <c r="FF786" s="27" t="s">
        <v>7</v>
      </c>
      <c r="FG786" s="27" t="s">
        <v>8</v>
      </c>
      <c r="FH786" s="27" t="s">
        <v>7</v>
      </c>
      <c r="FI786" s="27" t="s">
        <v>8</v>
      </c>
      <c r="FJ786" s="27" t="s">
        <v>7</v>
      </c>
      <c r="FK786" s="27" t="s">
        <v>8</v>
      </c>
      <c r="FL786" s="27" t="s">
        <v>7</v>
      </c>
      <c r="FM786" s="27" t="s">
        <v>8</v>
      </c>
      <c r="FN786" s="27" t="s">
        <v>7</v>
      </c>
      <c r="FO786" s="27" t="s">
        <v>8</v>
      </c>
    </row>
    <row r="787" spans="1:171" x14ac:dyDescent="0.25">
      <c r="A787" s="7">
        <v>1.9053100033413959E-2</v>
      </c>
      <c r="B787"/>
      <c r="C787"/>
      <c r="D787"/>
      <c r="E787"/>
      <c r="F787" s="27" t="s">
        <v>7</v>
      </c>
      <c r="S787" s="27" t="s">
        <v>8</v>
      </c>
      <c r="T787" s="27" t="s">
        <v>7</v>
      </c>
      <c r="CK787" s="27" t="s">
        <v>8</v>
      </c>
      <c r="CL787" s="27" t="s">
        <v>7</v>
      </c>
      <c r="CM787" s="27" t="s">
        <v>8</v>
      </c>
      <c r="CN787" s="27" t="s">
        <v>7</v>
      </c>
      <c r="ES787" s="27" t="s">
        <v>8</v>
      </c>
      <c r="ET787" s="27" t="s">
        <v>7</v>
      </c>
      <c r="EU787" s="27" t="s">
        <v>8</v>
      </c>
      <c r="EV787" s="27" t="s">
        <v>7</v>
      </c>
      <c r="EW787" s="27" t="s">
        <v>8</v>
      </c>
      <c r="EZ787" s="27" t="s">
        <v>7</v>
      </c>
      <c r="FA787" s="27" t="s">
        <v>8</v>
      </c>
      <c r="FB787" s="27" t="s">
        <v>7</v>
      </c>
      <c r="FC787" s="27" t="s">
        <v>8</v>
      </c>
      <c r="FD787" s="27" t="s">
        <v>7</v>
      </c>
      <c r="FE787" s="27" t="s">
        <v>8</v>
      </c>
      <c r="FF787" s="27" t="s">
        <v>7</v>
      </c>
      <c r="FG787" s="27" t="s">
        <v>8</v>
      </c>
      <c r="FH787" s="27" t="s">
        <v>7</v>
      </c>
      <c r="FI787" s="27" t="s">
        <v>8</v>
      </c>
      <c r="FJ787" s="27" t="s">
        <v>7</v>
      </c>
      <c r="FK787" s="27" t="s">
        <v>8</v>
      </c>
      <c r="FL787" s="27" t="s">
        <v>7</v>
      </c>
      <c r="FM787" s="27" t="s">
        <v>8</v>
      </c>
      <c r="FN787" s="27" t="s">
        <v>7</v>
      </c>
      <c r="FO787" s="27" t="s">
        <v>8</v>
      </c>
    </row>
    <row r="788" spans="1:171" x14ac:dyDescent="0.25">
      <c r="A788" s="7">
        <v>1.867950983668035E-2</v>
      </c>
      <c r="B788"/>
      <c r="C788"/>
      <c r="D788"/>
      <c r="E788"/>
      <c r="F788" s="27" t="s">
        <v>7</v>
      </c>
      <c r="S788" s="27" t="s">
        <v>8</v>
      </c>
      <c r="T788" s="27" t="s">
        <v>7</v>
      </c>
      <c r="CK788" s="27" t="s">
        <v>8</v>
      </c>
      <c r="CL788" s="27" t="s">
        <v>7</v>
      </c>
      <c r="CM788" s="27" t="s">
        <v>8</v>
      </c>
      <c r="CN788" s="27" t="s">
        <v>7</v>
      </c>
      <c r="CO788" s="27" t="s">
        <v>8</v>
      </c>
      <c r="ES788" s="27" t="s">
        <v>8</v>
      </c>
      <c r="ET788" s="27" t="s">
        <v>7</v>
      </c>
      <c r="EU788" s="27" t="s">
        <v>8</v>
      </c>
      <c r="EV788" s="27" t="s">
        <v>7</v>
      </c>
      <c r="EZ788" s="27" t="s">
        <v>7</v>
      </c>
      <c r="FA788" s="27" t="s">
        <v>8</v>
      </c>
      <c r="FB788" s="27" t="s">
        <v>7</v>
      </c>
      <c r="FC788" s="27" t="s">
        <v>8</v>
      </c>
      <c r="FD788" s="27" t="s">
        <v>7</v>
      </c>
      <c r="FE788" s="27" t="s">
        <v>8</v>
      </c>
      <c r="FF788" s="27" t="s">
        <v>7</v>
      </c>
      <c r="FG788" s="27" t="s">
        <v>8</v>
      </c>
      <c r="FH788" s="27" t="s">
        <v>7</v>
      </c>
      <c r="FI788" s="27" t="s">
        <v>8</v>
      </c>
      <c r="FJ788" s="27" t="s">
        <v>7</v>
      </c>
      <c r="FK788" s="27" t="s">
        <v>8</v>
      </c>
      <c r="FL788" s="27" t="s">
        <v>7</v>
      </c>
      <c r="FM788" s="27" t="s">
        <v>8</v>
      </c>
      <c r="FN788" s="27" t="s">
        <v>7</v>
      </c>
    </row>
    <row r="789" spans="1:171" x14ac:dyDescent="0.25">
      <c r="A789" s="7">
        <v>1.8313244937921913E-2</v>
      </c>
      <c r="B789"/>
      <c r="C789"/>
      <c r="D789"/>
      <c r="E789"/>
      <c r="F789" s="27" t="s">
        <v>7</v>
      </c>
      <c r="S789" s="27" t="s">
        <v>8</v>
      </c>
      <c r="T789" s="27" t="s">
        <v>7</v>
      </c>
      <c r="CK789" s="27" t="s">
        <v>8</v>
      </c>
      <c r="CL789" s="27" t="s">
        <v>7</v>
      </c>
      <c r="CN789" s="27" t="s">
        <v>7</v>
      </c>
      <c r="CO789" s="27" t="s">
        <v>8</v>
      </c>
      <c r="CP789" s="27" t="s">
        <v>7</v>
      </c>
      <c r="ES789" s="27" t="s">
        <v>8</v>
      </c>
      <c r="ET789" s="27" t="s">
        <v>7</v>
      </c>
      <c r="EU789" s="27" t="s">
        <v>8</v>
      </c>
      <c r="EZ789" s="27" t="s">
        <v>7</v>
      </c>
      <c r="FA789" s="27" t="s">
        <v>8</v>
      </c>
      <c r="FB789" s="27" t="s">
        <v>7</v>
      </c>
      <c r="FC789" s="27" t="s">
        <v>8</v>
      </c>
      <c r="FD789" s="27" t="s">
        <v>7</v>
      </c>
      <c r="FE789" s="27" t="s">
        <v>8</v>
      </c>
      <c r="FF789" s="27" t="s">
        <v>7</v>
      </c>
      <c r="FG789" s="27" t="s">
        <v>8</v>
      </c>
      <c r="FH789" s="27" t="s">
        <v>7</v>
      </c>
      <c r="FJ789" s="27" t="s">
        <v>7</v>
      </c>
      <c r="FK789" s="27" t="s">
        <v>8</v>
      </c>
      <c r="FL789" s="27" t="s">
        <v>7</v>
      </c>
    </row>
    <row r="790" spans="1:171" x14ac:dyDescent="0.25">
      <c r="A790" s="7">
        <v>1.7954161703845013E-2</v>
      </c>
      <c r="B790"/>
      <c r="C790"/>
      <c r="D790"/>
      <c r="E790"/>
      <c r="F790" s="27" t="s">
        <v>7</v>
      </c>
      <c r="S790" s="27" t="s">
        <v>8</v>
      </c>
      <c r="T790" s="27" t="s">
        <v>7</v>
      </c>
      <c r="CK790" s="27" t="s">
        <v>8</v>
      </c>
      <c r="CN790" s="27" t="s">
        <v>7</v>
      </c>
      <c r="CO790" s="27" t="s">
        <v>8</v>
      </c>
      <c r="CP790" s="27" t="s">
        <v>7</v>
      </c>
      <c r="ES790" s="27" t="s">
        <v>8</v>
      </c>
      <c r="ET790" s="27" t="s">
        <v>7</v>
      </c>
      <c r="EU790" s="27" t="s">
        <v>8</v>
      </c>
      <c r="EZ790" s="27" t="s">
        <v>7</v>
      </c>
      <c r="FA790" s="27" t="s">
        <v>8</v>
      </c>
      <c r="FB790" s="27" t="s">
        <v>7</v>
      </c>
      <c r="FC790" s="27" t="s">
        <v>8</v>
      </c>
      <c r="FD790" s="27" t="s">
        <v>7</v>
      </c>
      <c r="FE790" s="27" t="s">
        <v>8</v>
      </c>
      <c r="FF790" s="27" t="s">
        <v>7</v>
      </c>
      <c r="FJ790" s="27" t="s">
        <v>7</v>
      </c>
      <c r="FK790" s="27" t="s">
        <v>8</v>
      </c>
    </row>
    <row r="791" spans="1:171" x14ac:dyDescent="0.25">
      <c r="A791" s="7">
        <v>1.7602119317495109E-2</v>
      </c>
      <c r="B791"/>
      <c r="C791"/>
      <c r="D791"/>
      <c r="E791"/>
      <c r="F791" s="27" t="s">
        <v>7</v>
      </c>
      <c r="S791" s="27" t="s">
        <v>8</v>
      </c>
      <c r="T791" s="27" t="s">
        <v>7</v>
      </c>
      <c r="CK791" s="27" t="s">
        <v>8</v>
      </c>
      <c r="CN791" s="27" t="s">
        <v>7</v>
      </c>
      <c r="CO791" s="27" t="s">
        <v>8</v>
      </c>
      <c r="CP791" s="27" t="s">
        <v>7</v>
      </c>
      <c r="ES791" s="27" t="s">
        <v>8</v>
      </c>
      <c r="ET791" s="27" t="s">
        <v>7</v>
      </c>
      <c r="EU791" s="27" t="s">
        <v>8</v>
      </c>
      <c r="EZ791" s="27" t="s">
        <v>7</v>
      </c>
      <c r="FA791" s="27" t="s">
        <v>8</v>
      </c>
      <c r="FB791" s="27" t="s">
        <v>7</v>
      </c>
      <c r="FD791" s="27" t="s">
        <v>7</v>
      </c>
      <c r="FE791" s="27" t="s">
        <v>8</v>
      </c>
      <c r="FJ791" s="27" t="s">
        <v>7</v>
      </c>
      <c r="FK791" s="27" t="s">
        <v>8</v>
      </c>
    </row>
    <row r="792" spans="1:171" x14ac:dyDescent="0.25">
      <c r="A792" s="7">
        <v>1.7256979723034419E-2</v>
      </c>
      <c r="B792"/>
      <c r="C792"/>
      <c r="D792"/>
      <c r="E792"/>
      <c r="F792" s="27" t="s">
        <v>7</v>
      </c>
      <c r="S792" s="27" t="s">
        <v>8</v>
      </c>
      <c r="T792" s="27" t="s">
        <v>7</v>
      </c>
      <c r="CK792" s="27" t="s">
        <v>8</v>
      </c>
      <c r="CN792" s="27" t="s">
        <v>7</v>
      </c>
      <c r="CO792" s="27" t="s">
        <v>8</v>
      </c>
      <c r="CP792" s="27" t="s">
        <v>7</v>
      </c>
      <c r="CQ792" s="27" t="s">
        <v>8</v>
      </c>
      <c r="EQ792" s="27" t="s">
        <v>8</v>
      </c>
      <c r="ES792" s="27" t="s">
        <v>8</v>
      </c>
      <c r="ET792" s="27" t="s">
        <v>7</v>
      </c>
      <c r="EU792" s="27" t="s">
        <v>8</v>
      </c>
      <c r="EZ792" s="27" t="s">
        <v>7</v>
      </c>
      <c r="FD792" s="27" t="s">
        <v>7</v>
      </c>
      <c r="FE792" s="27" t="s">
        <v>8</v>
      </c>
      <c r="FJ792" s="27" t="s">
        <v>7</v>
      </c>
    </row>
    <row r="793" spans="1:171" x14ac:dyDescent="0.25">
      <c r="A793" s="7">
        <v>1.6918607571602372E-2</v>
      </c>
      <c r="B793"/>
      <c r="C793"/>
      <c r="D793"/>
      <c r="E793"/>
      <c r="F793" s="27" t="s">
        <v>7</v>
      </c>
      <c r="S793" s="27" t="s">
        <v>8</v>
      </c>
      <c r="T793" s="27" t="s">
        <v>7</v>
      </c>
      <c r="CK793" s="27" t="s">
        <v>8</v>
      </c>
      <c r="CN793" s="27" t="s">
        <v>7</v>
      </c>
      <c r="CO793" s="27" t="s">
        <v>8</v>
      </c>
      <c r="CP793" s="27" t="s">
        <v>7</v>
      </c>
      <c r="CQ793" s="27" t="s">
        <v>8</v>
      </c>
      <c r="CR793" s="27" t="s">
        <v>7</v>
      </c>
      <c r="EQ793" s="27" t="s">
        <v>8</v>
      </c>
      <c r="ER793" s="27" t="s">
        <v>7</v>
      </c>
      <c r="ES793" s="27" t="s">
        <v>8</v>
      </c>
      <c r="ET793" s="27" t="s">
        <v>7</v>
      </c>
      <c r="EU793" s="27" t="s">
        <v>8</v>
      </c>
      <c r="FD793" s="27" t="s">
        <v>7</v>
      </c>
      <c r="FE793" s="27" t="s">
        <v>8</v>
      </c>
    </row>
    <row r="794" spans="1:171" x14ac:dyDescent="0.25">
      <c r="A794" s="7">
        <v>1.6586870168237622E-2</v>
      </c>
      <c r="B794"/>
      <c r="C794"/>
      <c r="D794"/>
      <c r="E794"/>
      <c r="F794" s="27" t="s">
        <v>7</v>
      </c>
      <c r="S794" s="27" t="s">
        <v>8</v>
      </c>
      <c r="T794" s="27" t="s">
        <v>7</v>
      </c>
      <c r="CK794" s="27" t="s">
        <v>8</v>
      </c>
      <c r="CN794" s="27" t="s">
        <v>7</v>
      </c>
      <c r="CO794" s="27" t="s">
        <v>8</v>
      </c>
      <c r="CP794" s="27" t="s">
        <v>7</v>
      </c>
      <c r="CQ794" s="27" t="s">
        <v>8</v>
      </c>
      <c r="CR794" s="27" t="s">
        <v>7</v>
      </c>
      <c r="EQ794" s="27" t="s">
        <v>8</v>
      </c>
      <c r="ER794" s="27" t="s">
        <v>7</v>
      </c>
      <c r="ES794" s="27" t="s">
        <v>8</v>
      </c>
      <c r="ET794" s="27" t="s">
        <v>7</v>
      </c>
      <c r="EU794" s="27" t="s">
        <v>8</v>
      </c>
      <c r="FD794" s="27" t="s">
        <v>7</v>
      </c>
      <c r="FE794" s="27" t="s">
        <v>8</v>
      </c>
    </row>
    <row r="795" spans="1:171" x14ac:dyDescent="0.25">
      <c r="A795" s="7">
        <v>1.6261637419840807E-2</v>
      </c>
      <c r="B795"/>
      <c r="C795"/>
      <c r="D795"/>
      <c r="E795"/>
      <c r="F795" s="27" t="s">
        <v>7</v>
      </c>
      <c r="S795" s="27" t="s">
        <v>8</v>
      </c>
      <c r="T795" s="27" t="s">
        <v>7</v>
      </c>
      <c r="CK795" s="27" t="s">
        <v>8</v>
      </c>
      <c r="CN795" s="27" t="s">
        <v>7</v>
      </c>
      <c r="CO795" s="27" t="s">
        <v>8</v>
      </c>
      <c r="CP795" s="27" t="s">
        <v>7</v>
      </c>
      <c r="CR795" s="27" t="s">
        <v>7</v>
      </c>
      <c r="EM795" s="27" t="s">
        <v>8</v>
      </c>
      <c r="EQ795" s="27" t="s">
        <v>8</v>
      </c>
      <c r="ER795" s="27" t="s">
        <v>7</v>
      </c>
      <c r="ES795" s="27" t="s">
        <v>8</v>
      </c>
      <c r="ET795" s="27" t="s">
        <v>7</v>
      </c>
      <c r="EU795" s="27" t="s">
        <v>8</v>
      </c>
      <c r="FD795" s="27" t="s">
        <v>7</v>
      </c>
      <c r="FE795" s="27" t="s">
        <v>8</v>
      </c>
    </row>
    <row r="796" spans="1:171" x14ac:dyDescent="0.25">
      <c r="A796" s="7">
        <v>1.5942781784157655E-2</v>
      </c>
      <c r="B796"/>
      <c r="C796"/>
      <c r="D796"/>
      <c r="E796"/>
      <c r="F796" s="27" t="s">
        <v>7</v>
      </c>
      <c r="S796" s="27" t="s">
        <v>8</v>
      </c>
      <c r="T796" s="27" t="s">
        <v>7</v>
      </c>
      <c r="CE796" s="27" t="s">
        <v>8</v>
      </c>
      <c r="CK796" s="27" t="s">
        <v>8</v>
      </c>
      <c r="CN796" s="27" t="s">
        <v>7</v>
      </c>
      <c r="CO796" s="27" t="s">
        <v>8</v>
      </c>
      <c r="CR796" s="27" t="s">
        <v>7</v>
      </c>
      <c r="CS796" s="27" t="s">
        <v>8</v>
      </c>
      <c r="CU796" s="27" t="s">
        <v>8</v>
      </c>
      <c r="EM796" s="27" t="s">
        <v>8</v>
      </c>
      <c r="EN796" s="27" t="s">
        <v>7</v>
      </c>
      <c r="EQ796" s="27" t="s">
        <v>8</v>
      </c>
      <c r="ER796" s="27" t="s">
        <v>7</v>
      </c>
      <c r="ES796" s="27" t="s">
        <v>8</v>
      </c>
      <c r="ET796" s="27" t="s">
        <v>7</v>
      </c>
      <c r="FD796" s="27" t="s">
        <v>7</v>
      </c>
      <c r="FE796" s="27" t="s">
        <v>8</v>
      </c>
    </row>
    <row r="797" spans="1:171" x14ac:dyDescent="0.25">
      <c r="A797" s="7">
        <v>1.5630178219762408E-2</v>
      </c>
      <c r="B797"/>
      <c r="C797"/>
      <c r="D797"/>
      <c r="E797"/>
      <c r="F797" s="27" t="s">
        <v>7</v>
      </c>
      <c r="S797" s="27" t="s">
        <v>8</v>
      </c>
      <c r="T797" s="27" t="s">
        <v>7</v>
      </c>
      <c r="CE797" s="27" t="s">
        <v>8</v>
      </c>
      <c r="CF797" s="27" t="s">
        <v>7</v>
      </c>
      <c r="CK797" s="27" t="s">
        <v>8</v>
      </c>
      <c r="CN797" s="27" t="s">
        <v>7</v>
      </c>
      <c r="CR797" s="27" t="s">
        <v>7</v>
      </c>
      <c r="CS797" s="27" t="s">
        <v>8</v>
      </c>
      <c r="CT797" s="27" t="s">
        <v>7</v>
      </c>
      <c r="CU797" s="27" t="s">
        <v>8</v>
      </c>
      <c r="CV797" s="27" t="s">
        <v>7</v>
      </c>
      <c r="EM797" s="27" t="s">
        <v>8</v>
      </c>
      <c r="EN797" s="27" t="s">
        <v>7</v>
      </c>
      <c r="EQ797" s="27" t="s">
        <v>8</v>
      </c>
      <c r="ER797" s="27" t="s">
        <v>7</v>
      </c>
      <c r="FD797" s="27" t="s">
        <v>7</v>
      </c>
    </row>
    <row r="798" spans="1:171" x14ac:dyDescent="0.25">
      <c r="A798" s="7">
        <v>1.5323704137021967E-2</v>
      </c>
      <c r="B798"/>
      <c r="C798"/>
      <c r="D798"/>
      <c r="E798"/>
      <c r="F798" s="27" t="s">
        <v>7</v>
      </c>
      <c r="S798" s="27" t="s">
        <v>8</v>
      </c>
      <c r="T798" s="27" t="s">
        <v>7</v>
      </c>
      <c r="BW798" s="27" t="s">
        <v>8</v>
      </c>
      <c r="CE798" s="27" t="s">
        <v>8</v>
      </c>
      <c r="CF798" s="27" t="s">
        <v>7</v>
      </c>
      <c r="CK798" s="27" t="s">
        <v>8</v>
      </c>
      <c r="CR798" s="27" t="s">
        <v>7</v>
      </c>
      <c r="CS798" s="27" t="s">
        <v>8</v>
      </c>
      <c r="CT798" s="27" t="s">
        <v>7</v>
      </c>
      <c r="CU798" s="27" t="s">
        <v>8</v>
      </c>
      <c r="CV798" s="27" t="s">
        <v>7</v>
      </c>
      <c r="EM798" s="27" t="s">
        <v>8</v>
      </c>
      <c r="EN798" s="27" t="s">
        <v>7</v>
      </c>
      <c r="EQ798" s="27" t="s">
        <v>8</v>
      </c>
    </row>
    <row r="799" spans="1:171" x14ac:dyDescent="0.25">
      <c r="A799" s="7">
        <v>1.5023239350021535E-2</v>
      </c>
      <c r="B799"/>
      <c r="C799"/>
      <c r="D799"/>
      <c r="E799"/>
      <c r="F799" s="27" t="s">
        <v>7</v>
      </c>
      <c r="S799" s="27" t="s">
        <v>8</v>
      </c>
      <c r="T799" s="27" t="s">
        <v>7</v>
      </c>
      <c r="U799" s="27" t="s">
        <v>8</v>
      </c>
      <c r="BW799" s="27" t="s">
        <v>8</v>
      </c>
      <c r="BX799" s="27" t="s">
        <v>7</v>
      </c>
      <c r="CE799" s="27" t="s">
        <v>8</v>
      </c>
      <c r="CF799" s="27" t="s">
        <v>7</v>
      </c>
      <c r="CK799" s="27" t="s">
        <v>8</v>
      </c>
      <c r="CR799" s="27" t="s">
        <v>7</v>
      </c>
      <c r="CT799" s="27" t="s">
        <v>7</v>
      </c>
      <c r="CU799" s="27" t="s">
        <v>8</v>
      </c>
      <c r="CV799" s="27" t="s">
        <v>7</v>
      </c>
      <c r="EM799" s="27" t="s">
        <v>8</v>
      </c>
      <c r="EN799" s="27" t="s">
        <v>7</v>
      </c>
      <c r="EO799" s="27" t="s">
        <v>8</v>
      </c>
      <c r="EQ799" s="27" t="s">
        <v>8</v>
      </c>
    </row>
    <row r="800" spans="1:171" x14ac:dyDescent="0.25">
      <c r="A800" s="7">
        <v>1.4728666029432878E-2</v>
      </c>
      <c r="B800"/>
      <c r="C800"/>
      <c r="D800"/>
      <c r="E800"/>
      <c r="F800" s="27" t="s">
        <v>7</v>
      </c>
      <c r="S800" s="27" t="s">
        <v>8</v>
      </c>
      <c r="T800" s="27" t="s">
        <v>7</v>
      </c>
      <c r="U800" s="27" t="s">
        <v>8</v>
      </c>
      <c r="V800" s="27" t="s">
        <v>7</v>
      </c>
      <c r="BW800" s="27" t="s">
        <v>8</v>
      </c>
      <c r="BX800" s="27" t="s">
        <v>7</v>
      </c>
      <c r="CE800" s="27" t="s">
        <v>8</v>
      </c>
      <c r="CF800" s="27" t="s">
        <v>7</v>
      </c>
      <c r="CK800" s="27" t="s">
        <v>8</v>
      </c>
      <c r="CT800" s="27" t="s">
        <v>7</v>
      </c>
      <c r="CU800" s="27" t="s">
        <v>8</v>
      </c>
      <c r="CV800" s="27" t="s">
        <v>7</v>
      </c>
      <c r="EM800" s="27" t="s">
        <v>8</v>
      </c>
      <c r="EN800" s="27" t="s">
        <v>7</v>
      </c>
      <c r="EO800" s="27" t="s">
        <v>8</v>
      </c>
      <c r="EP800" s="27" t="s">
        <v>7</v>
      </c>
      <c r="EQ800" s="27" t="s">
        <v>8</v>
      </c>
    </row>
    <row r="801" spans="1:147" x14ac:dyDescent="0.25">
      <c r="A801" s="7">
        <v>1.4439868656306743E-2</v>
      </c>
      <c r="B801"/>
      <c r="C801"/>
      <c r="D801"/>
      <c r="E801"/>
      <c r="F801" s="27" t="s">
        <v>7</v>
      </c>
      <c r="S801" s="27" t="s">
        <v>8</v>
      </c>
      <c r="T801" s="27" t="s">
        <v>7</v>
      </c>
      <c r="U801" s="27" t="s">
        <v>8</v>
      </c>
      <c r="V801" s="27" t="s">
        <v>7</v>
      </c>
      <c r="BU801" s="27" t="s">
        <v>8</v>
      </c>
      <c r="BW801" s="27" t="s">
        <v>8</v>
      </c>
      <c r="BX801" s="27" t="s">
        <v>7</v>
      </c>
      <c r="CE801" s="27" t="s">
        <v>8</v>
      </c>
      <c r="CF801" s="27" t="s">
        <v>7</v>
      </c>
      <c r="CI801" s="27" t="s">
        <v>8</v>
      </c>
      <c r="CK801" s="27" t="s">
        <v>8</v>
      </c>
      <c r="CT801" s="27" t="s">
        <v>7</v>
      </c>
      <c r="CV801" s="27" t="s">
        <v>7</v>
      </c>
      <c r="EE801" s="27" t="s">
        <v>8</v>
      </c>
      <c r="EM801" s="27" t="s">
        <v>8</v>
      </c>
      <c r="EN801" s="27" t="s">
        <v>7</v>
      </c>
      <c r="EO801" s="27" t="s">
        <v>8</v>
      </c>
      <c r="EP801" s="27" t="s">
        <v>7</v>
      </c>
      <c r="EQ801" s="27" t="s">
        <v>8</v>
      </c>
    </row>
    <row r="802" spans="1:147" x14ac:dyDescent="0.25">
      <c r="A802" s="7">
        <v>1.4156733976771318E-2</v>
      </c>
      <c r="B802"/>
      <c r="C802"/>
      <c r="D802"/>
      <c r="E802"/>
      <c r="F802" s="27" t="s">
        <v>7</v>
      </c>
      <c r="S802" s="27" t="s">
        <v>8</v>
      </c>
      <c r="T802" s="27" t="s">
        <v>7</v>
      </c>
      <c r="U802" s="27" t="s">
        <v>8</v>
      </c>
      <c r="V802" s="27" t="s">
        <v>7</v>
      </c>
      <c r="BU802" s="27" t="s">
        <v>8</v>
      </c>
      <c r="BV802" s="27" t="s">
        <v>7</v>
      </c>
      <c r="BW802" s="27" t="s">
        <v>8</v>
      </c>
      <c r="BX802" s="27" t="s">
        <v>7</v>
      </c>
      <c r="CE802" s="27" t="s">
        <v>8</v>
      </c>
      <c r="CF802" s="27" t="s">
        <v>7</v>
      </c>
      <c r="CI802" s="27" t="s">
        <v>8</v>
      </c>
      <c r="CJ802" s="27" t="s">
        <v>7</v>
      </c>
      <c r="CK802" s="27" t="s">
        <v>8</v>
      </c>
      <c r="CV802" s="27" t="s">
        <v>7</v>
      </c>
      <c r="EE802" s="27" t="s">
        <v>8</v>
      </c>
      <c r="EF802" s="27" t="s">
        <v>7</v>
      </c>
      <c r="EM802" s="27" t="s">
        <v>8</v>
      </c>
      <c r="EN802" s="27" t="s">
        <v>7</v>
      </c>
      <c r="EO802" s="27" t="s">
        <v>8</v>
      </c>
      <c r="EP802" s="27" t="s">
        <v>7</v>
      </c>
    </row>
    <row r="803" spans="1:147" x14ac:dyDescent="0.25">
      <c r="A803" s="7">
        <v>1.3879150957618939E-2</v>
      </c>
      <c r="B803"/>
      <c r="C803"/>
      <c r="D803"/>
      <c r="E803"/>
      <c r="F803" s="27" t="s">
        <v>7</v>
      </c>
      <c r="S803" s="27" t="s">
        <v>8</v>
      </c>
      <c r="T803" s="27" t="s">
        <v>7</v>
      </c>
      <c r="U803" s="27" t="s">
        <v>8</v>
      </c>
      <c r="V803" s="27" t="s">
        <v>7</v>
      </c>
      <c r="W803" s="27" t="s">
        <v>8</v>
      </c>
      <c r="AC803" s="27" t="s">
        <v>8</v>
      </c>
      <c r="BU803" s="27" t="s">
        <v>8</v>
      </c>
      <c r="BV803" s="27" t="s">
        <v>7</v>
      </c>
      <c r="BW803" s="27" t="s">
        <v>8</v>
      </c>
      <c r="BX803" s="27" t="s">
        <v>7</v>
      </c>
      <c r="CE803" s="27" t="s">
        <v>8</v>
      </c>
      <c r="CF803" s="27" t="s">
        <v>7</v>
      </c>
      <c r="CI803" s="27" t="s">
        <v>8</v>
      </c>
      <c r="CJ803" s="27" t="s">
        <v>7</v>
      </c>
      <c r="CK803" s="27" t="s">
        <v>8</v>
      </c>
      <c r="CV803" s="27" t="s">
        <v>7</v>
      </c>
      <c r="DA803" s="27" t="s">
        <v>8</v>
      </c>
      <c r="EE803" s="27" t="s">
        <v>8</v>
      </c>
      <c r="EF803" s="27" t="s">
        <v>7</v>
      </c>
      <c r="EM803" s="27" t="s">
        <v>8</v>
      </c>
      <c r="EN803" s="27" t="s">
        <v>7</v>
      </c>
    </row>
    <row r="804" spans="1:147" x14ac:dyDescent="0.25">
      <c r="A804" s="7">
        <v>1.3607010742763666E-2</v>
      </c>
      <c r="B804"/>
      <c r="C804"/>
      <c r="D804"/>
      <c r="E804"/>
      <c r="F804" s="27" t="s">
        <v>7</v>
      </c>
      <c r="S804" s="27" t="s">
        <v>8</v>
      </c>
      <c r="T804" s="27" t="s">
        <v>7</v>
      </c>
      <c r="U804" s="27" t="s">
        <v>8</v>
      </c>
      <c r="V804" s="27" t="s">
        <v>7</v>
      </c>
      <c r="W804" s="27" t="s">
        <v>8</v>
      </c>
      <c r="X804" s="27" t="s">
        <v>7</v>
      </c>
      <c r="AC804" s="27" t="s">
        <v>8</v>
      </c>
      <c r="AD804" s="27" t="s">
        <v>7</v>
      </c>
      <c r="BU804" s="27" t="s">
        <v>8</v>
      </c>
      <c r="BV804" s="27" t="s">
        <v>7</v>
      </c>
      <c r="BW804" s="27" t="s">
        <v>8</v>
      </c>
      <c r="BX804" s="27" t="s">
        <v>7</v>
      </c>
      <c r="CE804" s="27" t="s">
        <v>8</v>
      </c>
      <c r="CF804" s="27" t="s">
        <v>7</v>
      </c>
      <c r="CG804" s="27" t="s">
        <v>8</v>
      </c>
      <c r="CI804" s="27" t="s">
        <v>8</v>
      </c>
      <c r="CJ804" s="27" t="s">
        <v>7</v>
      </c>
      <c r="CV804" s="27" t="s">
        <v>7</v>
      </c>
      <c r="DA804" s="27" t="s">
        <v>8</v>
      </c>
      <c r="DB804" s="27" t="s">
        <v>7</v>
      </c>
      <c r="EE804" s="27" t="s">
        <v>8</v>
      </c>
      <c r="EF804" s="27" t="s">
        <v>7</v>
      </c>
      <c r="EI804" s="27" t="s">
        <v>8</v>
      </c>
      <c r="EM804" s="27" t="s">
        <v>8</v>
      </c>
    </row>
    <row r="805" spans="1:147" x14ac:dyDescent="0.25">
      <c r="A805" s="7">
        <v>1.3340206610552614E-2</v>
      </c>
      <c r="B805"/>
      <c r="C805"/>
      <c r="D805"/>
      <c r="E805"/>
      <c r="F805" s="27" t="s">
        <v>7</v>
      </c>
      <c r="S805" s="27" t="s">
        <v>8</v>
      </c>
      <c r="T805" s="27" t="s">
        <v>7</v>
      </c>
      <c r="U805" s="27" t="s">
        <v>8</v>
      </c>
      <c r="V805" s="27" t="s">
        <v>7</v>
      </c>
      <c r="W805" s="27" t="s">
        <v>8</v>
      </c>
      <c r="X805" s="27" t="s">
        <v>7</v>
      </c>
      <c r="AC805" s="27" t="s">
        <v>8</v>
      </c>
      <c r="AD805" s="27" t="s">
        <v>7</v>
      </c>
      <c r="AE805" s="27" t="s">
        <v>8</v>
      </c>
      <c r="BU805" s="27" t="s">
        <v>8</v>
      </c>
      <c r="BV805" s="27" t="s">
        <v>7</v>
      </c>
      <c r="BW805" s="27" t="s">
        <v>8</v>
      </c>
      <c r="BX805" s="27" t="s">
        <v>7</v>
      </c>
      <c r="CE805" s="27" t="s">
        <v>8</v>
      </c>
      <c r="CF805" s="27" t="s">
        <v>7</v>
      </c>
      <c r="CG805" s="27" t="s">
        <v>8</v>
      </c>
      <c r="CH805" s="27" t="s">
        <v>7</v>
      </c>
      <c r="CI805" s="27" t="s">
        <v>8</v>
      </c>
      <c r="CV805" s="27" t="s">
        <v>7</v>
      </c>
      <c r="DA805" s="27" t="s">
        <v>8</v>
      </c>
      <c r="DB805" s="27" t="s">
        <v>7</v>
      </c>
      <c r="EE805" s="27" t="s">
        <v>8</v>
      </c>
      <c r="EF805" s="27" t="s">
        <v>7</v>
      </c>
      <c r="EI805" s="27" t="s">
        <v>8</v>
      </c>
      <c r="EJ805" s="27" t="s">
        <v>7</v>
      </c>
      <c r="EM805" s="27" t="s">
        <v>8</v>
      </c>
    </row>
    <row r="806" spans="1:147" x14ac:dyDescent="0.25">
      <c r="A806" s="7">
        <v>1.3078633931914328E-2</v>
      </c>
      <c r="B806"/>
      <c r="C806"/>
      <c r="D806"/>
      <c r="E806"/>
      <c r="F806" s="27" t="s">
        <v>7</v>
      </c>
      <c r="S806" s="27" t="s">
        <v>8</v>
      </c>
      <c r="T806" s="27" t="s">
        <v>7</v>
      </c>
      <c r="U806" s="27" t="s">
        <v>8</v>
      </c>
      <c r="V806" s="27" t="s">
        <v>7</v>
      </c>
      <c r="X806" s="27" t="s">
        <v>7</v>
      </c>
      <c r="AA806" s="27" t="s">
        <v>8</v>
      </c>
      <c r="AC806" s="27" t="s">
        <v>8</v>
      </c>
      <c r="AD806" s="27" t="s">
        <v>7</v>
      </c>
      <c r="AE806" s="27" t="s">
        <v>8</v>
      </c>
      <c r="AF806" s="27" t="s">
        <v>7</v>
      </c>
      <c r="BU806" s="27" t="s">
        <v>8</v>
      </c>
      <c r="BV806" s="27" t="s">
        <v>7</v>
      </c>
      <c r="BX806" s="27" t="s">
        <v>7</v>
      </c>
      <c r="CE806" s="27" t="s">
        <v>8</v>
      </c>
      <c r="CF806" s="27" t="s">
        <v>7</v>
      </c>
      <c r="CG806" s="27" t="s">
        <v>8</v>
      </c>
      <c r="CH806" s="27" t="s">
        <v>7</v>
      </c>
      <c r="CI806" s="27" t="s">
        <v>8</v>
      </c>
      <c r="CV806" s="27" t="s">
        <v>7</v>
      </c>
      <c r="CY806" s="27" t="s">
        <v>8</v>
      </c>
      <c r="DA806" s="27" t="s">
        <v>8</v>
      </c>
      <c r="DB806" s="27" t="s">
        <v>7</v>
      </c>
      <c r="EE806" s="27" t="s">
        <v>8</v>
      </c>
      <c r="EF806" s="27" t="s">
        <v>7</v>
      </c>
      <c r="EI806" s="27" t="s">
        <v>8</v>
      </c>
      <c r="EJ806" s="27" t="s">
        <v>7</v>
      </c>
      <c r="EK806" s="27" t="s">
        <v>8</v>
      </c>
      <c r="EM806" s="27" t="s">
        <v>8</v>
      </c>
    </row>
    <row r="807" spans="1:147" x14ac:dyDescent="0.25">
      <c r="A807" s="7">
        <v>1.2822190129327771E-2</v>
      </c>
      <c r="B807"/>
      <c r="C807"/>
      <c r="D807"/>
      <c r="E807"/>
      <c r="F807" s="27" t="s">
        <v>7</v>
      </c>
      <c r="S807" s="27" t="s">
        <v>8</v>
      </c>
      <c r="T807" s="27" t="s">
        <v>7</v>
      </c>
      <c r="U807" s="27" t="s">
        <v>8</v>
      </c>
      <c r="X807" s="27" t="s">
        <v>7</v>
      </c>
      <c r="AA807" s="27" t="s">
        <v>8</v>
      </c>
      <c r="AB807" s="27" t="s">
        <v>7</v>
      </c>
      <c r="AC807" s="27" t="s">
        <v>8</v>
      </c>
      <c r="AD807" s="27" t="s">
        <v>7</v>
      </c>
      <c r="AE807" s="27" t="s">
        <v>8</v>
      </c>
      <c r="AF807" s="27" t="s">
        <v>7</v>
      </c>
      <c r="BO807" s="27" t="s">
        <v>8</v>
      </c>
      <c r="BU807" s="27" t="s">
        <v>8</v>
      </c>
      <c r="BX807" s="27" t="s">
        <v>7</v>
      </c>
      <c r="CA807" s="27" t="s">
        <v>8</v>
      </c>
      <c r="CE807" s="27" t="s">
        <v>8</v>
      </c>
      <c r="CF807" s="27" t="s">
        <v>7</v>
      </c>
      <c r="CG807" s="27" t="s">
        <v>8</v>
      </c>
      <c r="CH807" s="27" t="s">
        <v>7</v>
      </c>
      <c r="CI807" s="27" t="s">
        <v>8</v>
      </c>
      <c r="CV807" s="27" t="s">
        <v>7</v>
      </c>
      <c r="CY807" s="27" t="s">
        <v>8</v>
      </c>
      <c r="CZ807" s="27" t="s">
        <v>7</v>
      </c>
      <c r="DA807" s="27" t="s">
        <v>8</v>
      </c>
      <c r="DB807" s="27" t="s">
        <v>7</v>
      </c>
      <c r="EE807" s="27" t="s">
        <v>8</v>
      </c>
      <c r="EF807" s="27" t="s">
        <v>7</v>
      </c>
      <c r="EI807" s="27" t="s">
        <v>8</v>
      </c>
      <c r="EJ807" s="27" t="s">
        <v>7</v>
      </c>
      <c r="EK807" s="27" t="s">
        <v>8</v>
      </c>
      <c r="EL807" s="27" t="s">
        <v>7</v>
      </c>
      <c r="EM807" s="27" t="s">
        <v>8</v>
      </c>
    </row>
    <row r="808" spans="1:147" x14ac:dyDescent="0.25">
      <c r="A808" s="7">
        <v>1.2570774636595854E-2</v>
      </c>
      <c r="B808"/>
      <c r="C808"/>
      <c r="D808"/>
      <c r="E808"/>
      <c r="F808" s="27" t="s">
        <v>7</v>
      </c>
      <c r="S808" s="27" t="s">
        <v>8</v>
      </c>
      <c r="T808" s="27" t="s">
        <v>7</v>
      </c>
      <c r="U808" s="27" t="s">
        <v>8</v>
      </c>
      <c r="X808" s="27" t="s">
        <v>7</v>
      </c>
      <c r="AA808" s="27" t="s">
        <v>8</v>
      </c>
      <c r="AB808" s="27" t="s">
        <v>7</v>
      </c>
      <c r="AC808" s="27" t="s">
        <v>8</v>
      </c>
      <c r="AD808" s="27" t="s">
        <v>7</v>
      </c>
      <c r="AF808" s="27" t="s">
        <v>7</v>
      </c>
      <c r="BO808" s="27" t="s">
        <v>8</v>
      </c>
      <c r="BP808" s="27" t="s">
        <v>7</v>
      </c>
      <c r="BQ808" s="27" t="s">
        <v>8</v>
      </c>
      <c r="BU808" s="27" t="s">
        <v>8</v>
      </c>
      <c r="BX808" s="27" t="s">
        <v>7</v>
      </c>
      <c r="CA808" s="27" t="s">
        <v>8</v>
      </c>
      <c r="CB808" s="27" t="s">
        <v>7</v>
      </c>
      <c r="CE808" s="27" t="s">
        <v>8</v>
      </c>
      <c r="CF808" s="27" t="s">
        <v>7</v>
      </c>
      <c r="CG808" s="27" t="s">
        <v>8</v>
      </c>
      <c r="CH808" s="27" t="s">
        <v>7</v>
      </c>
      <c r="CV808" s="27" t="s">
        <v>7</v>
      </c>
      <c r="CY808" s="27" t="s">
        <v>8</v>
      </c>
      <c r="CZ808" s="27" t="s">
        <v>7</v>
      </c>
      <c r="DA808" s="27" t="s">
        <v>8</v>
      </c>
      <c r="DB808" s="27" t="s">
        <v>7</v>
      </c>
      <c r="DC808" s="27" t="s">
        <v>8</v>
      </c>
      <c r="EE808" s="27" t="s">
        <v>8</v>
      </c>
      <c r="EF808" s="27" t="s">
        <v>7</v>
      </c>
      <c r="EI808" s="27" t="s">
        <v>8</v>
      </c>
      <c r="EJ808" s="27" t="s">
        <v>7</v>
      </c>
      <c r="EK808" s="27" t="s">
        <v>8</v>
      </c>
      <c r="EL808" s="27" t="s">
        <v>7</v>
      </c>
      <c r="EM808" s="27" t="s">
        <v>8</v>
      </c>
    </row>
    <row r="809" spans="1:147" x14ac:dyDescent="0.25">
      <c r="A809" s="7">
        <v>1.23242888594077E-2</v>
      </c>
      <c r="B809"/>
      <c r="C809"/>
      <c r="D809"/>
      <c r="E809"/>
      <c r="F809" s="27" t="s">
        <v>7</v>
      </c>
      <c r="S809" s="27" t="s">
        <v>8</v>
      </c>
      <c r="T809" s="27" t="s">
        <v>7</v>
      </c>
      <c r="U809" s="27" t="s">
        <v>8</v>
      </c>
      <c r="X809" s="27" t="s">
        <v>7</v>
      </c>
      <c r="AA809" s="27" t="s">
        <v>8</v>
      </c>
      <c r="AB809" s="27" t="s">
        <v>7</v>
      </c>
      <c r="AC809" s="27" t="s">
        <v>8</v>
      </c>
      <c r="AF809" s="27" t="s">
        <v>7</v>
      </c>
      <c r="BE809" s="27" t="s">
        <v>8</v>
      </c>
      <c r="BO809" s="27" t="s">
        <v>8</v>
      </c>
      <c r="BP809" s="27" t="s">
        <v>7</v>
      </c>
      <c r="BQ809" s="27" t="s">
        <v>8</v>
      </c>
      <c r="BR809" s="27" t="s">
        <v>7</v>
      </c>
      <c r="BS809" s="27" t="s">
        <v>8</v>
      </c>
      <c r="BU809" s="27" t="s">
        <v>8</v>
      </c>
      <c r="BX809" s="27" t="s">
        <v>7</v>
      </c>
      <c r="CA809" s="27" t="s">
        <v>8</v>
      </c>
      <c r="CB809" s="27" t="s">
        <v>7</v>
      </c>
      <c r="CE809" s="27" t="s">
        <v>8</v>
      </c>
      <c r="CF809" s="27" t="s">
        <v>7</v>
      </c>
      <c r="CG809" s="27" t="s">
        <v>8</v>
      </c>
      <c r="CV809" s="27" t="s">
        <v>7</v>
      </c>
      <c r="CY809" s="27" t="s">
        <v>8</v>
      </c>
      <c r="CZ809" s="27" t="s">
        <v>7</v>
      </c>
      <c r="DA809" s="27" t="s">
        <v>8</v>
      </c>
      <c r="DB809" s="27" t="s">
        <v>7</v>
      </c>
      <c r="DC809" s="27" t="s">
        <v>8</v>
      </c>
      <c r="DD809" s="27" t="s">
        <v>7</v>
      </c>
      <c r="EE809" s="27" t="s">
        <v>8</v>
      </c>
      <c r="EF809" s="27" t="s">
        <v>7</v>
      </c>
      <c r="EI809" s="27" t="s">
        <v>8</v>
      </c>
      <c r="EJ809" s="27" t="s">
        <v>7</v>
      </c>
      <c r="EK809" s="27" t="s">
        <v>8</v>
      </c>
      <c r="EL809" s="27" t="s">
        <v>7</v>
      </c>
      <c r="EM809" s="27" t="s">
        <v>8</v>
      </c>
    </row>
    <row r="810" spans="1:147" x14ac:dyDescent="0.25">
      <c r="A810" s="7">
        <v>1.2082636136674216E-2</v>
      </c>
      <c r="B810"/>
      <c r="C810"/>
      <c r="D810"/>
      <c r="E810"/>
      <c r="F810" s="27" t="s">
        <v>7</v>
      </c>
      <c r="S810" s="27" t="s">
        <v>8</v>
      </c>
      <c r="T810" s="27" t="s">
        <v>7</v>
      </c>
      <c r="X810" s="27" t="s">
        <v>7</v>
      </c>
      <c r="AA810" s="27" t="s">
        <v>8</v>
      </c>
      <c r="AB810" s="27" t="s">
        <v>7</v>
      </c>
      <c r="AC810" s="27" t="s">
        <v>8</v>
      </c>
      <c r="AF810" s="27" t="s">
        <v>7</v>
      </c>
      <c r="BE810" s="27" t="s">
        <v>8</v>
      </c>
      <c r="BF810" s="27" t="s">
        <v>7</v>
      </c>
      <c r="BO810" s="27" t="s">
        <v>8</v>
      </c>
      <c r="BP810" s="27" t="s">
        <v>7</v>
      </c>
      <c r="BQ810" s="27" t="s">
        <v>8</v>
      </c>
      <c r="BR810" s="27" t="s">
        <v>7</v>
      </c>
      <c r="BS810" s="27" t="s">
        <v>8</v>
      </c>
      <c r="BT810" s="27" t="s">
        <v>7</v>
      </c>
      <c r="BU810" s="27" t="s">
        <v>8</v>
      </c>
      <c r="BX810" s="27" t="s">
        <v>7</v>
      </c>
      <c r="BY810" s="27" t="s">
        <v>8</v>
      </c>
      <c r="CA810" s="27" t="s">
        <v>8</v>
      </c>
      <c r="CB810" s="27" t="s">
        <v>7</v>
      </c>
      <c r="CC810" s="27" t="s">
        <v>8</v>
      </c>
      <c r="CE810" s="27" t="s">
        <v>8</v>
      </c>
      <c r="CF810" s="27" t="s">
        <v>7</v>
      </c>
      <c r="CV810" s="27" t="s">
        <v>7</v>
      </c>
      <c r="CY810" s="27" t="s">
        <v>8</v>
      </c>
      <c r="CZ810" s="27" t="s">
        <v>7</v>
      </c>
      <c r="DB810" s="27" t="s">
        <v>7</v>
      </c>
      <c r="DC810" s="27" t="s">
        <v>8</v>
      </c>
      <c r="DD810" s="27" t="s">
        <v>7</v>
      </c>
      <c r="DK810" s="27" t="s">
        <v>8</v>
      </c>
      <c r="EE810" s="27" t="s">
        <v>8</v>
      </c>
      <c r="EF810" s="27" t="s">
        <v>7</v>
      </c>
      <c r="EG810" s="27" t="s">
        <v>8</v>
      </c>
      <c r="EI810" s="27" t="s">
        <v>8</v>
      </c>
      <c r="EJ810" s="27" t="s">
        <v>7</v>
      </c>
      <c r="EL810" s="27" t="s">
        <v>7</v>
      </c>
      <c r="EM810" s="27" t="s">
        <v>8</v>
      </c>
    </row>
    <row r="811" spans="1:147" x14ac:dyDescent="0.25">
      <c r="A811" s="7">
        <v>1.184572170262178E-2</v>
      </c>
      <c r="B811"/>
      <c r="C811"/>
      <c r="D811"/>
      <c r="E811"/>
      <c r="F811" s="27" t="s">
        <v>7</v>
      </c>
      <c r="S811" s="27" t="s">
        <v>8</v>
      </c>
      <c r="X811" s="27" t="s">
        <v>7</v>
      </c>
      <c r="AA811" s="27" t="s">
        <v>8</v>
      </c>
      <c r="AB811" s="27" t="s">
        <v>7</v>
      </c>
      <c r="AC811" s="27" t="s">
        <v>8</v>
      </c>
      <c r="AF811" s="27" t="s">
        <v>7</v>
      </c>
      <c r="BE811" s="27" t="s">
        <v>8</v>
      </c>
      <c r="BF811" s="27" t="s">
        <v>7</v>
      </c>
      <c r="BO811" s="27" t="s">
        <v>8</v>
      </c>
      <c r="BP811" s="27" t="s">
        <v>7</v>
      </c>
      <c r="BQ811" s="27" t="s">
        <v>8</v>
      </c>
      <c r="BR811" s="27" t="s">
        <v>7</v>
      </c>
      <c r="BS811" s="27" t="s">
        <v>8</v>
      </c>
      <c r="BT811" s="27" t="s">
        <v>7</v>
      </c>
      <c r="BU811" s="27" t="s">
        <v>8</v>
      </c>
      <c r="BX811" s="27" t="s">
        <v>7</v>
      </c>
      <c r="BY811" s="27" t="s">
        <v>8</v>
      </c>
      <c r="BZ811" s="27" t="s">
        <v>7</v>
      </c>
      <c r="CA811" s="27" t="s">
        <v>8</v>
      </c>
      <c r="CB811" s="27" t="s">
        <v>7</v>
      </c>
      <c r="CC811" s="27" t="s">
        <v>8</v>
      </c>
      <c r="CD811" s="27" t="s">
        <v>7</v>
      </c>
      <c r="CE811" s="27" t="s">
        <v>8</v>
      </c>
      <c r="CV811" s="27" t="s">
        <v>7</v>
      </c>
      <c r="CY811" s="27" t="s">
        <v>8</v>
      </c>
      <c r="DB811" s="27" t="s">
        <v>7</v>
      </c>
      <c r="DD811" s="27" t="s">
        <v>7</v>
      </c>
      <c r="DE811" s="27" t="s">
        <v>8</v>
      </c>
      <c r="DK811" s="27" t="s">
        <v>8</v>
      </c>
      <c r="DL811" s="27" t="s">
        <v>7</v>
      </c>
      <c r="DO811" s="27" t="s">
        <v>8</v>
      </c>
      <c r="EE811" s="27" t="s">
        <v>8</v>
      </c>
      <c r="EF811" s="27" t="s">
        <v>7</v>
      </c>
      <c r="EG811" s="27" t="s">
        <v>8</v>
      </c>
      <c r="EH811" s="27" t="s">
        <v>7</v>
      </c>
      <c r="EI811" s="27" t="s">
        <v>8</v>
      </c>
      <c r="EL811" s="27" t="s">
        <v>7</v>
      </c>
      <c r="EM811" s="27" t="s">
        <v>8</v>
      </c>
    </row>
    <row r="812" spans="1:147" x14ac:dyDescent="0.25">
      <c r="A812" s="7">
        <v>1.1613452649629196E-2</v>
      </c>
      <c r="B812"/>
      <c r="C812"/>
      <c r="D812"/>
      <c r="E812"/>
      <c r="F812" s="27" t="s">
        <v>7</v>
      </c>
      <c r="S812" s="27" t="s">
        <v>8</v>
      </c>
      <c r="X812" s="27" t="s">
        <v>7</v>
      </c>
      <c r="AA812" s="27" t="s">
        <v>8</v>
      </c>
      <c r="AB812" s="27" t="s">
        <v>7</v>
      </c>
      <c r="AC812" s="27" t="s">
        <v>8</v>
      </c>
      <c r="AF812" s="27" t="s">
        <v>7</v>
      </c>
      <c r="BE812" s="27" t="s">
        <v>8</v>
      </c>
      <c r="BF812" s="27" t="s">
        <v>7</v>
      </c>
      <c r="BM812" s="27" t="s">
        <v>8</v>
      </c>
      <c r="BO812" s="27" t="s">
        <v>8</v>
      </c>
      <c r="BP812" s="27" t="s">
        <v>7</v>
      </c>
      <c r="BR812" s="27" t="s">
        <v>7</v>
      </c>
      <c r="BS812" s="27" t="s">
        <v>8</v>
      </c>
      <c r="BT812" s="27" t="s">
        <v>7</v>
      </c>
      <c r="BU812" s="27" t="s">
        <v>8</v>
      </c>
      <c r="BX812" s="27" t="s">
        <v>7</v>
      </c>
      <c r="BY812" s="27" t="s">
        <v>8</v>
      </c>
      <c r="BZ812" s="27" t="s">
        <v>7</v>
      </c>
      <c r="CA812" s="27" t="s">
        <v>8</v>
      </c>
      <c r="CB812" s="27" t="s">
        <v>7</v>
      </c>
      <c r="CC812" s="27" t="s">
        <v>8</v>
      </c>
      <c r="CD812" s="27" t="s">
        <v>7</v>
      </c>
      <c r="CE812" s="27" t="s">
        <v>8</v>
      </c>
      <c r="CV812" s="27" t="s">
        <v>7</v>
      </c>
      <c r="CW812" s="27" t="s">
        <v>8</v>
      </c>
      <c r="CY812" s="27" t="s">
        <v>8</v>
      </c>
      <c r="DD812" s="27" t="s">
        <v>7</v>
      </c>
      <c r="DE812" s="27" t="s">
        <v>8</v>
      </c>
      <c r="DF812" s="27" t="s">
        <v>7</v>
      </c>
      <c r="DI812" s="27" t="s">
        <v>8</v>
      </c>
      <c r="DK812" s="27" t="s">
        <v>8</v>
      </c>
      <c r="DL812" s="27" t="s">
        <v>7</v>
      </c>
      <c r="DO812" s="27" t="s">
        <v>8</v>
      </c>
      <c r="DP812" s="27" t="s">
        <v>7</v>
      </c>
      <c r="EC812" s="27" t="s">
        <v>8</v>
      </c>
      <c r="EE812" s="27" t="s">
        <v>8</v>
      </c>
      <c r="EF812" s="27" t="s">
        <v>7</v>
      </c>
      <c r="EG812" s="27" t="s">
        <v>8</v>
      </c>
      <c r="EH812" s="27" t="s">
        <v>7</v>
      </c>
      <c r="EI812" s="27" t="s">
        <v>8</v>
      </c>
      <c r="EL812" s="27" t="s">
        <v>7</v>
      </c>
      <c r="EM812" s="27" t="s">
        <v>8</v>
      </c>
    </row>
    <row r="813" spans="1:147" x14ac:dyDescent="0.25">
      <c r="A813" s="7">
        <v>1.138573789179333E-2</v>
      </c>
      <c r="B813"/>
      <c r="C813"/>
      <c r="D813"/>
      <c r="E813"/>
      <c r="F813" s="27" t="s">
        <v>7</v>
      </c>
      <c r="S813" s="27" t="s">
        <v>8</v>
      </c>
      <c r="X813" s="27" t="s">
        <v>7</v>
      </c>
      <c r="AA813" s="27" t="s">
        <v>8</v>
      </c>
      <c r="AB813" s="27" t="s">
        <v>7</v>
      </c>
      <c r="AC813" s="27" t="s">
        <v>8</v>
      </c>
      <c r="AF813" s="27" t="s">
        <v>7</v>
      </c>
      <c r="AG813" s="27" t="s">
        <v>8</v>
      </c>
      <c r="BE813" s="27" t="s">
        <v>8</v>
      </c>
      <c r="BF813" s="27" t="s">
        <v>7</v>
      </c>
      <c r="BM813" s="27" t="s">
        <v>8</v>
      </c>
      <c r="BN813" s="27" t="s">
        <v>7</v>
      </c>
      <c r="BO813" s="27" t="s">
        <v>8</v>
      </c>
      <c r="BR813" s="27" t="s">
        <v>7</v>
      </c>
      <c r="BS813" s="27" t="s">
        <v>8</v>
      </c>
      <c r="BT813" s="27" t="s">
        <v>7</v>
      </c>
      <c r="BU813" s="27" t="s">
        <v>8</v>
      </c>
      <c r="BX813" s="27" t="s">
        <v>7</v>
      </c>
      <c r="BY813" s="27" t="s">
        <v>8</v>
      </c>
      <c r="BZ813" s="27" t="s">
        <v>7</v>
      </c>
      <c r="CA813" s="27" t="s">
        <v>8</v>
      </c>
      <c r="CB813" s="27" t="s">
        <v>7</v>
      </c>
      <c r="CC813" s="27" t="s">
        <v>8</v>
      </c>
      <c r="CD813" s="27" t="s">
        <v>7</v>
      </c>
      <c r="CE813" s="27" t="s">
        <v>8</v>
      </c>
      <c r="CV813" s="27" t="s">
        <v>7</v>
      </c>
      <c r="CW813" s="27" t="s">
        <v>8</v>
      </c>
      <c r="CX813" s="27" t="s">
        <v>7</v>
      </c>
      <c r="CY813" s="27" t="s">
        <v>8</v>
      </c>
      <c r="DD813" s="27" t="s">
        <v>7</v>
      </c>
      <c r="DE813" s="27" t="s">
        <v>8</v>
      </c>
      <c r="DF813" s="27" t="s">
        <v>7</v>
      </c>
      <c r="DG813" s="27" t="s">
        <v>8</v>
      </c>
      <c r="DI813" s="27" t="s">
        <v>8</v>
      </c>
      <c r="DJ813" s="27" t="s">
        <v>7</v>
      </c>
      <c r="DK813" s="27" t="s">
        <v>8</v>
      </c>
      <c r="DL813" s="27" t="s">
        <v>7</v>
      </c>
      <c r="DM813" s="27" t="s">
        <v>8</v>
      </c>
      <c r="DO813" s="27" t="s">
        <v>8</v>
      </c>
      <c r="DP813" s="27" t="s">
        <v>7</v>
      </c>
      <c r="DY813" s="27" t="s">
        <v>8</v>
      </c>
      <c r="EC813" s="27" t="s">
        <v>8</v>
      </c>
      <c r="ED813" s="27" t="s">
        <v>7</v>
      </c>
      <c r="EE813" s="27" t="s">
        <v>8</v>
      </c>
      <c r="EF813" s="27" t="s">
        <v>7</v>
      </c>
      <c r="EG813" s="27" t="s">
        <v>8</v>
      </c>
      <c r="EH813" s="27" t="s">
        <v>7</v>
      </c>
      <c r="EL813" s="27" t="s">
        <v>7</v>
      </c>
    </row>
    <row r="814" spans="1:147" x14ac:dyDescent="0.25">
      <c r="A814" s="7">
        <v>1.1162488129209149E-2</v>
      </c>
      <c r="B814"/>
      <c r="C814"/>
      <c r="D814"/>
      <c r="E814"/>
      <c r="F814" s="27" t="s">
        <v>7</v>
      </c>
      <c r="S814" s="27" t="s">
        <v>8</v>
      </c>
      <c r="X814" s="27" t="s">
        <v>7</v>
      </c>
      <c r="Y814" s="27" t="s">
        <v>8</v>
      </c>
      <c r="AA814" s="27" t="s">
        <v>8</v>
      </c>
      <c r="AB814" s="27" t="s">
        <v>7</v>
      </c>
      <c r="AC814" s="27" t="s">
        <v>8</v>
      </c>
      <c r="AF814" s="27" t="s">
        <v>7</v>
      </c>
      <c r="AG814" s="27" t="s">
        <v>8</v>
      </c>
      <c r="AH814" s="27" t="s">
        <v>7</v>
      </c>
      <c r="BE814" s="27" t="s">
        <v>8</v>
      </c>
      <c r="BF814" s="27" t="s">
        <v>7</v>
      </c>
      <c r="BM814" s="27" t="s">
        <v>8</v>
      </c>
      <c r="BN814" s="27" t="s">
        <v>7</v>
      </c>
      <c r="BO814" s="27" t="s">
        <v>8</v>
      </c>
      <c r="BR814" s="27" t="s">
        <v>7</v>
      </c>
      <c r="BS814" s="27" t="s">
        <v>8</v>
      </c>
      <c r="BT814" s="27" t="s">
        <v>7</v>
      </c>
      <c r="BX814" s="27" t="s">
        <v>7</v>
      </c>
      <c r="BZ814" s="27" t="s">
        <v>7</v>
      </c>
      <c r="CA814" s="27" t="s">
        <v>8</v>
      </c>
      <c r="CB814" s="27" t="s">
        <v>7</v>
      </c>
      <c r="CC814" s="27" t="s">
        <v>8</v>
      </c>
      <c r="CD814" s="27" t="s">
        <v>7</v>
      </c>
      <c r="CE814" s="27" t="s">
        <v>8</v>
      </c>
      <c r="CV814" s="27" t="s">
        <v>7</v>
      </c>
      <c r="CW814" s="27" t="s">
        <v>8</v>
      </c>
      <c r="CX814" s="27" t="s">
        <v>7</v>
      </c>
      <c r="CY814" s="27" t="s">
        <v>8</v>
      </c>
      <c r="DD814" s="27" t="s">
        <v>7</v>
      </c>
      <c r="DF814" s="27" t="s">
        <v>7</v>
      </c>
      <c r="DG814" s="27" t="s">
        <v>8</v>
      </c>
      <c r="DH814" s="27" t="s">
        <v>7</v>
      </c>
      <c r="DI814" s="27" t="s">
        <v>8</v>
      </c>
      <c r="DJ814" s="27" t="s">
        <v>7</v>
      </c>
      <c r="DK814" s="27" t="s">
        <v>8</v>
      </c>
      <c r="DL814" s="27" t="s">
        <v>7</v>
      </c>
      <c r="DM814" s="27" t="s">
        <v>8</v>
      </c>
      <c r="DN814" s="27" t="s">
        <v>7</v>
      </c>
      <c r="DO814" s="27" t="s">
        <v>8</v>
      </c>
      <c r="DP814" s="27" t="s">
        <v>7</v>
      </c>
      <c r="DW814" s="27" t="s">
        <v>8</v>
      </c>
      <c r="DY814" s="27" t="s">
        <v>8</v>
      </c>
      <c r="DZ814" s="27" t="s">
        <v>7</v>
      </c>
      <c r="EA814" s="27" t="s">
        <v>8</v>
      </c>
      <c r="EC814" s="27" t="s">
        <v>8</v>
      </c>
      <c r="ED814" s="27" t="s">
        <v>7</v>
      </c>
      <c r="EE814" s="27" t="s">
        <v>8</v>
      </c>
      <c r="EF814" s="27" t="s">
        <v>7</v>
      </c>
      <c r="EG814" s="27" t="s">
        <v>8</v>
      </c>
    </row>
    <row r="815" spans="1:147" x14ac:dyDescent="0.25">
      <c r="A815" s="7">
        <v>1.0943615812950145E-2</v>
      </c>
      <c r="B815"/>
      <c r="C815"/>
      <c r="D815"/>
      <c r="E815"/>
      <c r="F815" s="27" t="s">
        <v>7</v>
      </c>
      <c r="S815" s="27" t="s">
        <v>8</v>
      </c>
      <c r="X815" s="27" t="s">
        <v>7</v>
      </c>
      <c r="Y815" s="27" t="s">
        <v>8</v>
      </c>
      <c r="Z815" s="27" t="s">
        <v>7</v>
      </c>
      <c r="AA815" s="27" t="s">
        <v>8</v>
      </c>
      <c r="AB815" s="27" t="s">
        <v>7</v>
      </c>
      <c r="AF815" s="27" t="s">
        <v>7</v>
      </c>
      <c r="AG815" s="27" t="s">
        <v>8</v>
      </c>
      <c r="AH815" s="27" t="s">
        <v>7</v>
      </c>
      <c r="BE815" s="27" t="s">
        <v>8</v>
      </c>
      <c r="BF815" s="27" t="s">
        <v>7</v>
      </c>
      <c r="BM815" s="27" t="s">
        <v>8</v>
      </c>
      <c r="BN815" s="27" t="s">
        <v>7</v>
      </c>
      <c r="BO815" s="27" t="s">
        <v>8</v>
      </c>
      <c r="BR815" s="27" t="s">
        <v>7</v>
      </c>
      <c r="BZ815" s="27" t="s">
        <v>7</v>
      </c>
      <c r="CB815" s="27" t="s">
        <v>7</v>
      </c>
      <c r="CC815" s="27" t="s">
        <v>8</v>
      </c>
      <c r="CD815" s="27" t="s">
        <v>7</v>
      </c>
      <c r="CE815" s="27" t="s">
        <v>8</v>
      </c>
      <c r="CV815" s="27" t="s">
        <v>7</v>
      </c>
      <c r="CW815" s="27" t="s">
        <v>8</v>
      </c>
      <c r="CX815" s="27" t="s">
        <v>7</v>
      </c>
      <c r="CY815" s="27" t="s">
        <v>8</v>
      </c>
      <c r="DF815" s="27" t="s">
        <v>7</v>
      </c>
      <c r="DG815" s="27" t="s">
        <v>8</v>
      </c>
      <c r="DH815" s="27" t="s">
        <v>7</v>
      </c>
      <c r="DI815" s="27" t="s">
        <v>8</v>
      </c>
      <c r="DJ815" s="27" t="s">
        <v>7</v>
      </c>
      <c r="DL815" s="27" t="s">
        <v>7</v>
      </c>
      <c r="DM815" s="27" t="s">
        <v>8</v>
      </c>
      <c r="DN815" s="27" t="s">
        <v>7</v>
      </c>
      <c r="DO815" s="27" t="s">
        <v>8</v>
      </c>
      <c r="DP815" s="27" t="s">
        <v>7</v>
      </c>
      <c r="DQ815" s="27" t="s">
        <v>8</v>
      </c>
      <c r="DW815" s="27" t="s">
        <v>8</v>
      </c>
      <c r="DX815" s="27" t="s">
        <v>7</v>
      </c>
      <c r="DY815" s="27" t="s">
        <v>8</v>
      </c>
      <c r="DZ815" s="27" t="s">
        <v>7</v>
      </c>
      <c r="EA815" s="27" t="s">
        <v>8</v>
      </c>
      <c r="EB815" s="27" t="s">
        <v>7</v>
      </c>
      <c r="EC815" s="27" t="s">
        <v>8</v>
      </c>
      <c r="ED815" s="27" t="s">
        <v>7</v>
      </c>
      <c r="EE815" s="27" t="s">
        <v>8</v>
      </c>
      <c r="EF815" s="27" t="s">
        <v>7</v>
      </c>
    </row>
    <row r="816" spans="1:147" x14ac:dyDescent="0.25">
      <c r="A816" s="7">
        <v>1.0729035110735436E-2</v>
      </c>
      <c r="B816"/>
      <c r="C816"/>
      <c r="D816"/>
      <c r="E816"/>
      <c r="F816" s="27" t="s">
        <v>7</v>
      </c>
      <c r="S816" s="27" t="s">
        <v>8</v>
      </c>
      <c r="X816" s="27" t="s">
        <v>7</v>
      </c>
      <c r="Y816" s="27" t="s">
        <v>8</v>
      </c>
      <c r="Z816" s="27" t="s">
        <v>7</v>
      </c>
      <c r="AA816" s="27" t="s">
        <v>8</v>
      </c>
      <c r="AF816" s="27" t="s">
        <v>7</v>
      </c>
      <c r="AG816" s="27" t="s">
        <v>8</v>
      </c>
      <c r="AH816" s="27" t="s">
        <v>7</v>
      </c>
      <c r="BE816" s="27" t="s">
        <v>8</v>
      </c>
      <c r="BF816" s="27" t="s">
        <v>7</v>
      </c>
      <c r="BM816" s="27" t="s">
        <v>8</v>
      </c>
      <c r="BN816" s="27" t="s">
        <v>7</v>
      </c>
      <c r="BO816" s="27" t="s">
        <v>8</v>
      </c>
      <c r="CB816" s="27" t="s">
        <v>7</v>
      </c>
      <c r="CD816" s="27" t="s">
        <v>7</v>
      </c>
      <c r="CV816" s="27" t="s">
        <v>7</v>
      </c>
      <c r="CW816" s="27" t="s">
        <v>8</v>
      </c>
      <c r="CX816" s="27" t="s">
        <v>7</v>
      </c>
      <c r="DF816" s="27" t="s">
        <v>7</v>
      </c>
      <c r="DG816" s="27" t="s">
        <v>8</v>
      </c>
      <c r="DH816" s="27" t="s">
        <v>7</v>
      </c>
      <c r="DI816" s="27" t="s">
        <v>8</v>
      </c>
      <c r="DL816" s="27" t="s">
        <v>7</v>
      </c>
      <c r="DM816" s="27" t="s">
        <v>8</v>
      </c>
      <c r="DN816" s="27" t="s">
        <v>7</v>
      </c>
      <c r="DO816" s="27" t="s">
        <v>8</v>
      </c>
      <c r="DP816" s="27" t="s">
        <v>7</v>
      </c>
      <c r="DQ816" s="27" t="s">
        <v>8</v>
      </c>
      <c r="DR816" s="27" t="s">
        <v>7</v>
      </c>
      <c r="DU816" s="27" t="s">
        <v>8</v>
      </c>
      <c r="DW816" s="27" t="s">
        <v>8</v>
      </c>
      <c r="DX816" s="27" t="s">
        <v>7</v>
      </c>
      <c r="DY816" s="27" t="s">
        <v>8</v>
      </c>
      <c r="DZ816" s="27" t="s">
        <v>7</v>
      </c>
      <c r="EA816" s="27" t="s">
        <v>8</v>
      </c>
      <c r="EB816" s="27" t="s">
        <v>7</v>
      </c>
      <c r="EC816" s="27" t="s">
        <v>8</v>
      </c>
      <c r="ED816" s="27" t="s">
        <v>7</v>
      </c>
    </row>
    <row r="817" spans="1:133" x14ac:dyDescent="0.25">
      <c r="A817" s="7">
        <v>1.0518661873270036E-2</v>
      </c>
      <c r="B817"/>
      <c r="C817"/>
      <c r="D817"/>
      <c r="E817"/>
      <c r="F817" s="27" t="s">
        <v>7</v>
      </c>
      <c r="Q817" s="27" t="s">
        <v>8</v>
      </c>
      <c r="S817" s="27" t="s">
        <v>8</v>
      </c>
      <c r="X817" s="27" t="s">
        <v>7</v>
      </c>
      <c r="Y817" s="27" t="s">
        <v>8</v>
      </c>
      <c r="Z817" s="27" t="s">
        <v>7</v>
      </c>
      <c r="AA817" s="27" t="s">
        <v>8</v>
      </c>
      <c r="AF817" s="27" t="s">
        <v>7</v>
      </c>
      <c r="AG817" s="27" t="s">
        <v>8</v>
      </c>
      <c r="AH817" s="27" t="s">
        <v>7</v>
      </c>
      <c r="BE817" s="27" t="s">
        <v>8</v>
      </c>
      <c r="BF817" s="27" t="s">
        <v>7</v>
      </c>
      <c r="BM817" s="27" t="s">
        <v>8</v>
      </c>
      <c r="BN817" s="27" t="s">
        <v>7</v>
      </c>
      <c r="BO817" s="27" t="s">
        <v>8</v>
      </c>
      <c r="CV817" s="27" t="s">
        <v>7</v>
      </c>
      <c r="CW817" s="27" t="s">
        <v>8</v>
      </c>
      <c r="DF817" s="27" t="s">
        <v>7</v>
      </c>
      <c r="DG817" s="27" t="s">
        <v>8</v>
      </c>
      <c r="DH817" s="27" t="s">
        <v>7</v>
      </c>
      <c r="DI817" s="27" t="s">
        <v>8</v>
      </c>
      <c r="DL817" s="27" t="s">
        <v>7</v>
      </c>
      <c r="DM817" s="27" t="s">
        <v>8</v>
      </c>
      <c r="DN817" s="27" t="s">
        <v>7</v>
      </c>
      <c r="DO817" s="27" t="s">
        <v>8</v>
      </c>
      <c r="DP817" s="27" t="s">
        <v>7</v>
      </c>
      <c r="DQ817" s="27" t="s">
        <v>8</v>
      </c>
      <c r="DR817" s="27" t="s">
        <v>7</v>
      </c>
      <c r="DU817" s="27" t="s">
        <v>8</v>
      </c>
      <c r="DV817" s="27" t="s">
        <v>7</v>
      </c>
      <c r="DW817" s="27" t="s">
        <v>8</v>
      </c>
      <c r="DX817" s="27" t="s">
        <v>7</v>
      </c>
      <c r="DY817" s="27" t="s">
        <v>8</v>
      </c>
      <c r="DZ817" s="27" t="s">
        <v>7</v>
      </c>
      <c r="EB817" s="27" t="s">
        <v>7</v>
      </c>
      <c r="EC817" s="27" t="s">
        <v>8</v>
      </c>
    </row>
    <row r="818" spans="1:133" x14ac:dyDescent="0.25">
      <c r="A818" s="7">
        <v>1.0312413601245135E-2</v>
      </c>
      <c r="B818"/>
      <c r="C818"/>
      <c r="D818"/>
      <c r="E818"/>
      <c r="F818" s="27" t="s">
        <v>7</v>
      </c>
      <c r="Q818" s="27" t="s">
        <v>8</v>
      </c>
      <c r="R818" s="27" t="s">
        <v>7</v>
      </c>
      <c r="S818" s="27" t="s">
        <v>8</v>
      </c>
      <c r="X818" s="27" t="s">
        <v>7</v>
      </c>
      <c r="Y818" s="27" t="s">
        <v>8</v>
      </c>
      <c r="Z818" s="27" t="s">
        <v>7</v>
      </c>
      <c r="AA818" s="27" t="s">
        <v>8</v>
      </c>
      <c r="AF818" s="27" t="s">
        <v>7</v>
      </c>
      <c r="AG818" s="27" t="s">
        <v>8</v>
      </c>
      <c r="AH818" s="27" t="s">
        <v>7</v>
      </c>
      <c r="BE818" s="27" t="s">
        <v>8</v>
      </c>
      <c r="BF818" s="27" t="s">
        <v>7</v>
      </c>
      <c r="BM818" s="27" t="s">
        <v>8</v>
      </c>
      <c r="BN818" s="27" t="s">
        <v>7</v>
      </c>
      <c r="BO818" s="27" t="s">
        <v>8</v>
      </c>
      <c r="CV818" s="27" t="s">
        <v>7</v>
      </c>
      <c r="CW818" s="27" t="s">
        <v>8</v>
      </c>
      <c r="DF818" s="27" t="s">
        <v>7</v>
      </c>
      <c r="DG818" s="27" t="s">
        <v>8</v>
      </c>
      <c r="DH818" s="27" t="s">
        <v>7</v>
      </c>
      <c r="DL818" s="27" t="s">
        <v>7</v>
      </c>
      <c r="DN818" s="27" t="s">
        <v>7</v>
      </c>
      <c r="DO818" s="27" t="s">
        <v>8</v>
      </c>
      <c r="DP818" s="27" t="s">
        <v>7</v>
      </c>
      <c r="DQ818" s="27" t="s">
        <v>8</v>
      </c>
      <c r="DR818" s="27" t="s">
        <v>7</v>
      </c>
      <c r="DU818" s="27" t="s">
        <v>8</v>
      </c>
      <c r="DV818" s="27" t="s">
        <v>7</v>
      </c>
      <c r="DW818" s="27" t="s">
        <v>8</v>
      </c>
      <c r="DX818" s="27" t="s">
        <v>7</v>
      </c>
      <c r="EB818" s="27" t="s">
        <v>7</v>
      </c>
    </row>
    <row r="819" spans="1:133" x14ac:dyDescent="0.25">
      <c r="A819" s="7">
        <v>1.0110209412985426E-2</v>
      </c>
      <c r="B819"/>
      <c r="C819"/>
      <c r="D819"/>
      <c r="E819"/>
      <c r="F819" s="27" t="s">
        <v>7</v>
      </c>
      <c r="Q819" s="27" t="s">
        <v>8</v>
      </c>
      <c r="R819" s="27" t="s">
        <v>7</v>
      </c>
      <c r="S819" s="27" t="s">
        <v>8</v>
      </c>
      <c r="X819" s="27" t="s">
        <v>7</v>
      </c>
      <c r="Z819" s="27" t="s">
        <v>7</v>
      </c>
      <c r="AF819" s="27" t="s">
        <v>7</v>
      </c>
      <c r="AG819" s="27" t="s">
        <v>8</v>
      </c>
      <c r="AH819" s="27" t="s">
        <v>7</v>
      </c>
      <c r="BE819" s="27" t="s">
        <v>8</v>
      </c>
      <c r="BF819" s="27" t="s">
        <v>7</v>
      </c>
      <c r="BG819" s="27" t="s">
        <v>8</v>
      </c>
      <c r="BK819" s="27" t="s">
        <v>8</v>
      </c>
      <c r="BM819" s="27" t="s">
        <v>8</v>
      </c>
      <c r="BN819" s="27" t="s">
        <v>7</v>
      </c>
      <c r="CV819" s="27" t="s">
        <v>7</v>
      </c>
      <c r="CW819" s="27" t="s">
        <v>8</v>
      </c>
      <c r="DF819" s="27" t="s">
        <v>7</v>
      </c>
      <c r="DN819" s="27" t="s">
        <v>7</v>
      </c>
      <c r="DO819" s="27" t="s">
        <v>8</v>
      </c>
      <c r="DP819" s="27" t="s">
        <v>7</v>
      </c>
      <c r="DR819" s="27" t="s">
        <v>7</v>
      </c>
      <c r="DU819" s="27" t="s">
        <v>8</v>
      </c>
      <c r="DV819" s="27" t="s">
        <v>7</v>
      </c>
      <c r="DW819" s="27" t="s">
        <v>8</v>
      </c>
    </row>
    <row r="820" spans="1:133" x14ac:dyDescent="0.25">
      <c r="A820" s="7">
        <v>9.9119700127308103E-3</v>
      </c>
      <c r="B820"/>
      <c r="C820"/>
      <c r="D820"/>
      <c r="E820"/>
      <c r="F820" s="27" t="s">
        <v>7</v>
      </c>
      <c r="Q820" s="27" t="s">
        <v>8</v>
      </c>
      <c r="R820" s="27" t="s">
        <v>7</v>
      </c>
      <c r="S820" s="27" t="s">
        <v>8</v>
      </c>
      <c r="AF820" s="27" t="s">
        <v>7</v>
      </c>
      <c r="AH820" s="27" t="s">
        <v>7</v>
      </c>
      <c r="BE820" s="27" t="s">
        <v>8</v>
      </c>
      <c r="BF820" s="27" t="s">
        <v>7</v>
      </c>
      <c r="BG820" s="27" t="s">
        <v>8</v>
      </c>
      <c r="BH820" s="27" t="s">
        <v>7</v>
      </c>
      <c r="BI820" s="27" t="s">
        <v>8</v>
      </c>
      <c r="BK820" s="27" t="s">
        <v>8</v>
      </c>
      <c r="BL820" s="27" t="s">
        <v>7</v>
      </c>
      <c r="BM820" s="27" t="s">
        <v>8</v>
      </c>
      <c r="CV820" s="27" t="s">
        <v>7</v>
      </c>
      <c r="DN820" s="27" t="s">
        <v>7</v>
      </c>
      <c r="DR820" s="27" t="s">
        <v>7</v>
      </c>
      <c r="DU820" s="27" t="s">
        <v>8</v>
      </c>
      <c r="DV820" s="27" t="s">
        <v>7</v>
      </c>
      <c r="DW820" s="27" t="s">
        <v>8</v>
      </c>
    </row>
    <row r="821" spans="1:133" x14ac:dyDescent="0.25">
      <c r="A821" s="7">
        <v>9.717617659540009E-3</v>
      </c>
      <c r="B821"/>
      <c r="C821"/>
      <c r="D821"/>
      <c r="E821"/>
      <c r="F821" s="27" t="s">
        <v>7</v>
      </c>
      <c r="Q821" s="27" t="s">
        <v>8</v>
      </c>
      <c r="R821" s="27" t="s">
        <v>7</v>
      </c>
      <c r="S821" s="27" t="s">
        <v>8</v>
      </c>
      <c r="AH821" s="27" t="s">
        <v>7</v>
      </c>
      <c r="BE821" s="27" t="s">
        <v>8</v>
      </c>
      <c r="BF821" s="27" t="s">
        <v>7</v>
      </c>
      <c r="BG821" s="27" t="s">
        <v>8</v>
      </c>
      <c r="BH821" s="27" t="s">
        <v>7</v>
      </c>
      <c r="BI821" s="27" t="s">
        <v>8</v>
      </c>
      <c r="BJ821" s="27" t="s">
        <v>7</v>
      </c>
      <c r="BK821" s="27" t="s">
        <v>8</v>
      </c>
      <c r="BL821" s="27" t="s">
        <v>7</v>
      </c>
      <c r="BM821" s="27" t="s">
        <v>8</v>
      </c>
      <c r="DR821" s="27" t="s">
        <v>7</v>
      </c>
      <c r="DS821" s="27" t="s">
        <v>8</v>
      </c>
      <c r="DU821" s="27" t="s">
        <v>8</v>
      </c>
      <c r="DV821" s="27" t="s">
        <v>7</v>
      </c>
    </row>
    <row r="822" spans="1:133" x14ac:dyDescent="0.25">
      <c r="A822" s="7">
        <v>9.5270761368039299E-3</v>
      </c>
      <c r="B822"/>
      <c r="C822"/>
      <c r="D822"/>
      <c r="E822"/>
      <c r="F822" s="27" t="s">
        <v>7</v>
      </c>
      <c r="O822" s="27" t="s">
        <v>8</v>
      </c>
      <c r="Q822" s="27" t="s">
        <v>8</v>
      </c>
      <c r="R822" s="27" t="s">
        <v>7</v>
      </c>
      <c r="S822" s="27" t="s">
        <v>8</v>
      </c>
      <c r="AH822" s="27" t="s">
        <v>7</v>
      </c>
      <c r="BE822" s="27" t="s">
        <v>8</v>
      </c>
      <c r="BF822" s="27" t="s">
        <v>7</v>
      </c>
      <c r="BG822" s="27" t="s">
        <v>8</v>
      </c>
      <c r="BH822" s="27" t="s">
        <v>7</v>
      </c>
      <c r="BI822" s="27" t="s">
        <v>8</v>
      </c>
      <c r="BJ822" s="27" t="s">
        <v>7</v>
      </c>
      <c r="BK822" s="27" t="s">
        <v>8</v>
      </c>
      <c r="BL822" s="27" t="s">
        <v>7</v>
      </c>
      <c r="DR822" s="27" t="s">
        <v>7</v>
      </c>
      <c r="DS822" s="27" t="s">
        <v>8</v>
      </c>
      <c r="DT822" s="27" t="s">
        <v>7</v>
      </c>
      <c r="DU822" s="27" t="s">
        <v>8</v>
      </c>
    </row>
    <row r="823" spans="1:133" x14ac:dyDescent="0.25">
      <c r="A823" s="7">
        <v>9.3402707223567936E-3</v>
      </c>
      <c r="B823"/>
      <c r="C823"/>
      <c r="D823"/>
      <c r="E823"/>
      <c r="F823" s="27" t="s">
        <v>7</v>
      </c>
      <c r="O823" s="27" t="s">
        <v>8</v>
      </c>
      <c r="P823" s="27" t="s">
        <v>7</v>
      </c>
      <c r="Q823" s="27" t="s">
        <v>8</v>
      </c>
      <c r="R823" s="27" t="s">
        <v>7</v>
      </c>
      <c r="S823" s="27" t="s">
        <v>8</v>
      </c>
      <c r="AH823" s="27" t="s">
        <v>7</v>
      </c>
      <c r="BE823" s="27" t="s">
        <v>8</v>
      </c>
      <c r="BF823" s="27" t="s">
        <v>7</v>
      </c>
      <c r="BG823" s="27" t="s">
        <v>8</v>
      </c>
      <c r="BH823" s="27" t="s">
        <v>7</v>
      </c>
      <c r="BI823" s="27" t="s">
        <v>8</v>
      </c>
      <c r="BJ823" s="27" t="s">
        <v>7</v>
      </c>
      <c r="BK823" s="27" t="s">
        <v>8</v>
      </c>
      <c r="DR823" s="27" t="s">
        <v>7</v>
      </c>
      <c r="DS823" s="27" t="s">
        <v>8</v>
      </c>
      <c r="DT823" s="27" t="s">
        <v>7</v>
      </c>
      <c r="DU823" s="27" t="s">
        <v>8</v>
      </c>
    </row>
    <row r="824" spans="1:133" x14ac:dyDescent="0.25">
      <c r="A824" s="7">
        <v>9.1571281591733261E-3</v>
      </c>
      <c r="B824"/>
      <c r="C824"/>
      <c r="D824"/>
      <c r="E824"/>
      <c r="F824" s="27" t="s">
        <v>7</v>
      </c>
      <c r="O824" s="27" t="s">
        <v>8</v>
      </c>
      <c r="P824" s="27" t="s">
        <v>7</v>
      </c>
      <c r="Q824" s="27" t="s">
        <v>8</v>
      </c>
      <c r="R824" s="27" t="s">
        <v>7</v>
      </c>
      <c r="AH824" s="27" t="s">
        <v>7</v>
      </c>
      <c r="BE824" s="27" t="s">
        <v>8</v>
      </c>
      <c r="BF824" s="27" t="s">
        <v>7</v>
      </c>
      <c r="BG824" s="27" t="s">
        <v>8</v>
      </c>
      <c r="BH824" s="27" t="s">
        <v>7</v>
      </c>
      <c r="BJ824" s="27" t="s">
        <v>7</v>
      </c>
      <c r="BK824" s="27" t="s">
        <v>8</v>
      </c>
      <c r="DR824" s="27" t="s">
        <v>7</v>
      </c>
      <c r="DS824" s="27" t="s">
        <v>8</v>
      </c>
      <c r="DT824" s="27" t="s">
        <v>7</v>
      </c>
      <c r="DU824" s="27" t="s">
        <v>8</v>
      </c>
    </row>
    <row r="825" spans="1:133" x14ac:dyDescent="0.25">
      <c r="A825" s="7">
        <v>8.9775766266405148E-3</v>
      </c>
      <c r="B825"/>
      <c r="C825"/>
      <c r="D825"/>
      <c r="E825"/>
      <c r="F825" s="27" t="s">
        <v>7</v>
      </c>
      <c r="O825" s="27" t="s">
        <v>8</v>
      </c>
      <c r="P825" s="27" t="s">
        <v>7</v>
      </c>
      <c r="Q825" s="27" t="s">
        <v>8</v>
      </c>
      <c r="AH825" s="27" t="s">
        <v>7</v>
      </c>
      <c r="BE825" s="27" t="s">
        <v>8</v>
      </c>
      <c r="BF825" s="27" t="s">
        <v>7</v>
      </c>
      <c r="BG825" s="27" t="s">
        <v>8</v>
      </c>
      <c r="BJ825" s="27" t="s">
        <v>7</v>
      </c>
      <c r="BK825" s="27" t="s">
        <v>8</v>
      </c>
      <c r="DR825" s="27" t="s">
        <v>7</v>
      </c>
      <c r="DS825" s="27" t="s">
        <v>8</v>
      </c>
      <c r="DT825" s="27" t="s">
        <v>7</v>
      </c>
    </row>
    <row r="826" spans="1:133" x14ac:dyDescent="0.25">
      <c r="A826" s="7">
        <v>8.8015457123926614E-3</v>
      </c>
      <c r="B826"/>
      <c r="C826"/>
      <c r="D826"/>
      <c r="E826"/>
      <c r="F826" s="27" t="s">
        <v>7</v>
      </c>
      <c r="O826" s="27" t="s">
        <v>8</v>
      </c>
      <c r="P826" s="27" t="s">
        <v>7</v>
      </c>
      <c r="Q826" s="27" t="s">
        <v>8</v>
      </c>
      <c r="AH826" s="27" t="s">
        <v>7</v>
      </c>
      <c r="BA826" s="27" t="s">
        <v>8</v>
      </c>
      <c r="BE826" s="27" t="s">
        <v>8</v>
      </c>
      <c r="BF826" s="27" t="s">
        <v>7</v>
      </c>
      <c r="BG826" s="27" t="s">
        <v>8</v>
      </c>
      <c r="BJ826" s="27" t="s">
        <v>7</v>
      </c>
      <c r="DR826" s="27" t="s">
        <v>7</v>
      </c>
    </row>
    <row r="827" spans="1:133" x14ac:dyDescent="0.25">
      <c r="A827" s="7">
        <v>8.6289663846986879E-3</v>
      </c>
      <c r="B827"/>
      <c r="C827"/>
      <c r="D827"/>
      <c r="E827"/>
      <c r="F827" s="27" t="s">
        <v>7</v>
      </c>
      <c r="O827" s="27" t="s">
        <v>8</v>
      </c>
      <c r="P827" s="27" t="s">
        <v>7</v>
      </c>
      <c r="Q827" s="27" t="s">
        <v>8</v>
      </c>
      <c r="AH827" s="27" t="s">
        <v>7</v>
      </c>
      <c r="BA827" s="27" t="s">
        <v>8</v>
      </c>
      <c r="BB827" s="27" t="s">
        <v>7</v>
      </c>
      <c r="BE827" s="27" t="s">
        <v>8</v>
      </c>
      <c r="BF827" s="27" t="s">
        <v>7</v>
      </c>
      <c r="BG827" s="27" t="s">
        <v>8</v>
      </c>
    </row>
    <row r="828" spans="1:133" x14ac:dyDescent="0.25">
      <c r="A828" s="7">
        <v>8.4597709653908715E-3</v>
      </c>
      <c r="B828"/>
      <c r="C828"/>
      <c r="D828"/>
      <c r="E828"/>
      <c r="F828" s="27" t="s">
        <v>7</v>
      </c>
      <c r="O828" s="27" t="s">
        <v>8</v>
      </c>
      <c r="P828" s="27" t="s">
        <v>7</v>
      </c>
      <c r="Q828" s="27" t="s">
        <v>8</v>
      </c>
      <c r="AH828" s="27" t="s">
        <v>7</v>
      </c>
      <c r="BA828" s="27" t="s">
        <v>8</v>
      </c>
      <c r="BB828" s="27" t="s">
        <v>7</v>
      </c>
      <c r="BE828" s="27" t="s">
        <v>8</v>
      </c>
      <c r="BF828" s="27" t="s">
        <v>7</v>
      </c>
      <c r="BG828" s="27" t="s">
        <v>8</v>
      </c>
    </row>
    <row r="829" spans="1:133" x14ac:dyDescent="0.25">
      <c r="A829" s="7">
        <v>8.2938931033243839E-3</v>
      </c>
      <c r="B829"/>
      <c r="C829"/>
      <c r="D829"/>
      <c r="E829"/>
      <c r="F829" s="27" t="s">
        <v>7</v>
      </c>
      <c r="G829" s="27" t="s">
        <v>8</v>
      </c>
      <c r="O829" s="27" t="s">
        <v>8</v>
      </c>
      <c r="P829" s="27" t="s">
        <v>7</v>
      </c>
      <c r="Q829" s="27" t="s">
        <v>8</v>
      </c>
      <c r="AH829" s="27" t="s">
        <v>7</v>
      </c>
      <c r="AU829" s="27" t="s">
        <v>8</v>
      </c>
      <c r="BA829" s="27" t="s">
        <v>8</v>
      </c>
      <c r="BB829" s="27" t="s">
        <v>7</v>
      </c>
      <c r="BE829" s="27" t="s">
        <v>8</v>
      </c>
      <c r="BF829" s="27" t="s">
        <v>7</v>
      </c>
      <c r="BG829" s="27" t="s">
        <v>8</v>
      </c>
    </row>
    <row r="830" spans="1:133" x14ac:dyDescent="0.25">
      <c r="A830" s="7">
        <v>8.1312677483572383E-3</v>
      </c>
      <c r="B830"/>
      <c r="C830"/>
      <c r="D830"/>
      <c r="E830"/>
      <c r="F830" s="27" t="s">
        <v>7</v>
      </c>
      <c r="G830" s="27" t="s">
        <v>8</v>
      </c>
      <c r="H830" s="27" t="s">
        <v>7</v>
      </c>
      <c r="O830" s="27" t="s">
        <v>8</v>
      </c>
      <c r="P830" s="27" t="s">
        <v>7</v>
      </c>
      <c r="Q830" s="27" t="s">
        <v>8</v>
      </c>
      <c r="AH830" s="27" t="s">
        <v>7</v>
      </c>
      <c r="AU830" s="27" t="s">
        <v>8</v>
      </c>
      <c r="AV830" s="27" t="s">
        <v>7</v>
      </c>
      <c r="BA830" s="27" t="s">
        <v>8</v>
      </c>
      <c r="BB830" s="27" t="s">
        <v>7</v>
      </c>
      <c r="BE830" s="27" t="s">
        <v>8</v>
      </c>
      <c r="BF830" s="27" t="s">
        <v>7</v>
      </c>
      <c r="BG830" s="27" t="s">
        <v>8</v>
      </c>
    </row>
    <row r="831" spans="1:133" x14ac:dyDescent="0.25">
      <c r="A831" s="7">
        <v>7.9718311258404305E-3</v>
      </c>
      <c r="B831"/>
      <c r="C831"/>
      <c r="D831"/>
      <c r="E831"/>
      <c r="F831" s="27" t="s">
        <v>7</v>
      </c>
      <c r="G831" s="27" t="s">
        <v>8</v>
      </c>
      <c r="H831" s="27" t="s">
        <v>7</v>
      </c>
      <c r="M831" s="27" t="s">
        <v>8</v>
      </c>
      <c r="O831" s="27" t="s">
        <v>8</v>
      </c>
      <c r="P831" s="27" t="s">
        <v>7</v>
      </c>
      <c r="Q831" s="27" t="s">
        <v>8</v>
      </c>
      <c r="AH831" s="27" t="s">
        <v>7</v>
      </c>
      <c r="AU831" s="27" t="s">
        <v>8</v>
      </c>
      <c r="AV831" s="27" t="s">
        <v>7</v>
      </c>
      <c r="BA831" s="27" t="s">
        <v>8</v>
      </c>
      <c r="BB831" s="27" t="s">
        <v>7</v>
      </c>
      <c r="BE831" s="27" t="s">
        <v>8</v>
      </c>
      <c r="BF831" s="27" t="s">
        <v>7</v>
      </c>
      <c r="BG831" s="27" t="s">
        <v>8</v>
      </c>
    </row>
    <row r="832" spans="1:133" x14ac:dyDescent="0.25">
      <c r="A832" s="7">
        <v>7.8155207116082648E-3</v>
      </c>
      <c r="B832"/>
      <c r="C832"/>
      <c r="D832"/>
      <c r="E832"/>
      <c r="F832" s="27" t="s">
        <v>7</v>
      </c>
      <c r="G832" s="27" t="s">
        <v>8</v>
      </c>
      <c r="H832" s="27" t="s">
        <v>7</v>
      </c>
      <c r="K832" s="27" t="s">
        <v>8</v>
      </c>
      <c r="M832" s="27" t="s">
        <v>8</v>
      </c>
      <c r="N832" s="27" t="s">
        <v>7</v>
      </c>
      <c r="O832" s="27" t="s">
        <v>8</v>
      </c>
      <c r="P832" s="27" t="s">
        <v>7</v>
      </c>
      <c r="AH832" s="27" t="s">
        <v>7</v>
      </c>
      <c r="AU832" s="27" t="s">
        <v>8</v>
      </c>
      <c r="AV832" s="27" t="s">
        <v>7</v>
      </c>
      <c r="BA832" s="27" t="s">
        <v>8</v>
      </c>
      <c r="BB832" s="27" t="s">
        <v>7</v>
      </c>
      <c r="BE832" s="27" t="s">
        <v>8</v>
      </c>
      <c r="BF832" s="27" t="s">
        <v>7</v>
      </c>
    </row>
    <row r="833" spans="1:57" x14ac:dyDescent="0.25">
      <c r="A833" s="7">
        <v>7.6622752074590825E-3</v>
      </c>
      <c r="B833"/>
      <c r="C833"/>
      <c r="D833"/>
      <c r="E833"/>
      <c r="F833" s="27" t="s">
        <v>7</v>
      </c>
      <c r="G833" s="27" t="s">
        <v>8</v>
      </c>
      <c r="H833" s="27" t="s">
        <v>7</v>
      </c>
      <c r="K833" s="27" t="s">
        <v>8</v>
      </c>
      <c r="L833" s="27" t="s">
        <v>7</v>
      </c>
      <c r="M833" s="27" t="s">
        <v>8</v>
      </c>
      <c r="N833" s="27" t="s">
        <v>7</v>
      </c>
      <c r="O833" s="27" t="s">
        <v>8</v>
      </c>
      <c r="AH833" s="27" t="s">
        <v>7</v>
      </c>
      <c r="AU833" s="27" t="s">
        <v>8</v>
      </c>
      <c r="AV833" s="27" t="s">
        <v>7</v>
      </c>
      <c r="BA833" s="27" t="s">
        <v>8</v>
      </c>
      <c r="BB833" s="27" t="s">
        <v>7</v>
      </c>
      <c r="BC833" s="27" t="s">
        <v>8</v>
      </c>
      <c r="BE833" s="27" t="s">
        <v>8</v>
      </c>
    </row>
    <row r="834" spans="1:57" x14ac:dyDescent="0.25">
      <c r="A834" s="7">
        <v>7.5120345171167469E-3</v>
      </c>
      <c r="B834"/>
      <c r="C834"/>
      <c r="D834"/>
      <c r="E834"/>
      <c r="F834" s="27" t="s">
        <v>7</v>
      </c>
      <c r="G834" s="27" t="s">
        <v>8</v>
      </c>
      <c r="H834" s="27" t="s">
        <v>7</v>
      </c>
      <c r="K834" s="27" t="s">
        <v>8</v>
      </c>
      <c r="L834" s="27" t="s">
        <v>7</v>
      </c>
      <c r="M834" s="27" t="s">
        <v>8</v>
      </c>
      <c r="N834" s="27" t="s">
        <v>7</v>
      </c>
      <c r="O834" s="27" t="s">
        <v>8</v>
      </c>
      <c r="AH834" s="27" t="s">
        <v>7</v>
      </c>
      <c r="AU834" s="27" t="s">
        <v>8</v>
      </c>
      <c r="AV834" s="27" t="s">
        <v>7</v>
      </c>
      <c r="AW834" s="27" t="s">
        <v>8</v>
      </c>
      <c r="BA834" s="27" t="s">
        <v>8</v>
      </c>
      <c r="BB834" s="27" t="s">
        <v>7</v>
      </c>
      <c r="BC834" s="27" t="s">
        <v>8</v>
      </c>
      <c r="BD834" s="27" t="s">
        <v>7</v>
      </c>
      <c r="BE834" s="27" t="s">
        <v>8</v>
      </c>
    </row>
    <row r="835" spans="1:57" x14ac:dyDescent="0.25">
      <c r="A835" s="7">
        <v>7.3647397226634772E-3</v>
      </c>
      <c r="B835"/>
      <c r="C835"/>
      <c r="D835"/>
      <c r="E835"/>
      <c r="F835" s="27" t="s">
        <v>7</v>
      </c>
      <c r="G835" s="27" t="s">
        <v>8</v>
      </c>
      <c r="H835" s="27" t="s">
        <v>7</v>
      </c>
      <c r="I835" s="27" t="s">
        <v>8</v>
      </c>
      <c r="K835" s="27" t="s">
        <v>8</v>
      </c>
      <c r="L835" s="27" t="s">
        <v>7</v>
      </c>
      <c r="M835" s="27" t="s">
        <v>8</v>
      </c>
      <c r="N835" s="27" t="s">
        <v>7</v>
      </c>
      <c r="O835" s="27" t="s">
        <v>8</v>
      </c>
      <c r="AH835" s="27" t="s">
        <v>7</v>
      </c>
      <c r="AU835" s="27" t="s">
        <v>8</v>
      </c>
      <c r="AV835" s="27" t="s">
        <v>7</v>
      </c>
      <c r="AW835" s="27" t="s">
        <v>8</v>
      </c>
      <c r="AX835" s="27" t="s">
        <v>7</v>
      </c>
      <c r="BA835" s="27" t="s">
        <v>8</v>
      </c>
      <c r="BB835" s="27" t="s">
        <v>7</v>
      </c>
      <c r="BC835" s="27" t="s">
        <v>8</v>
      </c>
      <c r="BD835" s="27" t="s">
        <v>7</v>
      </c>
      <c r="BE835" s="27" t="s">
        <v>8</v>
      </c>
    </row>
    <row r="836" spans="1:57" x14ac:dyDescent="0.25">
      <c r="A836" s="7">
        <v>7.2203330614347815E-3</v>
      </c>
      <c r="B836"/>
      <c r="C836"/>
      <c r="D836"/>
      <c r="E836"/>
      <c r="F836" s="27" t="s">
        <v>7</v>
      </c>
      <c r="G836" s="27" t="s">
        <v>8</v>
      </c>
      <c r="H836" s="27" t="s">
        <v>7</v>
      </c>
      <c r="I836" s="27" t="s">
        <v>8</v>
      </c>
      <c r="J836" s="27" t="s">
        <v>7</v>
      </c>
      <c r="K836" s="27" t="s">
        <v>8</v>
      </c>
      <c r="L836" s="27" t="s">
        <v>7</v>
      </c>
      <c r="M836" s="27" t="s">
        <v>8</v>
      </c>
      <c r="N836" s="27" t="s">
        <v>7</v>
      </c>
      <c r="O836" s="27" t="s">
        <v>8</v>
      </c>
      <c r="AH836" s="27" t="s">
        <v>7</v>
      </c>
      <c r="AM836" s="27" t="s">
        <v>8</v>
      </c>
      <c r="AQ836" s="27" t="s">
        <v>8</v>
      </c>
      <c r="AU836" s="27" t="s">
        <v>8</v>
      </c>
      <c r="AV836" s="27" t="s">
        <v>7</v>
      </c>
      <c r="AW836" s="27" t="s">
        <v>8</v>
      </c>
      <c r="AX836" s="27" t="s">
        <v>7</v>
      </c>
      <c r="BA836" s="27" t="s">
        <v>8</v>
      </c>
      <c r="BB836" s="27" t="s">
        <v>7</v>
      </c>
      <c r="BC836" s="27" t="s">
        <v>8</v>
      </c>
      <c r="BD836" s="27" t="s">
        <v>7</v>
      </c>
    </row>
    <row r="837" spans="1:57" x14ac:dyDescent="0.25">
      <c r="A837" s="7">
        <v>7.0787579033674327E-3</v>
      </c>
      <c r="B837"/>
      <c r="C837"/>
      <c r="D837"/>
      <c r="E837"/>
      <c r="F837" s="27" t="s">
        <v>7</v>
      </c>
      <c r="G837" s="27" t="s">
        <v>8</v>
      </c>
      <c r="H837" s="27" t="s">
        <v>7</v>
      </c>
      <c r="I837" s="27" t="s">
        <v>8</v>
      </c>
      <c r="J837" s="27" t="s">
        <v>7</v>
      </c>
      <c r="K837" s="27" t="s">
        <v>8</v>
      </c>
      <c r="L837" s="27" t="s">
        <v>7</v>
      </c>
      <c r="M837" s="27" t="s">
        <v>8</v>
      </c>
      <c r="N837" s="27" t="s">
        <v>7</v>
      </c>
      <c r="O837" s="27" t="s">
        <v>8</v>
      </c>
      <c r="AH837" s="27" t="s">
        <v>7</v>
      </c>
      <c r="AM837" s="27" t="s">
        <v>8</v>
      </c>
      <c r="AN837" s="27" t="s">
        <v>7</v>
      </c>
      <c r="AQ837" s="27" t="s">
        <v>8</v>
      </c>
      <c r="AR837" s="27" t="s">
        <v>7</v>
      </c>
      <c r="AU837" s="27" t="s">
        <v>8</v>
      </c>
      <c r="AV837" s="27" t="s">
        <v>7</v>
      </c>
      <c r="AW837" s="27" t="s">
        <v>8</v>
      </c>
      <c r="AX837" s="27" t="s">
        <v>7</v>
      </c>
      <c r="BA837" s="27" t="s">
        <v>8</v>
      </c>
      <c r="BB837" s="27" t="s">
        <v>7</v>
      </c>
      <c r="BC837" s="27" t="s">
        <v>8</v>
      </c>
    </row>
    <row r="838" spans="1:57" x14ac:dyDescent="0.25">
      <c r="A838" s="7">
        <v>6.9399587287916013E-3</v>
      </c>
      <c r="B838"/>
      <c r="C838"/>
      <c r="D838"/>
      <c r="E838"/>
      <c r="F838" s="27" t="s">
        <v>7</v>
      </c>
      <c r="G838" s="27" t="s">
        <v>8</v>
      </c>
      <c r="H838" s="27" t="s">
        <v>7</v>
      </c>
      <c r="I838" s="27" t="s">
        <v>8</v>
      </c>
      <c r="J838" s="27" t="s">
        <v>7</v>
      </c>
      <c r="L838" s="27" t="s">
        <v>7</v>
      </c>
      <c r="N838" s="27" t="s">
        <v>7</v>
      </c>
      <c r="O838" s="27" t="s">
        <v>8</v>
      </c>
      <c r="AH838" s="27" t="s">
        <v>7</v>
      </c>
      <c r="AM838" s="27" t="s">
        <v>8</v>
      </c>
      <c r="AN838" s="27" t="s">
        <v>7</v>
      </c>
      <c r="AQ838" s="27" t="s">
        <v>8</v>
      </c>
      <c r="AR838" s="27" t="s">
        <v>7</v>
      </c>
      <c r="AS838" s="27" t="s">
        <v>8</v>
      </c>
      <c r="AU838" s="27" t="s">
        <v>8</v>
      </c>
      <c r="AV838" s="27" t="s">
        <v>7</v>
      </c>
      <c r="AW838" s="27" t="s">
        <v>8</v>
      </c>
      <c r="AX838" s="27" t="s">
        <v>7</v>
      </c>
      <c r="AY838" s="27" t="s">
        <v>8</v>
      </c>
      <c r="BA838" s="27" t="s">
        <v>8</v>
      </c>
      <c r="BB838" s="27" t="s">
        <v>7</v>
      </c>
      <c r="BC838" s="27" t="s">
        <v>8</v>
      </c>
    </row>
    <row r="839" spans="1:57" x14ac:dyDescent="0.25">
      <c r="A839" s="7">
        <v>6.8038811066584333E-3</v>
      </c>
      <c r="B839"/>
      <c r="C839"/>
      <c r="D839"/>
      <c r="E839"/>
      <c r="F839" s="27" t="s">
        <v>7</v>
      </c>
      <c r="G839" s="27" t="s">
        <v>8</v>
      </c>
      <c r="H839" s="27" t="s">
        <v>7</v>
      </c>
      <c r="I839" s="27" t="s">
        <v>8</v>
      </c>
      <c r="N839" s="27" t="s">
        <v>7</v>
      </c>
      <c r="O839" s="27" t="s">
        <v>8</v>
      </c>
      <c r="AH839" s="27" t="s">
        <v>7</v>
      </c>
      <c r="AM839" s="27" t="s">
        <v>8</v>
      </c>
      <c r="AN839" s="27" t="s">
        <v>7</v>
      </c>
      <c r="AQ839" s="27" t="s">
        <v>8</v>
      </c>
      <c r="AR839" s="27" t="s">
        <v>7</v>
      </c>
      <c r="AS839" s="27" t="s">
        <v>8</v>
      </c>
      <c r="AT839" s="27" t="s">
        <v>7</v>
      </c>
      <c r="AU839" s="27" t="s">
        <v>8</v>
      </c>
      <c r="AV839" s="27" t="s">
        <v>7</v>
      </c>
      <c r="AW839" s="27" t="s">
        <v>8</v>
      </c>
      <c r="AX839" s="27" t="s">
        <v>7</v>
      </c>
      <c r="AY839" s="27" t="s">
        <v>8</v>
      </c>
      <c r="AZ839" s="27" t="s">
        <v>7</v>
      </c>
      <c r="BA839" s="27" t="s">
        <v>8</v>
      </c>
      <c r="BB839" s="27" t="s">
        <v>7</v>
      </c>
      <c r="BC839" s="27" t="s">
        <v>8</v>
      </c>
    </row>
    <row r="840" spans="1:57" x14ac:dyDescent="0.25">
      <c r="A840" s="7">
        <v>6.6704716731945425E-3</v>
      </c>
      <c r="B840"/>
      <c r="C840"/>
      <c r="D840"/>
      <c r="E840"/>
      <c r="F840" s="27" t="s">
        <v>7</v>
      </c>
      <c r="H840" s="27" t="s">
        <v>7</v>
      </c>
      <c r="N840" s="27" t="s">
        <v>7</v>
      </c>
      <c r="O840" s="27" t="s">
        <v>8</v>
      </c>
      <c r="AH840" s="27" t="s">
        <v>7</v>
      </c>
      <c r="AM840" s="27" t="s">
        <v>8</v>
      </c>
      <c r="AN840" s="27" t="s">
        <v>7</v>
      </c>
      <c r="AQ840" s="27" t="s">
        <v>8</v>
      </c>
      <c r="AR840" s="27" t="s">
        <v>7</v>
      </c>
      <c r="AS840" s="27" t="s">
        <v>8</v>
      </c>
      <c r="AT840" s="27" t="s">
        <v>7</v>
      </c>
      <c r="AU840" s="27" t="s">
        <v>8</v>
      </c>
      <c r="AV840" s="27" t="s">
        <v>7</v>
      </c>
      <c r="AW840" s="27" t="s">
        <v>8</v>
      </c>
      <c r="AX840" s="27" t="s">
        <v>7</v>
      </c>
      <c r="AY840" s="27" t="s">
        <v>8</v>
      </c>
      <c r="AZ840" s="27" t="s">
        <v>7</v>
      </c>
      <c r="BA840" s="27" t="s">
        <v>8</v>
      </c>
      <c r="BB840" s="27" t="s">
        <v>7</v>
      </c>
      <c r="BC840" s="27" t="s">
        <v>8</v>
      </c>
    </row>
    <row r="841" spans="1:57" x14ac:dyDescent="0.25">
      <c r="A841" s="7">
        <v>6.5396781109750427E-3</v>
      </c>
      <c r="B841"/>
      <c r="C841"/>
      <c r="D841"/>
      <c r="E841"/>
      <c r="N841" s="27" t="s">
        <v>7</v>
      </c>
      <c r="AH841" s="27" t="s">
        <v>7</v>
      </c>
      <c r="AM841" s="27" t="s">
        <v>8</v>
      </c>
      <c r="AN841" s="27" t="s">
        <v>7</v>
      </c>
      <c r="AQ841" s="27" t="s">
        <v>8</v>
      </c>
      <c r="AR841" s="27" t="s">
        <v>7</v>
      </c>
      <c r="AS841" s="27" t="s">
        <v>8</v>
      </c>
      <c r="AT841" s="27" t="s">
        <v>7</v>
      </c>
      <c r="AU841" s="27" t="s">
        <v>8</v>
      </c>
      <c r="AV841" s="27" t="s">
        <v>7</v>
      </c>
      <c r="AX841" s="27" t="s">
        <v>7</v>
      </c>
      <c r="AY841" s="27" t="s">
        <v>8</v>
      </c>
      <c r="AZ841" s="27" t="s">
        <v>7</v>
      </c>
      <c r="BA841" s="27" t="s">
        <v>8</v>
      </c>
      <c r="BB841" s="27" t="s">
        <v>7</v>
      </c>
      <c r="BC841" s="27" t="s">
        <v>8</v>
      </c>
    </row>
    <row r="842" spans="1:57" x14ac:dyDescent="0.25">
      <c r="A842" s="7">
        <v>6.4114491284069045E-3</v>
      </c>
      <c r="B842"/>
      <c r="C842"/>
      <c r="D842"/>
      <c r="E842"/>
      <c r="AH842" s="27" t="s">
        <v>7</v>
      </c>
      <c r="AI842" s="27" t="s">
        <v>8</v>
      </c>
      <c r="AM842" s="27" t="s">
        <v>8</v>
      </c>
      <c r="AN842" s="27" t="s">
        <v>7</v>
      </c>
      <c r="AQ842" s="27" t="s">
        <v>8</v>
      </c>
      <c r="AR842" s="27" t="s">
        <v>7</v>
      </c>
      <c r="AS842" s="27" t="s">
        <v>8</v>
      </c>
      <c r="AT842" s="27" t="s">
        <v>7</v>
      </c>
      <c r="AU842" s="27" t="s">
        <v>8</v>
      </c>
      <c r="AX842" s="27" t="s">
        <v>7</v>
      </c>
      <c r="AY842" s="27" t="s">
        <v>8</v>
      </c>
      <c r="AZ842" s="27" t="s">
        <v>7</v>
      </c>
      <c r="BA842" s="27" t="s">
        <v>8</v>
      </c>
      <c r="BB842" s="27" t="s">
        <v>7</v>
      </c>
      <c r="BC842" s="27" t="s">
        <v>8</v>
      </c>
    </row>
    <row r="843" spans="1:57" x14ac:dyDescent="0.25">
      <c r="A843" s="7">
        <v>6.2857344396146115E-3</v>
      </c>
      <c r="B843"/>
      <c r="C843"/>
      <c r="D843"/>
      <c r="E843"/>
      <c r="AH843" s="27" t="s">
        <v>7</v>
      </c>
      <c r="AI843" s="27" t="s">
        <v>8</v>
      </c>
      <c r="AJ843" s="27" t="s">
        <v>7</v>
      </c>
      <c r="AM843" s="27" t="s">
        <v>8</v>
      </c>
      <c r="AN843" s="27" t="s">
        <v>7</v>
      </c>
      <c r="AO843" s="27" t="s">
        <v>8</v>
      </c>
      <c r="AQ843" s="27" t="s">
        <v>8</v>
      </c>
      <c r="AR843" s="27" t="s">
        <v>7</v>
      </c>
      <c r="AS843" s="27" t="s">
        <v>8</v>
      </c>
      <c r="AT843" s="27" t="s">
        <v>7</v>
      </c>
      <c r="AU843" s="27" t="s">
        <v>8</v>
      </c>
      <c r="AX843" s="27" t="s">
        <v>7</v>
      </c>
      <c r="AY843" s="27" t="s">
        <v>8</v>
      </c>
      <c r="AZ843" s="27" t="s">
        <v>7</v>
      </c>
      <c r="BA843" s="27" t="s">
        <v>8</v>
      </c>
      <c r="BB843" s="27" t="s">
        <v>7</v>
      </c>
    </row>
    <row r="844" spans="1:57" x14ac:dyDescent="0.25">
      <c r="A844" s="7">
        <v>6.1624847447202076E-3</v>
      </c>
      <c r="B844"/>
      <c r="C844"/>
      <c r="D844"/>
      <c r="E844"/>
      <c r="AH844" s="27" t="s">
        <v>7</v>
      </c>
      <c r="AI844" s="27" t="s">
        <v>8</v>
      </c>
      <c r="AJ844" s="27" t="s">
        <v>7</v>
      </c>
      <c r="AM844" s="27" t="s">
        <v>8</v>
      </c>
      <c r="AN844" s="27" t="s">
        <v>7</v>
      </c>
      <c r="AO844" s="27" t="s">
        <v>8</v>
      </c>
      <c r="AP844" s="27" t="s">
        <v>7</v>
      </c>
      <c r="AQ844" s="27" t="s">
        <v>8</v>
      </c>
      <c r="AR844" s="27" t="s">
        <v>7</v>
      </c>
      <c r="AS844" s="27" t="s">
        <v>8</v>
      </c>
      <c r="AT844" s="27" t="s">
        <v>7</v>
      </c>
      <c r="AX844" s="27" t="s">
        <v>7</v>
      </c>
      <c r="AY844" s="27" t="s">
        <v>8</v>
      </c>
      <c r="AZ844" s="27" t="s">
        <v>7</v>
      </c>
      <c r="BA844" s="27" t="s">
        <v>8</v>
      </c>
    </row>
    <row r="845" spans="1:57" x14ac:dyDescent="0.25">
      <c r="A845" s="7">
        <v>6.0416517105100079E-3</v>
      </c>
      <c r="B845"/>
      <c r="C845"/>
      <c r="D845"/>
      <c r="E845"/>
      <c r="AH845" s="27" t="s">
        <v>7</v>
      </c>
      <c r="AI845" s="27" t="s">
        <v>8</v>
      </c>
      <c r="AJ845" s="27" t="s">
        <v>7</v>
      </c>
      <c r="AM845" s="27" t="s">
        <v>8</v>
      </c>
      <c r="AN845" s="27" t="s">
        <v>7</v>
      </c>
      <c r="AO845" s="27" t="s">
        <v>8</v>
      </c>
      <c r="AP845" s="27" t="s">
        <v>7</v>
      </c>
      <c r="AQ845" s="27" t="s">
        <v>8</v>
      </c>
      <c r="AR845" s="27" t="s">
        <v>7</v>
      </c>
      <c r="AS845" s="27" t="s">
        <v>8</v>
      </c>
      <c r="AX845" s="27" t="s">
        <v>7</v>
      </c>
      <c r="AY845" s="27" t="s">
        <v>8</v>
      </c>
      <c r="AZ845" s="27" t="s">
        <v>7</v>
      </c>
    </row>
    <row r="846" spans="1:57" x14ac:dyDescent="0.25">
      <c r="A846" s="7">
        <v>5.9231879514803996E-3</v>
      </c>
      <c r="B846"/>
      <c r="C846"/>
      <c r="D846"/>
      <c r="E846"/>
      <c r="AH846" s="27" t="s">
        <v>7</v>
      </c>
      <c r="AI846" s="27" t="s">
        <v>8</v>
      </c>
      <c r="AJ846" s="27" t="s">
        <v>7</v>
      </c>
      <c r="AK846" s="27" t="s">
        <v>8</v>
      </c>
      <c r="AM846" s="27" t="s">
        <v>8</v>
      </c>
      <c r="AN846" s="27" t="s">
        <v>7</v>
      </c>
      <c r="AO846" s="27" t="s">
        <v>8</v>
      </c>
      <c r="AP846" s="27" t="s">
        <v>7</v>
      </c>
      <c r="AQ846" s="27" t="s">
        <v>8</v>
      </c>
      <c r="AR846" s="27" t="s">
        <v>7</v>
      </c>
      <c r="AX846" s="27" t="s">
        <v>7</v>
      </c>
    </row>
    <row r="847" spans="1:57" x14ac:dyDescent="0.25">
      <c r="A847" s="7">
        <v>5.8070470112552936E-3</v>
      </c>
      <c r="B847"/>
      <c r="C847"/>
      <c r="D847"/>
      <c r="E847"/>
      <c r="AH847" s="27" t="s">
        <v>7</v>
      </c>
      <c r="AI847" s="27" t="s">
        <v>8</v>
      </c>
      <c r="AJ847" s="27" t="s">
        <v>7</v>
      </c>
      <c r="AK847" s="27" t="s">
        <v>8</v>
      </c>
      <c r="AL847" s="27" t="s">
        <v>7</v>
      </c>
      <c r="AM847" s="27" t="s">
        <v>8</v>
      </c>
      <c r="AN847" s="27" t="s">
        <v>7</v>
      </c>
      <c r="AO847" s="27" t="s">
        <v>8</v>
      </c>
      <c r="AP847" s="27" t="s">
        <v>7</v>
      </c>
      <c r="AQ847" s="27" t="s">
        <v>8</v>
      </c>
    </row>
    <row r="848" spans="1:57" x14ac:dyDescent="0.25">
      <c r="A848" s="7">
        <v>5.6931833443679353E-3</v>
      </c>
      <c r="B848"/>
      <c r="C848"/>
      <c r="D848"/>
      <c r="E848"/>
      <c r="AH848" s="27" t="s">
        <v>7</v>
      </c>
      <c r="AI848" s="27" t="s">
        <v>8</v>
      </c>
      <c r="AJ848" s="27" t="s">
        <v>7</v>
      </c>
      <c r="AK848" s="27" t="s">
        <v>8</v>
      </c>
      <c r="AL848" s="27" t="s">
        <v>7</v>
      </c>
      <c r="AM848" s="27" t="s">
        <v>8</v>
      </c>
      <c r="AN848" s="27" t="s">
        <v>7</v>
      </c>
      <c r="AO848" s="27" t="s">
        <v>8</v>
      </c>
      <c r="AP848" s="27" t="s">
        <v>7</v>
      </c>
      <c r="AQ848" s="27" t="s">
        <v>8</v>
      </c>
    </row>
    <row r="849" spans="1:43" x14ac:dyDescent="0.25">
      <c r="A849" s="7">
        <v>5.5815522983999367E-3</v>
      </c>
      <c r="B849"/>
      <c r="C849"/>
      <c r="D849"/>
      <c r="E849"/>
      <c r="AH849" s="27" t="s">
        <v>7</v>
      </c>
      <c r="AI849" s="27" t="s">
        <v>8</v>
      </c>
      <c r="AJ849" s="27" t="s">
        <v>7</v>
      </c>
      <c r="AK849" s="27" t="s">
        <v>8</v>
      </c>
      <c r="AL849" s="27" t="s">
        <v>7</v>
      </c>
      <c r="AM849" s="27" t="s">
        <v>8</v>
      </c>
      <c r="AN849" s="27" t="s">
        <v>7</v>
      </c>
      <c r="AP849" s="27" t="s">
        <v>7</v>
      </c>
      <c r="AQ849" s="27" t="s">
        <v>8</v>
      </c>
    </row>
    <row r="850" spans="1:43" x14ac:dyDescent="0.25">
      <c r="A850" s="7">
        <v>5.4721100964705257E-3</v>
      </c>
      <c r="B850"/>
      <c r="C850"/>
      <c r="D850"/>
      <c r="E850"/>
      <c r="AH850" s="27" t="s">
        <v>7</v>
      </c>
      <c r="AI850" s="27" t="s">
        <v>8</v>
      </c>
      <c r="AJ850" s="27" t="s">
        <v>7</v>
      </c>
      <c r="AK850" s="27" t="s">
        <v>8</v>
      </c>
      <c r="AL850" s="27" t="s">
        <v>7</v>
      </c>
      <c r="AM850" s="27" t="s">
        <v>8</v>
      </c>
      <c r="AP850" s="27" t="s">
        <v>7</v>
      </c>
      <c r="AQ850" s="27" t="s">
        <v>8</v>
      </c>
    </row>
    <row r="851" spans="1:43" x14ac:dyDescent="0.25">
      <c r="A851" s="7">
        <v>5.3648138200691423E-3</v>
      </c>
      <c r="B851"/>
      <c r="C851"/>
      <c r="D851"/>
      <c r="E851"/>
      <c r="AH851" s="27" t="s">
        <v>7</v>
      </c>
      <c r="AI851" s="27" t="s">
        <v>8</v>
      </c>
      <c r="AJ851" s="27" t="s">
        <v>7</v>
      </c>
      <c r="AK851" s="27" t="s">
        <v>8</v>
      </c>
      <c r="AL851" s="27" t="s">
        <v>7</v>
      </c>
      <c r="AM851" s="27" t="s">
        <v>8</v>
      </c>
      <c r="AP851" s="27" t="s">
        <v>7</v>
      </c>
    </row>
    <row r="852" spans="1:43" x14ac:dyDescent="0.25">
      <c r="A852" s="7">
        <v>5.2596213922246494E-3</v>
      </c>
      <c r="B852"/>
      <c r="C852"/>
      <c r="D852"/>
      <c r="E852"/>
      <c r="AH852" s="27" t="s">
        <v>7</v>
      </c>
      <c r="AI852" s="27" t="s">
        <v>8</v>
      </c>
      <c r="AJ852" s="27" t="s">
        <v>7</v>
      </c>
      <c r="AK852" s="27" t="s">
        <v>8</v>
      </c>
      <c r="AL852" s="27" t="s">
        <v>7</v>
      </c>
      <c r="AM852" s="27" t="s">
        <v>8</v>
      </c>
    </row>
    <row r="853" spans="1:43" x14ac:dyDescent="0.25">
      <c r="A853" s="7">
        <v>5.1564915610045588E-3</v>
      </c>
      <c r="B853"/>
      <c r="C853"/>
      <c r="D853"/>
      <c r="E853"/>
      <c r="AH853" s="27" t="s">
        <v>7</v>
      </c>
      <c r="AI853" s="27" t="s">
        <v>8</v>
      </c>
      <c r="AJ853" s="27" t="s">
        <v>7</v>
      </c>
      <c r="AK853" s="27" t="s">
        <v>8</v>
      </c>
      <c r="AL853" s="27" t="s">
        <v>7</v>
      </c>
    </row>
    <row r="854" spans="1:43" x14ac:dyDescent="0.25">
      <c r="A854" s="7">
        <v>5.0553838833378023E-3</v>
      </c>
      <c r="B854"/>
      <c r="C854"/>
      <c r="D854"/>
      <c r="E854"/>
      <c r="AH854" s="27" t="s">
        <v>7</v>
      </c>
      <c r="AI854" s="27" t="s">
        <v>8</v>
      </c>
      <c r="AJ854" s="27" t="s">
        <v>7</v>
      </c>
      <c r="AK854" s="27" t="s">
        <v>8</v>
      </c>
    </row>
    <row r="855" spans="1:43" x14ac:dyDescent="0.25">
      <c r="A855" s="7">
        <v>4.9562587091547079E-3</v>
      </c>
      <c r="B855"/>
      <c r="C855"/>
      <c r="D855"/>
      <c r="E855"/>
      <c r="AH855" s="27" t="s">
        <v>7</v>
      </c>
      <c r="AI855" s="27" t="s">
        <v>8</v>
      </c>
      <c r="AJ855" s="27" t="s">
        <v>7</v>
      </c>
      <c r="AK855" s="27" t="s">
        <v>8</v>
      </c>
    </row>
    <row r="856" spans="1:43" x14ac:dyDescent="0.25">
      <c r="A856" s="7">
        <v>4.8590771658379491E-3</v>
      </c>
      <c r="B856"/>
      <c r="C856"/>
      <c r="D856"/>
      <c r="E856"/>
      <c r="AH856" s="27" t="s">
        <v>7</v>
      </c>
      <c r="AI856" s="27" t="s">
        <v>8</v>
      </c>
      <c r="AJ856" s="27" t="s">
        <v>7</v>
      </c>
      <c r="AK856" s="27" t="s">
        <v>8</v>
      </c>
    </row>
    <row r="857" spans="1:43" x14ac:dyDescent="0.25">
      <c r="A857" s="7">
        <v>4.7638011429783815E-3</v>
      </c>
      <c r="B857"/>
      <c r="C857"/>
      <c r="D857"/>
      <c r="E857"/>
      <c r="AH857" s="27" t="s">
        <v>7</v>
      </c>
      <c r="AI857" s="27" t="s">
        <v>8</v>
      </c>
      <c r="AJ857" s="27" t="s">
        <v>7</v>
      </c>
      <c r="AK857" s="27" t="s">
        <v>8</v>
      </c>
    </row>
    <row r="858" spans="1:43" x14ac:dyDescent="0.25">
      <c r="A858" s="7">
        <v>4.6703932774297859E-3</v>
      </c>
      <c r="B858"/>
      <c r="C858"/>
      <c r="D858"/>
      <c r="E858"/>
      <c r="AH858" s="27" t="s">
        <v>7</v>
      </c>
      <c r="AI858" s="27" t="s">
        <v>8</v>
      </c>
      <c r="AJ858" s="27" t="s">
        <v>7</v>
      </c>
    </row>
    <row r="859" spans="1:43" x14ac:dyDescent="0.25">
      <c r="A859" s="7">
        <v>4.5788169386566527E-3</v>
      </c>
      <c r="B859"/>
      <c r="C859"/>
      <c r="D859"/>
      <c r="E859"/>
      <c r="AH859" s="27" t="s">
        <v>7</v>
      </c>
      <c r="AI859" s="27" t="s">
        <v>8</v>
      </c>
    </row>
    <row r="860" spans="1:43" x14ac:dyDescent="0.25">
      <c r="A860" s="7">
        <v>4.4890362143692672E-3</v>
      </c>
      <c r="B860"/>
      <c r="C860"/>
      <c r="D860"/>
      <c r="E860"/>
      <c r="AH860" s="27" t="s">
        <v>7</v>
      </c>
      <c r="AI860" s="27" t="s">
        <v>8</v>
      </c>
    </row>
    <row r="861" spans="1:43" x14ac:dyDescent="0.25">
      <c r="A861" s="7">
        <v>4.4010158964404578E-3</v>
      </c>
      <c r="B861"/>
      <c r="C861"/>
      <c r="D861"/>
      <c r="E861"/>
      <c r="AH861" s="27" t="s">
        <v>7</v>
      </c>
      <c r="AI861" s="27" t="s">
        <v>8</v>
      </c>
    </row>
    <row r="862" spans="1:43" x14ac:dyDescent="0.25">
      <c r="A862" s="7">
        <v>4.314721467098488E-3</v>
      </c>
      <c r="B862"/>
      <c r="C862"/>
      <c r="D862"/>
      <c r="E862"/>
      <c r="AH862" s="27" t="s">
        <v>7</v>
      </c>
      <c r="AI862" s="27" t="s">
        <v>8</v>
      </c>
    </row>
    <row r="863" spans="1:43" x14ac:dyDescent="0.25">
      <c r="A863" s="7">
        <v>4.2301190853906746E-3</v>
      </c>
      <c r="B863"/>
      <c r="C863"/>
      <c r="D863"/>
      <c r="E863"/>
      <c r="AH863" s="27" t="s">
        <v>7</v>
      </c>
      <c r="AI863" s="27" t="s">
        <v>8</v>
      </c>
    </row>
    <row r="864" spans="1:43" x14ac:dyDescent="0.25">
      <c r="A864" s="7">
        <v>4.1471755739124266E-3</v>
      </c>
      <c r="B864"/>
      <c r="C864"/>
      <c r="D864"/>
      <c r="E864"/>
      <c r="AH864" s="27" t="s">
        <v>7</v>
      </c>
      <c r="AI864" s="27" t="s">
        <v>8</v>
      </c>
    </row>
    <row r="865" spans="1:35" x14ac:dyDescent="0.25">
      <c r="A865" s="7">
        <v>4.0658584057964966E-3</v>
      </c>
      <c r="B865"/>
      <c r="C865"/>
      <c r="D865"/>
      <c r="E865"/>
      <c r="AH865" s="27" t="s">
        <v>7</v>
      </c>
      <c r="AI865" s="27" t="s">
        <v>8</v>
      </c>
    </row>
    <row r="866" spans="1:35" x14ac:dyDescent="0.25">
      <c r="A866" s="7">
        <v>3.9861356919573491E-3</v>
      </c>
      <c r="B866"/>
      <c r="C866"/>
      <c r="D866"/>
      <c r="E866"/>
      <c r="AH866" s="27" t="s">
        <v>7</v>
      </c>
      <c r="AI866" s="27" t="s">
        <v>8</v>
      </c>
    </row>
    <row r="867" spans="1:35" x14ac:dyDescent="0.25">
      <c r="A867" s="7">
        <v>3.9079761685856364E-3</v>
      </c>
      <c r="B867"/>
      <c r="C867"/>
      <c r="D867"/>
      <c r="E867"/>
      <c r="AH867" s="27" t="s">
        <v>7</v>
      </c>
      <c r="AI867" s="27" t="s">
        <v>8</v>
      </c>
    </row>
    <row r="868" spans="1:35" x14ac:dyDescent="0.25">
      <c r="A868" s="7">
        <v>3.8313491848878793E-3</v>
      </c>
      <c r="B868"/>
      <c r="C868"/>
      <c r="D868"/>
      <c r="E868"/>
      <c r="AH868" s="27" t="s">
        <v>7</v>
      </c>
    </row>
    <row r="869" spans="1:35" x14ac:dyDescent="0.25">
      <c r="A869" s="7">
        <v>3.7562246910665485E-3</v>
      </c>
      <c r="B869"/>
      <c r="C869"/>
      <c r="D869"/>
      <c r="E869"/>
    </row>
    <row r="870" spans="1:35" x14ac:dyDescent="0.25">
      <c r="A870" s="7">
        <v>3.6825732265358315E-3</v>
      </c>
      <c r="B870"/>
      <c r="C870"/>
      <c r="D870"/>
      <c r="E870"/>
    </row>
    <row r="871" spans="1:35" x14ac:dyDescent="0.25">
      <c r="A871" s="7">
        <v>3.6103659083684624E-3</v>
      </c>
      <c r="B871"/>
      <c r="C871"/>
      <c r="D871"/>
      <c r="E871"/>
    </row>
    <row r="872" spans="1:35" x14ac:dyDescent="0.25">
      <c r="A872" s="7">
        <v>3.539574419969081E-3</v>
      </c>
      <c r="B872"/>
      <c r="C872"/>
      <c r="D872"/>
      <c r="E872"/>
    </row>
    <row r="873" spans="1:35" x14ac:dyDescent="0.25">
      <c r="A873" s="7">
        <v>3.4701709999696872E-3</v>
      </c>
      <c r="B873"/>
      <c r="C873"/>
      <c r="D873"/>
      <c r="E873"/>
    </row>
    <row r="874" spans="1:35" x14ac:dyDescent="0.25">
      <c r="A874" s="7">
        <v>3.4021284313428307E-3</v>
      </c>
      <c r="B874"/>
      <c r="C874"/>
      <c r="D874"/>
      <c r="E874"/>
    </row>
    <row r="875" spans="1:35" x14ac:dyDescent="0.25">
      <c r="A875" s="7">
        <v>3.3354200307282654E-3</v>
      </c>
      <c r="B875"/>
      <c r="C875"/>
      <c r="D875"/>
      <c r="E875"/>
    </row>
    <row r="876" spans="1:35" x14ac:dyDescent="0.25">
      <c r="A876" s="7">
        <v>3.2700196379688881E-3</v>
      </c>
      <c r="B876"/>
      <c r="C876"/>
      <c r="D876"/>
      <c r="E876"/>
    </row>
    <row r="877" spans="1:35" x14ac:dyDescent="0.25">
      <c r="A877" s="7">
        <v>3.205901605851851E-3</v>
      </c>
      <c r="B877"/>
      <c r="C877"/>
      <c r="D877"/>
      <c r="E877"/>
    </row>
    <row r="878" spans="1:35" x14ac:dyDescent="0.25">
      <c r="A878" s="7">
        <v>3.1430407900508344E-3</v>
      </c>
      <c r="B878"/>
      <c r="C878"/>
      <c r="D878"/>
      <c r="E878"/>
    </row>
    <row r="879" spans="1:35" x14ac:dyDescent="0.25">
      <c r="A879" s="7">
        <v>3.0814125392655241E-3</v>
      </c>
      <c r="B879"/>
      <c r="C879"/>
      <c r="D879"/>
      <c r="E879"/>
    </row>
    <row r="880" spans="1:3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163" operator="equal">
      <formula>$U$1</formula>
    </cfRule>
    <cfRule type="cellIs" dxfId="89" priority="1164" operator="equal">
      <formula>$S$1</formula>
    </cfRule>
  </conditionalFormatting>
  <conditionalFormatting sqref="D27">
    <cfRule type="cellIs" dxfId="88" priority="1161" operator="equal">
      <formula>$S$1</formula>
    </cfRule>
    <cfRule type="cellIs" dxfId="87" priority="1162" operator="equal">
      <formula>$U$1</formula>
    </cfRule>
  </conditionalFormatting>
  <conditionalFormatting sqref="C164">
    <cfRule type="cellIs" dxfId="86" priority="1159" operator="equal">
      <formula>$U$1</formula>
    </cfRule>
    <cfRule type="cellIs" dxfId="85" priority="1160" operator="equal">
      <formula>$S$1</formula>
    </cfRule>
  </conditionalFormatting>
  <conditionalFormatting sqref="D164">
    <cfRule type="cellIs" dxfId="84" priority="1157" operator="equal">
      <formula>$S$1</formula>
    </cfRule>
    <cfRule type="cellIs" dxfId="83" priority="1158" operator="equal">
      <formula>$U$1</formula>
    </cfRule>
  </conditionalFormatting>
  <conditionalFormatting sqref="C55">
    <cfRule type="cellIs" dxfId="82" priority="1155" operator="equal">
      <formula>$U$1</formula>
    </cfRule>
    <cfRule type="cellIs" dxfId="81" priority="1156" operator="equal">
      <formula>$S$1</formula>
    </cfRule>
  </conditionalFormatting>
  <conditionalFormatting sqref="D55">
    <cfRule type="cellIs" dxfId="80" priority="1153" operator="equal">
      <formula>$S$1</formula>
    </cfRule>
    <cfRule type="cellIs" dxfId="79" priority="1154" operator="equal">
      <formula>$U$1</formula>
    </cfRule>
  </conditionalFormatting>
  <conditionalFormatting sqref="C89">
    <cfRule type="cellIs" dxfId="78" priority="1151" operator="equal">
      <formula>$U$1</formula>
    </cfRule>
    <cfRule type="cellIs" dxfId="77" priority="1152" operator="equal">
      <formula>$S$1</formula>
    </cfRule>
  </conditionalFormatting>
  <conditionalFormatting sqref="D89">
    <cfRule type="cellIs" dxfId="76" priority="1149" operator="equal">
      <formula>$S$1</formula>
    </cfRule>
    <cfRule type="cellIs" dxfId="75" priority="1150" operator="equal">
      <formula>$U$1</formula>
    </cfRule>
  </conditionalFormatting>
  <conditionalFormatting sqref="C136">
    <cfRule type="cellIs" dxfId="74" priority="1147" operator="equal">
      <formula>$U$1</formula>
    </cfRule>
    <cfRule type="cellIs" dxfId="73" priority="1148" operator="equal">
      <formula>$S$1</formula>
    </cfRule>
  </conditionalFormatting>
  <conditionalFormatting sqref="D136">
    <cfRule type="cellIs" dxfId="72" priority="1145" operator="equal">
      <formula>$S$1</formula>
    </cfRule>
    <cfRule type="cellIs" dxfId="71" priority="1146" operator="equal">
      <formula>$U$1</formula>
    </cfRule>
  </conditionalFormatting>
  <conditionalFormatting sqref="C1">
    <cfRule type="cellIs" dxfId="70" priority="114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FH277" sqref="FH277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$A$276</v>
      </c>
      <c r="D111" s="1" t="str">
        <f>ADDRESS(C121-1,D121,1,1)</f>
        <v>$FH$276</v>
      </c>
      <c r="E111"/>
    </row>
    <row r="112" spans="1:5" x14ac:dyDescent="0.25">
      <c r="A112" s="30">
        <v>515.50191262726139</v>
      </c>
      <c r="C112" s="1" t="str">
        <f>ADDRESS(C121,1,1,1)</f>
        <v>$A$277</v>
      </c>
      <c r="D112" s="1" t="str">
        <f>ADDRESS(C121,D121-1,1,1)</f>
        <v>$FG$277</v>
      </c>
      <c r="E112"/>
    </row>
    <row r="113" spans="1:5" x14ac:dyDescent="0.25">
      <c r="A113" s="30">
        <v>490.95420250215363</v>
      </c>
      <c r="C113" s="1" t="str">
        <f>ADDRESS(C121+1,1,1,1)</f>
        <v>$A$278</v>
      </c>
      <c r="D113" s="1" t="str">
        <f>ADDRESS(C121-1,D121+1,1,1)</f>
        <v>$FI$276</v>
      </c>
    </row>
    <row r="114" spans="1:5" x14ac:dyDescent="0.25">
      <c r="A114" s="30">
        <v>467.57543095443202</v>
      </c>
      <c r="C114" s="1" t="str">
        <f>ADDRESS(C121,D121,1,1)</f>
        <v>$FH$277</v>
      </c>
      <c r="D114" s="1" t="str">
        <f>ADDRESS(C121+1,D121+1,1,1)</f>
        <v>$FI$278</v>
      </c>
    </row>
    <row r="115" spans="1:5" x14ac:dyDescent="0.25">
      <c r="A115" s="30">
        <v>445.30993424231622</v>
      </c>
      <c r="C115" s="1" t="str">
        <f>ADDRESS(C121+1,D121,1,1)</f>
        <v>$FH$278</v>
      </c>
    </row>
    <row r="116" spans="1:5" x14ac:dyDescent="0.25">
      <c r="A116" s="30">
        <v>424.10469927839637</v>
      </c>
      <c r="C116" s="1">
        <f>C117-1</f>
        <v>276</v>
      </c>
    </row>
    <row r="117" spans="1:5" x14ac:dyDescent="0.25">
      <c r="A117" s="30">
        <v>403.9092374079965</v>
      </c>
      <c r="C117" s="1">
        <f>C121</f>
        <v>277</v>
      </c>
      <c r="D117" s="1">
        <f>D121</f>
        <v>164</v>
      </c>
    </row>
    <row r="118" spans="1:5" x14ac:dyDescent="0.25">
      <c r="A118" s="30">
        <v>384.6754641980919</v>
      </c>
      <c r="C118" s="1">
        <f>C117+1</f>
        <v>278</v>
      </c>
      <c r="D118" s="1">
        <f>D117+1</f>
        <v>165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277</v>
      </c>
      <c r="D121" s="19">
        <v>164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R277</v>
      </c>
      <c r="D123" s="1" t="str">
        <f>"C"&amp;D121</f>
        <v>C164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0.16443563297285677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155" x14ac:dyDescent="0.25">
      <c r="A241" s="30">
        <v>0.952380952380952</v>
      </c>
      <c r="B241"/>
      <c r="C241"/>
      <c r="D241"/>
      <c r="E241"/>
      <c r="F241" s="27" t="s">
        <v>7</v>
      </c>
    </row>
    <row r="242" spans="1:155" x14ac:dyDescent="0.25">
      <c r="A242" s="30">
        <v>0.90702947845804915</v>
      </c>
      <c r="B242"/>
      <c r="C242"/>
      <c r="D242"/>
      <c r="E242"/>
      <c r="F242" s="27" t="s">
        <v>7</v>
      </c>
      <c r="CE242" s="27" t="s">
        <v>8</v>
      </c>
    </row>
    <row r="243" spans="1:155" x14ac:dyDescent="0.25">
      <c r="A243" s="30">
        <v>0.86383759853147501</v>
      </c>
      <c r="B243"/>
      <c r="C243"/>
      <c r="D243"/>
      <c r="E243"/>
      <c r="F243" s="27" t="s">
        <v>7</v>
      </c>
      <c r="CE243" s="27" t="s">
        <v>8</v>
      </c>
      <c r="CF243" s="27" t="s">
        <v>7</v>
      </c>
    </row>
    <row r="244" spans="1:155" x14ac:dyDescent="0.25">
      <c r="A244" s="30">
        <v>0.82270247479188063</v>
      </c>
      <c r="B244"/>
      <c r="C244"/>
      <c r="D244"/>
      <c r="E244"/>
      <c r="F244" s="27" t="s">
        <v>7</v>
      </c>
      <c r="CE244" s="27" t="s">
        <v>8</v>
      </c>
      <c r="CF244" s="27" t="s">
        <v>7</v>
      </c>
      <c r="CS244" s="27" t="s">
        <v>8</v>
      </c>
    </row>
    <row r="245" spans="1:155" x14ac:dyDescent="0.25">
      <c r="A245" s="30">
        <v>0.78352616646845741</v>
      </c>
      <c r="B245"/>
      <c r="C245"/>
      <c r="D245"/>
      <c r="E245"/>
      <c r="F245" s="27" t="s">
        <v>7</v>
      </c>
      <c r="CE245" s="27" t="s">
        <v>8</v>
      </c>
      <c r="CF245" s="27" t="s">
        <v>7</v>
      </c>
      <c r="CS245" s="27" t="s">
        <v>8</v>
      </c>
      <c r="CT245" s="27" t="s">
        <v>7</v>
      </c>
    </row>
    <row r="246" spans="1:155" x14ac:dyDescent="0.25">
      <c r="A246" s="30">
        <v>0.74621539663662584</v>
      </c>
      <c r="B246"/>
      <c r="C246"/>
      <c r="D246"/>
      <c r="E246"/>
      <c r="F246" s="27" t="s">
        <v>7</v>
      </c>
      <c r="CE246" s="27" t="s">
        <v>8</v>
      </c>
      <c r="CF246" s="27" t="s">
        <v>7</v>
      </c>
      <c r="CG246" s="27" t="s">
        <v>8</v>
      </c>
      <c r="CS246" s="27" t="s">
        <v>8</v>
      </c>
      <c r="CT246" s="27" t="s">
        <v>7</v>
      </c>
    </row>
    <row r="247" spans="1:155" x14ac:dyDescent="0.25">
      <c r="A247" s="30">
        <v>0.71068133013011958</v>
      </c>
      <c r="B247"/>
      <c r="C247"/>
      <c r="D247"/>
      <c r="E247"/>
      <c r="F247" s="27" t="s">
        <v>7</v>
      </c>
      <c r="CE247" s="27" t="s">
        <v>8</v>
      </c>
      <c r="CF247" s="27" t="s">
        <v>7</v>
      </c>
      <c r="CG247" s="27" t="s">
        <v>8</v>
      </c>
      <c r="CH247" s="27" t="s">
        <v>7</v>
      </c>
      <c r="CI247" s="27" t="s">
        <v>8</v>
      </c>
      <c r="CS247" s="27" t="s">
        <v>8</v>
      </c>
      <c r="CT247" s="27" t="s">
        <v>7</v>
      </c>
    </row>
    <row r="248" spans="1:155" x14ac:dyDescent="0.25">
      <c r="A248" s="30">
        <v>0.676839362028685</v>
      </c>
      <c r="B248"/>
      <c r="C248"/>
      <c r="D248"/>
      <c r="E248"/>
      <c r="F248" s="27" t="s">
        <v>7</v>
      </c>
      <c r="CE248" s="27" t="s">
        <v>8</v>
      </c>
      <c r="CF248" s="27" t="s">
        <v>7</v>
      </c>
      <c r="CG248" s="27" t="s">
        <v>8</v>
      </c>
      <c r="CH248" s="27" t="s">
        <v>7</v>
      </c>
      <c r="CI248" s="27" t="s">
        <v>8</v>
      </c>
      <c r="CJ248" s="27" t="s">
        <v>7</v>
      </c>
      <c r="CS248" s="27" t="s">
        <v>8</v>
      </c>
      <c r="CT248" s="27" t="s">
        <v>7</v>
      </c>
    </row>
    <row r="249" spans="1:155" x14ac:dyDescent="0.25">
      <c r="A249" s="30">
        <v>0.64460891621779492</v>
      </c>
      <c r="B249"/>
      <c r="C249"/>
      <c r="D249"/>
      <c r="E249"/>
      <c r="F249" s="27" t="s">
        <v>7</v>
      </c>
      <c r="CE249" s="27" t="s">
        <v>8</v>
      </c>
      <c r="CF249" s="27" t="s">
        <v>7</v>
      </c>
      <c r="CG249" s="27" t="s">
        <v>8</v>
      </c>
      <c r="CH249" s="27" t="s">
        <v>7</v>
      </c>
      <c r="CI249" s="27" t="s">
        <v>8</v>
      </c>
      <c r="CJ249" s="27" t="s">
        <v>7</v>
      </c>
      <c r="CS249" s="27" t="s">
        <v>8</v>
      </c>
      <c r="CT249" s="27" t="s">
        <v>7</v>
      </c>
      <c r="EO249" s="27" t="s">
        <v>8</v>
      </c>
    </row>
    <row r="250" spans="1:155" x14ac:dyDescent="0.25">
      <c r="A250" s="30">
        <v>0.61391325354075688</v>
      </c>
      <c r="B250"/>
      <c r="C250"/>
      <c r="D250"/>
      <c r="E250"/>
      <c r="F250" s="27" t="s">
        <v>7</v>
      </c>
      <c r="CE250" s="27" t="s">
        <v>8</v>
      </c>
      <c r="CF250" s="27" t="s">
        <v>7</v>
      </c>
      <c r="CG250" s="27" t="s">
        <v>8</v>
      </c>
      <c r="CH250" s="27" t="s">
        <v>7</v>
      </c>
      <c r="CI250" s="27" t="s">
        <v>8</v>
      </c>
      <c r="CJ250" s="27" t="s">
        <v>7</v>
      </c>
      <c r="CS250" s="27" t="s">
        <v>8</v>
      </c>
      <c r="CT250" s="27" t="s">
        <v>7</v>
      </c>
      <c r="DA250" s="27" t="s">
        <v>8</v>
      </c>
      <c r="EO250" s="27" t="s">
        <v>8</v>
      </c>
      <c r="EP250" s="27" t="s">
        <v>7</v>
      </c>
    </row>
    <row r="251" spans="1:155" x14ac:dyDescent="0.25">
      <c r="A251" s="30">
        <v>0.58467928908643485</v>
      </c>
      <c r="B251"/>
      <c r="C251"/>
      <c r="D251"/>
      <c r="E251"/>
      <c r="F251" s="27" t="s">
        <v>7</v>
      </c>
      <c r="CE251" s="27" t="s">
        <v>8</v>
      </c>
      <c r="CF251" s="27" t="s">
        <v>7</v>
      </c>
      <c r="CH251" s="27" t="s">
        <v>7</v>
      </c>
      <c r="CI251" s="27" t="s">
        <v>8</v>
      </c>
      <c r="CJ251" s="27" t="s">
        <v>7</v>
      </c>
      <c r="CQ251" s="27" t="s">
        <v>8</v>
      </c>
      <c r="CS251" s="27" t="s">
        <v>8</v>
      </c>
      <c r="CT251" s="27" t="s">
        <v>7</v>
      </c>
      <c r="CU251" s="27" t="s">
        <v>8</v>
      </c>
      <c r="CW251" s="27" t="s">
        <v>8</v>
      </c>
      <c r="DA251" s="27" t="s">
        <v>8</v>
      </c>
      <c r="DB251" s="27" t="s">
        <v>7</v>
      </c>
      <c r="EO251" s="27" t="s">
        <v>8</v>
      </c>
      <c r="EP251" s="27" t="s">
        <v>7</v>
      </c>
      <c r="EU251" s="27" t="s">
        <v>8</v>
      </c>
    </row>
    <row r="252" spans="1:155" x14ac:dyDescent="0.25">
      <c r="A252" s="30">
        <v>0.55683741817755672</v>
      </c>
      <c r="B252"/>
      <c r="C252"/>
      <c r="D252"/>
      <c r="E252"/>
      <c r="F252" s="27" t="s">
        <v>7</v>
      </c>
      <c r="CE252" s="27" t="s">
        <v>8</v>
      </c>
      <c r="CH252" s="27" t="s">
        <v>7</v>
      </c>
      <c r="CI252" s="27" t="s">
        <v>8</v>
      </c>
      <c r="CJ252" s="27" t="s">
        <v>7</v>
      </c>
      <c r="CK252" s="27" t="s">
        <v>8</v>
      </c>
      <c r="CQ252" s="27" t="s">
        <v>8</v>
      </c>
      <c r="CR252" s="27" t="s">
        <v>7</v>
      </c>
      <c r="CS252" s="27" t="s">
        <v>8</v>
      </c>
      <c r="CT252" s="27" t="s">
        <v>7</v>
      </c>
      <c r="CU252" s="27" t="s">
        <v>8</v>
      </c>
      <c r="CV252" s="27" t="s">
        <v>7</v>
      </c>
      <c r="CW252" s="27" t="s">
        <v>8</v>
      </c>
      <c r="CX252" s="27" t="s">
        <v>7</v>
      </c>
      <c r="DA252" s="27" t="s">
        <v>8</v>
      </c>
      <c r="DB252" s="27" t="s">
        <v>7</v>
      </c>
      <c r="EO252" s="27" t="s">
        <v>8</v>
      </c>
      <c r="EP252" s="27" t="s">
        <v>7</v>
      </c>
      <c r="EU252" s="27" t="s">
        <v>8</v>
      </c>
      <c r="EV252" s="27" t="s">
        <v>7</v>
      </c>
    </row>
    <row r="253" spans="1:155" x14ac:dyDescent="0.25">
      <c r="A253" s="30">
        <v>0.53032135064529184</v>
      </c>
      <c r="B253"/>
      <c r="C253"/>
      <c r="D253"/>
      <c r="E253"/>
      <c r="F253" s="27" t="s">
        <v>7</v>
      </c>
      <c r="CE253" s="27" t="s">
        <v>8</v>
      </c>
      <c r="CH253" s="27" t="s">
        <v>7</v>
      </c>
      <c r="CI253" s="27" t="s">
        <v>8</v>
      </c>
      <c r="CJ253" s="27" t="s">
        <v>7</v>
      </c>
      <c r="CK253" s="27" t="s">
        <v>8</v>
      </c>
      <c r="CL253" s="27" t="s">
        <v>7</v>
      </c>
      <c r="CM253" s="27" t="s">
        <v>8</v>
      </c>
      <c r="CO253" s="27" t="s">
        <v>8</v>
      </c>
      <c r="CQ253" s="27" t="s">
        <v>8</v>
      </c>
      <c r="CR253" s="27" t="s">
        <v>7</v>
      </c>
      <c r="CS253" s="27" t="s">
        <v>8</v>
      </c>
      <c r="CT253" s="27" t="s">
        <v>7</v>
      </c>
      <c r="CU253" s="27" t="s">
        <v>8</v>
      </c>
      <c r="CV253" s="27" t="s">
        <v>7</v>
      </c>
      <c r="CW253" s="27" t="s">
        <v>8</v>
      </c>
      <c r="CX253" s="27" t="s">
        <v>7</v>
      </c>
      <c r="DA253" s="27" t="s">
        <v>8</v>
      </c>
      <c r="DB253" s="27" t="s">
        <v>7</v>
      </c>
      <c r="EO253" s="27" t="s">
        <v>8</v>
      </c>
      <c r="EP253" s="27" t="s">
        <v>7</v>
      </c>
      <c r="ES253" s="27" t="s">
        <v>8</v>
      </c>
      <c r="EU253" s="27" t="s">
        <v>8</v>
      </c>
      <c r="EV253" s="27" t="s">
        <v>7</v>
      </c>
    </row>
    <row r="254" spans="1:155" x14ac:dyDescent="0.25">
      <c r="A254" s="30">
        <v>0.50506795299551588</v>
      </c>
      <c r="B254"/>
      <c r="C254"/>
      <c r="D254"/>
      <c r="E254"/>
      <c r="F254" s="27" t="s">
        <v>7</v>
      </c>
      <c r="CE254" s="27" t="s">
        <v>8</v>
      </c>
      <c r="CH254" s="27" t="s">
        <v>7</v>
      </c>
      <c r="CI254" s="27" t="s">
        <v>8</v>
      </c>
      <c r="CJ254" s="27" t="s">
        <v>7</v>
      </c>
      <c r="CK254" s="27" t="s">
        <v>8</v>
      </c>
      <c r="CL254" s="27" t="s">
        <v>7</v>
      </c>
      <c r="CM254" s="27" t="s">
        <v>8</v>
      </c>
      <c r="CN254" s="27" t="s">
        <v>7</v>
      </c>
      <c r="CO254" s="27" t="s">
        <v>8</v>
      </c>
      <c r="CP254" s="27" t="s">
        <v>7</v>
      </c>
      <c r="CQ254" s="27" t="s">
        <v>8</v>
      </c>
      <c r="CR254" s="27" t="s">
        <v>7</v>
      </c>
      <c r="CS254" s="27" t="s">
        <v>8</v>
      </c>
      <c r="CT254" s="27" t="s">
        <v>7</v>
      </c>
      <c r="CU254" s="27" t="s">
        <v>8</v>
      </c>
      <c r="CV254" s="27" t="s">
        <v>7</v>
      </c>
      <c r="CW254" s="27" t="s">
        <v>8</v>
      </c>
      <c r="CX254" s="27" t="s">
        <v>7</v>
      </c>
      <c r="DA254" s="27" t="s">
        <v>8</v>
      </c>
      <c r="DB254" s="27" t="s">
        <v>7</v>
      </c>
      <c r="DE254" s="27" t="s">
        <v>8</v>
      </c>
      <c r="EO254" s="27" t="s">
        <v>8</v>
      </c>
      <c r="EP254" s="27" t="s">
        <v>7</v>
      </c>
      <c r="EQ254" s="27" t="s">
        <v>8</v>
      </c>
      <c r="ES254" s="27" t="s">
        <v>8</v>
      </c>
      <c r="ET254" s="27" t="s">
        <v>7</v>
      </c>
      <c r="EU254" s="27" t="s">
        <v>8</v>
      </c>
      <c r="EV254" s="27" t="s">
        <v>7</v>
      </c>
      <c r="EW254" s="27" t="s">
        <v>8</v>
      </c>
    </row>
    <row r="255" spans="1:155" x14ac:dyDescent="0.25">
      <c r="A255" s="30">
        <v>0.48101709809096732</v>
      </c>
      <c r="E255"/>
      <c r="F255" s="27" t="s">
        <v>7</v>
      </c>
      <c r="CE255" s="27" t="s">
        <v>8</v>
      </c>
      <c r="CH255" s="27" t="s">
        <v>7</v>
      </c>
      <c r="CJ255" s="27" t="s">
        <v>7</v>
      </c>
      <c r="CK255" s="27" t="s">
        <v>8</v>
      </c>
      <c r="CL255" s="27" t="s">
        <v>7</v>
      </c>
      <c r="CM255" s="27" t="s">
        <v>8</v>
      </c>
      <c r="CN255" s="27" t="s">
        <v>7</v>
      </c>
      <c r="CO255" s="27" t="s">
        <v>8</v>
      </c>
      <c r="CP255" s="27" t="s">
        <v>7</v>
      </c>
      <c r="CQ255" s="27" t="s">
        <v>8</v>
      </c>
      <c r="CR255" s="27" t="s">
        <v>7</v>
      </c>
      <c r="CT255" s="27" t="s">
        <v>7</v>
      </c>
      <c r="CU255" s="27" t="s">
        <v>8</v>
      </c>
      <c r="CV255" s="27" t="s">
        <v>7</v>
      </c>
      <c r="CW255" s="27" t="s">
        <v>8</v>
      </c>
      <c r="CX255" s="27" t="s">
        <v>7</v>
      </c>
      <c r="DA255" s="27" t="s">
        <v>8</v>
      </c>
      <c r="DB255" s="27" t="s">
        <v>7</v>
      </c>
      <c r="DC255" s="27" t="s">
        <v>8</v>
      </c>
      <c r="DE255" s="27" t="s">
        <v>8</v>
      </c>
      <c r="DF255" s="27" t="s">
        <v>7</v>
      </c>
      <c r="EO255" s="27" t="s">
        <v>8</v>
      </c>
      <c r="EP255" s="27" t="s">
        <v>7</v>
      </c>
      <c r="EQ255" s="27" t="s">
        <v>8</v>
      </c>
      <c r="ER255" s="27" t="s">
        <v>7</v>
      </c>
      <c r="ES255" s="27" t="s">
        <v>8</v>
      </c>
      <c r="ET255" s="27" t="s">
        <v>7</v>
      </c>
      <c r="EU255" s="27" t="s">
        <v>8</v>
      </c>
      <c r="EV255" s="27" t="s">
        <v>7</v>
      </c>
      <c r="EW255" s="27" t="s">
        <v>8</v>
      </c>
      <c r="EX255" s="27" t="s">
        <v>7</v>
      </c>
    </row>
    <row r="256" spans="1:155" x14ac:dyDescent="0.25">
      <c r="A256" s="30">
        <v>0.45811152199139726</v>
      </c>
      <c r="E256"/>
      <c r="F256" s="27" t="s">
        <v>7</v>
      </c>
      <c r="CE256" s="27" t="s">
        <v>8</v>
      </c>
      <c r="CJ256" s="27" t="s">
        <v>7</v>
      </c>
      <c r="CL256" s="27" t="s">
        <v>7</v>
      </c>
      <c r="CM256" s="27" t="s">
        <v>8</v>
      </c>
      <c r="CN256" s="27" t="s">
        <v>7</v>
      </c>
      <c r="CO256" s="27" t="s">
        <v>8</v>
      </c>
      <c r="CP256" s="27" t="s">
        <v>7</v>
      </c>
      <c r="CT256" s="27" t="s">
        <v>7</v>
      </c>
      <c r="CU256" s="27" t="s">
        <v>8</v>
      </c>
      <c r="CV256" s="27" t="s">
        <v>7</v>
      </c>
      <c r="CX256" s="27" t="s">
        <v>7</v>
      </c>
      <c r="DA256" s="27" t="s">
        <v>8</v>
      </c>
      <c r="DB256" s="27" t="s">
        <v>7</v>
      </c>
      <c r="DC256" s="27" t="s">
        <v>8</v>
      </c>
      <c r="DD256" s="27" t="s">
        <v>7</v>
      </c>
      <c r="DE256" s="27" t="s">
        <v>8</v>
      </c>
      <c r="DF256" s="27" t="s">
        <v>7</v>
      </c>
      <c r="EO256" s="27" t="s">
        <v>8</v>
      </c>
      <c r="EP256" s="27" t="s">
        <v>7</v>
      </c>
      <c r="EQ256" s="27" t="s">
        <v>8</v>
      </c>
      <c r="ER256" s="27" t="s">
        <v>7</v>
      </c>
      <c r="ES256" s="27" t="s">
        <v>8</v>
      </c>
      <c r="ET256" s="27" t="s">
        <v>7</v>
      </c>
      <c r="EU256" s="27" t="s">
        <v>8</v>
      </c>
      <c r="EV256" s="27" t="s">
        <v>7</v>
      </c>
      <c r="EW256" s="27" t="s">
        <v>8</v>
      </c>
      <c r="EX256" s="27" t="s">
        <v>7</v>
      </c>
      <c r="EY256" s="27" t="s">
        <v>8</v>
      </c>
    </row>
    <row r="257" spans="1:162" x14ac:dyDescent="0.25">
      <c r="A257" s="30">
        <v>0.43629668761085438</v>
      </c>
      <c r="B257"/>
      <c r="C257"/>
      <c r="D257"/>
      <c r="E257"/>
      <c r="F257" s="27" t="s">
        <v>7</v>
      </c>
      <c r="CE257" s="27" t="s">
        <v>8</v>
      </c>
      <c r="CL257" s="27" t="s">
        <v>7</v>
      </c>
      <c r="CN257" s="27" t="s">
        <v>7</v>
      </c>
      <c r="CO257" s="27" t="s">
        <v>8</v>
      </c>
      <c r="CT257" s="27" t="s">
        <v>7</v>
      </c>
      <c r="CX257" s="27" t="s">
        <v>7</v>
      </c>
      <c r="CY257" s="27" t="s">
        <v>8</v>
      </c>
      <c r="DA257" s="27" t="s">
        <v>8</v>
      </c>
      <c r="DB257" s="27" t="s">
        <v>7</v>
      </c>
      <c r="DC257" s="27" t="s">
        <v>8</v>
      </c>
      <c r="DD257" s="27" t="s">
        <v>7</v>
      </c>
      <c r="DE257" s="27" t="s">
        <v>8</v>
      </c>
      <c r="DF257" s="27" t="s">
        <v>7</v>
      </c>
      <c r="EC257" s="27" t="s">
        <v>8</v>
      </c>
      <c r="EO257" s="27" t="s">
        <v>8</v>
      </c>
      <c r="EP257" s="27" t="s">
        <v>7</v>
      </c>
      <c r="EQ257" s="27" t="s">
        <v>8</v>
      </c>
      <c r="ER257" s="27" t="s">
        <v>7</v>
      </c>
      <c r="ET257" s="27" t="s">
        <v>7</v>
      </c>
      <c r="EV257" s="27" t="s">
        <v>7</v>
      </c>
      <c r="EW257" s="27" t="s">
        <v>8</v>
      </c>
      <c r="EX257" s="27" t="s">
        <v>7</v>
      </c>
      <c r="EY257" s="27" t="s">
        <v>8</v>
      </c>
      <c r="EZ257" s="27" t="s">
        <v>7</v>
      </c>
    </row>
    <row r="258" spans="1:162" x14ac:dyDescent="0.25">
      <c r="A258" s="30">
        <v>0.41552065486748019</v>
      </c>
      <c r="B258"/>
      <c r="C258"/>
      <c r="D258"/>
      <c r="E258"/>
      <c r="F258" s="27" t="s">
        <v>7</v>
      </c>
      <c r="CE258" s="27" t="s">
        <v>8</v>
      </c>
      <c r="CN258" s="27" t="s">
        <v>7</v>
      </c>
      <c r="CO258" s="27" t="s">
        <v>8</v>
      </c>
      <c r="CX258" s="27" t="s">
        <v>7</v>
      </c>
      <c r="CY258" s="27" t="s">
        <v>8</v>
      </c>
      <c r="CZ258" s="27" t="s">
        <v>7</v>
      </c>
      <c r="DA258" s="27" t="s">
        <v>8</v>
      </c>
      <c r="DB258" s="27" t="s">
        <v>7</v>
      </c>
      <c r="DC258" s="27" t="s">
        <v>8</v>
      </c>
      <c r="DD258" s="27" t="s">
        <v>7</v>
      </c>
      <c r="DE258" s="27" t="s">
        <v>8</v>
      </c>
      <c r="DF258" s="27" t="s">
        <v>7</v>
      </c>
      <c r="EC258" s="27" t="s">
        <v>8</v>
      </c>
      <c r="ED258" s="27" t="s">
        <v>7</v>
      </c>
      <c r="EO258" s="27" t="s">
        <v>8</v>
      </c>
      <c r="EP258" s="27" t="s">
        <v>7</v>
      </c>
      <c r="EQ258" s="27" t="s">
        <v>8</v>
      </c>
      <c r="EV258" s="27" t="s">
        <v>7</v>
      </c>
      <c r="EX258" s="27" t="s">
        <v>7</v>
      </c>
      <c r="EY258" s="27" t="s">
        <v>8</v>
      </c>
      <c r="EZ258" s="27" t="s">
        <v>7</v>
      </c>
    </row>
    <row r="259" spans="1:162" x14ac:dyDescent="0.25">
      <c r="A259" s="30">
        <v>0.39573395701664765</v>
      </c>
      <c r="B259"/>
      <c r="C259"/>
      <c r="D259"/>
      <c r="E259"/>
      <c r="F259" s="27" t="s">
        <v>7</v>
      </c>
      <c r="CE259" s="27" t="s">
        <v>8</v>
      </c>
      <c r="CN259" s="27" t="s">
        <v>7</v>
      </c>
      <c r="CO259" s="27" t="s">
        <v>8</v>
      </c>
      <c r="CX259" s="27" t="s">
        <v>7</v>
      </c>
      <c r="CY259" s="27" t="s">
        <v>8</v>
      </c>
      <c r="CZ259" s="27" t="s">
        <v>7</v>
      </c>
      <c r="DA259" s="27" t="s">
        <v>8</v>
      </c>
      <c r="DB259" s="27" t="s">
        <v>7</v>
      </c>
      <c r="DD259" s="27" t="s">
        <v>7</v>
      </c>
      <c r="DE259" s="27" t="s">
        <v>8</v>
      </c>
      <c r="DF259" s="27" t="s">
        <v>7</v>
      </c>
      <c r="EC259" s="27" t="s">
        <v>8</v>
      </c>
      <c r="ED259" s="27" t="s">
        <v>7</v>
      </c>
      <c r="EO259" s="27" t="s">
        <v>8</v>
      </c>
      <c r="EP259" s="27" t="s">
        <v>7</v>
      </c>
      <c r="EX259" s="27" t="s">
        <v>7</v>
      </c>
      <c r="EZ259" s="27" t="s">
        <v>7</v>
      </c>
    </row>
    <row r="260" spans="1:162" x14ac:dyDescent="0.25">
      <c r="A260" s="30">
        <v>0.37688948287299762</v>
      </c>
      <c r="B260"/>
      <c r="C260"/>
      <c r="D260"/>
      <c r="E260"/>
      <c r="F260" s="27" t="s">
        <v>7</v>
      </c>
      <c r="CE260" s="27" t="s">
        <v>8</v>
      </c>
      <c r="CN260" s="27" t="s">
        <v>7</v>
      </c>
      <c r="CX260" s="27" t="s">
        <v>7</v>
      </c>
      <c r="CY260" s="27" t="s">
        <v>8</v>
      </c>
      <c r="CZ260" s="27" t="s">
        <v>7</v>
      </c>
      <c r="DA260" s="27" t="s">
        <v>8</v>
      </c>
      <c r="DD260" s="27" t="s">
        <v>7</v>
      </c>
      <c r="DF260" s="27" t="s">
        <v>7</v>
      </c>
      <c r="EA260" s="27" t="s">
        <v>8</v>
      </c>
      <c r="EC260" s="27" t="s">
        <v>8</v>
      </c>
      <c r="ED260" s="27" t="s">
        <v>7</v>
      </c>
      <c r="EK260" s="27" t="s">
        <v>8</v>
      </c>
      <c r="EO260" s="27" t="s">
        <v>8</v>
      </c>
      <c r="EZ260" s="27" t="s">
        <v>7</v>
      </c>
    </row>
    <row r="261" spans="1:162" x14ac:dyDescent="0.25">
      <c r="A261" s="30">
        <v>0.35894236464094997</v>
      </c>
      <c r="B261"/>
      <c r="C261"/>
      <c r="D261"/>
      <c r="E261"/>
      <c r="F261" s="27" t="s">
        <v>7</v>
      </c>
      <c r="CE261" s="27" t="s">
        <v>8</v>
      </c>
      <c r="CX261" s="27" t="s">
        <v>7</v>
      </c>
      <c r="CY261" s="27" t="s">
        <v>8</v>
      </c>
      <c r="CZ261" s="27" t="s">
        <v>7</v>
      </c>
      <c r="DF261" s="27" t="s">
        <v>7</v>
      </c>
      <c r="DQ261" s="27" t="s">
        <v>8</v>
      </c>
      <c r="EA261" s="27" t="s">
        <v>8</v>
      </c>
      <c r="EB261" s="27" t="s">
        <v>7</v>
      </c>
      <c r="EC261" s="27" t="s">
        <v>8</v>
      </c>
      <c r="ED261" s="27" t="s">
        <v>7</v>
      </c>
      <c r="EE261" s="27" t="s">
        <v>8</v>
      </c>
      <c r="EK261" s="27" t="s">
        <v>8</v>
      </c>
      <c r="EL261" s="27" t="s">
        <v>7</v>
      </c>
      <c r="EM261" s="27" t="s">
        <v>8</v>
      </c>
      <c r="EO261" s="27" t="s">
        <v>8</v>
      </c>
      <c r="EZ261" s="27" t="s">
        <v>7</v>
      </c>
    </row>
    <row r="262" spans="1:162" x14ac:dyDescent="0.25">
      <c r="A262" s="30">
        <v>0.34184987108661891</v>
      </c>
      <c r="B262"/>
      <c r="C262"/>
      <c r="D262"/>
      <c r="E262"/>
      <c r="F262" s="27" t="s">
        <v>7</v>
      </c>
      <c r="CE262" s="27" t="s">
        <v>8</v>
      </c>
      <c r="CX262" s="27" t="s">
        <v>7</v>
      </c>
      <c r="CY262" s="27" t="s">
        <v>8</v>
      </c>
      <c r="DF262" s="27" t="s">
        <v>7</v>
      </c>
      <c r="DG262" s="27" t="s">
        <v>8</v>
      </c>
      <c r="DO262" s="27" t="s">
        <v>8</v>
      </c>
      <c r="DQ262" s="27" t="s">
        <v>8</v>
      </c>
      <c r="DR262" s="27" t="s">
        <v>7</v>
      </c>
      <c r="EA262" s="27" t="s">
        <v>8</v>
      </c>
      <c r="EB262" s="27" t="s">
        <v>7</v>
      </c>
      <c r="EC262" s="27" t="s">
        <v>8</v>
      </c>
      <c r="ED262" s="27" t="s">
        <v>7</v>
      </c>
      <c r="EE262" s="27" t="s">
        <v>8</v>
      </c>
      <c r="EF262" s="27" t="s">
        <v>7</v>
      </c>
      <c r="EG262" s="27" t="s">
        <v>8</v>
      </c>
      <c r="EK262" s="27" t="s">
        <v>8</v>
      </c>
      <c r="EL262" s="27" t="s">
        <v>7</v>
      </c>
      <c r="EM262" s="27" t="s">
        <v>8</v>
      </c>
      <c r="EN262" s="27" t="s">
        <v>7</v>
      </c>
      <c r="EO262" s="27" t="s">
        <v>8</v>
      </c>
      <c r="EZ262" s="27" t="s">
        <v>7</v>
      </c>
      <c r="FA262" s="27" t="s">
        <v>8</v>
      </c>
      <c r="FE262" s="27" t="s">
        <v>8</v>
      </c>
    </row>
    <row r="263" spans="1:162" x14ac:dyDescent="0.25">
      <c r="A263" s="30">
        <v>0.32557130579677979</v>
      </c>
      <c r="B263"/>
      <c r="C263"/>
      <c r="D263"/>
      <c r="E263"/>
      <c r="F263" s="27" t="s">
        <v>7</v>
      </c>
      <c r="CE263" s="27" t="s">
        <v>8</v>
      </c>
      <c r="CX263" s="27" t="s">
        <v>7</v>
      </c>
      <c r="DF263" s="27" t="s">
        <v>7</v>
      </c>
      <c r="DG263" s="27" t="s">
        <v>8</v>
      </c>
      <c r="DH263" s="27" t="s">
        <v>7</v>
      </c>
      <c r="DK263" s="27" t="s">
        <v>8</v>
      </c>
      <c r="DO263" s="27" t="s">
        <v>8</v>
      </c>
      <c r="DP263" s="27" t="s">
        <v>7</v>
      </c>
      <c r="DQ263" s="27" t="s">
        <v>8</v>
      </c>
      <c r="DR263" s="27" t="s">
        <v>7</v>
      </c>
      <c r="EA263" s="27" t="s">
        <v>8</v>
      </c>
      <c r="EB263" s="27" t="s">
        <v>7</v>
      </c>
      <c r="ED263" s="27" t="s">
        <v>7</v>
      </c>
      <c r="EE263" s="27" t="s">
        <v>8</v>
      </c>
      <c r="EF263" s="27" t="s">
        <v>7</v>
      </c>
      <c r="EG263" s="27" t="s">
        <v>8</v>
      </c>
      <c r="EH263" s="27" t="s">
        <v>7</v>
      </c>
      <c r="EK263" s="27" t="s">
        <v>8</v>
      </c>
      <c r="EL263" s="27" t="s">
        <v>7</v>
      </c>
      <c r="EM263" s="27" t="s">
        <v>8</v>
      </c>
      <c r="EN263" s="27" t="s">
        <v>7</v>
      </c>
      <c r="EO263" s="27" t="s">
        <v>8</v>
      </c>
      <c r="EZ263" s="27" t="s">
        <v>7</v>
      </c>
      <c r="FA263" s="27" t="s">
        <v>8</v>
      </c>
      <c r="FB263" s="27" t="s">
        <v>7</v>
      </c>
      <c r="FC263" s="27" t="s">
        <v>8</v>
      </c>
      <c r="FE263" s="27" t="s">
        <v>8</v>
      </c>
      <c r="FF263" s="27" t="s">
        <v>7</v>
      </c>
    </row>
    <row r="264" spans="1:162" x14ac:dyDescent="0.25">
      <c r="A264" s="30">
        <v>0.3100679102826473</v>
      </c>
      <c r="B264"/>
      <c r="C264"/>
      <c r="D264"/>
      <c r="E264"/>
      <c r="F264" s="27" t="s">
        <v>7</v>
      </c>
      <c r="CC264" s="27" t="s">
        <v>8</v>
      </c>
      <c r="CE264" s="27" t="s">
        <v>8</v>
      </c>
      <c r="DF264" s="27" t="s">
        <v>7</v>
      </c>
      <c r="DG264" s="27" t="s">
        <v>8</v>
      </c>
      <c r="DH264" s="27" t="s">
        <v>7</v>
      </c>
      <c r="DK264" s="27" t="s">
        <v>8</v>
      </c>
      <c r="DL264" s="27" t="s">
        <v>7</v>
      </c>
      <c r="DO264" s="27" t="s">
        <v>8</v>
      </c>
      <c r="DP264" s="27" t="s">
        <v>7</v>
      </c>
      <c r="DQ264" s="27" t="s">
        <v>8</v>
      </c>
      <c r="DR264" s="27" t="s">
        <v>7</v>
      </c>
      <c r="EA264" s="27" t="s">
        <v>8</v>
      </c>
      <c r="ED264" s="27" t="s">
        <v>7</v>
      </c>
      <c r="EE264" s="27" t="s">
        <v>8</v>
      </c>
      <c r="EF264" s="27" t="s">
        <v>7</v>
      </c>
      <c r="EG264" s="27" t="s">
        <v>8</v>
      </c>
      <c r="EH264" s="27" t="s">
        <v>7</v>
      </c>
      <c r="EK264" s="27" t="s">
        <v>8</v>
      </c>
      <c r="EL264" s="27" t="s">
        <v>7</v>
      </c>
      <c r="EM264" s="27" t="s">
        <v>8</v>
      </c>
      <c r="EN264" s="27" t="s">
        <v>7</v>
      </c>
      <c r="EO264" s="27" t="s">
        <v>8</v>
      </c>
      <c r="EZ264" s="27" t="s">
        <v>7</v>
      </c>
      <c r="FA264" s="27" t="s">
        <v>8</v>
      </c>
      <c r="FB264" s="27" t="s">
        <v>7</v>
      </c>
      <c r="FC264" s="27" t="s">
        <v>8</v>
      </c>
      <c r="FD264" s="27" t="s">
        <v>7</v>
      </c>
      <c r="FE264" s="27" t="s">
        <v>8</v>
      </c>
      <c r="FF264" s="27" t="s">
        <v>7</v>
      </c>
    </row>
    <row r="265" spans="1:162" x14ac:dyDescent="0.25">
      <c r="A265" s="30">
        <v>0.2953027716977592</v>
      </c>
      <c r="B265"/>
      <c r="C265"/>
      <c r="D265"/>
      <c r="E265"/>
      <c r="F265" s="27" t="s">
        <v>7</v>
      </c>
      <c r="CC265" s="27" t="s">
        <v>8</v>
      </c>
      <c r="CD265" s="27" t="s">
        <v>7</v>
      </c>
      <c r="CE265" s="27" t="s">
        <v>8</v>
      </c>
      <c r="DF265" s="27" t="s">
        <v>7</v>
      </c>
      <c r="DG265" s="27" t="s">
        <v>8</v>
      </c>
      <c r="DH265" s="27" t="s">
        <v>7</v>
      </c>
      <c r="DK265" s="27" t="s">
        <v>8</v>
      </c>
      <c r="DL265" s="27" t="s">
        <v>7</v>
      </c>
      <c r="DM265" s="27" t="s">
        <v>8</v>
      </c>
      <c r="DO265" s="27" t="s">
        <v>8</v>
      </c>
      <c r="DP265" s="27" t="s">
        <v>7</v>
      </c>
      <c r="DQ265" s="27" t="s">
        <v>8</v>
      </c>
      <c r="DR265" s="27" t="s">
        <v>7</v>
      </c>
      <c r="EA265" s="27" t="s">
        <v>8</v>
      </c>
      <c r="ED265" s="27" t="s">
        <v>7</v>
      </c>
      <c r="EE265" s="27" t="s">
        <v>8</v>
      </c>
      <c r="EF265" s="27" t="s">
        <v>7</v>
      </c>
      <c r="EH265" s="27" t="s">
        <v>7</v>
      </c>
      <c r="EI265" s="27" t="s">
        <v>8</v>
      </c>
      <c r="EK265" s="27" t="s">
        <v>8</v>
      </c>
      <c r="EL265" s="27" t="s">
        <v>7</v>
      </c>
      <c r="EN265" s="27" t="s">
        <v>7</v>
      </c>
      <c r="EO265" s="27" t="s">
        <v>8</v>
      </c>
      <c r="EZ265" s="27" t="s">
        <v>7</v>
      </c>
      <c r="FA265" s="27" t="s">
        <v>8</v>
      </c>
      <c r="FB265" s="27" t="s">
        <v>7</v>
      </c>
      <c r="FC265" s="27" t="s">
        <v>8</v>
      </c>
      <c r="FD265" s="27" t="s">
        <v>7</v>
      </c>
      <c r="FE265" s="27" t="s">
        <v>8</v>
      </c>
      <c r="FF265" s="27" t="s">
        <v>7</v>
      </c>
    </row>
    <row r="266" spans="1:162" x14ac:dyDescent="0.25">
      <c r="A266" s="30">
        <v>0.28124073495024676</v>
      </c>
      <c r="B266"/>
      <c r="C266"/>
      <c r="D266"/>
      <c r="E266"/>
      <c r="F266" s="27" t="s">
        <v>7</v>
      </c>
      <c r="CC266" s="27" t="s">
        <v>8</v>
      </c>
      <c r="CD266" s="27" t="s">
        <v>7</v>
      </c>
      <c r="CE266" s="27" t="s">
        <v>8</v>
      </c>
      <c r="DF266" s="27" t="s">
        <v>7</v>
      </c>
      <c r="DG266" s="27" t="s">
        <v>8</v>
      </c>
      <c r="DH266" s="27" t="s">
        <v>7</v>
      </c>
      <c r="DI266" s="27" t="s">
        <v>8</v>
      </c>
      <c r="DK266" s="27" t="s">
        <v>8</v>
      </c>
      <c r="DL266" s="27" t="s">
        <v>7</v>
      </c>
      <c r="DM266" s="27" t="s">
        <v>8</v>
      </c>
      <c r="DN266" s="27" t="s">
        <v>7</v>
      </c>
      <c r="DO266" s="27" t="s">
        <v>8</v>
      </c>
      <c r="DP266" s="27" t="s">
        <v>7</v>
      </c>
      <c r="DQ266" s="27" t="s">
        <v>8</v>
      </c>
      <c r="DR266" s="27" t="s">
        <v>7</v>
      </c>
      <c r="DU266" s="27" t="s">
        <v>8</v>
      </c>
      <c r="EA266" s="27" t="s">
        <v>8</v>
      </c>
      <c r="ED266" s="27" t="s">
        <v>7</v>
      </c>
      <c r="EH266" s="27" t="s">
        <v>7</v>
      </c>
      <c r="EI266" s="27" t="s">
        <v>8</v>
      </c>
      <c r="EJ266" s="27" t="s">
        <v>7</v>
      </c>
      <c r="EK266" s="27" t="s">
        <v>8</v>
      </c>
      <c r="EN266" s="27" t="s">
        <v>7</v>
      </c>
      <c r="EZ266" s="27" t="s">
        <v>7</v>
      </c>
      <c r="FA266" s="27" t="s">
        <v>8</v>
      </c>
      <c r="FB266" s="27" t="s">
        <v>7</v>
      </c>
      <c r="FD266" s="27" t="s">
        <v>7</v>
      </c>
      <c r="FE266" s="27" t="s">
        <v>8</v>
      </c>
      <c r="FF266" s="27" t="s">
        <v>7</v>
      </c>
    </row>
    <row r="267" spans="1:162" x14ac:dyDescent="0.25">
      <c r="A267" s="30">
        <v>0.26784831900023492</v>
      </c>
      <c r="B267"/>
      <c r="C267"/>
      <c r="D267"/>
      <c r="E267"/>
      <c r="F267" s="27" t="s">
        <v>7</v>
      </c>
      <c r="CC267" s="27" t="s">
        <v>8</v>
      </c>
      <c r="CD267" s="27" t="s">
        <v>7</v>
      </c>
      <c r="CE267" s="27" t="s">
        <v>8</v>
      </c>
      <c r="DF267" s="27" t="s">
        <v>7</v>
      </c>
      <c r="DG267" s="27" t="s">
        <v>8</v>
      </c>
      <c r="DH267" s="27" t="s">
        <v>7</v>
      </c>
      <c r="DI267" s="27" t="s">
        <v>8</v>
      </c>
      <c r="DJ267" s="27" t="s">
        <v>7</v>
      </c>
      <c r="DK267" s="27" t="s">
        <v>8</v>
      </c>
      <c r="DL267" s="27" t="s">
        <v>7</v>
      </c>
      <c r="DM267" s="27" t="s">
        <v>8</v>
      </c>
      <c r="DN267" s="27" t="s">
        <v>7</v>
      </c>
      <c r="DO267" s="27" t="s">
        <v>8</v>
      </c>
      <c r="DP267" s="27" t="s">
        <v>7</v>
      </c>
      <c r="DR267" s="27" t="s">
        <v>7</v>
      </c>
      <c r="DU267" s="27" t="s">
        <v>8</v>
      </c>
      <c r="DV267" s="27" t="s">
        <v>7</v>
      </c>
      <c r="DW267" s="27" t="s">
        <v>8</v>
      </c>
      <c r="DY267" s="27" t="s">
        <v>8</v>
      </c>
      <c r="EA267" s="27" t="s">
        <v>8</v>
      </c>
      <c r="EH267" s="27" t="s">
        <v>7</v>
      </c>
      <c r="EI267" s="27" t="s">
        <v>8</v>
      </c>
      <c r="EJ267" s="27" t="s">
        <v>7</v>
      </c>
      <c r="EK267" s="27" t="s">
        <v>8</v>
      </c>
      <c r="EZ267" s="27" t="s">
        <v>7</v>
      </c>
      <c r="FA267" s="27" t="s">
        <v>8</v>
      </c>
      <c r="FD267" s="27" t="s">
        <v>7</v>
      </c>
      <c r="FE267" s="27" t="s">
        <v>8</v>
      </c>
      <c r="FF267" s="27" t="s">
        <v>7</v>
      </c>
    </row>
    <row r="268" spans="1:162" x14ac:dyDescent="0.25">
      <c r="A268" s="30">
        <v>0.25509363714308075</v>
      </c>
      <c r="B268"/>
      <c r="C268"/>
      <c r="D268"/>
      <c r="E268"/>
      <c r="F268" s="27" t="s">
        <v>7</v>
      </c>
      <c r="CC268" s="27" t="s">
        <v>8</v>
      </c>
      <c r="CD268" s="27" t="s">
        <v>7</v>
      </c>
      <c r="CE268" s="27" t="s">
        <v>8</v>
      </c>
      <c r="DF268" s="27" t="s">
        <v>7</v>
      </c>
      <c r="DG268" s="27" t="s">
        <v>8</v>
      </c>
      <c r="DH268" s="27" t="s">
        <v>7</v>
      </c>
      <c r="DI268" s="27" t="s">
        <v>8</v>
      </c>
      <c r="DJ268" s="27" t="s">
        <v>7</v>
      </c>
      <c r="DK268" s="27" t="s">
        <v>8</v>
      </c>
      <c r="DL268" s="27" t="s">
        <v>7</v>
      </c>
      <c r="DN268" s="27" t="s">
        <v>7</v>
      </c>
      <c r="DO268" s="27" t="s">
        <v>8</v>
      </c>
      <c r="DR268" s="27" t="s">
        <v>7</v>
      </c>
      <c r="DS268" s="27" t="s">
        <v>8</v>
      </c>
      <c r="DU268" s="27" t="s">
        <v>8</v>
      </c>
      <c r="DV268" s="27" t="s">
        <v>7</v>
      </c>
      <c r="DW268" s="27" t="s">
        <v>8</v>
      </c>
      <c r="DX268" s="27" t="s">
        <v>7</v>
      </c>
      <c r="DY268" s="27" t="s">
        <v>8</v>
      </c>
      <c r="DZ268" s="27" t="s">
        <v>7</v>
      </c>
      <c r="EA268" s="27" t="s">
        <v>8</v>
      </c>
      <c r="EH268" s="27" t="s">
        <v>7</v>
      </c>
      <c r="EI268" s="27" t="s">
        <v>8</v>
      </c>
      <c r="EJ268" s="27" t="s">
        <v>7</v>
      </c>
      <c r="EZ268" s="27" t="s">
        <v>7</v>
      </c>
      <c r="FA268" s="27" t="s">
        <v>8</v>
      </c>
      <c r="FD268" s="27" t="s">
        <v>7</v>
      </c>
      <c r="FF268" s="27" t="s">
        <v>7</v>
      </c>
    </row>
    <row r="269" spans="1:162" x14ac:dyDescent="0.25">
      <c r="A269" s="30">
        <v>0.24294632108864825</v>
      </c>
      <c r="B269"/>
      <c r="C269"/>
      <c r="D269"/>
      <c r="E269"/>
      <c r="F269" s="27" t="s">
        <v>7</v>
      </c>
      <c r="CC269" s="27" t="s">
        <v>8</v>
      </c>
      <c r="CD269" s="27" t="s">
        <v>7</v>
      </c>
      <c r="DF269" s="27" t="s">
        <v>7</v>
      </c>
      <c r="DG269" s="27" t="s">
        <v>8</v>
      </c>
      <c r="DH269" s="27" t="s">
        <v>7</v>
      </c>
      <c r="DJ269" s="27" t="s">
        <v>7</v>
      </c>
      <c r="DK269" s="27" t="s">
        <v>8</v>
      </c>
      <c r="DN269" s="27" t="s">
        <v>7</v>
      </c>
      <c r="DO269" s="27" t="s">
        <v>8</v>
      </c>
      <c r="DR269" s="27" t="s">
        <v>7</v>
      </c>
      <c r="DS269" s="27" t="s">
        <v>8</v>
      </c>
      <c r="DT269" s="27" t="s">
        <v>7</v>
      </c>
      <c r="DU269" s="27" t="s">
        <v>8</v>
      </c>
      <c r="DV269" s="27" t="s">
        <v>7</v>
      </c>
      <c r="DW269" s="27" t="s">
        <v>8</v>
      </c>
      <c r="DX269" s="27" t="s">
        <v>7</v>
      </c>
      <c r="DY269" s="27" t="s">
        <v>8</v>
      </c>
      <c r="DZ269" s="27" t="s">
        <v>7</v>
      </c>
      <c r="EA269" s="27" t="s">
        <v>8</v>
      </c>
      <c r="EH269" s="27" t="s">
        <v>7</v>
      </c>
      <c r="EZ269" s="27" t="s">
        <v>7</v>
      </c>
      <c r="FF269" s="27" t="s">
        <v>7</v>
      </c>
    </row>
    <row r="270" spans="1:162" x14ac:dyDescent="0.25">
      <c r="A270" s="30">
        <v>0.23137744865585538</v>
      </c>
      <c r="B270"/>
      <c r="C270"/>
      <c r="D270"/>
      <c r="E270"/>
      <c r="F270" s="27" t="s">
        <v>7</v>
      </c>
      <c r="CC270" s="27" t="s">
        <v>8</v>
      </c>
      <c r="DF270" s="27" t="s">
        <v>7</v>
      </c>
      <c r="DG270" s="27" t="s">
        <v>8</v>
      </c>
      <c r="DJ270" s="27" t="s">
        <v>7</v>
      </c>
      <c r="DK270" s="27" t="s">
        <v>8</v>
      </c>
      <c r="DN270" s="27" t="s">
        <v>7</v>
      </c>
      <c r="DO270" s="27" t="s">
        <v>8</v>
      </c>
      <c r="DR270" s="27" t="s">
        <v>7</v>
      </c>
      <c r="DS270" s="27" t="s">
        <v>8</v>
      </c>
      <c r="DT270" s="27" t="s">
        <v>7</v>
      </c>
      <c r="DU270" s="27" t="s">
        <v>8</v>
      </c>
      <c r="DV270" s="27" t="s">
        <v>7</v>
      </c>
      <c r="DX270" s="27" t="s">
        <v>7</v>
      </c>
      <c r="DZ270" s="18" t="s">
        <v>7</v>
      </c>
      <c r="EA270" s="27" t="s">
        <v>8</v>
      </c>
      <c r="FF270" s="27" t="s">
        <v>7</v>
      </c>
    </row>
    <row r="271" spans="1:162" x14ac:dyDescent="0.25">
      <c r="A271" s="30">
        <v>0.22035947491033836</v>
      </c>
      <c r="B271"/>
      <c r="C271"/>
      <c r="D271"/>
      <c r="E271"/>
      <c r="F271" s="27" t="s">
        <v>7</v>
      </c>
      <c r="CC271" s="27" t="s">
        <v>8</v>
      </c>
      <c r="DF271" s="27" t="s">
        <v>7</v>
      </c>
      <c r="DG271" s="27" t="s">
        <v>8</v>
      </c>
      <c r="DJ271" s="27" t="s">
        <v>7</v>
      </c>
      <c r="DK271" s="27" t="s">
        <v>8</v>
      </c>
      <c r="DN271" s="27" t="s">
        <v>7</v>
      </c>
      <c r="DO271" s="27" t="s">
        <v>8</v>
      </c>
      <c r="DR271" s="27" t="s">
        <v>7</v>
      </c>
      <c r="DS271" s="27" t="s">
        <v>8</v>
      </c>
      <c r="DT271" s="27" t="s">
        <v>7</v>
      </c>
      <c r="DZ271" s="27" t="s">
        <v>7</v>
      </c>
      <c r="EA271" s="27" t="s">
        <v>8</v>
      </c>
      <c r="FF271" s="27" t="s">
        <v>7</v>
      </c>
    </row>
    <row r="272" spans="1:162" x14ac:dyDescent="0.25">
      <c r="A272" s="30">
        <v>0.20986616658127455</v>
      </c>
      <c r="B272"/>
      <c r="C272"/>
      <c r="D272"/>
      <c r="E272"/>
      <c r="F272" s="27" t="s">
        <v>7</v>
      </c>
      <c r="CC272" s="27" t="s">
        <v>8</v>
      </c>
      <c r="DF272" s="27" t="s">
        <v>7</v>
      </c>
      <c r="DG272" s="27" t="s">
        <v>8</v>
      </c>
      <c r="DJ272" s="27" t="s">
        <v>7</v>
      </c>
      <c r="DK272" s="27" t="s">
        <v>8</v>
      </c>
      <c r="DN272" s="27" t="s">
        <v>7</v>
      </c>
      <c r="DR272" s="27" t="s">
        <v>7</v>
      </c>
      <c r="DS272" s="27" t="s">
        <v>8</v>
      </c>
      <c r="DZ272" s="27" t="s">
        <v>7</v>
      </c>
      <c r="EA272" s="27" t="s">
        <v>8</v>
      </c>
      <c r="FF272" s="27" t="s">
        <v>7</v>
      </c>
    </row>
    <row r="273" spans="1:164" x14ac:dyDescent="0.25">
      <c r="A273" s="30">
        <v>0.19987253960121379</v>
      </c>
      <c r="B273"/>
      <c r="C273"/>
      <c r="D273"/>
      <c r="E273"/>
      <c r="F273" s="27" t="s">
        <v>7</v>
      </c>
      <c r="CC273" s="27" t="s">
        <v>8</v>
      </c>
      <c r="DF273" s="27" t="s">
        <v>7</v>
      </c>
      <c r="DG273" s="27" t="s">
        <v>8</v>
      </c>
      <c r="DJ273" s="27" t="s">
        <v>7</v>
      </c>
      <c r="DK273" s="27" t="s">
        <v>8</v>
      </c>
      <c r="DR273" s="27" t="s">
        <v>7</v>
      </c>
      <c r="DS273" s="27" t="s">
        <v>8</v>
      </c>
      <c r="DZ273" s="27" t="s">
        <v>7</v>
      </c>
      <c r="FF273" s="27" t="s">
        <v>7</v>
      </c>
    </row>
    <row r="274" spans="1:164" x14ac:dyDescent="0.25">
      <c r="A274" s="30">
        <v>0.19035479962020352</v>
      </c>
      <c r="B274"/>
      <c r="C274"/>
      <c r="D274"/>
      <c r="E274"/>
      <c r="F274" s="27" t="s">
        <v>7</v>
      </c>
      <c r="CC274" s="27" t="s">
        <v>8</v>
      </c>
      <c r="DF274" s="27" t="s">
        <v>7</v>
      </c>
      <c r="DJ274" s="27" t="s">
        <v>7</v>
      </c>
      <c r="DK274" s="27" t="s">
        <v>8</v>
      </c>
      <c r="DR274" s="27" t="s">
        <v>7</v>
      </c>
      <c r="DS274" s="27" t="s">
        <v>8</v>
      </c>
      <c r="FF274" s="27" t="s">
        <v>7</v>
      </c>
      <c r="FG274" s="27" t="s">
        <v>8</v>
      </c>
    </row>
    <row r="275" spans="1:164" x14ac:dyDescent="0.25">
      <c r="A275" s="30">
        <v>0.18129028535257471</v>
      </c>
      <c r="B275"/>
      <c r="C275"/>
      <c r="D275"/>
      <c r="E275"/>
      <c r="F275" s="27" t="s">
        <v>7</v>
      </c>
      <c r="CC275" s="27" t="s">
        <v>8</v>
      </c>
      <c r="DJ275" s="27" t="s">
        <v>7</v>
      </c>
      <c r="DK275" s="27" t="s">
        <v>8</v>
      </c>
      <c r="DR275" s="27" t="s">
        <v>7</v>
      </c>
      <c r="FF275" s="27" t="s">
        <v>7</v>
      </c>
      <c r="FG275" s="27" t="s">
        <v>8</v>
      </c>
      <c r="FH275" s="27" t="s">
        <v>7</v>
      </c>
    </row>
    <row r="276" spans="1:164" x14ac:dyDescent="0.25">
      <c r="A276" s="30">
        <v>0.17265741462149967</v>
      </c>
      <c r="B276"/>
      <c r="C276"/>
      <c r="D276"/>
      <c r="E276"/>
      <c r="F276" s="27" t="s">
        <v>7</v>
      </c>
      <c r="CC276" s="27" t="s">
        <v>8</v>
      </c>
      <c r="DJ276" s="27" t="s">
        <v>7</v>
      </c>
      <c r="DK276" s="27" t="s">
        <v>8</v>
      </c>
      <c r="FF276" s="27" t="s">
        <v>7</v>
      </c>
      <c r="FG276" s="27" t="s">
        <v>8</v>
      </c>
      <c r="FH276" s="27" t="s">
        <v>7</v>
      </c>
    </row>
    <row r="277" spans="1:164" x14ac:dyDescent="0.25">
      <c r="A277" s="30">
        <v>0.16443563297285677</v>
      </c>
      <c r="B277"/>
      <c r="C277"/>
      <c r="D277"/>
      <c r="E277"/>
      <c r="F277" s="27" t="s">
        <v>7</v>
      </c>
      <c r="CC277" s="27" t="s">
        <v>8</v>
      </c>
      <c r="DJ277" s="27" t="s">
        <v>7</v>
      </c>
      <c r="FF277" s="27" t="s">
        <v>7</v>
      </c>
      <c r="FH277" s="27" t="s">
        <v>7</v>
      </c>
    </row>
    <row r="278" spans="1:164" x14ac:dyDescent="0.25">
      <c r="A278" s="30">
        <v>0.15660536473605399</v>
      </c>
      <c r="B278"/>
      <c r="C278"/>
      <c r="D278"/>
      <c r="E278"/>
      <c r="F278" s="27" t="s">
        <v>7</v>
      </c>
      <c r="CC278" s="27" t="s">
        <v>8</v>
      </c>
    </row>
    <row r="279" spans="1:164" x14ac:dyDescent="0.25">
      <c r="A279" s="30">
        <v>0.14914796641528946</v>
      </c>
      <c r="B279"/>
      <c r="C279"/>
      <c r="D279"/>
      <c r="E279"/>
      <c r="F279" s="27" t="s">
        <v>7</v>
      </c>
      <c r="CA279" s="27" t="s">
        <v>8</v>
      </c>
      <c r="CC279" s="27" t="s">
        <v>8</v>
      </c>
    </row>
    <row r="280" spans="1:164" x14ac:dyDescent="0.25">
      <c r="A280" s="30">
        <v>0.14204568230027562</v>
      </c>
      <c r="B280"/>
      <c r="C280"/>
      <c r="D280"/>
      <c r="E280"/>
      <c r="F280" s="27" t="s">
        <v>7</v>
      </c>
      <c r="CA280" s="27" t="s">
        <v>8</v>
      </c>
      <c r="CB280" s="27" t="s">
        <v>7</v>
      </c>
      <c r="CC280" s="27" t="s">
        <v>8</v>
      </c>
    </row>
    <row r="281" spans="1:164" x14ac:dyDescent="0.25">
      <c r="A281" s="30">
        <v>0.13528160219073862</v>
      </c>
      <c r="B281"/>
      <c r="C281"/>
      <c r="D281"/>
      <c r="E281"/>
      <c r="F281" s="27" t="s">
        <v>7</v>
      </c>
      <c r="CA281" s="27" t="s">
        <v>8</v>
      </c>
      <c r="CB281" s="27" t="s">
        <v>7</v>
      </c>
      <c r="CC281" s="27" t="s">
        <v>8</v>
      </c>
    </row>
    <row r="282" spans="1:164" x14ac:dyDescent="0.25">
      <c r="A282" s="30">
        <v>0.12883962113403674</v>
      </c>
      <c r="B282"/>
      <c r="C282"/>
      <c r="D282"/>
      <c r="E282"/>
      <c r="F282" s="27" t="s">
        <v>7</v>
      </c>
      <c r="CA282" s="27" t="s">
        <v>8</v>
      </c>
      <c r="CB282" s="27" t="s">
        <v>7</v>
      </c>
      <c r="CC282" s="27" t="s">
        <v>8</v>
      </c>
    </row>
    <row r="283" spans="1:164" x14ac:dyDescent="0.25">
      <c r="A283" s="30">
        <v>0.12270440108003494</v>
      </c>
      <c r="B283"/>
      <c r="C283"/>
      <c r="D283"/>
      <c r="E283"/>
      <c r="F283" s="27" t="s">
        <v>7</v>
      </c>
      <c r="CA283" s="27" t="s">
        <v>8</v>
      </c>
      <c r="CB283" s="27" t="s">
        <v>7</v>
      </c>
      <c r="CC283" s="27" t="s">
        <v>8</v>
      </c>
    </row>
    <row r="284" spans="1:164" x14ac:dyDescent="0.25">
      <c r="A284" s="30">
        <v>0.11686133436193799</v>
      </c>
      <c r="B284"/>
      <c r="C284"/>
      <c r="D284"/>
      <c r="E284"/>
      <c r="F284" s="27" t="s">
        <v>7</v>
      </c>
      <c r="CA284" s="27" t="s">
        <v>8</v>
      </c>
      <c r="CB284" s="27" t="s">
        <v>7</v>
      </c>
      <c r="CC284" s="27" t="s">
        <v>8</v>
      </c>
    </row>
    <row r="285" spans="1:164" x14ac:dyDescent="0.25">
      <c r="A285" s="30">
        <v>0.11129650891613138</v>
      </c>
      <c r="B285"/>
      <c r="C285"/>
      <c r="D285"/>
      <c r="E285"/>
      <c r="F285" s="27" t="s">
        <v>7</v>
      </c>
      <c r="CA285" s="27" t="s">
        <v>8</v>
      </c>
      <c r="CB285" s="27" t="s">
        <v>7</v>
      </c>
      <c r="CC285" s="27" t="s">
        <v>8</v>
      </c>
    </row>
    <row r="286" spans="1:164" x14ac:dyDescent="0.25">
      <c r="A286" s="30">
        <v>0.10599667515822032</v>
      </c>
      <c r="B286"/>
      <c r="C286"/>
      <c r="D286"/>
      <c r="E286"/>
      <c r="F286" s="27" t="s">
        <v>7</v>
      </c>
      <c r="CA286" s="27" t="s">
        <v>8</v>
      </c>
      <c r="CB286" s="27" t="s">
        <v>7</v>
      </c>
      <c r="CC286" s="27" t="s">
        <v>8</v>
      </c>
    </row>
    <row r="287" spans="1:164" x14ac:dyDescent="0.25">
      <c r="A287" s="30">
        <v>0.10094921443640027</v>
      </c>
      <c r="B287"/>
      <c r="C287"/>
      <c r="D287"/>
      <c r="E287"/>
      <c r="F287" s="27" t="s">
        <v>7</v>
      </c>
      <c r="CA287" s="27" t="s">
        <v>8</v>
      </c>
      <c r="CB287" s="27" t="s">
        <v>7</v>
      </c>
    </row>
    <row r="288" spans="1:164" x14ac:dyDescent="0.25">
      <c r="A288" s="30">
        <v>9.6142108987047836E-2</v>
      </c>
      <c r="B288"/>
      <c r="C288"/>
      <c r="D288"/>
      <c r="E288"/>
      <c r="F288" s="27" t="s">
        <v>7</v>
      </c>
      <c r="CA288" s="27" t="s">
        <v>8</v>
      </c>
    </row>
    <row r="289" spans="1:79" x14ac:dyDescent="0.25">
      <c r="A289" s="30">
        <v>9.1563913320997906E-2</v>
      </c>
      <c r="B289"/>
      <c r="C289"/>
      <c r="D289"/>
      <c r="E289"/>
      <c r="F289" s="27" t="s">
        <v>7</v>
      </c>
      <c r="CA289" s="27" t="s">
        <v>8</v>
      </c>
    </row>
    <row r="290" spans="1:79" x14ac:dyDescent="0.25">
      <c r="A290" s="30">
        <v>8.7203726972378923E-2</v>
      </c>
      <c r="B290"/>
      <c r="C290"/>
      <c r="D290"/>
      <c r="E290"/>
      <c r="F290" s="27" t="s">
        <v>7</v>
      </c>
      <c r="CA290" s="27" t="s">
        <v>8</v>
      </c>
    </row>
    <row r="291" spans="1:79" x14ac:dyDescent="0.25">
      <c r="A291" s="30">
        <v>8.3051168545122747E-2</v>
      </c>
      <c r="B291"/>
      <c r="C291"/>
      <c r="D291"/>
      <c r="E291"/>
      <c r="F291" s="27" t="s">
        <v>7</v>
      </c>
      <c r="CA291" s="27" t="s">
        <v>8</v>
      </c>
    </row>
    <row r="292" spans="1:79" x14ac:dyDescent="0.25">
      <c r="A292" s="30">
        <v>7.9096350995354961E-2</v>
      </c>
      <c r="B292"/>
      <c r="C292"/>
      <c r="D292"/>
      <c r="E292"/>
      <c r="F292" s="27" t="s">
        <v>7</v>
      </c>
      <c r="CA292" s="27" t="s">
        <v>8</v>
      </c>
    </row>
    <row r="293" spans="1:79" x14ac:dyDescent="0.25">
      <c r="A293" s="30">
        <v>7.5329858090814217E-2</v>
      </c>
      <c r="B293"/>
      <c r="C293"/>
      <c r="D293"/>
      <c r="E293"/>
      <c r="F293" s="27" t="s">
        <v>7</v>
      </c>
      <c r="CA293" s="27" t="s">
        <v>8</v>
      </c>
    </row>
    <row r="294" spans="1:79" x14ac:dyDescent="0.25">
      <c r="A294" s="30">
        <v>7.1742721991251604E-2</v>
      </c>
      <c r="B294"/>
      <c r="C294"/>
      <c r="D294"/>
      <c r="E294"/>
      <c r="F294" s="27" t="s">
        <v>7</v>
      </c>
      <c r="CA294" s="27" t="s">
        <v>8</v>
      </c>
    </row>
    <row r="295" spans="1:79" x14ac:dyDescent="0.25">
      <c r="A295" s="30">
        <v>6.8326401896430078E-2</v>
      </c>
      <c r="B295"/>
      <c r="C295"/>
      <c r="D295"/>
      <c r="E295"/>
      <c r="F295" s="27" t="s">
        <v>7</v>
      </c>
      <c r="BS295" s="27" t="s">
        <v>8</v>
      </c>
      <c r="CA295" s="27" t="s">
        <v>8</v>
      </c>
    </row>
    <row r="296" spans="1:79" x14ac:dyDescent="0.25">
      <c r="A296" s="30">
        <v>6.5072763710885759E-2</v>
      </c>
      <c r="B296"/>
      <c r="C296"/>
      <c r="D296"/>
      <c r="E296"/>
      <c r="F296" s="27" t="s">
        <v>7</v>
      </c>
      <c r="BS296" s="27" t="s">
        <v>8</v>
      </c>
      <c r="BT296" s="27" t="s">
        <v>7</v>
      </c>
      <c r="CA296" s="27" t="s">
        <v>8</v>
      </c>
    </row>
    <row r="297" spans="1:79" x14ac:dyDescent="0.25">
      <c r="A297" s="30">
        <v>6.197406067703403E-2</v>
      </c>
      <c r="B297"/>
      <c r="C297"/>
      <c r="D297"/>
      <c r="E297"/>
      <c r="F297" s="27" t="s">
        <v>7</v>
      </c>
      <c r="BS297" s="27" t="s">
        <v>8</v>
      </c>
      <c r="BT297" s="27" t="s">
        <v>7</v>
      </c>
      <c r="BW297" s="27" t="s">
        <v>8</v>
      </c>
      <c r="CA297" s="27" t="s">
        <v>8</v>
      </c>
    </row>
    <row r="298" spans="1:79" x14ac:dyDescent="0.25">
      <c r="A298" s="30">
        <v>5.9022914930508576E-2</v>
      </c>
      <c r="B298"/>
      <c r="C298"/>
      <c r="D298"/>
      <c r="E298"/>
      <c r="F298" s="27" t="s">
        <v>7</v>
      </c>
      <c r="BS298" s="27" t="s">
        <v>8</v>
      </c>
      <c r="BT298" s="27" t="s">
        <v>7</v>
      </c>
      <c r="BW298" s="27" t="s">
        <v>8</v>
      </c>
      <c r="BX298" s="27" t="s">
        <v>7</v>
      </c>
      <c r="BY298" s="27" t="s">
        <v>8</v>
      </c>
      <c r="CA298" s="27" t="s">
        <v>8</v>
      </c>
    </row>
    <row r="299" spans="1:79" x14ac:dyDescent="0.25">
      <c r="A299" s="30">
        <v>5.6212299933817669E-2</v>
      </c>
      <c r="B299"/>
      <c r="C299"/>
      <c r="D299"/>
      <c r="E299"/>
      <c r="F299" s="27" t="s">
        <v>7</v>
      </c>
      <c r="BS299" s="27" t="s">
        <v>8</v>
      </c>
      <c r="BT299" s="27" t="s">
        <v>7</v>
      </c>
      <c r="BU299" s="27" t="s">
        <v>8</v>
      </c>
      <c r="BW299" s="27" t="s">
        <v>8</v>
      </c>
      <c r="BX299" s="27" t="s">
        <v>7</v>
      </c>
      <c r="BY299" s="27" t="s">
        <v>8</v>
      </c>
      <c r="BZ299" s="27" t="s">
        <v>7</v>
      </c>
      <c r="CA299" s="27" t="s">
        <v>8</v>
      </c>
    </row>
    <row r="300" spans="1:79" x14ac:dyDescent="0.25">
      <c r="A300" s="30">
        <v>5.3535523746492994E-2</v>
      </c>
      <c r="B300"/>
      <c r="C300"/>
      <c r="D300"/>
      <c r="E300"/>
      <c r="F300" s="27" t="s">
        <v>7</v>
      </c>
      <c r="BS300" s="27" t="s">
        <v>8</v>
      </c>
      <c r="BT300" s="27" t="s">
        <v>7</v>
      </c>
      <c r="BU300" s="27" t="s">
        <v>8</v>
      </c>
      <c r="BV300" s="27" t="s">
        <v>7</v>
      </c>
      <c r="BW300" s="27" t="s">
        <v>8</v>
      </c>
      <c r="BX300" s="27" t="s">
        <v>7</v>
      </c>
      <c r="BY300" s="27" t="s">
        <v>8</v>
      </c>
      <c r="BZ300" s="27" t="s">
        <v>7</v>
      </c>
      <c r="CA300" s="27" t="s">
        <v>8</v>
      </c>
    </row>
    <row r="301" spans="1:79" x14ac:dyDescent="0.25">
      <c r="A301" s="30">
        <v>5.0986213091898068E-2</v>
      </c>
      <c r="B301"/>
      <c r="C301"/>
      <c r="D301"/>
      <c r="E301"/>
      <c r="F301" s="27" t="s">
        <v>7</v>
      </c>
      <c r="BS301" s="27" t="s">
        <v>8</v>
      </c>
      <c r="BT301" s="27" t="s">
        <v>7</v>
      </c>
      <c r="BU301" s="27" t="s">
        <v>8</v>
      </c>
      <c r="BV301" s="27" t="s">
        <v>7</v>
      </c>
      <c r="BW301" s="27" t="s">
        <v>8</v>
      </c>
      <c r="BX301" s="27" t="s">
        <v>7</v>
      </c>
      <c r="BY301" s="27" t="s">
        <v>8</v>
      </c>
      <c r="BZ301" s="27" t="s">
        <v>7</v>
      </c>
      <c r="CA301" s="27" t="s">
        <v>8</v>
      </c>
    </row>
    <row r="302" spans="1:79" x14ac:dyDescent="0.25">
      <c r="A302" s="30">
        <v>4.8558298182760043E-2</v>
      </c>
      <c r="B302"/>
      <c r="C302"/>
      <c r="D302"/>
      <c r="E302"/>
      <c r="F302" s="27" t="s">
        <v>7</v>
      </c>
      <c r="BS302" s="27" t="s">
        <v>8</v>
      </c>
      <c r="BT302" s="27" t="s">
        <v>7</v>
      </c>
      <c r="BV302" s="27" t="s">
        <v>7</v>
      </c>
      <c r="BW302" s="27" t="s">
        <v>8</v>
      </c>
      <c r="BX302" s="27" t="s">
        <v>7</v>
      </c>
      <c r="BZ302" s="27" t="s">
        <v>7</v>
      </c>
    </row>
    <row r="303" spans="1:79" x14ac:dyDescent="0.25">
      <c r="A303" s="30">
        <v>4.6245998269295263E-2</v>
      </c>
      <c r="B303"/>
      <c r="C303"/>
      <c r="D303"/>
      <c r="E303"/>
      <c r="F303" s="27" t="s">
        <v>7</v>
      </c>
      <c r="BS303" s="27" t="s">
        <v>8</v>
      </c>
      <c r="BV303" s="27" t="s">
        <v>7</v>
      </c>
      <c r="BW303" s="27" t="s">
        <v>8</v>
      </c>
    </row>
    <row r="304" spans="1:79" x14ac:dyDescent="0.25">
      <c r="A304" s="30">
        <v>4.4043807875519279E-2</v>
      </c>
      <c r="B304"/>
      <c r="C304"/>
      <c r="D304"/>
      <c r="E304"/>
      <c r="F304" s="27" t="s">
        <v>7</v>
      </c>
      <c r="BS304" s="27" t="s">
        <v>8</v>
      </c>
      <c r="BV304" s="27" t="s">
        <v>7</v>
      </c>
      <c r="BW304" s="27" t="s">
        <v>8</v>
      </c>
    </row>
    <row r="305" spans="1:75" x14ac:dyDescent="0.25">
      <c r="A305" s="30">
        <v>4.1946483690970725E-2</v>
      </c>
      <c r="B305"/>
      <c r="C305"/>
      <c r="D305"/>
      <c r="E305"/>
      <c r="F305" s="27" t="s">
        <v>7</v>
      </c>
      <c r="BS305" s="27" t="s">
        <v>8</v>
      </c>
      <c r="BV305" s="27" t="s">
        <v>7</v>
      </c>
      <c r="BW305" s="27" t="s">
        <v>8</v>
      </c>
    </row>
    <row r="306" spans="1:75" x14ac:dyDescent="0.25">
      <c r="A306" s="30">
        <v>3.9949032086638768E-2</v>
      </c>
      <c r="B306"/>
      <c r="C306"/>
      <c r="D306"/>
      <c r="E306"/>
      <c r="F306" s="27" t="s">
        <v>7</v>
      </c>
      <c r="BS306" s="27" t="s">
        <v>8</v>
      </c>
      <c r="BV306" s="27" t="s">
        <v>7</v>
      </c>
      <c r="BW306" s="27" t="s">
        <v>8</v>
      </c>
    </row>
    <row r="307" spans="1:75" x14ac:dyDescent="0.25">
      <c r="A307" s="30">
        <v>3.8046697225370241E-2</v>
      </c>
      <c r="B307"/>
      <c r="C307"/>
      <c r="D307"/>
      <c r="E307"/>
      <c r="F307" s="27" t="s">
        <v>7</v>
      </c>
      <c r="BQ307" s="27" t="s">
        <v>8</v>
      </c>
      <c r="BS307" s="27" t="s">
        <v>8</v>
      </c>
      <c r="BV307" s="27" t="s">
        <v>7</v>
      </c>
      <c r="BW307" s="27" t="s">
        <v>8</v>
      </c>
    </row>
    <row r="308" spans="1:75" x14ac:dyDescent="0.25">
      <c r="A308" s="30">
        <v>3.6234949738447833E-2</v>
      </c>
      <c r="B308"/>
      <c r="C308"/>
      <c r="D308"/>
      <c r="E308"/>
      <c r="F308" s="27" t="s">
        <v>7</v>
      </c>
      <c r="BQ308" s="27" t="s">
        <v>8</v>
      </c>
      <c r="BR308" s="27" t="s">
        <v>7</v>
      </c>
      <c r="BS308" s="27" t="s">
        <v>8</v>
      </c>
      <c r="BV308" s="27" t="s">
        <v>7</v>
      </c>
      <c r="BW308" s="27" t="s">
        <v>8</v>
      </c>
    </row>
    <row r="309" spans="1:75" x14ac:dyDescent="0.25">
      <c r="A309" s="30">
        <v>3.4509475941378875E-2</v>
      </c>
      <c r="B309"/>
      <c r="C309"/>
      <c r="D309"/>
      <c r="E309"/>
      <c r="F309" s="27" t="s">
        <v>7</v>
      </c>
      <c r="BQ309" s="27" t="s">
        <v>8</v>
      </c>
      <c r="BR309" s="27" t="s">
        <v>7</v>
      </c>
      <c r="BS309" s="27" t="s">
        <v>8</v>
      </c>
      <c r="BV309" s="27" t="s">
        <v>7</v>
      </c>
      <c r="BW309" s="27" t="s">
        <v>8</v>
      </c>
    </row>
    <row r="310" spans="1:75" x14ac:dyDescent="0.25">
      <c r="A310" s="30">
        <v>3.286616756321796E-2</v>
      </c>
      <c r="B310"/>
      <c r="C310"/>
      <c r="D310"/>
      <c r="E310"/>
      <c r="F310" s="27" t="s">
        <v>7</v>
      </c>
      <c r="BQ310" s="27" t="s">
        <v>8</v>
      </c>
      <c r="BR310" s="27" t="s">
        <v>7</v>
      </c>
      <c r="BS310" s="27" t="s">
        <v>8</v>
      </c>
      <c r="BV310" s="27" t="s">
        <v>7</v>
      </c>
    </row>
    <row r="311" spans="1:75" x14ac:dyDescent="0.25">
      <c r="A311" s="30">
        <v>3.1301111964969472E-2</v>
      </c>
      <c r="B311"/>
      <c r="C311"/>
      <c r="D311"/>
      <c r="E311"/>
      <c r="F311" s="27" t="s">
        <v>7</v>
      </c>
      <c r="BQ311" s="27" t="s">
        <v>8</v>
      </c>
      <c r="BR311" s="27" t="s">
        <v>7</v>
      </c>
      <c r="BS311" s="27" t="s">
        <v>8</v>
      </c>
    </row>
    <row r="312" spans="1:75" x14ac:dyDescent="0.25">
      <c r="A312" s="30">
        <v>2.9810582823780438E-2</v>
      </c>
      <c r="B312"/>
      <c r="C312"/>
      <c r="D312"/>
      <c r="E312"/>
      <c r="F312" s="27" t="s">
        <v>7</v>
      </c>
      <c r="BG312" s="27" t="s">
        <v>8</v>
      </c>
      <c r="BQ312" s="27" t="s">
        <v>8</v>
      </c>
      <c r="BR312" s="27" t="s">
        <v>7</v>
      </c>
      <c r="BS312" s="27" t="s">
        <v>8</v>
      </c>
    </row>
    <row r="313" spans="1:75" x14ac:dyDescent="0.25">
      <c r="A313" s="30">
        <v>2.8391031260743264E-2</v>
      </c>
      <c r="B313"/>
      <c r="C313"/>
      <c r="D313"/>
      <c r="E313"/>
      <c r="F313" s="27" t="s">
        <v>7</v>
      </c>
      <c r="BG313" s="27" t="s">
        <v>8</v>
      </c>
      <c r="BH313" s="27" t="s">
        <v>7</v>
      </c>
      <c r="BQ313" s="27" t="s">
        <v>8</v>
      </c>
      <c r="BR313" s="27" t="s">
        <v>7</v>
      </c>
    </row>
    <row r="314" spans="1:75" x14ac:dyDescent="0.25">
      <c r="A314" s="30">
        <v>2.7039077391184052E-2</v>
      </c>
      <c r="B314"/>
      <c r="C314"/>
      <c r="D314"/>
      <c r="E314"/>
      <c r="F314" s="27" t="s">
        <v>7</v>
      </c>
      <c r="BG314" s="27" t="s">
        <v>8</v>
      </c>
      <c r="BH314" s="27" t="s">
        <v>7</v>
      </c>
      <c r="BQ314" s="27" t="s">
        <v>8</v>
      </c>
    </row>
    <row r="315" spans="1:75" x14ac:dyDescent="0.25">
      <c r="A315" s="30">
        <v>2.5751502277318133E-2</v>
      </c>
      <c r="B315"/>
      <c r="C315"/>
      <c r="D315"/>
      <c r="E315"/>
      <c r="F315" s="27" t="s">
        <v>7</v>
      </c>
      <c r="BG315" s="27" t="s">
        <v>8</v>
      </c>
      <c r="BH315" s="27" t="s">
        <v>7</v>
      </c>
      <c r="BO315" s="27" t="s">
        <v>8</v>
      </c>
      <c r="BQ315" s="27" t="s">
        <v>8</v>
      </c>
    </row>
    <row r="316" spans="1:75" x14ac:dyDescent="0.25">
      <c r="A316" s="30">
        <v>2.4525240264112496E-2</v>
      </c>
      <c r="B316"/>
      <c r="C316"/>
      <c r="D316"/>
      <c r="E316"/>
      <c r="F316" s="27" t="s">
        <v>7</v>
      </c>
      <c r="BE316" s="27" t="s">
        <v>8</v>
      </c>
      <c r="BG316" s="27" t="s">
        <v>8</v>
      </c>
      <c r="BH316" s="27" t="s">
        <v>7</v>
      </c>
      <c r="BO316" s="27" t="s">
        <v>8</v>
      </c>
      <c r="BP316" s="27" t="s">
        <v>7</v>
      </c>
      <c r="BQ316" s="27" t="s">
        <v>8</v>
      </c>
    </row>
    <row r="317" spans="1:75" x14ac:dyDescent="0.25">
      <c r="A317" s="30">
        <v>2.3357371680107129E-2</v>
      </c>
      <c r="B317"/>
      <c r="C317"/>
      <c r="D317"/>
      <c r="E317"/>
      <c r="F317" s="27" t="s">
        <v>7</v>
      </c>
      <c r="BE317" s="27" t="s">
        <v>8</v>
      </c>
      <c r="BF317" s="27" t="s">
        <v>7</v>
      </c>
      <c r="BG317" s="27" t="s">
        <v>8</v>
      </c>
      <c r="BH317" s="27" t="s">
        <v>7</v>
      </c>
      <c r="BM317" s="27" t="s">
        <v>8</v>
      </c>
      <c r="BO317" s="27" t="s">
        <v>8</v>
      </c>
      <c r="BP317" s="27" t="s">
        <v>7</v>
      </c>
      <c r="BQ317" s="27" t="s">
        <v>8</v>
      </c>
    </row>
    <row r="318" spans="1:75" x14ac:dyDescent="0.25">
      <c r="A318" s="30">
        <v>2.2245115885816305E-2</v>
      </c>
      <c r="B318"/>
      <c r="C318"/>
      <c r="D318"/>
      <c r="E318"/>
      <c r="F318" s="27" t="s">
        <v>7</v>
      </c>
      <c r="AQ318" s="27" t="s">
        <v>8</v>
      </c>
      <c r="BE318" s="27" t="s">
        <v>8</v>
      </c>
      <c r="BF318" s="27" t="s">
        <v>7</v>
      </c>
      <c r="BG318" s="27" t="s">
        <v>8</v>
      </c>
      <c r="BH318" s="27" t="s">
        <v>7</v>
      </c>
      <c r="BI318" s="27" t="s">
        <v>8</v>
      </c>
      <c r="BM318" s="27" t="s">
        <v>8</v>
      </c>
      <c r="BN318" s="27" t="s">
        <v>7</v>
      </c>
      <c r="BO318" s="27" t="s">
        <v>8</v>
      </c>
      <c r="BP318" s="27" t="s">
        <v>7</v>
      </c>
    </row>
    <row r="319" spans="1:75" x14ac:dyDescent="0.25">
      <c r="A319" s="30">
        <v>2.1185824653158377E-2</v>
      </c>
      <c r="B319"/>
      <c r="C319"/>
      <c r="D319"/>
      <c r="E319"/>
      <c r="F319" s="27" t="s">
        <v>7</v>
      </c>
      <c r="AQ319" s="27" t="s">
        <v>8</v>
      </c>
      <c r="AR319" s="27" t="s">
        <v>7</v>
      </c>
      <c r="BE319" s="27" t="s">
        <v>8</v>
      </c>
      <c r="BF319" s="27" t="s">
        <v>7</v>
      </c>
      <c r="BG319" s="27" t="s">
        <v>8</v>
      </c>
      <c r="BH319" s="27" t="s">
        <v>7</v>
      </c>
      <c r="BI319" s="27" t="s">
        <v>8</v>
      </c>
      <c r="BJ319" s="27" t="s">
        <v>7</v>
      </c>
      <c r="BK319" s="27" t="s">
        <v>8</v>
      </c>
      <c r="BM319" s="27" t="s">
        <v>8</v>
      </c>
      <c r="BN319" s="27" t="s">
        <v>7</v>
      </c>
      <c r="BO319" s="27" t="s">
        <v>8</v>
      </c>
    </row>
    <row r="320" spans="1:75" x14ac:dyDescent="0.25">
      <c r="A320" s="30">
        <v>2.0176975860150829E-2</v>
      </c>
      <c r="B320"/>
      <c r="C320"/>
      <c r="D320"/>
      <c r="E320"/>
      <c r="F320" s="27" t="s">
        <v>7</v>
      </c>
      <c r="AQ320" s="27" t="s">
        <v>8</v>
      </c>
      <c r="AR320" s="27" t="s">
        <v>7</v>
      </c>
      <c r="BE320" s="27" t="s">
        <v>8</v>
      </c>
      <c r="BF320" s="27" t="s">
        <v>7</v>
      </c>
      <c r="BG320" s="27" t="s">
        <v>8</v>
      </c>
      <c r="BH320" s="27" t="s">
        <v>7</v>
      </c>
      <c r="BI320" s="27" t="s">
        <v>8</v>
      </c>
      <c r="BJ320" s="27" t="s">
        <v>7</v>
      </c>
      <c r="BK320" s="27" t="s">
        <v>8</v>
      </c>
      <c r="BL320" s="27" t="s">
        <v>7</v>
      </c>
      <c r="BM320" s="27" t="s">
        <v>8</v>
      </c>
      <c r="BN320" s="27" t="s">
        <v>7</v>
      </c>
      <c r="BO320" s="27" t="s">
        <v>8</v>
      </c>
    </row>
    <row r="321" spans="1:67" x14ac:dyDescent="0.25">
      <c r="A321" s="30">
        <v>1.9216167485857926E-2</v>
      </c>
      <c r="B321"/>
      <c r="C321"/>
      <c r="D321"/>
      <c r="E321"/>
      <c r="F321" s="27" t="s">
        <v>7</v>
      </c>
      <c r="M321" s="27" t="s">
        <v>8</v>
      </c>
      <c r="AQ321" s="27" t="s">
        <v>8</v>
      </c>
      <c r="AR321" s="27" t="s">
        <v>7</v>
      </c>
      <c r="BE321" s="27" t="s">
        <v>8</v>
      </c>
      <c r="BF321" s="27" t="s">
        <v>7</v>
      </c>
      <c r="BG321" s="27" t="s">
        <v>8</v>
      </c>
      <c r="BH321" s="27" t="s">
        <v>7</v>
      </c>
      <c r="BI321" s="27" t="s">
        <v>8</v>
      </c>
      <c r="BJ321" s="27" t="s">
        <v>7</v>
      </c>
      <c r="BK321" s="27" t="s">
        <v>8</v>
      </c>
      <c r="BL321" s="27" t="s">
        <v>7</v>
      </c>
      <c r="BM321" s="27" t="s">
        <v>8</v>
      </c>
      <c r="BN321" s="27" t="s">
        <v>7</v>
      </c>
      <c r="BO321" s="27" t="s">
        <v>8</v>
      </c>
    </row>
    <row r="322" spans="1:67" x14ac:dyDescent="0.25">
      <c r="A322" s="30">
        <v>1.8301111891293256E-2</v>
      </c>
      <c r="B322"/>
      <c r="C322"/>
      <c r="D322"/>
      <c r="E322"/>
      <c r="F322" s="27" t="s">
        <v>7</v>
      </c>
      <c r="M322" s="27" t="s">
        <v>8</v>
      </c>
      <c r="N322" s="27" t="s">
        <v>7</v>
      </c>
      <c r="AQ322" s="27" t="s">
        <v>8</v>
      </c>
      <c r="AR322" s="27" t="s">
        <v>7</v>
      </c>
      <c r="AS322" s="27" t="s">
        <v>8</v>
      </c>
      <c r="BE322" s="27" t="s">
        <v>8</v>
      </c>
      <c r="BF322" s="27" t="s">
        <v>7</v>
      </c>
      <c r="BG322" s="27" t="s">
        <v>8</v>
      </c>
      <c r="BH322" s="27" t="s">
        <v>7</v>
      </c>
      <c r="BI322" s="27" t="s">
        <v>8</v>
      </c>
      <c r="BJ322" s="27" t="s">
        <v>7</v>
      </c>
      <c r="BK322" s="27" t="s">
        <v>8</v>
      </c>
      <c r="BL322" s="27" t="s">
        <v>7</v>
      </c>
      <c r="BN322" s="27" t="s">
        <v>7</v>
      </c>
      <c r="BO322" s="27" t="s">
        <v>8</v>
      </c>
    </row>
    <row r="323" spans="1:67" x14ac:dyDescent="0.25">
      <c r="A323" s="30">
        <v>1.7429630372660238E-2</v>
      </c>
      <c r="B323"/>
      <c r="C323"/>
      <c r="D323"/>
      <c r="E323"/>
      <c r="F323" s="27" t="s">
        <v>7</v>
      </c>
      <c r="M323" s="27" t="s">
        <v>8</v>
      </c>
      <c r="N323" s="27" t="s">
        <v>7</v>
      </c>
      <c r="AQ323" s="27" t="s">
        <v>8</v>
      </c>
      <c r="AR323" s="27" t="s">
        <v>7</v>
      </c>
      <c r="AS323" s="27" t="s">
        <v>8</v>
      </c>
      <c r="AT323" s="27" t="s">
        <v>7</v>
      </c>
      <c r="BE323" s="27" t="s">
        <v>8</v>
      </c>
      <c r="BF323" s="27" t="s">
        <v>7</v>
      </c>
      <c r="BG323" s="27" t="s">
        <v>8</v>
      </c>
      <c r="BH323" s="27" t="s">
        <v>7</v>
      </c>
      <c r="BJ323" s="27" t="s">
        <v>7</v>
      </c>
      <c r="BK323" s="27" t="s">
        <v>8</v>
      </c>
      <c r="BN323" s="27" t="s">
        <v>7</v>
      </c>
    </row>
    <row r="324" spans="1:67" x14ac:dyDescent="0.25">
      <c r="A324" s="30">
        <v>1.6599647973962125E-2</v>
      </c>
      <c r="B324"/>
      <c r="C324"/>
      <c r="D324"/>
      <c r="E324"/>
      <c r="F324" s="27" t="s">
        <v>7</v>
      </c>
      <c r="M324" s="27" t="s">
        <v>8</v>
      </c>
      <c r="N324" s="27" t="s">
        <v>7</v>
      </c>
      <c r="AQ324" s="27" t="s">
        <v>8</v>
      </c>
      <c r="AR324" s="27" t="s">
        <v>7</v>
      </c>
      <c r="AS324" s="27" t="s">
        <v>8</v>
      </c>
      <c r="AT324" s="27" t="s">
        <v>7</v>
      </c>
      <c r="BE324" s="27" t="s">
        <v>8</v>
      </c>
      <c r="BF324" s="27" t="s">
        <v>7</v>
      </c>
      <c r="BG324" s="27" t="s">
        <v>8</v>
      </c>
      <c r="BJ324" s="27" t="s">
        <v>7</v>
      </c>
      <c r="BK324" s="27" t="s">
        <v>8</v>
      </c>
    </row>
    <row r="325" spans="1:67" x14ac:dyDescent="0.25">
      <c r="A325" s="30">
        <v>1.580918854663059E-2</v>
      </c>
      <c r="B325"/>
      <c r="C325"/>
      <c r="D325"/>
      <c r="E325"/>
      <c r="F325" s="27" t="s">
        <v>7</v>
      </c>
      <c r="M325" s="27" t="s">
        <v>8</v>
      </c>
      <c r="N325" s="27" t="s">
        <v>7</v>
      </c>
      <c r="AO325" s="27" t="s">
        <v>8</v>
      </c>
      <c r="AQ325" s="27" t="s">
        <v>8</v>
      </c>
      <c r="AR325" s="27" t="s">
        <v>7</v>
      </c>
      <c r="AT325" s="27" t="s">
        <v>7</v>
      </c>
      <c r="BE325" s="27" t="s">
        <v>8</v>
      </c>
      <c r="BF325" s="27" t="s">
        <v>7</v>
      </c>
      <c r="BJ325" s="27" t="s">
        <v>7</v>
      </c>
    </row>
    <row r="326" spans="1:67" x14ac:dyDescent="0.25">
      <c r="A326" s="30">
        <v>1.5056370044410079E-2</v>
      </c>
      <c r="B326"/>
      <c r="C326"/>
      <c r="D326"/>
      <c r="E326"/>
      <c r="F326" s="27" t="s">
        <v>7</v>
      </c>
      <c r="M326" s="27" t="s">
        <v>8</v>
      </c>
      <c r="N326" s="27" t="s">
        <v>7</v>
      </c>
      <c r="O326" s="27" t="s">
        <v>8</v>
      </c>
      <c r="AK326" s="27" t="s">
        <v>8</v>
      </c>
      <c r="AO326" s="27" t="s">
        <v>8</v>
      </c>
      <c r="AP326" s="27" t="s">
        <v>7</v>
      </c>
      <c r="AQ326" s="27" t="s">
        <v>8</v>
      </c>
      <c r="AT326" s="27" t="s">
        <v>7</v>
      </c>
      <c r="BE326" s="27" t="s">
        <v>8</v>
      </c>
    </row>
    <row r="327" spans="1:67" x14ac:dyDescent="0.25">
      <c r="A327" s="30">
        <v>1.4339400042295308E-2</v>
      </c>
      <c r="B327"/>
      <c r="C327"/>
      <c r="D327"/>
      <c r="E327"/>
      <c r="F327" s="27" t="s">
        <v>7</v>
      </c>
      <c r="M327" s="27" t="s">
        <v>8</v>
      </c>
      <c r="N327" s="27" t="s">
        <v>7</v>
      </c>
      <c r="O327" s="27" t="s">
        <v>8</v>
      </c>
      <c r="P327" s="27" t="s">
        <v>7</v>
      </c>
      <c r="AK327" s="27" t="s">
        <v>8</v>
      </c>
      <c r="AL327" s="27" t="s">
        <v>7</v>
      </c>
      <c r="AO327" s="27" t="s">
        <v>8</v>
      </c>
      <c r="AP327" s="27" t="s">
        <v>7</v>
      </c>
      <c r="AQ327" s="27" t="s">
        <v>8</v>
      </c>
      <c r="AT327" s="27" t="s">
        <v>7</v>
      </c>
      <c r="BA327" s="27" t="s">
        <v>8</v>
      </c>
      <c r="BE327" s="27" t="s">
        <v>8</v>
      </c>
    </row>
    <row r="328" spans="1:67" x14ac:dyDescent="0.25">
      <c r="A328" s="30">
        <v>1.365657146885267E-2</v>
      </c>
      <c r="B328"/>
      <c r="C328"/>
      <c r="D328"/>
      <c r="E328"/>
      <c r="F328" s="27" t="s">
        <v>7</v>
      </c>
      <c r="M328" s="27" t="s">
        <v>8</v>
      </c>
      <c r="N328" s="27" t="s">
        <v>7</v>
      </c>
      <c r="O328" s="27" t="s">
        <v>8</v>
      </c>
      <c r="P328" s="27" t="s">
        <v>7</v>
      </c>
      <c r="S328" s="27" t="s">
        <v>8</v>
      </c>
      <c r="AK328" s="27" t="s">
        <v>8</v>
      </c>
      <c r="AL328" s="27" t="s">
        <v>7</v>
      </c>
      <c r="AO328" s="27" t="s">
        <v>8</v>
      </c>
      <c r="AP328" s="27" t="s">
        <v>7</v>
      </c>
      <c r="AQ328" s="27" t="s">
        <v>8</v>
      </c>
      <c r="AT328" s="27" t="s">
        <v>7</v>
      </c>
      <c r="AU328" s="27" t="s">
        <v>8</v>
      </c>
      <c r="BA328" s="27" t="s">
        <v>8</v>
      </c>
      <c r="BB328" s="27" t="s">
        <v>7</v>
      </c>
      <c r="BC328" s="27" t="s">
        <v>8</v>
      </c>
      <c r="BE328" s="27" t="s">
        <v>8</v>
      </c>
    </row>
    <row r="329" spans="1:67" x14ac:dyDescent="0.25">
      <c r="A329" s="30">
        <v>1.3006258541764442E-2</v>
      </c>
      <c r="B329"/>
      <c r="C329"/>
      <c r="D329"/>
      <c r="E329"/>
      <c r="F329" s="27" t="s">
        <v>7</v>
      </c>
      <c r="M329" s="27" t="s">
        <v>8</v>
      </c>
      <c r="N329" s="27" t="s">
        <v>7</v>
      </c>
      <c r="O329" s="27" t="s">
        <v>8</v>
      </c>
      <c r="P329" s="27" t="s">
        <v>7</v>
      </c>
      <c r="Q329" s="27" t="s">
        <v>8</v>
      </c>
      <c r="S329" s="27" t="s">
        <v>8</v>
      </c>
      <c r="T329" s="27" t="s">
        <v>7</v>
      </c>
      <c r="AK329" s="27" t="s">
        <v>8</v>
      </c>
      <c r="AL329" s="27" t="s">
        <v>7</v>
      </c>
      <c r="AM329" s="27" t="s">
        <v>8</v>
      </c>
      <c r="AO329" s="27" t="s">
        <v>8</v>
      </c>
      <c r="AP329" s="27" t="s">
        <v>7</v>
      </c>
      <c r="AQ329" s="27" t="s">
        <v>8</v>
      </c>
      <c r="AT329" s="27" t="s">
        <v>7</v>
      </c>
      <c r="AU329" s="27" t="s">
        <v>8</v>
      </c>
      <c r="AV329" s="27" t="s">
        <v>7</v>
      </c>
      <c r="BA329" s="27" t="s">
        <v>8</v>
      </c>
      <c r="BB329" s="27" t="s">
        <v>7</v>
      </c>
      <c r="BC329" s="27" t="s">
        <v>8</v>
      </c>
      <c r="BD329" s="27" t="s">
        <v>7</v>
      </c>
      <c r="BE329" s="27" t="s">
        <v>8</v>
      </c>
    </row>
    <row r="330" spans="1:67" x14ac:dyDescent="0.25">
      <c r="A330" s="30">
        <v>1.2386912896918512E-2</v>
      </c>
      <c r="B330"/>
      <c r="C330"/>
      <c r="D330"/>
      <c r="E330"/>
      <c r="F330" s="27" t="s">
        <v>7</v>
      </c>
      <c r="M330" s="27" t="s">
        <v>8</v>
      </c>
      <c r="N330" s="27" t="s">
        <v>7</v>
      </c>
      <c r="P330" s="27" t="s">
        <v>7</v>
      </c>
      <c r="Q330" s="27" t="s">
        <v>8</v>
      </c>
      <c r="R330" s="27" t="s">
        <v>7</v>
      </c>
      <c r="S330" s="27" t="s">
        <v>8</v>
      </c>
      <c r="T330" s="27" t="s">
        <v>7</v>
      </c>
      <c r="AK330" s="27" t="s">
        <v>8</v>
      </c>
      <c r="AL330" s="27" t="s">
        <v>7</v>
      </c>
      <c r="AM330" s="27" t="s">
        <v>8</v>
      </c>
      <c r="AN330" s="27" t="s">
        <v>7</v>
      </c>
      <c r="AO330" s="27" t="s">
        <v>8</v>
      </c>
      <c r="AP330" s="27" t="s">
        <v>7</v>
      </c>
      <c r="AT330" s="27" t="s">
        <v>7</v>
      </c>
      <c r="AU330" s="27" t="s">
        <v>8</v>
      </c>
      <c r="AV330" s="27" t="s">
        <v>7</v>
      </c>
      <c r="BA330" s="27" t="s">
        <v>8</v>
      </c>
      <c r="BB330" s="27" t="s">
        <v>7</v>
      </c>
      <c r="BC330" s="27" t="s">
        <v>8</v>
      </c>
      <c r="BD330" s="27" t="s">
        <v>7</v>
      </c>
      <c r="BE330" s="27" t="s">
        <v>8</v>
      </c>
    </row>
    <row r="331" spans="1:67" x14ac:dyDescent="0.25">
      <c r="A331" s="30">
        <v>1.179705990182715E-2</v>
      </c>
      <c r="B331"/>
      <c r="C331"/>
      <c r="D331"/>
      <c r="E331"/>
      <c r="F331" s="27" t="s">
        <v>7</v>
      </c>
      <c r="M331" s="27" t="s">
        <v>8</v>
      </c>
      <c r="P331" s="27" t="s">
        <v>7</v>
      </c>
      <c r="Q331" s="27" t="s">
        <v>8</v>
      </c>
      <c r="R331" s="27" t="s">
        <v>7</v>
      </c>
      <c r="S331" s="27" t="s">
        <v>8</v>
      </c>
      <c r="T331" s="27" t="s">
        <v>7</v>
      </c>
      <c r="AG331" s="27" t="s">
        <v>8</v>
      </c>
      <c r="AK331" s="27" t="s">
        <v>8</v>
      </c>
      <c r="AL331" s="27" t="s">
        <v>7</v>
      </c>
      <c r="AM331" s="27" t="s">
        <v>8</v>
      </c>
      <c r="AN331" s="27" t="s">
        <v>7</v>
      </c>
      <c r="AO331" s="27" t="s">
        <v>8</v>
      </c>
      <c r="AT331" s="27" t="s">
        <v>7</v>
      </c>
      <c r="AU331" s="27" t="s">
        <v>8</v>
      </c>
      <c r="AV331" s="27" t="s">
        <v>7</v>
      </c>
      <c r="AW331" s="27" t="s">
        <v>8</v>
      </c>
      <c r="AY331" s="27" t="s">
        <v>8</v>
      </c>
      <c r="BA331" s="27" t="s">
        <v>8</v>
      </c>
      <c r="BB331" s="27" t="s">
        <v>7</v>
      </c>
      <c r="BC331" s="27" t="s">
        <v>8</v>
      </c>
      <c r="BD331" s="27" t="s">
        <v>7</v>
      </c>
    </row>
    <row r="332" spans="1:67" x14ac:dyDescent="0.25">
      <c r="A332" s="30">
        <v>1.1235295144597281E-2</v>
      </c>
      <c r="B332"/>
      <c r="C332"/>
      <c r="D332"/>
      <c r="E332"/>
      <c r="F332" s="27" t="s">
        <v>7</v>
      </c>
      <c r="M332" s="27" t="s">
        <v>8</v>
      </c>
      <c r="P332" s="27" t="s">
        <v>7</v>
      </c>
      <c r="Q332" s="27" t="s">
        <v>8</v>
      </c>
      <c r="R332" s="27" t="s">
        <v>7</v>
      </c>
      <c r="T332" s="27" t="s">
        <v>7</v>
      </c>
      <c r="AG332" s="27" t="s">
        <v>8</v>
      </c>
      <c r="AH332" s="27" t="s">
        <v>7</v>
      </c>
      <c r="AK332" s="27" t="s">
        <v>8</v>
      </c>
      <c r="AL332" s="27" t="s">
        <v>7</v>
      </c>
      <c r="AN332" s="27" t="s">
        <v>7</v>
      </c>
      <c r="AO332" s="27" t="s">
        <v>8</v>
      </c>
      <c r="AT332" s="27" t="s">
        <v>7</v>
      </c>
      <c r="AU332" s="27" t="s">
        <v>8</v>
      </c>
      <c r="AV332" s="27" t="s">
        <v>7</v>
      </c>
      <c r="AW332" s="27" t="s">
        <v>8</v>
      </c>
      <c r="AX332" s="27" t="s">
        <v>7</v>
      </c>
      <c r="AY332" s="27" t="s">
        <v>8</v>
      </c>
      <c r="AZ332" s="27" t="s">
        <v>7</v>
      </c>
      <c r="BA332" s="27" t="s">
        <v>8</v>
      </c>
      <c r="BB332" s="27" t="s">
        <v>7</v>
      </c>
    </row>
    <row r="333" spans="1:67" x14ac:dyDescent="0.25">
      <c r="A333" s="30">
        <v>1.0700281090092644E-2</v>
      </c>
      <c r="B333"/>
      <c r="C333"/>
      <c r="D333"/>
      <c r="E333"/>
      <c r="F333" s="27" t="s">
        <v>7</v>
      </c>
      <c r="M333" s="27" t="s">
        <v>8</v>
      </c>
      <c r="P333" s="27" t="s">
        <v>7</v>
      </c>
      <c r="Q333" s="27" t="s">
        <v>8</v>
      </c>
      <c r="T333" s="27" t="s">
        <v>7</v>
      </c>
      <c r="AG333" s="27" t="s">
        <v>8</v>
      </c>
      <c r="AH333" s="27" t="s">
        <v>7</v>
      </c>
      <c r="AK333" s="27" t="s">
        <v>8</v>
      </c>
      <c r="AN333" s="27" t="s">
        <v>7</v>
      </c>
      <c r="AT333" s="27" t="s">
        <v>7</v>
      </c>
      <c r="AU333" s="27" t="s">
        <v>8</v>
      </c>
      <c r="AV333" s="27" t="s">
        <v>7</v>
      </c>
      <c r="AW333" s="27" t="s">
        <v>8</v>
      </c>
      <c r="AX333" s="27" t="s">
        <v>7</v>
      </c>
      <c r="AY333" s="27" t="s">
        <v>8</v>
      </c>
      <c r="AZ333" s="27" t="s">
        <v>7</v>
      </c>
      <c r="BA333" s="27" t="s">
        <v>8</v>
      </c>
    </row>
    <row r="334" spans="1:67" x14ac:dyDescent="0.25">
      <c r="A334" s="30">
        <v>1.0190743895326324E-2</v>
      </c>
      <c r="B334"/>
      <c r="C334"/>
      <c r="D334"/>
      <c r="E334"/>
      <c r="F334" s="27" t="s">
        <v>7</v>
      </c>
      <c r="M334" s="27" t="s">
        <v>8</v>
      </c>
      <c r="P334" s="27" t="s">
        <v>7</v>
      </c>
      <c r="T334" s="27" t="s">
        <v>7</v>
      </c>
      <c r="AG334" s="27" t="s">
        <v>8</v>
      </c>
      <c r="AH334" s="27" t="s">
        <v>7</v>
      </c>
      <c r="AI334" s="27" t="s">
        <v>8</v>
      </c>
      <c r="AK334" s="27" t="s">
        <v>8</v>
      </c>
      <c r="AT334" s="27" t="s">
        <v>7</v>
      </c>
      <c r="AV334" s="27" t="s">
        <v>7</v>
      </c>
      <c r="AX334" s="27" t="s">
        <v>7</v>
      </c>
      <c r="AZ334" s="27" t="s">
        <v>7</v>
      </c>
      <c r="BA334" s="27" t="s">
        <v>8</v>
      </c>
    </row>
    <row r="335" spans="1:67" x14ac:dyDescent="0.25">
      <c r="A335" s="30">
        <v>9.7054703765012563E-3</v>
      </c>
      <c r="B335"/>
      <c r="C335"/>
      <c r="D335"/>
      <c r="E335"/>
      <c r="F335" s="27" t="s">
        <v>7</v>
      </c>
      <c r="M335" s="27" t="s">
        <v>8</v>
      </c>
      <c r="T335" s="27" t="s">
        <v>7</v>
      </c>
      <c r="AG335" s="27" t="s">
        <v>8</v>
      </c>
      <c r="AH335" s="27" t="s">
        <v>7</v>
      </c>
      <c r="AI335" s="27" t="s">
        <v>8</v>
      </c>
      <c r="AJ335" s="27" t="s">
        <v>7</v>
      </c>
      <c r="AK335" s="27" t="s">
        <v>8</v>
      </c>
      <c r="AZ335" s="27" t="s">
        <v>7</v>
      </c>
      <c r="BA335" s="27" t="s">
        <v>8</v>
      </c>
    </row>
    <row r="336" spans="1:67" x14ac:dyDescent="0.25">
      <c r="A336" s="30">
        <v>9.2433051204773835E-3</v>
      </c>
      <c r="B336"/>
      <c r="C336"/>
      <c r="D336"/>
      <c r="E336"/>
      <c r="F336" s="27" t="s">
        <v>7</v>
      </c>
      <c r="K336" s="27" t="s">
        <v>8</v>
      </c>
      <c r="M336" s="27" t="s">
        <v>8</v>
      </c>
      <c r="T336" s="27" t="s">
        <v>7</v>
      </c>
      <c r="AG336" s="27" t="s">
        <v>8</v>
      </c>
      <c r="AH336" s="27" t="s">
        <v>7</v>
      </c>
      <c r="AI336" s="27" t="s">
        <v>8</v>
      </c>
      <c r="AJ336" s="27" t="s">
        <v>7</v>
      </c>
      <c r="AK336" s="27" t="s">
        <v>8</v>
      </c>
      <c r="AZ336" s="27" t="s">
        <v>7</v>
      </c>
      <c r="BA336" s="27" t="s">
        <v>8</v>
      </c>
    </row>
    <row r="337" spans="1:52" x14ac:dyDescent="0.25">
      <c r="A337" s="30">
        <v>8.8031477337879808E-3</v>
      </c>
      <c r="B337"/>
      <c r="C337"/>
      <c r="D337"/>
      <c r="E337"/>
      <c r="F337" s="27" t="s">
        <v>7</v>
      </c>
      <c r="K337" s="27" t="s">
        <v>8</v>
      </c>
      <c r="L337" s="27" t="s">
        <v>7</v>
      </c>
      <c r="M337" s="27" t="s">
        <v>8</v>
      </c>
      <c r="T337" s="27" t="s">
        <v>7</v>
      </c>
      <c r="AE337" s="27" t="s">
        <v>8</v>
      </c>
      <c r="AG337" s="27" t="s">
        <v>8</v>
      </c>
      <c r="AH337" s="27" t="s">
        <v>7</v>
      </c>
      <c r="AI337" s="27" t="s">
        <v>8</v>
      </c>
      <c r="AJ337" s="27" t="s">
        <v>7</v>
      </c>
      <c r="AZ337" s="27" t="s">
        <v>7</v>
      </c>
    </row>
    <row r="338" spans="1:52" x14ac:dyDescent="0.25">
      <c r="A338" s="30">
        <v>8.3839502226552166E-3</v>
      </c>
      <c r="B338"/>
      <c r="C338"/>
      <c r="D338"/>
      <c r="E338"/>
      <c r="F338" s="27" t="s">
        <v>7</v>
      </c>
      <c r="K338" s="27" t="s">
        <v>8</v>
      </c>
      <c r="L338" s="27" t="s">
        <v>7</v>
      </c>
      <c r="M338" s="27" t="s">
        <v>8</v>
      </c>
      <c r="T338" s="27" t="s">
        <v>7</v>
      </c>
      <c r="AC338" s="27" t="s">
        <v>8</v>
      </c>
      <c r="AE338" s="27" t="s">
        <v>8</v>
      </c>
      <c r="AF338" s="27" t="s">
        <v>7</v>
      </c>
      <c r="AG338" s="27" t="s">
        <v>8</v>
      </c>
      <c r="AH338" s="27" t="s">
        <v>7</v>
      </c>
      <c r="AI338" s="27" t="s">
        <v>8</v>
      </c>
    </row>
    <row r="339" spans="1:52" x14ac:dyDescent="0.25">
      <c r="A339" s="30">
        <v>7.9847144977668698E-3</v>
      </c>
      <c r="B339"/>
      <c r="C339"/>
      <c r="D339"/>
      <c r="E339"/>
      <c r="F339" s="27" t="s">
        <v>7</v>
      </c>
      <c r="G339" s="27" t="s">
        <v>8</v>
      </c>
      <c r="I339" s="27" t="s">
        <v>8</v>
      </c>
      <c r="K339" s="27" t="s">
        <v>8</v>
      </c>
      <c r="L339" s="27" t="s">
        <v>7</v>
      </c>
      <c r="T339" s="27" t="s">
        <v>7</v>
      </c>
      <c r="AC339" s="27" t="s">
        <v>8</v>
      </c>
      <c r="AD339" s="27" t="s">
        <v>7</v>
      </c>
      <c r="AE339" s="27" t="s">
        <v>8</v>
      </c>
      <c r="AF339" s="27" t="s">
        <v>7</v>
      </c>
      <c r="AG339" s="27" t="s">
        <v>8</v>
      </c>
      <c r="AH339" s="27" t="s">
        <v>7</v>
      </c>
    </row>
    <row r="340" spans="1:52" x14ac:dyDescent="0.25">
      <c r="A340" s="30">
        <v>7.6044899978732058E-3</v>
      </c>
      <c r="B340"/>
      <c r="C340"/>
      <c r="D340"/>
      <c r="E340"/>
      <c r="F340" s="27" t="s">
        <v>7</v>
      </c>
      <c r="G340" s="27" t="s">
        <v>8</v>
      </c>
      <c r="H340" s="27" t="s">
        <v>7</v>
      </c>
      <c r="I340" s="27" t="s">
        <v>8</v>
      </c>
      <c r="J340" s="27" t="s">
        <v>7</v>
      </c>
      <c r="K340" s="27" t="s">
        <v>8</v>
      </c>
      <c r="T340" s="27" t="s">
        <v>7</v>
      </c>
      <c r="AC340" s="27" t="s">
        <v>8</v>
      </c>
      <c r="AD340" s="27" t="s">
        <v>7</v>
      </c>
      <c r="AE340" s="27" t="s">
        <v>8</v>
      </c>
      <c r="AF340" s="27" t="s">
        <v>7</v>
      </c>
      <c r="AG340" s="27" t="s">
        <v>8</v>
      </c>
    </row>
    <row r="341" spans="1:52" x14ac:dyDescent="0.25">
      <c r="A341" s="30">
        <v>7.2423714265459072E-3</v>
      </c>
      <c r="B341"/>
      <c r="C341"/>
      <c r="D341"/>
      <c r="E341"/>
      <c r="F341" s="27" t="s">
        <v>7</v>
      </c>
      <c r="G341" s="27" t="s">
        <v>8</v>
      </c>
      <c r="H341" s="27" t="s">
        <v>7</v>
      </c>
      <c r="I341" s="27" t="s">
        <v>8</v>
      </c>
      <c r="J341" s="27" t="s">
        <v>7</v>
      </c>
      <c r="K341" s="27" t="s">
        <v>8</v>
      </c>
      <c r="T341" s="27" t="s">
        <v>7</v>
      </c>
      <c r="Y341" s="27" t="s">
        <v>8</v>
      </c>
      <c r="AC341" s="27" t="s">
        <v>8</v>
      </c>
      <c r="AD341" s="27" t="s">
        <v>7</v>
      </c>
      <c r="AE341" s="27" t="s">
        <v>8</v>
      </c>
      <c r="AF341" s="27" t="s">
        <v>7</v>
      </c>
      <c r="AG341" s="27" t="s">
        <v>8</v>
      </c>
    </row>
    <row r="342" spans="1:52" x14ac:dyDescent="0.25">
      <c r="A342" s="30">
        <v>6.8974965967103846E-3</v>
      </c>
      <c r="B342"/>
      <c r="C342"/>
      <c r="D342"/>
      <c r="E342"/>
      <c r="F342" s="27" t="s">
        <v>7</v>
      </c>
      <c r="H342" s="27" t="s">
        <v>7</v>
      </c>
      <c r="J342" s="27" t="s">
        <v>7</v>
      </c>
      <c r="K342" s="27" t="s">
        <v>8</v>
      </c>
      <c r="T342" s="27" t="s">
        <v>7</v>
      </c>
      <c r="Y342" s="27" t="s">
        <v>8</v>
      </c>
      <c r="Z342" s="27" t="s">
        <v>7</v>
      </c>
      <c r="AA342" s="27" t="s">
        <v>8</v>
      </c>
      <c r="AC342" s="27" t="s">
        <v>8</v>
      </c>
      <c r="AD342" s="27" t="s">
        <v>7</v>
      </c>
      <c r="AE342" s="27" t="s">
        <v>8</v>
      </c>
      <c r="AF342" s="27" t="s">
        <v>7</v>
      </c>
      <c r="AG342" s="27" t="s">
        <v>8</v>
      </c>
    </row>
    <row r="343" spans="1:52" x14ac:dyDescent="0.25">
      <c r="A343" s="30">
        <v>6.5690443778194116E-3</v>
      </c>
      <c r="B343"/>
      <c r="C343"/>
      <c r="D343"/>
      <c r="E343"/>
      <c r="J343" s="27" t="s">
        <v>7</v>
      </c>
      <c r="T343" s="27" t="s">
        <v>7</v>
      </c>
      <c r="Y343" s="27" t="s">
        <v>8</v>
      </c>
      <c r="Z343" s="27" t="s">
        <v>7</v>
      </c>
      <c r="AA343" s="27" t="s">
        <v>8</v>
      </c>
      <c r="AB343" s="27" t="s">
        <v>7</v>
      </c>
      <c r="AC343" s="27" t="s">
        <v>8</v>
      </c>
      <c r="AD343" s="27" t="s">
        <v>7</v>
      </c>
      <c r="AE343" s="27" t="s">
        <v>8</v>
      </c>
      <c r="AF343" s="27" t="s">
        <v>7</v>
      </c>
      <c r="AG343" s="27" t="s">
        <v>8</v>
      </c>
    </row>
    <row r="344" spans="1:52" x14ac:dyDescent="0.25">
      <c r="A344" s="30">
        <v>6.2562327407803897E-3</v>
      </c>
      <c r="B344"/>
      <c r="C344"/>
      <c r="D344"/>
      <c r="E344"/>
      <c r="T344" s="27" t="s">
        <v>7</v>
      </c>
      <c r="U344" s="27" t="s">
        <v>8</v>
      </c>
      <c r="Y344" s="27" t="s">
        <v>8</v>
      </c>
      <c r="Z344" s="27" t="s">
        <v>7</v>
      </c>
      <c r="AA344" s="27" t="s">
        <v>8</v>
      </c>
      <c r="AB344" s="27" t="s">
        <v>7</v>
      </c>
      <c r="AC344" s="27" t="s">
        <v>8</v>
      </c>
      <c r="AD344" s="27" t="s">
        <v>7</v>
      </c>
      <c r="AE344" s="27" t="s">
        <v>8</v>
      </c>
      <c r="AF344" s="27" t="s">
        <v>7</v>
      </c>
    </row>
    <row r="345" spans="1:52" x14ac:dyDescent="0.25">
      <c r="A345" s="30">
        <v>5.9583168959813212E-3</v>
      </c>
      <c r="B345"/>
      <c r="C345"/>
      <c r="D345"/>
      <c r="E345"/>
      <c r="T345" s="27" t="s">
        <v>7</v>
      </c>
      <c r="U345" s="27" t="s">
        <v>8</v>
      </c>
      <c r="V345" s="27" t="s">
        <v>7</v>
      </c>
      <c r="W345" s="27" t="s">
        <v>8</v>
      </c>
      <c r="Y345" s="27" t="s">
        <v>8</v>
      </c>
      <c r="Z345" s="27" t="s">
        <v>7</v>
      </c>
      <c r="AA345" s="27" t="s">
        <v>8</v>
      </c>
      <c r="AB345" s="27" t="s">
        <v>7</v>
      </c>
      <c r="AD345" s="27" t="s">
        <v>7</v>
      </c>
    </row>
    <row r="346" spans="1:52" x14ac:dyDescent="0.25">
      <c r="A346" s="30">
        <v>5.6745875199822084E-3</v>
      </c>
      <c r="B346"/>
      <c r="C346"/>
      <c r="D346"/>
      <c r="E346"/>
      <c r="T346" s="27" t="s">
        <v>7</v>
      </c>
      <c r="U346" s="27" t="s">
        <v>8</v>
      </c>
      <c r="V346" s="27" t="s">
        <v>7</v>
      </c>
      <c r="W346" s="27" t="s">
        <v>8</v>
      </c>
      <c r="X346" s="27" t="s">
        <v>7</v>
      </c>
      <c r="Y346" s="27" t="s">
        <v>8</v>
      </c>
      <c r="Z346" s="27" t="s">
        <v>7</v>
      </c>
      <c r="AA346" s="27" t="s">
        <v>8</v>
      </c>
    </row>
    <row r="347" spans="1:52" x14ac:dyDescent="0.25">
      <c r="A347" s="30">
        <v>5.4043690666497205E-3</v>
      </c>
      <c r="B347"/>
      <c r="C347"/>
      <c r="D347"/>
      <c r="E347"/>
      <c r="T347" s="27" t="s">
        <v>7</v>
      </c>
      <c r="U347" s="27" t="s">
        <v>8</v>
      </c>
      <c r="V347" s="27" t="s">
        <v>7</v>
      </c>
      <c r="W347" s="27" t="s">
        <v>8</v>
      </c>
      <c r="X347" s="27" t="s">
        <v>7</v>
      </c>
      <c r="Y347" s="27" t="s">
        <v>8</v>
      </c>
      <c r="Z347" s="27" t="s">
        <v>7</v>
      </c>
    </row>
    <row r="348" spans="1:52" x14ac:dyDescent="0.25">
      <c r="A348" s="30">
        <v>5.1470181587140174E-3</v>
      </c>
      <c r="B348"/>
      <c r="C348"/>
      <c r="D348"/>
      <c r="E348"/>
      <c r="T348" s="27" t="s">
        <v>7</v>
      </c>
      <c r="U348" s="27" t="s">
        <v>8</v>
      </c>
      <c r="V348" s="27" t="s">
        <v>7</v>
      </c>
      <c r="W348" s="27" t="s">
        <v>8</v>
      </c>
      <c r="X348" s="27" t="s">
        <v>7</v>
      </c>
    </row>
    <row r="349" spans="1:52" x14ac:dyDescent="0.25">
      <c r="A349" s="30">
        <v>4.9019220559181099E-3</v>
      </c>
      <c r="B349"/>
      <c r="C349"/>
      <c r="D349"/>
      <c r="E349"/>
      <c r="T349" s="27" t="s">
        <v>7</v>
      </c>
      <c r="U349" s="27" t="s">
        <v>8</v>
      </c>
      <c r="V349" s="27" t="s">
        <v>7</v>
      </c>
      <c r="W349" s="27" t="s">
        <v>8</v>
      </c>
    </row>
    <row r="350" spans="1:52" x14ac:dyDescent="0.25">
      <c r="A350" s="30">
        <v>4.6684971961124836E-3</v>
      </c>
      <c r="B350"/>
      <c r="C350"/>
      <c r="D350"/>
      <c r="E350"/>
      <c r="T350" s="27" t="s">
        <v>7</v>
      </c>
      <c r="U350" s="27" t="s">
        <v>8</v>
      </c>
      <c r="V350" s="27" t="s">
        <v>7</v>
      </c>
    </row>
    <row r="351" spans="1:52" x14ac:dyDescent="0.25">
      <c r="A351" s="30">
        <v>4.4461878058214112E-3</v>
      </c>
      <c r="B351"/>
      <c r="C351"/>
      <c r="D351"/>
      <c r="E351"/>
      <c r="T351" s="27" t="s">
        <v>7</v>
      </c>
      <c r="U351" s="27" t="s">
        <v>8</v>
      </c>
    </row>
    <row r="352" spans="1:52" x14ac:dyDescent="0.25">
      <c r="A352" s="30">
        <v>4.2344645769727711E-3</v>
      </c>
      <c r="B352"/>
      <c r="C352"/>
      <c r="D352"/>
      <c r="E352"/>
      <c r="T352" s="27" t="s">
        <v>7</v>
      </c>
      <c r="U352" s="27" t="s">
        <v>8</v>
      </c>
    </row>
    <row r="353" spans="1:21" x14ac:dyDescent="0.25">
      <c r="A353" s="30">
        <v>4.0328234066407329E-3</v>
      </c>
      <c r="B353"/>
      <c r="C353"/>
      <c r="D353"/>
      <c r="E353"/>
      <c r="T353" s="27" t="s">
        <v>7</v>
      </c>
      <c r="U353" s="27" t="s">
        <v>8</v>
      </c>
    </row>
    <row r="354" spans="1:21" x14ac:dyDescent="0.25">
      <c r="A354" s="30">
        <v>3.8407841968006963E-3</v>
      </c>
      <c r="B354"/>
      <c r="C354"/>
      <c r="D354"/>
      <c r="E354"/>
      <c r="T354" s="27" t="s">
        <v>7</v>
      </c>
    </row>
    <row r="355" spans="1:21" x14ac:dyDescent="0.25">
      <c r="A355" s="30">
        <v>3.6578897112387568E-3</v>
      </c>
      <c r="B355"/>
      <c r="C355"/>
      <c r="D355"/>
      <c r="E355"/>
    </row>
    <row r="356" spans="1:21" x14ac:dyDescent="0.25">
      <c r="A356" s="30">
        <v>3.4837044868940526E-3</v>
      </c>
      <c r="B356"/>
      <c r="C356"/>
      <c r="D356"/>
      <c r="E356"/>
    </row>
    <row r="357" spans="1:21" x14ac:dyDescent="0.25">
      <c r="A357" s="30">
        <v>3.3178137970419535E-3</v>
      </c>
      <c r="B357"/>
      <c r="C357"/>
      <c r="D357"/>
      <c r="E357"/>
    </row>
    <row r="358" spans="1:21" x14ac:dyDescent="0.25">
      <c r="A358" s="30">
        <v>3.1598226638494781E-3</v>
      </c>
      <c r="B358"/>
      <c r="C358"/>
      <c r="D358"/>
      <c r="E358"/>
    </row>
    <row r="359" spans="1:21" x14ac:dyDescent="0.25">
      <c r="A359" s="30">
        <v>3.0093549179518826E-3</v>
      </c>
      <c r="B359"/>
      <c r="C359"/>
      <c r="D359"/>
      <c r="E359"/>
    </row>
    <row r="360" spans="1:21" x14ac:dyDescent="0.25">
      <c r="A360" s="30">
        <v>2.8660523028113155E-3</v>
      </c>
      <c r="B360"/>
      <c r="C360"/>
      <c r="D360"/>
      <c r="E360"/>
    </row>
    <row r="361" spans="1:21" x14ac:dyDescent="0.25">
      <c r="A361" s="30">
        <v>2.7295736217250611E-3</v>
      </c>
      <c r="B361"/>
      <c r="C361"/>
      <c r="D361"/>
      <c r="E361"/>
    </row>
    <row r="362" spans="1:21" x14ac:dyDescent="0.25">
      <c r="A362" s="30">
        <v>2.5995939254524381E-3</v>
      </c>
      <c r="B362"/>
      <c r="C362"/>
      <c r="D362"/>
      <c r="E362"/>
    </row>
    <row r="363" spans="1:21" x14ac:dyDescent="0.25">
      <c r="A363" s="30">
        <v>2.4758037385261304E-3</v>
      </c>
      <c r="B363"/>
      <c r="C363"/>
      <c r="D363"/>
      <c r="E363"/>
    </row>
    <row r="364" spans="1:21" x14ac:dyDescent="0.25">
      <c r="A364" s="30">
        <v>2.3579083224058374E-3</v>
      </c>
      <c r="B364"/>
      <c r="C364"/>
      <c r="D364"/>
      <c r="E364"/>
    </row>
    <row r="365" spans="1:21" x14ac:dyDescent="0.25">
      <c r="A365" s="30">
        <v>2.245626973719844E-3</v>
      </c>
      <c r="B365"/>
      <c r="C365"/>
      <c r="D365"/>
      <c r="E365"/>
    </row>
    <row r="366" spans="1:21" x14ac:dyDescent="0.25">
      <c r="A366" s="30">
        <v>2.1386923559236601E-3</v>
      </c>
      <c r="B366"/>
      <c r="C366"/>
      <c r="D366"/>
      <c r="E366"/>
    </row>
    <row r="367" spans="1:21" x14ac:dyDescent="0.25">
      <c r="A367" s="30">
        <v>2.0368498627844375E-3</v>
      </c>
      <c r="B367"/>
      <c r="C367"/>
      <c r="D367"/>
      <c r="E367"/>
    </row>
    <row r="368" spans="1:21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78" operator="equal">
      <formula>$U$1</formula>
    </cfRule>
    <cfRule type="cellIs" dxfId="67" priority="1179" operator="equal">
      <formula>$S$1</formula>
    </cfRule>
  </conditionalFormatting>
  <conditionalFormatting sqref="D136">
    <cfRule type="cellIs" dxfId="66" priority="1176" operator="equal">
      <formula>$S$1</formula>
    </cfRule>
    <cfRule type="cellIs" dxfId="65" priority="1177" operator="equal">
      <formula>$U$1</formula>
    </cfRule>
  </conditionalFormatting>
  <conditionalFormatting sqref="C162">
    <cfRule type="cellIs" dxfId="64" priority="1174" operator="equal">
      <formula>$U$1</formula>
    </cfRule>
    <cfRule type="cellIs" dxfId="63" priority="1175" operator="equal">
      <formula>$S$1</formula>
    </cfRule>
  </conditionalFormatting>
  <conditionalFormatting sqref="D162">
    <cfRule type="cellIs" dxfId="62" priority="1172" operator="equal">
      <formula>$S$1</formula>
    </cfRule>
    <cfRule type="cellIs" dxfId="61" priority="1173" operator="equal">
      <formula>$U$1</formula>
    </cfRule>
  </conditionalFormatting>
  <conditionalFormatting sqref="C187">
    <cfRule type="cellIs" dxfId="60" priority="1170" operator="equal">
      <formula>$U$1</formula>
    </cfRule>
    <cfRule type="cellIs" dxfId="59" priority="1171" operator="equal">
      <formula>$S$1</formula>
    </cfRule>
  </conditionalFormatting>
  <conditionalFormatting sqref="D187">
    <cfRule type="cellIs" dxfId="58" priority="1168" operator="equal">
      <formula>$S$1</formula>
    </cfRule>
    <cfRule type="cellIs" dxfId="57" priority="1169" operator="equal">
      <formula>$U$1</formula>
    </cfRule>
  </conditionalFormatting>
  <conditionalFormatting sqref="C212">
    <cfRule type="cellIs" dxfId="56" priority="1166" operator="equal">
      <formula>$U$1</formula>
    </cfRule>
    <cfRule type="cellIs" dxfId="55" priority="1167" operator="equal">
      <formula>$S$1</formula>
    </cfRule>
  </conditionalFormatting>
  <conditionalFormatting sqref="D212">
    <cfRule type="cellIs" dxfId="54" priority="1164" operator="equal">
      <formula>$S$1</formula>
    </cfRule>
    <cfRule type="cellIs" dxfId="53" priority="1165" operator="equal">
      <formula>$U$1</formula>
    </cfRule>
  </conditionalFormatting>
  <conditionalFormatting sqref="C237">
    <cfRule type="cellIs" dxfId="52" priority="1162" operator="equal">
      <formula>$U$1</formula>
    </cfRule>
    <cfRule type="cellIs" dxfId="51" priority="1163" operator="equal">
      <formula>$S$1</formula>
    </cfRule>
  </conditionalFormatting>
  <conditionalFormatting sqref="D237">
    <cfRule type="cellIs" dxfId="50" priority="1160" operator="equal">
      <formula>$S$1</formula>
    </cfRule>
    <cfRule type="cellIs" dxfId="49" priority="1161" operator="equal">
      <formula>$U$1</formula>
    </cfRule>
  </conditionalFormatting>
  <conditionalFormatting sqref="C106">
    <cfRule type="cellIs" dxfId="48" priority="1158" operator="equal">
      <formula>$U$1</formula>
    </cfRule>
    <cfRule type="cellIs" dxfId="47" priority="1159" operator="equal">
      <formula>$S$1</formula>
    </cfRule>
  </conditionalFormatting>
  <conditionalFormatting sqref="D106">
    <cfRule type="cellIs" dxfId="46" priority="1156" operator="equal">
      <formula>$S$1</formula>
    </cfRule>
    <cfRule type="cellIs" dxfId="45" priority="1157" operator="equal">
      <formula>$U$1</formula>
    </cfRule>
  </conditionalFormatting>
  <conditionalFormatting sqref="C81">
    <cfRule type="cellIs" dxfId="44" priority="1154" operator="equal">
      <formula>$U$1</formula>
    </cfRule>
    <cfRule type="cellIs" dxfId="43" priority="1155" operator="equal">
      <formula>$S$1</formula>
    </cfRule>
  </conditionalFormatting>
  <conditionalFormatting sqref="D81">
    <cfRule type="cellIs" dxfId="42" priority="1152" operator="equal">
      <formula>$S$1</formula>
    </cfRule>
    <cfRule type="cellIs" dxfId="41" priority="1153" operator="equal">
      <formula>$U$1</formula>
    </cfRule>
  </conditionalFormatting>
  <conditionalFormatting sqref="C56">
    <cfRule type="cellIs" dxfId="40" priority="1150" operator="equal">
      <formula>$U$1</formula>
    </cfRule>
    <cfRule type="cellIs" dxfId="39" priority="1151" operator="equal">
      <formula>$S$1</formula>
    </cfRule>
  </conditionalFormatting>
  <conditionalFormatting sqref="D56">
    <cfRule type="cellIs" dxfId="38" priority="1148" operator="equal">
      <formula>$S$1</formula>
    </cfRule>
    <cfRule type="cellIs" dxfId="37" priority="1149" operator="equal">
      <formula>$U$1</formula>
    </cfRule>
  </conditionalFormatting>
  <conditionalFormatting sqref="C31">
    <cfRule type="cellIs" dxfId="36" priority="1146" operator="equal">
      <formula>$U$1</formula>
    </cfRule>
    <cfRule type="cellIs" dxfId="35" priority="1147" operator="equal">
      <formula>$S$1</formula>
    </cfRule>
  </conditionalFormatting>
  <conditionalFormatting sqref="D31">
    <cfRule type="cellIs" dxfId="34" priority="1144" operator="equal">
      <formula>$S$1</formula>
    </cfRule>
    <cfRule type="cellIs" dxfId="33" priority="114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F140" sqref="BF140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$A$139</v>
      </c>
      <c r="D111" s="1" t="str">
        <f>ADDRESS(C121-1,D121,1,1)</f>
        <v>$BF$139</v>
      </c>
      <c r="E111"/>
    </row>
    <row r="112" spans="1:5" x14ac:dyDescent="0.25">
      <c r="A112" s="30">
        <v>2.3579476910000019</v>
      </c>
      <c r="C112" s="1" t="str">
        <f>ADDRESS(C121,1,1,1)</f>
        <v>$A$140</v>
      </c>
      <c r="D112" s="1" t="str">
        <f>ADDRESS(C121,D121-1,1,1)</f>
        <v>$BE$140</v>
      </c>
      <c r="E112"/>
    </row>
    <row r="113" spans="1:54" x14ac:dyDescent="0.25">
      <c r="A113" s="30">
        <v>2.1435888100000016</v>
      </c>
      <c r="C113" s="1" t="str">
        <f>ADDRESS(C121+1,1,1,1)</f>
        <v>$A$141</v>
      </c>
      <c r="D113" s="1" t="str">
        <f>ADDRESS(C121-1,D121+1,1,1)</f>
        <v>$BG$139</v>
      </c>
    </row>
    <row r="114" spans="1:54" x14ac:dyDescent="0.25">
      <c r="A114" s="30">
        <v>1.9487171000000014</v>
      </c>
      <c r="C114" s="1" t="str">
        <f>ADDRESS(C121,D121,1,1)</f>
        <v>$BF$140</v>
      </c>
      <c r="D114" s="1" t="str">
        <f>ADDRESS(C121+1,D121+1,1,1)</f>
        <v>$BG$141</v>
      </c>
    </row>
    <row r="115" spans="1:54" x14ac:dyDescent="0.25">
      <c r="A115" s="30">
        <v>1.7715610000000011</v>
      </c>
      <c r="C115" s="1" t="str">
        <f>ADDRESS(C121+1,D121,1,1)</f>
        <v>$BF$141</v>
      </c>
    </row>
    <row r="116" spans="1:54" x14ac:dyDescent="0.25">
      <c r="A116" s="30">
        <v>1.6105100000000008</v>
      </c>
      <c r="C116" s="1">
        <f>C117-1</f>
        <v>139</v>
      </c>
    </row>
    <row r="117" spans="1:54" x14ac:dyDescent="0.25">
      <c r="A117" s="30">
        <v>1.4641000000000006</v>
      </c>
      <c r="C117" s="1">
        <f>C121</f>
        <v>140</v>
      </c>
      <c r="D117" s="1">
        <f>D121</f>
        <v>58</v>
      </c>
    </row>
    <row r="118" spans="1:54" x14ac:dyDescent="0.25">
      <c r="A118" s="30">
        <v>1.3310000000000004</v>
      </c>
      <c r="C118" s="1">
        <f>C117+1</f>
        <v>141</v>
      </c>
      <c r="D118" s="1">
        <f>D117+1</f>
        <v>59</v>
      </c>
    </row>
    <row r="119" spans="1:54" x14ac:dyDescent="0.25">
      <c r="A119" s="30">
        <v>1.2100000000000002</v>
      </c>
    </row>
    <row r="120" spans="1:54" x14ac:dyDescent="0.25">
      <c r="A120" s="30">
        <v>1.1000000000000001</v>
      </c>
      <c r="C120" s="1" t="s">
        <v>9</v>
      </c>
    </row>
    <row r="121" spans="1:54" x14ac:dyDescent="0.25">
      <c r="A121" s="30">
        <v>1</v>
      </c>
      <c r="C121" s="18">
        <v>140</v>
      </c>
      <c r="D121" s="19">
        <v>58</v>
      </c>
      <c r="E121" s="18" t="s">
        <v>8</v>
      </c>
    </row>
    <row r="122" spans="1:54" x14ac:dyDescent="0.25">
      <c r="A122" s="30">
        <v>0.90909090909090895</v>
      </c>
      <c r="C122" s="1" t="str">
        <f>INDEX(1:1048576,C117,D117)</f>
        <v>O</v>
      </c>
      <c r="F122" s="27" t="s">
        <v>7</v>
      </c>
      <c r="AE122" s="27" t="s">
        <v>8</v>
      </c>
    </row>
    <row r="123" spans="1:54" x14ac:dyDescent="0.25">
      <c r="A123" s="30">
        <v>0.82644628099173523</v>
      </c>
      <c r="C123" s="1" t="str">
        <f>"R"&amp;C121</f>
        <v>R140</v>
      </c>
      <c r="D123" s="1" t="str">
        <f>"C"&amp;D121</f>
        <v>C58</v>
      </c>
      <c r="F123" s="27" t="s">
        <v>7</v>
      </c>
      <c r="AE123" s="27" t="s">
        <v>8</v>
      </c>
      <c r="AF123" s="27" t="s">
        <v>7</v>
      </c>
      <c r="AI123" s="27" t="s">
        <v>8</v>
      </c>
    </row>
    <row r="124" spans="1:54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AE124" s="27" t="s">
        <v>8</v>
      </c>
      <c r="AF124" s="27" t="s">
        <v>7</v>
      </c>
      <c r="AI124" s="27" t="s">
        <v>8</v>
      </c>
      <c r="AJ124" s="27" t="s">
        <v>7</v>
      </c>
    </row>
    <row r="125" spans="1:54" x14ac:dyDescent="0.25">
      <c r="A125" s="30">
        <v>0.68301345536507019</v>
      </c>
      <c r="F125" s="27" t="s">
        <v>7</v>
      </c>
      <c r="AE125" s="27" t="s">
        <v>8</v>
      </c>
      <c r="AF125" s="27" t="s">
        <v>7</v>
      </c>
      <c r="AG125" s="27" t="s">
        <v>8</v>
      </c>
      <c r="AI125" s="27" t="s">
        <v>8</v>
      </c>
      <c r="AJ125" s="27" t="s">
        <v>7</v>
      </c>
    </row>
    <row r="126" spans="1:54" x14ac:dyDescent="0.25">
      <c r="A126" s="30">
        <v>0.6209213230591546</v>
      </c>
      <c r="C126" s="1" t="s">
        <v>10</v>
      </c>
      <c r="F126" s="27" t="s">
        <v>7</v>
      </c>
      <c r="AE126" s="27" t="s">
        <v>8</v>
      </c>
      <c r="AF126" s="27" t="s">
        <v>7</v>
      </c>
      <c r="AG126" s="27" t="s">
        <v>8</v>
      </c>
      <c r="AH126" s="27" t="s">
        <v>7</v>
      </c>
      <c r="AI126" s="27" t="s">
        <v>8</v>
      </c>
      <c r="AJ126" s="27" t="s">
        <v>7</v>
      </c>
      <c r="AY126" s="27" t="s">
        <v>8</v>
      </c>
    </row>
    <row r="127" spans="1:54" x14ac:dyDescent="0.25">
      <c r="A127" s="30">
        <v>0.56447393005377677</v>
      </c>
      <c r="C127" s="30">
        <v>0.16350799082655756</v>
      </c>
      <c r="D127"/>
      <c r="F127" s="27" t="s">
        <v>7</v>
      </c>
      <c r="AE127" s="27" t="s">
        <v>8</v>
      </c>
      <c r="AF127" s="27" t="s">
        <v>7</v>
      </c>
      <c r="AG127" s="27" t="s">
        <v>8</v>
      </c>
      <c r="AH127" s="27" t="s">
        <v>7</v>
      </c>
      <c r="AI127" s="27" t="s">
        <v>8</v>
      </c>
      <c r="AJ127" s="27" t="s">
        <v>7</v>
      </c>
      <c r="AK127" s="27" t="s">
        <v>8</v>
      </c>
      <c r="AY127" s="27" t="s">
        <v>8</v>
      </c>
      <c r="AZ127" s="27" t="s">
        <v>7</v>
      </c>
      <c r="BA127" s="27" t="s">
        <v>8</v>
      </c>
    </row>
    <row r="128" spans="1:54" x14ac:dyDescent="0.25">
      <c r="A128" s="30">
        <v>0.51315811823070612</v>
      </c>
      <c r="F128" s="27" t="s">
        <v>7</v>
      </c>
      <c r="AE128" s="27" t="s">
        <v>8</v>
      </c>
      <c r="AF128" s="27" t="s">
        <v>7</v>
      </c>
      <c r="AH128" s="27" t="s">
        <v>7</v>
      </c>
      <c r="AI128" s="27" t="s">
        <v>8</v>
      </c>
      <c r="AJ128" s="27" t="s">
        <v>7</v>
      </c>
      <c r="AK128" s="27" t="s">
        <v>8</v>
      </c>
      <c r="AL128" s="27" t="s">
        <v>7</v>
      </c>
      <c r="AM128" s="27" t="s">
        <v>8</v>
      </c>
      <c r="AY128" s="27" t="s">
        <v>8</v>
      </c>
      <c r="AZ128" s="27" t="s">
        <v>7</v>
      </c>
      <c r="BA128" s="27" t="s">
        <v>8</v>
      </c>
      <c r="BB128" s="27" t="s">
        <v>7</v>
      </c>
    </row>
    <row r="129" spans="1:58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AE129" s="27" t="s">
        <v>8</v>
      </c>
      <c r="AH129" s="27" t="s">
        <v>7</v>
      </c>
      <c r="AI129" s="27" t="s">
        <v>8</v>
      </c>
      <c r="AJ129" s="27" t="s">
        <v>7</v>
      </c>
      <c r="AK129" s="27" t="s">
        <v>8</v>
      </c>
      <c r="AL129" s="27" t="s">
        <v>7</v>
      </c>
      <c r="AM129" s="27" t="s">
        <v>8</v>
      </c>
      <c r="AN129" s="27" t="s">
        <v>7</v>
      </c>
      <c r="AY129" s="27" t="s">
        <v>8</v>
      </c>
      <c r="AZ129" s="27" t="s">
        <v>7</v>
      </c>
      <c r="BA129" s="27" t="s">
        <v>8</v>
      </c>
      <c r="BB129" s="27" t="s">
        <v>7</v>
      </c>
    </row>
    <row r="130" spans="1:58" x14ac:dyDescent="0.25">
      <c r="A130" s="30">
        <v>0.42409761837248428</v>
      </c>
      <c r="C130" s="6"/>
      <c r="D130" s="6"/>
      <c r="E130"/>
      <c r="F130" s="27" t="s">
        <v>7</v>
      </c>
      <c r="AE130" s="27" t="s">
        <v>8</v>
      </c>
      <c r="AH130" s="27" t="s">
        <v>7</v>
      </c>
      <c r="AI130" s="27" t="s">
        <v>8</v>
      </c>
      <c r="AJ130" s="27" t="s">
        <v>7</v>
      </c>
      <c r="AK130" s="27" t="s">
        <v>8</v>
      </c>
      <c r="AL130" s="27" t="s">
        <v>7</v>
      </c>
      <c r="AM130" s="27" t="s">
        <v>8</v>
      </c>
      <c r="AN130" s="27" t="s">
        <v>7</v>
      </c>
      <c r="AW130" s="27" t="s">
        <v>8</v>
      </c>
      <c r="AY130" s="27" t="s">
        <v>8</v>
      </c>
      <c r="AZ130" s="27" t="s">
        <v>7</v>
      </c>
      <c r="BB130" s="27" t="s">
        <v>7</v>
      </c>
    </row>
    <row r="131" spans="1:58" x14ac:dyDescent="0.25">
      <c r="A131" s="30">
        <v>0.38554328942953109</v>
      </c>
      <c r="E131"/>
      <c r="F131" s="27" t="s">
        <v>7</v>
      </c>
      <c r="AE131" s="27" t="s">
        <v>8</v>
      </c>
      <c r="AH131" s="27" t="s">
        <v>7</v>
      </c>
      <c r="AJ131" s="27" t="s">
        <v>7</v>
      </c>
      <c r="AK131" s="27" t="s">
        <v>8</v>
      </c>
      <c r="AL131" s="27" t="s">
        <v>7</v>
      </c>
      <c r="AN131" s="27" t="s">
        <v>7</v>
      </c>
      <c r="AW131" s="27" t="s">
        <v>8</v>
      </c>
      <c r="AX131" s="27" t="s">
        <v>7</v>
      </c>
      <c r="AY131" s="27" t="s">
        <v>8</v>
      </c>
      <c r="BB131" s="27" t="s">
        <v>7</v>
      </c>
    </row>
    <row r="132" spans="1:58" x14ac:dyDescent="0.25">
      <c r="A132" s="30">
        <v>0.35049389948139187</v>
      </c>
      <c r="C132" s="1" t="s">
        <v>13</v>
      </c>
      <c r="E132"/>
      <c r="F132" s="27" t="s">
        <v>7</v>
      </c>
      <c r="AE132" s="27" t="s">
        <v>8</v>
      </c>
      <c r="AJ132" s="27" t="s">
        <v>7</v>
      </c>
      <c r="AN132" s="27" t="s">
        <v>7</v>
      </c>
      <c r="AS132" s="27" t="s">
        <v>8</v>
      </c>
      <c r="AU132" s="27" t="s">
        <v>8</v>
      </c>
      <c r="AW132" s="27" t="s">
        <v>8</v>
      </c>
      <c r="AX132" s="27" t="s">
        <v>7</v>
      </c>
      <c r="AY132" s="27" t="s">
        <v>8</v>
      </c>
      <c r="BB132" s="27" t="s">
        <v>7</v>
      </c>
      <c r="BC132" s="27" t="s">
        <v>8</v>
      </c>
      <c r="BE132" s="27" t="s">
        <v>8</v>
      </c>
    </row>
    <row r="133" spans="1:58" x14ac:dyDescent="0.25">
      <c r="A133" s="30">
        <v>0.31863081771035617</v>
      </c>
      <c r="C133" s="1" t="str">
        <f>C122</f>
        <v>O</v>
      </c>
      <c r="E133"/>
      <c r="F133" s="27" t="s">
        <v>7</v>
      </c>
      <c r="AE133" s="27" t="s">
        <v>8</v>
      </c>
      <c r="AN133" s="27" t="s">
        <v>7</v>
      </c>
      <c r="AO133" s="27" t="s">
        <v>8</v>
      </c>
      <c r="AQ133" s="27" t="s">
        <v>8</v>
      </c>
      <c r="AS133" s="27" t="s">
        <v>8</v>
      </c>
      <c r="AT133" s="27" t="s">
        <v>7</v>
      </c>
      <c r="AU133" s="27" t="s">
        <v>8</v>
      </c>
      <c r="AV133" s="27" t="s">
        <v>7</v>
      </c>
      <c r="AW133" s="27" t="s">
        <v>8</v>
      </c>
      <c r="AX133" s="27" t="s">
        <v>7</v>
      </c>
      <c r="AY133" s="27" t="s">
        <v>8</v>
      </c>
      <c r="BB133" s="27" t="s">
        <v>7</v>
      </c>
      <c r="BC133" s="27" t="s">
        <v>8</v>
      </c>
      <c r="BD133" s="27" t="s">
        <v>7</v>
      </c>
      <c r="BE133" s="27" t="s">
        <v>8</v>
      </c>
      <c r="BF133" s="27" t="s">
        <v>7</v>
      </c>
    </row>
    <row r="134" spans="1:58" x14ac:dyDescent="0.25">
      <c r="A134" s="30">
        <v>0.28966437973668741</v>
      </c>
      <c r="C134"/>
      <c r="D134"/>
      <c r="E134"/>
      <c r="F134" s="27" t="s">
        <v>7</v>
      </c>
      <c r="AE134" s="27" t="s">
        <v>8</v>
      </c>
      <c r="AN134" s="27" t="s">
        <v>7</v>
      </c>
      <c r="AO134" s="27" t="s">
        <v>8</v>
      </c>
      <c r="AP134" s="27" t="s">
        <v>7</v>
      </c>
      <c r="AQ134" s="27" t="s">
        <v>8</v>
      </c>
      <c r="AR134" s="27" t="s">
        <v>7</v>
      </c>
      <c r="AS134" s="27" t="s">
        <v>8</v>
      </c>
      <c r="AT134" s="27" t="s">
        <v>7</v>
      </c>
      <c r="AU134" s="27" t="s">
        <v>8</v>
      </c>
      <c r="AV134" s="27" t="s">
        <v>7</v>
      </c>
      <c r="AW134" s="27" t="s">
        <v>8</v>
      </c>
      <c r="AX134" s="27" t="s">
        <v>7</v>
      </c>
      <c r="AY134" s="27" t="s">
        <v>8</v>
      </c>
      <c r="BB134" s="27" t="s">
        <v>7</v>
      </c>
      <c r="BC134" s="27" t="s">
        <v>8</v>
      </c>
      <c r="BD134" s="27" t="s">
        <v>7</v>
      </c>
      <c r="BE134" s="27" t="s">
        <v>8</v>
      </c>
      <c r="BF134" s="27" t="s">
        <v>7</v>
      </c>
    </row>
    <row r="135" spans="1:58" x14ac:dyDescent="0.25">
      <c r="A135" s="30">
        <v>0.2633312543060794</v>
      </c>
      <c r="C135" s="1" t="s">
        <v>14</v>
      </c>
      <c r="E135"/>
      <c r="F135" s="27" t="s">
        <v>7</v>
      </c>
      <c r="AE135" s="27" t="s">
        <v>8</v>
      </c>
      <c r="AN135" s="27" t="s">
        <v>7</v>
      </c>
      <c r="AO135" s="27" t="s">
        <v>8</v>
      </c>
      <c r="AP135" s="27" t="s">
        <v>7</v>
      </c>
      <c r="AQ135" s="27" t="s">
        <v>8</v>
      </c>
      <c r="AR135" s="27" t="s">
        <v>7</v>
      </c>
      <c r="AS135" s="27" t="s">
        <v>8</v>
      </c>
      <c r="AT135" s="27" t="s">
        <v>7</v>
      </c>
      <c r="AV135" s="27" t="s">
        <v>7</v>
      </c>
      <c r="AW135" s="18" t="s">
        <v>8</v>
      </c>
      <c r="AX135" s="27" t="s">
        <v>7</v>
      </c>
      <c r="BB135" s="27" t="s">
        <v>7</v>
      </c>
      <c r="BC135" s="27" t="s">
        <v>8</v>
      </c>
      <c r="BD135" s="27" t="s">
        <v>7</v>
      </c>
      <c r="BF135" s="27" t="s">
        <v>7</v>
      </c>
    </row>
    <row r="136" spans="1:58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AE136" s="27" t="s">
        <v>8</v>
      </c>
      <c r="AN136" s="27" t="s">
        <v>7</v>
      </c>
      <c r="AO136" s="27" t="s">
        <v>8</v>
      </c>
      <c r="AP136" s="27" t="s">
        <v>7</v>
      </c>
      <c r="AQ136" s="27" t="s">
        <v>8</v>
      </c>
      <c r="AR136" s="27" t="s">
        <v>7</v>
      </c>
      <c r="AS136" s="27" t="s">
        <v>8</v>
      </c>
      <c r="AV136" s="27" t="s">
        <v>7</v>
      </c>
      <c r="AW136" s="27" t="s">
        <v>8</v>
      </c>
      <c r="BB136" s="27" t="s">
        <v>7</v>
      </c>
      <c r="BF136" s="27" t="s">
        <v>7</v>
      </c>
    </row>
    <row r="137" spans="1:58" x14ac:dyDescent="0.25">
      <c r="A137" s="30">
        <v>0.2176291357901482</v>
      </c>
      <c r="E137"/>
      <c r="F137" s="27" t="s">
        <v>7</v>
      </c>
      <c r="AE137" s="27" t="s">
        <v>8</v>
      </c>
      <c r="AN137" s="27" t="s">
        <v>7</v>
      </c>
      <c r="AO137" s="27" t="s">
        <v>8</v>
      </c>
      <c r="AP137" s="27" t="s">
        <v>7</v>
      </c>
      <c r="AQ137" s="27" t="s">
        <v>8</v>
      </c>
      <c r="AR137" s="27" t="s">
        <v>7</v>
      </c>
      <c r="AV137" s="27" t="s">
        <v>7</v>
      </c>
      <c r="AW137" s="27" t="s">
        <v>8</v>
      </c>
      <c r="BF137" s="27" t="s">
        <v>7</v>
      </c>
    </row>
    <row r="138" spans="1:58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AE138" s="27" t="s">
        <v>8</v>
      </c>
      <c r="AN138" s="27" t="s">
        <v>7</v>
      </c>
      <c r="AP138" s="27" t="s">
        <v>7</v>
      </c>
      <c r="AQ138" s="27" t="s">
        <v>8</v>
      </c>
      <c r="AV138" s="27" t="s">
        <v>7</v>
      </c>
      <c r="AW138" s="27" t="s">
        <v>8</v>
      </c>
      <c r="BF138" s="27" t="s">
        <v>7</v>
      </c>
    </row>
    <row r="139" spans="1:58" x14ac:dyDescent="0.25">
      <c r="A139" s="30">
        <v>0.17985878990921333</v>
      </c>
      <c r="E139"/>
      <c r="F139" s="27" t="s">
        <v>7</v>
      </c>
      <c r="AE139" s="27" t="s">
        <v>8</v>
      </c>
      <c r="AP139" s="27" t="s">
        <v>7</v>
      </c>
      <c r="AV139" s="27" t="s">
        <v>7</v>
      </c>
      <c r="BF139" s="27" t="s">
        <v>7</v>
      </c>
    </row>
    <row r="140" spans="1:58" x14ac:dyDescent="0.25">
      <c r="A140" s="30">
        <v>0.16350799082655756</v>
      </c>
      <c r="C140" s="1">
        <v>0</v>
      </c>
      <c r="E140"/>
      <c r="F140" s="27" t="s">
        <v>7</v>
      </c>
      <c r="AE140" s="27" t="s">
        <v>8</v>
      </c>
      <c r="BF140" s="27" t="s">
        <v>7</v>
      </c>
    </row>
    <row r="141" spans="1:58" x14ac:dyDescent="0.25">
      <c r="A141" s="30">
        <v>0.14864362802414322</v>
      </c>
      <c r="C141" s="1">
        <v>1</v>
      </c>
      <c r="E141"/>
      <c r="F141" s="27" t="s">
        <v>7</v>
      </c>
      <c r="AC141" s="27" t="s">
        <v>8</v>
      </c>
      <c r="AE141" s="27" t="s">
        <v>8</v>
      </c>
    </row>
    <row r="142" spans="1:58" x14ac:dyDescent="0.25">
      <c r="A142" s="30">
        <v>0.13513057093103928</v>
      </c>
      <c r="C142" s="1">
        <v>2</v>
      </c>
      <c r="E142"/>
      <c r="F142" s="27" t="s">
        <v>7</v>
      </c>
      <c r="AC142" s="27" t="s">
        <v>8</v>
      </c>
      <c r="AD142" s="27" t="s">
        <v>7</v>
      </c>
      <c r="AE142" s="27" t="s">
        <v>8</v>
      </c>
    </row>
    <row r="143" spans="1:58" x14ac:dyDescent="0.25">
      <c r="A143" s="30">
        <v>0.12284597357367205</v>
      </c>
      <c r="C143" s="1">
        <v>3</v>
      </c>
      <c r="E143"/>
      <c r="F143" s="27" t="s">
        <v>7</v>
      </c>
      <c r="AC143" s="27" t="s">
        <v>8</v>
      </c>
      <c r="AD143" s="27" t="s">
        <v>7</v>
      </c>
      <c r="AE143" s="27" t="s">
        <v>8</v>
      </c>
    </row>
    <row r="144" spans="1:58" x14ac:dyDescent="0.25">
      <c r="A144" s="30">
        <v>0.11167815779424731</v>
      </c>
      <c r="C144" s="1">
        <v>4</v>
      </c>
      <c r="E144"/>
      <c r="F144" s="27" t="s">
        <v>7</v>
      </c>
      <c r="AC144" s="27" t="s">
        <v>8</v>
      </c>
      <c r="AD144" s="27" t="s">
        <v>7</v>
      </c>
      <c r="AE144" s="27" t="s">
        <v>8</v>
      </c>
    </row>
    <row r="145" spans="1:30" x14ac:dyDescent="0.25">
      <c r="A145" s="30">
        <v>0.10152559799477026</v>
      </c>
      <c r="B145"/>
      <c r="C145"/>
      <c r="D145"/>
      <c r="E145"/>
      <c r="F145" s="27" t="s">
        <v>7</v>
      </c>
      <c r="AC145" s="27" t="s">
        <v>8</v>
      </c>
      <c r="AD145" s="27" t="s">
        <v>7</v>
      </c>
    </row>
    <row r="146" spans="1:30" x14ac:dyDescent="0.25">
      <c r="A146" s="30">
        <v>9.2295998177063854E-2</v>
      </c>
      <c r="B146"/>
      <c r="C146"/>
      <c r="D146"/>
      <c r="E146"/>
      <c r="F146" s="27" t="s">
        <v>7</v>
      </c>
      <c r="AC146" s="27" t="s">
        <v>8</v>
      </c>
    </row>
    <row r="147" spans="1:30" x14ac:dyDescent="0.25">
      <c r="A147" s="30">
        <v>8.3905452888239848E-2</v>
      </c>
      <c r="B147"/>
      <c r="C147"/>
      <c r="D147"/>
      <c r="E147"/>
      <c r="F147" s="27" t="s">
        <v>7</v>
      </c>
      <c r="AC147" s="27" t="s">
        <v>8</v>
      </c>
    </row>
    <row r="148" spans="1:30" x14ac:dyDescent="0.25">
      <c r="A148" s="30">
        <v>7.6277684443854396E-2</v>
      </c>
      <c r="B148"/>
      <c r="C148"/>
      <c r="D148"/>
      <c r="E148"/>
      <c r="F148" s="27" t="s">
        <v>7</v>
      </c>
      <c r="AC148" s="27" t="s">
        <v>8</v>
      </c>
    </row>
    <row r="149" spans="1:30" x14ac:dyDescent="0.25">
      <c r="A149" s="30">
        <v>6.9343349494413078E-2</v>
      </c>
      <c r="B149"/>
      <c r="C149"/>
      <c r="D149"/>
      <c r="E149"/>
      <c r="F149" s="27" t="s">
        <v>7</v>
      </c>
      <c r="AA149" s="27" t="s">
        <v>8</v>
      </c>
      <c r="AC149" s="27" t="s">
        <v>8</v>
      </c>
    </row>
    <row r="150" spans="1:30" x14ac:dyDescent="0.25">
      <c r="A150" s="30">
        <v>6.3039408631284613E-2</v>
      </c>
      <c r="B150"/>
      <c r="C150"/>
      <c r="D150"/>
      <c r="E150"/>
      <c r="F150" s="27" t="s">
        <v>7</v>
      </c>
      <c r="AA150" s="27" t="s">
        <v>8</v>
      </c>
      <c r="AB150" s="27" t="s">
        <v>7</v>
      </c>
      <c r="AC150" s="27" t="s">
        <v>8</v>
      </c>
    </row>
    <row r="151" spans="1:30" x14ac:dyDescent="0.25">
      <c r="A151" s="30">
        <v>5.7308553301167818E-2</v>
      </c>
      <c r="B151"/>
      <c r="C151"/>
      <c r="D151"/>
      <c r="E151"/>
      <c r="F151" s="27" t="s">
        <v>7</v>
      </c>
      <c r="AA151" s="27" t="s">
        <v>8</v>
      </c>
      <c r="AB151" s="27" t="s">
        <v>7</v>
      </c>
      <c r="AC151" s="27" t="s">
        <v>8</v>
      </c>
    </row>
    <row r="152" spans="1:30" x14ac:dyDescent="0.25">
      <c r="A152" s="30">
        <v>5.2098684819243464E-2</v>
      </c>
      <c r="B152"/>
      <c r="C152"/>
      <c r="D152"/>
      <c r="E152"/>
      <c r="F152" s="27" t="s">
        <v>7</v>
      </c>
      <c r="AA152" s="27" t="s">
        <v>8</v>
      </c>
      <c r="AB152" s="27" t="s">
        <v>7</v>
      </c>
      <c r="AC152" s="27" t="s">
        <v>8</v>
      </c>
    </row>
    <row r="153" spans="1:30" x14ac:dyDescent="0.25">
      <c r="A153" s="30">
        <v>4.7362440744766775E-2</v>
      </c>
      <c r="B153"/>
      <c r="C153"/>
      <c r="D153"/>
      <c r="E153"/>
      <c r="F153" s="27" t="s">
        <v>7</v>
      </c>
      <c r="AA153" s="27" t="s">
        <v>8</v>
      </c>
      <c r="AB153" s="27" t="s">
        <v>7</v>
      </c>
      <c r="AC153" s="27" t="s">
        <v>8</v>
      </c>
    </row>
    <row r="154" spans="1:30" x14ac:dyDescent="0.25">
      <c r="A154" s="30">
        <v>4.3056764313424332E-2</v>
      </c>
      <c r="B154"/>
      <c r="C154"/>
      <c r="D154"/>
      <c r="E154"/>
      <c r="F154" s="27" t="s">
        <v>7</v>
      </c>
      <c r="AA154" s="27" t="s">
        <v>8</v>
      </c>
      <c r="AB154" s="27" t="s">
        <v>7</v>
      </c>
      <c r="AC154" s="27" t="s">
        <v>8</v>
      </c>
    </row>
    <row r="155" spans="1:30" x14ac:dyDescent="0.25">
      <c r="A155" s="30">
        <v>3.9142513012203929E-2</v>
      </c>
      <c r="B155"/>
      <c r="C155"/>
      <c r="D155"/>
      <c r="E155"/>
      <c r="F155" s="27" t="s">
        <v>7</v>
      </c>
      <c r="AA155" s="27" t="s">
        <v>8</v>
      </c>
      <c r="AB155" s="27" t="s">
        <v>7</v>
      </c>
      <c r="AC155" s="27" t="s">
        <v>8</v>
      </c>
    </row>
    <row r="156" spans="1:30" x14ac:dyDescent="0.25">
      <c r="A156" s="30">
        <v>3.55841027383672E-2</v>
      </c>
      <c r="B156"/>
      <c r="C156"/>
      <c r="D156"/>
      <c r="E156"/>
      <c r="F156" s="27" t="s">
        <v>7</v>
      </c>
      <c r="AA156" s="27" t="s">
        <v>8</v>
      </c>
      <c r="AB156" s="27" t="s">
        <v>7</v>
      </c>
    </row>
    <row r="157" spans="1:30" x14ac:dyDescent="0.25">
      <c r="A157" s="30">
        <v>3.2349184307606541E-2</v>
      </c>
      <c r="B157"/>
      <c r="C157"/>
      <c r="D157"/>
      <c r="E157"/>
      <c r="F157" s="27" t="s">
        <v>7</v>
      </c>
      <c r="AA157" s="27" t="s">
        <v>8</v>
      </c>
    </row>
    <row r="158" spans="1:30" x14ac:dyDescent="0.25">
      <c r="A158" s="30">
        <v>2.9408349370551395E-2</v>
      </c>
      <c r="B158"/>
      <c r="C158"/>
      <c r="D158"/>
      <c r="E158"/>
      <c r="F158" s="27" t="s">
        <v>7</v>
      </c>
      <c r="Y158" s="27" t="s">
        <v>8</v>
      </c>
      <c r="AA158" s="27" t="s">
        <v>8</v>
      </c>
    </row>
    <row r="159" spans="1:30" x14ac:dyDescent="0.25">
      <c r="A159" s="30">
        <v>2.6734863064137627E-2</v>
      </c>
      <c r="B159"/>
      <c r="C159"/>
      <c r="D159"/>
      <c r="E159"/>
      <c r="F159" s="27" t="s">
        <v>7</v>
      </c>
      <c r="Y159" s="27" t="s">
        <v>8</v>
      </c>
      <c r="Z159" s="27" t="s">
        <v>7</v>
      </c>
      <c r="AA159" s="27" t="s">
        <v>8</v>
      </c>
    </row>
    <row r="160" spans="1:30" x14ac:dyDescent="0.25">
      <c r="A160" s="30">
        <v>2.4304420967397839E-2</v>
      </c>
      <c r="B160"/>
      <c r="C160"/>
      <c r="D160"/>
      <c r="E160"/>
      <c r="F160" s="27" t="s">
        <v>7</v>
      </c>
      <c r="W160" s="27" t="s">
        <v>8</v>
      </c>
      <c r="Y160" s="27" t="s">
        <v>8</v>
      </c>
      <c r="Z160" s="27" t="s">
        <v>7</v>
      </c>
      <c r="AA160" s="27" t="s">
        <v>8</v>
      </c>
    </row>
    <row r="161" spans="1:27" x14ac:dyDescent="0.25">
      <c r="A161" s="30">
        <v>2.2094928152179852E-2</v>
      </c>
      <c r="B161"/>
      <c r="C161"/>
      <c r="D161"/>
      <c r="E161"/>
      <c r="F161" s="27" t="s">
        <v>7</v>
      </c>
      <c r="S161" s="27" t="s">
        <v>8</v>
      </c>
      <c r="W161" s="27" t="s">
        <v>8</v>
      </c>
      <c r="X161" s="27" t="s">
        <v>7</v>
      </c>
      <c r="Y161" s="27" t="s">
        <v>8</v>
      </c>
      <c r="Z161" s="27" t="s">
        <v>7</v>
      </c>
      <c r="AA161" s="27" t="s">
        <v>8</v>
      </c>
    </row>
    <row r="162" spans="1:27" x14ac:dyDescent="0.25">
      <c r="A162" s="30">
        <v>2.0086298320163499E-2</v>
      </c>
      <c r="B162"/>
      <c r="C162"/>
      <c r="D162"/>
      <c r="E162"/>
      <c r="F162" s="27" t="s">
        <v>7</v>
      </c>
      <c r="S162" s="27" t="s">
        <v>8</v>
      </c>
      <c r="T162" s="27" t="s">
        <v>7</v>
      </c>
      <c r="W162" s="27" t="s">
        <v>8</v>
      </c>
      <c r="X162" s="27" t="s">
        <v>7</v>
      </c>
      <c r="Y162" s="27" t="s">
        <v>8</v>
      </c>
      <c r="Z162" s="27" t="s">
        <v>7</v>
      </c>
      <c r="AA162" s="27" t="s">
        <v>8</v>
      </c>
    </row>
    <row r="163" spans="1:27" x14ac:dyDescent="0.25">
      <c r="A163" s="30">
        <v>1.8260271200148632E-2</v>
      </c>
      <c r="B163"/>
      <c r="C163"/>
      <c r="D163"/>
      <c r="E163"/>
      <c r="F163" s="27" t="s">
        <v>7</v>
      </c>
      <c r="G163" s="27" t="s">
        <v>8</v>
      </c>
      <c r="S163" s="27" t="s">
        <v>8</v>
      </c>
      <c r="T163" s="27" t="s">
        <v>7</v>
      </c>
      <c r="W163" s="27" t="s">
        <v>8</v>
      </c>
      <c r="X163" s="27" t="s">
        <v>7</v>
      </c>
      <c r="Y163" s="27" t="s">
        <v>8</v>
      </c>
      <c r="Z163" s="27" t="s">
        <v>7</v>
      </c>
      <c r="AA163" s="27" t="s">
        <v>8</v>
      </c>
    </row>
    <row r="164" spans="1:27" x14ac:dyDescent="0.25">
      <c r="A164" s="30">
        <v>1.6600246545589663E-2</v>
      </c>
      <c r="B164"/>
      <c r="C164"/>
      <c r="D164"/>
      <c r="E164"/>
      <c r="F164" s="27" t="s">
        <v>7</v>
      </c>
      <c r="G164" s="27" t="s">
        <v>8</v>
      </c>
      <c r="H164" s="27" t="s">
        <v>7</v>
      </c>
      <c r="S164" s="27" t="s">
        <v>8</v>
      </c>
      <c r="T164" s="27" t="s">
        <v>7</v>
      </c>
      <c r="W164" s="27" t="s">
        <v>8</v>
      </c>
      <c r="X164" s="27" t="s">
        <v>7</v>
      </c>
      <c r="Z164" s="27" t="s">
        <v>7</v>
      </c>
    </row>
    <row r="165" spans="1:27" x14ac:dyDescent="0.25">
      <c r="A165" s="30">
        <v>1.5091133223263328E-2</v>
      </c>
      <c r="B165"/>
      <c r="C165"/>
      <c r="D165"/>
      <c r="E165"/>
      <c r="F165" s="27" t="s">
        <v>7</v>
      </c>
      <c r="G165" s="27" t="s">
        <v>8</v>
      </c>
      <c r="H165" s="27" t="s">
        <v>7</v>
      </c>
      <c r="Q165" s="27" t="s">
        <v>8</v>
      </c>
      <c r="S165" s="27" t="s">
        <v>8</v>
      </c>
      <c r="T165" s="27" t="s">
        <v>7</v>
      </c>
      <c r="W165" s="27" t="s">
        <v>8</v>
      </c>
    </row>
    <row r="166" spans="1:27" x14ac:dyDescent="0.25">
      <c r="A166" s="30">
        <v>1.3719212021148477E-2</v>
      </c>
      <c r="B166"/>
      <c r="C166"/>
      <c r="D166"/>
      <c r="E166"/>
      <c r="F166" s="27" t="s">
        <v>7</v>
      </c>
      <c r="G166" s="27" t="s">
        <v>8</v>
      </c>
      <c r="H166" s="27" t="s">
        <v>7</v>
      </c>
      <c r="I166" s="27" t="s">
        <v>8</v>
      </c>
      <c r="Q166" s="27" t="s">
        <v>8</v>
      </c>
      <c r="R166" s="27" t="s">
        <v>7</v>
      </c>
      <c r="S166" s="27" t="s">
        <v>8</v>
      </c>
      <c r="T166" s="27" t="s">
        <v>7</v>
      </c>
      <c r="U166" s="27" t="s">
        <v>8</v>
      </c>
      <c r="W166" s="27" t="s">
        <v>8</v>
      </c>
    </row>
    <row r="167" spans="1:27" x14ac:dyDescent="0.25">
      <c r="A167" s="30">
        <v>1.2472010928316795E-2</v>
      </c>
      <c r="B167"/>
      <c r="C167"/>
      <c r="D167"/>
      <c r="E167"/>
      <c r="F167" s="27" t="s">
        <v>7</v>
      </c>
      <c r="G167" s="27" t="s">
        <v>8</v>
      </c>
      <c r="H167" s="27" t="s">
        <v>7</v>
      </c>
      <c r="I167" s="27" t="s">
        <v>8</v>
      </c>
      <c r="J167" s="27" t="s">
        <v>7</v>
      </c>
      <c r="Q167" s="27" t="s">
        <v>8</v>
      </c>
      <c r="R167" s="27" t="s">
        <v>7</v>
      </c>
      <c r="S167" s="27" t="s">
        <v>8</v>
      </c>
      <c r="T167" s="27" t="s">
        <v>7</v>
      </c>
      <c r="U167" s="27" t="s">
        <v>8</v>
      </c>
      <c r="V167" s="27" t="s">
        <v>7</v>
      </c>
      <c r="W167" s="27" t="s">
        <v>8</v>
      </c>
    </row>
    <row r="168" spans="1:27" x14ac:dyDescent="0.25">
      <c r="A168" s="30">
        <v>1.1338191753015267E-2</v>
      </c>
      <c r="B168"/>
      <c r="C168"/>
      <c r="D168"/>
      <c r="E168"/>
      <c r="F168" s="27" t="s">
        <v>7</v>
      </c>
      <c r="G168" s="27" t="s">
        <v>8</v>
      </c>
      <c r="H168" s="27" t="s">
        <v>7</v>
      </c>
      <c r="I168" s="27" t="s">
        <v>8</v>
      </c>
      <c r="J168" s="27" t="s">
        <v>7</v>
      </c>
      <c r="O168" s="27" t="s">
        <v>8</v>
      </c>
      <c r="Q168" s="27" t="s">
        <v>8</v>
      </c>
      <c r="R168" s="27" t="s">
        <v>7</v>
      </c>
      <c r="T168" s="27" t="s">
        <v>7</v>
      </c>
      <c r="U168" s="27" t="s">
        <v>8</v>
      </c>
      <c r="V168" s="27" t="s">
        <v>7</v>
      </c>
      <c r="W168" s="27" t="s">
        <v>8</v>
      </c>
    </row>
    <row r="169" spans="1:27" x14ac:dyDescent="0.25">
      <c r="A169" s="30">
        <v>1.0307447048195697E-2</v>
      </c>
      <c r="B169"/>
      <c r="C169"/>
      <c r="D169"/>
      <c r="E169"/>
      <c r="F169" s="27" t="s">
        <v>7</v>
      </c>
      <c r="G169" s="27" t="s">
        <v>8</v>
      </c>
      <c r="H169" s="27" t="s">
        <v>7</v>
      </c>
      <c r="J169" s="27" t="s">
        <v>7</v>
      </c>
      <c r="O169" s="27" t="s">
        <v>8</v>
      </c>
      <c r="P169" s="27" t="s">
        <v>7</v>
      </c>
      <c r="Q169" s="27" t="s">
        <v>8</v>
      </c>
      <c r="T169" s="27" t="s">
        <v>7</v>
      </c>
      <c r="V169" s="27" t="s">
        <v>7</v>
      </c>
      <c r="W169" s="27" t="s">
        <v>8</v>
      </c>
    </row>
    <row r="170" spans="1:27" x14ac:dyDescent="0.25">
      <c r="A170" s="30">
        <v>9.3704064074506318E-3</v>
      </c>
      <c r="B170"/>
      <c r="C170"/>
      <c r="D170"/>
      <c r="E170"/>
      <c r="F170" s="27" t="s">
        <v>7</v>
      </c>
      <c r="G170" s="27" t="s">
        <v>8</v>
      </c>
      <c r="J170" s="27" t="s">
        <v>7</v>
      </c>
      <c r="O170" s="27" t="s">
        <v>8</v>
      </c>
      <c r="P170" s="27" t="s">
        <v>7</v>
      </c>
      <c r="Q170" s="27" t="s">
        <v>8</v>
      </c>
      <c r="V170" s="27" t="s">
        <v>7</v>
      </c>
    </row>
    <row r="171" spans="1:27" x14ac:dyDescent="0.25">
      <c r="A171" s="30">
        <v>8.5185512795005747E-3</v>
      </c>
      <c r="F171" s="27" t="s">
        <v>7</v>
      </c>
      <c r="G171" s="27" t="s">
        <v>8</v>
      </c>
      <c r="J171" s="27" t="s">
        <v>7</v>
      </c>
      <c r="M171" s="27" t="s">
        <v>8</v>
      </c>
      <c r="O171" s="27" t="s">
        <v>8</v>
      </c>
      <c r="P171" s="27" t="s">
        <v>7</v>
      </c>
      <c r="Q171" s="27" t="s">
        <v>8</v>
      </c>
    </row>
    <row r="172" spans="1:27" x14ac:dyDescent="0.25">
      <c r="A172" s="30">
        <v>7.744137526818704E-3</v>
      </c>
      <c r="F172" s="27" t="s">
        <v>7</v>
      </c>
      <c r="G172" s="27" t="s">
        <v>8</v>
      </c>
      <c r="J172" s="27" t="s">
        <v>7</v>
      </c>
      <c r="M172" s="27" t="s">
        <v>8</v>
      </c>
      <c r="N172" s="27" t="s">
        <v>7</v>
      </c>
      <c r="O172" s="27" t="s">
        <v>8</v>
      </c>
      <c r="P172" s="27" t="s">
        <v>7</v>
      </c>
    </row>
    <row r="173" spans="1:27" x14ac:dyDescent="0.25">
      <c r="A173" s="30">
        <v>7.0401250243806394E-3</v>
      </c>
      <c r="F173" s="27" t="s">
        <v>7</v>
      </c>
      <c r="J173" s="27" t="s">
        <v>7</v>
      </c>
      <c r="M173" s="27" t="s">
        <v>8</v>
      </c>
      <c r="N173" s="27" t="s">
        <v>7</v>
      </c>
      <c r="O173" s="27" t="s">
        <v>8</v>
      </c>
    </row>
    <row r="174" spans="1:27" x14ac:dyDescent="0.25">
      <c r="A174" s="30">
        <v>6.4001136585278536E-3</v>
      </c>
      <c r="J174" s="27" t="s">
        <v>7</v>
      </c>
      <c r="K174" s="27" t="s">
        <v>8</v>
      </c>
      <c r="M174" s="27" t="s">
        <v>8</v>
      </c>
      <c r="N174" s="27" t="s">
        <v>7</v>
      </c>
    </row>
    <row r="175" spans="1:27" x14ac:dyDescent="0.25">
      <c r="A175" s="30">
        <v>5.8182851441162305E-3</v>
      </c>
      <c r="J175" s="27" t="s">
        <v>7</v>
      </c>
      <c r="K175" s="27" t="s">
        <v>8</v>
      </c>
      <c r="L175" s="27" t="s">
        <v>7</v>
      </c>
      <c r="M175" s="27" t="s">
        <v>8</v>
      </c>
    </row>
    <row r="176" spans="1:27" x14ac:dyDescent="0.25">
      <c r="A176" s="30">
        <v>5.2893501310147546E-3</v>
      </c>
      <c r="J176" s="27" t="s">
        <v>7</v>
      </c>
      <c r="K176" s="27" t="s">
        <v>8</v>
      </c>
      <c r="L176" s="27" t="s">
        <v>7</v>
      </c>
      <c r="M176" s="27" t="s">
        <v>8</v>
      </c>
    </row>
    <row r="177" spans="1:12" x14ac:dyDescent="0.25">
      <c r="A177" s="30">
        <v>4.8085001191043222E-3</v>
      </c>
      <c r="J177" s="27" t="s">
        <v>7</v>
      </c>
      <c r="K177" s="27" t="s">
        <v>8</v>
      </c>
      <c r="L177" s="27" t="s">
        <v>7</v>
      </c>
    </row>
    <row r="178" spans="1:12" x14ac:dyDescent="0.25">
      <c r="A178" s="30">
        <v>4.3713637446402926E-3</v>
      </c>
      <c r="J178" s="27" t="s">
        <v>7</v>
      </c>
      <c r="K178" s="27" t="s">
        <v>8</v>
      </c>
    </row>
    <row r="179" spans="1:12" x14ac:dyDescent="0.25">
      <c r="A179" s="30">
        <v>3.9739670405820838E-3</v>
      </c>
      <c r="J179" s="27" t="s">
        <v>7</v>
      </c>
    </row>
    <row r="180" spans="1:12" x14ac:dyDescent="0.25">
      <c r="A180" s="30">
        <v>3.6126973096200759E-3</v>
      </c>
    </row>
    <row r="181" spans="1:12" x14ac:dyDescent="0.25">
      <c r="A181" s="30">
        <v>3.2842702814727962E-3</v>
      </c>
    </row>
    <row r="182" spans="1:12" x14ac:dyDescent="0.25">
      <c r="A182" s="30">
        <v>2.9857002558843601E-3</v>
      </c>
    </row>
    <row r="183" spans="1:12" x14ac:dyDescent="0.25">
      <c r="A183" s="30">
        <v>2.7142729598948726E-3</v>
      </c>
    </row>
    <row r="184" spans="1:12" x14ac:dyDescent="0.25">
      <c r="A184" s="30">
        <v>2.4675208726317021E-3</v>
      </c>
    </row>
    <row r="185" spans="1:12" x14ac:dyDescent="0.25">
      <c r="A185" s="30">
        <v>2.2432007933015472E-3</v>
      </c>
    </row>
    <row r="186" spans="1:12" x14ac:dyDescent="0.25">
      <c r="A186" s="30">
        <v>2.0392734484559519E-3</v>
      </c>
    </row>
    <row r="187" spans="1:12" x14ac:dyDescent="0.25">
      <c r="A187" s="30">
        <v>1.8538849531417744E-3</v>
      </c>
    </row>
    <row r="188" spans="1:12" x14ac:dyDescent="0.25">
      <c r="A188" s="30">
        <v>1.6853499574016129E-3</v>
      </c>
    </row>
    <row r="189" spans="1:12" x14ac:dyDescent="0.25">
      <c r="A189" s="30">
        <v>1.5321363249105571E-3</v>
      </c>
    </row>
    <row r="190" spans="1:12" x14ac:dyDescent="0.25">
      <c r="A190" s="30">
        <v>1.3928512044641427E-3</v>
      </c>
    </row>
    <row r="191" spans="1:12" x14ac:dyDescent="0.25">
      <c r="A191" s="30">
        <v>1.2662283676946752E-3</v>
      </c>
    </row>
    <row r="192" spans="1:12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62" operator="equal">
      <formula>$U$1</formula>
    </cfRule>
    <cfRule type="cellIs" dxfId="30" priority="1163" operator="equal">
      <formula>$S$1</formula>
    </cfRule>
  </conditionalFormatting>
  <conditionalFormatting sqref="D136">
    <cfRule type="cellIs" dxfId="29" priority="1160" operator="equal">
      <formula>$S$1</formula>
    </cfRule>
    <cfRule type="cellIs" dxfId="28" priority="1161" operator="equal">
      <formula>$U$1</formula>
    </cfRule>
  </conditionalFormatting>
  <conditionalFormatting sqref="C102">
    <cfRule type="cellIs" dxfId="27" priority="1158" operator="equal">
      <formula>$U$1</formula>
    </cfRule>
    <cfRule type="cellIs" dxfId="26" priority="1159" operator="equal">
      <formula>$S$1</formula>
    </cfRule>
  </conditionalFormatting>
  <conditionalFormatting sqref="D102">
    <cfRule type="cellIs" dxfId="25" priority="1156" operator="equal">
      <formula>$S$1</formula>
    </cfRule>
    <cfRule type="cellIs" dxfId="24" priority="1157" operator="equal">
      <formula>$U$1</formula>
    </cfRule>
  </conditionalFormatting>
  <conditionalFormatting sqref="C77">
    <cfRule type="cellIs" dxfId="23" priority="1154" operator="equal">
      <formula>$U$1</formula>
    </cfRule>
    <cfRule type="cellIs" dxfId="22" priority="1155" operator="equal">
      <formula>$S$1</formula>
    </cfRule>
  </conditionalFormatting>
  <conditionalFormatting sqref="D77">
    <cfRule type="cellIs" dxfId="21" priority="1152" operator="equal">
      <formula>$S$1</formula>
    </cfRule>
    <cfRule type="cellIs" dxfId="20" priority="1153" operator="equal">
      <formula>$U$1</formula>
    </cfRule>
  </conditionalFormatting>
  <conditionalFormatting sqref="C52">
    <cfRule type="cellIs" dxfId="19" priority="1150" operator="equal">
      <formula>$U$1</formula>
    </cfRule>
    <cfRule type="cellIs" dxfId="18" priority="1151" operator="equal">
      <formula>$S$1</formula>
    </cfRule>
  </conditionalFormatting>
  <conditionalFormatting sqref="D52">
    <cfRule type="cellIs" dxfId="17" priority="1148" operator="equal">
      <formula>$S$1</formula>
    </cfRule>
    <cfRule type="cellIs" dxfId="16" priority="1149" operator="equal">
      <formula>$U$1</formula>
    </cfRule>
  </conditionalFormatting>
  <conditionalFormatting sqref="C26">
    <cfRule type="cellIs" dxfId="15" priority="1146" operator="equal">
      <formula>$U$1</formula>
    </cfRule>
    <cfRule type="cellIs" dxfId="14" priority="1147" operator="equal">
      <formula>$S$1</formula>
    </cfRule>
  </conditionalFormatting>
  <conditionalFormatting sqref="D26">
    <cfRule type="cellIs" dxfId="13" priority="1144" operator="equal">
      <formula>$S$1</formula>
    </cfRule>
    <cfRule type="cellIs" dxfId="12" priority="114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2022-01-28T01:14:56Z</dcterms:modified>
</cp:coreProperties>
</file>